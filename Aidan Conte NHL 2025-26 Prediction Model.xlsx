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sumail-my.sharepoint.com/personal/aac01075_su_suffolk_edu/Documents/Prediction Models/NHL/"/>
    </mc:Choice>
  </mc:AlternateContent>
  <xr:revisionPtr revIDLastSave="1132" documentId="14_{BC0C37BD-5950-BD49-823D-87212FE79B51}" xr6:coauthVersionLast="47" xr6:coauthVersionMax="47" xr10:uidLastSave="{3AA64B82-0182-9048-A8EF-44CDA508FBB8}"/>
  <bookViews>
    <workbookView xWindow="-1160" yWindow="-20380" windowWidth="33600" windowHeight="20380" activeTab="4" xr2:uid="{7CE34565-0E34-CB48-A9A7-C6944B417D9B}"/>
  </bookViews>
  <sheets>
    <sheet name="NHL2025-26Results" sheetId="3" r:id="rId1"/>
    <sheet name="NHL Model" sheetId="1" r:id="rId2"/>
    <sheet name="NHL HomeIce Model" sheetId="4" r:id="rId3"/>
    <sheet name="Standings" sheetId="5" r:id="rId4"/>
    <sheet name="ML Prediction Model" sheetId="11" r:id="rId5"/>
    <sheet name="Sheet2" sheetId="9" r:id="rId6"/>
  </sheets>
  <definedNames>
    <definedName name="ExternalData_1" localSheetId="0" hidden="1">'NHL2025-26Results'!$A$1:$J$1313</definedName>
    <definedName name="ExternalData_3" localSheetId="4" hidden="1">'ML Prediction Model'!$A$1:$AA$1313</definedName>
    <definedName name="HomeEdge">'NHL Model'!$B$1</definedName>
    <definedName name="solver_adj" localSheetId="2" hidden="1">'NHL HomeIce Model'!$T$10</definedName>
    <definedName name="solver_adj" localSheetId="1" hidden="1">'NHL Model'!$B$1,'NHL Model'!$B$7:$B$38</definedName>
    <definedName name="solver_cvg" localSheetId="2" hidden="1">0.0001</definedName>
    <definedName name="solver_cvg" localSheetId="1" hidden="1">0.0001</definedName>
    <definedName name="solver_cvg" localSheetId="3" hidden="1">0.0001</definedName>
    <definedName name="solver_drv" localSheetId="2" hidden="1">1</definedName>
    <definedName name="solver_drv" localSheetId="1" hidden="1">1</definedName>
    <definedName name="solver_drv" localSheetId="3" hidden="1">1</definedName>
    <definedName name="solver_eng" localSheetId="2" hidden="1">1</definedName>
    <definedName name="solver_eng" localSheetId="1" hidden="1">1</definedName>
    <definedName name="solver_itr" localSheetId="2" hidden="1">2147483647</definedName>
    <definedName name="solver_itr" localSheetId="1" hidden="1">2147483647</definedName>
    <definedName name="solver_itr" localSheetId="3" hidden="1">2147483647</definedName>
    <definedName name="solver_lhs1" localSheetId="2" hidden="1">'NHL HomeIce Model'!$T$10</definedName>
    <definedName name="solver_lhs1" localSheetId="1" hidden="1">'NHL Model'!$B$3</definedName>
    <definedName name="solver_lhs2" localSheetId="2" hidden="1">'NHL HomeIce Model'!$T$10</definedName>
    <definedName name="solver_lin" localSheetId="2" hidden="1">2</definedName>
    <definedName name="solver_lin" localSheetId="1" hidden="1">2</definedName>
    <definedName name="solver_mip" localSheetId="2" hidden="1">2147483647</definedName>
    <definedName name="solver_mip" localSheetId="1" hidden="1">2147483647</definedName>
    <definedName name="solver_mip" localSheetId="3" hidden="1">2147483647</definedName>
    <definedName name="solver_mni" localSheetId="2" hidden="1">30</definedName>
    <definedName name="solver_mni" localSheetId="1" hidden="1">30</definedName>
    <definedName name="solver_mni" localSheetId="3" hidden="1">30</definedName>
    <definedName name="solver_mrt" localSheetId="2" hidden="1">0.075</definedName>
    <definedName name="solver_mrt" localSheetId="1" hidden="1">0.075</definedName>
    <definedName name="solver_mrt" localSheetId="3" hidden="1">0.075</definedName>
    <definedName name="solver_msl" localSheetId="2" hidden="1">2</definedName>
    <definedName name="solver_msl" localSheetId="1" hidden="1">2</definedName>
    <definedName name="solver_msl" localSheetId="3" hidden="1">2</definedName>
    <definedName name="solver_neg" localSheetId="2" hidden="1">2</definedName>
    <definedName name="solver_neg" localSheetId="1" hidden="1">2</definedName>
    <definedName name="solver_neg" localSheetId="3" hidden="1">2</definedName>
    <definedName name="solver_nod" localSheetId="2" hidden="1">2147483647</definedName>
    <definedName name="solver_nod" localSheetId="1" hidden="1">2147483647</definedName>
    <definedName name="solver_nod" localSheetId="3" hidden="1">2147483647</definedName>
    <definedName name="solver_num" localSheetId="2" hidden="1">1</definedName>
    <definedName name="solver_num" localSheetId="1" hidden="1">1</definedName>
    <definedName name="solver_opt" localSheetId="2" hidden="1">'NHL HomeIce Model'!$T$8</definedName>
    <definedName name="solver_opt" localSheetId="1" hidden="1">'NHL Model'!$J$3</definedName>
    <definedName name="solver_opt" localSheetId="3" hidden="1">Standings!$J$3</definedName>
    <definedName name="solver_pre" localSheetId="2" hidden="1">0.000001</definedName>
    <definedName name="solver_pre" localSheetId="1" hidden="1">0.000001</definedName>
    <definedName name="solver_pre" localSheetId="3" hidden="1">0.000001</definedName>
    <definedName name="solver_rbv" localSheetId="2" hidden="1">1</definedName>
    <definedName name="solver_rbv" localSheetId="1" hidden="1">1</definedName>
    <definedName name="solver_rbv" localSheetId="3" hidden="1">1</definedName>
    <definedName name="solver_rel1" localSheetId="2" hidden="1">1</definedName>
    <definedName name="solver_rel1" localSheetId="1" hidden="1">2</definedName>
    <definedName name="solver_rel2" localSheetId="2" hidden="1">3</definedName>
    <definedName name="solver_rhs1" localSheetId="2" hidden="1">0.5</definedName>
    <definedName name="solver_rhs1" localSheetId="1" hidden="1">0</definedName>
    <definedName name="solver_rhs2" localSheetId="2" hidden="1">0.05</definedName>
    <definedName name="solver_rlx" localSheetId="2" hidden="1">2</definedName>
    <definedName name="solver_rlx" localSheetId="1" hidden="1">2</definedName>
    <definedName name="solver_rlx" localSheetId="3" hidden="1">2</definedName>
    <definedName name="solver_rsd" localSheetId="2" hidden="1">0</definedName>
    <definedName name="solver_rsd" localSheetId="1" hidden="1">0</definedName>
    <definedName name="solver_rsd" localSheetId="3" hidden="1">0</definedName>
    <definedName name="solver_scl" localSheetId="2" hidden="1">1</definedName>
    <definedName name="solver_scl" localSheetId="1" hidden="1">1</definedName>
    <definedName name="solver_scl" localSheetId="3" hidden="1">1</definedName>
    <definedName name="solver_sho" localSheetId="2" hidden="1">2</definedName>
    <definedName name="solver_sho" localSheetId="1" hidden="1">2</definedName>
    <definedName name="solver_sho" localSheetId="3" hidden="1">2</definedName>
    <definedName name="solver_ssz" localSheetId="2" hidden="1">100</definedName>
    <definedName name="solver_ssz" localSheetId="1" hidden="1">100</definedName>
    <definedName name="solver_ssz" localSheetId="3" hidden="1">100</definedName>
    <definedName name="solver_tim" localSheetId="2" hidden="1">2147483647</definedName>
    <definedName name="solver_tim" localSheetId="1" hidden="1">2147483647</definedName>
    <definedName name="solver_tim" localSheetId="3" hidden="1">2147483647</definedName>
    <definedName name="solver_tol" localSheetId="2" hidden="1">0.01</definedName>
    <definedName name="solver_tol" localSheetId="1" hidden="1">0.01</definedName>
    <definedName name="solver_tol" localSheetId="3" hidden="1">0.01</definedName>
    <definedName name="solver_typ" localSheetId="2" hidden="1">2</definedName>
    <definedName name="solver_typ" localSheetId="1" hidden="1">2</definedName>
    <definedName name="solver_val" localSheetId="2" hidden="1">0</definedName>
    <definedName name="solver_val" localSheetId="1" hidden="1">0</definedName>
    <definedName name="solver_ver" localSheetId="2" hidden="1">2</definedName>
    <definedName name="solver_ver" localSheetId="1" hidden="1">2</definedName>
  </definedNames>
  <calcPr calcId="191029"/>
  <pivotCaches>
    <pivotCache cacheId="14" r:id="rId7"/>
    <pivotCache cacheId="15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12" i="1" l="1"/>
  <c r="H412" i="1" s="1"/>
  <c r="I412" i="1"/>
  <c r="G413" i="1"/>
  <c r="H413" i="1" s="1"/>
  <c r="I413" i="1"/>
  <c r="G414" i="1"/>
  <c r="H414" i="1" s="1"/>
  <c r="I414" i="1"/>
  <c r="G415" i="1"/>
  <c r="H415" i="1" s="1"/>
  <c r="I415" i="1"/>
  <c r="G416" i="1"/>
  <c r="H416" i="1" s="1"/>
  <c r="I416" i="1"/>
  <c r="E412" i="1"/>
  <c r="E413" i="1"/>
  <c r="E414" i="1"/>
  <c r="E415" i="1"/>
  <c r="E416" i="1"/>
  <c r="G408" i="1"/>
  <c r="I408" i="1"/>
  <c r="G409" i="1"/>
  <c r="H409" i="1" s="1"/>
  <c r="I409" i="1"/>
  <c r="G410" i="1"/>
  <c r="H410" i="1" s="1"/>
  <c r="I410" i="1"/>
  <c r="G411" i="1"/>
  <c r="I411" i="1"/>
  <c r="E408" i="1"/>
  <c r="E409" i="1"/>
  <c r="E410" i="1"/>
  <c r="E411" i="1"/>
  <c r="G397" i="1"/>
  <c r="H397" i="1" s="1"/>
  <c r="I397" i="1"/>
  <c r="G398" i="1"/>
  <c r="I398" i="1"/>
  <c r="G399" i="1"/>
  <c r="I399" i="1"/>
  <c r="G400" i="1"/>
  <c r="I400" i="1"/>
  <c r="G401" i="1"/>
  <c r="I401" i="1"/>
  <c r="G402" i="1"/>
  <c r="I402" i="1"/>
  <c r="G403" i="1"/>
  <c r="I403" i="1"/>
  <c r="G404" i="1"/>
  <c r="I404" i="1"/>
  <c r="G405" i="1"/>
  <c r="I405" i="1"/>
  <c r="G406" i="1"/>
  <c r="I406" i="1"/>
  <c r="G407" i="1"/>
  <c r="I407" i="1"/>
  <c r="E397" i="1"/>
  <c r="E398" i="1"/>
  <c r="E399" i="1"/>
  <c r="E400" i="1"/>
  <c r="E401" i="1"/>
  <c r="E402" i="1"/>
  <c r="E403" i="1"/>
  <c r="E404" i="1"/>
  <c r="E405" i="1"/>
  <c r="E406" i="1"/>
  <c r="E407" i="1"/>
  <c r="G382" i="1"/>
  <c r="I382" i="1"/>
  <c r="G383" i="1"/>
  <c r="I383" i="1"/>
  <c r="G384" i="1"/>
  <c r="I384" i="1"/>
  <c r="G385" i="1"/>
  <c r="I385" i="1"/>
  <c r="G386" i="1"/>
  <c r="I386" i="1"/>
  <c r="G387" i="1"/>
  <c r="I387" i="1"/>
  <c r="G388" i="1"/>
  <c r="I388" i="1"/>
  <c r="G389" i="1"/>
  <c r="I389" i="1"/>
  <c r="G390" i="1"/>
  <c r="I390" i="1"/>
  <c r="G391" i="1"/>
  <c r="I391" i="1"/>
  <c r="G392" i="1"/>
  <c r="I392" i="1"/>
  <c r="G393" i="1"/>
  <c r="I393" i="1"/>
  <c r="G394" i="1"/>
  <c r="I394" i="1"/>
  <c r="G395" i="1"/>
  <c r="I395" i="1"/>
  <c r="G396" i="1"/>
  <c r="I396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H396" i="1" s="1"/>
  <c r="V3" i="4"/>
  <c r="V4" i="4"/>
  <c r="E373" i="1"/>
  <c r="E372" i="1"/>
  <c r="E371" i="1"/>
  <c r="E370" i="1"/>
  <c r="E369" i="1"/>
  <c r="E368" i="1"/>
  <c r="E367" i="1"/>
  <c r="E366" i="1"/>
  <c r="E365" i="1"/>
  <c r="E364" i="1"/>
  <c r="G366" i="1"/>
  <c r="I366" i="1"/>
  <c r="G367" i="1"/>
  <c r="I367" i="1"/>
  <c r="G368" i="1"/>
  <c r="I368" i="1"/>
  <c r="G369" i="1"/>
  <c r="I369" i="1"/>
  <c r="G370" i="1"/>
  <c r="I370" i="1"/>
  <c r="G371" i="1"/>
  <c r="I371" i="1"/>
  <c r="G372" i="1"/>
  <c r="I372" i="1"/>
  <c r="G373" i="1"/>
  <c r="H373" i="1" s="1"/>
  <c r="I373" i="1"/>
  <c r="G374" i="1"/>
  <c r="I374" i="1"/>
  <c r="G375" i="1"/>
  <c r="I375" i="1"/>
  <c r="G376" i="1"/>
  <c r="I376" i="1"/>
  <c r="G377" i="1"/>
  <c r="H377" i="1" s="1"/>
  <c r="I377" i="1"/>
  <c r="G378" i="1"/>
  <c r="I378" i="1"/>
  <c r="G379" i="1"/>
  <c r="I379" i="1"/>
  <c r="G380" i="1"/>
  <c r="I380" i="1"/>
  <c r="G381" i="1"/>
  <c r="I381" i="1"/>
  <c r="E381" i="1"/>
  <c r="E374" i="1"/>
  <c r="E375" i="1"/>
  <c r="E376" i="1"/>
  <c r="E377" i="1"/>
  <c r="E378" i="1"/>
  <c r="E379" i="1"/>
  <c r="E380" i="1"/>
  <c r="G359" i="1"/>
  <c r="I359" i="1"/>
  <c r="G360" i="1"/>
  <c r="I360" i="1"/>
  <c r="G361" i="1"/>
  <c r="I361" i="1"/>
  <c r="G362" i="1"/>
  <c r="I362" i="1"/>
  <c r="G363" i="1"/>
  <c r="I363" i="1"/>
  <c r="G364" i="1"/>
  <c r="I364" i="1"/>
  <c r="G365" i="1"/>
  <c r="I365" i="1"/>
  <c r="E359" i="1"/>
  <c r="E360" i="1"/>
  <c r="E361" i="1"/>
  <c r="E362" i="1"/>
  <c r="E363" i="1"/>
  <c r="J415" i="1" l="1"/>
  <c r="J414" i="1"/>
  <c r="J413" i="1"/>
  <c r="J416" i="1"/>
  <c r="J412" i="1"/>
  <c r="H406" i="1"/>
  <c r="H402" i="1"/>
  <c r="H398" i="1"/>
  <c r="H411" i="1"/>
  <c r="H408" i="1"/>
  <c r="J408" i="1" s="1"/>
  <c r="J410" i="1"/>
  <c r="J409" i="1"/>
  <c r="H401" i="1"/>
  <c r="H405" i="1"/>
  <c r="J405" i="1" s="1"/>
  <c r="H404" i="1"/>
  <c r="H407" i="1"/>
  <c r="J407" i="1" s="1"/>
  <c r="H370" i="1"/>
  <c r="J370" i="1" s="1"/>
  <c r="J411" i="1"/>
  <c r="J406" i="1"/>
  <c r="H403" i="1"/>
  <c r="J403" i="1" s="1"/>
  <c r="H399" i="1"/>
  <c r="J399" i="1" s="1"/>
  <c r="H400" i="1"/>
  <c r="J400" i="1" s="1"/>
  <c r="J398" i="1"/>
  <c r="J404" i="1"/>
  <c r="J401" i="1"/>
  <c r="H378" i="1"/>
  <c r="J378" i="1" s="1"/>
  <c r="J402" i="1"/>
  <c r="H376" i="1"/>
  <c r="J376" i="1" s="1"/>
  <c r="H392" i="1"/>
  <c r="J392" i="1" s="1"/>
  <c r="H388" i="1"/>
  <c r="J388" i="1" s="1"/>
  <c r="H384" i="1"/>
  <c r="J384" i="1" s="1"/>
  <c r="J397" i="1"/>
  <c r="H389" i="1"/>
  <c r="J389" i="1" s="1"/>
  <c r="H395" i="1"/>
  <c r="J395" i="1" s="1"/>
  <c r="H387" i="1"/>
  <c r="J387" i="1" s="1"/>
  <c r="H380" i="1"/>
  <c r="J380" i="1" s="1"/>
  <c r="H366" i="1"/>
  <c r="J366" i="1" s="1"/>
  <c r="H394" i="1"/>
  <c r="J394" i="1" s="1"/>
  <c r="H390" i="1"/>
  <c r="J390" i="1" s="1"/>
  <c r="H386" i="1"/>
  <c r="J386" i="1" s="1"/>
  <c r="H382" i="1"/>
  <c r="J382" i="1" s="1"/>
  <c r="H385" i="1"/>
  <c r="J385" i="1" s="1"/>
  <c r="H391" i="1"/>
  <c r="J391" i="1" s="1"/>
  <c r="J396" i="1"/>
  <c r="H393" i="1"/>
  <c r="J393" i="1" s="1"/>
  <c r="H371" i="1"/>
  <c r="J371" i="1" s="1"/>
  <c r="H383" i="1"/>
  <c r="J383" i="1" s="1"/>
  <c r="H365" i="1"/>
  <c r="J365" i="1" s="1"/>
  <c r="H372" i="1"/>
  <c r="J372" i="1" s="1"/>
  <c r="H368" i="1"/>
  <c r="J368" i="1" s="1"/>
  <c r="H375" i="1"/>
  <c r="J375" i="1" s="1"/>
  <c r="H369" i="1"/>
  <c r="J369" i="1" s="1"/>
  <c r="H381" i="1"/>
  <c r="J381" i="1" s="1"/>
  <c r="H367" i="1"/>
  <c r="J367" i="1" s="1"/>
  <c r="H361" i="1"/>
  <c r="J361" i="1" s="1"/>
  <c r="H374" i="1"/>
  <c r="J374" i="1" s="1"/>
  <c r="H379" i="1"/>
  <c r="J379" i="1" s="1"/>
  <c r="V5" i="4"/>
  <c r="V6" i="4" s="1"/>
  <c r="J377" i="1"/>
  <c r="J373" i="1"/>
  <c r="H362" i="1"/>
  <c r="J362" i="1" s="1"/>
  <c r="H360" i="1"/>
  <c r="J360" i="1" s="1"/>
  <c r="H364" i="1"/>
  <c r="J364" i="1" s="1"/>
  <c r="H363" i="1"/>
  <c r="J363" i="1" s="1"/>
  <c r="H359" i="1"/>
  <c r="J359" i="1" s="1"/>
  <c r="I353" i="1" l="1"/>
  <c r="G358" i="1"/>
  <c r="G357" i="1"/>
  <c r="G356" i="1"/>
  <c r="H356" i="1" s="1"/>
  <c r="G355" i="1"/>
  <c r="G354" i="1"/>
  <c r="G353" i="1"/>
  <c r="E358" i="1"/>
  <c r="E357" i="1"/>
  <c r="E356" i="1"/>
  <c r="E355" i="1"/>
  <c r="E354" i="1"/>
  <c r="E353" i="1"/>
  <c r="I354" i="1"/>
  <c r="I355" i="1"/>
  <c r="I356" i="1"/>
  <c r="I357" i="1"/>
  <c r="I358" i="1"/>
  <c r="E349" i="1"/>
  <c r="E348" i="1"/>
  <c r="H348" i="1" s="1"/>
  <c r="E347" i="1"/>
  <c r="E346" i="1"/>
  <c r="E345" i="1"/>
  <c r="E344" i="1"/>
  <c r="E343" i="1"/>
  <c r="E342" i="1"/>
  <c r="E341" i="1"/>
  <c r="G341" i="1"/>
  <c r="H341" i="1" s="1"/>
  <c r="I341" i="1"/>
  <c r="G342" i="1"/>
  <c r="I342" i="1"/>
  <c r="G343" i="1"/>
  <c r="I343" i="1"/>
  <c r="G344" i="1"/>
  <c r="I344" i="1"/>
  <c r="G345" i="1"/>
  <c r="I345" i="1"/>
  <c r="G346" i="1"/>
  <c r="I346" i="1"/>
  <c r="G347" i="1"/>
  <c r="I347" i="1"/>
  <c r="G348" i="1"/>
  <c r="I348" i="1"/>
  <c r="G349" i="1"/>
  <c r="I349" i="1"/>
  <c r="G350" i="1"/>
  <c r="I350" i="1"/>
  <c r="G351" i="1"/>
  <c r="I351" i="1"/>
  <c r="G352" i="1"/>
  <c r="I352" i="1"/>
  <c r="E350" i="1"/>
  <c r="E351" i="1"/>
  <c r="E352" i="1"/>
  <c r="H346" i="1" l="1"/>
  <c r="H358" i="1"/>
  <c r="H342" i="1"/>
  <c r="H349" i="1"/>
  <c r="J349" i="1" s="1"/>
  <c r="H357" i="1"/>
  <c r="H350" i="1"/>
  <c r="J350" i="1" s="1"/>
  <c r="H354" i="1"/>
  <c r="J354" i="1" s="1"/>
  <c r="H344" i="1"/>
  <c r="J344" i="1" s="1"/>
  <c r="H351" i="1"/>
  <c r="J351" i="1" s="1"/>
  <c r="H353" i="1"/>
  <c r="J353" i="1" s="1"/>
  <c r="H355" i="1"/>
  <c r="J355" i="1"/>
  <c r="J356" i="1"/>
  <c r="J357" i="1"/>
  <c r="J358" i="1"/>
  <c r="H352" i="1"/>
  <c r="J352" i="1" s="1"/>
  <c r="H347" i="1"/>
  <c r="J347" i="1" s="1"/>
  <c r="H343" i="1"/>
  <c r="J343" i="1" s="1"/>
  <c r="H345" i="1"/>
  <c r="J345" i="1" s="1"/>
  <c r="J341" i="1"/>
  <c r="J342" i="1"/>
  <c r="J346" i="1"/>
  <c r="J348" i="1"/>
  <c r="G337" i="1" l="1"/>
  <c r="I337" i="1"/>
  <c r="G338" i="1"/>
  <c r="I338" i="1"/>
  <c r="G339" i="1"/>
  <c r="H339" i="1"/>
  <c r="I339" i="1"/>
  <c r="G340" i="1"/>
  <c r="I340" i="1"/>
  <c r="E337" i="1"/>
  <c r="E338" i="1"/>
  <c r="E339" i="1"/>
  <c r="E340" i="1"/>
  <c r="G325" i="1"/>
  <c r="I325" i="1"/>
  <c r="G326" i="1"/>
  <c r="I326" i="1"/>
  <c r="G327" i="1"/>
  <c r="I327" i="1"/>
  <c r="G328" i="1"/>
  <c r="I328" i="1"/>
  <c r="G329" i="1"/>
  <c r="I329" i="1"/>
  <c r="G330" i="1"/>
  <c r="I330" i="1"/>
  <c r="G331" i="1"/>
  <c r="I331" i="1"/>
  <c r="G332" i="1"/>
  <c r="I332" i="1"/>
  <c r="G333" i="1"/>
  <c r="I333" i="1"/>
  <c r="G334" i="1"/>
  <c r="I334" i="1"/>
  <c r="G335" i="1"/>
  <c r="I335" i="1"/>
  <c r="G336" i="1"/>
  <c r="I336" i="1"/>
  <c r="E325" i="1"/>
  <c r="E326" i="1"/>
  <c r="E327" i="1"/>
  <c r="E328" i="1"/>
  <c r="E329" i="1"/>
  <c r="E330" i="1"/>
  <c r="E331" i="1"/>
  <c r="E332" i="1"/>
  <c r="E333" i="1"/>
  <c r="H333" i="1" s="1"/>
  <c r="E334" i="1"/>
  <c r="E335" i="1"/>
  <c r="E336" i="1"/>
  <c r="G321" i="1"/>
  <c r="I321" i="1"/>
  <c r="G322" i="1"/>
  <c r="I322" i="1"/>
  <c r="G323" i="1"/>
  <c r="I323" i="1"/>
  <c r="G324" i="1"/>
  <c r="I324" i="1"/>
  <c r="E321" i="1"/>
  <c r="H321" i="1" s="1"/>
  <c r="E322" i="1"/>
  <c r="E323" i="1"/>
  <c r="E324" i="1"/>
  <c r="I320" i="1"/>
  <c r="I319" i="1"/>
  <c r="I318" i="1"/>
  <c r="I317" i="1"/>
  <c r="I316" i="1"/>
  <c r="I315" i="1"/>
  <c r="I314" i="1"/>
  <c r="I313" i="1"/>
  <c r="G320" i="1"/>
  <c r="G319" i="1"/>
  <c r="G318" i="1"/>
  <c r="G317" i="1"/>
  <c r="G316" i="1"/>
  <c r="G315" i="1"/>
  <c r="G314" i="1"/>
  <c r="G313" i="1"/>
  <c r="G312" i="1"/>
  <c r="E320" i="1"/>
  <c r="E319" i="1"/>
  <c r="E318" i="1"/>
  <c r="E317" i="1"/>
  <c r="E316" i="1"/>
  <c r="E315" i="1"/>
  <c r="E314" i="1"/>
  <c r="E313" i="1"/>
  <c r="E312" i="1"/>
  <c r="V8" i="4"/>
  <c r="E310" i="1"/>
  <c r="E309" i="1"/>
  <c r="E308" i="1"/>
  <c r="E307" i="1"/>
  <c r="G307" i="1"/>
  <c r="I307" i="1"/>
  <c r="G308" i="1"/>
  <c r="I308" i="1"/>
  <c r="G309" i="1"/>
  <c r="I309" i="1"/>
  <c r="G310" i="1"/>
  <c r="I310" i="1"/>
  <c r="G311" i="1"/>
  <c r="I311" i="1"/>
  <c r="I312" i="1"/>
  <c r="E311" i="1"/>
  <c r="H307" i="1" l="1"/>
  <c r="H314" i="1"/>
  <c r="H334" i="1"/>
  <c r="H340" i="1"/>
  <c r="H329" i="1"/>
  <c r="J329" i="1" s="1"/>
  <c r="H335" i="1"/>
  <c r="J335" i="1" s="1"/>
  <c r="H315" i="1"/>
  <c r="J315" i="1" s="1"/>
  <c r="J339" i="1"/>
  <c r="H336" i="1"/>
  <c r="J336" i="1" s="1"/>
  <c r="H332" i="1"/>
  <c r="J332" i="1" s="1"/>
  <c r="H331" i="1"/>
  <c r="H338" i="1"/>
  <c r="J338" i="1" s="1"/>
  <c r="H323" i="1"/>
  <c r="J323" i="1" s="1"/>
  <c r="J340" i="1"/>
  <c r="H328" i="1"/>
  <c r="J328" i="1" s="1"/>
  <c r="H337" i="1"/>
  <c r="J337" i="1" s="1"/>
  <c r="H310" i="1"/>
  <c r="J310" i="1" s="1"/>
  <c r="H330" i="1"/>
  <c r="J330" i="1" s="1"/>
  <c r="H326" i="1"/>
  <c r="J326" i="1" s="1"/>
  <c r="H327" i="1"/>
  <c r="J327" i="1" s="1"/>
  <c r="J331" i="1"/>
  <c r="J334" i="1"/>
  <c r="H322" i="1"/>
  <c r="J322" i="1" s="1"/>
  <c r="J333" i="1"/>
  <c r="H317" i="1"/>
  <c r="J317" i="1" s="1"/>
  <c r="H325" i="1"/>
  <c r="J325" i="1" s="1"/>
  <c r="H324" i="1"/>
  <c r="J324" i="1" s="1"/>
  <c r="H311" i="1"/>
  <c r="J311" i="1" s="1"/>
  <c r="J321" i="1"/>
  <c r="H318" i="1"/>
  <c r="J318" i="1" s="1"/>
  <c r="H319" i="1"/>
  <c r="J319" i="1" s="1"/>
  <c r="H312" i="1"/>
  <c r="J312" i="1" s="1"/>
  <c r="H313" i="1"/>
  <c r="J313" i="1" s="1"/>
  <c r="H316" i="1"/>
  <c r="J316" i="1" s="1"/>
  <c r="H320" i="1"/>
  <c r="J320" i="1" s="1"/>
  <c r="J314" i="1"/>
  <c r="H308" i="1"/>
  <c r="J308" i="1" s="1"/>
  <c r="H309" i="1"/>
  <c r="J309" i="1" s="1"/>
  <c r="J307" i="1"/>
  <c r="P3" i="5" l="1"/>
  <c r="P2" i="5"/>
  <c r="O3" i="5"/>
  <c r="O2" i="5"/>
  <c r="G303" i="4"/>
  <c r="I303" i="4"/>
  <c r="I306" i="1"/>
  <c r="I305" i="1"/>
  <c r="I304" i="1"/>
  <c r="I303" i="1"/>
  <c r="I302" i="1"/>
  <c r="G306" i="1"/>
  <c r="G305" i="1"/>
  <c r="G304" i="1"/>
  <c r="G303" i="1"/>
  <c r="G302" i="1"/>
  <c r="E303" i="1"/>
  <c r="E302" i="1"/>
  <c r="E304" i="1"/>
  <c r="E305" i="1"/>
  <c r="E306" i="1"/>
  <c r="H303" i="1" l="1"/>
  <c r="J303" i="1" s="1"/>
  <c r="H306" i="1"/>
  <c r="J306" i="1" s="1"/>
  <c r="H302" i="1"/>
  <c r="J302" i="1" s="1"/>
  <c r="H305" i="1"/>
  <c r="J305" i="1" s="1"/>
  <c r="H304" i="1"/>
  <c r="J304" i="1" s="1"/>
  <c r="G291" i="1" l="1"/>
  <c r="G289" i="1"/>
  <c r="E301" i="1"/>
  <c r="E300" i="1"/>
  <c r="E299" i="1"/>
  <c r="E298" i="1"/>
  <c r="E297" i="1"/>
  <c r="E296" i="1"/>
  <c r="E295" i="1"/>
  <c r="E294" i="1"/>
  <c r="E293" i="1"/>
  <c r="E292" i="1"/>
  <c r="E291" i="1"/>
  <c r="H291" i="1" s="1"/>
  <c r="E290" i="1"/>
  <c r="E289" i="1"/>
  <c r="I289" i="1"/>
  <c r="G290" i="1"/>
  <c r="I290" i="1"/>
  <c r="I291" i="1"/>
  <c r="G292" i="1"/>
  <c r="I292" i="1"/>
  <c r="G293" i="1"/>
  <c r="I293" i="1"/>
  <c r="G294" i="1"/>
  <c r="I294" i="1"/>
  <c r="G295" i="1"/>
  <c r="I295" i="1"/>
  <c r="G296" i="1"/>
  <c r="I296" i="1"/>
  <c r="G297" i="1"/>
  <c r="I297" i="1"/>
  <c r="G298" i="1"/>
  <c r="I298" i="1"/>
  <c r="G299" i="1"/>
  <c r="I299" i="1"/>
  <c r="G300" i="1"/>
  <c r="H300" i="1" s="1"/>
  <c r="I300" i="1"/>
  <c r="G301" i="1"/>
  <c r="I301" i="1"/>
  <c r="J4" i="5"/>
  <c r="L3" i="5"/>
  <c r="O4" i="5"/>
  <c r="I288" i="1"/>
  <c r="I287" i="1"/>
  <c r="I286" i="1"/>
  <c r="I285" i="1"/>
  <c r="G288" i="1"/>
  <c r="G287" i="1"/>
  <c r="G286" i="1"/>
  <c r="G285" i="1"/>
  <c r="G284" i="1"/>
  <c r="E288" i="1"/>
  <c r="E287" i="1"/>
  <c r="E286" i="1"/>
  <c r="E285" i="1"/>
  <c r="H294" i="1" l="1"/>
  <c r="H289" i="1"/>
  <c r="H292" i="1"/>
  <c r="H285" i="1"/>
  <c r="H286" i="1"/>
  <c r="J286" i="1" s="1"/>
  <c r="H299" i="1"/>
  <c r="J299" i="1" s="1"/>
  <c r="H297" i="1"/>
  <c r="J297" i="1" s="1"/>
  <c r="H296" i="1"/>
  <c r="J296" i="1" s="1"/>
  <c r="H293" i="1"/>
  <c r="J293" i="1" s="1"/>
  <c r="H301" i="1"/>
  <c r="J301" i="1" s="1"/>
  <c r="H298" i="1"/>
  <c r="J298" i="1" s="1"/>
  <c r="H290" i="1"/>
  <c r="J290" i="1" s="1"/>
  <c r="H295" i="1"/>
  <c r="J295" i="1" s="1"/>
  <c r="J289" i="1"/>
  <c r="J292" i="1"/>
  <c r="J294" i="1"/>
  <c r="J291" i="1"/>
  <c r="J300" i="1"/>
  <c r="H287" i="1"/>
  <c r="J287" i="1" s="1"/>
  <c r="H288" i="1"/>
  <c r="J288" i="1" s="1"/>
  <c r="J285" i="1"/>
  <c r="E278" i="1" l="1"/>
  <c r="E276" i="1"/>
  <c r="E275" i="1"/>
  <c r="G275" i="1"/>
  <c r="I275" i="1"/>
  <c r="G276" i="1"/>
  <c r="I276" i="1"/>
  <c r="G277" i="1"/>
  <c r="I277" i="1"/>
  <c r="G278" i="1"/>
  <c r="H278" i="1" s="1"/>
  <c r="I278" i="1"/>
  <c r="G279" i="1"/>
  <c r="I279" i="1"/>
  <c r="G280" i="1"/>
  <c r="I280" i="1"/>
  <c r="G281" i="1"/>
  <c r="I281" i="1"/>
  <c r="G282" i="1"/>
  <c r="I282" i="1"/>
  <c r="G283" i="1"/>
  <c r="I283" i="1"/>
  <c r="I284" i="1"/>
  <c r="E284" i="1"/>
  <c r="H284" i="1" s="1"/>
  <c r="E277" i="1"/>
  <c r="H277" i="1" s="1"/>
  <c r="E279" i="1"/>
  <c r="E280" i="1"/>
  <c r="E281" i="1"/>
  <c r="E282" i="1"/>
  <c r="E283" i="1"/>
  <c r="I274" i="1"/>
  <c r="I273" i="1"/>
  <c r="I272" i="1"/>
  <c r="I271" i="1"/>
  <c r="G274" i="1"/>
  <c r="G273" i="1"/>
  <c r="G272" i="1"/>
  <c r="G271" i="1"/>
  <c r="E273" i="1"/>
  <c r="E272" i="1"/>
  <c r="E271" i="1"/>
  <c r="E274" i="1"/>
  <c r="H281" i="1" l="1"/>
  <c r="H275" i="1"/>
  <c r="H279" i="1"/>
  <c r="J279" i="1" s="1"/>
  <c r="H282" i="1"/>
  <c r="J282" i="1" s="1"/>
  <c r="H271" i="1"/>
  <c r="J271" i="1" s="1"/>
  <c r="H272" i="1"/>
  <c r="J272" i="1" s="1"/>
  <c r="H273" i="1"/>
  <c r="J273" i="1" s="1"/>
  <c r="H274" i="1"/>
  <c r="J274" i="1" s="1"/>
  <c r="H283" i="1"/>
  <c r="J283" i="1" s="1"/>
  <c r="H280" i="1"/>
  <c r="J280" i="1" s="1"/>
  <c r="H276" i="1"/>
  <c r="J277" i="1"/>
  <c r="J281" i="1"/>
  <c r="J284" i="1"/>
  <c r="J276" i="1"/>
  <c r="J275" i="1"/>
  <c r="J278" i="1"/>
  <c r="E269" i="1" l="1"/>
  <c r="E268" i="1"/>
  <c r="E267" i="1"/>
  <c r="E266" i="1"/>
  <c r="E265" i="1"/>
  <c r="E264" i="1"/>
  <c r="E263" i="1"/>
  <c r="E262" i="1"/>
  <c r="H262" i="1" s="1"/>
  <c r="E261" i="1"/>
  <c r="G262" i="1"/>
  <c r="I262" i="1"/>
  <c r="G263" i="1"/>
  <c r="I263" i="1"/>
  <c r="G264" i="1"/>
  <c r="I264" i="1"/>
  <c r="G265" i="1"/>
  <c r="I265" i="1"/>
  <c r="G266" i="1"/>
  <c r="I266" i="1"/>
  <c r="G267" i="1"/>
  <c r="I267" i="1"/>
  <c r="G268" i="1"/>
  <c r="I268" i="1"/>
  <c r="G269" i="1"/>
  <c r="I269" i="1"/>
  <c r="G270" i="1"/>
  <c r="I270" i="1"/>
  <c r="E270" i="1"/>
  <c r="I259" i="1"/>
  <c r="I261" i="1"/>
  <c r="I260" i="1"/>
  <c r="I258" i="1"/>
  <c r="G261" i="1"/>
  <c r="H261" i="1" s="1"/>
  <c r="G260" i="1"/>
  <c r="G259" i="1"/>
  <c r="G258" i="1"/>
  <c r="E260" i="1"/>
  <c r="E259" i="1"/>
  <c r="E258" i="1"/>
  <c r="R2" i="5"/>
  <c r="R3" i="5"/>
  <c r="R4" i="5"/>
  <c r="R5" i="5"/>
  <c r="R6" i="5"/>
  <c r="R7" i="5"/>
  <c r="R8" i="5"/>
  <c r="R9" i="5"/>
  <c r="R10" i="5"/>
  <c r="R11" i="5"/>
  <c r="R12" i="5"/>
  <c r="R13" i="5"/>
  <c r="R14" i="5"/>
  <c r="R15" i="5"/>
  <c r="R16" i="5"/>
  <c r="R17" i="5"/>
  <c r="R18" i="5"/>
  <c r="R19" i="5"/>
  <c r="R20" i="5"/>
  <c r="R21" i="5"/>
  <c r="R22" i="5"/>
  <c r="R23" i="5"/>
  <c r="R24" i="5"/>
  <c r="R25" i="5"/>
  <c r="R26" i="5"/>
  <c r="R27" i="5"/>
  <c r="R28" i="5"/>
  <c r="R29" i="5"/>
  <c r="R30" i="5"/>
  <c r="R31" i="5"/>
  <c r="R32" i="5"/>
  <c r="R33" i="5"/>
  <c r="Q2" i="5"/>
  <c r="Q3" i="5"/>
  <c r="Q4" i="5"/>
  <c r="Q5" i="5"/>
  <c r="Q6" i="5"/>
  <c r="Q7" i="5"/>
  <c r="Q8" i="5"/>
  <c r="Q9" i="5"/>
  <c r="Q10" i="5"/>
  <c r="Q11" i="5"/>
  <c r="Q12" i="5"/>
  <c r="Q13" i="5"/>
  <c r="Q14" i="5"/>
  <c r="Q15" i="5"/>
  <c r="Q16" i="5"/>
  <c r="Q17" i="5"/>
  <c r="Q18" i="5"/>
  <c r="Q19" i="5"/>
  <c r="Q20" i="5"/>
  <c r="Q21" i="5"/>
  <c r="Q22" i="5"/>
  <c r="Q23" i="5"/>
  <c r="Q24" i="5"/>
  <c r="Q25" i="5"/>
  <c r="Q26" i="5"/>
  <c r="Q27" i="5"/>
  <c r="Q28" i="5"/>
  <c r="Q29" i="5"/>
  <c r="Q30" i="5"/>
  <c r="Q31" i="5"/>
  <c r="Q32" i="5"/>
  <c r="Q33" i="5"/>
  <c r="P4" i="5"/>
  <c r="P5" i="5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23" i="5"/>
  <c r="P24" i="5"/>
  <c r="P25" i="5"/>
  <c r="P26" i="5"/>
  <c r="P27" i="5"/>
  <c r="P28" i="5"/>
  <c r="P29" i="5"/>
  <c r="P30" i="5"/>
  <c r="P31" i="5"/>
  <c r="P32" i="5"/>
  <c r="P33" i="5"/>
  <c r="O5" i="5"/>
  <c r="O6" i="5"/>
  <c r="O7" i="5"/>
  <c r="O8" i="5"/>
  <c r="O9" i="5"/>
  <c r="O10" i="5"/>
  <c r="O11" i="5"/>
  <c r="O12" i="5"/>
  <c r="O13" i="5"/>
  <c r="O14" i="5"/>
  <c r="O15" i="5"/>
  <c r="O16" i="5"/>
  <c r="O17" i="5"/>
  <c r="O18" i="5"/>
  <c r="O19" i="5"/>
  <c r="O20" i="5"/>
  <c r="O21" i="5"/>
  <c r="O22" i="5"/>
  <c r="O23" i="5"/>
  <c r="O24" i="5"/>
  <c r="O25" i="5"/>
  <c r="O26" i="5"/>
  <c r="O27" i="5"/>
  <c r="O28" i="5"/>
  <c r="O29" i="5"/>
  <c r="O30" i="5"/>
  <c r="O31" i="5"/>
  <c r="O32" i="5"/>
  <c r="O33" i="5"/>
  <c r="I257" i="1"/>
  <c r="I256" i="1"/>
  <c r="I255" i="1"/>
  <c r="I254" i="1"/>
  <c r="I253" i="1"/>
  <c r="I252" i="1"/>
  <c r="I251" i="1"/>
  <c r="I250" i="1"/>
  <c r="I249" i="1"/>
  <c r="I248" i="1"/>
  <c r="G257" i="1"/>
  <c r="G256" i="1"/>
  <c r="G255" i="1"/>
  <c r="G254" i="1"/>
  <c r="G253" i="1"/>
  <c r="G252" i="1"/>
  <c r="G251" i="1"/>
  <c r="G250" i="1"/>
  <c r="E256" i="1"/>
  <c r="E255" i="1"/>
  <c r="E254" i="1"/>
  <c r="E253" i="1"/>
  <c r="E252" i="1"/>
  <c r="E251" i="1"/>
  <c r="E250" i="1"/>
  <c r="E257" i="1"/>
  <c r="G248" i="1"/>
  <c r="G247" i="1"/>
  <c r="G245" i="1"/>
  <c r="G244" i="1"/>
  <c r="G243" i="1"/>
  <c r="G242" i="1"/>
  <c r="G241" i="1"/>
  <c r="G240" i="1"/>
  <c r="G239" i="1"/>
  <c r="G238" i="1"/>
  <c r="G237" i="1"/>
  <c r="I237" i="1"/>
  <c r="I238" i="1"/>
  <c r="I239" i="1"/>
  <c r="I240" i="1"/>
  <c r="I241" i="1"/>
  <c r="I242" i="1"/>
  <c r="I243" i="1"/>
  <c r="I244" i="1"/>
  <c r="I245" i="1"/>
  <c r="G246" i="1"/>
  <c r="I246" i="1"/>
  <c r="I247" i="1"/>
  <c r="G249" i="1"/>
  <c r="E242" i="1"/>
  <c r="E241" i="1"/>
  <c r="E240" i="1"/>
  <c r="E239" i="1"/>
  <c r="E238" i="1"/>
  <c r="E237" i="1"/>
  <c r="E243" i="1"/>
  <c r="E244" i="1"/>
  <c r="E245" i="1"/>
  <c r="E246" i="1"/>
  <c r="E247" i="1"/>
  <c r="E248" i="1"/>
  <c r="E249" i="1"/>
  <c r="H270" i="1" l="1"/>
  <c r="H239" i="1"/>
  <c r="H253" i="1"/>
  <c r="H265" i="1"/>
  <c r="J265" i="1" s="1"/>
  <c r="H258" i="1"/>
  <c r="J258" i="1" s="1"/>
  <c r="H263" i="1"/>
  <c r="J263" i="1" s="1"/>
  <c r="H268" i="1"/>
  <c r="J268" i="1" s="1"/>
  <c r="H266" i="1"/>
  <c r="J266" i="1" s="1"/>
  <c r="H255" i="1"/>
  <c r="J255" i="1" s="1"/>
  <c r="H264" i="1"/>
  <c r="J264" i="1" s="1"/>
  <c r="H267" i="1"/>
  <c r="J267" i="1" s="1"/>
  <c r="H257" i="1"/>
  <c r="J257" i="1" s="1"/>
  <c r="H237" i="1"/>
  <c r="J237" i="1" s="1"/>
  <c r="H241" i="1"/>
  <c r="J241" i="1" s="1"/>
  <c r="H251" i="1"/>
  <c r="J251" i="1" s="1"/>
  <c r="H243" i="1"/>
  <c r="J243" i="1" s="1"/>
  <c r="H259" i="1"/>
  <c r="J259" i="1" s="1"/>
  <c r="H254" i="1"/>
  <c r="J254" i="1" s="1"/>
  <c r="H260" i="1"/>
  <c r="J260" i="1" s="1"/>
  <c r="H269" i="1"/>
  <c r="J269" i="1" s="1"/>
  <c r="H256" i="1"/>
  <c r="J256" i="1" s="1"/>
  <c r="J262" i="1"/>
  <c r="J270" i="1"/>
  <c r="H252" i="1"/>
  <c r="J252" i="1" s="1"/>
  <c r="H245" i="1"/>
  <c r="J245" i="1" s="1"/>
  <c r="H242" i="1"/>
  <c r="J242" i="1" s="1"/>
  <c r="H238" i="1"/>
  <c r="J238" i="1" s="1"/>
  <c r="H249" i="1"/>
  <c r="J249" i="1" s="1"/>
  <c r="H248" i="1"/>
  <c r="J248" i="1" s="1"/>
  <c r="H240" i="1"/>
  <c r="J240" i="1" s="1"/>
  <c r="J261" i="1"/>
  <c r="H244" i="1"/>
  <c r="J244" i="1" s="1"/>
  <c r="H250" i="1"/>
  <c r="J250" i="1" s="1"/>
  <c r="H246" i="1"/>
  <c r="J246" i="1" s="1"/>
  <c r="H247" i="1"/>
  <c r="J247" i="1" s="1"/>
  <c r="J253" i="1"/>
  <c r="J239" i="1"/>
  <c r="I236" i="1" l="1"/>
  <c r="I235" i="1"/>
  <c r="I234" i="1"/>
  <c r="I233" i="1"/>
  <c r="I232" i="1"/>
  <c r="E236" i="1"/>
  <c r="E235" i="1"/>
  <c r="E234" i="1"/>
  <c r="E233" i="1"/>
  <c r="E232" i="1"/>
  <c r="G236" i="1"/>
  <c r="G235" i="1"/>
  <c r="G234" i="1"/>
  <c r="G233" i="1"/>
  <c r="H233" i="1" s="1"/>
  <c r="I225" i="1"/>
  <c r="I224" i="1"/>
  <c r="I223" i="1"/>
  <c r="G232" i="1"/>
  <c r="H232" i="1" s="1"/>
  <c r="G231" i="1"/>
  <c r="G230" i="1"/>
  <c r="G229" i="1"/>
  <c r="G228" i="1"/>
  <c r="G227" i="1"/>
  <c r="G226" i="1"/>
  <c r="G225" i="1"/>
  <c r="G224" i="1"/>
  <c r="G223" i="1"/>
  <c r="E231" i="1"/>
  <c r="E230" i="1"/>
  <c r="E229" i="1"/>
  <c r="E228" i="1"/>
  <c r="E227" i="1"/>
  <c r="E226" i="1"/>
  <c r="E225" i="1"/>
  <c r="E224" i="1"/>
  <c r="I226" i="1"/>
  <c r="I227" i="1"/>
  <c r="I228" i="1"/>
  <c r="I229" i="1"/>
  <c r="I230" i="1"/>
  <c r="I231" i="1"/>
  <c r="G20" i="5"/>
  <c r="G219" i="1"/>
  <c r="I219" i="1"/>
  <c r="G220" i="1"/>
  <c r="I220" i="1"/>
  <c r="G221" i="1"/>
  <c r="I221" i="1"/>
  <c r="G222" i="1"/>
  <c r="I222" i="1"/>
  <c r="E219" i="1"/>
  <c r="E220" i="1"/>
  <c r="E221" i="1"/>
  <c r="E222" i="1"/>
  <c r="E223" i="1"/>
  <c r="G205" i="1"/>
  <c r="I205" i="1"/>
  <c r="G206" i="1"/>
  <c r="I206" i="1"/>
  <c r="G207" i="1"/>
  <c r="I207" i="1"/>
  <c r="G208" i="1"/>
  <c r="I208" i="1"/>
  <c r="G209" i="1"/>
  <c r="I209" i="1"/>
  <c r="G210" i="1"/>
  <c r="I210" i="1"/>
  <c r="G211" i="1"/>
  <c r="I211" i="1"/>
  <c r="G212" i="1"/>
  <c r="I212" i="1"/>
  <c r="G213" i="1"/>
  <c r="I213" i="1"/>
  <c r="G214" i="1"/>
  <c r="I214" i="1"/>
  <c r="G215" i="1"/>
  <c r="I215" i="1"/>
  <c r="G216" i="1"/>
  <c r="I216" i="1"/>
  <c r="G217" i="1"/>
  <c r="I217" i="1"/>
  <c r="G218" i="1"/>
  <c r="I218" i="1"/>
  <c r="E217" i="1"/>
  <c r="E218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G200" i="1"/>
  <c r="I200" i="1"/>
  <c r="G201" i="1"/>
  <c r="I201" i="1"/>
  <c r="G202" i="1"/>
  <c r="I202" i="1"/>
  <c r="G203" i="1"/>
  <c r="I203" i="1"/>
  <c r="G204" i="1"/>
  <c r="I204" i="1"/>
  <c r="E200" i="1"/>
  <c r="E201" i="1"/>
  <c r="E202" i="1"/>
  <c r="E203" i="1"/>
  <c r="E204" i="1"/>
  <c r="G184" i="1"/>
  <c r="I184" i="1"/>
  <c r="G185" i="1"/>
  <c r="I185" i="1"/>
  <c r="G186" i="1"/>
  <c r="I186" i="1"/>
  <c r="G187" i="1"/>
  <c r="I187" i="1"/>
  <c r="G188" i="1"/>
  <c r="I188" i="1"/>
  <c r="G189" i="1"/>
  <c r="I189" i="1"/>
  <c r="G190" i="1"/>
  <c r="I190" i="1"/>
  <c r="G191" i="1"/>
  <c r="I191" i="1"/>
  <c r="G192" i="1"/>
  <c r="I192" i="1"/>
  <c r="G193" i="1"/>
  <c r="I193" i="1"/>
  <c r="G194" i="1"/>
  <c r="I194" i="1"/>
  <c r="G195" i="1"/>
  <c r="I195" i="1"/>
  <c r="G196" i="1"/>
  <c r="I196" i="1"/>
  <c r="G197" i="1"/>
  <c r="I197" i="1"/>
  <c r="G198" i="1"/>
  <c r="I198" i="1"/>
  <c r="G199" i="1"/>
  <c r="I199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G173" i="1"/>
  <c r="I173" i="1"/>
  <c r="G174" i="1"/>
  <c r="I174" i="1"/>
  <c r="G175" i="1"/>
  <c r="I175" i="1"/>
  <c r="G176" i="1"/>
  <c r="I176" i="1"/>
  <c r="G177" i="1"/>
  <c r="I177" i="1"/>
  <c r="G178" i="1"/>
  <c r="I178" i="1"/>
  <c r="G179" i="1"/>
  <c r="I179" i="1"/>
  <c r="G180" i="1"/>
  <c r="I180" i="1"/>
  <c r="G181" i="1"/>
  <c r="I181" i="1"/>
  <c r="G182" i="1"/>
  <c r="I182" i="1"/>
  <c r="G183" i="1"/>
  <c r="I183" i="1"/>
  <c r="E173" i="1"/>
  <c r="E174" i="1"/>
  <c r="E175" i="1"/>
  <c r="E176" i="1"/>
  <c r="E177" i="1"/>
  <c r="E178" i="1"/>
  <c r="E179" i="1"/>
  <c r="E180" i="1"/>
  <c r="E181" i="1"/>
  <c r="E182" i="1"/>
  <c r="E183" i="1"/>
  <c r="G156" i="1"/>
  <c r="I156" i="1"/>
  <c r="G157" i="1"/>
  <c r="I157" i="1"/>
  <c r="G158" i="1"/>
  <c r="I158" i="1"/>
  <c r="G159" i="1"/>
  <c r="I159" i="1"/>
  <c r="G160" i="1"/>
  <c r="I160" i="1"/>
  <c r="G161" i="1"/>
  <c r="I161" i="1"/>
  <c r="G162" i="1"/>
  <c r="I162" i="1"/>
  <c r="G163" i="1"/>
  <c r="I163" i="1"/>
  <c r="G164" i="1"/>
  <c r="I164" i="1"/>
  <c r="G165" i="1"/>
  <c r="I165" i="1"/>
  <c r="G166" i="1"/>
  <c r="I166" i="1"/>
  <c r="G167" i="1"/>
  <c r="I167" i="1"/>
  <c r="G168" i="1"/>
  <c r="I168" i="1"/>
  <c r="G169" i="1"/>
  <c r="I169" i="1"/>
  <c r="G170" i="1"/>
  <c r="I170" i="1"/>
  <c r="G171" i="1"/>
  <c r="I171" i="1"/>
  <c r="G172" i="1"/>
  <c r="I172" i="1"/>
  <c r="E156" i="1"/>
  <c r="E157" i="1"/>
  <c r="E158" i="1"/>
  <c r="E159" i="1"/>
  <c r="E160" i="1"/>
  <c r="E161" i="1"/>
  <c r="E162" i="1"/>
  <c r="E163" i="1"/>
  <c r="E164" i="1"/>
  <c r="E165" i="1"/>
  <c r="E166" i="1"/>
  <c r="H166" i="1" s="1"/>
  <c r="E167" i="1"/>
  <c r="E168" i="1"/>
  <c r="E169" i="1"/>
  <c r="E170" i="1"/>
  <c r="E171" i="1"/>
  <c r="E172" i="1"/>
  <c r="G154" i="1"/>
  <c r="I154" i="1"/>
  <c r="G155" i="1"/>
  <c r="I155" i="1"/>
  <c r="E154" i="1"/>
  <c r="E155" i="1"/>
  <c r="G146" i="1"/>
  <c r="I146" i="1"/>
  <c r="G147" i="1"/>
  <c r="I147" i="1"/>
  <c r="G148" i="1"/>
  <c r="I148" i="1"/>
  <c r="G149" i="1"/>
  <c r="I149" i="1"/>
  <c r="G150" i="1"/>
  <c r="I150" i="1"/>
  <c r="G151" i="1"/>
  <c r="I151" i="1"/>
  <c r="G152" i="1"/>
  <c r="I152" i="1"/>
  <c r="G153" i="1"/>
  <c r="I153" i="1"/>
  <c r="E146" i="1"/>
  <c r="E147" i="1"/>
  <c r="E148" i="1"/>
  <c r="E149" i="1"/>
  <c r="E150" i="1"/>
  <c r="E151" i="1"/>
  <c r="E152" i="1"/>
  <c r="E153" i="1"/>
  <c r="G132" i="1"/>
  <c r="I132" i="1"/>
  <c r="G133" i="1"/>
  <c r="I133" i="1"/>
  <c r="G134" i="1"/>
  <c r="I134" i="1"/>
  <c r="G135" i="1"/>
  <c r="I135" i="1"/>
  <c r="G136" i="1"/>
  <c r="I136" i="1"/>
  <c r="G137" i="1"/>
  <c r="I137" i="1"/>
  <c r="G138" i="1"/>
  <c r="I138" i="1"/>
  <c r="G139" i="1"/>
  <c r="I139" i="1"/>
  <c r="G140" i="1"/>
  <c r="I140" i="1"/>
  <c r="G141" i="1"/>
  <c r="I141" i="1"/>
  <c r="G142" i="1"/>
  <c r="I142" i="1"/>
  <c r="G143" i="1"/>
  <c r="I143" i="1"/>
  <c r="G144" i="1"/>
  <c r="I144" i="1"/>
  <c r="G145" i="1"/>
  <c r="I145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I129" i="1"/>
  <c r="I130" i="1"/>
  <c r="I131" i="1"/>
  <c r="G131" i="1"/>
  <c r="G129" i="1"/>
  <c r="G130" i="1"/>
  <c r="E129" i="1"/>
  <c r="E130" i="1"/>
  <c r="E131" i="1"/>
  <c r="G117" i="1"/>
  <c r="I117" i="1"/>
  <c r="G118" i="1"/>
  <c r="I118" i="1"/>
  <c r="G119" i="1"/>
  <c r="I119" i="1"/>
  <c r="G120" i="1"/>
  <c r="I120" i="1"/>
  <c r="G121" i="1"/>
  <c r="I121" i="1"/>
  <c r="G122" i="1"/>
  <c r="I122" i="1"/>
  <c r="G123" i="1"/>
  <c r="I123" i="1"/>
  <c r="G124" i="1"/>
  <c r="I124" i="1"/>
  <c r="G125" i="1"/>
  <c r="I125" i="1"/>
  <c r="G126" i="1"/>
  <c r="I126" i="1"/>
  <c r="G127" i="1"/>
  <c r="I127" i="1"/>
  <c r="G128" i="1"/>
  <c r="I128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G114" i="1"/>
  <c r="I114" i="1"/>
  <c r="G115" i="1"/>
  <c r="I115" i="1"/>
  <c r="G116" i="1"/>
  <c r="I116" i="1"/>
  <c r="E114" i="1"/>
  <c r="E115" i="1"/>
  <c r="E116" i="1"/>
  <c r="G104" i="1"/>
  <c r="I104" i="1"/>
  <c r="G105" i="1"/>
  <c r="I105" i="1"/>
  <c r="G106" i="1"/>
  <c r="I106" i="1"/>
  <c r="G107" i="1"/>
  <c r="I107" i="1"/>
  <c r="G108" i="1"/>
  <c r="I108" i="1"/>
  <c r="G109" i="1"/>
  <c r="I109" i="1"/>
  <c r="G110" i="1"/>
  <c r="I110" i="1"/>
  <c r="G111" i="1"/>
  <c r="I111" i="1"/>
  <c r="G112" i="1"/>
  <c r="I112" i="1"/>
  <c r="G113" i="1"/>
  <c r="I113" i="1"/>
  <c r="E104" i="1"/>
  <c r="E105" i="1"/>
  <c r="E106" i="1"/>
  <c r="E107" i="1"/>
  <c r="E108" i="1"/>
  <c r="E109" i="1"/>
  <c r="E110" i="1"/>
  <c r="E111" i="1"/>
  <c r="E112" i="1"/>
  <c r="E113" i="1"/>
  <c r="G99" i="1"/>
  <c r="I99" i="1"/>
  <c r="G100" i="1"/>
  <c r="I100" i="1"/>
  <c r="G101" i="1"/>
  <c r="I101" i="1"/>
  <c r="G102" i="1"/>
  <c r="I102" i="1"/>
  <c r="G103" i="1"/>
  <c r="I103" i="1"/>
  <c r="E99" i="1"/>
  <c r="E100" i="1"/>
  <c r="E101" i="1"/>
  <c r="E102" i="1"/>
  <c r="E103" i="1"/>
  <c r="G95" i="1"/>
  <c r="I95" i="1"/>
  <c r="G96" i="1"/>
  <c r="I96" i="1"/>
  <c r="G97" i="1"/>
  <c r="I97" i="1"/>
  <c r="G98" i="1"/>
  <c r="I98" i="1"/>
  <c r="E95" i="1"/>
  <c r="E96" i="1"/>
  <c r="E97" i="1"/>
  <c r="E98" i="1"/>
  <c r="G82" i="1"/>
  <c r="I82" i="1"/>
  <c r="G83" i="1"/>
  <c r="I83" i="1"/>
  <c r="G84" i="1"/>
  <c r="I84" i="1"/>
  <c r="G85" i="1"/>
  <c r="I85" i="1"/>
  <c r="G86" i="1"/>
  <c r="I86" i="1"/>
  <c r="G87" i="1"/>
  <c r="I87" i="1"/>
  <c r="G88" i="1"/>
  <c r="I88" i="1"/>
  <c r="G89" i="1"/>
  <c r="I89" i="1"/>
  <c r="G90" i="1"/>
  <c r="I90" i="1"/>
  <c r="G91" i="1"/>
  <c r="H91" i="1" s="1"/>
  <c r="I91" i="1"/>
  <c r="G92" i="1"/>
  <c r="I92" i="1"/>
  <c r="G93" i="1"/>
  <c r="I93" i="1"/>
  <c r="G94" i="1"/>
  <c r="I94" i="1"/>
  <c r="E88" i="1"/>
  <c r="E89" i="1"/>
  <c r="E90" i="1"/>
  <c r="E91" i="1"/>
  <c r="E92" i="1"/>
  <c r="E93" i="1"/>
  <c r="E94" i="1"/>
  <c r="E82" i="1"/>
  <c r="E83" i="1"/>
  <c r="E84" i="1"/>
  <c r="E85" i="1"/>
  <c r="E86" i="1"/>
  <c r="E87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G66" i="1"/>
  <c r="G67" i="1"/>
  <c r="G68" i="1"/>
  <c r="G69" i="1"/>
  <c r="G70" i="1"/>
  <c r="G71" i="1"/>
  <c r="G72" i="1"/>
  <c r="G73" i="1"/>
  <c r="G74" i="1"/>
  <c r="G75" i="1"/>
  <c r="G76" i="1"/>
  <c r="H76" i="1" s="1"/>
  <c r="G77" i="1"/>
  <c r="G78" i="1"/>
  <c r="G79" i="1"/>
  <c r="G80" i="1"/>
  <c r="G81" i="1"/>
  <c r="E81" i="1"/>
  <c r="E80" i="1"/>
  <c r="E79" i="1"/>
  <c r="E78" i="1"/>
  <c r="E66" i="1"/>
  <c r="E67" i="1"/>
  <c r="E68" i="1"/>
  <c r="E69" i="1"/>
  <c r="E70" i="1"/>
  <c r="E71" i="1"/>
  <c r="E72" i="1"/>
  <c r="E73" i="1"/>
  <c r="E74" i="1"/>
  <c r="E75" i="1"/>
  <c r="E76" i="1"/>
  <c r="E77" i="1"/>
  <c r="L2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I2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K2" i="5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H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J2" i="5"/>
  <c r="J3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G2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E4" i="5"/>
  <c r="E3" i="5"/>
  <c r="E2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" i="5"/>
  <c r="C2" i="5"/>
  <c r="I63" i="1"/>
  <c r="I64" i="1"/>
  <c r="I65" i="1"/>
  <c r="G63" i="1"/>
  <c r="G64" i="1"/>
  <c r="G65" i="1"/>
  <c r="E63" i="1"/>
  <c r="E64" i="1"/>
  <c r="E65" i="1"/>
  <c r="I1313" i="4"/>
  <c r="I1312" i="4"/>
  <c r="I1311" i="4"/>
  <c r="I1310" i="4"/>
  <c r="I1309" i="4"/>
  <c r="I1308" i="4"/>
  <c r="I1307" i="4"/>
  <c r="I1306" i="4"/>
  <c r="I1305" i="4"/>
  <c r="I1304" i="4"/>
  <c r="I1303" i="4"/>
  <c r="I1302" i="4"/>
  <c r="I1301" i="4"/>
  <c r="I1300" i="4"/>
  <c r="I1299" i="4"/>
  <c r="I1298" i="4"/>
  <c r="I1297" i="4"/>
  <c r="I1296" i="4"/>
  <c r="I1295" i="4"/>
  <c r="I1294" i="4"/>
  <c r="I1293" i="4"/>
  <c r="I1292" i="4"/>
  <c r="I1291" i="4"/>
  <c r="I1290" i="4"/>
  <c r="I1289" i="4"/>
  <c r="I1288" i="4"/>
  <c r="I1287" i="4"/>
  <c r="I1286" i="4"/>
  <c r="I1285" i="4"/>
  <c r="I1284" i="4"/>
  <c r="I1283" i="4"/>
  <c r="I1282" i="4"/>
  <c r="I1281" i="4"/>
  <c r="I1280" i="4"/>
  <c r="I1279" i="4"/>
  <c r="I1278" i="4"/>
  <c r="I1277" i="4"/>
  <c r="I1276" i="4"/>
  <c r="I1275" i="4"/>
  <c r="I1274" i="4"/>
  <c r="I1273" i="4"/>
  <c r="I1272" i="4"/>
  <c r="I1271" i="4"/>
  <c r="I1270" i="4"/>
  <c r="I1269" i="4"/>
  <c r="I1268" i="4"/>
  <c r="I1267" i="4"/>
  <c r="I1266" i="4"/>
  <c r="I1265" i="4"/>
  <c r="I1264" i="4"/>
  <c r="I1263" i="4"/>
  <c r="I1262" i="4"/>
  <c r="I1261" i="4"/>
  <c r="I1260" i="4"/>
  <c r="I1259" i="4"/>
  <c r="I1258" i="4"/>
  <c r="I1257" i="4"/>
  <c r="I1256" i="4"/>
  <c r="I1255" i="4"/>
  <c r="I1254" i="4"/>
  <c r="I1253" i="4"/>
  <c r="I1252" i="4"/>
  <c r="I1251" i="4"/>
  <c r="I1250" i="4"/>
  <c r="I1249" i="4"/>
  <c r="I1248" i="4"/>
  <c r="I1247" i="4"/>
  <c r="I1246" i="4"/>
  <c r="I1245" i="4"/>
  <c r="I1244" i="4"/>
  <c r="I1243" i="4"/>
  <c r="I1242" i="4"/>
  <c r="I1241" i="4"/>
  <c r="I1240" i="4"/>
  <c r="I1239" i="4"/>
  <c r="I1238" i="4"/>
  <c r="I1237" i="4"/>
  <c r="I1236" i="4"/>
  <c r="I1235" i="4"/>
  <c r="I1234" i="4"/>
  <c r="I1233" i="4"/>
  <c r="I1232" i="4"/>
  <c r="I1231" i="4"/>
  <c r="I1230" i="4"/>
  <c r="I1229" i="4"/>
  <c r="I1228" i="4"/>
  <c r="I1227" i="4"/>
  <c r="I1226" i="4"/>
  <c r="I1225" i="4"/>
  <c r="I1224" i="4"/>
  <c r="I1223" i="4"/>
  <c r="I1222" i="4"/>
  <c r="I1221" i="4"/>
  <c r="I1220" i="4"/>
  <c r="I1219" i="4"/>
  <c r="I1218" i="4"/>
  <c r="I1217" i="4"/>
  <c r="I1216" i="4"/>
  <c r="I1215" i="4"/>
  <c r="I1214" i="4"/>
  <c r="I1213" i="4"/>
  <c r="I1212" i="4"/>
  <c r="I1211" i="4"/>
  <c r="I1210" i="4"/>
  <c r="I1209" i="4"/>
  <c r="I1208" i="4"/>
  <c r="I1207" i="4"/>
  <c r="I1206" i="4"/>
  <c r="I1205" i="4"/>
  <c r="I1204" i="4"/>
  <c r="I1203" i="4"/>
  <c r="I1202" i="4"/>
  <c r="I1201" i="4"/>
  <c r="I1200" i="4"/>
  <c r="I1199" i="4"/>
  <c r="I1198" i="4"/>
  <c r="I1197" i="4"/>
  <c r="I1196" i="4"/>
  <c r="I1195" i="4"/>
  <c r="I1194" i="4"/>
  <c r="I1193" i="4"/>
  <c r="I1192" i="4"/>
  <c r="I1191" i="4"/>
  <c r="I1190" i="4"/>
  <c r="I1189" i="4"/>
  <c r="I1188" i="4"/>
  <c r="I1187" i="4"/>
  <c r="I1186" i="4"/>
  <c r="I1185" i="4"/>
  <c r="I1184" i="4"/>
  <c r="I1183" i="4"/>
  <c r="I1182" i="4"/>
  <c r="I1181" i="4"/>
  <c r="I1180" i="4"/>
  <c r="I1179" i="4"/>
  <c r="I1178" i="4"/>
  <c r="I1177" i="4"/>
  <c r="I1176" i="4"/>
  <c r="I1175" i="4"/>
  <c r="I1174" i="4"/>
  <c r="I1173" i="4"/>
  <c r="I1172" i="4"/>
  <c r="I1171" i="4"/>
  <c r="I1170" i="4"/>
  <c r="I1169" i="4"/>
  <c r="I1168" i="4"/>
  <c r="I1167" i="4"/>
  <c r="I1166" i="4"/>
  <c r="I1165" i="4"/>
  <c r="I1164" i="4"/>
  <c r="I1163" i="4"/>
  <c r="I1162" i="4"/>
  <c r="I1161" i="4"/>
  <c r="I1160" i="4"/>
  <c r="I1159" i="4"/>
  <c r="I1158" i="4"/>
  <c r="I1157" i="4"/>
  <c r="I1156" i="4"/>
  <c r="I1155" i="4"/>
  <c r="I1154" i="4"/>
  <c r="I1153" i="4"/>
  <c r="I1152" i="4"/>
  <c r="I1151" i="4"/>
  <c r="I1150" i="4"/>
  <c r="I1149" i="4"/>
  <c r="I1148" i="4"/>
  <c r="I1147" i="4"/>
  <c r="I1146" i="4"/>
  <c r="I1145" i="4"/>
  <c r="I1144" i="4"/>
  <c r="I1143" i="4"/>
  <c r="I1142" i="4"/>
  <c r="I1141" i="4"/>
  <c r="I1140" i="4"/>
  <c r="I1139" i="4"/>
  <c r="I1138" i="4"/>
  <c r="I1137" i="4"/>
  <c r="I1136" i="4"/>
  <c r="I1135" i="4"/>
  <c r="I1134" i="4"/>
  <c r="I1133" i="4"/>
  <c r="I1132" i="4"/>
  <c r="I1131" i="4"/>
  <c r="I1130" i="4"/>
  <c r="I1129" i="4"/>
  <c r="I1128" i="4"/>
  <c r="I1127" i="4"/>
  <c r="I1126" i="4"/>
  <c r="I1125" i="4"/>
  <c r="I1124" i="4"/>
  <c r="I1123" i="4"/>
  <c r="I1122" i="4"/>
  <c r="I1121" i="4"/>
  <c r="I1120" i="4"/>
  <c r="I1119" i="4"/>
  <c r="I1118" i="4"/>
  <c r="I1117" i="4"/>
  <c r="I1116" i="4"/>
  <c r="I1115" i="4"/>
  <c r="I1114" i="4"/>
  <c r="I1113" i="4"/>
  <c r="I1112" i="4"/>
  <c r="I1111" i="4"/>
  <c r="I1110" i="4"/>
  <c r="I1109" i="4"/>
  <c r="I1108" i="4"/>
  <c r="I1107" i="4"/>
  <c r="I1106" i="4"/>
  <c r="I1105" i="4"/>
  <c r="I1104" i="4"/>
  <c r="I1103" i="4"/>
  <c r="I1102" i="4"/>
  <c r="I1101" i="4"/>
  <c r="I1100" i="4"/>
  <c r="I1099" i="4"/>
  <c r="I1098" i="4"/>
  <c r="I1097" i="4"/>
  <c r="I1096" i="4"/>
  <c r="I1095" i="4"/>
  <c r="I1094" i="4"/>
  <c r="I1093" i="4"/>
  <c r="I1092" i="4"/>
  <c r="I1091" i="4"/>
  <c r="I1090" i="4"/>
  <c r="I1089" i="4"/>
  <c r="I1088" i="4"/>
  <c r="I1087" i="4"/>
  <c r="I1086" i="4"/>
  <c r="I1085" i="4"/>
  <c r="I1084" i="4"/>
  <c r="I1083" i="4"/>
  <c r="I1082" i="4"/>
  <c r="I1081" i="4"/>
  <c r="I1080" i="4"/>
  <c r="I1079" i="4"/>
  <c r="I1078" i="4"/>
  <c r="I1077" i="4"/>
  <c r="I1076" i="4"/>
  <c r="I1075" i="4"/>
  <c r="I1074" i="4"/>
  <c r="I1073" i="4"/>
  <c r="I1072" i="4"/>
  <c r="I1071" i="4"/>
  <c r="I1070" i="4"/>
  <c r="I1069" i="4"/>
  <c r="I1068" i="4"/>
  <c r="I1067" i="4"/>
  <c r="I1066" i="4"/>
  <c r="I1065" i="4"/>
  <c r="I1064" i="4"/>
  <c r="I1063" i="4"/>
  <c r="I1062" i="4"/>
  <c r="I1061" i="4"/>
  <c r="I1060" i="4"/>
  <c r="I1059" i="4"/>
  <c r="I1058" i="4"/>
  <c r="I1057" i="4"/>
  <c r="I1056" i="4"/>
  <c r="I1055" i="4"/>
  <c r="I1054" i="4"/>
  <c r="I1053" i="4"/>
  <c r="I1052" i="4"/>
  <c r="I1051" i="4"/>
  <c r="I1050" i="4"/>
  <c r="I1049" i="4"/>
  <c r="I1048" i="4"/>
  <c r="I1047" i="4"/>
  <c r="I1046" i="4"/>
  <c r="I1045" i="4"/>
  <c r="I1044" i="4"/>
  <c r="I1043" i="4"/>
  <c r="I1042" i="4"/>
  <c r="I1041" i="4"/>
  <c r="I1040" i="4"/>
  <c r="I1039" i="4"/>
  <c r="I1038" i="4"/>
  <c r="I1037" i="4"/>
  <c r="I1036" i="4"/>
  <c r="I1035" i="4"/>
  <c r="I1034" i="4"/>
  <c r="I1033" i="4"/>
  <c r="I1032" i="4"/>
  <c r="I1031" i="4"/>
  <c r="I1030" i="4"/>
  <c r="I1029" i="4"/>
  <c r="I1028" i="4"/>
  <c r="I1027" i="4"/>
  <c r="I1026" i="4"/>
  <c r="I1025" i="4"/>
  <c r="I1024" i="4"/>
  <c r="I1023" i="4"/>
  <c r="I1022" i="4"/>
  <c r="I1021" i="4"/>
  <c r="I1020" i="4"/>
  <c r="I1019" i="4"/>
  <c r="I1018" i="4"/>
  <c r="I1017" i="4"/>
  <c r="I1016" i="4"/>
  <c r="I1015" i="4"/>
  <c r="I1014" i="4"/>
  <c r="I1013" i="4"/>
  <c r="I1012" i="4"/>
  <c r="I1011" i="4"/>
  <c r="I1010" i="4"/>
  <c r="I1009" i="4"/>
  <c r="I1008" i="4"/>
  <c r="I1007" i="4"/>
  <c r="I1006" i="4"/>
  <c r="I1005" i="4"/>
  <c r="I1004" i="4"/>
  <c r="I1003" i="4"/>
  <c r="I1002" i="4"/>
  <c r="I1001" i="4"/>
  <c r="I1000" i="4"/>
  <c r="I999" i="4"/>
  <c r="I998" i="4"/>
  <c r="I997" i="4"/>
  <c r="I996" i="4"/>
  <c r="I995" i="4"/>
  <c r="I994" i="4"/>
  <c r="I993" i="4"/>
  <c r="I992" i="4"/>
  <c r="I991" i="4"/>
  <c r="I990" i="4"/>
  <c r="I989" i="4"/>
  <c r="I988" i="4"/>
  <c r="I987" i="4"/>
  <c r="I986" i="4"/>
  <c r="I985" i="4"/>
  <c r="I984" i="4"/>
  <c r="I983" i="4"/>
  <c r="I982" i="4"/>
  <c r="I981" i="4"/>
  <c r="I980" i="4"/>
  <c r="I979" i="4"/>
  <c r="I978" i="4"/>
  <c r="I977" i="4"/>
  <c r="I976" i="4"/>
  <c r="I975" i="4"/>
  <c r="I974" i="4"/>
  <c r="I973" i="4"/>
  <c r="I972" i="4"/>
  <c r="I971" i="4"/>
  <c r="I970" i="4"/>
  <c r="I969" i="4"/>
  <c r="I968" i="4"/>
  <c r="I967" i="4"/>
  <c r="I966" i="4"/>
  <c r="I965" i="4"/>
  <c r="I964" i="4"/>
  <c r="I963" i="4"/>
  <c r="I962" i="4"/>
  <c r="I961" i="4"/>
  <c r="I960" i="4"/>
  <c r="I959" i="4"/>
  <c r="I958" i="4"/>
  <c r="I957" i="4"/>
  <c r="I956" i="4"/>
  <c r="I955" i="4"/>
  <c r="I954" i="4"/>
  <c r="I953" i="4"/>
  <c r="I952" i="4"/>
  <c r="I951" i="4"/>
  <c r="I950" i="4"/>
  <c r="I949" i="4"/>
  <c r="I948" i="4"/>
  <c r="I947" i="4"/>
  <c r="I946" i="4"/>
  <c r="I945" i="4"/>
  <c r="I944" i="4"/>
  <c r="I943" i="4"/>
  <c r="I942" i="4"/>
  <c r="I941" i="4"/>
  <c r="I940" i="4"/>
  <c r="I939" i="4"/>
  <c r="I938" i="4"/>
  <c r="I937" i="4"/>
  <c r="I936" i="4"/>
  <c r="I935" i="4"/>
  <c r="I934" i="4"/>
  <c r="I933" i="4"/>
  <c r="I932" i="4"/>
  <c r="I931" i="4"/>
  <c r="I930" i="4"/>
  <c r="I929" i="4"/>
  <c r="I928" i="4"/>
  <c r="I927" i="4"/>
  <c r="I926" i="4"/>
  <c r="I925" i="4"/>
  <c r="I924" i="4"/>
  <c r="I923" i="4"/>
  <c r="I922" i="4"/>
  <c r="I921" i="4"/>
  <c r="I920" i="4"/>
  <c r="I919" i="4"/>
  <c r="I918" i="4"/>
  <c r="I917" i="4"/>
  <c r="I916" i="4"/>
  <c r="I915" i="4"/>
  <c r="I914" i="4"/>
  <c r="I913" i="4"/>
  <c r="I912" i="4"/>
  <c r="I911" i="4"/>
  <c r="I910" i="4"/>
  <c r="I909" i="4"/>
  <c r="I908" i="4"/>
  <c r="I907" i="4"/>
  <c r="I906" i="4"/>
  <c r="I905" i="4"/>
  <c r="I904" i="4"/>
  <c r="I903" i="4"/>
  <c r="I902" i="4"/>
  <c r="I901" i="4"/>
  <c r="I900" i="4"/>
  <c r="I899" i="4"/>
  <c r="I898" i="4"/>
  <c r="I897" i="4"/>
  <c r="I896" i="4"/>
  <c r="I895" i="4"/>
  <c r="I894" i="4"/>
  <c r="I893" i="4"/>
  <c r="I892" i="4"/>
  <c r="I891" i="4"/>
  <c r="I890" i="4"/>
  <c r="I889" i="4"/>
  <c r="I888" i="4"/>
  <c r="I887" i="4"/>
  <c r="I886" i="4"/>
  <c r="I885" i="4"/>
  <c r="I884" i="4"/>
  <c r="I883" i="4"/>
  <c r="I882" i="4"/>
  <c r="I881" i="4"/>
  <c r="I880" i="4"/>
  <c r="I879" i="4"/>
  <c r="I878" i="4"/>
  <c r="I877" i="4"/>
  <c r="I876" i="4"/>
  <c r="I875" i="4"/>
  <c r="I874" i="4"/>
  <c r="I873" i="4"/>
  <c r="I872" i="4"/>
  <c r="I871" i="4"/>
  <c r="I870" i="4"/>
  <c r="I869" i="4"/>
  <c r="I868" i="4"/>
  <c r="I867" i="4"/>
  <c r="I866" i="4"/>
  <c r="I865" i="4"/>
  <c r="I864" i="4"/>
  <c r="I863" i="4"/>
  <c r="I862" i="4"/>
  <c r="I861" i="4"/>
  <c r="I860" i="4"/>
  <c r="I859" i="4"/>
  <c r="I858" i="4"/>
  <c r="I857" i="4"/>
  <c r="I856" i="4"/>
  <c r="I855" i="4"/>
  <c r="I854" i="4"/>
  <c r="I853" i="4"/>
  <c r="I852" i="4"/>
  <c r="I851" i="4"/>
  <c r="I850" i="4"/>
  <c r="I849" i="4"/>
  <c r="I848" i="4"/>
  <c r="I847" i="4"/>
  <c r="I846" i="4"/>
  <c r="I845" i="4"/>
  <c r="I844" i="4"/>
  <c r="I843" i="4"/>
  <c r="I842" i="4"/>
  <c r="I841" i="4"/>
  <c r="I840" i="4"/>
  <c r="I839" i="4"/>
  <c r="I838" i="4"/>
  <c r="I837" i="4"/>
  <c r="I836" i="4"/>
  <c r="I835" i="4"/>
  <c r="I834" i="4"/>
  <c r="I833" i="4"/>
  <c r="I832" i="4"/>
  <c r="I831" i="4"/>
  <c r="I830" i="4"/>
  <c r="I829" i="4"/>
  <c r="I828" i="4"/>
  <c r="I827" i="4"/>
  <c r="I826" i="4"/>
  <c r="I825" i="4"/>
  <c r="I824" i="4"/>
  <c r="I823" i="4"/>
  <c r="I822" i="4"/>
  <c r="I821" i="4"/>
  <c r="I820" i="4"/>
  <c r="I819" i="4"/>
  <c r="I818" i="4"/>
  <c r="I817" i="4"/>
  <c r="I816" i="4"/>
  <c r="I815" i="4"/>
  <c r="I814" i="4"/>
  <c r="I813" i="4"/>
  <c r="I812" i="4"/>
  <c r="I811" i="4"/>
  <c r="I810" i="4"/>
  <c r="I809" i="4"/>
  <c r="I808" i="4"/>
  <c r="I807" i="4"/>
  <c r="I806" i="4"/>
  <c r="I805" i="4"/>
  <c r="I804" i="4"/>
  <c r="I803" i="4"/>
  <c r="I802" i="4"/>
  <c r="I801" i="4"/>
  <c r="I800" i="4"/>
  <c r="I799" i="4"/>
  <c r="I798" i="4"/>
  <c r="I797" i="4"/>
  <c r="I796" i="4"/>
  <c r="I795" i="4"/>
  <c r="I794" i="4"/>
  <c r="I793" i="4"/>
  <c r="I792" i="4"/>
  <c r="I791" i="4"/>
  <c r="I790" i="4"/>
  <c r="I789" i="4"/>
  <c r="I788" i="4"/>
  <c r="I787" i="4"/>
  <c r="I786" i="4"/>
  <c r="I785" i="4"/>
  <c r="I784" i="4"/>
  <c r="I783" i="4"/>
  <c r="I782" i="4"/>
  <c r="I781" i="4"/>
  <c r="I780" i="4"/>
  <c r="I779" i="4"/>
  <c r="I778" i="4"/>
  <c r="I777" i="4"/>
  <c r="I776" i="4"/>
  <c r="I775" i="4"/>
  <c r="I774" i="4"/>
  <c r="I773" i="4"/>
  <c r="I772" i="4"/>
  <c r="I771" i="4"/>
  <c r="I770" i="4"/>
  <c r="I769" i="4"/>
  <c r="I768" i="4"/>
  <c r="I767" i="4"/>
  <c r="I766" i="4"/>
  <c r="I765" i="4"/>
  <c r="I764" i="4"/>
  <c r="I763" i="4"/>
  <c r="I762" i="4"/>
  <c r="I761" i="4"/>
  <c r="I760" i="4"/>
  <c r="I759" i="4"/>
  <c r="I758" i="4"/>
  <c r="I757" i="4"/>
  <c r="I756" i="4"/>
  <c r="I755" i="4"/>
  <c r="I754" i="4"/>
  <c r="I753" i="4"/>
  <c r="I752" i="4"/>
  <c r="I751" i="4"/>
  <c r="I750" i="4"/>
  <c r="I749" i="4"/>
  <c r="I748" i="4"/>
  <c r="I747" i="4"/>
  <c r="I746" i="4"/>
  <c r="I745" i="4"/>
  <c r="I744" i="4"/>
  <c r="I743" i="4"/>
  <c r="I742" i="4"/>
  <c r="I741" i="4"/>
  <c r="I740" i="4"/>
  <c r="I739" i="4"/>
  <c r="I738" i="4"/>
  <c r="I737" i="4"/>
  <c r="I736" i="4"/>
  <c r="I735" i="4"/>
  <c r="I734" i="4"/>
  <c r="I733" i="4"/>
  <c r="I732" i="4"/>
  <c r="I731" i="4"/>
  <c r="I730" i="4"/>
  <c r="I729" i="4"/>
  <c r="I728" i="4"/>
  <c r="I727" i="4"/>
  <c r="I726" i="4"/>
  <c r="I725" i="4"/>
  <c r="I724" i="4"/>
  <c r="I723" i="4"/>
  <c r="I722" i="4"/>
  <c r="I721" i="4"/>
  <c r="I720" i="4"/>
  <c r="I719" i="4"/>
  <c r="I718" i="4"/>
  <c r="I717" i="4"/>
  <c r="I716" i="4"/>
  <c r="I715" i="4"/>
  <c r="I714" i="4"/>
  <c r="I713" i="4"/>
  <c r="I712" i="4"/>
  <c r="I711" i="4"/>
  <c r="I710" i="4"/>
  <c r="I709" i="4"/>
  <c r="I708" i="4"/>
  <c r="I707" i="4"/>
  <c r="I706" i="4"/>
  <c r="I705" i="4"/>
  <c r="I704" i="4"/>
  <c r="I703" i="4"/>
  <c r="I702" i="4"/>
  <c r="I701" i="4"/>
  <c r="I700" i="4"/>
  <c r="I699" i="4"/>
  <c r="I698" i="4"/>
  <c r="I697" i="4"/>
  <c r="I696" i="4"/>
  <c r="I695" i="4"/>
  <c r="I694" i="4"/>
  <c r="I693" i="4"/>
  <c r="I692" i="4"/>
  <c r="I691" i="4"/>
  <c r="I690" i="4"/>
  <c r="I689" i="4"/>
  <c r="I688" i="4"/>
  <c r="I687" i="4"/>
  <c r="I686" i="4"/>
  <c r="I685" i="4"/>
  <c r="I684" i="4"/>
  <c r="I683" i="4"/>
  <c r="I682" i="4"/>
  <c r="I681" i="4"/>
  <c r="I680" i="4"/>
  <c r="I679" i="4"/>
  <c r="I678" i="4"/>
  <c r="I677" i="4"/>
  <c r="I676" i="4"/>
  <c r="I675" i="4"/>
  <c r="I674" i="4"/>
  <c r="I673" i="4"/>
  <c r="I672" i="4"/>
  <c r="I671" i="4"/>
  <c r="I670" i="4"/>
  <c r="I669" i="4"/>
  <c r="I668" i="4"/>
  <c r="I667" i="4"/>
  <c r="I666" i="4"/>
  <c r="I665" i="4"/>
  <c r="I664" i="4"/>
  <c r="I663" i="4"/>
  <c r="I662" i="4"/>
  <c r="I661" i="4"/>
  <c r="I660" i="4"/>
  <c r="I659" i="4"/>
  <c r="I658" i="4"/>
  <c r="I657" i="4"/>
  <c r="I656" i="4"/>
  <c r="I655" i="4"/>
  <c r="I654" i="4"/>
  <c r="I653" i="4"/>
  <c r="I652" i="4"/>
  <c r="I651" i="4"/>
  <c r="I650" i="4"/>
  <c r="I649" i="4"/>
  <c r="I648" i="4"/>
  <c r="I647" i="4"/>
  <c r="I646" i="4"/>
  <c r="I645" i="4"/>
  <c r="I644" i="4"/>
  <c r="I643" i="4"/>
  <c r="I642" i="4"/>
  <c r="I641" i="4"/>
  <c r="I640" i="4"/>
  <c r="I639" i="4"/>
  <c r="I638" i="4"/>
  <c r="I637" i="4"/>
  <c r="I636" i="4"/>
  <c r="I635" i="4"/>
  <c r="I634" i="4"/>
  <c r="I633" i="4"/>
  <c r="I632" i="4"/>
  <c r="I631" i="4"/>
  <c r="I630" i="4"/>
  <c r="I629" i="4"/>
  <c r="I628" i="4"/>
  <c r="I627" i="4"/>
  <c r="I626" i="4"/>
  <c r="I625" i="4"/>
  <c r="I624" i="4"/>
  <c r="I623" i="4"/>
  <c r="I622" i="4"/>
  <c r="I621" i="4"/>
  <c r="I620" i="4"/>
  <c r="I619" i="4"/>
  <c r="I618" i="4"/>
  <c r="I617" i="4"/>
  <c r="I616" i="4"/>
  <c r="I615" i="4"/>
  <c r="I614" i="4"/>
  <c r="I613" i="4"/>
  <c r="I612" i="4"/>
  <c r="I611" i="4"/>
  <c r="I610" i="4"/>
  <c r="I609" i="4"/>
  <c r="I608" i="4"/>
  <c r="I607" i="4"/>
  <c r="I606" i="4"/>
  <c r="I605" i="4"/>
  <c r="I604" i="4"/>
  <c r="I603" i="4"/>
  <c r="I602" i="4"/>
  <c r="I601" i="4"/>
  <c r="I600" i="4"/>
  <c r="I599" i="4"/>
  <c r="I598" i="4"/>
  <c r="I597" i="4"/>
  <c r="I596" i="4"/>
  <c r="I595" i="4"/>
  <c r="I594" i="4"/>
  <c r="I593" i="4"/>
  <c r="I592" i="4"/>
  <c r="I591" i="4"/>
  <c r="I590" i="4"/>
  <c r="I589" i="4"/>
  <c r="I588" i="4"/>
  <c r="I587" i="4"/>
  <c r="I586" i="4"/>
  <c r="I585" i="4"/>
  <c r="I584" i="4"/>
  <c r="I583" i="4"/>
  <c r="I582" i="4"/>
  <c r="I581" i="4"/>
  <c r="I580" i="4"/>
  <c r="I579" i="4"/>
  <c r="I578" i="4"/>
  <c r="I577" i="4"/>
  <c r="I576" i="4"/>
  <c r="I575" i="4"/>
  <c r="I574" i="4"/>
  <c r="I573" i="4"/>
  <c r="I572" i="4"/>
  <c r="I571" i="4"/>
  <c r="I570" i="4"/>
  <c r="I569" i="4"/>
  <c r="I568" i="4"/>
  <c r="I567" i="4"/>
  <c r="I566" i="4"/>
  <c r="I565" i="4"/>
  <c r="I564" i="4"/>
  <c r="I563" i="4"/>
  <c r="I562" i="4"/>
  <c r="I561" i="4"/>
  <c r="I560" i="4"/>
  <c r="I559" i="4"/>
  <c r="I558" i="4"/>
  <c r="I557" i="4"/>
  <c r="I556" i="4"/>
  <c r="I555" i="4"/>
  <c r="I554" i="4"/>
  <c r="I553" i="4"/>
  <c r="I552" i="4"/>
  <c r="I551" i="4"/>
  <c r="I550" i="4"/>
  <c r="I549" i="4"/>
  <c r="I548" i="4"/>
  <c r="I547" i="4"/>
  <c r="I546" i="4"/>
  <c r="I545" i="4"/>
  <c r="I544" i="4"/>
  <c r="I543" i="4"/>
  <c r="I542" i="4"/>
  <c r="I541" i="4"/>
  <c r="I540" i="4"/>
  <c r="I539" i="4"/>
  <c r="I538" i="4"/>
  <c r="I537" i="4"/>
  <c r="I536" i="4"/>
  <c r="I535" i="4"/>
  <c r="I534" i="4"/>
  <c r="I533" i="4"/>
  <c r="I532" i="4"/>
  <c r="I531" i="4"/>
  <c r="I530" i="4"/>
  <c r="I529" i="4"/>
  <c r="I528" i="4"/>
  <c r="I527" i="4"/>
  <c r="I526" i="4"/>
  <c r="I525" i="4"/>
  <c r="I524" i="4"/>
  <c r="I523" i="4"/>
  <c r="I522" i="4"/>
  <c r="I521" i="4"/>
  <c r="I520" i="4"/>
  <c r="I519" i="4"/>
  <c r="I518" i="4"/>
  <c r="I517" i="4"/>
  <c r="I516" i="4"/>
  <c r="I515" i="4"/>
  <c r="I514" i="4"/>
  <c r="I513" i="4"/>
  <c r="I512" i="4"/>
  <c r="I511" i="4"/>
  <c r="I510" i="4"/>
  <c r="I509" i="4"/>
  <c r="I508" i="4"/>
  <c r="I507" i="4"/>
  <c r="I506" i="4"/>
  <c r="I505" i="4"/>
  <c r="I504" i="4"/>
  <c r="I503" i="4"/>
  <c r="I502" i="4"/>
  <c r="I501" i="4"/>
  <c r="I500" i="4"/>
  <c r="I499" i="4"/>
  <c r="I498" i="4"/>
  <c r="I497" i="4"/>
  <c r="I496" i="4"/>
  <c r="I495" i="4"/>
  <c r="I494" i="4"/>
  <c r="I493" i="4"/>
  <c r="I492" i="4"/>
  <c r="I491" i="4"/>
  <c r="I490" i="4"/>
  <c r="I489" i="4"/>
  <c r="I488" i="4"/>
  <c r="I487" i="4"/>
  <c r="I486" i="4"/>
  <c r="I485" i="4"/>
  <c r="I484" i="4"/>
  <c r="I483" i="4"/>
  <c r="I482" i="4"/>
  <c r="I481" i="4"/>
  <c r="I480" i="4"/>
  <c r="I479" i="4"/>
  <c r="I478" i="4"/>
  <c r="I477" i="4"/>
  <c r="I476" i="4"/>
  <c r="I475" i="4"/>
  <c r="I474" i="4"/>
  <c r="I473" i="4"/>
  <c r="I472" i="4"/>
  <c r="I471" i="4"/>
  <c r="I470" i="4"/>
  <c r="I469" i="4"/>
  <c r="I468" i="4"/>
  <c r="I467" i="4"/>
  <c r="I466" i="4"/>
  <c r="I465" i="4"/>
  <c r="I464" i="4"/>
  <c r="I463" i="4"/>
  <c r="I462" i="4"/>
  <c r="I461" i="4"/>
  <c r="I460" i="4"/>
  <c r="I459" i="4"/>
  <c r="I458" i="4"/>
  <c r="I457" i="4"/>
  <c r="I456" i="4"/>
  <c r="I455" i="4"/>
  <c r="I454" i="4"/>
  <c r="I453" i="4"/>
  <c r="I452" i="4"/>
  <c r="I451" i="4"/>
  <c r="I450" i="4"/>
  <c r="I449" i="4"/>
  <c r="I448" i="4"/>
  <c r="I447" i="4"/>
  <c r="I446" i="4"/>
  <c r="I445" i="4"/>
  <c r="I444" i="4"/>
  <c r="I443" i="4"/>
  <c r="I442" i="4"/>
  <c r="I441" i="4"/>
  <c r="I440" i="4"/>
  <c r="I439" i="4"/>
  <c r="I438" i="4"/>
  <c r="I437" i="4"/>
  <c r="I436" i="4"/>
  <c r="I435" i="4"/>
  <c r="I434" i="4"/>
  <c r="I433" i="4"/>
  <c r="I432" i="4"/>
  <c r="I431" i="4"/>
  <c r="I430" i="4"/>
  <c r="I429" i="4"/>
  <c r="I428" i="4"/>
  <c r="I427" i="4"/>
  <c r="I426" i="4"/>
  <c r="I425" i="4"/>
  <c r="I424" i="4"/>
  <c r="I423" i="4"/>
  <c r="I422" i="4"/>
  <c r="I421" i="4"/>
  <c r="I420" i="4"/>
  <c r="I419" i="4"/>
  <c r="I418" i="4"/>
  <c r="I417" i="4"/>
  <c r="I416" i="4"/>
  <c r="I415" i="4"/>
  <c r="I414" i="4"/>
  <c r="I413" i="4"/>
  <c r="I412" i="4"/>
  <c r="I411" i="4"/>
  <c r="I410" i="4"/>
  <c r="I409" i="4"/>
  <c r="I408" i="4"/>
  <c r="I407" i="4"/>
  <c r="I406" i="4"/>
  <c r="I405" i="4"/>
  <c r="I404" i="4"/>
  <c r="I403" i="4"/>
  <c r="I402" i="4"/>
  <c r="I401" i="4"/>
  <c r="I400" i="4"/>
  <c r="I399" i="4"/>
  <c r="I398" i="4"/>
  <c r="I397" i="4"/>
  <c r="I396" i="4"/>
  <c r="I395" i="4"/>
  <c r="I394" i="4"/>
  <c r="I393" i="4"/>
  <c r="I392" i="4"/>
  <c r="I391" i="4"/>
  <c r="I390" i="4"/>
  <c r="I389" i="4"/>
  <c r="I388" i="4"/>
  <c r="I387" i="4"/>
  <c r="I386" i="4"/>
  <c r="I385" i="4"/>
  <c r="I384" i="4"/>
  <c r="I383" i="4"/>
  <c r="I382" i="4"/>
  <c r="I381" i="4"/>
  <c r="I380" i="4"/>
  <c r="I379" i="4"/>
  <c r="I378" i="4"/>
  <c r="I377" i="4"/>
  <c r="I376" i="4"/>
  <c r="I375" i="4"/>
  <c r="I374" i="4"/>
  <c r="I373" i="4"/>
  <c r="I372" i="4"/>
  <c r="I371" i="4"/>
  <c r="I370" i="4"/>
  <c r="I369" i="4"/>
  <c r="I368" i="4"/>
  <c r="I367" i="4"/>
  <c r="I366" i="4"/>
  <c r="I365" i="4"/>
  <c r="I364" i="4"/>
  <c r="I363" i="4"/>
  <c r="I362" i="4"/>
  <c r="I361" i="4"/>
  <c r="I360" i="4"/>
  <c r="I359" i="4"/>
  <c r="I358" i="4"/>
  <c r="I357" i="4"/>
  <c r="I356" i="4"/>
  <c r="I355" i="4"/>
  <c r="I354" i="4"/>
  <c r="I353" i="4"/>
  <c r="I352" i="4"/>
  <c r="I351" i="4"/>
  <c r="I350" i="4"/>
  <c r="I349" i="4"/>
  <c r="I348" i="4"/>
  <c r="I347" i="4"/>
  <c r="I346" i="4"/>
  <c r="I345" i="4"/>
  <c r="I344" i="4"/>
  <c r="I343" i="4"/>
  <c r="I342" i="4"/>
  <c r="I341" i="4"/>
  <c r="I340" i="4"/>
  <c r="I339" i="4"/>
  <c r="I338" i="4"/>
  <c r="I337" i="4"/>
  <c r="I336" i="4"/>
  <c r="I335" i="4"/>
  <c r="I334" i="4"/>
  <c r="I333" i="4"/>
  <c r="I332" i="4"/>
  <c r="I331" i="4"/>
  <c r="I330" i="4"/>
  <c r="I329" i="4"/>
  <c r="I328" i="4"/>
  <c r="I327" i="4"/>
  <c r="I326" i="4"/>
  <c r="I325" i="4"/>
  <c r="I324" i="4"/>
  <c r="I323" i="4"/>
  <c r="I322" i="4"/>
  <c r="I321" i="4"/>
  <c r="I320" i="4"/>
  <c r="I319" i="4"/>
  <c r="I318" i="4"/>
  <c r="I317" i="4"/>
  <c r="I316" i="4"/>
  <c r="I315" i="4"/>
  <c r="I314" i="4"/>
  <c r="I313" i="4"/>
  <c r="I312" i="4"/>
  <c r="I311" i="4"/>
  <c r="I310" i="4"/>
  <c r="I309" i="4"/>
  <c r="I308" i="4"/>
  <c r="I307" i="4"/>
  <c r="I306" i="4"/>
  <c r="I305" i="4"/>
  <c r="I304" i="4"/>
  <c r="I302" i="4"/>
  <c r="I301" i="4"/>
  <c r="I300" i="4"/>
  <c r="I299" i="4"/>
  <c r="I298" i="4"/>
  <c r="I297" i="4"/>
  <c r="I296" i="4"/>
  <c r="I295" i="4"/>
  <c r="I294" i="4"/>
  <c r="I293" i="4"/>
  <c r="I292" i="4"/>
  <c r="I291" i="4"/>
  <c r="I290" i="4"/>
  <c r="I289" i="4"/>
  <c r="I288" i="4"/>
  <c r="I287" i="4"/>
  <c r="I286" i="4"/>
  <c r="I285" i="4"/>
  <c r="I284" i="4"/>
  <c r="I283" i="4"/>
  <c r="I282" i="4"/>
  <c r="I281" i="4"/>
  <c r="I280" i="4"/>
  <c r="I279" i="4"/>
  <c r="I278" i="4"/>
  <c r="I277" i="4"/>
  <c r="I276" i="4"/>
  <c r="I275" i="4"/>
  <c r="I274" i="4"/>
  <c r="I273" i="4"/>
  <c r="I272" i="4"/>
  <c r="I271" i="4"/>
  <c r="I270" i="4"/>
  <c r="I269" i="4"/>
  <c r="I268" i="4"/>
  <c r="I267" i="4"/>
  <c r="I266" i="4"/>
  <c r="I265" i="4"/>
  <c r="I264" i="4"/>
  <c r="I263" i="4"/>
  <c r="I262" i="4"/>
  <c r="I261" i="4"/>
  <c r="I260" i="4"/>
  <c r="I259" i="4"/>
  <c r="I258" i="4"/>
  <c r="I257" i="4"/>
  <c r="I256" i="4"/>
  <c r="I255" i="4"/>
  <c r="I254" i="4"/>
  <c r="I253" i="4"/>
  <c r="I252" i="4"/>
  <c r="I251" i="4"/>
  <c r="I250" i="4"/>
  <c r="I249" i="4"/>
  <c r="I248" i="4"/>
  <c r="I247" i="4"/>
  <c r="I246" i="4"/>
  <c r="I245" i="4"/>
  <c r="I244" i="4"/>
  <c r="I243" i="4"/>
  <c r="I242" i="4"/>
  <c r="I241" i="4"/>
  <c r="I240" i="4"/>
  <c r="I239" i="4"/>
  <c r="I238" i="4"/>
  <c r="I237" i="4"/>
  <c r="I236" i="4"/>
  <c r="I235" i="4"/>
  <c r="I234" i="4"/>
  <c r="I233" i="4"/>
  <c r="I232" i="4"/>
  <c r="I231" i="4"/>
  <c r="I230" i="4"/>
  <c r="I229" i="4"/>
  <c r="I228" i="4"/>
  <c r="I227" i="4"/>
  <c r="I226" i="4"/>
  <c r="I225" i="4"/>
  <c r="I224" i="4"/>
  <c r="I223" i="4"/>
  <c r="I222" i="4"/>
  <c r="I221" i="4"/>
  <c r="I220" i="4"/>
  <c r="I219" i="4"/>
  <c r="I218" i="4"/>
  <c r="I217" i="4"/>
  <c r="I216" i="4"/>
  <c r="I215" i="4"/>
  <c r="I214" i="4"/>
  <c r="I213" i="4"/>
  <c r="I212" i="4"/>
  <c r="I211" i="4"/>
  <c r="I210" i="4"/>
  <c r="I209" i="4"/>
  <c r="I208" i="4"/>
  <c r="I207" i="4"/>
  <c r="I206" i="4"/>
  <c r="I205" i="4"/>
  <c r="I204" i="4"/>
  <c r="I203" i="4"/>
  <c r="I202" i="4"/>
  <c r="I201" i="4"/>
  <c r="I200" i="4"/>
  <c r="I199" i="4"/>
  <c r="I198" i="4"/>
  <c r="I197" i="4"/>
  <c r="I196" i="4"/>
  <c r="I195" i="4"/>
  <c r="I194" i="4"/>
  <c r="I193" i="4"/>
  <c r="I192" i="4"/>
  <c r="I191" i="4"/>
  <c r="I190" i="4"/>
  <c r="I189" i="4"/>
  <c r="I188" i="4"/>
  <c r="I187" i="4"/>
  <c r="I186" i="4"/>
  <c r="I185" i="4"/>
  <c r="I184" i="4"/>
  <c r="I183" i="4"/>
  <c r="I182" i="4"/>
  <c r="I181" i="4"/>
  <c r="I180" i="4"/>
  <c r="I179" i="4"/>
  <c r="I178" i="4"/>
  <c r="I177" i="4"/>
  <c r="I176" i="4"/>
  <c r="I175" i="4"/>
  <c r="I174" i="4"/>
  <c r="I173" i="4"/>
  <c r="I172" i="4"/>
  <c r="I171" i="4"/>
  <c r="I170" i="4"/>
  <c r="I169" i="4"/>
  <c r="I168" i="4"/>
  <c r="I167" i="4"/>
  <c r="I166" i="4"/>
  <c r="I165" i="4"/>
  <c r="I164" i="4"/>
  <c r="I163" i="4"/>
  <c r="I162" i="4"/>
  <c r="I161" i="4"/>
  <c r="I160" i="4"/>
  <c r="I159" i="4"/>
  <c r="I158" i="4"/>
  <c r="I157" i="4"/>
  <c r="I156" i="4"/>
  <c r="I155" i="4"/>
  <c r="I154" i="4"/>
  <c r="I153" i="4"/>
  <c r="I152" i="4"/>
  <c r="I151" i="4"/>
  <c r="I150" i="4"/>
  <c r="I149" i="4"/>
  <c r="I148" i="4"/>
  <c r="I147" i="4"/>
  <c r="I146" i="4"/>
  <c r="I145" i="4"/>
  <c r="I144" i="4"/>
  <c r="I143" i="4"/>
  <c r="I142" i="4"/>
  <c r="I141" i="4"/>
  <c r="I140" i="4"/>
  <c r="I139" i="4"/>
  <c r="I138" i="4"/>
  <c r="I137" i="4"/>
  <c r="I136" i="4"/>
  <c r="I135" i="4"/>
  <c r="I134" i="4"/>
  <c r="I133" i="4"/>
  <c r="I132" i="4"/>
  <c r="I131" i="4"/>
  <c r="I130" i="4"/>
  <c r="I129" i="4"/>
  <c r="I128" i="4"/>
  <c r="I127" i="4"/>
  <c r="I126" i="4"/>
  <c r="I125" i="4"/>
  <c r="I124" i="4"/>
  <c r="I123" i="4"/>
  <c r="I122" i="4"/>
  <c r="I121" i="4"/>
  <c r="I120" i="4"/>
  <c r="I119" i="4"/>
  <c r="I118" i="4"/>
  <c r="I117" i="4"/>
  <c r="I116" i="4"/>
  <c r="I115" i="4"/>
  <c r="I114" i="4"/>
  <c r="I113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100" i="4"/>
  <c r="I99" i="4"/>
  <c r="I98" i="4"/>
  <c r="I97" i="4"/>
  <c r="I96" i="4"/>
  <c r="I95" i="4"/>
  <c r="I94" i="4"/>
  <c r="I93" i="4"/>
  <c r="I92" i="4"/>
  <c r="I91" i="4"/>
  <c r="I90" i="4"/>
  <c r="I89" i="4"/>
  <c r="I88" i="4"/>
  <c r="I87" i="4"/>
  <c r="I86" i="4"/>
  <c r="I85" i="4"/>
  <c r="I84" i="4"/>
  <c r="I83" i="4"/>
  <c r="I82" i="4"/>
  <c r="I81" i="4"/>
  <c r="I80" i="4"/>
  <c r="I79" i="4"/>
  <c r="I78" i="4"/>
  <c r="I77" i="4"/>
  <c r="I76" i="4"/>
  <c r="I75" i="4"/>
  <c r="I74" i="4"/>
  <c r="I73" i="4"/>
  <c r="I72" i="4"/>
  <c r="I71" i="4"/>
  <c r="I70" i="4"/>
  <c r="I69" i="4"/>
  <c r="I68" i="4"/>
  <c r="I67" i="4"/>
  <c r="I66" i="4"/>
  <c r="I65" i="4"/>
  <c r="I64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G1313" i="4"/>
  <c r="G1312" i="4"/>
  <c r="G1311" i="4"/>
  <c r="G1310" i="4"/>
  <c r="G1309" i="4"/>
  <c r="G1308" i="4"/>
  <c r="G1307" i="4"/>
  <c r="G1306" i="4"/>
  <c r="G1305" i="4"/>
  <c r="G1304" i="4"/>
  <c r="G1303" i="4"/>
  <c r="G1302" i="4"/>
  <c r="G1301" i="4"/>
  <c r="G1300" i="4"/>
  <c r="G1299" i="4"/>
  <c r="G1298" i="4"/>
  <c r="G1297" i="4"/>
  <c r="G1296" i="4"/>
  <c r="G1295" i="4"/>
  <c r="G1294" i="4"/>
  <c r="G1293" i="4"/>
  <c r="G1292" i="4"/>
  <c r="G1291" i="4"/>
  <c r="G1290" i="4"/>
  <c r="G1289" i="4"/>
  <c r="G1288" i="4"/>
  <c r="G1287" i="4"/>
  <c r="G1286" i="4"/>
  <c r="G1285" i="4"/>
  <c r="G1284" i="4"/>
  <c r="G1283" i="4"/>
  <c r="G1282" i="4"/>
  <c r="G1281" i="4"/>
  <c r="G1280" i="4"/>
  <c r="G1279" i="4"/>
  <c r="G1278" i="4"/>
  <c r="G1277" i="4"/>
  <c r="G1276" i="4"/>
  <c r="G1275" i="4"/>
  <c r="G1274" i="4"/>
  <c r="G1273" i="4"/>
  <c r="G1272" i="4"/>
  <c r="G1271" i="4"/>
  <c r="G1270" i="4"/>
  <c r="G1269" i="4"/>
  <c r="G1268" i="4"/>
  <c r="G1267" i="4"/>
  <c r="G1266" i="4"/>
  <c r="G1265" i="4"/>
  <c r="G1264" i="4"/>
  <c r="G1263" i="4"/>
  <c r="G1262" i="4"/>
  <c r="G1261" i="4"/>
  <c r="G1260" i="4"/>
  <c r="G1259" i="4"/>
  <c r="G1258" i="4"/>
  <c r="G1257" i="4"/>
  <c r="G1256" i="4"/>
  <c r="G1255" i="4"/>
  <c r="G1254" i="4"/>
  <c r="G1253" i="4"/>
  <c r="G1252" i="4"/>
  <c r="G1251" i="4"/>
  <c r="G1250" i="4"/>
  <c r="G1249" i="4"/>
  <c r="G1248" i="4"/>
  <c r="G1247" i="4"/>
  <c r="G1246" i="4"/>
  <c r="G1245" i="4"/>
  <c r="G1244" i="4"/>
  <c r="G1243" i="4"/>
  <c r="G1242" i="4"/>
  <c r="G1241" i="4"/>
  <c r="G1240" i="4"/>
  <c r="G1239" i="4"/>
  <c r="G1238" i="4"/>
  <c r="G1237" i="4"/>
  <c r="G1236" i="4"/>
  <c r="G1235" i="4"/>
  <c r="G1234" i="4"/>
  <c r="G1233" i="4"/>
  <c r="G1232" i="4"/>
  <c r="G1231" i="4"/>
  <c r="G1230" i="4"/>
  <c r="G1229" i="4"/>
  <c r="G1228" i="4"/>
  <c r="G1227" i="4"/>
  <c r="G1226" i="4"/>
  <c r="G1225" i="4"/>
  <c r="G1224" i="4"/>
  <c r="G1223" i="4"/>
  <c r="G1222" i="4"/>
  <c r="G1221" i="4"/>
  <c r="G1220" i="4"/>
  <c r="G1219" i="4"/>
  <c r="G1218" i="4"/>
  <c r="G1217" i="4"/>
  <c r="G1216" i="4"/>
  <c r="G1215" i="4"/>
  <c r="G1214" i="4"/>
  <c r="G1213" i="4"/>
  <c r="G1212" i="4"/>
  <c r="G1211" i="4"/>
  <c r="G1210" i="4"/>
  <c r="G1209" i="4"/>
  <c r="G1208" i="4"/>
  <c r="G1207" i="4"/>
  <c r="G1206" i="4"/>
  <c r="G1205" i="4"/>
  <c r="G1204" i="4"/>
  <c r="G1203" i="4"/>
  <c r="G1202" i="4"/>
  <c r="G1201" i="4"/>
  <c r="G1200" i="4"/>
  <c r="G1199" i="4"/>
  <c r="G1198" i="4"/>
  <c r="G1197" i="4"/>
  <c r="G1196" i="4"/>
  <c r="G1195" i="4"/>
  <c r="G1194" i="4"/>
  <c r="G1193" i="4"/>
  <c r="G1192" i="4"/>
  <c r="G1191" i="4"/>
  <c r="G1190" i="4"/>
  <c r="G1189" i="4"/>
  <c r="G1188" i="4"/>
  <c r="G1187" i="4"/>
  <c r="G1186" i="4"/>
  <c r="G1185" i="4"/>
  <c r="G1184" i="4"/>
  <c r="G1183" i="4"/>
  <c r="G1182" i="4"/>
  <c r="G1181" i="4"/>
  <c r="G1180" i="4"/>
  <c r="G1179" i="4"/>
  <c r="G1178" i="4"/>
  <c r="G1177" i="4"/>
  <c r="G1176" i="4"/>
  <c r="G1175" i="4"/>
  <c r="G1174" i="4"/>
  <c r="G1173" i="4"/>
  <c r="G1172" i="4"/>
  <c r="G1171" i="4"/>
  <c r="G1170" i="4"/>
  <c r="G1169" i="4"/>
  <c r="G1168" i="4"/>
  <c r="G1167" i="4"/>
  <c r="G1166" i="4"/>
  <c r="G1165" i="4"/>
  <c r="G1164" i="4"/>
  <c r="G1163" i="4"/>
  <c r="G1162" i="4"/>
  <c r="G1161" i="4"/>
  <c r="G1160" i="4"/>
  <c r="G1159" i="4"/>
  <c r="G1158" i="4"/>
  <c r="G1157" i="4"/>
  <c r="G1156" i="4"/>
  <c r="G1155" i="4"/>
  <c r="G1154" i="4"/>
  <c r="G1153" i="4"/>
  <c r="G1152" i="4"/>
  <c r="G1151" i="4"/>
  <c r="G1150" i="4"/>
  <c r="G1149" i="4"/>
  <c r="G1148" i="4"/>
  <c r="G1147" i="4"/>
  <c r="G1146" i="4"/>
  <c r="G1145" i="4"/>
  <c r="G1144" i="4"/>
  <c r="G1143" i="4"/>
  <c r="G1142" i="4"/>
  <c r="G1141" i="4"/>
  <c r="G1140" i="4"/>
  <c r="G1139" i="4"/>
  <c r="G1138" i="4"/>
  <c r="G1137" i="4"/>
  <c r="G1136" i="4"/>
  <c r="G1135" i="4"/>
  <c r="G1134" i="4"/>
  <c r="G1133" i="4"/>
  <c r="G1132" i="4"/>
  <c r="G1131" i="4"/>
  <c r="G1130" i="4"/>
  <c r="G1129" i="4"/>
  <c r="G1128" i="4"/>
  <c r="G1127" i="4"/>
  <c r="G1126" i="4"/>
  <c r="G1125" i="4"/>
  <c r="G1124" i="4"/>
  <c r="G1123" i="4"/>
  <c r="G1122" i="4"/>
  <c r="G1121" i="4"/>
  <c r="G1120" i="4"/>
  <c r="G1119" i="4"/>
  <c r="G1118" i="4"/>
  <c r="G1117" i="4"/>
  <c r="G1116" i="4"/>
  <c r="G1115" i="4"/>
  <c r="G1114" i="4"/>
  <c r="G1113" i="4"/>
  <c r="G1112" i="4"/>
  <c r="G1111" i="4"/>
  <c r="G1110" i="4"/>
  <c r="G1109" i="4"/>
  <c r="G1108" i="4"/>
  <c r="G1107" i="4"/>
  <c r="G1106" i="4"/>
  <c r="G1105" i="4"/>
  <c r="G1104" i="4"/>
  <c r="G1103" i="4"/>
  <c r="G1102" i="4"/>
  <c r="G1101" i="4"/>
  <c r="G1100" i="4"/>
  <c r="G1099" i="4"/>
  <c r="G1098" i="4"/>
  <c r="G1097" i="4"/>
  <c r="G1096" i="4"/>
  <c r="G1095" i="4"/>
  <c r="G1094" i="4"/>
  <c r="G1093" i="4"/>
  <c r="G1092" i="4"/>
  <c r="G1091" i="4"/>
  <c r="G1090" i="4"/>
  <c r="G1089" i="4"/>
  <c r="G1088" i="4"/>
  <c r="G1087" i="4"/>
  <c r="G1086" i="4"/>
  <c r="G1085" i="4"/>
  <c r="G1084" i="4"/>
  <c r="G1083" i="4"/>
  <c r="G1082" i="4"/>
  <c r="G1081" i="4"/>
  <c r="G1080" i="4"/>
  <c r="G1079" i="4"/>
  <c r="G1078" i="4"/>
  <c r="G1077" i="4"/>
  <c r="G1076" i="4"/>
  <c r="G1075" i="4"/>
  <c r="G1074" i="4"/>
  <c r="G1073" i="4"/>
  <c r="G1072" i="4"/>
  <c r="G1071" i="4"/>
  <c r="G1070" i="4"/>
  <c r="G1069" i="4"/>
  <c r="G1068" i="4"/>
  <c r="G1067" i="4"/>
  <c r="G1066" i="4"/>
  <c r="G1065" i="4"/>
  <c r="G1064" i="4"/>
  <c r="G1063" i="4"/>
  <c r="G1062" i="4"/>
  <c r="G1061" i="4"/>
  <c r="G1060" i="4"/>
  <c r="G1059" i="4"/>
  <c r="G1058" i="4"/>
  <c r="G1057" i="4"/>
  <c r="G1056" i="4"/>
  <c r="G1055" i="4"/>
  <c r="G1054" i="4"/>
  <c r="G1053" i="4"/>
  <c r="G1052" i="4"/>
  <c r="G1051" i="4"/>
  <c r="G1050" i="4"/>
  <c r="G1049" i="4"/>
  <c r="G1048" i="4"/>
  <c r="G1047" i="4"/>
  <c r="G1046" i="4"/>
  <c r="G1045" i="4"/>
  <c r="G1044" i="4"/>
  <c r="G1043" i="4"/>
  <c r="G1042" i="4"/>
  <c r="G1041" i="4"/>
  <c r="G1040" i="4"/>
  <c r="G1039" i="4"/>
  <c r="G1038" i="4"/>
  <c r="G1037" i="4"/>
  <c r="G1036" i="4"/>
  <c r="G1035" i="4"/>
  <c r="G1034" i="4"/>
  <c r="G1033" i="4"/>
  <c r="G1032" i="4"/>
  <c r="G1031" i="4"/>
  <c r="G1030" i="4"/>
  <c r="G1029" i="4"/>
  <c r="G1028" i="4"/>
  <c r="G1027" i="4"/>
  <c r="G1026" i="4"/>
  <c r="G1025" i="4"/>
  <c r="G1024" i="4"/>
  <c r="G1023" i="4"/>
  <c r="G1022" i="4"/>
  <c r="G1021" i="4"/>
  <c r="G1020" i="4"/>
  <c r="G1019" i="4"/>
  <c r="G1018" i="4"/>
  <c r="G1017" i="4"/>
  <c r="G1016" i="4"/>
  <c r="G1015" i="4"/>
  <c r="G1014" i="4"/>
  <c r="G1013" i="4"/>
  <c r="G1012" i="4"/>
  <c r="G1011" i="4"/>
  <c r="G1010" i="4"/>
  <c r="G1009" i="4"/>
  <c r="G1008" i="4"/>
  <c r="G1007" i="4"/>
  <c r="G1006" i="4"/>
  <c r="G1005" i="4"/>
  <c r="G1004" i="4"/>
  <c r="G1003" i="4"/>
  <c r="G1002" i="4"/>
  <c r="G1001" i="4"/>
  <c r="G1000" i="4"/>
  <c r="G999" i="4"/>
  <c r="G998" i="4"/>
  <c r="G997" i="4"/>
  <c r="G996" i="4"/>
  <c r="G995" i="4"/>
  <c r="G994" i="4"/>
  <c r="G993" i="4"/>
  <c r="G992" i="4"/>
  <c r="G991" i="4"/>
  <c r="G990" i="4"/>
  <c r="G989" i="4"/>
  <c r="G988" i="4"/>
  <c r="G987" i="4"/>
  <c r="G986" i="4"/>
  <c r="G985" i="4"/>
  <c r="G984" i="4"/>
  <c r="G983" i="4"/>
  <c r="G982" i="4"/>
  <c r="G981" i="4"/>
  <c r="G980" i="4"/>
  <c r="G979" i="4"/>
  <c r="G978" i="4"/>
  <c r="G977" i="4"/>
  <c r="G976" i="4"/>
  <c r="G975" i="4"/>
  <c r="G974" i="4"/>
  <c r="G973" i="4"/>
  <c r="G972" i="4"/>
  <c r="G971" i="4"/>
  <c r="G970" i="4"/>
  <c r="G969" i="4"/>
  <c r="G968" i="4"/>
  <c r="G967" i="4"/>
  <c r="G966" i="4"/>
  <c r="G965" i="4"/>
  <c r="G964" i="4"/>
  <c r="G963" i="4"/>
  <c r="G962" i="4"/>
  <c r="G961" i="4"/>
  <c r="G960" i="4"/>
  <c r="G959" i="4"/>
  <c r="G958" i="4"/>
  <c r="G957" i="4"/>
  <c r="G956" i="4"/>
  <c r="G955" i="4"/>
  <c r="G954" i="4"/>
  <c r="G953" i="4"/>
  <c r="G952" i="4"/>
  <c r="G951" i="4"/>
  <c r="G950" i="4"/>
  <c r="G949" i="4"/>
  <c r="G948" i="4"/>
  <c r="G947" i="4"/>
  <c r="G946" i="4"/>
  <c r="G945" i="4"/>
  <c r="G944" i="4"/>
  <c r="G943" i="4"/>
  <c r="G942" i="4"/>
  <c r="G941" i="4"/>
  <c r="G940" i="4"/>
  <c r="G939" i="4"/>
  <c r="G938" i="4"/>
  <c r="G937" i="4"/>
  <c r="G936" i="4"/>
  <c r="G935" i="4"/>
  <c r="G934" i="4"/>
  <c r="G933" i="4"/>
  <c r="G932" i="4"/>
  <c r="G931" i="4"/>
  <c r="G930" i="4"/>
  <c r="G929" i="4"/>
  <c r="G928" i="4"/>
  <c r="G927" i="4"/>
  <c r="G926" i="4"/>
  <c r="G925" i="4"/>
  <c r="G924" i="4"/>
  <c r="G923" i="4"/>
  <c r="G922" i="4"/>
  <c r="G921" i="4"/>
  <c r="G920" i="4"/>
  <c r="G919" i="4"/>
  <c r="G918" i="4"/>
  <c r="G917" i="4"/>
  <c r="G916" i="4"/>
  <c r="G915" i="4"/>
  <c r="G914" i="4"/>
  <c r="G913" i="4"/>
  <c r="G912" i="4"/>
  <c r="G911" i="4"/>
  <c r="G910" i="4"/>
  <c r="G909" i="4"/>
  <c r="G908" i="4"/>
  <c r="G907" i="4"/>
  <c r="G906" i="4"/>
  <c r="G905" i="4"/>
  <c r="G904" i="4"/>
  <c r="G903" i="4"/>
  <c r="G902" i="4"/>
  <c r="G901" i="4"/>
  <c r="G900" i="4"/>
  <c r="G899" i="4"/>
  <c r="G898" i="4"/>
  <c r="G897" i="4"/>
  <c r="G896" i="4"/>
  <c r="G895" i="4"/>
  <c r="G894" i="4"/>
  <c r="G893" i="4"/>
  <c r="G892" i="4"/>
  <c r="G891" i="4"/>
  <c r="G890" i="4"/>
  <c r="G889" i="4"/>
  <c r="G888" i="4"/>
  <c r="G887" i="4"/>
  <c r="G886" i="4"/>
  <c r="G885" i="4"/>
  <c r="G884" i="4"/>
  <c r="G883" i="4"/>
  <c r="G882" i="4"/>
  <c r="G881" i="4"/>
  <c r="G880" i="4"/>
  <c r="G879" i="4"/>
  <c r="G878" i="4"/>
  <c r="G877" i="4"/>
  <c r="G876" i="4"/>
  <c r="G875" i="4"/>
  <c r="G874" i="4"/>
  <c r="G873" i="4"/>
  <c r="G872" i="4"/>
  <c r="G871" i="4"/>
  <c r="G870" i="4"/>
  <c r="G869" i="4"/>
  <c r="G868" i="4"/>
  <c r="G867" i="4"/>
  <c r="G866" i="4"/>
  <c r="G865" i="4"/>
  <c r="G864" i="4"/>
  <c r="G863" i="4"/>
  <c r="G862" i="4"/>
  <c r="G861" i="4"/>
  <c r="G860" i="4"/>
  <c r="G859" i="4"/>
  <c r="G858" i="4"/>
  <c r="G857" i="4"/>
  <c r="G856" i="4"/>
  <c r="G855" i="4"/>
  <c r="G854" i="4"/>
  <c r="G853" i="4"/>
  <c r="G852" i="4"/>
  <c r="G851" i="4"/>
  <c r="G850" i="4"/>
  <c r="G849" i="4"/>
  <c r="G848" i="4"/>
  <c r="G847" i="4"/>
  <c r="G846" i="4"/>
  <c r="G845" i="4"/>
  <c r="G844" i="4"/>
  <c r="G843" i="4"/>
  <c r="G842" i="4"/>
  <c r="G841" i="4"/>
  <c r="G840" i="4"/>
  <c r="G839" i="4"/>
  <c r="G838" i="4"/>
  <c r="G837" i="4"/>
  <c r="G836" i="4"/>
  <c r="G835" i="4"/>
  <c r="G834" i="4"/>
  <c r="G833" i="4"/>
  <c r="G832" i="4"/>
  <c r="G831" i="4"/>
  <c r="G830" i="4"/>
  <c r="G829" i="4"/>
  <c r="G828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8" i="4"/>
  <c r="G767" i="4"/>
  <c r="G766" i="4"/>
  <c r="G765" i="4"/>
  <c r="G764" i="4"/>
  <c r="G763" i="4"/>
  <c r="G762" i="4"/>
  <c r="G761" i="4"/>
  <c r="G760" i="4"/>
  <c r="G759" i="4"/>
  <c r="G758" i="4"/>
  <c r="G757" i="4"/>
  <c r="G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43" i="4"/>
  <c r="G742" i="4"/>
  <c r="G741" i="4"/>
  <c r="G740" i="4"/>
  <c r="G739" i="4"/>
  <c r="G738" i="4"/>
  <c r="G737" i="4"/>
  <c r="G736" i="4"/>
  <c r="G735" i="4"/>
  <c r="G734" i="4"/>
  <c r="G733" i="4"/>
  <c r="G732" i="4"/>
  <c r="G731" i="4"/>
  <c r="G730" i="4"/>
  <c r="G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G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03" i="4"/>
  <c r="G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689" i="4"/>
  <c r="G688" i="4"/>
  <c r="G687" i="4"/>
  <c r="G686" i="4"/>
  <c r="G685" i="4"/>
  <c r="G684" i="4"/>
  <c r="G683" i="4"/>
  <c r="G682" i="4"/>
  <c r="G681" i="4"/>
  <c r="G680" i="4"/>
  <c r="G679" i="4"/>
  <c r="G678" i="4"/>
  <c r="G677" i="4"/>
  <c r="G676" i="4"/>
  <c r="G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62" i="4"/>
  <c r="G661" i="4"/>
  <c r="G660" i="4"/>
  <c r="G659" i="4"/>
  <c r="G658" i="4"/>
  <c r="G657" i="4"/>
  <c r="G656" i="4"/>
  <c r="G655" i="4"/>
  <c r="G654" i="4"/>
  <c r="G653" i="4"/>
  <c r="G652" i="4"/>
  <c r="G651" i="4"/>
  <c r="G650" i="4"/>
  <c r="G649" i="4"/>
  <c r="G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G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22" i="4"/>
  <c r="G621" i="4"/>
  <c r="G620" i="4"/>
  <c r="G619" i="4"/>
  <c r="G618" i="4"/>
  <c r="G617" i="4"/>
  <c r="G616" i="4"/>
  <c r="G615" i="4"/>
  <c r="G614" i="4"/>
  <c r="G613" i="4"/>
  <c r="G612" i="4"/>
  <c r="G611" i="4"/>
  <c r="G610" i="4"/>
  <c r="G609" i="4"/>
  <c r="G608" i="4"/>
  <c r="G607" i="4"/>
  <c r="G606" i="4"/>
  <c r="G605" i="4"/>
  <c r="G604" i="4"/>
  <c r="G603" i="4"/>
  <c r="G602" i="4"/>
  <c r="G601" i="4"/>
  <c r="G600" i="4"/>
  <c r="G599" i="4"/>
  <c r="G598" i="4"/>
  <c r="G597" i="4"/>
  <c r="G596" i="4"/>
  <c r="G595" i="4"/>
  <c r="G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81" i="4"/>
  <c r="G580" i="4"/>
  <c r="G579" i="4"/>
  <c r="G578" i="4"/>
  <c r="G577" i="4"/>
  <c r="G576" i="4"/>
  <c r="G575" i="4"/>
  <c r="G574" i="4"/>
  <c r="G573" i="4"/>
  <c r="G572" i="4"/>
  <c r="G571" i="4"/>
  <c r="G570" i="4"/>
  <c r="G569" i="4"/>
  <c r="G568" i="4"/>
  <c r="G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G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41" i="4"/>
  <c r="G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27" i="4"/>
  <c r="G526" i="4"/>
  <c r="G525" i="4"/>
  <c r="G524" i="4"/>
  <c r="G523" i="4"/>
  <c r="G522" i="4"/>
  <c r="G521" i="4"/>
  <c r="G520" i="4"/>
  <c r="G519" i="4"/>
  <c r="G518" i="4"/>
  <c r="G517" i="4"/>
  <c r="G516" i="4"/>
  <c r="G515" i="4"/>
  <c r="G514" i="4"/>
  <c r="G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487" i="4"/>
  <c r="G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60" i="4"/>
  <c r="G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46" i="4"/>
  <c r="G445" i="4"/>
  <c r="G444" i="4"/>
  <c r="G443" i="4"/>
  <c r="G442" i="4"/>
  <c r="G441" i="4"/>
  <c r="G440" i="4"/>
  <c r="G439" i="4"/>
  <c r="G438" i="4"/>
  <c r="G437" i="4"/>
  <c r="G436" i="4"/>
  <c r="G435" i="4"/>
  <c r="G434" i="4"/>
  <c r="G433" i="4"/>
  <c r="G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G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06" i="4"/>
  <c r="G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392" i="4"/>
  <c r="G391" i="4"/>
  <c r="G390" i="4"/>
  <c r="G389" i="4"/>
  <c r="G388" i="4"/>
  <c r="G387" i="4"/>
  <c r="G386" i="4"/>
  <c r="G385" i="4"/>
  <c r="G384" i="4"/>
  <c r="G383" i="4"/>
  <c r="G382" i="4"/>
  <c r="G381" i="4"/>
  <c r="G380" i="4"/>
  <c r="G379" i="4"/>
  <c r="G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G365" i="4"/>
  <c r="G364" i="4"/>
  <c r="G363" i="4"/>
  <c r="G362" i="4"/>
  <c r="G361" i="4"/>
  <c r="G360" i="4"/>
  <c r="G359" i="4"/>
  <c r="G358" i="4"/>
  <c r="G357" i="4"/>
  <c r="G356" i="4"/>
  <c r="G355" i="4"/>
  <c r="G354" i="4"/>
  <c r="G353" i="4"/>
  <c r="G352" i="4"/>
  <c r="G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G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G325" i="4"/>
  <c r="G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11" i="4"/>
  <c r="G310" i="4"/>
  <c r="G309" i="4"/>
  <c r="G308" i="4"/>
  <c r="G307" i="4"/>
  <c r="G306" i="4"/>
  <c r="G305" i="4"/>
  <c r="G304" i="4"/>
  <c r="G302" i="4"/>
  <c r="G301" i="4"/>
  <c r="G300" i="4"/>
  <c r="G299" i="4"/>
  <c r="G298" i="4"/>
  <c r="G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84" i="4"/>
  <c r="G283" i="4"/>
  <c r="G282" i="4"/>
  <c r="G281" i="4"/>
  <c r="G280" i="4"/>
  <c r="G279" i="4"/>
  <c r="G278" i="4"/>
  <c r="G277" i="4"/>
  <c r="G276" i="4"/>
  <c r="G275" i="4"/>
  <c r="G274" i="4"/>
  <c r="G273" i="4"/>
  <c r="G272" i="4"/>
  <c r="G271" i="4"/>
  <c r="G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G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8" i="4"/>
  <c r="G217" i="4"/>
  <c r="G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190" i="4"/>
  <c r="G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I2" i="4"/>
  <c r="G2" i="4"/>
  <c r="I55" i="1"/>
  <c r="I56" i="1"/>
  <c r="I57" i="1"/>
  <c r="I58" i="1"/>
  <c r="I59" i="1"/>
  <c r="I60" i="1"/>
  <c r="I61" i="1"/>
  <c r="I62" i="1"/>
  <c r="G55" i="1"/>
  <c r="G56" i="1"/>
  <c r="G57" i="1"/>
  <c r="G58" i="1"/>
  <c r="G59" i="1"/>
  <c r="G60" i="1"/>
  <c r="G61" i="1"/>
  <c r="G62" i="1"/>
  <c r="E55" i="1"/>
  <c r="E56" i="1"/>
  <c r="E57" i="1"/>
  <c r="E58" i="1"/>
  <c r="E59" i="1"/>
  <c r="E60" i="1"/>
  <c r="E61" i="1"/>
  <c r="E62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7" i="1"/>
  <c r="I45" i="1"/>
  <c r="I46" i="1"/>
  <c r="I47" i="1"/>
  <c r="I48" i="1"/>
  <c r="I49" i="1"/>
  <c r="I50" i="1"/>
  <c r="I51" i="1"/>
  <c r="I52" i="1"/>
  <c r="I53" i="1"/>
  <c r="I54" i="1"/>
  <c r="H130" i="1"/>
  <c r="H124" i="1"/>
  <c r="H123" i="1"/>
  <c r="H115" i="1"/>
  <c r="H111" i="1"/>
  <c r="H101" i="1"/>
  <c r="H97" i="1"/>
  <c r="H68" i="1"/>
  <c r="H94" i="1"/>
  <c r="B1" i="4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7" i="1"/>
  <c r="H116" i="1" l="1"/>
  <c r="H83" i="1"/>
  <c r="F4" i="5"/>
  <c r="H223" i="1"/>
  <c r="J223" i="1" s="1"/>
  <c r="H85" i="1"/>
  <c r="H92" i="1"/>
  <c r="H127" i="1"/>
  <c r="J127" i="1" s="1"/>
  <c r="H119" i="1"/>
  <c r="J119" i="1" s="1"/>
  <c r="J332" i="4"/>
  <c r="H89" i="1"/>
  <c r="J89" i="1" s="1"/>
  <c r="H82" i="1"/>
  <c r="J82" i="1" s="1"/>
  <c r="H109" i="1"/>
  <c r="H87" i="1"/>
  <c r="H121" i="1"/>
  <c r="H78" i="1"/>
  <c r="H102" i="1"/>
  <c r="J102" i="1" s="1"/>
  <c r="H110" i="1"/>
  <c r="H118" i="1"/>
  <c r="H125" i="1"/>
  <c r="H117" i="1"/>
  <c r="H105" i="1"/>
  <c r="H75" i="1"/>
  <c r="J75" i="1" s="1"/>
  <c r="N32" i="5"/>
  <c r="M32" i="5"/>
  <c r="M16" i="5"/>
  <c r="N24" i="5"/>
  <c r="N16" i="5"/>
  <c r="N8" i="5"/>
  <c r="H67" i="1"/>
  <c r="J67" i="1" s="1"/>
  <c r="H79" i="1"/>
  <c r="J79" i="1" s="1"/>
  <c r="H71" i="1"/>
  <c r="J71" i="1" s="1"/>
  <c r="H90" i="1"/>
  <c r="J90" i="1" s="1"/>
  <c r="H88" i="1"/>
  <c r="H84" i="1"/>
  <c r="J84" i="1" s="1"/>
  <c r="H95" i="1"/>
  <c r="H113" i="1"/>
  <c r="J113" i="1" s="1"/>
  <c r="H126" i="1"/>
  <c r="H131" i="1"/>
  <c r="J131" i="1" s="1"/>
  <c r="M23" i="5"/>
  <c r="H180" i="1"/>
  <c r="J180" i="1" s="1"/>
  <c r="M13" i="5"/>
  <c r="H96" i="1"/>
  <c r="J308" i="4"/>
  <c r="K308" i="4" s="1"/>
  <c r="M308" i="4" s="1"/>
  <c r="J314" i="4"/>
  <c r="J313" i="4"/>
  <c r="J312" i="4"/>
  <c r="K312" i="4" s="1"/>
  <c r="M312" i="4" s="1"/>
  <c r="J311" i="4"/>
  <c r="J310" i="4"/>
  <c r="K310" i="4" s="1"/>
  <c r="M310" i="4" s="1"/>
  <c r="J309" i="4"/>
  <c r="J315" i="4"/>
  <c r="K315" i="4" s="1"/>
  <c r="M315" i="4" s="1"/>
  <c r="B2" i="5"/>
  <c r="M8" i="5"/>
  <c r="H122" i="1"/>
  <c r="J122" i="1" s="1"/>
  <c r="H107" i="1"/>
  <c r="J107" i="1" s="1"/>
  <c r="J9" i="4"/>
  <c r="J17" i="4"/>
  <c r="J25" i="4"/>
  <c r="J33" i="4"/>
  <c r="J41" i="4"/>
  <c r="J49" i="4"/>
  <c r="K49" i="4" s="1"/>
  <c r="M49" i="4" s="1"/>
  <c r="J57" i="4"/>
  <c r="J65" i="4"/>
  <c r="J73" i="4"/>
  <c r="J81" i="4"/>
  <c r="K81" i="4" s="1"/>
  <c r="M81" i="4" s="1"/>
  <c r="J89" i="4"/>
  <c r="J97" i="4"/>
  <c r="J105" i="4"/>
  <c r="J113" i="4"/>
  <c r="J121" i="4"/>
  <c r="J129" i="4"/>
  <c r="K129" i="4" s="1"/>
  <c r="M129" i="4" s="1"/>
  <c r="J137" i="4"/>
  <c r="J145" i="4"/>
  <c r="J153" i="4"/>
  <c r="J161" i="4"/>
  <c r="K161" i="4" s="1"/>
  <c r="M161" i="4" s="1"/>
  <c r="J169" i="4"/>
  <c r="J177" i="4"/>
  <c r="J185" i="4"/>
  <c r="J193" i="4"/>
  <c r="J201" i="4"/>
  <c r="J209" i="4"/>
  <c r="J217" i="4"/>
  <c r="J225" i="4"/>
  <c r="J233" i="4"/>
  <c r="J241" i="4"/>
  <c r="Q241" i="4" s="1"/>
  <c r="J249" i="4"/>
  <c r="J257" i="4"/>
  <c r="J265" i="4"/>
  <c r="J273" i="4"/>
  <c r="J281" i="4"/>
  <c r="J289" i="4"/>
  <c r="J297" i="4"/>
  <c r="J306" i="4"/>
  <c r="K306" i="4" s="1"/>
  <c r="M306" i="4" s="1"/>
  <c r="J323" i="4"/>
  <c r="K323" i="4" s="1"/>
  <c r="M323" i="4" s="1"/>
  <c r="J331" i="4"/>
  <c r="J339" i="4"/>
  <c r="K339" i="4" s="1"/>
  <c r="M339" i="4" s="1"/>
  <c r="J347" i="4"/>
  <c r="J355" i="4"/>
  <c r="J363" i="4"/>
  <c r="J371" i="4"/>
  <c r="J379" i="4"/>
  <c r="J387" i="4"/>
  <c r="J395" i="4"/>
  <c r="J403" i="4"/>
  <c r="J411" i="4"/>
  <c r="J419" i="4"/>
  <c r="J427" i="4"/>
  <c r="J435" i="4"/>
  <c r="J443" i="4"/>
  <c r="J451" i="4"/>
  <c r="J459" i="4"/>
  <c r="J467" i="4"/>
  <c r="J475" i="4"/>
  <c r="J483" i="4"/>
  <c r="J491" i="4"/>
  <c r="J499" i="4"/>
  <c r="J507" i="4"/>
  <c r="J515" i="4"/>
  <c r="J523" i="4"/>
  <c r="J531" i="4"/>
  <c r="J539" i="4"/>
  <c r="J547" i="4"/>
  <c r="J555" i="4"/>
  <c r="K555" i="4" s="1"/>
  <c r="M555" i="4" s="1"/>
  <c r="J563" i="4"/>
  <c r="J571" i="4"/>
  <c r="J579" i="4"/>
  <c r="J587" i="4"/>
  <c r="J595" i="4"/>
  <c r="J603" i="4"/>
  <c r="K603" i="4" s="1"/>
  <c r="M603" i="4" s="1"/>
  <c r="J611" i="4"/>
  <c r="J619" i="4"/>
  <c r="J2" i="4"/>
  <c r="J10" i="4"/>
  <c r="J18" i="4"/>
  <c r="K18" i="4" s="1"/>
  <c r="M18" i="4" s="1"/>
  <c r="J26" i="4"/>
  <c r="J34" i="4"/>
  <c r="J42" i="4"/>
  <c r="K42" i="4" s="1"/>
  <c r="M42" i="4" s="1"/>
  <c r="J50" i="4"/>
  <c r="J58" i="4"/>
  <c r="J66" i="4"/>
  <c r="J74" i="4"/>
  <c r="J82" i="4"/>
  <c r="J90" i="4"/>
  <c r="J98" i="4"/>
  <c r="J106" i="4"/>
  <c r="J114" i="4"/>
  <c r="J122" i="4"/>
  <c r="J130" i="4"/>
  <c r="J138" i="4"/>
  <c r="J146" i="4"/>
  <c r="K146" i="4" s="1"/>
  <c r="M146" i="4" s="1"/>
  <c r="J154" i="4"/>
  <c r="J162" i="4"/>
  <c r="J170" i="4"/>
  <c r="J178" i="4"/>
  <c r="K178" i="4" s="1"/>
  <c r="M178" i="4" s="1"/>
  <c r="J186" i="4"/>
  <c r="J194" i="4"/>
  <c r="J202" i="4"/>
  <c r="J210" i="4"/>
  <c r="J218" i="4"/>
  <c r="J226" i="4"/>
  <c r="J234" i="4"/>
  <c r="Q234" i="4" s="1"/>
  <c r="J242" i="4"/>
  <c r="J250" i="4"/>
  <c r="J258" i="4"/>
  <c r="J266" i="4"/>
  <c r="K266" i="4" s="1"/>
  <c r="M266" i="4" s="1"/>
  <c r="J274" i="4"/>
  <c r="K274" i="4" s="1"/>
  <c r="M274" i="4" s="1"/>
  <c r="J282" i="4"/>
  <c r="J290" i="4"/>
  <c r="J298" i="4"/>
  <c r="J307" i="4"/>
  <c r="K307" i="4" s="1"/>
  <c r="M307" i="4" s="1"/>
  <c r="J316" i="4"/>
  <c r="J324" i="4"/>
  <c r="K324" i="4" s="1"/>
  <c r="M324" i="4" s="1"/>
  <c r="J340" i="4"/>
  <c r="J348" i="4"/>
  <c r="J356" i="4"/>
  <c r="J364" i="4"/>
  <c r="J372" i="4"/>
  <c r="J380" i="4"/>
  <c r="J388" i="4"/>
  <c r="J396" i="4"/>
  <c r="J404" i="4"/>
  <c r="J412" i="4"/>
  <c r="J420" i="4"/>
  <c r="J428" i="4"/>
  <c r="J436" i="4"/>
  <c r="K436" i="4" s="1"/>
  <c r="M436" i="4" s="1"/>
  <c r="J444" i="4"/>
  <c r="K444" i="4" s="1"/>
  <c r="M444" i="4" s="1"/>
  <c r="J452" i="4"/>
  <c r="J460" i="4"/>
  <c r="J468" i="4"/>
  <c r="J476" i="4"/>
  <c r="J484" i="4"/>
  <c r="J492" i="4"/>
  <c r="J500" i="4"/>
  <c r="J508" i="4"/>
  <c r="J516" i="4"/>
  <c r="J524" i="4"/>
  <c r="J532" i="4"/>
  <c r="J540" i="4"/>
  <c r="J548" i="4"/>
  <c r="J556" i="4"/>
  <c r="J564" i="4"/>
  <c r="J572" i="4"/>
  <c r="J580" i="4"/>
  <c r="J588" i="4"/>
  <c r="J596" i="4"/>
  <c r="J604" i="4"/>
  <c r="J612" i="4"/>
  <c r="J620" i="4"/>
  <c r="J628" i="4"/>
  <c r="J636" i="4"/>
  <c r="J3" i="4"/>
  <c r="K3" i="4" s="1"/>
  <c r="M3" i="4" s="1"/>
  <c r="J11" i="4"/>
  <c r="J19" i="4"/>
  <c r="J27" i="4"/>
  <c r="J35" i="4"/>
  <c r="J43" i="4"/>
  <c r="J51" i="4"/>
  <c r="K51" i="4" s="1"/>
  <c r="M51" i="4" s="1"/>
  <c r="J59" i="4"/>
  <c r="K59" i="4" s="1"/>
  <c r="M59" i="4" s="1"/>
  <c r="J67" i="4"/>
  <c r="K67" i="4" s="1"/>
  <c r="M67" i="4" s="1"/>
  <c r="J75" i="4"/>
  <c r="J83" i="4"/>
  <c r="J91" i="4"/>
  <c r="J99" i="4"/>
  <c r="K99" i="4" s="1"/>
  <c r="M99" i="4" s="1"/>
  <c r="J107" i="4"/>
  <c r="J115" i="4"/>
  <c r="J123" i="4"/>
  <c r="J131" i="4"/>
  <c r="J139" i="4"/>
  <c r="J147" i="4"/>
  <c r="J155" i="4"/>
  <c r="K155" i="4" s="1"/>
  <c r="M155" i="4" s="1"/>
  <c r="J163" i="4"/>
  <c r="J171" i="4"/>
  <c r="J179" i="4"/>
  <c r="J187" i="4"/>
  <c r="J195" i="4"/>
  <c r="K195" i="4" s="1"/>
  <c r="M195" i="4" s="1"/>
  <c r="J203" i="4"/>
  <c r="J211" i="4"/>
  <c r="J219" i="4"/>
  <c r="J227" i="4"/>
  <c r="K227" i="4" s="1"/>
  <c r="M227" i="4" s="1"/>
  <c r="J235" i="4"/>
  <c r="Q235" i="4" s="1"/>
  <c r="J243" i="4"/>
  <c r="J251" i="4"/>
  <c r="J259" i="4"/>
  <c r="K259" i="4" s="1"/>
  <c r="M259" i="4" s="1"/>
  <c r="J267" i="4"/>
  <c r="K267" i="4" s="1"/>
  <c r="M267" i="4" s="1"/>
  <c r="J275" i="4"/>
  <c r="K275" i="4" s="1"/>
  <c r="M275" i="4" s="1"/>
  <c r="J283" i="4"/>
  <c r="J291" i="4"/>
  <c r="J299" i="4"/>
  <c r="K299" i="4" s="1"/>
  <c r="M299" i="4" s="1"/>
  <c r="J317" i="4"/>
  <c r="K317" i="4" s="1"/>
  <c r="M317" i="4" s="1"/>
  <c r="J325" i="4"/>
  <c r="K325" i="4" s="1"/>
  <c r="M325" i="4" s="1"/>
  <c r="J333" i="4"/>
  <c r="J341" i="4"/>
  <c r="J349" i="4"/>
  <c r="J357" i="4"/>
  <c r="J365" i="4"/>
  <c r="J373" i="4"/>
  <c r="K373" i="4" s="1"/>
  <c r="M373" i="4" s="1"/>
  <c r="J381" i="4"/>
  <c r="J389" i="4"/>
  <c r="J397" i="4"/>
  <c r="J405" i="4"/>
  <c r="K405" i="4" s="1"/>
  <c r="M405" i="4" s="1"/>
  <c r="J413" i="4"/>
  <c r="J421" i="4"/>
  <c r="J429" i="4"/>
  <c r="J437" i="4"/>
  <c r="J445" i="4"/>
  <c r="J453" i="4"/>
  <c r="J461" i="4"/>
  <c r="J469" i="4"/>
  <c r="K469" i="4" s="1"/>
  <c r="M469" i="4" s="1"/>
  <c r="J477" i="4"/>
  <c r="J485" i="4"/>
  <c r="J493" i="4"/>
  <c r="K493" i="4" s="1"/>
  <c r="M493" i="4" s="1"/>
  <c r="J501" i="4"/>
  <c r="J509" i="4"/>
  <c r="J517" i="4"/>
  <c r="K517" i="4" s="1"/>
  <c r="M517" i="4" s="1"/>
  <c r="J525" i="4"/>
  <c r="K525" i="4" s="1"/>
  <c r="M525" i="4" s="1"/>
  <c r="J533" i="4"/>
  <c r="K533" i="4" s="1"/>
  <c r="M533" i="4" s="1"/>
  <c r="J541" i="4"/>
  <c r="J549" i="4"/>
  <c r="J557" i="4"/>
  <c r="J565" i="4"/>
  <c r="J573" i="4"/>
  <c r="J581" i="4"/>
  <c r="J589" i="4"/>
  <c r="J597" i="4"/>
  <c r="J605" i="4"/>
  <c r="J613" i="4"/>
  <c r="K613" i="4" s="1"/>
  <c r="M613" i="4" s="1"/>
  <c r="J621" i="4"/>
  <c r="J8" i="4"/>
  <c r="J16" i="4"/>
  <c r="J24" i="4"/>
  <c r="J32" i="4"/>
  <c r="J40" i="4"/>
  <c r="J48" i="4"/>
  <c r="J56" i="4"/>
  <c r="K56" i="4" s="1"/>
  <c r="M56" i="4" s="1"/>
  <c r="J64" i="4"/>
  <c r="J72" i="4"/>
  <c r="J80" i="4"/>
  <c r="J88" i="4"/>
  <c r="J96" i="4"/>
  <c r="K96" i="4" s="1"/>
  <c r="M96" i="4" s="1"/>
  <c r="J104" i="4"/>
  <c r="J112" i="4"/>
  <c r="K112" i="4" s="1"/>
  <c r="M112" i="4" s="1"/>
  <c r="J120" i="4"/>
  <c r="J128" i="4"/>
  <c r="J136" i="4"/>
  <c r="K136" i="4" s="1"/>
  <c r="M136" i="4" s="1"/>
  <c r="J144" i="4"/>
  <c r="J152" i="4"/>
  <c r="J160" i="4"/>
  <c r="J168" i="4"/>
  <c r="J176" i="4"/>
  <c r="J184" i="4"/>
  <c r="J192" i="4"/>
  <c r="J200" i="4"/>
  <c r="J208" i="4"/>
  <c r="J216" i="4"/>
  <c r="J224" i="4"/>
  <c r="J232" i="4"/>
  <c r="J240" i="4"/>
  <c r="J248" i="4"/>
  <c r="J256" i="4"/>
  <c r="J264" i="4"/>
  <c r="J272" i="4"/>
  <c r="K272" i="4" s="1"/>
  <c r="M272" i="4" s="1"/>
  <c r="J280" i="4"/>
  <c r="J288" i="4"/>
  <c r="J296" i="4"/>
  <c r="K296" i="4" s="1"/>
  <c r="M296" i="4" s="1"/>
  <c r="J305" i="4"/>
  <c r="J322" i="4"/>
  <c r="J330" i="4"/>
  <c r="J338" i="4"/>
  <c r="K338" i="4" s="1"/>
  <c r="M338" i="4" s="1"/>
  <c r="J346" i="4"/>
  <c r="J354" i="4"/>
  <c r="J362" i="4"/>
  <c r="J370" i="4"/>
  <c r="J378" i="4"/>
  <c r="J386" i="4"/>
  <c r="J394" i="4"/>
  <c r="J402" i="4"/>
  <c r="K402" i="4" s="1"/>
  <c r="M402" i="4" s="1"/>
  <c r="J410" i="4"/>
  <c r="J418" i="4"/>
  <c r="J426" i="4"/>
  <c r="J434" i="4"/>
  <c r="J442" i="4"/>
  <c r="J450" i="4"/>
  <c r="K450" i="4" s="1"/>
  <c r="M450" i="4" s="1"/>
  <c r="J458" i="4"/>
  <c r="J466" i="4"/>
  <c r="J474" i="4"/>
  <c r="J482" i="4"/>
  <c r="J490" i="4"/>
  <c r="K490" i="4" s="1"/>
  <c r="M490" i="4" s="1"/>
  <c r="J498" i="4"/>
  <c r="J506" i="4"/>
  <c r="K506" i="4" s="1"/>
  <c r="M506" i="4" s="1"/>
  <c r="J514" i="4"/>
  <c r="J522" i="4"/>
  <c r="J530" i="4"/>
  <c r="J538" i="4"/>
  <c r="J546" i="4"/>
  <c r="J554" i="4"/>
  <c r="J562" i="4"/>
  <c r="J570" i="4"/>
  <c r="K570" i="4" s="1"/>
  <c r="M570" i="4" s="1"/>
  <c r="J578" i="4"/>
  <c r="J586" i="4"/>
  <c r="J594" i="4"/>
  <c r="J602" i="4"/>
  <c r="J610" i="4"/>
  <c r="J618" i="4"/>
  <c r="J626" i="4"/>
  <c r="J634" i="4"/>
  <c r="J642" i="4"/>
  <c r="J650" i="4"/>
  <c r="K650" i="4" s="1"/>
  <c r="M650" i="4" s="1"/>
  <c r="J658" i="4"/>
  <c r="K658" i="4" s="1"/>
  <c r="M658" i="4" s="1"/>
  <c r="J666" i="4"/>
  <c r="J674" i="4"/>
  <c r="J682" i="4"/>
  <c r="J4" i="4"/>
  <c r="K4" i="4" s="1"/>
  <c r="M4" i="4" s="1"/>
  <c r="J20" i="4"/>
  <c r="J36" i="4"/>
  <c r="J52" i="4"/>
  <c r="J68" i="4"/>
  <c r="J84" i="4"/>
  <c r="J100" i="4"/>
  <c r="J116" i="4"/>
  <c r="J132" i="4"/>
  <c r="J148" i="4"/>
  <c r="J164" i="4"/>
  <c r="J180" i="4"/>
  <c r="J196" i="4"/>
  <c r="K196" i="4" s="1"/>
  <c r="M196" i="4" s="1"/>
  <c r="J212" i="4"/>
  <c r="J228" i="4"/>
  <c r="J244" i="4"/>
  <c r="J260" i="4"/>
  <c r="J276" i="4"/>
  <c r="J292" i="4"/>
  <c r="K292" i="4" s="1"/>
  <c r="M292" i="4" s="1"/>
  <c r="J326" i="4"/>
  <c r="J342" i="4"/>
  <c r="K342" i="4" s="1"/>
  <c r="M342" i="4" s="1"/>
  <c r="J358" i="4"/>
  <c r="K358" i="4" s="1"/>
  <c r="M358" i="4" s="1"/>
  <c r="J374" i="4"/>
  <c r="J390" i="4"/>
  <c r="J406" i="4"/>
  <c r="J422" i="4"/>
  <c r="K422" i="4" s="1"/>
  <c r="M422" i="4" s="1"/>
  <c r="J438" i="4"/>
  <c r="J454" i="4"/>
  <c r="J470" i="4"/>
  <c r="J486" i="4"/>
  <c r="J502" i="4"/>
  <c r="J518" i="4"/>
  <c r="J534" i="4"/>
  <c r="J550" i="4"/>
  <c r="J566" i="4"/>
  <c r="J582" i="4"/>
  <c r="J598" i="4"/>
  <c r="J614" i="4"/>
  <c r="J627" i="4"/>
  <c r="J638" i="4"/>
  <c r="K638" i="4" s="1"/>
  <c r="M638" i="4" s="1"/>
  <c r="J647" i="4"/>
  <c r="J656" i="4"/>
  <c r="J665" i="4"/>
  <c r="J675" i="4"/>
  <c r="K675" i="4" s="1"/>
  <c r="M675" i="4" s="1"/>
  <c r="J684" i="4"/>
  <c r="J692" i="4"/>
  <c r="J700" i="4"/>
  <c r="J708" i="4"/>
  <c r="J716" i="4"/>
  <c r="J724" i="4"/>
  <c r="J732" i="4"/>
  <c r="K732" i="4" s="1"/>
  <c r="M732" i="4" s="1"/>
  <c r="J740" i="4"/>
  <c r="K740" i="4" s="1"/>
  <c r="M740" i="4" s="1"/>
  <c r="J748" i="4"/>
  <c r="J756" i="4"/>
  <c r="J764" i="4"/>
  <c r="J772" i="4"/>
  <c r="J780" i="4"/>
  <c r="J788" i="4"/>
  <c r="K788" i="4" s="1"/>
  <c r="M788" i="4" s="1"/>
  <c r="J796" i="4"/>
  <c r="J804" i="4"/>
  <c r="K804" i="4" s="1"/>
  <c r="M804" i="4" s="1"/>
  <c r="J812" i="4"/>
  <c r="J820" i="4"/>
  <c r="J828" i="4"/>
  <c r="J836" i="4"/>
  <c r="J844" i="4"/>
  <c r="J852" i="4"/>
  <c r="J860" i="4"/>
  <c r="J868" i="4"/>
  <c r="J876" i="4"/>
  <c r="K876" i="4" s="1"/>
  <c r="M876" i="4" s="1"/>
  <c r="J884" i="4"/>
  <c r="J892" i="4"/>
  <c r="J900" i="4"/>
  <c r="K900" i="4" s="1"/>
  <c r="M900" i="4" s="1"/>
  <c r="J908" i="4"/>
  <c r="J916" i="4"/>
  <c r="J924" i="4"/>
  <c r="J932" i="4"/>
  <c r="J940" i="4"/>
  <c r="J948" i="4"/>
  <c r="J956" i="4"/>
  <c r="K956" i="4" s="1"/>
  <c r="M956" i="4" s="1"/>
  <c r="J964" i="4"/>
  <c r="J972" i="4"/>
  <c r="K972" i="4" s="1"/>
  <c r="M972" i="4" s="1"/>
  <c r="J980" i="4"/>
  <c r="J988" i="4"/>
  <c r="J996" i="4"/>
  <c r="K996" i="4" s="1"/>
  <c r="M996" i="4" s="1"/>
  <c r="J5" i="4"/>
  <c r="K5" i="4" s="1"/>
  <c r="M5" i="4" s="1"/>
  <c r="J21" i="4"/>
  <c r="K21" i="4" s="1"/>
  <c r="M21" i="4" s="1"/>
  <c r="J37" i="4"/>
  <c r="J53" i="4"/>
  <c r="J69" i="4"/>
  <c r="J85" i="4"/>
  <c r="J101" i="4"/>
  <c r="J117" i="4"/>
  <c r="J133" i="4"/>
  <c r="J149" i="4"/>
  <c r="K149" i="4" s="1"/>
  <c r="M149" i="4" s="1"/>
  <c r="J165" i="4"/>
  <c r="J181" i="4"/>
  <c r="J197" i="4"/>
  <c r="J213" i="4"/>
  <c r="K213" i="4" s="1"/>
  <c r="M213" i="4" s="1"/>
  <c r="J229" i="4"/>
  <c r="J245" i="4"/>
  <c r="J261" i="4"/>
  <c r="J277" i="4"/>
  <c r="J293" i="4"/>
  <c r="J327" i="4"/>
  <c r="J343" i="4"/>
  <c r="J359" i="4"/>
  <c r="K359" i="4" s="1"/>
  <c r="M359" i="4" s="1"/>
  <c r="J375" i="4"/>
  <c r="J391" i="4"/>
  <c r="J407" i="4"/>
  <c r="J423" i="4"/>
  <c r="J439" i="4"/>
  <c r="J455" i="4"/>
  <c r="J471" i="4"/>
  <c r="J487" i="4"/>
  <c r="J503" i="4"/>
  <c r="J519" i="4"/>
  <c r="J535" i="4"/>
  <c r="J551" i="4"/>
  <c r="J567" i="4"/>
  <c r="J583" i="4"/>
  <c r="K583" i="4" s="1"/>
  <c r="M583" i="4" s="1"/>
  <c r="J599" i="4"/>
  <c r="J615" i="4"/>
  <c r="J629" i="4"/>
  <c r="J639" i="4"/>
  <c r="J648" i="4"/>
  <c r="K648" i="4" s="1"/>
  <c r="M648" i="4" s="1"/>
  <c r="J657" i="4"/>
  <c r="J667" i="4"/>
  <c r="J676" i="4"/>
  <c r="K676" i="4" s="1"/>
  <c r="M676" i="4" s="1"/>
  <c r="J685" i="4"/>
  <c r="J693" i="4"/>
  <c r="J701" i="4"/>
  <c r="J709" i="4"/>
  <c r="J717" i="4"/>
  <c r="J725" i="4"/>
  <c r="J733" i="4"/>
  <c r="J741" i="4"/>
  <c r="J749" i="4"/>
  <c r="J757" i="4"/>
  <c r="J765" i="4"/>
  <c r="J773" i="4"/>
  <c r="J781" i="4"/>
  <c r="J789" i="4"/>
  <c r="J797" i="4"/>
  <c r="K797" i="4" s="1"/>
  <c r="M797" i="4" s="1"/>
  <c r="J805" i="4"/>
  <c r="J813" i="4"/>
  <c r="J821" i="4"/>
  <c r="J829" i="4"/>
  <c r="J837" i="4"/>
  <c r="K837" i="4" s="1"/>
  <c r="M837" i="4" s="1"/>
  <c r="J845" i="4"/>
  <c r="J853" i="4"/>
  <c r="K853" i="4" s="1"/>
  <c r="M853" i="4" s="1"/>
  <c r="J861" i="4"/>
  <c r="J869" i="4"/>
  <c r="J877" i="4"/>
  <c r="J885" i="4"/>
  <c r="J893" i="4"/>
  <c r="K893" i="4" s="1"/>
  <c r="M893" i="4" s="1"/>
  <c r="J901" i="4"/>
  <c r="J909" i="4"/>
  <c r="K909" i="4" s="1"/>
  <c r="M909" i="4" s="1"/>
  <c r="J917" i="4"/>
  <c r="K917" i="4" s="1"/>
  <c r="M917" i="4" s="1"/>
  <c r="J925" i="4"/>
  <c r="J933" i="4"/>
  <c r="J941" i="4"/>
  <c r="J6" i="4"/>
  <c r="J22" i="4"/>
  <c r="J38" i="4"/>
  <c r="K38" i="4" s="1"/>
  <c r="M38" i="4" s="1"/>
  <c r="J54" i="4"/>
  <c r="K54" i="4" s="1"/>
  <c r="M54" i="4" s="1"/>
  <c r="J70" i="4"/>
  <c r="J86" i="4"/>
  <c r="J102" i="4"/>
  <c r="J118" i="4"/>
  <c r="J134" i="4"/>
  <c r="J150" i="4"/>
  <c r="J166" i="4"/>
  <c r="J182" i="4"/>
  <c r="J198" i="4"/>
  <c r="J214" i="4"/>
  <c r="J230" i="4"/>
  <c r="J246" i="4"/>
  <c r="J262" i="4"/>
  <c r="J278" i="4"/>
  <c r="J294" i="4"/>
  <c r="J328" i="4"/>
  <c r="J344" i="4"/>
  <c r="J360" i="4"/>
  <c r="J376" i="4"/>
  <c r="J392" i="4"/>
  <c r="J408" i="4"/>
  <c r="J424" i="4"/>
  <c r="K424" i="4" s="1"/>
  <c r="M424" i="4" s="1"/>
  <c r="J440" i="4"/>
  <c r="J456" i="4"/>
  <c r="J472" i="4"/>
  <c r="J488" i="4"/>
  <c r="J504" i="4"/>
  <c r="J520" i="4"/>
  <c r="J536" i="4"/>
  <c r="J552" i="4"/>
  <c r="J568" i="4"/>
  <c r="J584" i="4"/>
  <c r="K584" i="4" s="1"/>
  <c r="M584" i="4" s="1"/>
  <c r="J600" i="4"/>
  <c r="J616" i="4"/>
  <c r="J630" i="4"/>
  <c r="J640" i="4"/>
  <c r="J649" i="4"/>
  <c r="J659" i="4"/>
  <c r="J668" i="4"/>
  <c r="J677" i="4"/>
  <c r="J686" i="4"/>
  <c r="J694" i="4"/>
  <c r="J702" i="4"/>
  <c r="J710" i="4"/>
  <c r="J718" i="4"/>
  <c r="J726" i="4"/>
  <c r="J734" i="4"/>
  <c r="K734" i="4" s="1"/>
  <c r="M734" i="4" s="1"/>
  <c r="J742" i="4"/>
  <c r="J750" i="4"/>
  <c r="J758" i="4"/>
  <c r="J766" i="4"/>
  <c r="J774" i="4"/>
  <c r="J782" i="4"/>
  <c r="J790" i="4"/>
  <c r="J798" i="4"/>
  <c r="J806" i="4"/>
  <c r="J814" i="4"/>
  <c r="K814" i="4" s="1"/>
  <c r="M814" i="4" s="1"/>
  <c r="J822" i="4"/>
  <c r="J830" i="4"/>
  <c r="J838" i="4"/>
  <c r="J846" i="4"/>
  <c r="J854" i="4"/>
  <c r="J862" i="4"/>
  <c r="J870" i="4"/>
  <c r="J878" i="4"/>
  <c r="K878" i="4" s="1"/>
  <c r="M878" i="4" s="1"/>
  <c r="J886" i="4"/>
  <c r="J894" i="4"/>
  <c r="K894" i="4" s="1"/>
  <c r="M894" i="4" s="1"/>
  <c r="J902" i="4"/>
  <c r="J910" i="4"/>
  <c r="J918" i="4"/>
  <c r="J926" i="4"/>
  <c r="J934" i="4"/>
  <c r="J942" i="4"/>
  <c r="K942" i="4" s="1"/>
  <c r="M942" i="4" s="1"/>
  <c r="J7" i="4"/>
  <c r="J12" i="4"/>
  <c r="J13" i="4"/>
  <c r="J14" i="4"/>
  <c r="J15" i="4"/>
  <c r="J31" i="4"/>
  <c r="J47" i="4"/>
  <c r="J63" i="4"/>
  <c r="J79" i="4"/>
  <c r="J95" i="4"/>
  <c r="J111" i="4"/>
  <c r="J127" i="4"/>
  <c r="J143" i="4"/>
  <c r="K143" i="4" s="1"/>
  <c r="M143" i="4" s="1"/>
  <c r="J159" i="4"/>
  <c r="J175" i="4"/>
  <c r="J191" i="4"/>
  <c r="J207" i="4"/>
  <c r="J223" i="4"/>
  <c r="J239" i="4"/>
  <c r="Q239" i="4" s="1"/>
  <c r="J255" i="4"/>
  <c r="J271" i="4"/>
  <c r="K271" i="4" s="1"/>
  <c r="M271" i="4" s="1"/>
  <c r="J287" i="4"/>
  <c r="J304" i="4"/>
  <c r="J321" i="4"/>
  <c r="K321" i="4" s="1"/>
  <c r="M321" i="4" s="1"/>
  <c r="J337" i="4"/>
  <c r="J353" i="4"/>
  <c r="J369" i="4"/>
  <c r="K369" i="4" s="1"/>
  <c r="M369" i="4" s="1"/>
  <c r="J385" i="4"/>
  <c r="J401" i="4"/>
  <c r="J417" i="4"/>
  <c r="J433" i="4"/>
  <c r="J449" i="4"/>
  <c r="J465" i="4"/>
  <c r="K465" i="4" s="1"/>
  <c r="M465" i="4" s="1"/>
  <c r="J481" i="4"/>
  <c r="J497" i="4"/>
  <c r="J513" i="4"/>
  <c r="J529" i="4"/>
  <c r="J545" i="4"/>
  <c r="K545" i="4" s="1"/>
  <c r="M545" i="4" s="1"/>
  <c r="J561" i="4"/>
  <c r="J577" i="4"/>
  <c r="J593" i="4"/>
  <c r="J609" i="4"/>
  <c r="J625" i="4"/>
  <c r="J637" i="4"/>
  <c r="J646" i="4"/>
  <c r="J655" i="4"/>
  <c r="K655" i="4" s="1"/>
  <c r="M655" i="4" s="1"/>
  <c r="J664" i="4"/>
  <c r="J673" i="4"/>
  <c r="J683" i="4"/>
  <c r="K683" i="4" s="1"/>
  <c r="M683" i="4" s="1"/>
  <c r="J691" i="4"/>
  <c r="J699" i="4"/>
  <c r="J707" i="4"/>
  <c r="K707" i="4" s="1"/>
  <c r="M707" i="4" s="1"/>
  <c r="J715" i="4"/>
  <c r="J723" i="4"/>
  <c r="K723" i="4" s="1"/>
  <c r="M723" i="4" s="1"/>
  <c r="J731" i="4"/>
  <c r="J739" i="4"/>
  <c r="K739" i="4" s="1"/>
  <c r="M739" i="4" s="1"/>
  <c r="J747" i="4"/>
  <c r="J755" i="4"/>
  <c r="J763" i="4"/>
  <c r="K763" i="4" s="1"/>
  <c r="M763" i="4" s="1"/>
  <c r="J771" i="4"/>
  <c r="J779" i="4"/>
  <c r="J787" i="4"/>
  <c r="K787" i="4" s="1"/>
  <c r="M787" i="4" s="1"/>
  <c r="J795" i="4"/>
  <c r="J803" i="4"/>
  <c r="J811" i="4"/>
  <c r="J819" i="4"/>
  <c r="K819" i="4" s="1"/>
  <c r="M819" i="4" s="1"/>
  <c r="J827" i="4"/>
  <c r="J835" i="4"/>
  <c r="J843" i="4"/>
  <c r="J851" i="4"/>
  <c r="J859" i="4"/>
  <c r="J867" i="4"/>
  <c r="J875" i="4"/>
  <c r="J883" i="4"/>
  <c r="K883" i="4" s="1"/>
  <c r="M883" i="4" s="1"/>
  <c r="J891" i="4"/>
  <c r="J899" i="4"/>
  <c r="J907" i="4"/>
  <c r="J915" i="4"/>
  <c r="K915" i="4" s="1"/>
  <c r="M915" i="4" s="1"/>
  <c r="J923" i="4"/>
  <c r="K923" i="4" s="1"/>
  <c r="M923" i="4" s="1"/>
  <c r="J931" i="4"/>
  <c r="J939" i="4"/>
  <c r="J23" i="4"/>
  <c r="J55" i="4"/>
  <c r="J87" i="4"/>
  <c r="K87" i="4" s="1"/>
  <c r="M87" i="4" s="1"/>
  <c r="J119" i="4"/>
  <c r="J151" i="4"/>
  <c r="J183" i="4"/>
  <c r="J215" i="4"/>
  <c r="J247" i="4"/>
  <c r="K247" i="4" s="1"/>
  <c r="M247" i="4" s="1"/>
  <c r="J279" i="4"/>
  <c r="J345" i="4"/>
  <c r="J377" i="4"/>
  <c r="J409" i="4"/>
  <c r="J441" i="4"/>
  <c r="K441" i="4" s="1"/>
  <c r="M441" i="4" s="1"/>
  <c r="J473" i="4"/>
  <c r="J505" i="4"/>
  <c r="J537" i="4"/>
  <c r="J569" i="4"/>
  <c r="J601" i="4"/>
  <c r="J631" i="4"/>
  <c r="J651" i="4"/>
  <c r="K651" i="4" s="1"/>
  <c r="M651" i="4" s="1"/>
  <c r="J669" i="4"/>
  <c r="J687" i="4"/>
  <c r="J703" i="4"/>
  <c r="K703" i="4" s="1"/>
  <c r="M703" i="4" s="1"/>
  <c r="J719" i="4"/>
  <c r="J735" i="4"/>
  <c r="J751" i="4"/>
  <c r="K751" i="4" s="1"/>
  <c r="M751" i="4" s="1"/>
  <c r="J767" i="4"/>
  <c r="J783" i="4"/>
  <c r="K783" i="4" s="1"/>
  <c r="M783" i="4" s="1"/>
  <c r="J799" i="4"/>
  <c r="J815" i="4"/>
  <c r="J831" i="4"/>
  <c r="K831" i="4" s="1"/>
  <c r="M831" i="4" s="1"/>
  <c r="J847" i="4"/>
  <c r="J863" i="4"/>
  <c r="K863" i="4" s="1"/>
  <c r="M863" i="4" s="1"/>
  <c r="J879" i="4"/>
  <c r="J895" i="4"/>
  <c r="J911" i="4"/>
  <c r="J927" i="4"/>
  <c r="J943" i="4"/>
  <c r="J952" i="4"/>
  <c r="J961" i="4"/>
  <c r="J970" i="4"/>
  <c r="J979" i="4"/>
  <c r="J989" i="4"/>
  <c r="K989" i="4" s="1"/>
  <c r="M989" i="4" s="1"/>
  <c r="J998" i="4"/>
  <c r="J1006" i="4"/>
  <c r="J1014" i="4"/>
  <c r="J1022" i="4"/>
  <c r="J1030" i="4"/>
  <c r="J1038" i="4"/>
  <c r="J1046" i="4"/>
  <c r="J1054" i="4"/>
  <c r="J1062" i="4"/>
  <c r="J1070" i="4"/>
  <c r="J1078" i="4"/>
  <c r="J1086" i="4"/>
  <c r="J1094" i="4"/>
  <c r="J1102" i="4"/>
  <c r="J1110" i="4"/>
  <c r="J1118" i="4"/>
  <c r="J1126" i="4"/>
  <c r="J1134" i="4"/>
  <c r="J1142" i="4"/>
  <c r="J1150" i="4"/>
  <c r="J1158" i="4"/>
  <c r="J1166" i="4"/>
  <c r="J1174" i="4"/>
  <c r="J1182" i="4"/>
  <c r="J1190" i="4"/>
  <c r="J1198" i="4"/>
  <c r="K1198" i="4" s="1"/>
  <c r="M1198" i="4" s="1"/>
  <c r="J1206" i="4"/>
  <c r="J1214" i="4"/>
  <c r="J1222" i="4"/>
  <c r="K1222" i="4" s="1"/>
  <c r="M1222" i="4" s="1"/>
  <c r="J1230" i="4"/>
  <c r="J1238" i="4"/>
  <c r="K1238" i="4" s="1"/>
  <c r="M1238" i="4" s="1"/>
  <c r="J1246" i="4"/>
  <c r="J1254" i="4"/>
  <c r="J1262" i="4"/>
  <c r="J1270" i="4"/>
  <c r="J1278" i="4"/>
  <c r="J1286" i="4"/>
  <c r="J1294" i="4"/>
  <c r="J1302" i="4"/>
  <c r="J1310" i="4"/>
  <c r="K1310" i="4" s="1"/>
  <c r="M1310" i="4" s="1"/>
  <c r="J28" i="4"/>
  <c r="J60" i="4"/>
  <c r="J92" i="4"/>
  <c r="J124" i="4"/>
  <c r="J156" i="4"/>
  <c r="J188" i="4"/>
  <c r="J220" i="4"/>
  <c r="K220" i="4" s="1"/>
  <c r="M220" i="4" s="1"/>
  <c r="J252" i="4"/>
  <c r="J284" i="4"/>
  <c r="J318" i="4"/>
  <c r="J350" i="4"/>
  <c r="J382" i="4"/>
  <c r="J414" i="4"/>
  <c r="J446" i="4"/>
  <c r="J478" i="4"/>
  <c r="J510" i="4"/>
  <c r="J542" i="4"/>
  <c r="J574" i="4"/>
  <c r="J606" i="4"/>
  <c r="J632" i="4"/>
  <c r="J652" i="4"/>
  <c r="J670" i="4"/>
  <c r="J688" i="4"/>
  <c r="K688" i="4" s="1"/>
  <c r="M688" i="4" s="1"/>
  <c r="J704" i="4"/>
  <c r="J720" i="4"/>
  <c r="J736" i="4"/>
  <c r="J752" i="4"/>
  <c r="J768" i="4"/>
  <c r="J784" i="4"/>
  <c r="J800" i="4"/>
  <c r="J816" i="4"/>
  <c r="K816" i="4" s="1"/>
  <c r="M816" i="4" s="1"/>
  <c r="J832" i="4"/>
  <c r="J848" i="4"/>
  <c r="J864" i="4"/>
  <c r="K864" i="4" s="1"/>
  <c r="M864" i="4" s="1"/>
  <c r="J880" i="4"/>
  <c r="J896" i="4"/>
  <c r="K896" i="4" s="1"/>
  <c r="M896" i="4" s="1"/>
  <c r="J912" i="4"/>
  <c r="J928" i="4"/>
  <c r="J944" i="4"/>
  <c r="J953" i="4"/>
  <c r="J962" i="4"/>
  <c r="K962" i="4" s="1"/>
  <c r="M962" i="4" s="1"/>
  <c r="J971" i="4"/>
  <c r="J981" i="4"/>
  <c r="J990" i="4"/>
  <c r="J999" i="4"/>
  <c r="J1007" i="4"/>
  <c r="J1015" i="4"/>
  <c r="J1023" i="4"/>
  <c r="J1031" i="4"/>
  <c r="J1039" i="4"/>
  <c r="J1047" i="4"/>
  <c r="K1047" i="4" s="1"/>
  <c r="M1047" i="4" s="1"/>
  <c r="J1055" i="4"/>
  <c r="J1063" i="4"/>
  <c r="J1071" i="4"/>
  <c r="J1079" i="4"/>
  <c r="K1079" i="4" s="1"/>
  <c r="M1079" i="4" s="1"/>
  <c r="J1087" i="4"/>
  <c r="J1095" i="4"/>
  <c r="J1103" i="4"/>
  <c r="J1111" i="4"/>
  <c r="J1119" i="4"/>
  <c r="J1127" i="4"/>
  <c r="J1135" i="4"/>
  <c r="J1143" i="4"/>
  <c r="J1151" i="4"/>
  <c r="J1159" i="4"/>
  <c r="J1167" i="4"/>
  <c r="J1175" i="4"/>
  <c r="J1183" i="4"/>
  <c r="J1191" i="4"/>
  <c r="K1191" i="4" s="1"/>
  <c r="M1191" i="4" s="1"/>
  <c r="J1199" i="4"/>
  <c r="J1207" i="4"/>
  <c r="J1215" i="4"/>
  <c r="J1223" i="4"/>
  <c r="J1231" i="4"/>
  <c r="J1239" i="4"/>
  <c r="J1247" i="4"/>
  <c r="J1255" i="4"/>
  <c r="J1263" i="4"/>
  <c r="J1271" i="4"/>
  <c r="J1279" i="4"/>
  <c r="J1287" i="4"/>
  <c r="J1295" i="4"/>
  <c r="J1303" i="4"/>
  <c r="J1311" i="4"/>
  <c r="J29" i="4"/>
  <c r="J61" i="4"/>
  <c r="J93" i="4"/>
  <c r="J125" i="4"/>
  <c r="J157" i="4"/>
  <c r="J189" i="4"/>
  <c r="J221" i="4"/>
  <c r="J253" i="4"/>
  <c r="J285" i="4"/>
  <c r="J319" i="4"/>
  <c r="J351" i="4"/>
  <c r="J383" i="4"/>
  <c r="J415" i="4"/>
  <c r="J447" i="4"/>
  <c r="J479" i="4"/>
  <c r="J511" i="4"/>
  <c r="J543" i="4"/>
  <c r="J575" i="4"/>
  <c r="J607" i="4"/>
  <c r="J633" i="4"/>
  <c r="J653" i="4"/>
  <c r="K653" i="4" s="1"/>
  <c r="M653" i="4" s="1"/>
  <c r="J671" i="4"/>
  <c r="J689" i="4"/>
  <c r="J705" i="4"/>
  <c r="J721" i="4"/>
  <c r="J737" i="4"/>
  <c r="J753" i="4"/>
  <c r="J769" i="4"/>
  <c r="J785" i="4"/>
  <c r="J801" i="4"/>
  <c r="J817" i="4"/>
  <c r="J833" i="4"/>
  <c r="K833" i="4" s="1"/>
  <c r="M833" i="4" s="1"/>
  <c r="J849" i="4"/>
  <c r="J865" i="4"/>
  <c r="J881" i="4"/>
  <c r="J897" i="4"/>
  <c r="J913" i="4"/>
  <c r="J929" i="4"/>
  <c r="J945" i="4"/>
  <c r="J954" i="4"/>
  <c r="J963" i="4"/>
  <c r="J973" i="4"/>
  <c r="J982" i="4"/>
  <c r="J991" i="4"/>
  <c r="J1000" i="4"/>
  <c r="J1008" i="4"/>
  <c r="J1016" i="4"/>
  <c r="J1024" i="4"/>
  <c r="J1032" i="4"/>
  <c r="J1040" i="4"/>
  <c r="J1048" i="4"/>
  <c r="J1056" i="4"/>
  <c r="J1064" i="4"/>
  <c r="J1072" i="4"/>
  <c r="J1080" i="4"/>
  <c r="J1088" i="4"/>
  <c r="K1088" i="4" s="1"/>
  <c r="M1088" i="4" s="1"/>
  <c r="J1096" i="4"/>
  <c r="J1104" i="4"/>
  <c r="J1112" i="4"/>
  <c r="K1112" i="4" s="1"/>
  <c r="M1112" i="4" s="1"/>
  <c r="J1120" i="4"/>
  <c r="J1128" i="4"/>
  <c r="J1136" i="4"/>
  <c r="K1136" i="4" s="1"/>
  <c r="M1136" i="4" s="1"/>
  <c r="J1144" i="4"/>
  <c r="J1152" i="4"/>
  <c r="J1160" i="4"/>
  <c r="J1168" i="4"/>
  <c r="J1176" i="4"/>
  <c r="J1184" i="4"/>
  <c r="J1192" i="4"/>
  <c r="K1192" i="4" s="1"/>
  <c r="M1192" i="4" s="1"/>
  <c r="J1200" i="4"/>
  <c r="K1200" i="4" s="1"/>
  <c r="M1200" i="4" s="1"/>
  <c r="J1208" i="4"/>
  <c r="J1216" i="4"/>
  <c r="J1224" i="4"/>
  <c r="J1232" i="4"/>
  <c r="J1240" i="4"/>
  <c r="K1240" i="4" s="1"/>
  <c r="M1240" i="4" s="1"/>
  <c r="J1248" i="4"/>
  <c r="J1256" i="4"/>
  <c r="J1264" i="4"/>
  <c r="J1272" i="4"/>
  <c r="K1272" i="4" s="1"/>
  <c r="M1272" i="4" s="1"/>
  <c r="J1280" i="4"/>
  <c r="J1288" i="4"/>
  <c r="J1296" i="4"/>
  <c r="J1304" i="4"/>
  <c r="J1312" i="4"/>
  <c r="J46" i="4"/>
  <c r="J78" i="4"/>
  <c r="J110" i="4"/>
  <c r="J142" i="4"/>
  <c r="J174" i="4"/>
  <c r="J206" i="4"/>
  <c r="K206" i="4" s="1"/>
  <c r="M206" i="4" s="1"/>
  <c r="J238" i="4"/>
  <c r="Q238" i="4" s="1"/>
  <c r="J270" i="4"/>
  <c r="J302" i="4"/>
  <c r="J336" i="4"/>
  <c r="K336" i="4" s="1"/>
  <c r="M336" i="4" s="1"/>
  <c r="J368" i="4"/>
  <c r="J400" i="4"/>
  <c r="J432" i="4"/>
  <c r="K432" i="4" s="1"/>
  <c r="M432" i="4" s="1"/>
  <c r="J464" i="4"/>
  <c r="J496" i="4"/>
  <c r="J528" i="4"/>
  <c r="K528" i="4" s="1"/>
  <c r="M528" i="4" s="1"/>
  <c r="J560" i="4"/>
  <c r="J592" i="4"/>
  <c r="J624" i="4"/>
  <c r="J645" i="4"/>
  <c r="J663" i="4"/>
  <c r="J681" i="4"/>
  <c r="J698" i="4"/>
  <c r="J714" i="4"/>
  <c r="J730" i="4"/>
  <c r="J746" i="4"/>
  <c r="J762" i="4"/>
  <c r="J778" i="4"/>
  <c r="J794" i="4"/>
  <c r="J810" i="4"/>
  <c r="J826" i="4"/>
  <c r="J842" i="4"/>
  <c r="J858" i="4"/>
  <c r="J874" i="4"/>
  <c r="K874" i="4" s="1"/>
  <c r="M874" i="4" s="1"/>
  <c r="J890" i="4"/>
  <c r="J906" i="4"/>
  <c r="J922" i="4"/>
  <c r="J938" i="4"/>
  <c r="K938" i="4" s="1"/>
  <c r="M938" i="4" s="1"/>
  <c r="J951" i="4"/>
  <c r="K951" i="4" s="1"/>
  <c r="M951" i="4" s="1"/>
  <c r="J960" i="4"/>
  <c r="J969" i="4"/>
  <c r="J978" i="4"/>
  <c r="J987" i="4"/>
  <c r="J997" i="4"/>
  <c r="J1005" i="4"/>
  <c r="J1013" i="4"/>
  <c r="J1021" i="4"/>
  <c r="J1029" i="4"/>
  <c r="J1037" i="4"/>
  <c r="K1037" i="4" s="1"/>
  <c r="M1037" i="4" s="1"/>
  <c r="J1045" i="4"/>
  <c r="K1045" i="4" s="1"/>
  <c r="M1045" i="4" s="1"/>
  <c r="J1053" i="4"/>
  <c r="J1061" i="4"/>
  <c r="J1069" i="4"/>
  <c r="J1077" i="4"/>
  <c r="J1085" i="4"/>
  <c r="J1093" i="4"/>
  <c r="J1101" i="4"/>
  <c r="J1109" i="4"/>
  <c r="J1117" i="4"/>
  <c r="J1125" i="4"/>
  <c r="J1133" i="4"/>
  <c r="J1141" i="4"/>
  <c r="J1149" i="4"/>
  <c r="J1157" i="4"/>
  <c r="J1165" i="4"/>
  <c r="K1165" i="4" s="1"/>
  <c r="M1165" i="4" s="1"/>
  <c r="J1173" i="4"/>
  <c r="J1181" i="4"/>
  <c r="K1181" i="4" s="1"/>
  <c r="M1181" i="4" s="1"/>
  <c r="J1189" i="4"/>
  <c r="J1197" i="4"/>
  <c r="J1205" i="4"/>
  <c r="J1213" i="4"/>
  <c r="J1221" i="4"/>
  <c r="J1229" i="4"/>
  <c r="J1237" i="4"/>
  <c r="J1245" i="4"/>
  <c r="J1253" i="4"/>
  <c r="J1261" i="4"/>
  <c r="J1269" i="4"/>
  <c r="J1277" i="4"/>
  <c r="J1285" i="4"/>
  <c r="K1285" i="4" s="1"/>
  <c r="M1285" i="4" s="1"/>
  <c r="J1293" i="4"/>
  <c r="J1301" i="4"/>
  <c r="J1309" i="4"/>
  <c r="J30" i="4"/>
  <c r="J94" i="4"/>
  <c r="J158" i="4"/>
  <c r="J222" i="4"/>
  <c r="J286" i="4"/>
  <c r="J352" i="4"/>
  <c r="J416" i="4"/>
  <c r="J480" i="4"/>
  <c r="K480" i="4" s="1"/>
  <c r="M480" i="4" s="1"/>
  <c r="J544" i="4"/>
  <c r="K544" i="4" s="1"/>
  <c r="M544" i="4" s="1"/>
  <c r="J608" i="4"/>
  <c r="J654" i="4"/>
  <c r="J690" i="4"/>
  <c r="J722" i="4"/>
  <c r="J754" i="4"/>
  <c r="J786" i="4"/>
  <c r="J818" i="4"/>
  <c r="J850" i="4"/>
  <c r="J882" i="4"/>
  <c r="J914" i="4"/>
  <c r="J946" i="4"/>
  <c r="J965" i="4"/>
  <c r="J983" i="4"/>
  <c r="J1001" i="4"/>
  <c r="J1017" i="4"/>
  <c r="J1033" i="4"/>
  <c r="J1049" i="4"/>
  <c r="J1065" i="4"/>
  <c r="K1065" i="4" s="1"/>
  <c r="M1065" i="4" s="1"/>
  <c r="J1081" i="4"/>
  <c r="K1081" i="4" s="1"/>
  <c r="M1081" i="4" s="1"/>
  <c r="J1097" i="4"/>
  <c r="J1113" i="4"/>
  <c r="J1129" i="4"/>
  <c r="J1145" i="4"/>
  <c r="J1161" i="4"/>
  <c r="K1161" i="4" s="1"/>
  <c r="M1161" i="4" s="1"/>
  <c r="J1177" i="4"/>
  <c r="K1177" i="4" s="1"/>
  <c r="M1177" i="4" s="1"/>
  <c r="J1193" i="4"/>
  <c r="J1209" i="4"/>
  <c r="K1209" i="4" s="1"/>
  <c r="M1209" i="4" s="1"/>
  <c r="J1225" i="4"/>
  <c r="J1241" i="4"/>
  <c r="K1241" i="4" s="1"/>
  <c r="M1241" i="4" s="1"/>
  <c r="J1257" i="4"/>
  <c r="J1273" i="4"/>
  <c r="J1289" i="4"/>
  <c r="J1305" i="4"/>
  <c r="K1305" i="4" s="1"/>
  <c r="M1305" i="4" s="1"/>
  <c r="J173" i="4"/>
  <c r="K173" i="4" s="1"/>
  <c r="M173" i="4" s="1"/>
  <c r="J301" i="4"/>
  <c r="J431" i="4"/>
  <c r="J495" i="4"/>
  <c r="K495" i="4" s="1"/>
  <c r="M495" i="4" s="1"/>
  <c r="J623" i="4"/>
  <c r="K623" i="4" s="1"/>
  <c r="M623" i="4" s="1"/>
  <c r="J697" i="4"/>
  <c r="J761" i="4"/>
  <c r="J825" i="4"/>
  <c r="K825" i="4" s="1"/>
  <c r="M825" i="4" s="1"/>
  <c r="J889" i="4"/>
  <c r="J950" i="4"/>
  <c r="K950" i="4" s="1"/>
  <c r="M950" i="4" s="1"/>
  <c r="J986" i="4"/>
  <c r="K986" i="4" s="1"/>
  <c r="M986" i="4" s="1"/>
  <c r="J1020" i="4"/>
  <c r="K1020" i="4" s="1"/>
  <c r="M1020" i="4" s="1"/>
  <c r="J1052" i="4"/>
  <c r="J1100" i="4"/>
  <c r="J1148" i="4"/>
  <c r="J1180" i="4"/>
  <c r="J1212" i="4"/>
  <c r="J1244" i="4"/>
  <c r="K1244" i="4" s="1"/>
  <c r="M1244" i="4" s="1"/>
  <c r="J1276" i="4"/>
  <c r="K1276" i="4" s="1"/>
  <c r="M1276" i="4" s="1"/>
  <c r="J1308" i="4"/>
  <c r="K1308" i="4" s="1"/>
  <c r="M1308" i="4" s="1"/>
  <c r="J126" i="4"/>
  <c r="J384" i="4"/>
  <c r="K384" i="4" s="1"/>
  <c r="M384" i="4" s="1"/>
  <c r="J576" i="4"/>
  <c r="J738" i="4"/>
  <c r="J866" i="4"/>
  <c r="J974" i="4"/>
  <c r="J1041" i="4"/>
  <c r="J1089" i="4"/>
  <c r="J1169" i="4"/>
  <c r="K1169" i="4" s="1"/>
  <c r="M1169" i="4" s="1"/>
  <c r="J1249" i="4"/>
  <c r="K1249" i="4" s="1"/>
  <c r="M1249" i="4" s="1"/>
  <c r="J263" i="4"/>
  <c r="J1298" i="4"/>
  <c r="J140" i="4"/>
  <c r="J334" i="4"/>
  <c r="J590" i="4"/>
  <c r="K590" i="4" s="1"/>
  <c r="M590" i="4" s="1"/>
  <c r="J712" i="4"/>
  <c r="J776" i="4"/>
  <c r="K776" i="4" s="1"/>
  <c r="M776" i="4" s="1"/>
  <c r="J840" i="4"/>
  <c r="J904" i="4"/>
  <c r="J958" i="4"/>
  <c r="J1011" i="4"/>
  <c r="J1043" i="4"/>
  <c r="J1075" i="4"/>
  <c r="J1107" i="4"/>
  <c r="J1139" i="4"/>
  <c r="J1171" i="4"/>
  <c r="J1203" i="4"/>
  <c r="J1235" i="4"/>
  <c r="J1267" i="4"/>
  <c r="J1299" i="4"/>
  <c r="K1299" i="4" s="1"/>
  <c r="M1299" i="4" s="1"/>
  <c r="J39" i="4"/>
  <c r="J103" i="4"/>
  <c r="J167" i="4"/>
  <c r="J231" i="4"/>
  <c r="K231" i="4" s="1"/>
  <c r="M231" i="4" s="1"/>
  <c r="J295" i="4"/>
  <c r="J361" i="4"/>
  <c r="J425" i="4"/>
  <c r="J489" i="4"/>
  <c r="J553" i="4"/>
  <c r="J617" i="4"/>
  <c r="J660" i="4"/>
  <c r="J695" i="4"/>
  <c r="J727" i="4"/>
  <c r="J759" i="4"/>
  <c r="J791" i="4"/>
  <c r="J823" i="4"/>
  <c r="J855" i="4"/>
  <c r="J887" i="4"/>
  <c r="J919" i="4"/>
  <c r="K919" i="4" s="1"/>
  <c r="M919" i="4" s="1"/>
  <c r="J947" i="4"/>
  <c r="J966" i="4"/>
  <c r="J984" i="4"/>
  <c r="J1002" i="4"/>
  <c r="J1018" i="4"/>
  <c r="J1034" i="4"/>
  <c r="J1050" i="4"/>
  <c r="J1066" i="4"/>
  <c r="J1082" i="4"/>
  <c r="J1098" i="4"/>
  <c r="J1114" i="4"/>
  <c r="K1114" i="4" s="1"/>
  <c r="M1114" i="4" s="1"/>
  <c r="J1130" i="4"/>
  <c r="J1146" i="4"/>
  <c r="J1162" i="4"/>
  <c r="J1178" i="4"/>
  <c r="J1194" i="4"/>
  <c r="J1210" i="4"/>
  <c r="J1226" i="4"/>
  <c r="J1242" i="4"/>
  <c r="J1258" i="4"/>
  <c r="J1274" i="4"/>
  <c r="J1290" i="4"/>
  <c r="J1306" i="4"/>
  <c r="K1306" i="4" s="1"/>
  <c r="M1306" i="4" s="1"/>
  <c r="J109" i="4"/>
  <c r="J367" i="4"/>
  <c r="J559" i="4"/>
  <c r="J662" i="4"/>
  <c r="J729" i="4"/>
  <c r="J793" i="4"/>
  <c r="J857" i="4"/>
  <c r="J921" i="4"/>
  <c r="K921" i="4" s="1"/>
  <c r="M921" i="4" s="1"/>
  <c r="J968" i="4"/>
  <c r="J1004" i="4"/>
  <c r="J1036" i="4"/>
  <c r="K1036" i="4" s="1"/>
  <c r="M1036" i="4" s="1"/>
  <c r="J1068" i="4"/>
  <c r="J1116" i="4"/>
  <c r="K1116" i="4" s="1"/>
  <c r="M1116" i="4" s="1"/>
  <c r="J1132" i="4"/>
  <c r="K1132" i="4" s="1"/>
  <c r="M1132" i="4" s="1"/>
  <c r="J1164" i="4"/>
  <c r="J1196" i="4"/>
  <c r="J1228" i="4"/>
  <c r="J1292" i="4"/>
  <c r="K1292" i="4" s="1"/>
  <c r="M1292" i="4" s="1"/>
  <c r="J62" i="4"/>
  <c r="J320" i="4"/>
  <c r="J448" i="4"/>
  <c r="K448" i="4" s="1"/>
  <c r="M448" i="4" s="1"/>
  <c r="J512" i="4"/>
  <c r="K512" i="4" s="1"/>
  <c r="M512" i="4" s="1"/>
  <c r="J635" i="4"/>
  <c r="K635" i="4" s="1"/>
  <c r="M635" i="4" s="1"/>
  <c r="J706" i="4"/>
  <c r="K706" i="4" s="1"/>
  <c r="M706" i="4" s="1"/>
  <c r="J770" i="4"/>
  <c r="J834" i="4"/>
  <c r="K834" i="4" s="1"/>
  <c r="M834" i="4" s="1"/>
  <c r="J955" i="4"/>
  <c r="K955" i="4" s="1"/>
  <c r="M955" i="4" s="1"/>
  <c r="J1025" i="4"/>
  <c r="J1105" i="4"/>
  <c r="J1153" i="4"/>
  <c r="J1217" i="4"/>
  <c r="J1297" i="4"/>
  <c r="J199" i="4"/>
  <c r="J329" i="4"/>
  <c r="J393" i="4"/>
  <c r="K393" i="4" s="1"/>
  <c r="M393" i="4" s="1"/>
  <c r="J585" i="4"/>
  <c r="J678" i="4"/>
  <c r="J775" i="4"/>
  <c r="J871" i="4"/>
  <c r="K871" i="4" s="1"/>
  <c r="M871" i="4" s="1"/>
  <c r="J957" i="4"/>
  <c r="J993" i="4"/>
  <c r="K993" i="4" s="1"/>
  <c r="M993" i="4" s="1"/>
  <c r="J1042" i="4"/>
  <c r="K1042" i="4" s="1"/>
  <c r="M1042" i="4" s="1"/>
  <c r="J1090" i="4"/>
  <c r="J1138" i="4"/>
  <c r="J1186" i="4"/>
  <c r="J1234" i="4"/>
  <c r="J1282" i="4"/>
  <c r="K1282" i="4" s="1"/>
  <c r="M1282" i="4" s="1"/>
  <c r="J76" i="4"/>
  <c r="J204" i="4"/>
  <c r="J268" i="4"/>
  <c r="J398" i="4"/>
  <c r="J643" i="4"/>
  <c r="J679" i="4"/>
  <c r="J744" i="4"/>
  <c r="J808" i="4"/>
  <c r="J872" i="4"/>
  <c r="J936" i="4"/>
  <c r="J976" i="4"/>
  <c r="J994" i="4"/>
  <c r="J1027" i="4"/>
  <c r="J1059" i="4"/>
  <c r="J1091" i="4"/>
  <c r="J1123" i="4"/>
  <c r="J1155" i="4"/>
  <c r="J1187" i="4"/>
  <c r="J1219" i="4"/>
  <c r="J1251" i="4"/>
  <c r="J1283" i="4"/>
  <c r="J44" i="4"/>
  <c r="J108" i="4"/>
  <c r="J172" i="4"/>
  <c r="K172" i="4" s="1"/>
  <c r="M172" i="4" s="1"/>
  <c r="J236" i="4"/>
  <c r="J300" i="4"/>
  <c r="J366" i="4"/>
  <c r="K366" i="4" s="1"/>
  <c r="M366" i="4" s="1"/>
  <c r="J430" i="4"/>
  <c r="J494" i="4"/>
  <c r="J558" i="4"/>
  <c r="J622" i="4"/>
  <c r="K622" i="4" s="1"/>
  <c r="M622" i="4" s="1"/>
  <c r="J661" i="4"/>
  <c r="K661" i="4" s="1"/>
  <c r="M661" i="4" s="1"/>
  <c r="J696" i="4"/>
  <c r="J728" i="4"/>
  <c r="J760" i="4"/>
  <c r="J792" i="4"/>
  <c r="J824" i="4"/>
  <c r="J856" i="4"/>
  <c r="J888" i="4"/>
  <c r="J920" i="4"/>
  <c r="J949" i="4"/>
  <c r="J967" i="4"/>
  <c r="J985" i="4"/>
  <c r="J1003" i="4"/>
  <c r="J1019" i="4"/>
  <c r="J1035" i="4"/>
  <c r="J1051" i="4"/>
  <c r="K1051" i="4" s="1"/>
  <c r="M1051" i="4" s="1"/>
  <c r="J1067" i="4"/>
  <c r="J1083" i="4"/>
  <c r="J1099" i="4"/>
  <c r="J1115" i="4"/>
  <c r="J1131" i="4"/>
  <c r="J1147" i="4"/>
  <c r="K1147" i="4" s="1"/>
  <c r="M1147" i="4" s="1"/>
  <c r="J1163" i="4"/>
  <c r="K1163" i="4" s="1"/>
  <c r="M1163" i="4" s="1"/>
  <c r="J1179" i="4"/>
  <c r="J1195" i="4"/>
  <c r="K1195" i="4" s="1"/>
  <c r="M1195" i="4" s="1"/>
  <c r="J1211" i="4"/>
  <c r="J1227" i="4"/>
  <c r="J1243" i="4"/>
  <c r="J1259" i="4"/>
  <c r="J1275" i="4"/>
  <c r="J1291" i="4"/>
  <c r="J1307" i="4"/>
  <c r="J45" i="4"/>
  <c r="J1084" i="4"/>
  <c r="J1260" i="4"/>
  <c r="J190" i="4"/>
  <c r="J672" i="4"/>
  <c r="J802" i="4"/>
  <c r="K802" i="4" s="1"/>
  <c r="M802" i="4" s="1"/>
  <c r="J898" i="4"/>
  <c r="J992" i="4"/>
  <c r="K992" i="4" s="1"/>
  <c r="M992" i="4" s="1"/>
  <c r="J1009" i="4"/>
  <c r="J1073" i="4"/>
  <c r="J1137" i="4"/>
  <c r="J1185" i="4"/>
  <c r="J1233" i="4"/>
  <c r="J1265" i="4"/>
  <c r="J1313" i="4"/>
  <c r="J135" i="4"/>
  <c r="J457" i="4"/>
  <c r="J641" i="4"/>
  <c r="K641" i="4" s="1"/>
  <c r="M641" i="4" s="1"/>
  <c r="J743" i="4"/>
  <c r="J839" i="4"/>
  <c r="J935" i="4"/>
  <c r="J1010" i="4"/>
  <c r="J1058" i="4"/>
  <c r="J1122" i="4"/>
  <c r="J1170" i="4"/>
  <c r="K1170" i="4" s="1"/>
  <c r="M1170" i="4" s="1"/>
  <c r="J1218" i="4"/>
  <c r="K1218" i="4" s="1"/>
  <c r="M1218" i="4" s="1"/>
  <c r="J1266" i="4"/>
  <c r="J526" i="4"/>
  <c r="J77" i="4"/>
  <c r="J141" i="4"/>
  <c r="K141" i="4" s="1"/>
  <c r="M141" i="4" s="1"/>
  <c r="J205" i="4"/>
  <c r="K205" i="4" s="1"/>
  <c r="M205" i="4" s="1"/>
  <c r="J269" i="4"/>
  <c r="J335" i="4"/>
  <c r="J399" i="4"/>
  <c r="J463" i="4"/>
  <c r="J527" i="4"/>
  <c r="J591" i="4"/>
  <c r="J644" i="4"/>
  <c r="J680" i="4"/>
  <c r="J713" i="4"/>
  <c r="J745" i="4"/>
  <c r="J777" i="4"/>
  <c r="J809" i="4"/>
  <c r="K809" i="4" s="1"/>
  <c r="M809" i="4" s="1"/>
  <c r="J841" i="4"/>
  <c r="J873" i="4"/>
  <c r="J905" i="4"/>
  <c r="J937" i="4"/>
  <c r="J959" i="4"/>
  <c r="J977" i="4"/>
  <c r="J995" i="4"/>
  <c r="J1012" i="4"/>
  <c r="J1028" i="4"/>
  <c r="J1044" i="4"/>
  <c r="K1044" i="4" s="1"/>
  <c r="M1044" i="4" s="1"/>
  <c r="J1060" i="4"/>
  <c r="J1076" i="4"/>
  <c r="J1092" i="4"/>
  <c r="J1108" i="4"/>
  <c r="J1124" i="4"/>
  <c r="J1140" i="4"/>
  <c r="J1156" i="4"/>
  <c r="K1156" i="4" s="1"/>
  <c r="M1156" i="4" s="1"/>
  <c r="J1172" i="4"/>
  <c r="J1188" i="4"/>
  <c r="J1204" i="4"/>
  <c r="J1220" i="4"/>
  <c r="J1236" i="4"/>
  <c r="K1236" i="4" s="1"/>
  <c r="M1236" i="4" s="1"/>
  <c r="J1252" i="4"/>
  <c r="J1268" i="4"/>
  <c r="J1284" i="4"/>
  <c r="J1300" i="4"/>
  <c r="J237" i="4"/>
  <c r="Q237" i="4" s="1"/>
  <c r="J254" i="4"/>
  <c r="J930" i="4"/>
  <c r="J1057" i="4"/>
  <c r="J1121" i="4"/>
  <c r="J1201" i="4"/>
  <c r="J1281" i="4"/>
  <c r="J71" i="4"/>
  <c r="J521" i="4"/>
  <c r="J711" i="4"/>
  <c r="K711" i="4" s="1"/>
  <c r="M711" i="4" s="1"/>
  <c r="J807" i="4"/>
  <c r="J903" i="4"/>
  <c r="J975" i="4"/>
  <c r="K975" i="4" s="1"/>
  <c r="M975" i="4" s="1"/>
  <c r="J1026" i="4"/>
  <c r="K1026" i="4" s="1"/>
  <c r="M1026" i="4" s="1"/>
  <c r="J1074" i="4"/>
  <c r="J1106" i="4"/>
  <c r="K1106" i="4" s="1"/>
  <c r="M1106" i="4" s="1"/>
  <c r="J1154" i="4"/>
  <c r="J1202" i="4"/>
  <c r="J1250" i="4"/>
  <c r="J462" i="4"/>
  <c r="J303" i="4"/>
  <c r="H41" i="1"/>
  <c r="J41" i="1" s="1"/>
  <c r="H33" i="1"/>
  <c r="J33" i="1" s="1"/>
  <c r="F28" i="5"/>
  <c r="F12" i="5"/>
  <c r="H98" i="1"/>
  <c r="J98" i="1" s="1"/>
  <c r="H112" i="1"/>
  <c r="J112" i="1" s="1"/>
  <c r="F31" i="5"/>
  <c r="H80" i="1"/>
  <c r="J80" i="1" s="1"/>
  <c r="H72" i="1"/>
  <c r="J72" i="1" s="1"/>
  <c r="H86" i="1"/>
  <c r="J86" i="1" s="1"/>
  <c r="H106" i="1"/>
  <c r="J106" i="1" s="1"/>
  <c r="H128" i="1"/>
  <c r="J128" i="1" s="1"/>
  <c r="H120" i="1"/>
  <c r="J120" i="1" s="1"/>
  <c r="H153" i="1"/>
  <c r="J153" i="1" s="1"/>
  <c r="M22" i="5"/>
  <c r="M20" i="5"/>
  <c r="F7" i="5"/>
  <c r="M4" i="5"/>
  <c r="H176" i="1"/>
  <c r="J176" i="1" s="1"/>
  <c r="H193" i="1"/>
  <c r="J193" i="1" s="1"/>
  <c r="H204" i="1"/>
  <c r="J204" i="1" s="1"/>
  <c r="M17" i="5"/>
  <c r="H150" i="1"/>
  <c r="J150" i="1" s="1"/>
  <c r="H198" i="1"/>
  <c r="J198" i="1" s="1"/>
  <c r="H194" i="1"/>
  <c r="J194" i="1" s="1"/>
  <c r="H190" i="1"/>
  <c r="J190" i="1" s="1"/>
  <c r="H186" i="1"/>
  <c r="J186" i="1" s="1"/>
  <c r="H50" i="1"/>
  <c r="J50" i="1" s="1"/>
  <c r="H26" i="1"/>
  <c r="J26" i="1" s="1"/>
  <c r="H18" i="1"/>
  <c r="J18" i="1" s="1"/>
  <c r="M18" i="5"/>
  <c r="H36" i="1"/>
  <c r="J36" i="1" s="1"/>
  <c r="B17" i="5"/>
  <c r="F30" i="5"/>
  <c r="F22" i="5"/>
  <c r="F14" i="5"/>
  <c r="N4" i="5"/>
  <c r="N20" i="5"/>
  <c r="H17" i="1"/>
  <c r="J17" i="1" s="1"/>
  <c r="B29" i="5"/>
  <c r="B21" i="5"/>
  <c r="F13" i="5"/>
  <c r="M27" i="5"/>
  <c r="B20" i="5"/>
  <c r="H45" i="1"/>
  <c r="J45" i="1" s="1"/>
  <c r="F10" i="5"/>
  <c r="M24" i="5"/>
  <c r="M15" i="5"/>
  <c r="M7" i="5"/>
  <c r="F9" i="5"/>
  <c r="B7" i="5"/>
  <c r="N13" i="5"/>
  <c r="H141" i="1"/>
  <c r="J141" i="1" s="1"/>
  <c r="H133" i="1"/>
  <c r="J133" i="1" s="1"/>
  <c r="H151" i="1"/>
  <c r="J151" i="1" s="1"/>
  <c r="M19" i="5"/>
  <c r="M11" i="5"/>
  <c r="M3" i="5"/>
  <c r="N27" i="5"/>
  <c r="N19" i="5"/>
  <c r="N11" i="5"/>
  <c r="F5" i="5"/>
  <c r="B27" i="5"/>
  <c r="F19" i="5"/>
  <c r="F11" i="5"/>
  <c r="H60" i="1"/>
  <c r="J60" i="1" s="1"/>
  <c r="F33" i="5"/>
  <c r="F25" i="5"/>
  <c r="H64" i="1"/>
  <c r="J64" i="1" s="1"/>
  <c r="F16" i="5"/>
  <c r="B9" i="5"/>
  <c r="H57" i="1"/>
  <c r="J57" i="1" s="1"/>
  <c r="H70" i="1"/>
  <c r="J70" i="1" s="1"/>
  <c r="H74" i="1"/>
  <c r="J74" i="1" s="1"/>
  <c r="H66" i="1"/>
  <c r="J66" i="1" s="1"/>
  <c r="H93" i="1"/>
  <c r="J93" i="1" s="1"/>
  <c r="H100" i="1"/>
  <c r="J100" i="1" s="1"/>
  <c r="H104" i="1"/>
  <c r="J104" i="1" s="1"/>
  <c r="F18" i="5"/>
  <c r="H143" i="1"/>
  <c r="J143" i="1" s="1"/>
  <c r="H103" i="1"/>
  <c r="J103" i="1" s="1"/>
  <c r="B32" i="5"/>
  <c r="N21" i="5"/>
  <c r="H205" i="1"/>
  <c r="J205" i="1" s="1"/>
  <c r="H216" i="1"/>
  <c r="J216" i="1" s="1"/>
  <c r="H208" i="1"/>
  <c r="J208" i="1" s="1"/>
  <c r="H222" i="1"/>
  <c r="J222" i="1" s="1"/>
  <c r="H11" i="1"/>
  <c r="J11" i="1" s="1"/>
  <c r="H58" i="1"/>
  <c r="J58" i="1" s="1"/>
  <c r="B24" i="5"/>
  <c r="H10" i="1"/>
  <c r="J10" i="1" s="1"/>
  <c r="H9" i="1"/>
  <c r="J9" i="1" s="1"/>
  <c r="H137" i="1"/>
  <c r="J137" i="1" s="1"/>
  <c r="H99" i="1"/>
  <c r="J99" i="1" s="1"/>
  <c r="H108" i="1"/>
  <c r="J108" i="1" s="1"/>
  <c r="H129" i="1"/>
  <c r="J129" i="1" s="1"/>
  <c r="H77" i="1"/>
  <c r="J77" i="1" s="1"/>
  <c r="H69" i="1"/>
  <c r="J69" i="1" s="1"/>
  <c r="H81" i="1"/>
  <c r="J81" i="1" s="1"/>
  <c r="H73" i="1"/>
  <c r="J73" i="1" s="1"/>
  <c r="H114" i="1"/>
  <c r="J114" i="1" s="1"/>
  <c r="H44" i="1"/>
  <c r="J44" i="1" s="1"/>
  <c r="H20" i="1"/>
  <c r="J20" i="1" s="1"/>
  <c r="F6" i="5"/>
  <c r="B14" i="5"/>
  <c r="M30" i="5"/>
  <c r="M5" i="5"/>
  <c r="N29" i="5"/>
  <c r="N5" i="5"/>
  <c r="H173" i="1"/>
  <c r="J173" i="1" s="1"/>
  <c r="H227" i="1"/>
  <c r="J227" i="1" s="1"/>
  <c r="H51" i="1"/>
  <c r="J51" i="1" s="1"/>
  <c r="H35" i="1"/>
  <c r="J35" i="1" s="1"/>
  <c r="H19" i="1"/>
  <c r="J19" i="1" s="1"/>
  <c r="H42" i="1"/>
  <c r="J42" i="1" s="1"/>
  <c r="H34" i="1"/>
  <c r="J34" i="1" s="1"/>
  <c r="B31" i="5"/>
  <c r="B23" i="5"/>
  <c r="B15" i="5"/>
  <c r="H142" i="1"/>
  <c r="J142" i="1" s="1"/>
  <c r="H134" i="1"/>
  <c r="J134" i="1" s="1"/>
  <c r="H152" i="1"/>
  <c r="J152" i="1" s="1"/>
  <c r="H148" i="1"/>
  <c r="J148" i="1" s="1"/>
  <c r="H49" i="1"/>
  <c r="J49" i="1" s="1"/>
  <c r="H25" i="1"/>
  <c r="J25" i="1" s="1"/>
  <c r="H56" i="1"/>
  <c r="J56" i="1" s="1"/>
  <c r="H139" i="1"/>
  <c r="J139" i="1" s="1"/>
  <c r="H149" i="1"/>
  <c r="J149" i="1" s="1"/>
  <c r="H158" i="1"/>
  <c r="J158" i="1" s="1"/>
  <c r="H229" i="1"/>
  <c r="J229" i="1" s="1"/>
  <c r="H234" i="1"/>
  <c r="J234" i="1" s="1"/>
  <c r="B26" i="5"/>
  <c r="H140" i="1"/>
  <c r="J140" i="1" s="1"/>
  <c r="H220" i="1"/>
  <c r="J220" i="1" s="1"/>
  <c r="H43" i="1"/>
  <c r="J43" i="1" s="1"/>
  <c r="B11" i="5"/>
  <c r="N10" i="5"/>
  <c r="H165" i="1"/>
  <c r="J165" i="1" s="1"/>
  <c r="H157" i="1"/>
  <c r="J157" i="1" s="1"/>
  <c r="B13" i="5"/>
  <c r="F15" i="5"/>
  <c r="H135" i="1"/>
  <c r="J135" i="1" s="1"/>
  <c r="H162" i="1"/>
  <c r="J162" i="1" s="1"/>
  <c r="H172" i="1"/>
  <c r="J172" i="1" s="1"/>
  <c r="H168" i="1"/>
  <c r="J168" i="1" s="1"/>
  <c r="H210" i="1"/>
  <c r="J210" i="1" s="1"/>
  <c r="H226" i="1"/>
  <c r="J226" i="1" s="1"/>
  <c r="N2" i="5"/>
  <c r="M26" i="5"/>
  <c r="N26" i="5"/>
  <c r="F2" i="5"/>
  <c r="F27" i="5"/>
  <c r="B19" i="5"/>
  <c r="F17" i="5"/>
  <c r="B33" i="5"/>
  <c r="B25" i="5"/>
  <c r="M25" i="5"/>
  <c r="H228" i="1"/>
  <c r="J228" i="1" s="1"/>
  <c r="H23" i="1"/>
  <c r="J23" i="1" s="1"/>
  <c r="H62" i="1"/>
  <c r="J62" i="1" s="1"/>
  <c r="H65" i="1"/>
  <c r="J65" i="1" s="1"/>
  <c r="M10" i="5"/>
  <c r="M2" i="5"/>
  <c r="N18" i="5"/>
  <c r="B12" i="5"/>
  <c r="H38" i="1"/>
  <c r="J38" i="1" s="1"/>
  <c r="H30" i="1"/>
  <c r="J30" i="1" s="1"/>
  <c r="H14" i="1"/>
  <c r="J14" i="1" s="1"/>
  <c r="H61" i="1"/>
  <c r="J61" i="1" s="1"/>
  <c r="H37" i="1"/>
  <c r="J37" i="1" s="1"/>
  <c r="H29" i="1"/>
  <c r="J29" i="1" s="1"/>
  <c r="H63" i="1"/>
  <c r="J63" i="1" s="1"/>
  <c r="F3" i="5"/>
  <c r="F26" i="5"/>
  <c r="B18" i="5"/>
  <c r="B10" i="5"/>
  <c r="H147" i="1"/>
  <c r="J147" i="1" s="1"/>
  <c r="H201" i="1"/>
  <c r="J201" i="1" s="1"/>
  <c r="H212" i="1"/>
  <c r="J212" i="1" s="1"/>
  <c r="H52" i="1"/>
  <c r="J52" i="1" s="1"/>
  <c r="H28" i="1"/>
  <c r="J28" i="1" s="1"/>
  <c r="F23" i="5"/>
  <c r="H230" i="1"/>
  <c r="J230" i="1" s="1"/>
  <c r="H144" i="1"/>
  <c r="J144" i="1" s="1"/>
  <c r="H136" i="1"/>
  <c r="J136" i="1" s="1"/>
  <c r="H132" i="1"/>
  <c r="J132" i="1" s="1"/>
  <c r="H146" i="1"/>
  <c r="J146" i="1" s="1"/>
  <c r="H174" i="1"/>
  <c r="J174" i="1" s="1"/>
  <c r="B30" i="5"/>
  <c r="B28" i="5"/>
  <c r="H200" i="1"/>
  <c r="J200" i="1" s="1"/>
  <c r="H27" i="1"/>
  <c r="J27" i="1" s="1"/>
  <c r="H191" i="1"/>
  <c r="J191" i="1" s="1"/>
  <c r="H225" i="1"/>
  <c r="J225" i="1" s="1"/>
  <c r="H169" i="1"/>
  <c r="J169" i="1" s="1"/>
  <c r="H183" i="1"/>
  <c r="J183" i="1" s="1"/>
  <c r="H175" i="1"/>
  <c r="J175" i="1" s="1"/>
  <c r="H197" i="1"/>
  <c r="J197" i="1" s="1"/>
  <c r="H189" i="1"/>
  <c r="J189" i="1" s="1"/>
  <c r="H203" i="1"/>
  <c r="J203" i="1" s="1"/>
  <c r="H215" i="1"/>
  <c r="J215" i="1" s="1"/>
  <c r="H217" i="1"/>
  <c r="J217" i="1" s="1"/>
  <c r="F21" i="5"/>
  <c r="M9" i="5"/>
  <c r="N33" i="5"/>
  <c r="N25" i="5"/>
  <c r="N17" i="5"/>
  <c r="N9" i="5"/>
  <c r="F29" i="5"/>
  <c r="B5" i="5"/>
  <c r="F20" i="5"/>
  <c r="N6" i="5"/>
  <c r="B4" i="5"/>
  <c r="B3" i="5"/>
  <c r="J232" i="1"/>
  <c r="H39" i="1"/>
  <c r="J39" i="1" s="1"/>
  <c r="H48" i="1"/>
  <c r="J48" i="1" s="1"/>
  <c r="H55" i="1"/>
  <c r="J55" i="1" s="1"/>
  <c r="H7" i="1"/>
  <c r="J7" i="1" s="1"/>
  <c r="H47" i="1"/>
  <c r="J47" i="1" s="1"/>
  <c r="H31" i="1"/>
  <c r="J31" i="1" s="1"/>
  <c r="H15" i="1"/>
  <c r="J15" i="1" s="1"/>
  <c r="B22" i="5"/>
  <c r="B6" i="5"/>
  <c r="F8" i="5"/>
  <c r="B8" i="5"/>
  <c r="H12" i="1"/>
  <c r="J12" i="1" s="1"/>
  <c r="B16" i="5"/>
  <c r="H21" i="1"/>
  <c r="J21" i="1" s="1"/>
  <c r="H13" i="1"/>
  <c r="J13" i="1" s="1"/>
  <c r="F24" i="5"/>
  <c r="F32" i="5"/>
  <c r="H22" i="1"/>
  <c r="J22" i="1" s="1"/>
  <c r="N14" i="5"/>
  <c r="J118" i="1"/>
  <c r="H155" i="1"/>
  <c r="J155" i="1" s="1"/>
  <c r="H170" i="1"/>
  <c r="J170" i="1" s="1"/>
  <c r="H196" i="1"/>
  <c r="J196" i="1" s="1"/>
  <c r="H192" i="1"/>
  <c r="J192" i="1" s="1"/>
  <c r="H188" i="1"/>
  <c r="J188" i="1" s="1"/>
  <c r="H184" i="1"/>
  <c r="J184" i="1" s="1"/>
  <c r="M6" i="5"/>
  <c r="N22" i="5"/>
  <c r="J110" i="1"/>
  <c r="H154" i="1"/>
  <c r="J154" i="1" s="1"/>
  <c r="H164" i="1"/>
  <c r="J164" i="1" s="1"/>
  <c r="H160" i="1"/>
  <c r="J160" i="1" s="1"/>
  <c r="H156" i="1"/>
  <c r="J156" i="1" s="1"/>
  <c r="H182" i="1"/>
  <c r="J182" i="1" s="1"/>
  <c r="H178" i="1"/>
  <c r="J178" i="1" s="1"/>
  <c r="H199" i="1"/>
  <c r="J199" i="1" s="1"/>
  <c r="H211" i="1"/>
  <c r="J211" i="1" s="1"/>
  <c r="H207" i="1"/>
  <c r="J207" i="1" s="1"/>
  <c r="H221" i="1"/>
  <c r="J221" i="1" s="1"/>
  <c r="J83" i="1"/>
  <c r="J116" i="1"/>
  <c r="J117" i="1"/>
  <c r="H161" i="1"/>
  <c r="J161" i="1" s="1"/>
  <c r="H218" i="1"/>
  <c r="J218" i="1" s="1"/>
  <c r="M31" i="5"/>
  <c r="N3" i="5"/>
  <c r="M28" i="5"/>
  <c r="M12" i="5"/>
  <c r="N28" i="5"/>
  <c r="N12" i="5"/>
  <c r="J101" i="1"/>
  <c r="H171" i="1"/>
  <c r="J171" i="1" s="1"/>
  <c r="H159" i="1"/>
  <c r="J159" i="1" s="1"/>
  <c r="H181" i="1"/>
  <c r="J181" i="1" s="1"/>
  <c r="H219" i="1"/>
  <c r="J219" i="1" s="1"/>
  <c r="J76" i="1"/>
  <c r="J68" i="1"/>
  <c r="J94" i="1"/>
  <c r="J97" i="1"/>
  <c r="J115" i="1"/>
  <c r="J124" i="1"/>
  <c r="M29" i="5"/>
  <c r="H145" i="1"/>
  <c r="J145" i="1" s="1"/>
  <c r="H195" i="1"/>
  <c r="J195" i="1" s="1"/>
  <c r="H187" i="1"/>
  <c r="J187" i="1" s="1"/>
  <c r="H206" i="1"/>
  <c r="J206" i="1" s="1"/>
  <c r="H209" i="1"/>
  <c r="J209" i="1" s="1"/>
  <c r="M14" i="5"/>
  <c r="N31" i="5"/>
  <c r="N23" i="5"/>
  <c r="M33" i="5"/>
  <c r="H202" i="1"/>
  <c r="J202" i="1" s="1"/>
  <c r="H213" i="1"/>
  <c r="J213" i="1" s="1"/>
  <c r="M21" i="5"/>
  <c r="N30" i="5"/>
  <c r="N15" i="5"/>
  <c r="N7" i="5"/>
  <c r="H179" i="1"/>
  <c r="J179" i="1" s="1"/>
  <c r="H224" i="1"/>
  <c r="J224" i="1" s="1"/>
  <c r="H235" i="1"/>
  <c r="J235" i="1" s="1"/>
  <c r="H231" i="1"/>
  <c r="J231" i="1" s="1"/>
  <c r="H236" i="1"/>
  <c r="J236" i="1" s="1"/>
  <c r="J85" i="1"/>
  <c r="J123" i="1"/>
  <c r="J125" i="1"/>
  <c r="J126" i="1"/>
  <c r="J109" i="1"/>
  <c r="J166" i="1"/>
  <c r="J87" i="1"/>
  <c r="J96" i="1"/>
  <c r="J111" i="1"/>
  <c r="J95" i="1"/>
  <c r="J78" i="1"/>
  <c r="J92" i="1"/>
  <c r="J91" i="1"/>
  <c r="J88" i="1"/>
  <c r="J121" i="1"/>
  <c r="J130" i="1"/>
  <c r="J105" i="1"/>
  <c r="J233" i="1"/>
  <c r="H40" i="1"/>
  <c r="J40" i="1" s="1"/>
  <c r="H32" i="1"/>
  <c r="J32" i="1" s="1"/>
  <c r="H24" i="1"/>
  <c r="J24" i="1" s="1"/>
  <c r="H16" i="1"/>
  <c r="J16" i="1" s="1"/>
  <c r="H8" i="1"/>
  <c r="J8" i="1" s="1"/>
  <c r="H59" i="1"/>
  <c r="J59" i="1" s="1"/>
  <c r="H54" i="1"/>
  <c r="J54" i="1" s="1"/>
  <c r="H46" i="1"/>
  <c r="J46" i="1" s="1"/>
  <c r="H53" i="1"/>
  <c r="J53" i="1" s="1"/>
  <c r="H138" i="1"/>
  <c r="J138" i="1" s="1"/>
  <c r="H167" i="1"/>
  <c r="J167" i="1" s="1"/>
  <c r="H163" i="1"/>
  <c r="J163" i="1" s="1"/>
  <c r="H177" i="1"/>
  <c r="J177" i="1" s="1"/>
  <c r="H185" i="1"/>
  <c r="J185" i="1" s="1"/>
  <c r="H214" i="1"/>
  <c r="J214" i="1" s="1"/>
  <c r="L341" i="4" l="1"/>
  <c r="J3" i="1"/>
  <c r="L940" i="4"/>
  <c r="L374" i="4"/>
  <c r="L1201" i="4"/>
  <c r="L226" i="4"/>
  <c r="L489" i="4"/>
  <c r="L1300" i="4"/>
  <c r="L1233" i="4"/>
  <c r="L1131" i="4"/>
  <c r="L850" i="4"/>
  <c r="L1119" i="4"/>
  <c r="L183" i="4"/>
  <c r="L1260" i="4"/>
  <c r="L1099" i="4"/>
  <c r="L300" i="4"/>
  <c r="L109" i="4"/>
  <c r="L1066" i="4"/>
  <c r="L786" i="4"/>
  <c r="L592" i="4"/>
  <c r="L1008" i="4"/>
  <c r="L1295" i="4"/>
  <c r="L1167" i="4"/>
  <c r="L1103" i="4"/>
  <c r="L1039" i="4"/>
  <c r="L1006" i="4"/>
  <c r="L669" i="4"/>
  <c r="L257" i="4"/>
  <c r="L995" i="4"/>
  <c r="L872" i="4"/>
  <c r="L712" i="4"/>
  <c r="L858" i="4"/>
  <c r="L1064" i="4"/>
  <c r="L1057" i="4"/>
  <c r="L147" i="4"/>
  <c r="L83" i="4"/>
  <c r="L210" i="4"/>
  <c r="L82" i="4"/>
  <c r="L168" i="4"/>
  <c r="L898" i="4"/>
  <c r="L678" i="4"/>
  <c r="L729" i="4"/>
  <c r="L618" i="4"/>
  <c r="L1154" i="4"/>
  <c r="L644" i="4"/>
  <c r="L494" i="4"/>
  <c r="L1242" i="4"/>
  <c r="L1298" i="4"/>
  <c r="L794" i="4"/>
  <c r="L627" i="4"/>
  <c r="L1090" i="4"/>
  <c r="L576" i="4"/>
  <c r="L198" i="4"/>
  <c r="L657" i="4"/>
  <c r="L664" i="4"/>
  <c r="L304" i="4"/>
  <c r="L47" i="4"/>
  <c r="L806" i="4"/>
  <c r="L328" i="4"/>
  <c r="L165" i="4"/>
  <c r="L293" i="4"/>
  <c r="L314" i="4"/>
  <c r="L19" i="4"/>
  <c r="L104" i="4"/>
  <c r="L40" i="4"/>
  <c r="L318" i="4"/>
  <c r="L60" i="4"/>
  <c r="L934" i="4"/>
  <c r="L770" i="4"/>
  <c r="L1257" i="4"/>
  <c r="L1231" i="4"/>
  <c r="L1237" i="4"/>
  <c r="L1264" i="4"/>
  <c r="L1220" i="4"/>
  <c r="L1092" i="4"/>
  <c r="L959" i="4"/>
  <c r="L1234" i="4"/>
  <c r="L1018" i="4"/>
  <c r="L334" i="4"/>
  <c r="L946" i="4"/>
  <c r="L690" i="4"/>
  <c r="L1149" i="4"/>
  <c r="L1085" i="4"/>
  <c r="L826" i="4"/>
  <c r="L496" i="4"/>
  <c r="L1304" i="4"/>
  <c r="L881" i="4"/>
  <c r="L351" i="4"/>
  <c r="L944" i="4"/>
  <c r="L478" i="4"/>
  <c r="L601" i="4"/>
  <c r="L345" i="4"/>
  <c r="L513" i="4"/>
  <c r="L255" i="4"/>
  <c r="L649" i="4"/>
  <c r="L536" i="4"/>
  <c r="L408" i="4"/>
  <c r="L150" i="4"/>
  <c r="L829" i="4"/>
  <c r="L701" i="4"/>
  <c r="L503" i="4"/>
  <c r="L229" i="4"/>
  <c r="L860" i="4"/>
  <c r="L586" i="4"/>
  <c r="L458" i="4"/>
  <c r="L394" i="4"/>
  <c r="L264" i="4"/>
  <c r="L200" i="4"/>
  <c r="L8" i="4"/>
  <c r="L565" i="4"/>
  <c r="L437" i="4"/>
  <c r="L171" i="4"/>
  <c r="L364" i="4"/>
  <c r="L298" i="4"/>
  <c r="L106" i="4"/>
  <c r="L539" i="4"/>
  <c r="L254" i="4"/>
  <c r="L1035" i="4"/>
  <c r="L44" i="4"/>
  <c r="L679" i="4"/>
  <c r="L1105" i="4"/>
  <c r="L1258" i="4"/>
  <c r="L866" i="4"/>
  <c r="L889" i="4"/>
  <c r="L914" i="4"/>
  <c r="L654" i="4"/>
  <c r="L1269" i="4"/>
  <c r="L1077" i="4"/>
  <c r="L810" i="4"/>
  <c r="L464" i="4"/>
  <c r="L1232" i="4"/>
  <c r="L865" i="4"/>
  <c r="L737" i="4"/>
  <c r="L575" i="4"/>
  <c r="L928" i="4"/>
  <c r="L800" i="4"/>
  <c r="L446" i="4"/>
  <c r="L188" i="4"/>
  <c r="L1166" i="4"/>
  <c r="L569" i="4"/>
  <c r="L313" i="4"/>
  <c r="L827" i="4"/>
  <c r="L699" i="4"/>
  <c r="L625" i="4"/>
  <c r="L902" i="4"/>
  <c r="L838" i="4"/>
  <c r="L134" i="4"/>
  <c r="L885" i="4"/>
  <c r="L615" i="4"/>
  <c r="L85" i="4"/>
  <c r="L916" i="4"/>
  <c r="L724" i="4"/>
  <c r="L656" i="4"/>
  <c r="L578" i="4"/>
  <c r="L256" i="4"/>
  <c r="L192" i="4"/>
  <c r="L128" i="4"/>
  <c r="L163" i="4"/>
  <c r="L420" i="4"/>
  <c r="L356" i="4"/>
  <c r="L34" i="4"/>
  <c r="L531" i="4"/>
  <c r="L467" i="4"/>
  <c r="L273" i="4"/>
  <c r="L17" i="4"/>
  <c r="L521" i="4"/>
  <c r="L1188" i="4"/>
  <c r="L1060" i="4"/>
  <c r="L824" i="4"/>
  <c r="L1068" i="4"/>
  <c r="L759" i="4"/>
  <c r="L1180" i="4"/>
  <c r="L1049" i="4"/>
  <c r="L1197" i="4"/>
  <c r="L1133" i="4"/>
  <c r="L1069" i="4"/>
  <c r="L963" i="4"/>
  <c r="L849" i="4"/>
  <c r="L721" i="4"/>
  <c r="L543" i="4"/>
  <c r="L285" i="4"/>
  <c r="L1255" i="4"/>
  <c r="L1063" i="4"/>
  <c r="L912" i="4"/>
  <c r="L652" i="4"/>
  <c r="L1286" i="4"/>
  <c r="L1094" i="4"/>
  <c r="L1030" i="4"/>
  <c r="L719" i="4"/>
  <c r="L23" i="4"/>
  <c r="L755" i="4"/>
  <c r="L691" i="4"/>
  <c r="L353" i="4"/>
  <c r="L830" i="4"/>
  <c r="L702" i="4"/>
  <c r="L504" i="4"/>
  <c r="L246" i="4"/>
  <c r="L877" i="4"/>
  <c r="L599" i="4"/>
  <c r="L69" i="4"/>
  <c r="L908" i="4"/>
  <c r="L844" i="4"/>
  <c r="L716" i="4"/>
  <c r="L647" i="4"/>
  <c r="L534" i="4"/>
  <c r="L406" i="4"/>
  <c r="L248" i="4"/>
  <c r="L184" i="4"/>
  <c r="L120" i="4"/>
  <c r="L485" i="4"/>
  <c r="L357" i="4"/>
  <c r="L91" i="4"/>
  <c r="L604" i="4"/>
  <c r="L348" i="4"/>
  <c r="L587" i="4"/>
  <c r="L265" i="4"/>
  <c r="L137" i="4"/>
  <c r="L362" i="4"/>
  <c r="L1003" i="4"/>
  <c r="L792" i="4"/>
  <c r="L430" i="4"/>
  <c r="L398" i="4"/>
  <c r="L62" i="4"/>
  <c r="L559" i="4"/>
  <c r="L1226" i="4"/>
  <c r="L1289" i="4"/>
  <c r="L1033" i="4"/>
  <c r="L1125" i="4"/>
  <c r="L1061" i="4"/>
  <c r="L778" i="4"/>
  <c r="L400" i="4"/>
  <c r="L705" i="4"/>
  <c r="L511" i="4"/>
  <c r="L1247" i="4"/>
  <c r="L1183" i="4"/>
  <c r="L768" i="4"/>
  <c r="L632" i="4"/>
  <c r="L382" i="4"/>
  <c r="L124" i="4"/>
  <c r="L1214" i="4"/>
  <c r="L1086" i="4"/>
  <c r="L1022" i="4"/>
  <c r="L952" i="4"/>
  <c r="L505" i="4"/>
  <c r="L939" i="4"/>
  <c r="L811" i="4"/>
  <c r="L593" i="4"/>
  <c r="L79" i="4"/>
  <c r="L360" i="4"/>
  <c r="L741" i="4"/>
  <c r="L390" i="4"/>
  <c r="L260" i="4"/>
  <c r="L626" i="4"/>
  <c r="L562" i="4"/>
  <c r="L498" i="4"/>
  <c r="L305" i="4"/>
  <c r="L176" i="4"/>
  <c r="L413" i="4"/>
  <c r="L873" i="4"/>
  <c r="L77" i="4"/>
  <c r="L1259" i="4"/>
  <c r="L1074" i="4"/>
  <c r="L841" i="4"/>
  <c r="L1185" i="4"/>
  <c r="L190" i="4"/>
  <c r="L1243" i="4"/>
  <c r="L1115" i="4"/>
  <c r="L760" i="4"/>
  <c r="L976" i="4"/>
  <c r="L329" i="4"/>
  <c r="L1082" i="4"/>
  <c r="L947" i="4"/>
  <c r="L1145" i="4"/>
  <c r="L368" i="4"/>
  <c r="L1208" i="4"/>
  <c r="L817" i="4"/>
  <c r="L221" i="4"/>
  <c r="L1303" i="4"/>
  <c r="L1175" i="4"/>
  <c r="L350" i="4"/>
  <c r="L943" i="4"/>
  <c r="L867" i="4"/>
  <c r="L191" i="4"/>
  <c r="L472" i="4"/>
  <c r="L861" i="4"/>
  <c r="L439" i="4"/>
  <c r="L203" i="4"/>
  <c r="L75" i="4"/>
  <c r="L396" i="4"/>
  <c r="L138" i="4"/>
  <c r="L74" i="4"/>
  <c r="L507" i="4"/>
  <c r="L443" i="4"/>
  <c r="L379" i="4"/>
  <c r="L57" i="4"/>
  <c r="L167" i="4"/>
  <c r="L1129" i="4"/>
  <c r="L277" i="4"/>
  <c r="L948" i="4"/>
  <c r="L228" i="4"/>
  <c r="L482" i="4"/>
  <c r="L288" i="4"/>
  <c r="L224" i="4"/>
  <c r="L32" i="4"/>
  <c r="L589" i="4"/>
  <c r="L461" i="4"/>
  <c r="L397" i="4"/>
  <c r="L131" i="4"/>
  <c r="L516" i="4"/>
  <c r="L388" i="4"/>
  <c r="L66" i="4"/>
  <c r="L2" i="4"/>
  <c r="L435" i="4"/>
  <c r="L371" i="4"/>
  <c r="L1073" i="4"/>
  <c r="L949" i="4"/>
  <c r="L1196" i="4"/>
  <c r="L1050" i="4"/>
  <c r="L103" i="4"/>
  <c r="L1089" i="4"/>
  <c r="L1113" i="4"/>
  <c r="L983" i="4"/>
  <c r="L352" i="4"/>
  <c r="L1293" i="4"/>
  <c r="L1229" i="4"/>
  <c r="L1101" i="4"/>
  <c r="L1128" i="4"/>
  <c r="L1000" i="4"/>
  <c r="L913" i="4"/>
  <c r="L415" i="4"/>
  <c r="L1287" i="4"/>
  <c r="L1095" i="4"/>
  <c r="L1031" i="4"/>
  <c r="L848" i="4"/>
  <c r="L720" i="4"/>
  <c r="L1254" i="4"/>
  <c r="L409" i="4"/>
  <c r="L287" i="4"/>
  <c r="L926" i="4"/>
  <c r="L798" i="4"/>
  <c r="L668" i="4"/>
  <c r="L568" i="4"/>
  <c r="L812" i="4"/>
  <c r="L598" i="4"/>
  <c r="L212" i="4"/>
  <c r="L216" i="4"/>
  <c r="L152" i="4"/>
  <c r="L24" i="4"/>
  <c r="L453" i="4"/>
  <c r="L389" i="4"/>
  <c r="L636" i="4"/>
  <c r="L572" i="4"/>
  <c r="L186" i="4"/>
  <c r="L122" i="4"/>
  <c r="L58" i="4"/>
  <c r="L427" i="4"/>
  <c r="L363" i="4"/>
  <c r="L297" i="4"/>
  <c r="L462" i="4"/>
  <c r="L745" i="4"/>
  <c r="L335" i="4"/>
  <c r="L457" i="4"/>
  <c r="L1009" i="4"/>
  <c r="L45" i="4"/>
  <c r="L1123" i="4"/>
  <c r="L808" i="4"/>
  <c r="L1290" i="4"/>
  <c r="L1162" i="4"/>
  <c r="L39" i="4"/>
  <c r="L1225" i="4"/>
  <c r="L965" i="4"/>
  <c r="L722" i="4"/>
  <c r="L1093" i="4"/>
  <c r="L714" i="4"/>
  <c r="L1248" i="4"/>
  <c r="L1184" i="4"/>
  <c r="L897" i="4"/>
  <c r="L633" i="4"/>
  <c r="L1151" i="4"/>
  <c r="L510" i="4"/>
  <c r="L252" i="4"/>
  <c r="L1182" i="4"/>
  <c r="L895" i="4"/>
  <c r="L767" i="4"/>
  <c r="L631" i="4"/>
  <c r="L119" i="4"/>
  <c r="L779" i="4"/>
  <c r="L715" i="4"/>
  <c r="L854" i="4"/>
  <c r="L790" i="4"/>
  <c r="L659" i="4"/>
  <c r="L709" i="4"/>
  <c r="L594" i="4"/>
  <c r="L530" i="4"/>
  <c r="L144" i="4"/>
  <c r="L80" i="4"/>
  <c r="L445" i="4"/>
  <c r="L179" i="4"/>
  <c r="L115" i="4"/>
  <c r="L564" i="4"/>
  <c r="L500" i="4"/>
  <c r="L372" i="4"/>
  <c r="L114" i="4"/>
  <c r="L547" i="4"/>
  <c r="L483" i="4"/>
  <c r="L419" i="4"/>
  <c r="L355" i="4"/>
  <c r="L225" i="4"/>
  <c r="L97" i="4"/>
  <c r="L33" i="4"/>
  <c r="L686" i="4"/>
  <c r="L553" i="4"/>
  <c r="L381" i="4"/>
  <c r="L284" i="4"/>
  <c r="L1277" i="4"/>
  <c r="L93" i="4"/>
  <c r="L574" i="4"/>
  <c r="L431" i="4"/>
  <c r="L1111" i="4"/>
  <c r="L9" i="4"/>
  <c r="L529" i="4"/>
  <c r="L449" i="4"/>
  <c r="L673" i="4"/>
  <c r="L936" i="4"/>
  <c r="L535" i="4"/>
  <c r="L111" i="4"/>
  <c r="L280" i="4"/>
  <c r="L281" i="4"/>
  <c r="L214" i="4"/>
  <c r="L871" i="4"/>
  <c r="N871" i="4" s="1"/>
  <c r="L1200" i="4"/>
  <c r="N1200" i="4" s="1"/>
  <c r="K9" i="4"/>
  <c r="M9" i="4" s="1"/>
  <c r="L1136" i="4"/>
  <c r="N1136" i="4" s="1"/>
  <c r="L1222" i="4"/>
  <c r="N1222" i="4" s="1"/>
  <c r="K599" i="4"/>
  <c r="M599" i="4" s="1"/>
  <c r="N599" i="4" s="1"/>
  <c r="K908" i="4"/>
  <c r="M908" i="4" s="1"/>
  <c r="N908" i="4" s="1"/>
  <c r="K111" i="4"/>
  <c r="M111" i="4" s="1"/>
  <c r="K119" i="4"/>
  <c r="M119" i="4" s="1"/>
  <c r="L336" i="4"/>
  <c r="N336" i="4" s="1"/>
  <c r="K381" i="4"/>
  <c r="M381" i="4" s="1"/>
  <c r="K767" i="4"/>
  <c r="M767" i="4" s="1"/>
  <c r="L292" i="4"/>
  <c r="N292" i="4" s="1"/>
  <c r="L231" i="4"/>
  <c r="N231" i="4" s="1"/>
  <c r="L1192" i="4"/>
  <c r="N1192" i="4" s="1"/>
  <c r="L1240" i="4"/>
  <c r="N1240" i="4" s="1"/>
  <c r="L776" i="4"/>
  <c r="N776" i="4" s="1"/>
  <c r="K431" i="4"/>
  <c r="M431" i="4" s="1"/>
  <c r="L1106" i="4"/>
  <c r="N1106" i="4" s="1"/>
  <c r="L243" i="4"/>
  <c r="Q243" i="4"/>
  <c r="L244" i="4"/>
  <c r="Q244" i="4"/>
  <c r="L242" i="4"/>
  <c r="Q242" i="4"/>
  <c r="K240" i="4"/>
  <c r="M240" i="4" s="1"/>
  <c r="Q240" i="4"/>
  <c r="L232" i="4"/>
  <c r="Q232" i="4"/>
  <c r="L233" i="4"/>
  <c r="Q233" i="4"/>
  <c r="K236" i="4"/>
  <c r="M236" i="4" s="1"/>
  <c r="Q236" i="4"/>
  <c r="K965" i="4"/>
  <c r="M965" i="4" s="1"/>
  <c r="K1111" i="4"/>
  <c r="M1111" i="4" s="1"/>
  <c r="L1177" i="4"/>
  <c r="N1177" i="4" s="1"/>
  <c r="K786" i="4"/>
  <c r="M786" i="4" s="1"/>
  <c r="N786" i="4" s="1"/>
  <c r="K841" i="4"/>
  <c r="M841" i="4" s="1"/>
  <c r="N841" i="4" s="1"/>
  <c r="K1162" i="4"/>
  <c r="M1162" i="4" s="1"/>
  <c r="K824" i="4"/>
  <c r="M824" i="4" s="1"/>
  <c r="N824" i="4" s="1"/>
  <c r="K415" i="4"/>
  <c r="M415" i="4" s="1"/>
  <c r="K995" i="4"/>
  <c r="M995" i="4" s="1"/>
  <c r="N995" i="4" s="1"/>
  <c r="K914" i="4"/>
  <c r="M914" i="4" s="1"/>
  <c r="N914" i="4" s="1"/>
  <c r="K897" i="4"/>
  <c r="M897" i="4" s="1"/>
  <c r="N897" i="4" s="1"/>
  <c r="L734" i="4"/>
  <c r="N734" i="4" s="1"/>
  <c r="K792" i="4"/>
  <c r="M792" i="4" s="1"/>
  <c r="N792" i="4" s="1"/>
  <c r="K895" i="4"/>
  <c r="M895" i="4" s="1"/>
  <c r="K505" i="4"/>
  <c r="M505" i="4" s="1"/>
  <c r="N505" i="4" s="1"/>
  <c r="L1036" i="4"/>
  <c r="N1036" i="4" s="1"/>
  <c r="K516" i="4"/>
  <c r="M516" i="4" s="1"/>
  <c r="K252" i="4"/>
  <c r="M252" i="4" s="1"/>
  <c r="L178" i="4"/>
  <c r="N178" i="4" s="1"/>
  <c r="K457" i="4"/>
  <c r="M457" i="4" s="1"/>
  <c r="L819" i="4"/>
  <c r="N819" i="4" s="1"/>
  <c r="K885" i="4"/>
  <c r="M885" i="4" s="1"/>
  <c r="N885" i="4" s="1"/>
  <c r="K1257" i="4"/>
  <c r="M1257" i="4" s="1"/>
  <c r="N1257" i="4" s="1"/>
  <c r="K604" i="4"/>
  <c r="M604" i="4" s="1"/>
  <c r="N604" i="4" s="1"/>
  <c r="L274" i="4"/>
  <c r="N274" i="4" s="1"/>
  <c r="K983" i="4"/>
  <c r="M983" i="4" s="1"/>
  <c r="K329" i="4"/>
  <c r="M329" i="4" s="1"/>
  <c r="K529" i="4"/>
  <c r="M529" i="4" s="1"/>
  <c r="K60" i="4"/>
  <c r="M60" i="4" s="1"/>
  <c r="N60" i="4" s="1"/>
  <c r="K1085" i="4"/>
  <c r="M1085" i="4" s="1"/>
  <c r="N1085" i="4" s="1"/>
  <c r="L172" i="4"/>
  <c r="N172" i="4" s="1"/>
  <c r="K686" i="4"/>
  <c r="M686" i="4" s="1"/>
  <c r="L972" i="4"/>
  <c r="N972" i="4" s="1"/>
  <c r="K778" i="4"/>
  <c r="M778" i="4" s="1"/>
  <c r="N778" i="4" s="1"/>
  <c r="K1231" i="4"/>
  <c r="M1231" i="4" s="1"/>
  <c r="N1231" i="4" s="1"/>
  <c r="K1303" i="4"/>
  <c r="M1303" i="4" s="1"/>
  <c r="N1303" i="4" s="1"/>
  <c r="K1115" i="4"/>
  <c r="M1115" i="4" s="1"/>
  <c r="N1115" i="4" s="1"/>
  <c r="L1026" i="4"/>
  <c r="N1026" i="4" s="1"/>
  <c r="K948" i="4"/>
  <c r="M948" i="4" s="1"/>
  <c r="K1298" i="4"/>
  <c r="M1298" i="4" s="1"/>
  <c r="N1298" i="4" s="1"/>
  <c r="K389" i="4"/>
  <c r="M389" i="4" s="1"/>
  <c r="K511" i="4"/>
  <c r="M511" i="4" s="1"/>
  <c r="N511" i="4" s="1"/>
  <c r="K572" i="4"/>
  <c r="M572" i="4" s="1"/>
  <c r="L87" i="4"/>
  <c r="N87" i="4" s="1"/>
  <c r="L1209" i="4"/>
  <c r="N1209" i="4" s="1"/>
  <c r="K58" i="4"/>
  <c r="M58" i="4" s="1"/>
  <c r="K1008" i="4"/>
  <c r="M1008" i="4" s="1"/>
  <c r="N1008" i="4" s="1"/>
  <c r="L989" i="4"/>
  <c r="N989" i="4" s="1"/>
  <c r="K673" i="4"/>
  <c r="M673" i="4" s="1"/>
  <c r="N673" i="4" s="1"/>
  <c r="L703" i="4"/>
  <c r="N703" i="4" s="1"/>
  <c r="K936" i="4"/>
  <c r="M936" i="4" s="1"/>
  <c r="L38" i="4"/>
  <c r="N38" i="4" s="1"/>
  <c r="L1305" i="4"/>
  <c r="N1305" i="4" s="1"/>
  <c r="K167" i="4"/>
  <c r="M167" i="4" s="1"/>
  <c r="K1095" i="4"/>
  <c r="M1095" i="4" s="1"/>
  <c r="L975" i="4"/>
  <c r="N975" i="4" s="1"/>
  <c r="L324" i="4"/>
  <c r="N324" i="4" s="1"/>
  <c r="L506" i="4"/>
  <c r="N506" i="4" s="1"/>
  <c r="K260" i="4"/>
  <c r="M260" i="4" s="1"/>
  <c r="K1077" i="4"/>
  <c r="M1077" i="4" s="1"/>
  <c r="N1077" i="4" s="1"/>
  <c r="L1272" i="4"/>
  <c r="N1272" i="4" s="1"/>
  <c r="K849" i="4"/>
  <c r="M849" i="4" s="1"/>
  <c r="L1044" i="4"/>
  <c r="N1044" i="4" s="1"/>
  <c r="L441" i="4"/>
  <c r="N441" i="4" s="1"/>
  <c r="L1282" i="4"/>
  <c r="N1282" i="4" s="1"/>
  <c r="K913" i="4"/>
  <c r="M913" i="4" s="1"/>
  <c r="N913" i="4" s="1"/>
  <c r="K103" i="4"/>
  <c r="M103" i="4" s="1"/>
  <c r="K601" i="4"/>
  <c r="M601" i="4" s="1"/>
  <c r="N601" i="4" s="1"/>
  <c r="K829" i="4"/>
  <c r="M829" i="4" s="1"/>
  <c r="N829" i="4" s="1"/>
  <c r="K1242" i="4"/>
  <c r="M1242" i="4" s="1"/>
  <c r="N1242" i="4" s="1"/>
  <c r="L1079" i="4"/>
  <c r="N1079" i="4" s="1"/>
  <c r="L917" i="4"/>
  <c r="N917" i="4" s="1"/>
  <c r="L1114" i="4"/>
  <c r="N1114" i="4" s="1"/>
  <c r="K586" i="4"/>
  <c r="M586" i="4" s="1"/>
  <c r="N586" i="4" s="1"/>
  <c r="L545" i="4"/>
  <c r="N545" i="4" s="1"/>
  <c r="K150" i="4"/>
  <c r="M150" i="4" s="1"/>
  <c r="N150" i="4" s="1"/>
  <c r="L831" i="4"/>
  <c r="N831" i="4" s="1"/>
  <c r="K214" i="4"/>
  <c r="M214" i="4" s="1"/>
  <c r="L81" i="4"/>
  <c r="N81" i="4" s="1"/>
  <c r="K461" i="4"/>
  <c r="M461" i="4" s="1"/>
  <c r="K335" i="4"/>
  <c r="M335" i="4" s="1"/>
  <c r="K959" i="4"/>
  <c r="M959" i="4" s="1"/>
  <c r="N959" i="4" s="1"/>
  <c r="K255" i="4"/>
  <c r="M255" i="4" s="1"/>
  <c r="L1241" i="4"/>
  <c r="N1241" i="4" s="1"/>
  <c r="K1089" i="4"/>
  <c r="M1089" i="4" s="1"/>
  <c r="K867" i="4"/>
  <c r="M867" i="4" s="1"/>
  <c r="L1310" i="4"/>
  <c r="N1310" i="4" s="1"/>
  <c r="K124" i="4"/>
  <c r="M124" i="4" s="1"/>
  <c r="K397" i="4"/>
  <c r="M397" i="4" s="1"/>
  <c r="K1220" i="4"/>
  <c r="M1220" i="4" s="1"/>
  <c r="K1214" i="4"/>
  <c r="M1214" i="4" s="1"/>
  <c r="N1214" i="4" s="1"/>
  <c r="K191" i="4"/>
  <c r="M191" i="4" s="1"/>
  <c r="K357" i="4"/>
  <c r="M357" i="4" s="1"/>
  <c r="N357" i="4" s="1"/>
  <c r="K1068" i="4"/>
  <c r="M1068" i="4" s="1"/>
  <c r="L1308" i="4"/>
  <c r="N1308" i="4" s="1"/>
  <c r="K446" i="4"/>
  <c r="M446" i="4" s="1"/>
  <c r="N446" i="4" s="1"/>
  <c r="K198" i="4"/>
  <c r="M198" i="4" s="1"/>
  <c r="K485" i="4"/>
  <c r="M485" i="4" s="1"/>
  <c r="L1156" i="4"/>
  <c r="N1156" i="4" s="1"/>
  <c r="L173" i="4"/>
  <c r="N173" i="4" s="1"/>
  <c r="K1066" i="4"/>
  <c r="M1066" i="4" s="1"/>
  <c r="K265" i="4"/>
  <c r="M265" i="4" s="1"/>
  <c r="K854" i="4"/>
  <c r="M854" i="4" s="1"/>
  <c r="N854" i="4" s="1"/>
  <c r="L1249" i="4"/>
  <c r="N1249" i="4" s="1"/>
  <c r="K273" i="4"/>
  <c r="M273" i="4" s="1"/>
  <c r="N273" i="4" s="1"/>
  <c r="L797" i="4"/>
  <c r="N797" i="4" s="1"/>
  <c r="L141" i="4"/>
  <c r="N141" i="4" s="1"/>
  <c r="K449" i="4"/>
  <c r="M449" i="4" s="1"/>
  <c r="L1191" i="4"/>
  <c r="N1191" i="4" s="1"/>
  <c r="K1151" i="4"/>
  <c r="M1151" i="4" s="1"/>
  <c r="L49" i="4"/>
  <c r="N49" i="4" s="1"/>
  <c r="K478" i="4"/>
  <c r="M478" i="4" s="1"/>
  <c r="K190" i="4"/>
  <c r="M190" i="4" s="1"/>
  <c r="K345" i="4"/>
  <c r="M345" i="4" s="1"/>
  <c r="N345" i="4" s="1"/>
  <c r="L18" i="4"/>
  <c r="N18" i="4" s="1"/>
  <c r="K93" i="4"/>
  <c r="M93" i="4" s="1"/>
  <c r="L342" i="4"/>
  <c r="N342" i="4" s="1"/>
  <c r="K1287" i="4"/>
  <c r="M1287" i="4" s="1"/>
  <c r="K574" i="4"/>
  <c r="M574" i="4" s="1"/>
  <c r="K348" i="4"/>
  <c r="K902" i="4"/>
  <c r="M902" i="4" s="1"/>
  <c r="N902" i="4" s="1"/>
  <c r="K562" i="4"/>
  <c r="M562" i="4" s="1"/>
  <c r="N562" i="4" s="1"/>
  <c r="K594" i="4"/>
  <c r="M594" i="4" s="1"/>
  <c r="N594" i="4" s="1"/>
  <c r="K806" i="4"/>
  <c r="M806" i="4" s="1"/>
  <c r="N806" i="4" s="1"/>
  <c r="L321" i="4"/>
  <c r="N321" i="4" s="1"/>
  <c r="L874" i="4"/>
  <c r="N874" i="4" s="1"/>
  <c r="K1208" i="4"/>
  <c r="M1208" i="4" s="1"/>
  <c r="N1208" i="4" s="1"/>
  <c r="K1009" i="4"/>
  <c r="M1009" i="4" s="1"/>
  <c r="L809" i="4"/>
  <c r="N809" i="4" s="1"/>
  <c r="L1020" i="4"/>
  <c r="N1020" i="4" s="1"/>
  <c r="L196" i="4"/>
  <c r="N196" i="4" s="1"/>
  <c r="L583" i="4"/>
  <c r="N583" i="4" s="1"/>
  <c r="L307" i="4"/>
  <c r="N307" i="4" s="1"/>
  <c r="L1116" i="4"/>
  <c r="N1116" i="4" s="1"/>
  <c r="K1295" i="4"/>
  <c r="M1295" i="4" s="1"/>
  <c r="N1295" i="4" s="1"/>
  <c r="K2" i="4"/>
  <c r="M2" i="4" s="1"/>
  <c r="L143" i="4"/>
  <c r="N143" i="4" s="1"/>
  <c r="L99" i="4"/>
  <c r="N99" i="4" s="1"/>
  <c r="K1277" i="4"/>
  <c r="M1277" i="4" s="1"/>
  <c r="K74" i="4"/>
  <c r="M74" i="4" s="1"/>
  <c r="K1094" i="4"/>
  <c r="M1094" i="4" s="1"/>
  <c r="N1094" i="4" s="1"/>
  <c r="K97" i="4"/>
  <c r="M97" i="4" s="1"/>
  <c r="K1033" i="4"/>
  <c r="M1033" i="4" s="1"/>
  <c r="N1033" i="4" s="1"/>
  <c r="K212" i="4"/>
  <c r="M212" i="4" s="1"/>
  <c r="L992" i="4"/>
  <c r="N992" i="4" s="1"/>
  <c r="K374" i="4"/>
  <c r="M374" i="4" s="1"/>
  <c r="K1060" i="4"/>
  <c r="M1060" i="4" s="1"/>
  <c r="N1060" i="4" s="1"/>
  <c r="L648" i="4"/>
  <c r="N648" i="4" s="1"/>
  <c r="L266" i="4"/>
  <c r="N266" i="4" s="1"/>
  <c r="K724" i="4"/>
  <c r="M724" i="4" s="1"/>
  <c r="N724" i="4" s="1"/>
  <c r="K553" i="4"/>
  <c r="M553" i="4" s="1"/>
  <c r="L1276" i="4"/>
  <c r="N1276" i="4" s="1"/>
  <c r="L369" i="4"/>
  <c r="N369" i="4" s="1"/>
  <c r="L783" i="4"/>
  <c r="N783" i="4" s="1"/>
  <c r="K122" i="4"/>
  <c r="M122" i="4" s="1"/>
  <c r="L951" i="4"/>
  <c r="N951" i="4" s="1"/>
  <c r="K1304" i="4"/>
  <c r="M1304" i="4" s="1"/>
  <c r="N1304" i="4" s="1"/>
  <c r="K1260" i="4"/>
  <c r="M1260" i="4" s="1"/>
  <c r="N1260" i="4" s="1"/>
  <c r="L993" i="4"/>
  <c r="N993" i="4" s="1"/>
  <c r="K1018" i="4"/>
  <c r="M1018" i="4" s="1"/>
  <c r="N1018" i="4" s="1"/>
  <c r="K225" i="4"/>
  <c r="M225" i="4" s="1"/>
  <c r="K82" i="4"/>
  <c r="M82" i="4" s="1"/>
  <c r="N82" i="4" s="1"/>
  <c r="K458" i="4"/>
  <c r="M458" i="4" s="1"/>
  <c r="N458" i="4" s="1"/>
  <c r="L909" i="4"/>
  <c r="N909" i="4" s="1"/>
  <c r="K691" i="4"/>
  <c r="M691" i="4" s="1"/>
  <c r="N691" i="4" s="1"/>
  <c r="K633" i="4"/>
  <c r="M633" i="4" s="1"/>
  <c r="L444" i="4"/>
  <c r="N444" i="4" s="1"/>
  <c r="K535" i="4"/>
  <c r="M535" i="4" s="1"/>
  <c r="L788" i="4"/>
  <c r="N788" i="4" s="1"/>
  <c r="K598" i="4"/>
  <c r="M598" i="4" s="1"/>
  <c r="N598" i="4" s="1"/>
  <c r="L833" i="4"/>
  <c r="N833" i="4" s="1"/>
  <c r="K578" i="4"/>
  <c r="M578" i="4" s="1"/>
  <c r="N578" i="4" s="1"/>
  <c r="L325" i="4"/>
  <c r="N325" i="4" s="1"/>
  <c r="K503" i="4"/>
  <c r="M503" i="4" s="1"/>
  <c r="N503" i="4" s="1"/>
  <c r="K1093" i="4"/>
  <c r="M1093" i="4" s="1"/>
  <c r="N1093" i="4" s="1"/>
  <c r="K587" i="4"/>
  <c r="M587" i="4" s="1"/>
  <c r="N587" i="4" s="1"/>
  <c r="L490" i="4"/>
  <c r="N490" i="4" s="1"/>
  <c r="L853" i="4"/>
  <c r="N853" i="4" s="1"/>
  <c r="K171" i="4"/>
  <c r="M171" i="4" s="1"/>
  <c r="K530" i="4"/>
  <c r="M530" i="4" s="1"/>
  <c r="N530" i="4" s="1"/>
  <c r="K147" i="4"/>
  <c r="M147" i="4" s="1"/>
  <c r="L146" i="4"/>
  <c r="N146" i="4" s="1"/>
  <c r="K826" i="4"/>
  <c r="M826" i="4" s="1"/>
  <c r="N826" i="4" s="1"/>
  <c r="L51" i="4"/>
  <c r="N51" i="4" s="1"/>
  <c r="K362" i="4"/>
  <c r="M362" i="4" s="1"/>
  <c r="K1092" i="4"/>
  <c r="M1092" i="4" s="1"/>
  <c r="N1092" i="4" s="1"/>
  <c r="K79" i="4"/>
  <c r="M79" i="4" s="1"/>
  <c r="K413" i="4"/>
  <c r="M413" i="4" s="1"/>
  <c r="N413" i="4" s="1"/>
  <c r="K1074" i="4"/>
  <c r="M1074" i="4" s="1"/>
  <c r="N1074" i="4" s="1"/>
  <c r="K794" i="4"/>
  <c r="M794" i="4" s="1"/>
  <c r="N794" i="4" s="1"/>
  <c r="L1244" i="4"/>
  <c r="N1244" i="4" s="1"/>
  <c r="K388" i="4"/>
  <c r="M388" i="4" s="1"/>
  <c r="N388" i="4" s="1"/>
  <c r="K1293" i="4"/>
  <c r="M1293" i="4" s="1"/>
  <c r="L1169" i="4"/>
  <c r="N1169" i="4" s="1"/>
  <c r="K1133" i="4"/>
  <c r="M1133" i="4" s="1"/>
  <c r="N1133" i="4" s="1"/>
  <c r="K1061" i="4"/>
  <c r="M1061" i="4" s="1"/>
  <c r="N1061" i="4" s="1"/>
  <c r="K593" i="4"/>
  <c r="M593" i="4" s="1"/>
  <c r="N593" i="4" s="1"/>
  <c r="K737" i="4"/>
  <c r="M737" i="4" s="1"/>
  <c r="N737" i="4" s="1"/>
  <c r="K1234" i="4"/>
  <c r="M1234" i="4" s="1"/>
  <c r="N1234" i="4" s="1"/>
  <c r="K559" i="4"/>
  <c r="M559" i="4" s="1"/>
  <c r="N559" i="4" s="1"/>
  <c r="K1101" i="4"/>
  <c r="M1101" i="4" s="1"/>
  <c r="K521" i="4"/>
  <c r="M521" i="4" s="1"/>
  <c r="N521" i="4" s="1"/>
  <c r="L942" i="4"/>
  <c r="N942" i="4" s="1"/>
  <c r="K183" i="4"/>
  <c r="M183" i="4" s="1"/>
  <c r="N183" i="4" s="1"/>
  <c r="L220" i="4"/>
  <c r="N220" i="4" s="1"/>
  <c r="L271" i="4"/>
  <c r="N271" i="4" s="1"/>
  <c r="K257" i="4"/>
  <c r="M257" i="4" s="1"/>
  <c r="N257" i="4" s="1"/>
  <c r="K701" i="4"/>
  <c r="M701" i="4" s="1"/>
  <c r="N701" i="4" s="1"/>
  <c r="K946" i="4"/>
  <c r="M946" i="4" s="1"/>
  <c r="N946" i="4" s="1"/>
  <c r="L641" i="4"/>
  <c r="N641" i="4" s="1"/>
  <c r="K1090" i="4"/>
  <c r="M1090" i="4" s="1"/>
  <c r="N1090" i="4" s="1"/>
  <c r="K482" i="4"/>
  <c r="M482" i="4" s="1"/>
  <c r="N482" i="4" s="1"/>
  <c r="K1259" i="4"/>
  <c r="M1259" i="4" s="1"/>
  <c r="N1259" i="4" s="1"/>
  <c r="K1119" i="4"/>
  <c r="M1119" i="4" s="1"/>
  <c r="N1119" i="4" s="1"/>
  <c r="K1131" i="4"/>
  <c r="M1131" i="4" s="1"/>
  <c r="K1166" i="4"/>
  <c r="M1166" i="4" s="1"/>
  <c r="N1166" i="4" s="1"/>
  <c r="L1088" i="4"/>
  <c r="N1088" i="4" s="1"/>
  <c r="K1128" i="4"/>
  <c r="M1128" i="4" s="1"/>
  <c r="K394" i="4"/>
  <c r="M394" i="4" s="1"/>
  <c r="L54" i="4"/>
  <c r="N54" i="4" s="1"/>
  <c r="K1154" i="4"/>
  <c r="M1154" i="4" s="1"/>
  <c r="N1154" i="4" s="1"/>
  <c r="K165" i="4"/>
  <c r="M165" i="4" s="1"/>
  <c r="N165" i="4" s="1"/>
  <c r="L3" i="4"/>
  <c r="N3" i="4" s="1"/>
  <c r="K1247" i="4"/>
  <c r="M1247" i="4" s="1"/>
  <c r="K618" i="4"/>
  <c r="M618" i="4" s="1"/>
  <c r="N618" i="4" s="1"/>
  <c r="K1086" i="4"/>
  <c r="M1086" i="4" s="1"/>
  <c r="N1086" i="4" s="1"/>
  <c r="K1057" i="4"/>
  <c r="M1057" i="4" s="1"/>
  <c r="L424" i="4"/>
  <c r="N424" i="4" s="1"/>
  <c r="K1232" i="4"/>
  <c r="M1232" i="4" s="1"/>
  <c r="N1232" i="4" s="1"/>
  <c r="K341" i="4"/>
  <c r="M341" i="4" s="1"/>
  <c r="N341" i="4" s="1"/>
  <c r="K860" i="4"/>
  <c r="M860" i="4" s="1"/>
  <c r="N860" i="4" s="1"/>
  <c r="K649" i="4"/>
  <c r="M649" i="4" s="1"/>
  <c r="N649" i="4" s="1"/>
  <c r="K719" i="4"/>
  <c r="M719" i="4" s="1"/>
  <c r="N719" i="4" s="1"/>
  <c r="K714" i="4"/>
  <c r="M714" i="4" s="1"/>
  <c r="K705" i="4"/>
  <c r="M705" i="4" s="1"/>
  <c r="N705" i="4" s="1"/>
  <c r="L613" i="4"/>
  <c r="N613" i="4" s="1"/>
  <c r="L1195" i="4"/>
  <c r="N1195" i="4" s="1"/>
  <c r="L1042" i="4"/>
  <c r="N1042" i="4" s="1"/>
  <c r="L986" i="4"/>
  <c r="N986" i="4" s="1"/>
  <c r="K626" i="4"/>
  <c r="M626" i="4" s="1"/>
  <c r="N626" i="4" s="1"/>
  <c r="K203" i="4"/>
  <c r="M203" i="4" s="1"/>
  <c r="L1198" i="4"/>
  <c r="N1198" i="4" s="1"/>
  <c r="L894" i="4"/>
  <c r="N894" i="4" s="1"/>
  <c r="L1037" i="4"/>
  <c r="N1037" i="4" s="1"/>
  <c r="K1050" i="4"/>
  <c r="M1050" i="4" s="1"/>
  <c r="N1050" i="4" s="1"/>
  <c r="K800" i="4"/>
  <c r="M800" i="4" s="1"/>
  <c r="N800" i="4" s="1"/>
  <c r="K168" i="4"/>
  <c r="M168" i="4" s="1"/>
  <c r="N168" i="4" s="1"/>
  <c r="K755" i="4"/>
  <c r="M755" i="4" s="1"/>
  <c r="N755" i="4" s="1"/>
  <c r="L306" i="4"/>
  <c r="N306" i="4" s="1"/>
  <c r="K244" i="4"/>
  <c r="M244" i="4" s="1"/>
  <c r="L675" i="4"/>
  <c r="N675" i="4" s="1"/>
  <c r="L42" i="4"/>
  <c r="N42" i="4" s="1"/>
  <c r="K1145" i="4"/>
  <c r="M1145" i="4" s="1"/>
  <c r="N1145" i="4" s="1"/>
  <c r="L21" i="4"/>
  <c r="N21" i="4" s="1"/>
  <c r="K120" i="4"/>
  <c r="M120" i="4" s="1"/>
  <c r="K66" i="4"/>
  <c r="M66" i="4" s="1"/>
  <c r="K500" i="4"/>
  <c r="M500" i="4" s="1"/>
  <c r="K1183" i="4"/>
  <c r="M1183" i="4" s="1"/>
  <c r="N1183" i="4" s="1"/>
  <c r="L136" i="4"/>
  <c r="N136" i="4" s="1"/>
  <c r="L339" i="4"/>
  <c r="N339" i="4" s="1"/>
  <c r="L763" i="4"/>
  <c r="N763" i="4" s="1"/>
  <c r="K1286" i="4"/>
  <c r="M1286" i="4" s="1"/>
  <c r="K1201" i="4"/>
  <c r="M1201" i="4" s="1"/>
  <c r="N1201" i="4" s="1"/>
  <c r="L59" i="4"/>
  <c r="N59" i="4" s="1"/>
  <c r="K1049" i="4"/>
  <c r="M1049" i="4" s="1"/>
  <c r="N1049" i="4" s="1"/>
  <c r="L825" i="4"/>
  <c r="N825" i="4" s="1"/>
  <c r="L149" i="4"/>
  <c r="N149" i="4" s="1"/>
  <c r="K351" i="4"/>
  <c r="M351" i="4" s="1"/>
  <c r="N351" i="4" s="1"/>
  <c r="L938" i="4"/>
  <c r="N938" i="4" s="1"/>
  <c r="L450" i="4"/>
  <c r="N450" i="4" s="1"/>
  <c r="L921" i="4"/>
  <c r="N921" i="4" s="1"/>
  <c r="L1306" i="4"/>
  <c r="N1306" i="4" s="1"/>
  <c r="K462" i="4"/>
  <c r="M462" i="4" s="1"/>
  <c r="N462" i="4" s="1"/>
  <c r="K589" i="4"/>
  <c r="M589" i="4" s="1"/>
  <c r="N589" i="4" s="1"/>
  <c r="K1000" i="4"/>
  <c r="M1000" i="4" s="1"/>
  <c r="N1000" i="4" s="1"/>
  <c r="K827" i="4"/>
  <c r="M827" i="4" s="1"/>
  <c r="N827" i="4" s="1"/>
  <c r="K300" i="4"/>
  <c r="M300" i="4" s="1"/>
  <c r="N300" i="4" s="1"/>
  <c r="K138" i="4"/>
  <c r="M138" i="4" s="1"/>
  <c r="K1069" i="4"/>
  <c r="M1069" i="4" s="1"/>
  <c r="N1069" i="4" s="1"/>
  <c r="K1185" i="4"/>
  <c r="M1185" i="4" s="1"/>
  <c r="N1185" i="4" s="1"/>
  <c r="K644" i="4"/>
  <c r="M644" i="4" s="1"/>
  <c r="N644" i="4" s="1"/>
  <c r="K872" i="4"/>
  <c r="M872" i="4" s="1"/>
  <c r="N872" i="4" s="1"/>
  <c r="K350" i="4"/>
  <c r="M350" i="4" s="1"/>
  <c r="L1051" i="4"/>
  <c r="N1051" i="4" s="1"/>
  <c r="L56" i="4"/>
  <c r="N56" i="4" s="1"/>
  <c r="K494" i="4"/>
  <c r="M494" i="4" s="1"/>
  <c r="N494" i="4" s="1"/>
  <c r="L323" i="4"/>
  <c r="N323" i="4" s="1"/>
  <c r="K916" i="4"/>
  <c r="M916" i="4" s="1"/>
  <c r="N916" i="4" s="1"/>
  <c r="K709" i="4"/>
  <c r="M709" i="4" s="1"/>
  <c r="L622" i="4"/>
  <c r="N622" i="4" s="1"/>
  <c r="K810" i="4"/>
  <c r="M810" i="4" s="1"/>
  <c r="N810" i="4" s="1"/>
  <c r="K1064" i="4"/>
  <c r="M1064" i="4" s="1"/>
  <c r="N1064" i="4" s="1"/>
  <c r="K106" i="4"/>
  <c r="M106" i="4" s="1"/>
  <c r="N106" i="4" s="1"/>
  <c r="L739" i="4"/>
  <c r="N739" i="4" s="1"/>
  <c r="K398" i="4"/>
  <c r="M398" i="4" s="1"/>
  <c r="K277" i="4"/>
  <c r="M277" i="4" s="1"/>
  <c r="K77" i="4"/>
  <c r="M77" i="4" s="1"/>
  <c r="K228" i="4"/>
  <c r="M228" i="4" s="1"/>
  <c r="K678" i="4"/>
  <c r="M678" i="4" s="1"/>
  <c r="N678" i="4" s="1"/>
  <c r="K293" i="4"/>
  <c r="M293" i="4" s="1"/>
  <c r="N293" i="4" s="1"/>
  <c r="K866" i="4"/>
  <c r="M866" i="4" s="1"/>
  <c r="N866" i="4" s="1"/>
  <c r="L893" i="4"/>
  <c r="N893" i="4" s="1"/>
  <c r="K654" i="4"/>
  <c r="M654" i="4" s="1"/>
  <c r="N654" i="4" s="1"/>
  <c r="K745" i="4"/>
  <c r="M745" i="4" s="1"/>
  <c r="L236" i="4"/>
  <c r="K379" i="4"/>
  <c r="M379" i="4" s="1"/>
  <c r="K949" i="4"/>
  <c r="M949" i="4" s="1"/>
  <c r="N949" i="4" s="1"/>
  <c r="K353" i="4"/>
  <c r="M353" i="4" s="1"/>
  <c r="N353" i="4" s="1"/>
  <c r="L923" i="4"/>
  <c r="N923" i="4" s="1"/>
  <c r="L1161" i="4"/>
  <c r="N1161" i="4" s="1"/>
  <c r="K865" i="4"/>
  <c r="M865" i="4" s="1"/>
  <c r="N865" i="4" s="1"/>
  <c r="L555" i="4"/>
  <c r="N555" i="4" s="1"/>
  <c r="L638" i="4"/>
  <c r="N638" i="4" s="1"/>
  <c r="L1163" i="4"/>
  <c r="N1163" i="4" s="1"/>
  <c r="K45" i="4"/>
  <c r="M45" i="4" s="1"/>
  <c r="K489" i="4"/>
  <c r="M489" i="4" s="1"/>
  <c r="N489" i="4" s="1"/>
  <c r="K817" i="4"/>
  <c r="M817" i="4" s="1"/>
  <c r="N817" i="4" s="1"/>
  <c r="L653" i="4"/>
  <c r="N653" i="4" s="1"/>
  <c r="K188" i="4"/>
  <c r="M188" i="4" s="1"/>
  <c r="L436" i="4"/>
  <c r="N436" i="4" s="1"/>
  <c r="K298" i="4"/>
  <c r="M298" i="4" s="1"/>
  <c r="K1269" i="4"/>
  <c r="M1269" i="4" s="1"/>
  <c r="N1269" i="4" s="1"/>
  <c r="K1022" i="4"/>
  <c r="M1022" i="4" s="1"/>
  <c r="K534" i="4"/>
  <c r="M534" i="4" s="1"/>
  <c r="N534" i="4" s="1"/>
  <c r="K437" i="4"/>
  <c r="M437" i="4" s="1"/>
  <c r="N437" i="4" s="1"/>
  <c r="K17" i="4"/>
  <c r="M17" i="4" s="1"/>
  <c r="K33" i="4"/>
  <c r="M33" i="4" s="1"/>
  <c r="L570" i="4"/>
  <c r="N570" i="4" s="1"/>
  <c r="K1182" i="4"/>
  <c r="M1182" i="4" s="1"/>
  <c r="K1149" i="4"/>
  <c r="M1149" i="4" s="1"/>
  <c r="K898" i="4"/>
  <c r="M898" i="4" s="1"/>
  <c r="N898" i="4" s="1"/>
  <c r="K1225" i="4"/>
  <c r="M1225" i="4" s="1"/>
  <c r="N1225" i="4" s="1"/>
  <c r="K543" i="4"/>
  <c r="M543" i="4" s="1"/>
  <c r="N543" i="4" s="1"/>
  <c r="K668" i="4"/>
  <c r="M668" i="4" s="1"/>
  <c r="N668" i="4" s="1"/>
  <c r="K1300" i="4"/>
  <c r="M1300" i="4" s="1"/>
  <c r="N1300" i="4" s="1"/>
  <c r="K221" i="4"/>
  <c r="M221" i="4" s="1"/>
  <c r="L1045" i="4"/>
  <c r="N1045" i="4" s="1"/>
  <c r="K498" i="4"/>
  <c r="M498" i="4" s="1"/>
  <c r="N498" i="4" s="1"/>
  <c r="K858" i="4"/>
  <c r="M858" i="4" s="1"/>
  <c r="N858" i="4" s="1"/>
  <c r="L359" i="4"/>
  <c r="N359" i="4" s="1"/>
  <c r="K881" i="4"/>
  <c r="M881" i="4" s="1"/>
  <c r="N881" i="4" s="1"/>
  <c r="K1237" i="4"/>
  <c r="M1237" i="4" s="1"/>
  <c r="N1237" i="4" s="1"/>
  <c r="K877" i="4"/>
  <c r="M877" i="4" s="1"/>
  <c r="N877" i="4" s="1"/>
  <c r="L422" i="4"/>
  <c r="N422" i="4" s="1"/>
  <c r="K939" i="4"/>
  <c r="M939" i="4" s="1"/>
  <c r="N939" i="4" s="1"/>
  <c r="K1123" i="4"/>
  <c r="M1123" i="4" s="1"/>
  <c r="N1123" i="4" s="1"/>
  <c r="L317" i="4"/>
  <c r="N317" i="4" s="1"/>
  <c r="K716" i="4"/>
  <c r="M716" i="4" s="1"/>
  <c r="N716" i="4" s="1"/>
  <c r="K636" i="4"/>
  <c r="M636" i="4" s="1"/>
  <c r="N636" i="4" s="1"/>
  <c r="L706" i="4"/>
  <c r="N706" i="4" s="1"/>
  <c r="K246" i="4"/>
  <c r="M246" i="4" s="1"/>
  <c r="N246" i="4" s="1"/>
  <c r="L465" i="4"/>
  <c r="N465" i="4" s="1"/>
  <c r="K679" i="4"/>
  <c r="M679" i="4" s="1"/>
  <c r="N679" i="4" s="1"/>
  <c r="K134" i="4"/>
  <c r="M134" i="4" s="1"/>
  <c r="K364" i="4"/>
  <c r="M364" i="4" s="1"/>
  <c r="L1299" i="4"/>
  <c r="N1299" i="4" s="1"/>
  <c r="K281" i="4"/>
  <c r="M281" i="4" s="1"/>
  <c r="K40" i="4"/>
  <c r="M40" i="4" s="1"/>
  <c r="N40" i="4" s="1"/>
  <c r="L469" i="4"/>
  <c r="N469" i="4" s="1"/>
  <c r="K47" i="4"/>
  <c r="M47" i="4" s="1"/>
  <c r="N47" i="4" s="1"/>
  <c r="K702" i="4"/>
  <c r="M702" i="4" s="1"/>
  <c r="N702" i="4" s="1"/>
  <c r="K186" i="4"/>
  <c r="M186" i="4" s="1"/>
  <c r="L240" i="4"/>
  <c r="L683" i="4"/>
  <c r="N683" i="4" s="1"/>
  <c r="K952" i="4"/>
  <c r="M952" i="4" s="1"/>
  <c r="N952" i="4" s="1"/>
  <c r="K254" i="4"/>
  <c r="M254" i="4" s="1"/>
  <c r="K114" i="4"/>
  <c r="M114" i="4" s="1"/>
  <c r="K575" i="4"/>
  <c r="M575" i="4" s="1"/>
  <c r="N575" i="4" s="1"/>
  <c r="L661" i="4"/>
  <c r="N661" i="4" s="1"/>
  <c r="K334" i="4"/>
  <c r="M334" i="4" s="1"/>
  <c r="N334" i="4" s="1"/>
  <c r="L996" i="4"/>
  <c r="N996" i="4" s="1"/>
  <c r="L402" i="4"/>
  <c r="N402" i="4" s="1"/>
  <c r="L1132" i="4"/>
  <c r="N1132" i="4" s="1"/>
  <c r="L878" i="4"/>
  <c r="N878" i="4" s="1"/>
  <c r="L525" i="4"/>
  <c r="N525" i="4" s="1"/>
  <c r="K1103" i="4"/>
  <c r="M1103" i="4" s="1"/>
  <c r="N1103" i="4" s="1"/>
  <c r="L658" i="4"/>
  <c r="N658" i="4" s="1"/>
  <c r="K396" i="4"/>
  <c r="M396" i="4" s="1"/>
  <c r="K420" i="4"/>
  <c r="M420" i="4" s="1"/>
  <c r="N420" i="4" s="1"/>
  <c r="L366" i="4"/>
  <c r="N366" i="4" s="1"/>
  <c r="K439" i="4"/>
  <c r="M439" i="4" s="1"/>
  <c r="N439" i="4" s="1"/>
  <c r="K445" i="4"/>
  <c r="M445" i="4" s="1"/>
  <c r="L883" i="4"/>
  <c r="N883" i="4" s="1"/>
  <c r="K947" i="4"/>
  <c r="M947" i="4" s="1"/>
  <c r="N947" i="4" s="1"/>
  <c r="L834" i="4"/>
  <c r="N834" i="4" s="1"/>
  <c r="K83" i="4"/>
  <c r="M83" i="4" s="1"/>
  <c r="N83" i="4" s="1"/>
  <c r="K812" i="4"/>
  <c r="M812" i="4" s="1"/>
  <c r="N812" i="4" s="1"/>
  <c r="L915" i="4"/>
  <c r="N915" i="4" s="1"/>
  <c r="L814" i="4"/>
  <c r="N814" i="4" s="1"/>
  <c r="K1233" i="4"/>
  <c r="M1233" i="4" s="1"/>
  <c r="N1233" i="4" s="1"/>
  <c r="L802" i="4"/>
  <c r="N802" i="4" s="1"/>
  <c r="K1099" i="4"/>
  <c r="M1099" i="4" s="1"/>
  <c r="N1099" i="4" s="1"/>
  <c r="L740" i="4"/>
  <c r="N740" i="4" s="1"/>
  <c r="K363" i="4"/>
  <c r="M363" i="4" s="1"/>
  <c r="L650" i="4"/>
  <c r="N650" i="4" s="1"/>
  <c r="L1238" i="4"/>
  <c r="N1238" i="4" s="1"/>
  <c r="L96" i="4"/>
  <c r="N96" i="4" s="1"/>
  <c r="K372" i="4"/>
  <c r="M372" i="4" s="1"/>
  <c r="K229" i="4"/>
  <c r="M229" i="4" s="1"/>
  <c r="L603" i="4"/>
  <c r="N603" i="4" s="1"/>
  <c r="K811" i="4"/>
  <c r="M811" i="4" s="1"/>
  <c r="N811" i="4" s="1"/>
  <c r="K531" i="4"/>
  <c r="M531" i="4" s="1"/>
  <c r="L358" i="4"/>
  <c r="N358" i="4" s="1"/>
  <c r="L1112" i="4"/>
  <c r="N1112" i="4" s="1"/>
  <c r="K889" i="4"/>
  <c r="M889" i="4" s="1"/>
  <c r="N889" i="4" s="1"/>
  <c r="K356" i="4"/>
  <c r="M356" i="4" s="1"/>
  <c r="K242" i="4"/>
  <c r="M242" i="4" s="1"/>
  <c r="K838" i="4"/>
  <c r="M838" i="4" s="1"/>
  <c r="K729" i="4"/>
  <c r="M729" i="4" s="1"/>
  <c r="K8" i="4"/>
  <c r="M8" i="4" s="1"/>
  <c r="L1181" i="4"/>
  <c r="N1181" i="4" s="1"/>
  <c r="L950" i="4"/>
  <c r="N950" i="4" s="1"/>
  <c r="K115" i="4"/>
  <c r="M115" i="4" s="1"/>
  <c r="L623" i="4"/>
  <c r="N623" i="4" s="1"/>
  <c r="K1035" i="4"/>
  <c r="M1035" i="4" s="1"/>
  <c r="N1035" i="4" s="1"/>
  <c r="K137" i="4"/>
  <c r="M137" i="4" s="1"/>
  <c r="N137" i="4" s="1"/>
  <c r="K430" i="4"/>
  <c r="M430" i="4" s="1"/>
  <c r="N430" i="4" s="1"/>
  <c r="K657" i="4"/>
  <c r="M657" i="4" s="1"/>
  <c r="N657" i="4" s="1"/>
  <c r="L1170" i="4"/>
  <c r="N1170" i="4" s="1"/>
  <c r="K844" i="4"/>
  <c r="M844" i="4" s="1"/>
  <c r="N844" i="4" s="1"/>
  <c r="L1285" i="4"/>
  <c r="N1285" i="4" s="1"/>
  <c r="K926" i="4"/>
  <c r="M926" i="4" s="1"/>
  <c r="N926" i="4" s="1"/>
  <c r="K1184" i="4"/>
  <c r="M1184" i="4" s="1"/>
  <c r="L1047" i="4"/>
  <c r="N1047" i="4" s="1"/>
  <c r="K409" i="4"/>
  <c r="M409" i="4" s="1"/>
  <c r="L900" i="4"/>
  <c r="N900" i="4" s="1"/>
  <c r="L590" i="4"/>
  <c r="N590" i="4" s="1"/>
  <c r="L876" i="4"/>
  <c r="N876" i="4" s="1"/>
  <c r="K631" i="4"/>
  <c r="M631" i="4" s="1"/>
  <c r="N631" i="4" s="1"/>
  <c r="K34" i="4"/>
  <c r="M34" i="4" s="1"/>
  <c r="N34" i="4" s="1"/>
  <c r="L804" i="4"/>
  <c r="N804" i="4" s="1"/>
  <c r="K1264" i="4"/>
  <c r="M1264" i="4" s="1"/>
  <c r="N1264" i="4" s="1"/>
  <c r="K233" i="4"/>
  <c r="M233" i="4" s="1"/>
  <c r="K1113" i="4"/>
  <c r="M1113" i="4" s="1"/>
  <c r="N1113" i="4" s="1"/>
  <c r="K625" i="4"/>
  <c r="M625" i="4" s="1"/>
  <c r="N625" i="4" s="1"/>
  <c r="K355" i="4"/>
  <c r="M355" i="4" s="1"/>
  <c r="K1188" i="4"/>
  <c r="M1188" i="4" s="1"/>
  <c r="N1188" i="4" s="1"/>
  <c r="K69" i="4"/>
  <c r="M69" i="4" s="1"/>
  <c r="K934" i="4"/>
  <c r="M934" i="4" s="1"/>
  <c r="N934" i="4" s="1"/>
  <c r="L1065" i="4"/>
  <c r="N1065" i="4" s="1"/>
  <c r="K690" i="4"/>
  <c r="M690" i="4" s="1"/>
  <c r="N690" i="4" s="1"/>
  <c r="K873" i="4"/>
  <c r="M873" i="4" s="1"/>
  <c r="N873" i="4" s="1"/>
  <c r="L723" i="4"/>
  <c r="N723" i="4" s="1"/>
  <c r="K1125" i="4"/>
  <c r="M1125" i="4" s="1"/>
  <c r="N1125" i="4" s="1"/>
  <c r="L205" i="4"/>
  <c r="N205" i="4" s="1"/>
  <c r="K1003" i="4"/>
  <c r="M1003" i="4" s="1"/>
  <c r="N1003" i="4" s="1"/>
  <c r="K669" i="4"/>
  <c r="M669" i="4" s="1"/>
  <c r="N669" i="4" s="1"/>
  <c r="L512" i="4"/>
  <c r="N512" i="4" s="1"/>
  <c r="L393" i="4"/>
  <c r="N393" i="4" s="1"/>
  <c r="K565" i="4"/>
  <c r="M565" i="4" s="1"/>
  <c r="N565" i="4" s="1"/>
  <c r="K285" i="4"/>
  <c r="M285" i="4" s="1"/>
  <c r="L676" i="4"/>
  <c r="N676" i="4" s="1"/>
  <c r="K1006" i="4"/>
  <c r="M1006" i="4" s="1"/>
  <c r="K940" i="4"/>
  <c r="M940" i="4" s="1"/>
  <c r="N940" i="4" s="1"/>
  <c r="K861" i="4"/>
  <c r="M861" i="4" s="1"/>
  <c r="N861" i="4" s="1"/>
  <c r="L213" i="4"/>
  <c r="N213" i="4" s="1"/>
  <c r="K176" i="4"/>
  <c r="M176" i="4" s="1"/>
  <c r="L448" i="4"/>
  <c r="N448" i="4" s="1"/>
  <c r="K790" i="4"/>
  <c r="M790" i="4" s="1"/>
  <c r="N790" i="4" s="1"/>
  <c r="K850" i="4"/>
  <c r="M850" i="4" s="1"/>
  <c r="N850" i="4" s="1"/>
  <c r="L962" i="4"/>
  <c r="N962" i="4" s="1"/>
  <c r="K1196" i="4"/>
  <c r="M1196" i="4" s="1"/>
  <c r="N1196" i="4" s="1"/>
  <c r="K382" i="4"/>
  <c r="M382" i="4" s="1"/>
  <c r="N382" i="4" s="1"/>
  <c r="L787" i="4"/>
  <c r="N787" i="4" s="1"/>
  <c r="K406" i="4"/>
  <c r="M406" i="4" s="1"/>
  <c r="N406" i="4" s="1"/>
  <c r="K569" i="4"/>
  <c r="M569" i="4" s="1"/>
  <c r="N569" i="4" s="1"/>
  <c r="K1289" i="4"/>
  <c r="M1289" i="4" s="1"/>
  <c r="L310" i="4"/>
  <c r="N310" i="4" s="1"/>
  <c r="K131" i="4"/>
  <c r="M131" i="4" s="1"/>
  <c r="L296" i="4"/>
  <c r="N296" i="4" s="1"/>
  <c r="L384" i="4"/>
  <c r="N384" i="4" s="1"/>
  <c r="L711" i="4"/>
  <c r="N711" i="4" s="1"/>
  <c r="K44" i="4"/>
  <c r="M44" i="4" s="1"/>
  <c r="N44" i="4" s="1"/>
  <c r="L1081" i="4"/>
  <c r="N1081" i="4" s="1"/>
  <c r="K1229" i="4"/>
  <c r="M1229" i="4" s="1"/>
  <c r="N1229" i="4" s="1"/>
  <c r="K770" i="4"/>
  <c r="M770" i="4" s="1"/>
  <c r="N770" i="4" s="1"/>
  <c r="K1063" i="4"/>
  <c r="M1063" i="4" s="1"/>
  <c r="N1063" i="4" s="1"/>
  <c r="K504" i="4"/>
  <c r="M504" i="4" s="1"/>
  <c r="N504" i="4" s="1"/>
  <c r="K390" i="4"/>
  <c r="M390" i="4" s="1"/>
  <c r="N390" i="4" s="1"/>
  <c r="L5" i="4"/>
  <c r="N5" i="4" s="1"/>
  <c r="L227" i="4"/>
  <c r="N227" i="4" s="1"/>
  <c r="K652" i="4"/>
  <c r="M652" i="4" s="1"/>
  <c r="N652" i="4" s="1"/>
  <c r="K23" i="4"/>
  <c r="M23" i="4" s="1"/>
  <c r="L1147" i="4"/>
  <c r="N1147" i="4" s="1"/>
  <c r="K368" i="4"/>
  <c r="M368" i="4" s="1"/>
  <c r="L315" i="4"/>
  <c r="N315" i="4" s="1"/>
  <c r="K232" i="4"/>
  <c r="M232" i="4" s="1"/>
  <c r="K1039" i="4"/>
  <c r="M1039" i="4" s="1"/>
  <c r="N1039" i="4" s="1"/>
  <c r="L956" i="4"/>
  <c r="N956" i="4" s="1"/>
  <c r="K592" i="4"/>
  <c r="M592" i="4" s="1"/>
  <c r="N592" i="4" s="1"/>
  <c r="K798" i="4"/>
  <c r="M798" i="4" s="1"/>
  <c r="N798" i="4" s="1"/>
  <c r="K287" i="4"/>
  <c r="M287" i="4" s="1"/>
  <c r="N287" i="4" s="1"/>
  <c r="L4" i="4"/>
  <c r="N4" i="4" s="1"/>
  <c r="K507" i="4"/>
  <c r="M507" i="4" s="1"/>
  <c r="N507" i="4" s="1"/>
  <c r="K57" i="4"/>
  <c r="M57" i="4" s="1"/>
  <c r="L206" i="4"/>
  <c r="N206" i="4" s="1"/>
  <c r="K314" i="4"/>
  <c r="M314" i="4" s="1"/>
  <c r="N314" i="4" s="1"/>
  <c r="L1292" i="4"/>
  <c r="N1292" i="4" s="1"/>
  <c r="K1254" i="4"/>
  <c r="M1254" i="4" s="1"/>
  <c r="N1254" i="4" s="1"/>
  <c r="K615" i="4"/>
  <c r="M615" i="4" s="1"/>
  <c r="N615" i="4" s="1"/>
  <c r="K216" i="4"/>
  <c r="M216" i="4" s="1"/>
  <c r="K510" i="4"/>
  <c r="M510" i="4" s="1"/>
  <c r="N510" i="4" s="1"/>
  <c r="K943" i="4"/>
  <c r="M943" i="4" s="1"/>
  <c r="N943" i="4" s="1"/>
  <c r="K1226" i="4"/>
  <c r="M1226" i="4" s="1"/>
  <c r="N1226" i="4" s="1"/>
  <c r="K1248" i="4"/>
  <c r="M1248" i="4" s="1"/>
  <c r="N1248" i="4" s="1"/>
  <c r="K62" i="4"/>
  <c r="M62" i="4" s="1"/>
  <c r="L919" i="4"/>
  <c r="N919" i="4" s="1"/>
  <c r="K1030" i="4"/>
  <c r="M1030" i="4" s="1"/>
  <c r="N1030" i="4" s="1"/>
  <c r="K1175" i="4"/>
  <c r="M1175" i="4" s="1"/>
  <c r="N1175" i="4" s="1"/>
  <c r="K976" i="4"/>
  <c r="M976" i="4" s="1"/>
  <c r="N976" i="4" s="1"/>
  <c r="K496" i="4"/>
  <c r="M496" i="4" s="1"/>
  <c r="N496" i="4" s="1"/>
  <c r="L495" i="4"/>
  <c r="N495" i="4" s="1"/>
  <c r="L837" i="4"/>
  <c r="N837" i="4" s="1"/>
  <c r="L247" i="4"/>
  <c r="N247" i="4" s="1"/>
  <c r="K288" i="4"/>
  <c r="M288" i="4" s="1"/>
  <c r="L816" i="4"/>
  <c r="N816" i="4" s="1"/>
  <c r="K109" i="4"/>
  <c r="M109" i="4" s="1"/>
  <c r="N109" i="4" s="1"/>
  <c r="K539" i="4"/>
  <c r="M539" i="4" s="1"/>
  <c r="N539" i="4" s="1"/>
  <c r="L267" i="4"/>
  <c r="N267" i="4" s="1"/>
  <c r="K715" i="4"/>
  <c r="M715" i="4" s="1"/>
  <c r="N715" i="4" s="1"/>
  <c r="L275" i="4"/>
  <c r="N275" i="4" s="1"/>
  <c r="K453" i="4"/>
  <c r="M453" i="4" s="1"/>
  <c r="N453" i="4" s="1"/>
  <c r="K360" i="4"/>
  <c r="M360" i="4" s="1"/>
  <c r="N360" i="4" s="1"/>
  <c r="K128" i="4"/>
  <c r="M128" i="4" s="1"/>
  <c r="N128" i="4" s="1"/>
  <c r="L161" i="4"/>
  <c r="N161" i="4" s="1"/>
  <c r="L517" i="4"/>
  <c r="N517" i="4" s="1"/>
  <c r="K759" i="4"/>
  <c r="M759" i="4" s="1"/>
  <c r="N759" i="4" s="1"/>
  <c r="K576" i="4"/>
  <c r="M576" i="4" s="1"/>
  <c r="N576" i="4" s="1"/>
  <c r="L533" i="4"/>
  <c r="N533" i="4" s="1"/>
  <c r="K944" i="4"/>
  <c r="M944" i="4" s="1"/>
  <c r="N944" i="4" s="1"/>
  <c r="K830" i="4"/>
  <c r="M830" i="4" s="1"/>
  <c r="K179" i="4"/>
  <c r="M179" i="4" s="1"/>
  <c r="L299" i="4"/>
  <c r="N299" i="4" s="1"/>
  <c r="K779" i="4"/>
  <c r="M779" i="4" s="1"/>
  <c r="K722" i="4"/>
  <c r="M722" i="4" s="1"/>
  <c r="N722" i="4" s="1"/>
  <c r="L1165" i="4"/>
  <c r="N1165" i="4" s="1"/>
  <c r="K1073" i="4"/>
  <c r="M1073" i="4" s="1"/>
  <c r="L432" i="4"/>
  <c r="N432" i="4" s="1"/>
  <c r="K104" i="4"/>
  <c r="M104" i="4" s="1"/>
  <c r="N104" i="4" s="1"/>
  <c r="K721" i="4"/>
  <c r="M721" i="4" s="1"/>
  <c r="N721" i="4" s="1"/>
  <c r="K80" i="4"/>
  <c r="M80" i="4" s="1"/>
  <c r="K200" i="4"/>
  <c r="M200" i="4" s="1"/>
  <c r="N200" i="4" s="1"/>
  <c r="K297" i="4"/>
  <c r="M297" i="4" s="1"/>
  <c r="K467" i="4"/>
  <c r="M467" i="4" s="1"/>
  <c r="N467" i="4" s="1"/>
  <c r="L129" i="4"/>
  <c r="N129" i="4" s="1"/>
  <c r="L1284" i="4"/>
  <c r="K1284" i="4"/>
  <c r="M1284" i="4" s="1"/>
  <c r="L836" i="4"/>
  <c r="K836" i="4"/>
  <c r="M836" i="4" s="1"/>
  <c r="L868" i="4"/>
  <c r="K868" i="4"/>
  <c r="M868" i="4" s="1"/>
  <c r="L1078" i="4"/>
  <c r="K1078" i="4"/>
  <c r="M1078" i="4" s="1"/>
  <c r="L241" i="4"/>
  <c r="K241" i="4"/>
  <c r="M241" i="4" s="1"/>
  <c r="L522" i="4"/>
  <c r="K522" i="4"/>
  <c r="M522" i="4" s="1"/>
  <c r="L7" i="4"/>
  <c r="K7" i="4"/>
  <c r="M7" i="4" s="1"/>
  <c r="K1210" i="4"/>
  <c r="M1210" i="4" s="1"/>
  <c r="L1210" i="4"/>
  <c r="L249" i="4"/>
  <c r="K249" i="4"/>
  <c r="M249" i="4" s="1"/>
  <c r="L1017" i="4"/>
  <c r="K1017" i="4"/>
  <c r="M1017" i="4" s="1"/>
  <c r="K1148" i="4"/>
  <c r="M1148" i="4" s="1"/>
  <c r="L1148" i="4"/>
  <c r="L1076" i="4"/>
  <c r="K1076" i="4"/>
  <c r="M1076" i="4" s="1"/>
  <c r="L195" i="4"/>
  <c r="N195" i="4" s="1"/>
  <c r="K152" i="4"/>
  <c r="M152" i="4" s="1"/>
  <c r="K24" i="4"/>
  <c r="M24" i="4" s="1"/>
  <c r="L651" i="4"/>
  <c r="N651" i="4" s="1"/>
  <c r="K483" i="4"/>
  <c r="M483" i="4" s="1"/>
  <c r="N483" i="4" s="1"/>
  <c r="L846" i="4"/>
  <c r="K846" i="4"/>
  <c r="M846" i="4" s="1"/>
  <c r="L560" i="4"/>
  <c r="K560" i="4"/>
  <c r="M560" i="4" s="1"/>
  <c r="K1258" i="4"/>
  <c r="M1258" i="4" s="1"/>
  <c r="L112" i="4"/>
  <c r="N112" i="4" s="1"/>
  <c r="K39" i="4"/>
  <c r="M39" i="4" s="1"/>
  <c r="K32" i="4"/>
  <c r="M32" i="4" s="1"/>
  <c r="K427" i="4"/>
  <c r="M427" i="4" s="1"/>
  <c r="N427" i="4" s="1"/>
  <c r="K741" i="4"/>
  <c r="M741" i="4" s="1"/>
  <c r="L373" i="4"/>
  <c r="N373" i="4" s="1"/>
  <c r="L155" i="4"/>
  <c r="N155" i="4" s="1"/>
  <c r="K1197" i="4"/>
  <c r="M1197" i="4" s="1"/>
  <c r="N1197" i="4" s="1"/>
  <c r="K848" i="4"/>
  <c r="M848" i="4" s="1"/>
  <c r="N848" i="4" s="1"/>
  <c r="L1236" i="4"/>
  <c r="N1236" i="4" s="1"/>
  <c r="L863" i="4"/>
  <c r="N863" i="4" s="1"/>
  <c r="L528" i="4"/>
  <c r="N528" i="4" s="1"/>
  <c r="L955" i="4"/>
  <c r="N955" i="4" s="1"/>
  <c r="L635" i="4"/>
  <c r="N635" i="4" s="1"/>
  <c r="K75" i="4"/>
  <c r="M75" i="4" s="1"/>
  <c r="N75" i="4" s="1"/>
  <c r="L782" i="4"/>
  <c r="K782" i="4"/>
  <c r="M782" i="4" s="1"/>
  <c r="K580" i="4"/>
  <c r="M580" i="4" s="1"/>
  <c r="L580" i="4"/>
  <c r="L159" i="4"/>
  <c r="K159" i="4"/>
  <c r="M159" i="4" s="1"/>
  <c r="L12" i="4"/>
  <c r="K12" i="4"/>
  <c r="M12" i="4" s="1"/>
  <c r="L486" i="4"/>
  <c r="K486" i="4"/>
  <c r="M486" i="4" s="1"/>
  <c r="L708" i="4"/>
  <c r="K708" i="4"/>
  <c r="M708" i="4" s="1"/>
  <c r="L563" i="4"/>
  <c r="K563" i="4"/>
  <c r="M563" i="4" s="1"/>
  <c r="L102" i="4"/>
  <c r="K102" i="4"/>
  <c r="M102" i="4" s="1"/>
  <c r="L886" i="4"/>
  <c r="K886" i="4"/>
  <c r="M886" i="4" s="1"/>
  <c r="L175" i="4"/>
  <c r="K175" i="4"/>
  <c r="M175" i="4" s="1"/>
  <c r="L22" i="4"/>
  <c r="K22" i="4"/>
  <c r="M22" i="4" s="1"/>
  <c r="L1040" i="4"/>
  <c r="K1040" i="4"/>
  <c r="M1040" i="4" s="1"/>
  <c r="K548" i="4"/>
  <c r="M548" i="4" s="1"/>
  <c r="L548" i="4"/>
  <c r="L970" i="4"/>
  <c r="K970" i="4"/>
  <c r="M970" i="4" s="1"/>
  <c r="L920" i="4"/>
  <c r="K920" i="4"/>
  <c r="M920" i="4" s="1"/>
  <c r="L471" i="4"/>
  <c r="K471" i="4"/>
  <c r="M471" i="4" s="1"/>
  <c r="L322" i="4"/>
  <c r="K322" i="4"/>
  <c r="M322" i="4" s="1"/>
  <c r="L551" i="4"/>
  <c r="K551" i="4"/>
  <c r="M551" i="4" s="1"/>
  <c r="L414" i="4"/>
  <c r="K414" i="4"/>
  <c r="M414" i="4" s="1"/>
  <c r="L1054" i="4"/>
  <c r="K1054" i="4"/>
  <c r="M1054" i="4" s="1"/>
  <c r="L13" i="4"/>
  <c r="K13" i="4"/>
  <c r="M13" i="4" s="1"/>
  <c r="L1016" i="4"/>
  <c r="K1016" i="4"/>
  <c r="M1016" i="4" s="1"/>
  <c r="L174" i="4"/>
  <c r="K174" i="4"/>
  <c r="M174" i="4" s="1"/>
  <c r="L237" i="4"/>
  <c r="K237" i="4"/>
  <c r="M237" i="4" s="1"/>
  <c r="K1290" i="4"/>
  <c r="M1290" i="4" s="1"/>
  <c r="N1290" i="4" s="1"/>
  <c r="L655" i="4"/>
  <c r="N655" i="4" s="1"/>
  <c r="K352" i="4"/>
  <c r="M352" i="4" s="1"/>
  <c r="N352" i="4" s="1"/>
  <c r="K699" i="4"/>
  <c r="M699" i="4" s="1"/>
  <c r="N699" i="4" s="1"/>
  <c r="K443" i="4"/>
  <c r="M443" i="4" s="1"/>
  <c r="N443" i="4" s="1"/>
  <c r="L338" i="4"/>
  <c r="N338" i="4" s="1"/>
  <c r="L1187" i="4"/>
  <c r="K1187" i="4"/>
  <c r="M1187" i="4" s="1"/>
  <c r="L1137" i="4"/>
  <c r="K1137" i="4"/>
  <c r="M1137" i="4" s="1"/>
  <c r="L403" i="4"/>
  <c r="K403" i="4"/>
  <c r="M403" i="4" s="1"/>
  <c r="L621" i="4"/>
  <c r="K621" i="4"/>
  <c r="M621" i="4" s="1"/>
  <c r="L1091" i="4"/>
  <c r="K1091" i="4"/>
  <c r="M1091" i="4" s="1"/>
  <c r="L207" i="4"/>
  <c r="K207" i="4"/>
  <c r="M207" i="4" s="1"/>
  <c r="K264" i="4"/>
  <c r="M264" i="4" s="1"/>
  <c r="N264" i="4" s="1"/>
  <c r="L480" i="4"/>
  <c r="N480" i="4" s="1"/>
  <c r="K1180" i="4"/>
  <c r="M1180" i="4" s="1"/>
  <c r="N1180" i="4" s="1"/>
  <c r="L732" i="4"/>
  <c r="N732" i="4" s="1"/>
  <c r="K305" i="4"/>
  <c r="M305" i="4" s="1"/>
  <c r="K371" i="4"/>
  <c r="M371" i="4" s="1"/>
  <c r="K808" i="4"/>
  <c r="M808" i="4" s="1"/>
  <c r="N808" i="4" s="1"/>
  <c r="K568" i="4"/>
  <c r="M568" i="4" s="1"/>
  <c r="N568" i="4" s="1"/>
  <c r="K144" i="4"/>
  <c r="M144" i="4" s="1"/>
  <c r="N144" i="4" s="1"/>
  <c r="K1167" i="4"/>
  <c r="M1167" i="4" s="1"/>
  <c r="N1167" i="4" s="1"/>
  <c r="L116" i="4"/>
  <c r="K116" i="4"/>
  <c r="M116" i="4" s="1"/>
  <c r="L558" i="4"/>
  <c r="K558" i="4"/>
  <c r="M558" i="4" s="1"/>
  <c r="L1059" i="4"/>
  <c r="K1059" i="4"/>
  <c r="M1059" i="4" s="1"/>
  <c r="L777" i="4"/>
  <c r="K777" i="4"/>
  <c r="M777" i="4" s="1"/>
  <c r="K1105" i="4"/>
  <c r="M1105" i="4" s="1"/>
  <c r="N1105" i="4" s="1"/>
  <c r="K226" i="4"/>
  <c r="M226" i="4" s="1"/>
  <c r="N226" i="4" s="1"/>
  <c r="K659" i="4"/>
  <c r="M659" i="4" s="1"/>
  <c r="N659" i="4" s="1"/>
  <c r="K547" i="4"/>
  <c r="M547" i="4" s="1"/>
  <c r="N547" i="4" s="1"/>
  <c r="K163" i="4"/>
  <c r="M163" i="4" s="1"/>
  <c r="N163" i="4" s="1"/>
  <c r="L481" i="4"/>
  <c r="K481" i="4"/>
  <c r="M481" i="4" s="1"/>
  <c r="L268" i="4"/>
  <c r="K268" i="4"/>
  <c r="M268" i="4" s="1"/>
  <c r="K65" i="4"/>
  <c r="M65" i="4" s="1"/>
  <c r="L65" i="4"/>
  <c r="L805" i="4"/>
  <c r="K805" i="4"/>
  <c r="M805" i="4" s="1"/>
  <c r="L278" i="4"/>
  <c r="K278" i="4"/>
  <c r="M278" i="4" s="1"/>
  <c r="K313" i="4"/>
  <c r="M313" i="4" s="1"/>
  <c r="K318" i="4"/>
  <c r="M318" i="4" s="1"/>
  <c r="K1129" i="4"/>
  <c r="M1129" i="4" s="1"/>
  <c r="N1129" i="4" s="1"/>
  <c r="L864" i="4"/>
  <c r="N864" i="4" s="1"/>
  <c r="K656" i="4"/>
  <c r="M656" i="4" s="1"/>
  <c r="N656" i="4" s="1"/>
  <c r="L751" i="4"/>
  <c r="N751" i="4" s="1"/>
  <c r="K720" i="4"/>
  <c r="M720" i="4" s="1"/>
  <c r="N720" i="4" s="1"/>
  <c r="L67" i="4"/>
  <c r="N67" i="4" s="1"/>
  <c r="K963" i="4"/>
  <c r="M963" i="4" s="1"/>
  <c r="N963" i="4" s="1"/>
  <c r="L707" i="4"/>
  <c r="N707" i="4" s="1"/>
  <c r="L259" i="4"/>
  <c r="N259" i="4" s="1"/>
  <c r="L493" i="4"/>
  <c r="N493" i="4" s="1"/>
  <c r="L405" i="4"/>
  <c r="N405" i="4" s="1"/>
  <c r="L979" i="4"/>
  <c r="K979" i="4"/>
  <c r="M979" i="4" s="1"/>
  <c r="L154" i="4"/>
  <c r="K154" i="4"/>
  <c r="M154" i="4" s="1"/>
  <c r="L211" i="4"/>
  <c r="K211" i="4"/>
  <c r="M211" i="4" s="1"/>
  <c r="L1179" i="4"/>
  <c r="K1179" i="4"/>
  <c r="M1179" i="4" s="1"/>
  <c r="L663" i="4"/>
  <c r="K663" i="4"/>
  <c r="M663" i="4" s="1"/>
  <c r="L135" i="4"/>
  <c r="K135" i="4"/>
  <c r="M135" i="4" s="1"/>
  <c r="L645" i="4"/>
  <c r="K645" i="4"/>
  <c r="M645" i="4" s="1"/>
  <c r="L125" i="4"/>
  <c r="K125" i="4"/>
  <c r="M125" i="4" s="1"/>
  <c r="L1062" i="4"/>
  <c r="K1062" i="4"/>
  <c r="M1062" i="4" s="1"/>
  <c r="K1301" i="4"/>
  <c r="M1301" i="4" s="1"/>
  <c r="L1301" i="4"/>
  <c r="K918" i="4"/>
  <c r="M918" i="4" s="1"/>
  <c r="L918" i="4"/>
  <c r="L773" i="4"/>
  <c r="K773" i="4"/>
  <c r="M773" i="4" s="1"/>
  <c r="L1176" i="4"/>
  <c r="K1176" i="4"/>
  <c r="M1176" i="4" s="1"/>
  <c r="L967" i="4"/>
  <c r="K967" i="4"/>
  <c r="M967" i="4" s="1"/>
  <c r="L343" i="4"/>
  <c r="K343" i="4"/>
  <c r="M343" i="4" s="1"/>
  <c r="L1038" i="4"/>
  <c r="K1038" i="4"/>
  <c r="M1038" i="4" s="1"/>
  <c r="L319" i="4"/>
  <c r="K319" i="4"/>
  <c r="M319" i="4" s="1"/>
  <c r="L1178" i="4"/>
  <c r="K1178" i="4"/>
  <c r="M1178" i="4" s="1"/>
  <c r="L180" i="4"/>
  <c r="K180" i="4"/>
  <c r="M180" i="4" s="1"/>
  <c r="L1215" i="4"/>
  <c r="K1215" i="4"/>
  <c r="M1215" i="4" s="1"/>
  <c r="L822" i="4"/>
  <c r="K822" i="4"/>
  <c r="M822" i="4" s="1"/>
  <c r="L1291" i="4"/>
  <c r="K1291" i="4"/>
  <c r="M1291" i="4" s="1"/>
  <c r="L666" i="4"/>
  <c r="K666" i="4"/>
  <c r="M666" i="4" s="1"/>
  <c r="L105" i="4"/>
  <c r="K105" i="4"/>
  <c r="M105" i="4" s="1"/>
  <c r="L92" i="4"/>
  <c r="K92" i="4"/>
  <c r="M92" i="4" s="1"/>
  <c r="L126" i="4"/>
  <c r="K126" i="4"/>
  <c r="M126" i="4" s="1"/>
  <c r="L743" i="4"/>
  <c r="K743" i="4"/>
  <c r="M743" i="4" s="1"/>
  <c r="L1153" i="4"/>
  <c r="K1153" i="4"/>
  <c r="M1153" i="4" s="1"/>
  <c r="L689" i="4"/>
  <c r="K689" i="4"/>
  <c r="M689" i="4" s="1"/>
  <c r="L573" i="4"/>
  <c r="K573" i="4"/>
  <c r="M573" i="4" s="1"/>
  <c r="L961" i="4"/>
  <c r="K961" i="4"/>
  <c r="M961" i="4" s="1"/>
  <c r="L349" i="4"/>
  <c r="K349" i="4"/>
  <c r="M349" i="4" s="1"/>
  <c r="L710" i="4"/>
  <c r="K710" i="4"/>
  <c r="M710" i="4" s="1"/>
  <c r="L670" i="4"/>
  <c r="K670" i="4"/>
  <c r="M670" i="4" s="1"/>
  <c r="L455" i="4"/>
  <c r="K455" i="4"/>
  <c r="M455" i="4" s="1"/>
  <c r="K145" i="4"/>
  <c r="M145" i="4" s="1"/>
  <c r="L145" i="4"/>
  <c r="L1302" i="4"/>
  <c r="K1302" i="4"/>
  <c r="M1302" i="4" s="1"/>
  <c r="L540" i="4"/>
  <c r="K540" i="4"/>
  <c r="M540" i="4" s="1"/>
  <c r="L1203" i="4"/>
  <c r="K1203" i="4"/>
  <c r="M1203" i="4" s="1"/>
  <c r="K383" i="4"/>
  <c r="M383" i="4" s="1"/>
  <c r="L383" i="4"/>
  <c r="K375" i="4"/>
  <c r="M375" i="4" s="1"/>
  <c r="L375" i="4"/>
  <c r="L1143" i="4"/>
  <c r="K1143" i="4"/>
  <c r="M1143" i="4" s="1"/>
  <c r="L532" i="4"/>
  <c r="K532" i="4"/>
  <c r="M532" i="4" s="1"/>
  <c r="L391" i="4"/>
  <c r="K391" i="4"/>
  <c r="M391" i="4" s="1"/>
  <c r="L665" i="4"/>
  <c r="K665" i="4"/>
  <c r="M665" i="4" s="1"/>
  <c r="L1172" i="4"/>
  <c r="K1172" i="4"/>
  <c r="M1172" i="4" s="1"/>
  <c r="L1011" i="4"/>
  <c r="K1011" i="4"/>
  <c r="M1011" i="4" s="1"/>
  <c r="L194" i="4"/>
  <c r="K194" i="4"/>
  <c r="M194" i="4" s="1"/>
  <c r="L6" i="4"/>
  <c r="K6" i="4"/>
  <c r="M6" i="4" s="1"/>
  <c r="L807" i="4"/>
  <c r="K807" i="4"/>
  <c r="M807" i="4" s="1"/>
  <c r="L1199" i="4"/>
  <c r="K1199" i="4"/>
  <c r="M1199" i="4" s="1"/>
  <c r="L839" i="4"/>
  <c r="K839" i="4"/>
  <c r="M839" i="4" s="1"/>
  <c r="L566" i="4"/>
  <c r="K566" i="4"/>
  <c r="M566" i="4" s="1"/>
  <c r="L990" i="4"/>
  <c r="K990" i="4"/>
  <c r="M990" i="4" s="1"/>
  <c r="L799" i="4"/>
  <c r="K799" i="4"/>
  <c r="M799" i="4" s="1"/>
  <c r="L28" i="4"/>
  <c r="K28" i="4"/>
  <c r="M28" i="4" s="1"/>
  <c r="L286" i="4"/>
  <c r="K286" i="4"/>
  <c r="M286" i="4" s="1"/>
  <c r="L671" i="4"/>
  <c r="K671" i="4"/>
  <c r="M671" i="4" s="1"/>
  <c r="L862" i="4"/>
  <c r="K862" i="4"/>
  <c r="M862" i="4" s="1"/>
  <c r="L1134" i="4"/>
  <c r="K1134" i="4"/>
  <c r="M1134" i="4" s="1"/>
  <c r="L1070" i="4"/>
  <c r="K1070" i="4"/>
  <c r="M1070" i="4" s="1"/>
  <c r="L230" i="4"/>
  <c r="K230" i="4"/>
  <c r="M230" i="4" s="1"/>
  <c r="K88" i="4"/>
  <c r="M88" i="4" s="1"/>
  <c r="L88" i="4"/>
  <c r="L901" i="4"/>
  <c r="K901" i="4"/>
  <c r="M901" i="4" s="1"/>
  <c r="L842" i="4"/>
  <c r="K842" i="4"/>
  <c r="M842" i="4" s="1"/>
  <c r="L170" i="4"/>
  <c r="K170" i="4"/>
  <c r="M170" i="4" s="1"/>
  <c r="L1204" i="4"/>
  <c r="K1204" i="4"/>
  <c r="M1204" i="4" s="1"/>
  <c r="K855" i="4"/>
  <c r="M855" i="4" s="1"/>
  <c r="L855" i="4"/>
  <c r="K684" i="4"/>
  <c r="M684" i="4" s="1"/>
  <c r="L684" i="4"/>
  <c r="L1281" i="4"/>
  <c r="K1281" i="4"/>
  <c r="M1281" i="4" s="1"/>
  <c r="L262" i="4"/>
  <c r="K262" i="4"/>
  <c r="M262" i="4" s="1"/>
  <c r="L852" i="4"/>
  <c r="K852" i="4"/>
  <c r="M852" i="4" s="1"/>
  <c r="L612" i="4"/>
  <c r="K612" i="4"/>
  <c r="M612" i="4" s="1"/>
  <c r="L1186" i="4"/>
  <c r="K1186" i="4"/>
  <c r="M1186" i="4" s="1"/>
  <c r="L156" i="4"/>
  <c r="K156" i="4"/>
  <c r="M156" i="4" s="1"/>
  <c r="L1014" i="4"/>
  <c r="K1014" i="4"/>
  <c r="M1014" i="4" s="1"/>
  <c r="L46" i="4"/>
  <c r="K46" i="4"/>
  <c r="M46" i="4" s="1"/>
  <c r="L1205" i="4"/>
  <c r="K1205" i="4"/>
  <c r="M1205" i="4" s="1"/>
  <c r="L1206" i="4"/>
  <c r="K1206" i="4"/>
  <c r="M1206" i="4" s="1"/>
  <c r="L70" i="4"/>
  <c r="K70" i="4"/>
  <c r="M70" i="4" s="1"/>
  <c r="L775" i="4"/>
  <c r="K775" i="4"/>
  <c r="M775" i="4" s="1"/>
  <c r="L261" i="4"/>
  <c r="K261" i="4"/>
  <c r="M261" i="4" s="1"/>
  <c r="L399" i="4"/>
  <c r="K399" i="4"/>
  <c r="M399" i="4" s="1"/>
  <c r="L966" i="4"/>
  <c r="K966" i="4"/>
  <c r="M966" i="4" s="1"/>
  <c r="L73" i="4"/>
  <c r="K73" i="4"/>
  <c r="M73" i="4" s="1"/>
  <c r="L412" i="4"/>
  <c r="K412" i="4"/>
  <c r="M412" i="4" s="1"/>
  <c r="L477" i="4"/>
  <c r="K477" i="4"/>
  <c r="M477" i="4" s="1"/>
  <c r="L199" i="4"/>
  <c r="K199" i="4"/>
  <c r="M199" i="4" s="1"/>
  <c r="L327" i="4"/>
  <c r="K327" i="4"/>
  <c r="M327" i="4" s="1"/>
  <c r="L899" i="4"/>
  <c r="K899" i="4"/>
  <c r="M899" i="4" s="1"/>
  <c r="L235" i="4"/>
  <c r="K235" i="4"/>
  <c r="M235" i="4" s="1"/>
  <c r="L16" i="4"/>
  <c r="K16" i="4"/>
  <c r="M16" i="4" s="1"/>
  <c r="L1032" i="4"/>
  <c r="K1032" i="4"/>
  <c r="M1032" i="4" s="1"/>
  <c r="L502" i="4"/>
  <c r="K502" i="4"/>
  <c r="M502" i="4" s="1"/>
  <c r="L857" i="4"/>
  <c r="K857" i="4"/>
  <c r="M857" i="4" s="1"/>
  <c r="L245" i="4"/>
  <c r="K245" i="4"/>
  <c r="M245" i="4" s="1"/>
  <c r="L132" i="4"/>
  <c r="K132" i="4"/>
  <c r="M132" i="4" s="1"/>
  <c r="L515" i="4"/>
  <c r="K515" i="4"/>
  <c r="M515" i="4" s="1"/>
  <c r="L332" i="4"/>
  <c r="K332" i="4"/>
  <c r="M332" i="4" s="1"/>
  <c r="K929" i="4"/>
  <c r="M929" i="4" s="1"/>
  <c r="L929" i="4"/>
  <c r="K980" i="4"/>
  <c r="M980" i="4" s="1"/>
  <c r="L980" i="4"/>
  <c r="L423" i="4"/>
  <c r="K423" i="4"/>
  <c r="M423" i="4" s="1"/>
  <c r="L971" i="4"/>
  <c r="K971" i="4"/>
  <c r="M971" i="4" s="1"/>
  <c r="L523" i="4"/>
  <c r="K523" i="4"/>
  <c r="M523" i="4" s="1"/>
  <c r="L492" i="4"/>
  <c r="K492" i="4"/>
  <c r="M492" i="4" s="1"/>
  <c r="L1048" i="4"/>
  <c r="K1048" i="4"/>
  <c r="M1048" i="4" s="1"/>
  <c r="L279" i="4"/>
  <c r="K279" i="4"/>
  <c r="M279" i="4" s="1"/>
  <c r="L1216" i="4"/>
  <c r="K1216" i="4"/>
  <c r="M1216" i="4" s="1"/>
  <c r="L554" i="4"/>
  <c r="K554" i="4"/>
  <c r="M554" i="4" s="1"/>
  <c r="L725" i="4"/>
  <c r="K725" i="4"/>
  <c r="M725" i="4" s="1"/>
  <c r="L974" i="4"/>
  <c r="K974" i="4"/>
  <c r="M974" i="4" s="1"/>
  <c r="L209" i="4"/>
  <c r="K209" i="4"/>
  <c r="M209" i="4" s="1"/>
  <c r="L643" i="4"/>
  <c r="K643" i="4"/>
  <c r="M643" i="4" s="1"/>
  <c r="L957" i="4"/>
  <c r="K957" i="4"/>
  <c r="M957" i="4" s="1"/>
  <c r="L757" i="4"/>
  <c r="K757" i="4"/>
  <c r="M757" i="4" s="1"/>
  <c r="L1104" i="4"/>
  <c r="K1104" i="4"/>
  <c r="M1104" i="4" s="1"/>
  <c r="L1130" i="4"/>
  <c r="K1130" i="4"/>
  <c r="M1130" i="4" s="1"/>
  <c r="L677" i="4"/>
  <c r="K677" i="4"/>
  <c r="M677" i="4" s="1"/>
  <c r="L685" i="4"/>
  <c r="K685" i="4"/>
  <c r="M685" i="4" s="1"/>
  <c r="L828" i="4"/>
  <c r="K828" i="4"/>
  <c r="M828" i="4" s="1"/>
  <c r="L253" i="4"/>
  <c r="K253" i="4"/>
  <c r="M253" i="4" s="1"/>
  <c r="K91" i="4"/>
  <c r="M91" i="4" s="1"/>
  <c r="N91" i="4" s="1"/>
  <c r="L891" i="4"/>
  <c r="K891" i="4"/>
  <c r="M891" i="4" s="1"/>
  <c r="N891" i="4" s="1"/>
  <c r="L72" i="4"/>
  <c r="K72" i="4"/>
  <c r="M72" i="4" s="1"/>
  <c r="L1005" i="4"/>
  <c r="K1005" i="4"/>
  <c r="M1005" i="4" s="1"/>
  <c r="K497" i="4"/>
  <c r="M497" i="4" s="1"/>
  <c r="L497" i="4"/>
  <c r="K14" i="4"/>
  <c r="M14" i="4" s="1"/>
  <c r="L14" i="4"/>
  <c r="L859" i="4"/>
  <c r="K859" i="4"/>
  <c r="M859" i="4" s="1"/>
  <c r="K851" i="4"/>
  <c r="M851" i="4" s="1"/>
  <c r="L851" i="4"/>
  <c r="L1158" i="4"/>
  <c r="K1158" i="4"/>
  <c r="M1158" i="4" s="1"/>
  <c r="L169" i="4"/>
  <c r="K169" i="4"/>
  <c r="M169" i="4" s="1"/>
  <c r="L428" i="4"/>
  <c r="K428" i="4"/>
  <c r="M428" i="4" s="1"/>
  <c r="L238" i="4"/>
  <c r="K238" i="4"/>
  <c r="M238" i="4" s="1"/>
  <c r="L71" i="4"/>
  <c r="K71" i="4"/>
  <c r="M71" i="4" s="1"/>
  <c r="L442" i="4"/>
  <c r="K442" i="4"/>
  <c r="M442" i="4" s="1"/>
  <c r="N442" i="4" s="1"/>
  <c r="L887" i="4"/>
  <c r="K887" i="4"/>
  <c r="M887" i="4" s="1"/>
  <c r="L941" i="4"/>
  <c r="K941" i="4"/>
  <c r="M941" i="4" s="1"/>
  <c r="L1219" i="4"/>
  <c r="K1219" i="4"/>
  <c r="M1219" i="4" s="1"/>
  <c r="L158" i="4"/>
  <c r="K158" i="4"/>
  <c r="M158" i="4" s="1"/>
  <c r="L1296" i="4"/>
  <c r="K1296" i="4"/>
  <c r="M1296" i="4" s="1"/>
  <c r="L1261" i="4"/>
  <c r="K1261" i="4"/>
  <c r="M1261" i="4" s="1"/>
  <c r="L518" i="4"/>
  <c r="K518" i="4"/>
  <c r="M518" i="4" s="1"/>
  <c r="L303" i="4"/>
  <c r="K303" i="4"/>
  <c r="M303" i="4" s="1"/>
  <c r="L84" i="4"/>
  <c r="K84" i="4"/>
  <c r="M84" i="4" s="1"/>
  <c r="L764" i="4"/>
  <c r="K764" i="4"/>
  <c r="M764" i="4" s="1"/>
  <c r="L596" i="4"/>
  <c r="K596" i="4"/>
  <c r="M596" i="4" s="1"/>
  <c r="L1155" i="4"/>
  <c r="K1155" i="4"/>
  <c r="M1155" i="4" s="1"/>
  <c r="N1155" i="4" s="1"/>
  <c r="K718" i="4"/>
  <c r="M718" i="4" s="1"/>
  <c r="L718" i="4"/>
  <c r="L519" i="4"/>
  <c r="K519" i="4"/>
  <c r="M519" i="4" s="1"/>
  <c r="L1140" i="4"/>
  <c r="K1140" i="4"/>
  <c r="M1140" i="4" s="1"/>
  <c r="L1263" i="4"/>
  <c r="K1263" i="4"/>
  <c r="M1263" i="4" s="1"/>
  <c r="N1263" i="4" s="1"/>
  <c r="L272" i="4"/>
  <c r="N272" i="4" s="1"/>
  <c r="K280" i="4"/>
  <c r="M280" i="4" s="1"/>
  <c r="K712" i="4"/>
  <c r="M712" i="4" s="1"/>
  <c r="N712" i="4" s="1"/>
  <c r="K210" i="4"/>
  <c r="M210" i="4" s="1"/>
  <c r="N210" i="4" s="1"/>
  <c r="K224" i="4"/>
  <c r="M224" i="4" s="1"/>
  <c r="L896" i="4"/>
  <c r="N896" i="4" s="1"/>
  <c r="K664" i="4"/>
  <c r="M664" i="4" s="1"/>
  <c r="N664" i="4" s="1"/>
  <c r="K760" i="4"/>
  <c r="M760" i="4" s="1"/>
  <c r="N760" i="4" s="1"/>
  <c r="K243" i="4"/>
  <c r="M243" i="4" s="1"/>
  <c r="K627" i="4"/>
  <c r="M627" i="4" s="1"/>
  <c r="K419" i="4"/>
  <c r="M419" i="4" s="1"/>
  <c r="N419" i="4" s="1"/>
  <c r="L835" i="4"/>
  <c r="K835" i="4"/>
  <c r="M835" i="4" s="1"/>
  <c r="L64" i="4"/>
  <c r="K64" i="4"/>
  <c r="M64" i="4" s="1"/>
  <c r="L595" i="4"/>
  <c r="K595" i="4"/>
  <c r="M595" i="4" s="1"/>
  <c r="L94" i="4"/>
  <c r="K94" i="4"/>
  <c r="M94" i="4" s="1"/>
  <c r="L330" i="4"/>
  <c r="K330" i="4"/>
  <c r="M330" i="4" s="1"/>
  <c r="L717" i="4"/>
  <c r="K717" i="4"/>
  <c r="M717" i="4" s="1"/>
  <c r="L86" i="4"/>
  <c r="K86" i="4"/>
  <c r="M86" i="4" s="1"/>
  <c r="L164" i="4"/>
  <c r="K164" i="4"/>
  <c r="M164" i="4" s="1"/>
  <c r="L378" i="4"/>
  <c r="K378" i="4"/>
  <c r="M378" i="4" s="1"/>
  <c r="L1080" i="4"/>
  <c r="K1080" i="4"/>
  <c r="M1080" i="4" s="1"/>
  <c r="L1108" i="4"/>
  <c r="K1108" i="4"/>
  <c r="M1108" i="4" s="1"/>
  <c r="L1279" i="4"/>
  <c r="K1279" i="4"/>
  <c r="M1279" i="4" s="1"/>
  <c r="L309" i="4"/>
  <c r="K309" i="4"/>
  <c r="M309" i="4" s="1"/>
  <c r="K795" i="4"/>
  <c r="M795" i="4" s="1"/>
  <c r="L795" i="4"/>
  <c r="L911" i="4"/>
  <c r="K911" i="4"/>
  <c r="M911" i="4" s="1"/>
  <c r="L1109" i="4"/>
  <c r="K1109" i="4"/>
  <c r="M1109" i="4" s="1"/>
  <c r="L340" i="4"/>
  <c r="K340" i="4"/>
  <c r="M340" i="4" s="1"/>
  <c r="L263" i="4"/>
  <c r="K263" i="4"/>
  <c r="M263" i="4" s="1"/>
  <c r="L148" i="4"/>
  <c r="K148" i="4"/>
  <c r="M148" i="4" s="1"/>
  <c r="L501" i="4"/>
  <c r="K501" i="4"/>
  <c r="M501" i="4" s="1"/>
  <c r="L1246" i="4"/>
  <c r="K1246" i="4"/>
  <c r="M1246" i="4" s="1"/>
  <c r="L687" i="4"/>
  <c r="K687" i="4"/>
  <c r="M687" i="4" s="1"/>
  <c r="L290" i="4"/>
  <c r="K290" i="4"/>
  <c r="M290" i="4" s="1"/>
  <c r="L692" i="4"/>
  <c r="K692" i="4"/>
  <c r="M692" i="4" s="1"/>
  <c r="L223" i="4"/>
  <c r="K223" i="4"/>
  <c r="M223" i="4" s="1"/>
  <c r="L239" i="4"/>
  <c r="K239" i="4"/>
  <c r="M239" i="4" s="1"/>
  <c r="L201" i="4"/>
  <c r="K201" i="4"/>
  <c r="M201" i="4" s="1"/>
  <c r="L1275" i="4"/>
  <c r="K1275" i="4"/>
  <c r="M1275" i="4" s="1"/>
  <c r="L269" i="4"/>
  <c r="K269" i="4"/>
  <c r="M269" i="4" s="1"/>
  <c r="L606" i="4"/>
  <c r="K606" i="4"/>
  <c r="M606" i="4" s="1"/>
  <c r="L609" i="4"/>
  <c r="K609" i="4"/>
  <c r="M609" i="4" s="1"/>
  <c r="L468" i="4"/>
  <c r="K468" i="4"/>
  <c r="M468" i="4" s="1"/>
  <c r="L761" i="4"/>
  <c r="K761" i="4"/>
  <c r="M761" i="4" s="1"/>
  <c r="K1255" i="4"/>
  <c r="M1255" i="4" s="1"/>
  <c r="N1255" i="4" s="1"/>
  <c r="K513" i="4"/>
  <c r="M513" i="4" s="1"/>
  <c r="N513" i="4" s="1"/>
  <c r="K1243" i="4"/>
  <c r="M1243" i="4" s="1"/>
  <c r="K1031" i="4"/>
  <c r="M1031" i="4" s="1"/>
  <c r="N1031" i="4" s="1"/>
  <c r="K85" i="4"/>
  <c r="M85" i="4" s="1"/>
  <c r="N85" i="4" s="1"/>
  <c r="K472" i="4"/>
  <c r="M472" i="4" s="1"/>
  <c r="N472" i="4" s="1"/>
  <c r="K1082" i="4"/>
  <c r="M1082" i="4" s="1"/>
  <c r="N1082" i="4" s="1"/>
  <c r="K614" i="4"/>
  <c r="M614" i="4" s="1"/>
  <c r="L614" i="4"/>
  <c r="K1097" i="4"/>
  <c r="M1097" i="4" s="1"/>
  <c r="L1097" i="4"/>
  <c r="L582" i="4"/>
  <c r="K582" i="4"/>
  <c r="M582" i="4" s="1"/>
  <c r="L1002" i="4"/>
  <c r="K1002" i="4"/>
  <c r="M1002" i="4" s="1"/>
  <c r="L695" i="4"/>
  <c r="K695" i="4"/>
  <c r="M695" i="4" s="1"/>
  <c r="K1311" i="4"/>
  <c r="M1311" i="4" s="1"/>
  <c r="L1311" i="4"/>
  <c r="L932" i="4"/>
  <c r="K932" i="4"/>
  <c r="M932" i="4" s="1"/>
  <c r="L258" i="4"/>
  <c r="K258" i="4"/>
  <c r="M258" i="4" s="1"/>
  <c r="L1071" i="4"/>
  <c r="K1071" i="4"/>
  <c r="M1071" i="4" s="1"/>
  <c r="L1083" i="4"/>
  <c r="K1083" i="4"/>
  <c r="M1083" i="4" s="1"/>
  <c r="N1083" i="4" s="1"/>
  <c r="L1021" i="4"/>
  <c r="K1021" i="4"/>
  <c r="M1021" i="4" s="1"/>
  <c r="L61" i="4"/>
  <c r="K61" i="4"/>
  <c r="M61" i="4" s="1"/>
  <c r="L1202" i="4"/>
  <c r="K1202" i="4"/>
  <c r="M1202" i="4" s="1"/>
  <c r="L1224" i="4"/>
  <c r="K1224" i="4"/>
  <c r="M1224" i="4" s="1"/>
  <c r="N1224" i="4" s="1"/>
  <c r="L367" i="4"/>
  <c r="K367" i="4"/>
  <c r="M367" i="4" s="1"/>
  <c r="L418" i="4"/>
  <c r="K418" i="4"/>
  <c r="M418" i="4" s="1"/>
  <c r="L884" i="4"/>
  <c r="K884" i="4"/>
  <c r="M884" i="4" s="1"/>
  <c r="L130" i="4"/>
  <c r="K130" i="4"/>
  <c r="M130" i="4" s="1"/>
  <c r="L1253" i="4"/>
  <c r="K1253" i="4"/>
  <c r="M1253" i="4" s="1"/>
  <c r="L1207" i="4"/>
  <c r="K1207" i="4"/>
  <c r="M1207" i="4" s="1"/>
  <c r="L524" i="4"/>
  <c r="K524" i="4"/>
  <c r="M524" i="4" s="1"/>
  <c r="L1004" i="4"/>
  <c r="K1004" i="4"/>
  <c r="M1004" i="4" s="1"/>
  <c r="N1004" i="4" s="1"/>
  <c r="L451" i="4"/>
  <c r="K451" i="4"/>
  <c r="M451" i="4" s="1"/>
  <c r="L181" i="4"/>
  <c r="K181" i="4"/>
  <c r="M181" i="4" s="1"/>
  <c r="L460" i="4"/>
  <c r="K460" i="4"/>
  <c r="M460" i="4" s="1"/>
  <c r="L1034" i="4"/>
  <c r="K1034" i="4"/>
  <c r="M1034" i="4" s="1"/>
  <c r="N1034" i="4" s="1"/>
  <c r="L869" i="4"/>
  <c r="K869" i="4"/>
  <c r="M869" i="4" s="1"/>
  <c r="L1007" i="4"/>
  <c r="K1007" i="4"/>
  <c r="M1007" i="4" s="1"/>
  <c r="L610" i="4"/>
  <c r="K610" i="4"/>
  <c r="M610" i="4" s="1"/>
  <c r="L1273" i="4"/>
  <c r="K1273" i="4"/>
  <c r="M1273" i="4" s="1"/>
  <c r="N1273" i="4" s="1"/>
  <c r="L438" i="4"/>
  <c r="K438" i="4"/>
  <c r="M438" i="4" s="1"/>
  <c r="K564" i="4"/>
  <c r="M564" i="4" s="1"/>
  <c r="N564" i="4" s="1"/>
  <c r="L584" i="4"/>
  <c r="N584" i="4" s="1"/>
  <c r="K19" i="4"/>
  <c r="M19" i="4" s="1"/>
  <c r="N19" i="4" s="1"/>
  <c r="K647" i="4"/>
  <c r="M647" i="4" s="1"/>
  <c r="N647" i="4" s="1"/>
  <c r="K435" i="4"/>
  <c r="M435" i="4" s="1"/>
  <c r="N435" i="4" s="1"/>
  <c r="K48" i="4"/>
  <c r="M48" i="4" s="1"/>
  <c r="L48" i="4"/>
  <c r="K694" i="4"/>
  <c r="M694" i="4" s="1"/>
  <c r="L694" i="4"/>
  <c r="L1023" i="4"/>
  <c r="K1023" i="4"/>
  <c r="M1023" i="4" s="1"/>
  <c r="L166" i="4"/>
  <c r="K166" i="4"/>
  <c r="M166" i="4" s="1"/>
  <c r="L785" i="4"/>
  <c r="K785" i="4"/>
  <c r="M785" i="4" s="1"/>
  <c r="L954" i="4"/>
  <c r="K954" i="4"/>
  <c r="M954" i="4" s="1"/>
  <c r="L591" i="4"/>
  <c r="K591" i="4"/>
  <c r="M591" i="4" s="1"/>
  <c r="K1265" i="4"/>
  <c r="M1265" i="4" s="1"/>
  <c r="L1265" i="4"/>
  <c r="L890" i="4"/>
  <c r="K890" i="4"/>
  <c r="M890" i="4" s="1"/>
  <c r="L90" i="4"/>
  <c r="K90" i="4"/>
  <c r="M90" i="4" s="1"/>
  <c r="L250" i="4"/>
  <c r="K250" i="4"/>
  <c r="M250" i="4" s="1"/>
  <c r="L63" i="4"/>
  <c r="K63" i="4"/>
  <c r="M63" i="4" s="1"/>
  <c r="L1193" i="4"/>
  <c r="K1193" i="4"/>
  <c r="M1193" i="4" s="1"/>
  <c r="L935" i="4"/>
  <c r="K935" i="4"/>
  <c r="M935" i="4" s="1"/>
  <c r="K821" i="4"/>
  <c r="M821" i="4" s="1"/>
  <c r="L821" i="4"/>
  <c r="K879" i="4"/>
  <c r="M879" i="4" s="1"/>
  <c r="L879" i="4"/>
  <c r="L1271" i="4"/>
  <c r="K1271" i="4"/>
  <c r="M1271" i="4" s="1"/>
  <c r="L1239" i="4"/>
  <c r="K1239" i="4"/>
  <c r="M1239" i="4" s="1"/>
  <c r="L882" i="4"/>
  <c r="K882" i="4"/>
  <c r="M882" i="4" s="1"/>
  <c r="L845" i="4"/>
  <c r="K845" i="4"/>
  <c r="M845" i="4" s="1"/>
  <c r="L401" i="4"/>
  <c r="K401" i="4"/>
  <c r="M401" i="4" s="1"/>
  <c r="L538" i="4"/>
  <c r="K538" i="4"/>
  <c r="M538" i="4" s="1"/>
  <c r="L933" i="4"/>
  <c r="K933" i="4"/>
  <c r="M933" i="4" s="1"/>
  <c r="L793" i="4"/>
  <c r="K793" i="4"/>
  <c r="M793" i="4" s="1"/>
  <c r="L346" i="4"/>
  <c r="K346" i="4"/>
  <c r="M346" i="4" s="1"/>
  <c r="L110" i="4"/>
  <c r="K110" i="4"/>
  <c r="M110" i="4" s="1"/>
  <c r="L15" i="4"/>
  <c r="K15" i="4"/>
  <c r="M15" i="4" s="1"/>
  <c r="L1127" i="4"/>
  <c r="K1127" i="4"/>
  <c r="M1127" i="4" s="1"/>
  <c r="L753" i="4"/>
  <c r="K753" i="4"/>
  <c r="M753" i="4" s="1"/>
  <c r="L781" i="4"/>
  <c r="K781" i="4"/>
  <c r="M781" i="4" s="1"/>
  <c r="K768" i="4"/>
  <c r="M768" i="4" s="1"/>
  <c r="N768" i="4" s="1"/>
  <c r="K304" i="4"/>
  <c r="M304" i="4" s="1"/>
  <c r="N304" i="4" s="1"/>
  <c r="L688" i="4"/>
  <c r="N688" i="4" s="1"/>
  <c r="L544" i="4"/>
  <c r="N544" i="4" s="1"/>
  <c r="L880" i="4"/>
  <c r="K880" i="4"/>
  <c r="M880" i="4" s="1"/>
  <c r="L784" i="4"/>
  <c r="K784" i="4"/>
  <c r="M784" i="4" s="1"/>
  <c r="L640" i="4"/>
  <c r="K640" i="4"/>
  <c r="M640" i="4" s="1"/>
  <c r="K552" i="4"/>
  <c r="M552" i="4" s="1"/>
  <c r="L552" i="4"/>
  <c r="K344" i="4"/>
  <c r="M344" i="4" s="1"/>
  <c r="L344" i="4"/>
  <c r="L1029" i="4"/>
  <c r="K1029" i="4"/>
  <c r="M1029" i="4" s="1"/>
  <c r="L738" i="4"/>
  <c r="K738" i="4"/>
  <c r="M738" i="4" s="1"/>
  <c r="L1294" i="4"/>
  <c r="K1294" i="4"/>
  <c r="M1294" i="4" s="1"/>
  <c r="K347" i="4"/>
  <c r="M347" i="4" s="1"/>
  <c r="L347" i="4"/>
  <c r="L637" i="4"/>
  <c r="K637" i="4"/>
  <c r="M637" i="4" s="1"/>
  <c r="L370" i="4"/>
  <c r="K370" i="4"/>
  <c r="M370" i="4" s="1"/>
  <c r="L1067" i="4"/>
  <c r="K1067" i="4"/>
  <c r="M1067" i="4" s="1"/>
  <c r="L1124" i="4"/>
  <c r="K1124" i="4"/>
  <c r="M1124" i="4" s="1"/>
  <c r="L1142" i="4"/>
  <c r="K1142" i="4"/>
  <c r="M1142" i="4" s="1"/>
  <c r="L1267" i="4"/>
  <c r="K1267" i="4"/>
  <c r="M1267" i="4" s="1"/>
  <c r="L142" i="4"/>
  <c r="K142" i="4"/>
  <c r="M142" i="4" s="1"/>
  <c r="L1015" i="4"/>
  <c r="K1015" i="4"/>
  <c r="M1015" i="4" s="1"/>
  <c r="L1313" i="4"/>
  <c r="K1313" i="4"/>
  <c r="M1313" i="4" s="1"/>
  <c r="L421" i="4"/>
  <c r="K421" i="4"/>
  <c r="M421" i="4" s="1"/>
  <c r="L425" i="4"/>
  <c r="K425" i="4"/>
  <c r="M425" i="4" s="1"/>
  <c r="L1194" i="4"/>
  <c r="K1194" i="4"/>
  <c r="M1194" i="4" s="1"/>
  <c r="L470" i="4"/>
  <c r="K470" i="4"/>
  <c r="M470" i="4" s="1"/>
  <c r="L140" i="4"/>
  <c r="K140" i="4"/>
  <c r="M140" i="4" s="1"/>
  <c r="L925" i="4"/>
  <c r="K925" i="4"/>
  <c r="M925" i="4" s="1"/>
  <c r="K127" i="4"/>
  <c r="M127" i="4" s="1"/>
  <c r="L127" i="4"/>
  <c r="K1144" i="4"/>
  <c r="M1144" i="4" s="1"/>
  <c r="L1144" i="4"/>
  <c r="L326" i="4"/>
  <c r="K326" i="4"/>
  <c r="M326" i="4" s="1"/>
  <c r="K733" i="4"/>
  <c r="M733" i="4" s="1"/>
  <c r="L733" i="4"/>
  <c r="L380" i="4"/>
  <c r="K380" i="4"/>
  <c r="M380" i="4" s="1"/>
  <c r="L121" i="4"/>
  <c r="K121" i="4"/>
  <c r="M121" i="4" s="1"/>
  <c r="L133" i="4"/>
  <c r="K133" i="4"/>
  <c r="M133" i="4" s="1"/>
  <c r="L1141" i="4"/>
  <c r="K1141" i="4"/>
  <c r="M1141" i="4" s="1"/>
  <c r="L662" i="4"/>
  <c r="K662" i="4"/>
  <c r="M662" i="4" s="1"/>
  <c r="L1041" i="4"/>
  <c r="K1041" i="4"/>
  <c r="M1041" i="4" s="1"/>
  <c r="L1027" i="4"/>
  <c r="K1027" i="4"/>
  <c r="M1027" i="4" s="1"/>
  <c r="L217" i="4"/>
  <c r="K217" i="4"/>
  <c r="M217" i="4" s="1"/>
  <c r="L892" i="4"/>
  <c r="K892" i="4"/>
  <c r="M892" i="4" s="1"/>
  <c r="L769" i="4"/>
  <c r="K769" i="4"/>
  <c r="M769" i="4" s="1"/>
  <c r="L1117" i="4"/>
  <c r="K1117" i="4"/>
  <c r="M1117" i="4" s="1"/>
  <c r="K875" i="4"/>
  <c r="M875" i="4" s="1"/>
  <c r="L875" i="4"/>
  <c r="L922" i="4"/>
  <c r="K922" i="4"/>
  <c r="M922" i="4" s="1"/>
  <c r="L434" i="4"/>
  <c r="K434" i="4"/>
  <c r="M434" i="4" s="1"/>
  <c r="L1098" i="4"/>
  <c r="K1098" i="4"/>
  <c r="M1098" i="4" s="1"/>
  <c r="L697" i="4"/>
  <c r="K697" i="4"/>
  <c r="M697" i="4" s="1"/>
  <c r="L1227" i="4"/>
  <c r="K1227" i="4"/>
  <c r="M1227" i="4" s="1"/>
  <c r="L700" i="4"/>
  <c r="K700" i="4"/>
  <c r="M700" i="4" s="1"/>
  <c r="L968" i="4"/>
  <c r="K968" i="4"/>
  <c r="M968" i="4" s="1"/>
  <c r="L463" i="4"/>
  <c r="K463" i="4"/>
  <c r="M463" i="4" s="1"/>
  <c r="L26" i="4"/>
  <c r="K26" i="4"/>
  <c r="M26" i="4" s="1"/>
  <c r="L960" i="4"/>
  <c r="K960" i="4"/>
  <c r="M960" i="4" s="1"/>
  <c r="L704" i="4"/>
  <c r="K704" i="4"/>
  <c r="M704" i="4" s="1"/>
  <c r="L151" i="4"/>
  <c r="K151" i="4"/>
  <c r="M151" i="4" s="1"/>
  <c r="L1122" i="4"/>
  <c r="K1122" i="4"/>
  <c r="M1122" i="4" s="1"/>
  <c r="L177" i="4"/>
  <c r="K177" i="4"/>
  <c r="M177" i="4" s="1"/>
  <c r="L602" i="4"/>
  <c r="K602" i="4"/>
  <c r="M602" i="4" s="1"/>
  <c r="L567" i="4"/>
  <c r="K567" i="4"/>
  <c r="M567" i="4" s="1"/>
  <c r="L316" i="4"/>
  <c r="K316" i="4"/>
  <c r="M316" i="4" s="1"/>
  <c r="L1307" i="4"/>
  <c r="K1307" i="4"/>
  <c r="M1307" i="4" s="1"/>
  <c r="L630" i="4"/>
  <c r="K630" i="4"/>
  <c r="M630" i="4" s="1"/>
  <c r="L508" i="4"/>
  <c r="K508" i="4"/>
  <c r="M508" i="4" s="1"/>
  <c r="L550" i="4"/>
  <c r="K550" i="4"/>
  <c r="M550" i="4" s="1"/>
  <c r="L905" i="4"/>
  <c r="K905" i="4"/>
  <c r="M905" i="4" s="1"/>
  <c r="L772" i="4"/>
  <c r="K772" i="4"/>
  <c r="M772" i="4" s="1"/>
  <c r="K417" i="4"/>
  <c r="M417" i="4" s="1"/>
  <c r="L417" i="4"/>
  <c r="L682" i="4"/>
  <c r="K682" i="4"/>
  <c r="M682" i="4" s="1"/>
  <c r="L1013" i="4"/>
  <c r="K1013" i="4"/>
  <c r="M1013" i="4" s="1"/>
  <c r="K411" i="4"/>
  <c r="M411" i="4" s="1"/>
  <c r="L411" i="4"/>
  <c r="L1157" i="4"/>
  <c r="K1157" i="4"/>
  <c r="M1157" i="4" s="1"/>
  <c r="K730" i="4"/>
  <c r="M730" i="4" s="1"/>
  <c r="L730" i="4"/>
  <c r="K1212" i="4"/>
  <c r="M1212" i="4" s="1"/>
  <c r="L1212" i="4"/>
  <c r="L789" i="4"/>
  <c r="K789" i="4"/>
  <c r="M789" i="4" s="1"/>
  <c r="K139" i="4"/>
  <c r="M139" i="4" s="1"/>
  <c r="L139" i="4"/>
  <c r="K748" i="4"/>
  <c r="M748" i="4" s="1"/>
  <c r="L748" i="4"/>
  <c r="L157" i="4"/>
  <c r="K157" i="4"/>
  <c r="M157" i="4" s="1"/>
  <c r="K1001" i="4"/>
  <c r="M1001" i="4" s="1"/>
  <c r="L1001" i="4"/>
  <c r="L999" i="4"/>
  <c r="K999" i="4"/>
  <c r="M999" i="4" s="1"/>
  <c r="L1019" i="4"/>
  <c r="K1019" i="4"/>
  <c r="M1019" i="4" s="1"/>
  <c r="L953" i="4"/>
  <c r="K953" i="4"/>
  <c r="M953" i="4" s="1"/>
  <c r="K526" i="4"/>
  <c r="M526" i="4" s="1"/>
  <c r="L526" i="4"/>
  <c r="L395" i="4"/>
  <c r="K395" i="4"/>
  <c r="M395" i="4" s="1"/>
  <c r="L1252" i="4"/>
  <c r="K1252" i="4"/>
  <c r="M1252" i="4" s="1"/>
  <c r="L639" i="4"/>
  <c r="K639" i="4"/>
  <c r="M639" i="4" s="1"/>
  <c r="K361" i="4"/>
  <c r="M361" i="4" s="1"/>
  <c r="L361" i="4"/>
  <c r="L1223" i="4"/>
  <c r="K1223" i="4"/>
  <c r="M1223" i="4" s="1"/>
  <c r="L903" i="4"/>
  <c r="K903" i="4"/>
  <c r="M903" i="4" s="1"/>
  <c r="L843" i="4"/>
  <c r="K843" i="4"/>
  <c r="M843" i="4" s="1"/>
  <c r="L617" i="4"/>
  <c r="K617" i="4"/>
  <c r="M617" i="4" s="1"/>
  <c r="L771" i="4"/>
  <c r="K771" i="4"/>
  <c r="M771" i="4" s="1"/>
  <c r="L193" i="4"/>
  <c r="K193" i="4"/>
  <c r="M193" i="4" s="1"/>
  <c r="L37" i="4"/>
  <c r="K37" i="4"/>
  <c r="M37" i="4" s="1"/>
  <c r="L1024" i="4"/>
  <c r="K1024" i="4"/>
  <c r="M1024" i="4" s="1"/>
  <c r="L856" i="4"/>
  <c r="K856" i="4"/>
  <c r="M856" i="4" s="1"/>
  <c r="L696" i="4"/>
  <c r="K696" i="4"/>
  <c r="M696" i="4" s="1"/>
  <c r="L624" i="4"/>
  <c r="K624" i="4"/>
  <c r="M624" i="4" s="1"/>
  <c r="L392" i="4"/>
  <c r="K392" i="4"/>
  <c r="M392" i="4" s="1"/>
  <c r="L320" i="4"/>
  <c r="K320" i="4"/>
  <c r="M320" i="4" s="1"/>
  <c r="L479" i="4"/>
  <c r="K479" i="4"/>
  <c r="M479" i="4" s="1"/>
  <c r="L756" i="4"/>
  <c r="K756" i="4"/>
  <c r="M756" i="4" s="1"/>
  <c r="L977" i="4"/>
  <c r="K977" i="4"/>
  <c r="M977" i="4" s="1"/>
  <c r="K218" i="4"/>
  <c r="M218" i="4" s="1"/>
  <c r="L218" i="4"/>
  <c r="L823" i="4"/>
  <c r="K823" i="4"/>
  <c r="M823" i="4" s="1"/>
  <c r="L541" i="4"/>
  <c r="K541" i="4"/>
  <c r="M541" i="4" s="1"/>
  <c r="L331" i="4"/>
  <c r="K331" i="4"/>
  <c r="M331" i="4" s="1"/>
  <c r="L11" i="4"/>
  <c r="K11" i="4"/>
  <c r="M11" i="4" s="1"/>
  <c r="K197" i="4"/>
  <c r="M197" i="4" s="1"/>
  <c r="L197" i="4"/>
  <c r="L907" i="4"/>
  <c r="K907" i="4"/>
  <c r="M907" i="4" s="1"/>
  <c r="L815" i="4"/>
  <c r="K815" i="4"/>
  <c r="M815" i="4" s="1"/>
  <c r="K276" i="4"/>
  <c r="M276" i="4" s="1"/>
  <c r="L276" i="4"/>
  <c r="L1278" i="4"/>
  <c r="K1278" i="4"/>
  <c r="M1278" i="4" s="1"/>
  <c r="L27" i="4"/>
  <c r="K27" i="4"/>
  <c r="M27" i="4" s="1"/>
  <c r="L1245" i="4"/>
  <c r="K1245" i="4"/>
  <c r="M1245" i="4" s="1"/>
  <c r="L429" i="4"/>
  <c r="K429" i="4"/>
  <c r="M429" i="4" s="1"/>
  <c r="L1139" i="4"/>
  <c r="K1139" i="4"/>
  <c r="M1139" i="4" s="1"/>
  <c r="L1072" i="4"/>
  <c r="K1072" i="4"/>
  <c r="M1072" i="4" s="1"/>
  <c r="L628" i="4"/>
  <c r="K628" i="4"/>
  <c r="M628" i="4" s="1"/>
  <c r="L681" i="4"/>
  <c r="K681" i="4"/>
  <c r="M681" i="4" s="1"/>
  <c r="K117" i="4"/>
  <c r="M117" i="4" s="1"/>
  <c r="L117" i="4"/>
  <c r="L41" i="4"/>
  <c r="K41" i="4"/>
  <c r="M41" i="4" s="1"/>
  <c r="L404" i="4"/>
  <c r="K404" i="4"/>
  <c r="M404" i="4" s="1"/>
  <c r="L487" i="4"/>
  <c r="K487" i="4"/>
  <c r="M487" i="4" s="1"/>
  <c r="L994" i="4"/>
  <c r="K994" i="4"/>
  <c r="M994" i="4" s="1"/>
  <c r="L969" i="4"/>
  <c r="K969" i="4"/>
  <c r="M969" i="4" s="1"/>
  <c r="L549" i="4"/>
  <c r="K549" i="4"/>
  <c r="M549" i="4" s="1"/>
  <c r="L202" i="4"/>
  <c r="K202" i="4"/>
  <c r="M202" i="4" s="1"/>
  <c r="K1228" i="4"/>
  <c r="M1228" i="4" s="1"/>
  <c r="L1228" i="4"/>
  <c r="L433" i="4"/>
  <c r="K433" i="4"/>
  <c r="M433" i="4" s="1"/>
  <c r="L52" i="4"/>
  <c r="K52" i="4"/>
  <c r="M52" i="4" s="1"/>
  <c r="L1174" i="4"/>
  <c r="K1174" i="4"/>
  <c r="M1174" i="4" s="1"/>
  <c r="L1138" i="4"/>
  <c r="K1138" i="4"/>
  <c r="M1138" i="4" s="1"/>
  <c r="L801" i="4"/>
  <c r="K801" i="4"/>
  <c r="M801" i="4" s="1"/>
  <c r="L746" i="4"/>
  <c r="K746" i="4"/>
  <c r="M746" i="4" s="1"/>
  <c r="L25" i="4"/>
  <c r="K25" i="4"/>
  <c r="M25" i="4" s="1"/>
  <c r="L185" i="4"/>
  <c r="K185" i="4"/>
  <c r="M185" i="4" s="1"/>
  <c r="L752" i="4"/>
  <c r="K752" i="4"/>
  <c r="M752" i="4" s="1"/>
  <c r="L608" i="4"/>
  <c r="K608" i="4"/>
  <c r="M608" i="4" s="1"/>
  <c r="L456" i="4"/>
  <c r="K456" i="4"/>
  <c r="M456" i="4" s="1"/>
  <c r="L377" i="4"/>
  <c r="K377" i="4"/>
  <c r="M377" i="4" s="1"/>
  <c r="L162" i="4"/>
  <c r="K162" i="4"/>
  <c r="M162" i="4" s="1"/>
  <c r="L561" i="4"/>
  <c r="K561" i="4"/>
  <c r="M561" i="4" s="1"/>
  <c r="L727" i="4"/>
  <c r="K727" i="4"/>
  <c r="M727" i="4" s="1"/>
  <c r="L698" i="4"/>
  <c r="K698" i="4"/>
  <c r="M698" i="4" s="1"/>
  <c r="L556" i="4"/>
  <c r="K556" i="4"/>
  <c r="M556" i="4" s="1"/>
  <c r="L731" i="4"/>
  <c r="K731" i="4"/>
  <c r="M731" i="4" s="1"/>
  <c r="K1084" i="4"/>
  <c r="M1084" i="4" s="1"/>
  <c r="L1084" i="4"/>
  <c r="L1251" i="4"/>
  <c r="K1251" i="4"/>
  <c r="M1251" i="4" s="1"/>
  <c r="L1010" i="4"/>
  <c r="K1010" i="4"/>
  <c r="M1010" i="4" s="1"/>
  <c r="K766" i="4"/>
  <c r="M766" i="4" s="1"/>
  <c r="L766" i="4"/>
  <c r="L1283" i="4"/>
  <c r="K1283" i="4"/>
  <c r="M1283" i="4" s="1"/>
  <c r="L282" i="4"/>
  <c r="K282" i="4"/>
  <c r="M282" i="4" s="1"/>
  <c r="L1171" i="4"/>
  <c r="K1171" i="4"/>
  <c r="M1171" i="4" s="1"/>
  <c r="K780" i="4"/>
  <c r="M780" i="4" s="1"/>
  <c r="L780" i="4"/>
  <c r="L978" i="4"/>
  <c r="K978" i="4"/>
  <c r="M978" i="4" s="1"/>
  <c r="L1052" i="4"/>
  <c r="K1052" i="4"/>
  <c r="M1052" i="4" s="1"/>
  <c r="L749" i="4"/>
  <c r="K749" i="4"/>
  <c r="M749" i="4" s="1"/>
  <c r="L337" i="4"/>
  <c r="K337" i="4"/>
  <c r="M337" i="4" s="1"/>
  <c r="L123" i="4"/>
  <c r="K123" i="4"/>
  <c r="M123" i="4" s="1"/>
  <c r="K1235" i="4"/>
  <c r="M1235" i="4" s="1"/>
  <c r="L1235" i="4"/>
  <c r="L803" i="4"/>
  <c r="K803" i="4"/>
  <c r="M803" i="4" s="1"/>
  <c r="L89" i="4"/>
  <c r="K89" i="4"/>
  <c r="M89" i="4" s="1"/>
  <c r="L1266" i="4"/>
  <c r="K1266" i="4"/>
  <c r="M1266" i="4" s="1"/>
  <c r="L1135" i="4"/>
  <c r="K1135" i="4"/>
  <c r="M1135" i="4" s="1"/>
  <c r="L611" i="4"/>
  <c r="K611" i="4"/>
  <c r="M611" i="4" s="1"/>
  <c r="K629" i="4"/>
  <c r="M629" i="4" s="1"/>
  <c r="L629" i="4"/>
  <c r="L588" i="4"/>
  <c r="K588" i="4"/>
  <c r="M588" i="4" s="1"/>
  <c r="K1055" i="4"/>
  <c r="M1055" i="4" s="1"/>
  <c r="L1055" i="4"/>
  <c r="L791" i="4"/>
  <c r="K791" i="4"/>
  <c r="M791" i="4" s="1"/>
  <c r="L1164" i="4"/>
  <c r="K1164" i="4"/>
  <c r="M1164" i="4" s="1"/>
  <c r="L295" i="4"/>
  <c r="K295" i="4"/>
  <c r="M295" i="4" s="1"/>
  <c r="L924" i="4"/>
  <c r="K924" i="4"/>
  <c r="M924" i="4" s="1"/>
  <c r="L55" i="4"/>
  <c r="K55" i="4"/>
  <c r="M55" i="4" s="1"/>
  <c r="L1110" i="4"/>
  <c r="K1110" i="4"/>
  <c r="M1110" i="4" s="1"/>
  <c r="K754" i="4"/>
  <c r="M754" i="4" s="1"/>
  <c r="L754" i="4"/>
  <c r="L20" i="4"/>
  <c r="K20" i="4"/>
  <c r="M20" i="4" s="1"/>
  <c r="L1268" i="4"/>
  <c r="K1268" i="4"/>
  <c r="M1268" i="4" s="1"/>
  <c r="K153" i="4"/>
  <c r="M153" i="4" s="1"/>
  <c r="L153" i="4"/>
  <c r="L840" i="4"/>
  <c r="K840" i="4"/>
  <c r="M840" i="4" s="1"/>
  <c r="K600" i="4"/>
  <c r="M600" i="4" s="1"/>
  <c r="L600" i="4"/>
  <c r="L376" i="4"/>
  <c r="K376" i="4"/>
  <c r="M376" i="4" s="1"/>
  <c r="L1280" i="4"/>
  <c r="K1280" i="4"/>
  <c r="M1280" i="4" s="1"/>
  <c r="L53" i="4"/>
  <c r="K53" i="4"/>
  <c r="M53" i="4" s="1"/>
  <c r="L577" i="4"/>
  <c r="K577" i="4"/>
  <c r="M577" i="4" s="1"/>
  <c r="L1043" i="4"/>
  <c r="K1043" i="4"/>
  <c r="M1043" i="4" s="1"/>
  <c r="L452" i="4"/>
  <c r="K452" i="4"/>
  <c r="M452" i="4" s="1"/>
  <c r="L847" i="4"/>
  <c r="K847" i="4"/>
  <c r="M847" i="4" s="1"/>
  <c r="L571" i="4"/>
  <c r="K571" i="4"/>
  <c r="M571" i="4" s="1"/>
  <c r="L937" i="4"/>
  <c r="K937" i="4"/>
  <c r="M937" i="4" s="1"/>
  <c r="L113" i="4"/>
  <c r="K113" i="4"/>
  <c r="M113" i="4" s="1"/>
  <c r="L108" i="4"/>
  <c r="K108" i="4"/>
  <c r="M108" i="4" s="1"/>
  <c r="L1146" i="4"/>
  <c r="K1146" i="4"/>
  <c r="M1146" i="4" s="1"/>
  <c r="L910" i="4"/>
  <c r="K910" i="4"/>
  <c r="M910" i="4" s="1"/>
  <c r="L476" i="4"/>
  <c r="K476" i="4"/>
  <c r="M476" i="4" s="1"/>
  <c r="L765" i="4"/>
  <c r="K765" i="4"/>
  <c r="M765" i="4" s="1"/>
  <c r="L1160" i="4"/>
  <c r="K1160" i="4"/>
  <c r="M1160" i="4" s="1"/>
  <c r="L1012" i="4"/>
  <c r="K1012" i="4"/>
  <c r="M1012" i="4" s="1"/>
  <c r="L1121" i="4"/>
  <c r="K1121" i="4"/>
  <c r="M1121" i="4" s="1"/>
  <c r="K984" i="4"/>
  <c r="M984" i="4" s="1"/>
  <c r="L984" i="4"/>
  <c r="L36" i="4"/>
  <c r="K36" i="4"/>
  <c r="M36" i="4" s="1"/>
  <c r="K459" i="4"/>
  <c r="M459" i="4" s="1"/>
  <c r="L459" i="4"/>
  <c r="L667" i="4"/>
  <c r="K667" i="4"/>
  <c r="M667" i="4" s="1"/>
  <c r="L447" i="4"/>
  <c r="K447" i="4"/>
  <c r="M447" i="4" s="1"/>
  <c r="L1056" i="4"/>
  <c r="K1056" i="4"/>
  <c r="M1056" i="4" s="1"/>
  <c r="L499" i="4"/>
  <c r="K499" i="4"/>
  <c r="M499" i="4" s="1"/>
  <c r="L906" i="4"/>
  <c r="K906" i="4"/>
  <c r="M906" i="4" s="1"/>
  <c r="L818" i="4"/>
  <c r="K818" i="4"/>
  <c r="M818" i="4" s="1"/>
  <c r="L1270" i="4"/>
  <c r="K1270" i="4"/>
  <c r="M1270" i="4" s="1"/>
  <c r="L546" i="4"/>
  <c r="K546" i="4"/>
  <c r="M546" i="4" s="1"/>
  <c r="L813" i="4"/>
  <c r="K813" i="4"/>
  <c r="M813" i="4" s="1"/>
  <c r="L204" i="4"/>
  <c r="K204" i="4"/>
  <c r="M204" i="4" s="1"/>
  <c r="K735" i="4"/>
  <c r="M735" i="4" s="1"/>
  <c r="L735" i="4"/>
  <c r="L557" i="4"/>
  <c r="K557" i="4"/>
  <c r="M557" i="4" s="1"/>
  <c r="L537" i="4"/>
  <c r="K537" i="4"/>
  <c r="M537" i="4" s="1"/>
  <c r="L987" i="4"/>
  <c r="K987" i="4"/>
  <c r="M987" i="4" s="1"/>
  <c r="L101" i="4"/>
  <c r="K101" i="4"/>
  <c r="M101" i="4" s="1"/>
  <c r="L1107" i="4"/>
  <c r="K1107" i="4"/>
  <c r="M1107" i="4" s="1"/>
  <c r="L1190" i="4"/>
  <c r="K1190" i="4"/>
  <c r="M1190" i="4" s="1"/>
  <c r="L386" i="4"/>
  <c r="K386" i="4"/>
  <c r="M386" i="4" s="1"/>
  <c r="K284" i="4"/>
  <c r="M284" i="4" s="1"/>
  <c r="L1102" i="4"/>
  <c r="K1102" i="4"/>
  <c r="M1102" i="4" s="1"/>
  <c r="N1102" i="4" s="1"/>
  <c r="L291" i="4"/>
  <c r="K291" i="4"/>
  <c r="M291" i="4" s="1"/>
  <c r="L820" i="4"/>
  <c r="K820" i="4"/>
  <c r="M820" i="4" s="1"/>
  <c r="L35" i="4"/>
  <c r="K35" i="4"/>
  <c r="M35" i="4" s="1"/>
  <c r="K248" i="4"/>
  <c r="M248" i="4" s="1"/>
  <c r="K192" i="4"/>
  <c r="M192" i="4" s="1"/>
  <c r="N192" i="4" s="1"/>
  <c r="L312" i="4"/>
  <c r="N312" i="4" s="1"/>
  <c r="K536" i="4"/>
  <c r="M536" i="4" s="1"/>
  <c r="N536" i="4" s="1"/>
  <c r="K912" i="4"/>
  <c r="M912" i="4" s="1"/>
  <c r="N912" i="4" s="1"/>
  <c r="K632" i="4"/>
  <c r="M632" i="4" s="1"/>
  <c r="N632" i="4" s="1"/>
  <c r="L904" i="4"/>
  <c r="K904" i="4"/>
  <c r="M904" i="4" s="1"/>
  <c r="N904" i="4" s="1"/>
  <c r="L832" i="4"/>
  <c r="K832" i="4"/>
  <c r="M832" i="4" s="1"/>
  <c r="N832" i="4" s="1"/>
  <c r="L736" i="4"/>
  <c r="K736" i="4"/>
  <c r="M736" i="4" s="1"/>
  <c r="N736" i="4" s="1"/>
  <c r="L672" i="4"/>
  <c r="K672" i="4"/>
  <c r="M672" i="4" s="1"/>
  <c r="K440" i="4"/>
  <c r="M440" i="4" s="1"/>
  <c r="L440" i="4"/>
  <c r="L160" i="4"/>
  <c r="K160" i="4"/>
  <c r="M160" i="4" s="1"/>
  <c r="L509" i="4"/>
  <c r="K509" i="4"/>
  <c r="M509" i="4" s="1"/>
  <c r="N509" i="4" s="1"/>
  <c r="L410" i="4"/>
  <c r="K410" i="4"/>
  <c r="M410" i="4" s="1"/>
  <c r="L742" i="4"/>
  <c r="K742" i="4"/>
  <c r="M742" i="4" s="1"/>
  <c r="N742" i="4" s="1"/>
  <c r="L927" i="4"/>
  <c r="K927" i="4"/>
  <c r="M927" i="4" s="1"/>
  <c r="N927" i="4" s="1"/>
  <c r="L1126" i="4"/>
  <c r="K1126" i="4"/>
  <c r="M1126" i="4" s="1"/>
  <c r="N1126" i="4" s="1"/>
  <c r="K945" i="4"/>
  <c r="M945" i="4" s="1"/>
  <c r="L945" i="4"/>
  <c r="L78" i="4"/>
  <c r="K78" i="4"/>
  <c r="M78" i="4" s="1"/>
  <c r="L634" i="4"/>
  <c r="K634" i="4"/>
  <c r="M634" i="4" s="1"/>
  <c r="N634" i="4" s="1"/>
  <c r="L998" i="4"/>
  <c r="K998" i="4"/>
  <c r="M998" i="4" s="1"/>
  <c r="N998" i="4" s="1"/>
  <c r="K484" i="4"/>
  <c r="M484" i="4" s="1"/>
  <c r="L484" i="4"/>
  <c r="L294" i="4"/>
  <c r="K294" i="4"/>
  <c r="M294" i="4" s="1"/>
  <c r="L619" i="4"/>
  <c r="K619" i="4"/>
  <c r="M619" i="4" s="1"/>
  <c r="N619" i="4" s="1"/>
  <c r="L215" i="4"/>
  <c r="K215" i="4"/>
  <c r="M215" i="4" s="1"/>
  <c r="L385" i="4"/>
  <c r="K385" i="4"/>
  <c r="M385" i="4" s="1"/>
  <c r="L1211" i="4"/>
  <c r="K1211" i="4"/>
  <c r="M1211" i="4" s="1"/>
  <c r="N1211" i="4" s="1"/>
  <c r="L991" i="4"/>
  <c r="K991" i="4"/>
  <c r="M991" i="4" s="1"/>
  <c r="N991" i="4" s="1"/>
  <c r="L693" i="4"/>
  <c r="K693" i="4"/>
  <c r="M693" i="4" s="1"/>
  <c r="N693" i="4" s="1"/>
  <c r="K1159" i="4"/>
  <c r="M1159" i="4" s="1"/>
  <c r="L1159" i="4"/>
  <c r="L10" i="4"/>
  <c r="K10" i="4"/>
  <c r="M10" i="4" s="1"/>
  <c r="K1189" i="4"/>
  <c r="M1189" i="4" s="1"/>
  <c r="L1189" i="4"/>
  <c r="K1150" i="4"/>
  <c r="M1150" i="4" s="1"/>
  <c r="L1150" i="4"/>
  <c r="L50" i="4"/>
  <c r="K50" i="4"/>
  <c r="M50" i="4" s="1"/>
  <c r="L308" i="4"/>
  <c r="N308" i="4" s="1"/>
  <c r="L491" i="4"/>
  <c r="K491" i="4"/>
  <c r="M491" i="4" s="1"/>
  <c r="L605" i="4"/>
  <c r="K605" i="4"/>
  <c r="M605" i="4" s="1"/>
  <c r="L98" i="4"/>
  <c r="K98" i="4"/>
  <c r="M98" i="4" s="1"/>
  <c r="L30" i="4"/>
  <c r="K30" i="4"/>
  <c r="M30" i="4" s="1"/>
  <c r="L475" i="4"/>
  <c r="K475" i="4"/>
  <c r="M475" i="4" s="1"/>
  <c r="L1262" i="4"/>
  <c r="K1262" i="4"/>
  <c r="M1262" i="4" s="1"/>
  <c r="L222" i="4"/>
  <c r="K222" i="4"/>
  <c r="M222" i="4" s="1"/>
  <c r="K527" i="4"/>
  <c r="M527" i="4" s="1"/>
  <c r="L527" i="4"/>
  <c r="L620" i="4"/>
  <c r="K620" i="4"/>
  <c r="M620" i="4" s="1"/>
  <c r="K1046" i="4"/>
  <c r="M1046" i="4" s="1"/>
  <c r="L1046" i="4"/>
  <c r="L1274" i="4"/>
  <c r="K1274" i="4"/>
  <c r="M1274" i="4" s="1"/>
  <c r="L1256" i="4"/>
  <c r="K1256" i="4"/>
  <c r="M1256" i="4" s="1"/>
  <c r="L107" i="4"/>
  <c r="K107" i="4"/>
  <c r="M107" i="4" s="1"/>
  <c r="L95" i="4"/>
  <c r="K95" i="4"/>
  <c r="M95" i="4" s="1"/>
  <c r="L674" i="4"/>
  <c r="K674" i="4"/>
  <c r="M674" i="4" s="1"/>
  <c r="L1221" i="4"/>
  <c r="K1221" i="4"/>
  <c r="M1221" i="4" s="1"/>
  <c r="L1250" i="4"/>
  <c r="K1250" i="4"/>
  <c r="M1250" i="4" s="1"/>
  <c r="L744" i="4"/>
  <c r="K744" i="4"/>
  <c r="M744" i="4" s="1"/>
  <c r="K400" i="4"/>
  <c r="M400" i="4" s="1"/>
  <c r="N400" i="4" s="1"/>
  <c r="K928" i="4"/>
  <c r="M928" i="4" s="1"/>
  <c r="N928" i="4" s="1"/>
  <c r="K464" i="4"/>
  <c r="M464" i="4" s="1"/>
  <c r="N464" i="4" s="1"/>
  <c r="K328" i="4"/>
  <c r="M328" i="4" s="1"/>
  <c r="L728" i="4"/>
  <c r="K728" i="4"/>
  <c r="M728" i="4" s="1"/>
  <c r="L1213" i="4"/>
  <c r="K1213" i="4"/>
  <c r="M1213" i="4" s="1"/>
  <c r="L283" i="4"/>
  <c r="K283" i="4"/>
  <c r="M283" i="4" s="1"/>
  <c r="L1309" i="4"/>
  <c r="K1309" i="4"/>
  <c r="M1309" i="4" s="1"/>
  <c r="L1173" i="4"/>
  <c r="K1173" i="4"/>
  <c r="M1173" i="4" s="1"/>
  <c r="K68" i="4"/>
  <c r="M68" i="4" s="1"/>
  <c r="L68" i="4"/>
  <c r="K118" i="4"/>
  <c r="M118" i="4" s="1"/>
  <c r="L118" i="4"/>
  <c r="K981" i="4"/>
  <c r="M981" i="4" s="1"/>
  <c r="L981" i="4"/>
  <c r="L473" i="4"/>
  <c r="K473" i="4"/>
  <c r="M473" i="4" s="1"/>
  <c r="K758" i="4"/>
  <c r="M758" i="4" s="1"/>
  <c r="L758" i="4"/>
  <c r="L182" i="4"/>
  <c r="K182" i="4"/>
  <c r="M182" i="4" s="1"/>
  <c r="L289" i="4"/>
  <c r="K289" i="4"/>
  <c r="M289" i="4" s="1"/>
  <c r="L1217" i="4"/>
  <c r="K1217" i="4"/>
  <c r="M1217" i="4" s="1"/>
  <c r="L579" i="4"/>
  <c r="K579" i="4"/>
  <c r="M579" i="4" s="1"/>
  <c r="L43" i="4"/>
  <c r="K43" i="4"/>
  <c r="M43" i="4" s="1"/>
  <c r="L997" i="4"/>
  <c r="K997" i="4"/>
  <c r="M997" i="4" s="1"/>
  <c r="K985" i="4"/>
  <c r="M985" i="4" s="1"/>
  <c r="L985" i="4"/>
  <c r="L1058" i="4"/>
  <c r="K1058" i="4"/>
  <c r="M1058" i="4" s="1"/>
  <c r="L607" i="4"/>
  <c r="K607" i="4"/>
  <c r="M607" i="4" s="1"/>
  <c r="L1075" i="4"/>
  <c r="K1075" i="4"/>
  <c r="M1075" i="4" s="1"/>
  <c r="L187" i="4"/>
  <c r="K187" i="4"/>
  <c r="M187" i="4" s="1"/>
  <c r="L1100" i="4"/>
  <c r="K1100" i="4"/>
  <c r="M1100" i="4" s="1"/>
  <c r="L311" i="4"/>
  <c r="K311" i="4"/>
  <c r="M311" i="4" s="1"/>
  <c r="L1025" i="4"/>
  <c r="K1025" i="4"/>
  <c r="M1025" i="4" s="1"/>
  <c r="L387" i="4"/>
  <c r="K387" i="4"/>
  <c r="M387" i="4" s="1"/>
  <c r="L234" i="4"/>
  <c r="K234" i="4"/>
  <c r="M234" i="4" s="1"/>
  <c r="L774" i="4"/>
  <c r="K774" i="4"/>
  <c r="M774" i="4" s="1"/>
  <c r="L1096" i="4"/>
  <c r="K1096" i="4"/>
  <c r="M1096" i="4" s="1"/>
  <c r="L982" i="4"/>
  <c r="K982" i="4"/>
  <c r="M982" i="4" s="1"/>
  <c r="L474" i="4"/>
  <c r="K474" i="4"/>
  <c r="M474" i="4" s="1"/>
  <c r="L726" i="4"/>
  <c r="K726" i="4"/>
  <c r="M726" i="4" s="1"/>
  <c r="K597" i="4"/>
  <c r="M597" i="4" s="1"/>
  <c r="L597" i="4"/>
  <c r="L646" i="4"/>
  <c r="K646" i="4"/>
  <c r="M646" i="4" s="1"/>
  <c r="L251" i="4"/>
  <c r="K251" i="4"/>
  <c r="M251" i="4" s="1"/>
  <c r="K365" i="4"/>
  <c r="M365" i="4" s="1"/>
  <c r="L365" i="4"/>
  <c r="K762" i="4"/>
  <c r="M762" i="4" s="1"/>
  <c r="L762" i="4"/>
  <c r="L796" i="4"/>
  <c r="K796" i="4"/>
  <c r="M796" i="4" s="1"/>
  <c r="L426" i="4"/>
  <c r="K426" i="4"/>
  <c r="M426" i="4" s="1"/>
  <c r="L1053" i="4"/>
  <c r="K1053" i="4"/>
  <c r="M1053" i="4" s="1"/>
  <c r="K354" i="4"/>
  <c r="L354" i="4"/>
  <c r="L750" i="4"/>
  <c r="K750" i="4"/>
  <c r="M750" i="4" s="1"/>
  <c r="L930" i="4"/>
  <c r="K930" i="4"/>
  <c r="M930" i="4" s="1"/>
  <c r="K680" i="4"/>
  <c r="M680" i="4" s="1"/>
  <c r="L680" i="4"/>
  <c r="K184" i="4"/>
  <c r="M184" i="4" s="1"/>
  <c r="K256" i="4"/>
  <c r="M256" i="4" s="1"/>
  <c r="L1218" i="4"/>
  <c r="N1218" i="4" s="1"/>
  <c r="K408" i="4"/>
  <c r="M408" i="4" s="1"/>
  <c r="N408" i="4" s="1"/>
  <c r="L888" i="4"/>
  <c r="K888" i="4"/>
  <c r="M888" i="4" s="1"/>
  <c r="L488" i="4"/>
  <c r="K488" i="4"/>
  <c r="M488" i="4" s="1"/>
  <c r="L416" i="4"/>
  <c r="K416" i="4"/>
  <c r="M416" i="4" s="1"/>
  <c r="L208" i="4"/>
  <c r="K208" i="4"/>
  <c r="M208" i="4" s="1"/>
  <c r="L973" i="4"/>
  <c r="K973" i="4"/>
  <c r="M973" i="4" s="1"/>
  <c r="L76" i="4"/>
  <c r="K76" i="4"/>
  <c r="M76" i="4" s="1"/>
  <c r="L1230" i="4"/>
  <c r="K1230" i="4"/>
  <c r="M1230" i="4" s="1"/>
  <c r="L958" i="4"/>
  <c r="K958" i="4"/>
  <c r="M958" i="4" s="1"/>
  <c r="K1297" i="4"/>
  <c r="M1297" i="4" s="1"/>
  <c r="L1297" i="4"/>
  <c r="L988" i="4"/>
  <c r="K988" i="4"/>
  <c r="M988" i="4" s="1"/>
  <c r="L1087" i="4"/>
  <c r="K1087" i="4"/>
  <c r="M1087" i="4" s="1"/>
  <c r="L302" i="4"/>
  <c r="K302" i="4"/>
  <c r="M302" i="4" s="1"/>
  <c r="L189" i="4"/>
  <c r="K189" i="4"/>
  <c r="M189" i="4" s="1"/>
  <c r="L870" i="4"/>
  <c r="K870" i="4"/>
  <c r="M870" i="4" s="1"/>
  <c r="L642" i="4"/>
  <c r="K642" i="4"/>
  <c r="M642" i="4" s="1"/>
  <c r="L1118" i="4"/>
  <c r="K1118" i="4"/>
  <c r="M1118" i="4" s="1"/>
  <c r="L29" i="4"/>
  <c r="K29" i="4"/>
  <c r="M29" i="4" s="1"/>
  <c r="L454" i="4"/>
  <c r="K454" i="4"/>
  <c r="M454" i="4" s="1"/>
  <c r="L660" i="4"/>
  <c r="K660" i="4"/>
  <c r="M660" i="4" s="1"/>
  <c r="L270" i="4"/>
  <c r="K270" i="4"/>
  <c r="M270" i="4" s="1"/>
  <c r="K616" i="4"/>
  <c r="M616" i="4" s="1"/>
  <c r="L616" i="4"/>
  <c r="L520" i="4"/>
  <c r="K520" i="4"/>
  <c r="M520" i="4" s="1"/>
  <c r="L713" i="4"/>
  <c r="K713" i="4"/>
  <c r="M713" i="4" s="1"/>
  <c r="K1120" i="4"/>
  <c r="M1120" i="4" s="1"/>
  <c r="N1120" i="4" s="1"/>
  <c r="L1120" i="4"/>
  <c r="L747" i="4"/>
  <c r="K747" i="4"/>
  <c r="M747" i="4" s="1"/>
  <c r="L466" i="4"/>
  <c r="K466" i="4"/>
  <c r="M466" i="4" s="1"/>
  <c r="L514" i="4"/>
  <c r="K514" i="4"/>
  <c r="M514" i="4" s="1"/>
  <c r="L581" i="4"/>
  <c r="K581" i="4"/>
  <c r="M581" i="4" s="1"/>
  <c r="L1168" i="4"/>
  <c r="K1168" i="4"/>
  <c r="M1168" i="4" s="1"/>
  <c r="L333" i="4"/>
  <c r="K333" i="4"/>
  <c r="M333" i="4" s="1"/>
  <c r="L585" i="4"/>
  <c r="K585" i="4"/>
  <c r="M585" i="4" s="1"/>
  <c r="L301" i="4"/>
  <c r="K301" i="4"/>
  <c r="M301" i="4" s="1"/>
  <c r="L1152" i="4"/>
  <c r="K1152" i="4"/>
  <c r="M1152" i="4" s="1"/>
  <c r="L31" i="4"/>
  <c r="K31" i="4"/>
  <c r="M31" i="4" s="1"/>
  <c r="L1028" i="4"/>
  <c r="K1028" i="4"/>
  <c r="M1028" i="4" s="1"/>
  <c r="L1312" i="4"/>
  <c r="K1312" i="4"/>
  <c r="M1312" i="4" s="1"/>
  <c r="K964" i="4"/>
  <c r="M964" i="4" s="1"/>
  <c r="L964" i="4"/>
  <c r="L100" i="4"/>
  <c r="K100" i="4"/>
  <c r="M100" i="4" s="1"/>
  <c r="L931" i="4"/>
  <c r="K931" i="4"/>
  <c r="M931" i="4" s="1"/>
  <c r="L407" i="4"/>
  <c r="K407" i="4"/>
  <c r="M407" i="4" s="1"/>
  <c r="L1288" i="4"/>
  <c r="K1288" i="4"/>
  <c r="M1288" i="4" s="1"/>
  <c r="L542" i="4"/>
  <c r="K542" i="4"/>
  <c r="M542" i="4" s="1"/>
  <c r="L219" i="4"/>
  <c r="K219" i="4"/>
  <c r="M219" i="4" s="1"/>
  <c r="N457" i="4" l="1"/>
  <c r="N1258" i="4"/>
  <c r="N830" i="4"/>
  <c r="N1289" i="4"/>
  <c r="N1022" i="4"/>
  <c r="N1057" i="4"/>
  <c r="N394" i="4"/>
  <c r="N531" i="4"/>
  <c r="N1149" i="4"/>
  <c r="N714" i="4"/>
  <c r="N485" i="4"/>
  <c r="N1220" i="4"/>
  <c r="N627" i="4"/>
  <c r="N729" i="4"/>
  <c r="N298" i="4"/>
  <c r="N741" i="4"/>
  <c r="N838" i="4"/>
  <c r="N1247" i="4"/>
  <c r="N478" i="4"/>
  <c r="N461" i="4"/>
  <c r="N1243" i="4"/>
  <c r="N318" i="4"/>
  <c r="N1131" i="4"/>
  <c r="N985" i="4"/>
  <c r="N1286" i="4"/>
  <c r="N1068" i="4"/>
  <c r="N849" i="4"/>
  <c r="N1006" i="4"/>
  <c r="N1066" i="4"/>
  <c r="N398" i="4"/>
  <c r="N396" i="4"/>
  <c r="N376" i="4"/>
  <c r="N410" i="4"/>
  <c r="N672" i="4"/>
  <c r="N385" i="4"/>
  <c r="N379" i="4"/>
  <c r="N610" i="4"/>
  <c r="N460" i="4"/>
  <c r="N524" i="4"/>
  <c r="N884" i="4"/>
  <c r="N1202" i="4"/>
  <c r="N1071" i="4"/>
  <c r="N695" i="4"/>
  <c r="N1140" i="4"/>
  <c r="N596" i="4"/>
  <c r="N518" i="4"/>
  <c r="N1219" i="4"/>
  <c r="N1158" i="4"/>
  <c r="N1301" i="4"/>
  <c r="N745" i="4"/>
  <c r="N1184" i="4"/>
  <c r="N1089" i="4"/>
  <c r="N983" i="4"/>
  <c r="N867" i="4"/>
  <c r="N8" i="4"/>
  <c r="N248" i="4"/>
  <c r="N57" i="4"/>
  <c r="N370" i="4"/>
  <c r="N364" i="4"/>
  <c r="N367" i="4"/>
  <c r="N363" i="4"/>
  <c r="N374" i="4"/>
  <c r="N365" i="4"/>
  <c r="N375" i="4"/>
  <c r="N372" i="4"/>
  <c r="N371" i="4"/>
  <c r="N368" i="4"/>
  <c r="N362" i="4"/>
  <c r="N1007" i="4"/>
  <c r="N1207" i="4"/>
  <c r="N418" i="4"/>
  <c r="N1002" i="4"/>
  <c r="N519" i="4"/>
  <c r="N764" i="4"/>
  <c r="N1261" i="4"/>
  <c r="N941" i="4"/>
  <c r="N1005" i="4"/>
  <c r="N572" i="4"/>
  <c r="N1046" i="4"/>
  <c r="N1212" i="4"/>
  <c r="N1144" i="4"/>
  <c r="N964" i="4"/>
  <c r="N616" i="4"/>
  <c r="N1297" i="4"/>
  <c r="N758" i="4"/>
  <c r="N459" i="4"/>
  <c r="N762" i="4"/>
  <c r="N597" i="4"/>
  <c r="N981" i="4"/>
  <c r="N527" i="4"/>
  <c r="N754" i="4"/>
  <c r="N1084" i="4"/>
  <c r="N552" i="4"/>
  <c r="N1265" i="4"/>
  <c r="N795" i="4"/>
  <c r="N984" i="4"/>
  <c r="N417" i="4"/>
  <c r="N875" i="4"/>
  <c r="N733" i="4"/>
  <c r="N879" i="4"/>
  <c r="N767" i="4"/>
  <c r="N553" i="4"/>
  <c r="N1095" i="4"/>
  <c r="N356" i="4"/>
  <c r="N120" i="4"/>
  <c r="N254" i="4"/>
  <c r="N17" i="4"/>
  <c r="M354" i="4"/>
  <c r="N354" i="4" s="1"/>
  <c r="N355" i="4"/>
  <c r="N1277" i="4"/>
  <c r="N1128" i="4"/>
  <c r="N948" i="4"/>
  <c r="N415" i="4"/>
  <c r="N350" i="4"/>
  <c r="M348" i="4"/>
  <c r="N348" i="4" s="1"/>
  <c r="N328" i="4"/>
  <c r="N600" i="4"/>
  <c r="N1235" i="4"/>
  <c r="N347" i="4"/>
  <c r="N344" i="4"/>
  <c r="N735" i="4"/>
  <c r="N1055" i="4"/>
  <c r="N1228" i="4"/>
  <c r="N748" i="4"/>
  <c r="N730" i="4"/>
  <c r="N445" i="4"/>
  <c r="N633" i="4"/>
  <c r="N895" i="4"/>
  <c r="N77" i="4"/>
  <c r="N329" i="4"/>
  <c r="N780" i="4"/>
  <c r="N766" i="4"/>
  <c r="N361" i="4"/>
  <c r="N526" i="4"/>
  <c r="N1001" i="4"/>
  <c r="N821" i="4"/>
  <c r="N980" i="4"/>
  <c r="N684" i="4"/>
  <c r="N805" i="4"/>
  <c r="N548" i="4"/>
  <c r="N1284" i="4"/>
  <c r="N936" i="4"/>
  <c r="N629" i="4"/>
  <c r="N411" i="4"/>
  <c r="N481" i="4"/>
  <c r="N580" i="4"/>
  <c r="N1017" i="4"/>
  <c r="N522" i="4"/>
  <c r="N836" i="4"/>
  <c r="N381" i="4"/>
  <c r="N846" i="4"/>
  <c r="N131" i="4"/>
  <c r="N184" i="4"/>
  <c r="N285" i="4"/>
  <c r="N171" i="4"/>
  <c r="N305" i="4"/>
  <c r="N176" i="4"/>
  <c r="N198" i="4"/>
  <c r="N32" i="4"/>
  <c r="N69" i="4"/>
  <c r="N221" i="4"/>
  <c r="N256" i="4"/>
  <c r="N147" i="4"/>
  <c r="N134" i="4"/>
  <c r="N224" i="4"/>
  <c r="N24" i="4"/>
  <c r="N284" i="4"/>
  <c r="N79" i="4"/>
  <c r="N542" i="4"/>
  <c r="N333" i="4"/>
  <c r="N466" i="4"/>
  <c r="N520" i="4"/>
  <c r="N454" i="4"/>
  <c r="N870" i="4"/>
  <c r="N988" i="4"/>
  <c r="N488" i="4"/>
  <c r="N1053" i="4"/>
  <c r="N726" i="4"/>
  <c r="N774" i="4"/>
  <c r="N607" i="4"/>
  <c r="N674" i="4"/>
  <c r="N1274" i="4"/>
  <c r="N954" i="4"/>
  <c r="N1275" i="4"/>
  <c r="N692" i="4"/>
  <c r="N501" i="4"/>
  <c r="N1109" i="4"/>
  <c r="N1279" i="4"/>
  <c r="N828" i="4"/>
  <c r="N1104" i="4"/>
  <c r="N1216" i="4"/>
  <c r="N523" i="4"/>
  <c r="N966" i="4"/>
  <c r="N1014" i="4"/>
  <c r="N852" i="4"/>
  <c r="N901" i="4"/>
  <c r="N1134" i="4"/>
  <c r="N839" i="4"/>
  <c r="N391" i="4"/>
  <c r="N349" i="4"/>
  <c r="N1153" i="4"/>
  <c r="N1215" i="4"/>
  <c r="N1038" i="4"/>
  <c r="N773" i="4"/>
  <c r="N1179" i="4"/>
  <c r="N558" i="4"/>
  <c r="N1091" i="4"/>
  <c r="N1187" i="4"/>
  <c r="N1054" i="4"/>
  <c r="N471" i="4"/>
  <c r="N1040" i="4"/>
  <c r="N560" i="4"/>
  <c r="N718" i="4"/>
  <c r="N343" i="4"/>
  <c r="N645" i="4"/>
  <c r="N621" i="4"/>
  <c r="N414" i="4"/>
  <c r="N920" i="4"/>
  <c r="N563" i="4"/>
  <c r="N1210" i="4"/>
  <c r="N868" i="4"/>
  <c r="N1190" i="4"/>
  <c r="N537" i="4"/>
  <c r="N813" i="4"/>
  <c r="N906" i="4"/>
  <c r="N667" i="4"/>
  <c r="N1121" i="4"/>
  <c r="N476" i="4"/>
  <c r="N452" i="4"/>
  <c r="N1280" i="4"/>
  <c r="N1110" i="4"/>
  <c r="N1164" i="4"/>
  <c r="N337" i="4"/>
  <c r="N731" i="4"/>
  <c r="N561" i="4"/>
  <c r="N608" i="4"/>
  <c r="N746" i="4"/>
  <c r="N549" i="4"/>
  <c r="N404" i="4"/>
  <c r="N628" i="4"/>
  <c r="N1245" i="4"/>
  <c r="N815" i="4"/>
  <c r="N331" i="4"/>
  <c r="N977" i="4"/>
  <c r="N392" i="4"/>
  <c r="N1024" i="4"/>
  <c r="N617" i="4"/>
  <c r="N789" i="4"/>
  <c r="N772" i="4"/>
  <c r="N630" i="4"/>
  <c r="N602" i="4"/>
  <c r="N704" i="4"/>
  <c r="N968" i="4"/>
  <c r="N1098" i="4"/>
  <c r="N1117" i="4"/>
  <c r="N1027" i="4"/>
  <c r="N326" i="4"/>
  <c r="N421" i="4"/>
  <c r="N1267" i="4"/>
  <c r="N738" i="4"/>
  <c r="N640" i="4"/>
  <c r="N933" i="4"/>
  <c r="N882" i="4"/>
  <c r="N591" i="4"/>
  <c r="N1023" i="4"/>
  <c r="N1159" i="4"/>
  <c r="N484" i="4"/>
  <c r="N945" i="4"/>
  <c r="N680" i="4"/>
  <c r="N1288" i="4"/>
  <c r="N1152" i="4"/>
  <c r="N1168" i="4"/>
  <c r="N747" i="4"/>
  <c r="N973" i="4"/>
  <c r="N888" i="4"/>
  <c r="N930" i="4"/>
  <c r="N426" i="4"/>
  <c r="N474" i="4"/>
  <c r="N1100" i="4"/>
  <c r="N1058" i="4"/>
  <c r="N579" i="4"/>
  <c r="N1213" i="4"/>
  <c r="N744" i="4"/>
  <c r="N1262" i="4"/>
  <c r="N605" i="4"/>
  <c r="N1150" i="4"/>
  <c r="N1107" i="4"/>
  <c r="N557" i="4"/>
  <c r="N546" i="4"/>
  <c r="N499" i="4"/>
  <c r="N1012" i="4"/>
  <c r="N910" i="4"/>
  <c r="N937" i="4"/>
  <c r="N1043" i="4"/>
  <c r="N1268" i="4"/>
  <c r="N791" i="4"/>
  <c r="N611" i="4"/>
  <c r="N803" i="4"/>
  <c r="N749" i="4"/>
  <c r="N1171" i="4"/>
  <c r="N1010" i="4"/>
  <c r="N556" i="4"/>
  <c r="N752" i="4"/>
  <c r="N801" i="4"/>
  <c r="N433" i="4"/>
  <c r="N969" i="4"/>
  <c r="N1072" i="4"/>
  <c r="N907" i="4"/>
  <c r="N541" i="4"/>
  <c r="N756" i="4"/>
  <c r="N624" i="4"/>
  <c r="N843" i="4"/>
  <c r="N639" i="4"/>
  <c r="N953" i="4"/>
  <c r="N407" i="4"/>
  <c r="N1312" i="4"/>
  <c r="N581" i="4"/>
  <c r="N1118" i="4"/>
  <c r="N958" i="4"/>
  <c r="N750" i="4"/>
  <c r="N796" i="4"/>
  <c r="N646" i="4"/>
  <c r="N982" i="4"/>
  <c r="N387" i="4"/>
  <c r="N1217" i="4"/>
  <c r="N473" i="4"/>
  <c r="N1173" i="4"/>
  <c r="N728" i="4"/>
  <c r="N1250" i="4"/>
  <c r="N620" i="4"/>
  <c r="N475" i="4"/>
  <c r="N491" i="4"/>
  <c r="N1189" i="4"/>
  <c r="N1270" i="4"/>
  <c r="N1056" i="4"/>
  <c r="N1160" i="4"/>
  <c r="N1146" i="4"/>
  <c r="N571" i="4"/>
  <c r="N577" i="4"/>
  <c r="N924" i="4"/>
  <c r="N1135" i="4"/>
  <c r="N1052" i="4"/>
  <c r="N1251" i="4"/>
  <c r="N698" i="4"/>
  <c r="N377" i="4"/>
  <c r="N1138" i="4"/>
  <c r="N994" i="4"/>
  <c r="N1139" i="4"/>
  <c r="N1278" i="4"/>
  <c r="N820" i="4"/>
  <c r="N931" i="4"/>
  <c r="N1028" i="4"/>
  <c r="N585" i="4"/>
  <c r="N514" i="4"/>
  <c r="N713" i="4"/>
  <c r="N660" i="4"/>
  <c r="N642" i="4"/>
  <c r="N1087" i="4"/>
  <c r="N1230" i="4"/>
  <c r="N416" i="4"/>
  <c r="N1096" i="4"/>
  <c r="N1025" i="4"/>
  <c r="N1075" i="4"/>
  <c r="N997" i="4"/>
  <c r="N1309" i="4"/>
  <c r="N1221" i="4"/>
  <c r="N1256" i="4"/>
  <c r="N440" i="4"/>
  <c r="N386" i="4"/>
  <c r="N987" i="4"/>
  <c r="N818" i="4"/>
  <c r="N447" i="4"/>
  <c r="N765" i="4"/>
  <c r="N847" i="4"/>
  <c r="N840" i="4"/>
  <c r="N588" i="4"/>
  <c r="N1266" i="4"/>
  <c r="N978" i="4"/>
  <c r="N918" i="4"/>
  <c r="N574" i="4"/>
  <c r="N1283" i="4"/>
  <c r="N727" i="4"/>
  <c r="N456" i="4"/>
  <c r="N1174" i="4"/>
  <c r="N487" i="4"/>
  <c r="N681" i="4"/>
  <c r="N429" i="4"/>
  <c r="N320" i="4"/>
  <c r="N856" i="4"/>
  <c r="N771" i="4"/>
  <c r="N1223" i="4"/>
  <c r="N395" i="4"/>
  <c r="N999" i="4"/>
  <c r="N1157" i="4"/>
  <c r="N508" i="4"/>
  <c r="N567" i="4"/>
  <c r="N463" i="4"/>
  <c r="N697" i="4"/>
  <c r="N1141" i="4"/>
  <c r="N925" i="4"/>
  <c r="N425" i="4"/>
  <c r="N1067" i="4"/>
  <c r="N1294" i="4"/>
  <c r="N1127" i="4"/>
  <c r="N793" i="4"/>
  <c r="N845" i="4"/>
  <c r="N1311" i="4"/>
  <c r="N1097" i="4"/>
  <c r="N606" i="4"/>
  <c r="N687" i="4"/>
  <c r="N1080" i="4"/>
  <c r="N717" i="4"/>
  <c r="N677" i="4"/>
  <c r="N957" i="4"/>
  <c r="N725" i="4"/>
  <c r="N1048" i="4"/>
  <c r="N423" i="4"/>
  <c r="N515" i="4"/>
  <c r="N502" i="4"/>
  <c r="N899" i="4"/>
  <c r="N412" i="4"/>
  <c r="N1205" i="4"/>
  <c r="N1186" i="4"/>
  <c r="N1281" i="4"/>
  <c r="N671" i="4"/>
  <c r="N990" i="4"/>
  <c r="N807" i="4"/>
  <c r="N1172" i="4"/>
  <c r="N1143" i="4"/>
  <c r="N540" i="4"/>
  <c r="N670" i="4"/>
  <c r="N573" i="4"/>
  <c r="N1291" i="4"/>
  <c r="N1178" i="4"/>
  <c r="N967" i="4"/>
  <c r="N777" i="4"/>
  <c r="N403" i="4"/>
  <c r="N1016" i="4"/>
  <c r="N551" i="4"/>
  <c r="N970" i="4"/>
  <c r="N708" i="4"/>
  <c r="N1148" i="4"/>
  <c r="N779" i="4"/>
  <c r="N1287" i="4"/>
  <c r="N1151" i="4"/>
  <c r="N1162" i="4"/>
  <c r="N614" i="4"/>
  <c r="N761" i="4"/>
  <c r="N1246" i="4"/>
  <c r="N340" i="4"/>
  <c r="N378" i="4"/>
  <c r="N330" i="4"/>
  <c r="N835" i="4"/>
  <c r="N497" i="4"/>
  <c r="N1130" i="4"/>
  <c r="N643" i="4"/>
  <c r="N554" i="4"/>
  <c r="N492" i="4"/>
  <c r="N1032" i="4"/>
  <c r="N327" i="4"/>
  <c r="N775" i="4"/>
  <c r="N612" i="4"/>
  <c r="N842" i="4"/>
  <c r="N1070" i="4"/>
  <c r="N566" i="4"/>
  <c r="N665" i="4"/>
  <c r="N1302" i="4"/>
  <c r="N710" i="4"/>
  <c r="N689" i="4"/>
  <c r="N822" i="4"/>
  <c r="N319" i="4"/>
  <c r="N1176" i="4"/>
  <c r="N1062" i="4"/>
  <c r="N663" i="4"/>
  <c r="N979" i="4"/>
  <c r="N1059" i="4"/>
  <c r="N1137" i="4"/>
  <c r="N322" i="4"/>
  <c r="N886" i="4"/>
  <c r="N486" i="4"/>
  <c r="N782" i="4"/>
  <c r="N449" i="4"/>
  <c r="N529" i="4"/>
  <c r="N1013" i="4"/>
  <c r="N905" i="4"/>
  <c r="N1307" i="4"/>
  <c r="N960" i="4"/>
  <c r="N700" i="4"/>
  <c r="N434" i="4"/>
  <c r="N769" i="4"/>
  <c r="N1041" i="4"/>
  <c r="N470" i="4"/>
  <c r="N1313" i="4"/>
  <c r="N1142" i="4"/>
  <c r="N637" i="4"/>
  <c r="N1029" i="4"/>
  <c r="N784" i="4"/>
  <c r="N781" i="4"/>
  <c r="N538" i="4"/>
  <c r="N1239" i="4"/>
  <c r="N935" i="4"/>
  <c r="N468" i="4"/>
  <c r="N851" i="4"/>
  <c r="N1111" i="4"/>
  <c r="N694" i="4"/>
  <c r="N438" i="4"/>
  <c r="N869" i="4"/>
  <c r="N451" i="4"/>
  <c r="N1253" i="4"/>
  <c r="N1021" i="4"/>
  <c r="N932" i="4"/>
  <c r="N582" i="4"/>
  <c r="N1296" i="4"/>
  <c r="N887" i="4"/>
  <c r="N428" i="4"/>
  <c r="N859" i="4"/>
  <c r="N929" i="4"/>
  <c r="N855" i="4"/>
  <c r="N383" i="4"/>
  <c r="N1076" i="4"/>
  <c r="N1078" i="4"/>
  <c r="N1073" i="4"/>
  <c r="N409" i="4"/>
  <c r="N1182" i="4"/>
  <c r="N709" i="4"/>
  <c r="N500" i="4"/>
  <c r="N1101" i="4"/>
  <c r="N1293" i="4"/>
  <c r="N397" i="4"/>
  <c r="N335" i="4"/>
  <c r="N389" i="4"/>
  <c r="N516" i="4"/>
  <c r="N965" i="4"/>
  <c r="N431" i="4"/>
  <c r="N823" i="4"/>
  <c r="N479" i="4"/>
  <c r="N696" i="4"/>
  <c r="N903" i="4"/>
  <c r="N1252" i="4"/>
  <c r="N1019" i="4"/>
  <c r="N682" i="4"/>
  <c r="N550" i="4"/>
  <c r="N316" i="4"/>
  <c r="N1122" i="4"/>
  <c r="N1227" i="4"/>
  <c r="N922" i="4"/>
  <c r="N892" i="4"/>
  <c r="N662" i="4"/>
  <c r="N380" i="4"/>
  <c r="N1194" i="4"/>
  <c r="N1015" i="4"/>
  <c r="N1124" i="4"/>
  <c r="N880" i="4"/>
  <c r="N753" i="4"/>
  <c r="N346" i="4"/>
  <c r="N401" i="4"/>
  <c r="N1271" i="4"/>
  <c r="N1193" i="4"/>
  <c r="N890" i="4"/>
  <c r="N785" i="4"/>
  <c r="N609" i="4"/>
  <c r="N911" i="4"/>
  <c r="N1108" i="4"/>
  <c r="N595" i="4"/>
  <c r="N685" i="4"/>
  <c r="N757" i="4"/>
  <c r="N974" i="4"/>
  <c r="N971" i="4"/>
  <c r="N332" i="4"/>
  <c r="N857" i="4"/>
  <c r="N477" i="4"/>
  <c r="N399" i="4"/>
  <c r="N1206" i="4"/>
  <c r="N1204" i="4"/>
  <c r="N862" i="4"/>
  <c r="N799" i="4"/>
  <c r="N1199" i="4"/>
  <c r="N1011" i="4"/>
  <c r="N532" i="4"/>
  <c r="N1203" i="4"/>
  <c r="N455" i="4"/>
  <c r="N961" i="4"/>
  <c r="N743" i="4"/>
  <c r="N666" i="4"/>
  <c r="N535" i="4"/>
  <c r="N1009" i="4"/>
  <c r="N686" i="4"/>
  <c r="N255" i="4"/>
  <c r="N124" i="4"/>
  <c r="N216" i="4"/>
  <c r="N179" i="4"/>
  <c r="N288" i="4"/>
  <c r="N23" i="4"/>
  <c r="N297" i="4"/>
  <c r="N229" i="4"/>
  <c r="N188" i="4"/>
  <c r="N138" i="4"/>
  <c r="N265" i="4"/>
  <c r="N39" i="4"/>
  <c r="N80" i="4"/>
  <c r="N190" i="4"/>
  <c r="N74" i="4"/>
  <c r="N277" i="4"/>
  <c r="N186" i="4"/>
  <c r="N66" i="4"/>
  <c r="N191" i="4"/>
  <c r="N152" i="4"/>
  <c r="N45" i="4"/>
  <c r="N122" i="4"/>
  <c r="N260" i="4"/>
  <c r="N33" i="4"/>
  <c r="N114" i="4"/>
  <c r="N311" i="4"/>
  <c r="N309" i="4"/>
  <c r="N167" i="4"/>
  <c r="N225" i="4"/>
  <c r="N212" i="4"/>
  <c r="N313" i="4"/>
  <c r="N228" i="4"/>
  <c r="N203" i="4"/>
  <c r="N115" i="4"/>
  <c r="N103" i="4"/>
  <c r="N62" i="4"/>
  <c r="N252" i="4"/>
  <c r="N119" i="4"/>
  <c r="N97" i="4"/>
  <c r="N58" i="4"/>
  <c r="D4" i="9"/>
  <c r="D5" i="9"/>
  <c r="D6" i="9"/>
  <c r="D7" i="9"/>
  <c r="D8" i="9"/>
  <c r="N302" i="4"/>
  <c r="N303" i="4"/>
  <c r="N93" i="4"/>
  <c r="N280" i="4"/>
  <c r="N301" i="4"/>
  <c r="N281" i="4"/>
  <c r="N9" i="4"/>
  <c r="N295" i="4"/>
  <c r="N289" i="4"/>
  <c r="N291" i="4"/>
  <c r="N290" i="4"/>
  <c r="N294" i="4"/>
  <c r="N286" i="4"/>
  <c r="N111" i="4"/>
  <c r="N282" i="4"/>
  <c r="N283" i="4"/>
  <c r="N270" i="4"/>
  <c r="N279" i="4"/>
  <c r="N278" i="4"/>
  <c r="N276" i="4"/>
  <c r="N261" i="4"/>
  <c r="N258" i="4"/>
  <c r="N214" i="4"/>
  <c r="N269" i="4"/>
  <c r="N262" i="4"/>
  <c r="N263" i="4"/>
  <c r="N268" i="4"/>
  <c r="N253" i="4"/>
  <c r="N249" i="4"/>
  <c r="N250" i="4"/>
  <c r="N245" i="4"/>
  <c r="N251" i="4"/>
  <c r="N240" i="4"/>
  <c r="N235" i="4"/>
  <c r="N234" i="4"/>
  <c r="N238" i="4"/>
  <c r="N243" i="4"/>
  <c r="N233" i="4"/>
  <c r="N242" i="4"/>
  <c r="N244" i="4"/>
  <c r="N239" i="4"/>
  <c r="N237" i="4"/>
  <c r="N241" i="4"/>
  <c r="N232" i="4"/>
  <c r="N236" i="4"/>
  <c r="N2" i="4"/>
  <c r="N219" i="4"/>
  <c r="N64" i="4"/>
  <c r="N16" i="4"/>
  <c r="N86" i="4"/>
  <c r="N132" i="4"/>
  <c r="N89" i="4"/>
  <c r="N15" i="4"/>
  <c r="N158" i="4"/>
  <c r="N169" i="4"/>
  <c r="N28" i="4"/>
  <c r="N194" i="4"/>
  <c r="N25" i="4"/>
  <c r="N202" i="4"/>
  <c r="N11" i="4"/>
  <c r="N110" i="4"/>
  <c r="N90" i="4"/>
  <c r="N116" i="4"/>
  <c r="N13" i="4"/>
  <c r="N159" i="4"/>
  <c r="N7" i="4"/>
  <c r="N102" i="4"/>
  <c r="N121" i="4"/>
  <c r="N63" i="4"/>
  <c r="N166" i="4"/>
  <c r="N72" i="4"/>
  <c r="N6" i="4"/>
  <c r="N174" i="4"/>
  <c r="N199" i="4"/>
  <c r="N70" i="4"/>
  <c r="N65" i="4"/>
  <c r="N207" i="4"/>
  <c r="N12" i="4"/>
  <c r="N43" i="4"/>
  <c r="N182" i="4"/>
  <c r="N95" i="4"/>
  <c r="N215" i="4"/>
  <c r="N160" i="4"/>
  <c r="N35" i="4"/>
  <c r="N113" i="4"/>
  <c r="N123" i="4"/>
  <c r="N164" i="4"/>
  <c r="N94" i="4"/>
  <c r="N22" i="4"/>
  <c r="N175" i="4"/>
  <c r="N48" i="4"/>
  <c r="N209" i="4"/>
  <c r="N211" i="4"/>
  <c r="N36" i="4"/>
  <c r="N55" i="4"/>
  <c r="N170" i="4"/>
  <c r="N230" i="4"/>
  <c r="N180" i="4"/>
  <c r="N208" i="4"/>
  <c r="N222" i="4"/>
  <c r="N98" i="4"/>
  <c r="N50" i="4"/>
  <c r="N204" i="4"/>
  <c r="N108" i="4"/>
  <c r="N53" i="4"/>
  <c r="N20" i="4"/>
  <c r="N162" i="4"/>
  <c r="N117" i="4"/>
  <c r="N197" i="4"/>
  <c r="N193" i="4"/>
  <c r="N84" i="4"/>
  <c r="N73" i="4"/>
  <c r="N46" i="4"/>
  <c r="N130" i="4"/>
  <c r="N223" i="4"/>
  <c r="N126" i="4"/>
  <c r="N135" i="4"/>
  <c r="N154" i="4"/>
  <c r="N139" i="4"/>
  <c r="N127" i="4"/>
  <c r="N14" i="4"/>
  <c r="N145" i="4"/>
  <c r="N92" i="4"/>
  <c r="N71" i="4"/>
  <c r="N156" i="4"/>
  <c r="N181" i="4"/>
  <c r="N61" i="4"/>
  <c r="N201" i="4"/>
  <c r="N148" i="4"/>
  <c r="N88" i="4"/>
  <c r="N105" i="4"/>
  <c r="N125" i="4"/>
  <c r="N29" i="4"/>
  <c r="N189" i="4"/>
  <c r="N68" i="4"/>
  <c r="N153" i="4"/>
  <c r="N41" i="4"/>
  <c r="N27" i="4"/>
  <c r="N217" i="4"/>
  <c r="N142" i="4"/>
  <c r="N76" i="4"/>
  <c r="N187" i="4"/>
  <c r="N30" i="4"/>
  <c r="N10" i="4"/>
  <c r="N78" i="4"/>
  <c r="N101" i="4"/>
  <c r="N185" i="4"/>
  <c r="N37" i="4"/>
  <c r="N157" i="4"/>
  <c r="N177" i="4"/>
  <c r="N133" i="4"/>
  <c r="N140" i="4"/>
  <c r="N218" i="4"/>
  <c r="N100" i="4"/>
  <c r="N31" i="4"/>
  <c r="N118" i="4"/>
  <c r="N52" i="4"/>
  <c r="N151" i="4"/>
  <c r="N26" i="4"/>
  <c r="N107" i="4"/>
  <c r="T8" i="4" l="1"/>
  <c r="T3" i="4"/>
  <c r="T4" i="4"/>
  <c r="T5" i="4" l="1"/>
  <c r="T6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429D4F1-9CEA-C145-A073-B9B240CD7A90}" keepAlive="1" name="Query - ml_predictions_log_scores(1)" description="Connection to the 'ml_predictions_log_scores' query in the workbook." type="5" refreshedVersion="8" background="1" saveData="1">
    <dbPr connection="Provider=Microsoft.Mashup.OleDb.1;Data Source=$Workbook$;Location=ml_predictions_log_scores;Extended Properties=&quot;&quot;" command="SELECT * FROM [ml_predictions_log_scores]"/>
  </connection>
  <connection id="2" xr16:uid="{34AB1088-4939-A149-BD10-A91AACEF0B10}" keepAlive="1" name="Query - nhl_predictions_daily_migrated" description="Connection to the 'nhl_predictions_daily_migrated' query in the workbook." type="5" refreshedVersion="8" background="1" saveData="1">
    <dbPr connection="Provider=Microsoft.Mashup.OleDb.1;Data Source=$Workbook$;Location=nhl_predictions_daily_migrated;Extended Properties=&quot;&quot;" command="SELECT * FROM [nhl_predictions_daily_migrated]"/>
  </connection>
  <connection id="3" xr16:uid="{00000000-0015-0000-FFFF-FFFF00000000}" keepAlive="1" name="Query - NHL2025-26Results" description="Connection to the 'NHL2025-26Results' query in the workbook." type="5" refreshedVersion="8" background="1" saveData="1">
    <dbPr connection="Provider=Microsoft.Mashup.OleDb.1;Data Source=$Workbook$;Location=NHL2025-26Results;Extended Properties=&quot;&quot;" command="SELECT * FROM [NHL2025-26Results]"/>
  </connection>
</connections>
</file>

<file path=xl/sharedStrings.xml><?xml version="1.0" encoding="utf-8"?>
<sst xmlns="http://schemas.openxmlformats.org/spreadsheetml/2006/main" count="19496" uniqueCount="922">
  <si>
    <t>Date</t>
  </si>
  <si>
    <t>Time</t>
  </si>
  <si>
    <t>Visitor</t>
  </si>
  <si>
    <t>G</t>
  </si>
  <si>
    <t>Home</t>
  </si>
  <si>
    <t>G_1</t>
  </si>
  <si>
    <t>Winning Team</t>
  </si>
  <si>
    <t>Losing Team</t>
  </si>
  <si>
    <t>Winning_G</t>
  </si>
  <si>
    <t>Losing_G</t>
  </si>
  <si>
    <t>Chicago Blackhawks</t>
  </si>
  <si>
    <t>Florida Panthers</t>
  </si>
  <si>
    <t>Colorado Avalanche</t>
  </si>
  <si>
    <t>Los Angeles Kings</t>
  </si>
  <si>
    <t>Pittsburgh Penguins</t>
  </si>
  <si>
    <t>New York Rangers</t>
  </si>
  <si>
    <t>Calgary Flames</t>
  </si>
  <si>
    <t>Edmonton Oilers</t>
  </si>
  <si>
    <t>Montreal Canadiens</t>
  </si>
  <si>
    <t>Toronto Maple Leafs</t>
  </si>
  <si>
    <t>Vegas Golden Knights</t>
  </si>
  <si>
    <t>Boston Bruins</t>
  </si>
  <si>
    <t>Washington Capitals</t>
  </si>
  <si>
    <t>Buffalo Sabres</t>
  </si>
  <si>
    <t>New Jersey Devils</t>
  </si>
  <si>
    <t>Carolina Hurricanes</t>
  </si>
  <si>
    <t>Detroit Red Wings</t>
  </si>
  <si>
    <t>Philadelphia Flyers</t>
  </si>
  <si>
    <t>Columbus Blue Jackets</t>
  </si>
  <si>
    <t>Nashville Predators</t>
  </si>
  <si>
    <t>New York Islanders</t>
  </si>
  <si>
    <t>Anaheim Ducks</t>
  </si>
  <si>
    <t>Seattle Kraken</t>
  </si>
  <si>
    <t>San Jose Sharks</t>
  </si>
  <si>
    <t>Minnesota Wild</t>
  </si>
  <si>
    <t>St. Louis Blues</t>
  </si>
  <si>
    <t>Ottawa Senators</t>
  </si>
  <si>
    <t>Tampa Bay Lightning</t>
  </si>
  <si>
    <t>Vancouver Canucks</t>
  </si>
  <si>
    <t>Dallas Stars</t>
  </si>
  <si>
    <t>Winnipeg Jets</t>
  </si>
  <si>
    <t>HomeEdge</t>
  </si>
  <si>
    <t>Teams</t>
  </si>
  <si>
    <t>Rating</t>
  </si>
  <si>
    <t>Row Labels</t>
  </si>
  <si>
    <t>Grand Total</t>
  </si>
  <si>
    <t>HomeMargin</t>
  </si>
  <si>
    <t>HomeForecast</t>
  </si>
  <si>
    <t>Squared Difference</t>
  </si>
  <si>
    <t>SSE</t>
  </si>
  <si>
    <t>Home Differential</t>
  </si>
  <si>
    <t>Away Differential</t>
  </si>
  <si>
    <t>HomeIce Differential</t>
  </si>
  <si>
    <t>Predicted Winner</t>
  </si>
  <si>
    <t>Sum of Rating</t>
  </si>
  <si>
    <t>Utah Mammoth</t>
  </si>
  <si>
    <t>Team</t>
  </si>
  <si>
    <t>GP</t>
  </si>
  <si>
    <t>W</t>
  </si>
  <si>
    <t>L</t>
  </si>
  <si>
    <t/>
  </si>
  <si>
    <t>SO</t>
  </si>
  <si>
    <t>OT</t>
  </si>
  <si>
    <t>2025-12-13</t>
  </si>
  <si>
    <t>2025-12-14</t>
  </si>
  <si>
    <t>2025-12-15</t>
  </si>
  <si>
    <t>2025-12-16</t>
  </si>
  <si>
    <t>2025-12-17</t>
  </si>
  <si>
    <t>2025-12-18</t>
  </si>
  <si>
    <t>2025-12-19</t>
  </si>
  <si>
    <t>2025-12-20</t>
  </si>
  <si>
    <t>2025-12-21</t>
  </si>
  <si>
    <t>2025-12-22</t>
  </si>
  <si>
    <t>2025-12-23</t>
  </si>
  <si>
    <t>2025-12-27</t>
  </si>
  <si>
    <t>2025-12-28</t>
  </si>
  <si>
    <t>2025-12-29</t>
  </si>
  <si>
    <t>2025-12-30</t>
  </si>
  <si>
    <t>2025-12-31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</si>
  <si>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</si>
  <si>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</si>
  <si>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</si>
  <si>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</si>
  <si>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</si>
  <si>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</si>
  <si>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</si>
  <si>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</si>
  <si>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</si>
  <si>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</si>
  <si>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</si>
  <si>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</si>
  <si>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2026-01-13</t>
  </si>
  <si>
    <t>2026-01-14</t>
  </si>
  <si>
    <t>2026-01-15</t>
  </si>
  <si>
    <t>2026-01-16</t>
  </si>
  <si>
    <t>2026-01-17</t>
  </si>
  <si>
    <t>2026-01-18</t>
  </si>
  <si>
    <t>2026-01-19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</si>
  <si>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</si>
  <si>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</si>
  <si>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</si>
  <si>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</si>
  <si>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</si>
  <si>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</si>
  <si>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</si>
  <si>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</si>
  <si>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</si>
  <si>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</si>
  <si>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</si>
  <si>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2026-01-31</t>
  </si>
  <si>
    <t>2026-02-01</t>
  </si>
  <si>
    <t>2026-02-02</t>
  </si>
  <si>
    <t>2026-02-03</t>
  </si>
  <si>
    <t>2026-02-04</t>
  </si>
  <si>
    <t>2026-02-05</t>
  </si>
  <si>
    <t>2026-02-25</t>
  </si>
  <si>
    <t>2026-02-26</t>
  </si>
  <si>
    <t>2026-02-27</t>
  </si>
  <si>
    <t>2026-02-28</t>
  </si>
  <si>
    <t>2026-03-01</t>
  </si>
  <si>
    <t>2026-03-02</t>
  </si>
  <si>
    <t>2026-03-03</t>
  </si>
  <si>
    <t>2026-03-04</t>
  </si>
  <si>
    <t>2026-03-05</t>
  </si>
  <si>
    <t>2026-03-06</t>
  </si>
  <si>
    <t>2026-03-07</t>
  </si>
  <si>
    <t>2026-03-08</t>
  </si>
  <si>
    <t>2026-03-09</t>
  </si>
  <si>
    <t>2026-03-10</t>
  </si>
  <si>
    <t>2026-03-11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</si>
  <si>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</si>
  <si>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</si>
  <si>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</si>
  <si>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</si>
  <si>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</si>
  <si>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</si>
  <si>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</si>
  <si>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</si>
  <si>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2026-03-20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</si>
  <si>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</si>
  <si>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</si>
  <si>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</si>
  <si>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</si>
  <si>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</si>
  <si>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</si>
  <si>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</si>
  <si>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</si>
  <si>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</si>
  <si>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</si>
  <si>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</si>
  <si>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</si>
  <si>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</si>
  <si>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</si>
  <si>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</si>
  <si>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</si>
  <si>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</si>
  <si>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</si>
  <si>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</si>
  <si>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</si>
  <si>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2026-04-11</t>
  </si>
  <si>
    <t>2026-04-12</t>
  </si>
  <si>
    <t>2026-04-13</t>
  </si>
  <si>
    <t>2026-04-14</t>
  </si>
  <si>
    <t>2026-04-15</t>
  </si>
  <si>
    <t>2026-04-16</t>
  </si>
  <si>
    <t>OTL</t>
  </si>
  <si>
    <t>PTS</t>
  </si>
  <si>
    <t>AwayWin%</t>
  </si>
  <si>
    <t>HomeWins</t>
  </si>
  <si>
    <t>AwayWins</t>
  </si>
  <si>
    <t>HomeLoss</t>
  </si>
  <si>
    <t>AwayLoss</t>
  </si>
  <si>
    <t>HomeOTL</t>
  </si>
  <si>
    <t>AwayOTL</t>
  </si>
  <si>
    <t>HomeWin%</t>
  </si>
  <si>
    <t>Column1</t>
  </si>
  <si>
    <t>2025-10-07</t>
  </si>
  <si>
    <t>2025-10-08</t>
  </si>
  <si>
    <t>2025-10-09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</si>
  <si>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</si>
  <si>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</si>
  <si>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</si>
  <si>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</si>
  <si>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</si>
  <si>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</si>
  <si>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</si>
  <si>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</si>
  <si>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</si>
  <si>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</si>
  <si>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</si>
  <si>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</si>
  <si>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</si>
  <si>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</si>
  <si>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</si>
  <si>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</si>
  <si>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</si>
  <si>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</si>
  <si>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</si>
  <si>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</si>
  <si>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</si>
  <si>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</si>
  <si>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</si>
  <si>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</si>
  <si>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</si>
  <si>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</si>
  <si>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</si>
  <si>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</si>
  <si>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</si>
  <si>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</si>
  <si>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</si>
  <si>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</si>
  <si>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</si>
  <si>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</si>
  <si>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</si>
  <si>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</si>
  <si>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</si>
  <si>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</si>
  <si>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</si>
  <si>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</si>
  <si>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</si>
  <si>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</si>
  <si>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</si>
  <si>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</si>
  <si>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</si>
  <si>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</si>
  <si>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</si>
  <si>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2025-11-28</t>
  </si>
  <si>
    <t>2025-11-29</t>
  </si>
  <si>
    <t>2025-11-30</t>
  </si>
  <si>
    <t>2025-12-01</t>
  </si>
  <si>
    <t>2025-12-02</t>
  </si>
  <si>
    <t>2025-12-03</t>
  </si>
  <si>
    <t>2025-12-04</t>
  </si>
  <si>
    <t>2025-12-05</t>
  </si>
  <si>
    <t>2025-12-06</t>
  </si>
  <si>
    <t>2025-12-07</t>
  </si>
  <si>
    <t>2025-12-08</t>
  </si>
  <si>
    <t>2025-12-09</t>
  </si>
  <si>
    <t>2025-12-10</t>
  </si>
  <si>
    <t>2025-12-11</t>
  </si>
  <si>
    <t>2025-12-12</t>
  </si>
  <si>
    <t>Sum of HomeWin%</t>
  </si>
  <si>
    <t>Error</t>
  </si>
  <si>
    <t>Weight</t>
  </si>
  <si>
    <t>Strength of Win</t>
  </si>
  <si>
    <t>Locked Prediction</t>
  </si>
  <si>
    <t>Locked Correct</t>
  </si>
  <si>
    <t>Locked HomeIce Differential</t>
  </si>
  <si>
    <t>YES</t>
  </si>
  <si>
    <t>NO</t>
  </si>
  <si>
    <t>Mammoth</t>
  </si>
  <si>
    <t>Adjusted Correct</t>
  </si>
  <si>
    <t>Live Accuracy</t>
  </si>
  <si>
    <t>Locked Accuracy</t>
  </si>
  <si>
    <t>TEST Model</t>
  </si>
  <si>
    <t>Locked Strength of Win</t>
  </si>
  <si>
    <t>Home Goals per Game</t>
  </si>
  <si>
    <t>Away Goals per Game</t>
  </si>
  <si>
    <t>Home Goals Against</t>
  </si>
  <si>
    <t>Away Goals Against</t>
  </si>
  <si>
    <t>game_time</t>
  </si>
  <si>
    <t>home_team</t>
  </si>
  <si>
    <t>away_team</t>
  </si>
  <si>
    <t>ml_confidence</t>
  </si>
  <si>
    <t>excel_confidence</t>
  </si>
  <si>
    <t>actual_winner</t>
  </si>
  <si>
    <t>ml_correct</t>
  </si>
  <si>
    <t>excel_correct</t>
  </si>
  <si>
    <t>Range</t>
  </si>
  <si>
    <t>Count</t>
  </si>
  <si>
    <t>actual_home_score</t>
  </si>
  <si>
    <t>actual_away_score</t>
  </si>
  <si>
    <t>game_date</t>
  </si>
  <si>
    <t>matchup</t>
  </si>
  <si>
    <t>ml_winner</t>
  </si>
  <si>
    <t>ml_away_score</t>
  </si>
  <si>
    <t>ml_home_score</t>
  </si>
  <si>
    <t>ml_ot</t>
  </si>
  <si>
    <t>ml_ot_prob</t>
  </si>
  <si>
    <t>ml_result</t>
  </si>
  <si>
    <t>excel_winner</t>
  </si>
  <si>
    <t>excel_away_score</t>
  </si>
  <si>
    <t>excel_home_score</t>
  </si>
  <si>
    <t>excel_ot</t>
  </si>
  <si>
    <t>excel_homeice</t>
  </si>
  <si>
    <t>actual_ot</t>
  </si>
  <si>
    <t>game_status</t>
  </si>
  <si>
    <t>recorded_at</t>
  </si>
  <si>
    <t>updated_at</t>
  </si>
  <si>
    <t>10:00:00 PM</t>
  </si>
  <si>
    <t>Utah Mammoth @ Anaheim Ducks</t>
  </si>
  <si>
    <t>✓ Won by Anaheim Ducks</t>
  </si>
  <si>
    <t>COMPLETED</t>
  </si>
  <si>
    <t>7:00:00 PM</t>
  </si>
  <si>
    <t>Carolina Hurricanes @ Boston Bruins</t>
  </si>
  <si>
    <t>Edmonton Oilers @ Buffalo Sabres</t>
  </si>
  <si>
    <t>✓ Won by Buffalo Sabres</t>
  </si>
  <si>
    <t>7:30:00 PM</t>
  </si>
  <si>
    <t>Montreal Canadiens @ Columbus Blue Jackets</t>
  </si>
  <si>
    <t>Vancouver Canucks @ Florida Panthers</t>
  </si>
  <si>
    <t>Los Angeles Kings @ Washington Capitals</t>
  </si>
  <si>
    <t>8:30:00 PM</t>
  </si>
  <si>
    <t>Calgary Flames @ Chicago Blackhawks</t>
  </si>
  <si>
    <t>✓ Won by Chicago Blackhawks</t>
  </si>
  <si>
    <t>8:00:00 PM</t>
  </si>
  <si>
    <t>New York Islanders @ Dallas Stars</t>
  </si>
  <si>
    <t>Seattle Kraken @ Detroit Red Wings</t>
  </si>
  <si>
    <t>✓ Won by Detroit Red Wings</t>
  </si>
  <si>
    <t>Utah Mammoth @ San Jose Sharks</t>
  </si>
  <si>
    <t>✓ Won by San Jose Sharks</t>
  </si>
  <si>
    <t>New Jersey Devils @ Tampa Bay Lightning</t>
  </si>
  <si>
    <t>St. Louis Blues @ Toronto Maple Leafs</t>
  </si>
  <si>
    <t>✓ Won by Toronto Maple Leafs</t>
  </si>
  <si>
    <t>New York Rangers @ Vegas Golden Knights</t>
  </si>
  <si>
    <t>Columbus Blue Jackets @ Winnipeg Jets</t>
  </si>
  <si>
    <t>✓ Won by Winnipeg Jets</t>
  </si>
  <si>
    <t>Boston Bruins @ Anaheim Ducks</t>
  </si>
  <si>
    <t>Calgary Flames @ Buffalo Sabres</t>
  </si>
  <si>
    <t>9:30:00 PM</t>
  </si>
  <si>
    <t>Carolina Hurricanes @ Minnesota Wild</t>
  </si>
  <si>
    <t>Edmonton Oilers @ Washington Capitals</t>
  </si>
  <si>
    <t>✓ Won by Washington Capitals</t>
  </si>
  <si>
    <t>22:00:00</t>
  </si>
  <si>
    <t>Ottawa Senators @ Anaheim Ducks</t>
  </si>
  <si>
    <t>20:00:00</t>
  </si>
  <si>
    <t>Seattle Kraken @ Chicago Blackhawks</t>
  </si>
  <si>
    <t>21:00:00</t>
  </si>
  <si>
    <t>New York Rangers @ Colorado Avalanche</t>
  </si>
  <si>
    <t>19:00:00</t>
  </si>
  <si>
    <t>New York Islanders @ Detroit Red Wings</t>
  </si>
  <si>
    <t>New Jersey Devils @ Florida Panthers</t>
  </si>
  <si>
    <t>Washington Capitals @ Montreal Canadiens</t>
  </si>
  <si>
    <t>St. Louis Blues @ Philadelphia Flyers</t>
  </si>
  <si>
    <t>Los Angeles Kings @ San Jose Sharks</t>
  </si>
  <si>
    <t>19:30:00</t>
  </si>
  <si>
    <t>Edmonton Oilers @ Tampa Bay Lightning</t>
  </si>
  <si>
    <t>Columbus Blue Jackets @ Toronto Maple Leafs</t>
  </si>
  <si>
    <t>Vegas Golden Knights @ Utah Mammoth</t>
  </si>
  <si>
    <t>Dallas Stars @ Vancouver Canucks</t>
  </si>
  <si>
    <t>Chicago Blackhawks @ Buffalo Sabres</t>
  </si>
  <si>
    <t>22:30:00</t>
  </si>
  <si>
    <t>Boston Bruins @ Los Angeles Kings</t>
  </si>
  <si>
    <t>Minnesota Wild @ Pittsburgh Penguins</t>
  </si>
  <si>
    <t>✓ Won by Minnesota Wild</t>
  </si>
  <si>
    <t>Carolina Hurricanes @ Winnipeg Jets</t>
  </si>
  <si>
    <t>Vegas Golden Knights @ Anaheim Ducks</t>
  </si>
  <si>
    <t>Dallas Stars @ Calgary Flames</t>
  </si>
  <si>
    <t>13:00:00</t>
  </si>
  <si>
    <t>Columbus Blue Jackets @ Detroit Red Wings</t>
  </si>
  <si>
    <t>Edmonton Oilers @ Florida Panthers</t>
  </si>
  <si>
    <t>Toronto Maple Leafs @ Montreal Canadiens</t>
  </si>
  <si>
    <t>Colorado Avalanche @ Nashville Predators</t>
  </si>
  <si>
    <t>15:30:00</t>
  </si>
  <si>
    <t>St. Louis Blues @ New York Islanders</t>
  </si>
  <si>
    <t>New Jersey Devils @ Philadelphia Flyers</t>
  </si>
  <si>
    <t>Seattle Kraken @ Pittsburgh Penguins</t>
  </si>
  <si>
    <t>Ottawa Senators @ San Jose Sharks</t>
  </si>
  <si>
    <t>New York Rangers @ Utah Mammoth</t>
  </si>
  <si>
    <t>Tampa Bay Lightning @ Washington Capitals</t>
  </si>
  <si>
    <t>2025-11-23 11:29:50</t>
  </si>
  <si>
    <t>✓ Won by Montreal Canadiens</t>
  </si>
  <si>
    <t>✓ Won by Colorado Avalanche</t>
  </si>
  <si>
    <t>✓ Won by Utah Mammoth</t>
  </si>
  <si>
    <t>Carolina Hurricanes @ Buffalo Sabres</t>
  </si>
  <si>
    <t>Colorado Avalanche @ Chicago Blackhawks</t>
  </si>
  <si>
    <t>17:00:00</t>
  </si>
  <si>
    <t>Seattle Kraken @ New York Islanders</t>
  </si>
  <si>
    <t>Boston Bruins @ San Jose Sharks</t>
  </si>
  <si>
    <t>Calgary Flames @ Vancouver Canucks</t>
  </si>
  <si>
    <t>16:00:00</t>
  </si>
  <si>
    <t>Minnesota Wild @ Winnipeg Jets</t>
  </si>
  <si>
    <t>2025-11-24 11:01:13</t>
  </si>
  <si>
    <t>✓ Won by Calgary Flames</t>
  </si>
  <si>
    <t>Ottawa Senators @ Los Angeles Kings</t>
  </si>
  <si>
    <t>Detroit Red Wings @ New Jersey Devils</t>
  </si>
  <si>
    <t>Florida Panthers @ Nashville Predators</t>
  </si>
  <si>
    <t>St. Louis Blues @ New York Rangers</t>
  </si>
  <si>
    <t>Philadelphia Flyers @ Tampa Bay Lightning</t>
  </si>
  <si>
    <t>Columbus Blue Jackets @ Washington Capitals</t>
  </si>
  <si>
    <t>✗ Lost (predicted Boston Bruins, actual Carolina Hurricanes)</t>
  </si>
  <si>
    <t>✗ Lost (predicted Montreal Canadiens, actual Columbus Blue Jackets)</t>
  </si>
  <si>
    <t>✗ Lost (predicted Vancouver Canucks, actual Florida Panthers)</t>
  </si>
  <si>
    <t>✗ Lost (predicted Los Angeles Kings, actual Washington Capitals)</t>
  </si>
  <si>
    <t>✗ Lost (predicted Dallas Stars, actual New York Islanders)</t>
  </si>
  <si>
    <t>✗ Lost (predicted New Jersey Devils, actual Tampa Bay Lightning)</t>
  </si>
  <si>
    <t>✗ Lost (predicted New York Rangers, actual Vegas Golden Knights)</t>
  </si>
  <si>
    <t>✗ Lost (predicted Buffalo Sabres, actual Calgary Flames)</t>
  </si>
  <si>
    <t>✗ Lost (predicted Carolina Hurricanes, actual Minnesota Wild)</t>
  </si>
  <si>
    <t>✗ Lost (predicted Anaheim Ducks, actual Ottawa Senators)</t>
  </si>
  <si>
    <t>✗ Lost (predicted Chicago Blackhawks, actual Seattle Kraken)</t>
  </si>
  <si>
    <t>✗ Lost (predicted Detroit Red Wings, actual New York Islanders)</t>
  </si>
  <si>
    <t>✓ Won by Florida Panthers</t>
  </si>
  <si>
    <t>✗ Lost (predicted Montreal Canadiens, actual Washington Capitals)</t>
  </si>
  <si>
    <t>✓ Won by Philadelphia Flyers</t>
  </si>
  <si>
    <t>✗ Lost (predicted Los Angeles Kings, actual San Jose Sharks)</t>
  </si>
  <si>
    <t>✓ Won by Tampa Bay Lightning</t>
  </si>
  <si>
    <t>✗ Lost (predicted Toronto Maple Leafs, actual Columbus Blue Jackets)</t>
  </si>
  <si>
    <t>✗ Lost (predicted Utah Mammoth, actual Vegas Golden Knights)</t>
  </si>
  <si>
    <t>✓ Won by Dallas Stars</t>
  </si>
  <si>
    <t>✗ Lost (predicted Chicago Blackhawks, actual Buffalo Sabres)</t>
  </si>
  <si>
    <t>✗ Lost (predicted Los Angeles Kings, actual Boston Bruins)</t>
  </si>
  <si>
    <t>✗ Lost (predicted Winnipeg Jets, actual Carolina Hurricanes)</t>
  </si>
  <si>
    <t>✗ Lost (predicted Dallas Stars, actual Calgary Flames)</t>
  </si>
  <si>
    <t>✗ Lost (predicted Florida Panthers, actual Edmonton Oilers)</t>
  </si>
  <si>
    <t>✗ Lost (predicted New York Islanders, actual St. Louis Blues)</t>
  </si>
  <si>
    <t>✗ Lost (predicted New Jersey Devils, actual Philadelphia Flyers)</t>
  </si>
  <si>
    <t>✗ Lost (predicted Pittsburgh Penguins, actual Seattle Kraken)</t>
  </si>
  <si>
    <t>✗ Lost (predicted San Jose Sharks, actual Ottawa Senators)</t>
  </si>
  <si>
    <t>✗ Lost (predicted Washington Capitals, actual Tampa Bay Lightning)</t>
  </si>
  <si>
    <t>✗ Lost (predicted Carolina Hurricanes, actual Buffalo Sabres)</t>
  </si>
  <si>
    <t>✗ Lost (predicted Seattle Kraken, actual New York Islanders)</t>
  </si>
  <si>
    <t>✗ Lost (predicted Winnipeg Jets, actual Minnesota Wild)</t>
  </si>
  <si>
    <t>PENDING</t>
  </si>
  <si>
    <t>Vancouver Canucks @ Anaheim Ducks</t>
  </si>
  <si>
    <t>New York Rangers @ Carolina Hurricanes</t>
  </si>
  <si>
    <t>Toronto Maple Leafs @ Columbus Blue Jackets</t>
  </si>
  <si>
    <t>20:30:00</t>
  </si>
  <si>
    <t>Minnesota Wild @ Chicago Blackhawks</t>
  </si>
  <si>
    <t>San Jose Sharks @ Colorado Avalanche</t>
  </si>
  <si>
    <t>Nashville Predators @ Detroit Red Wings</t>
  </si>
  <si>
    <t>Philadelphia Flyers @ Florida Panthers</t>
  </si>
  <si>
    <t>St. Louis Blues @ New Jersey Devils</t>
  </si>
  <si>
    <t>Boston Bruins @ New York Islanders</t>
  </si>
  <si>
    <t>Buffalo Sabres @ Pittsburgh Penguins</t>
  </si>
  <si>
    <t>Dallas Stars @ Seattle Kraken</t>
  </si>
  <si>
    <t>Calgary Flames @ Tampa Bay Lightning</t>
  </si>
  <si>
    <t>21:30:00</t>
  </si>
  <si>
    <t>Montreal Canadiens @ Utah Mammoth</t>
  </si>
  <si>
    <t>Ottawa Senators @ Vegas Golden Knights</t>
  </si>
  <si>
    <t>Winnipeg Jets @ Washington Capitals</t>
  </si>
  <si>
    <t>2025-11-26 15:57:41</t>
  </si>
  <si>
    <t>Los Angeles Kings @ Anaheim Ducks</t>
  </si>
  <si>
    <t>2025-11-28 12:06:59</t>
  </si>
  <si>
    <t>New York Rangers @ Boston Bruins</t>
  </si>
  <si>
    <t>New Jersey Devils @ Buffalo Sabres</t>
  </si>
  <si>
    <t>Winnipeg Jets @ Carolina Hurricanes</t>
  </si>
  <si>
    <t>Pittsburgh Penguins @ Columbus Blue Jackets</t>
  </si>
  <si>
    <t>Nashville Predators @ Chicago Blackhawks</t>
  </si>
  <si>
    <t>Utah Mammoth @ Dallas Stars</t>
  </si>
  <si>
    <t>12:00:00</t>
  </si>
  <si>
    <t>Tampa Bay Lightning @ Detroit Red Wings</t>
  </si>
  <si>
    <t>Calgary Flames @ Florida Panthers</t>
  </si>
  <si>
    <t>Colorado Avalanche @ Minnesota Wild</t>
  </si>
  <si>
    <t>Philadelphia Flyers @ New York Islanders</t>
  </si>
  <si>
    <t>Vancouver Canucks @ San Jose Sharks</t>
  </si>
  <si>
    <t>Ottawa Senators @ St. Louis Blues</t>
  </si>
  <si>
    <t>Montreal Canadiens @ Vegas Golden Knights</t>
  </si>
  <si>
    <t>Toronto Maple Leafs @ Washington Capitals</t>
  </si>
  <si>
    <t>2025-11-29 12:05:06</t>
  </si>
  <si>
    <t>✓ Won by New Jersey Devils</t>
  </si>
  <si>
    <t>✓ Won by Carolina Hurricanes</t>
  </si>
  <si>
    <t>✓ Won by Pittsburgh Penguins</t>
  </si>
  <si>
    <t>Detroit Red Wings @ Boston Bruins</t>
  </si>
  <si>
    <t>15:00:00</t>
  </si>
  <si>
    <t>Montreal Canadiens @ Colorado Avalanche</t>
  </si>
  <si>
    <t>Vancouver Canucks @ Los Angeles Kings</t>
  </si>
  <si>
    <t>Buffalo Sabres @ Minnesota Wild</t>
  </si>
  <si>
    <t>Philadelphia Flyers @ New Jersey Devils</t>
  </si>
  <si>
    <t>Winnipeg Jets @ Nashville Predators</t>
  </si>
  <si>
    <t>14:00:00</t>
  </si>
  <si>
    <t>Tampa Bay Lightning @ New York Rangers</t>
  </si>
  <si>
    <t>Toronto Maple Leafs @ Pittsburgh Penguins</t>
  </si>
  <si>
    <t>Edmonton Oilers @ Seattle Kraken</t>
  </si>
  <si>
    <t>Utah Mammoth @ St. Louis Blues</t>
  </si>
  <si>
    <t>San Jose Sharks @ Vegas Golden Knights</t>
  </si>
  <si>
    <t>✓ Won by Boston Bruins</t>
  </si>
  <si>
    <t>2025-11-30 13:20:48</t>
  </si>
  <si>
    <t>Calgary Flames @ Carolina Hurricanes</t>
  </si>
  <si>
    <t>Anaheim Ducks @ Chicago Blackhawks</t>
  </si>
  <si>
    <t>18:00:00</t>
  </si>
  <si>
    <t>Ottawa Senators @ Dallas Stars</t>
  </si>
  <si>
    <t>Washington Capitals @ New York Islanders</t>
  </si>
  <si>
    <t>Winnipeg Jets @ Buffalo Sabres</t>
  </si>
  <si>
    <t>2025-12-01 18:51:40</t>
  </si>
  <si>
    <t>Columbus Blue Jackets @ New Jersey Devils</t>
  </si>
  <si>
    <t>Pittsburgh Penguins @ Philadelphia Flyers</t>
  </si>
  <si>
    <t>Anaheim Ducks @ St. Louis Blues</t>
  </si>
  <si>
    <t>2025-12-02 17:56:17</t>
  </si>
  <si>
    <t>Vancouver Canucks @ Colorado Avalanche</t>
  </si>
  <si>
    <t>Boston Bruins @ Detroit Red Wings</t>
  </si>
  <si>
    <t>Minnesota Wild @ Edmonton Oilers</t>
  </si>
  <si>
    <t>Toronto Maple Leafs @ Florida Panthers</t>
  </si>
  <si>
    <t>Washington Capitals @ Los Angeles Kings</t>
  </si>
  <si>
    <t>Ottawa Senators @ Montreal Canadiens</t>
  </si>
  <si>
    <t>Calgary Flames @ Nashville Predators</t>
  </si>
  <si>
    <t>Tampa Bay Lightning @ New York Islanders</t>
  </si>
  <si>
    <t>Dallas Stars @ New York Rangers</t>
  </si>
  <si>
    <t>Chicago Blackhawks @ Vegas Golden Knights</t>
  </si>
  <si>
    <t>Chicago Blackhawks @ Florida Panthers</t>
  </si>
  <si>
    <t>✗ Lost (predicted Chicago Blackhawks, actual Florida Panthers)</t>
  </si>
  <si>
    <t>0.0</t>
  </si>
  <si>
    <t>2025-12-02 19:36:51</t>
  </si>
  <si>
    <t>Colorado Avalanche @ Los Angeles Kings</t>
  </si>
  <si>
    <t>Pittsburgh Penguins @ New York Rangers</t>
  </si>
  <si>
    <t>Calgary Flames @ Edmonton Oilers</t>
  </si>
  <si>
    <t>✗ Lost (predicted Edmonton Oilers, actual Calgary Flames)</t>
  </si>
  <si>
    <t>1.0</t>
  </si>
  <si>
    <t>Montreal Canadiens @ Toronto Maple Leafs</t>
  </si>
  <si>
    <t>Los Angeles Kings @ Vegas Golden Knights</t>
  </si>
  <si>
    <t>✗ Lost (predicted Vegas Golden Knights, actual Los Angeles Kings)</t>
  </si>
  <si>
    <t>Boston Bruins @ Washington Capitals</t>
  </si>
  <si>
    <t>✗ Lost (predicted Washington Capitals, actual Boston Bruins)</t>
  </si>
  <si>
    <t>Columbus Blue Jackets @ Nashville Predators</t>
  </si>
  <si>
    <t>✗ Lost (predicted Columbus Blue Jackets, actual Nashville Predators)</t>
  </si>
  <si>
    <t>Dallas Stars @ Winnipeg Jets</t>
  </si>
  <si>
    <t>✓ Won by Vancouver Canucks</t>
  </si>
  <si>
    <t>Ottawa Senators @ Tampa Bay Lightning</t>
  </si>
  <si>
    <t>✗ Lost (predicted Tampa Bay Lightning, actual Ottawa Senators)</t>
  </si>
  <si>
    <t>Minnesota Wild @ St. Louis Blues</t>
  </si>
  <si>
    <t>Vegas Golden Knights @ San Jose Sharks</t>
  </si>
  <si>
    <t>✓ Won by Vegas Golden Knights</t>
  </si>
  <si>
    <t>Anaheim Ducks @ Seattle Kraken</t>
  </si>
  <si>
    <t>✗ Lost (predicted Anaheim Ducks, actual Seattle Kraken)</t>
  </si>
  <si>
    <t>New York Islanders @ Pittsburgh Penguins</t>
  </si>
  <si>
    <t>Utah Mammoth @ Colorado Avalanche</t>
  </si>
  <si>
    <t>Montreal Canadiens @ Detroit Red Wings</t>
  </si>
  <si>
    <t>New Jersey Devils @ Carolina Hurricanes</t>
  </si>
  <si>
    <t>New York Rangers @ Buffalo Sabres</t>
  </si>
  <si>
    <t>✓ Won by New York Rangers</t>
  </si>
  <si>
    <t>Chicago Blackhawks @ Boston Bruins</t>
  </si>
  <si>
    <t>Dallas Stars @ Colorado Avalanche</t>
  </si>
  <si>
    <t>✗ Lost (predicted Colorado Avalanche, actual Dallas Stars)</t>
  </si>
  <si>
    <t>Toronto Maple Leafs @ Detroit Red Wings</t>
  </si>
  <si>
    <t>✗ Lost (predicted Toronto Maple Leafs, actual Detroit Red Wings)</t>
  </si>
  <si>
    <t>St. Louis Blues @ Calgary Flames</t>
  </si>
  <si>
    <t>✗ Lost (predicted Calgary Flames, actual St. Louis Blues)</t>
  </si>
  <si>
    <t>Utah Mammoth @ Nashville Predators</t>
  </si>
  <si>
    <t>Buffalo Sabres @ Boston Bruins</t>
  </si>
  <si>
    <t>Vancouver Canucks @ Edmonton Oilers</t>
  </si>
  <si>
    <t>✓ Won by Edmonton Oilers</t>
  </si>
  <si>
    <t>Philadelphia Flyers @ Carolina Hurricanes</t>
  </si>
  <si>
    <t>Ottawa Senators @ Florida Panthers</t>
  </si>
  <si>
    <t>Montreal Canadiens @ Chicago Blackhawks</t>
  </si>
  <si>
    <t>✗ Lost (predicted Chicago Blackhawks, actual Montreal Canadiens)</t>
  </si>
  <si>
    <t>New York Rangers @ Pittsburgh Penguins</t>
  </si>
  <si>
    <t>✗ Lost (predicted Pittsburgh Penguins, actual New York Rangers)</t>
  </si>
  <si>
    <t>Vegas Golden Knights @ Seattle Kraken</t>
  </si>
  <si>
    <t>✗ Lost (predicted Vegas Golden Knights, actual Seattle Kraken)</t>
  </si>
  <si>
    <t>Anaheim Ducks @ San Jose Sharks</t>
  </si>
  <si>
    <t>Columbus Blue Jackets @ Minnesota Wild</t>
  </si>
  <si>
    <t>✗ Lost (predicted Minnesota Wild, actual Columbus Blue Jackets)</t>
  </si>
  <si>
    <t>✗ Lost (predicted Tampa Bay Lightning, actual New Jersey Devils)</t>
  </si>
  <si>
    <t>13:30:00</t>
  </si>
  <si>
    <t>Los Angeles Kings @ Winnipeg Jets</t>
  </si>
  <si>
    <t>Washington Capitals @ New York Rangers</t>
  </si>
  <si>
    <t>St. Louis Blues @ Vancouver Canucks</t>
  </si>
  <si>
    <t>✗ Lost (predicted Vancouver Canucks, actual St. Louis Blues)</t>
  </si>
  <si>
    <t>Detroit Red Wings @ Toronto Maple Leafs</t>
  </si>
  <si>
    <t>Florida Panthers @ Philadelphia Flyers</t>
  </si>
  <si>
    <t>Nashville Predators @ Ottawa Senators</t>
  </si>
  <si>
    <t>✗ Lost (predicted Ottawa Senators, actual Nashville Predators)</t>
  </si>
  <si>
    <t>Winnipeg Jets @ New York Islanders</t>
  </si>
  <si>
    <t>✗ Lost (predicted New York Islanders, actual Winnipeg Jets)</t>
  </si>
  <si>
    <t>New Jersey Devils @ Columbus Blue Jackets</t>
  </si>
  <si>
    <t>Utah Mammoth @ Chicago Blackhawks</t>
  </si>
  <si>
    <t>12:30:00</t>
  </si>
  <si>
    <t>Colorado Avalanche @ Buffalo Sabres</t>
  </si>
  <si>
    <t>Tampa Bay Lightning @ Boston Bruins</t>
  </si>
  <si>
    <t>Los Angeles Kings @ Minnesota Wild</t>
  </si>
  <si>
    <t>Carolina Hurricanes @ San Jose Sharks</t>
  </si>
  <si>
    <t>Nashville Predators @ Toronto Maple Leafs</t>
  </si>
  <si>
    <t>✗ Lost (predicted Tampa Bay Lightning, actual Washington Capitals)</t>
  </si>
  <si>
    <t>Edmonton Oilers @ New York Rangers</t>
  </si>
  <si>
    <t>✗ Lost (predicted New York Rangers, actual Edmonton Oilers)</t>
  </si>
  <si>
    <t>Vegas Golden Knights @ Calgary Flames</t>
  </si>
  <si>
    <t>Minnesota Wild @ Dallas Stars</t>
  </si>
  <si>
    <t>Pittsburgh Penguins @ Anaheim Ducks</t>
  </si>
  <si>
    <t>Seattle Kraken @ Montreal Canadiens</t>
  </si>
  <si>
    <t>Chicago Blackhawks @ St. Louis Blues</t>
  </si>
  <si>
    <t>Calgary Flames @ Utah Mammoth</t>
  </si>
  <si>
    <t>Ottawa Senators @ Buffalo Sabres</t>
  </si>
  <si>
    <t>Florida Panthers @ Detroit Red Wings</t>
  </si>
  <si>
    <t>✗ Lost (predicted Florida Panthers, actual Detroit Red Wings)</t>
  </si>
  <si>
    <t>Colorado Avalanche @ Columbus Blue Jackets</t>
  </si>
  <si>
    <t>Vancouver Canucks @ Dallas Stars</t>
  </si>
  <si>
    <t>✗ Lost (predicted Dallas Stars, actual Vancouver Canucks)</t>
  </si>
  <si>
    <t>Boston Bruins @ Vegas Golden Knights</t>
  </si>
  <si>
    <t>Nashville Predators @ Montreal Canadiens</t>
  </si>
  <si>
    <t>Florida Panthers @ New Jersey Devils</t>
  </si>
  <si>
    <t>Edmonton Oilers @ New York Islanders</t>
  </si>
  <si>
    <t>✓ Won by New York Islanders</t>
  </si>
  <si>
    <t>Seattle Kraken @ Ottawa Senators</t>
  </si>
  <si>
    <t>✓ Won by Ottawa Senators</t>
  </si>
  <si>
    <t>Winnipeg Jets @ Philadelphia Flyers</t>
  </si>
  <si>
    <t>New York Rangers @ Toronto Maple Leafs</t>
  </si>
  <si>
    <t>✗ Lost (predicted New York Rangers, actual Toronto Maple Leafs)</t>
  </si>
  <si>
    <t>Pittsburgh Penguins @ Los Angeles Kings</t>
  </si>
  <si>
    <t>Carolina Hurricanes @ Anaheim Ducks</t>
  </si>
  <si>
    <t>Vancouver Canucks @ Chicago Blackhawks</t>
  </si>
  <si>
    <t>✗ Lost (predicted Chicago Blackhawks, actual Vancouver Canucks)</t>
  </si>
  <si>
    <t>Minnesota Wild @ Washington Capitals</t>
  </si>
  <si>
    <t>San Jose Sharks @ Utah Mammoth</t>
  </si>
  <si>
    <t>✗ Lost (predicted Tampa Bay Lightning, actual Detroit Red Wings)</t>
  </si>
  <si>
    <t>Florida Panthers @ Buffalo Sabres</t>
  </si>
  <si>
    <t>✗ Lost (predicted Florida Panthers, actual Buffalo Sabres)</t>
  </si>
  <si>
    <t>Tampa Bay Lightning @ Columbus Blue Jackets</t>
  </si>
  <si>
    <t>✗ Lost (predicted Tampa Bay Lightning, actual Columbus Blue Jackets)</t>
  </si>
  <si>
    <t>Boston Bruins @ Colorado Avalanche</t>
  </si>
  <si>
    <t>Carolina Hurricanes @ Los Angeles Kings</t>
  </si>
  <si>
    <t>New York Rangers @ Montreal Canadiens</t>
  </si>
  <si>
    <t>Edmonton Oilers @ New Jersey Devils</t>
  </si>
  <si>
    <t>New York Islanders @ Ottawa Senators</t>
  </si>
  <si>
    <t>Minnesota Wild @ Philadelphia Flyers</t>
  </si>
  <si>
    <t>✗ Lost (predicted Minnesota Wild, actual Philadelphia Flyers)</t>
  </si>
  <si>
    <t>Pittsburgh Penguins @ San Jose Sharks</t>
  </si>
  <si>
    <t>Dallas Stars @ St. Louis Blues</t>
  </si>
  <si>
    <t>✗ Lost (predicted Dallas Stars, actual St. Louis Blues)</t>
  </si>
  <si>
    <t>Seattle Kraken @ Toronto Maple Leafs</t>
  </si>
  <si>
    <t>✗ Lost (predicted Toronto Maple Leafs, actual Seattle Kraken)</t>
  </si>
  <si>
    <t>Calgary Flames @ Vegas Golden Knights</t>
  </si>
  <si>
    <t>Nashville Predators @ Winnipeg Jets</t>
  </si>
  <si>
    <t>✗ Lost (predicted Anaheim Ducks, actual Chicago Blackhawks)</t>
  </si>
  <si>
    <t>Edmonton Oilers @ Detroit Red Wings</t>
  </si>
  <si>
    <t>✗ Lost (predicted Edmonton Oilers, actual Detroit Red Wings)</t>
  </si>
  <si>
    <t>Boston Bruins @ Utah Mammoth</t>
  </si>
  <si>
    <t>✗ Lost (predicted Boston Bruins, actual Utah Mammoth)</t>
  </si>
  <si>
    <t>Vancouver Canucks @ Washington Capitals</t>
  </si>
  <si>
    <t>✗ Lost (predicted Washington Capitals, actual Vancouver Canucks)</t>
  </si>
  <si>
    <t>Winnipeg Jets @ Calgary Flames</t>
  </si>
  <si>
    <t>Buffalo Sabres @ Montreal Canadiens</t>
  </si>
  <si>
    <t>✗ Lost (predicted Buffalo Sabres, actual Montreal Canadiens)</t>
  </si>
  <si>
    <t>Minnesota Wild @ New York Rangers</t>
  </si>
  <si>
    <t>Seattle Kraken @ Philadelphia Flyers</t>
  </si>
  <si>
    <t>Carolina Hurricanes @ Vegas Golden Knights</t>
  </si>
  <si>
    <t>✗ Lost (predicted Carolina Hurricanes, actual Vegas Golden Knights)</t>
  </si>
  <si>
    <t>Colorado Avalanche @ Utah Mammoth</t>
  </si>
  <si>
    <t>✗ Lost (predicted Colorado Avalanche, actual Utah Mammoth)</t>
  </si>
  <si>
    <t>Los Angeles Kings @ St. Louis Blues</t>
  </si>
  <si>
    <t>✓ Won by Los Angeles Kings</t>
  </si>
  <si>
    <t>Vancouver Canucks @ Pittsburgh Penguins</t>
  </si>
  <si>
    <t>Edmonton Oilers @ Ottawa Senators</t>
  </si>
  <si>
    <t>✗ Lost (predicted Ottawa Senators, actual Edmonton Oilers)</t>
  </si>
  <si>
    <t>Columbus Blue Jackets @ Dallas Stars</t>
  </si>
  <si>
    <t>✗ Lost (predicted Dallas Stars, actual Columbus Blue Jackets)</t>
  </si>
  <si>
    <t>Anaheim Ducks @ Nashville Predators</t>
  </si>
  <si>
    <t>Seattle Kraken @ Washington Capitals</t>
  </si>
  <si>
    <t>Florida Panthers @ Boston Bruins</t>
  </si>
  <si>
    <t>✗ Lost (predicted Boston Bruins, actual Florida Panthers)</t>
  </si>
  <si>
    <t>San Jose Sharks @ New York Islanders</t>
  </si>
  <si>
    <t>New Jersey Devils @ Toronto Maple Leafs</t>
  </si>
  <si>
    <t>Minnesota Wild @ New Jersey Devils</t>
  </si>
  <si>
    <t>Montreal Canadiens @ Calgary Flames</t>
  </si>
  <si>
    <t>Detroit Red Wings @ Buffalo Sabres</t>
  </si>
  <si>
    <t>Carolina Hurricanes @ Colorado Avalanche</t>
  </si>
  <si>
    <t>✗ Lost (predicted Colorado Avalanche, actual Carolina Hurricanes)</t>
  </si>
  <si>
    <t>Anaheim Ducks @ Boston Bruins</t>
  </si>
  <si>
    <t>18:45:00</t>
  </si>
  <si>
    <t>Chicago Blackhawks @ Tampa Bay Lightning</t>
  </si>
  <si>
    <t>✗ Lost (predicted Tampa Bay Lightning, actual Chicago Blackhawks)</t>
  </si>
  <si>
    <t>Philadelphia Flyers @ Ottawa Senators</t>
  </si>
  <si>
    <t>✗ Lost (predicted Philadelphia Flyers, actual Ottawa Senators)</t>
  </si>
  <si>
    <t>Seattle Kraken @ Winnipeg Jets</t>
  </si>
  <si>
    <t>✗ Lost (predicted Winnipeg Jets, actual Seattle Kraken)</t>
  </si>
  <si>
    <t>Detroit Red Wings @ New York Islanders</t>
  </si>
  <si>
    <t>Vancouver Canucks @ Nashville Predators</t>
  </si>
  <si>
    <t>✗ Lost (predicted Vancouver Canucks, actual Nashville Predators)</t>
  </si>
  <si>
    <t>Pittsburgh Penguins @ Florida Panthers</t>
  </si>
  <si>
    <t>Montreal Canadiens @ Edmonton Oilers</t>
  </si>
  <si>
    <t>✗ Lost (predicted Montreal Canadiens, actual Edmonton Oilers)</t>
  </si>
  <si>
    <t>Los Angeles Kings @ Dallas Stars</t>
  </si>
  <si>
    <t>✗ Lost (predicted Dallas Stars, actual Los Angeles Kings)</t>
  </si>
  <si>
    <t>San Jose Sharks @ New York Rangers</t>
  </si>
  <si>
    <t>✗ Lost (predicted New York Rangers, actual San Jose Sharks)</t>
  </si>
  <si>
    <t>Toronto Maple Leafs @ Buffalo Sabres</t>
  </si>
  <si>
    <t>Washington Capitals @ Columbus Blue Jackets</t>
  </si>
  <si>
    <t>San Jose Sharks @ New Jersey Devils</t>
  </si>
  <si>
    <t>Calgary Flames @ Winnipeg Jets</t>
  </si>
  <si>
    <t>Anaheim Ducks @ Tampa Bay Lightning</t>
  </si>
  <si>
    <t>Ottawa Senators @ Washington Capitals</t>
  </si>
  <si>
    <t>✗ Lost (predicted Washington Capitals, actual Ottawa Senators)</t>
  </si>
  <si>
    <t>Montreal Canadiens @ Vancouver Canucks</t>
  </si>
  <si>
    <t>Buffalo Sabres @ Toronto Maple Leafs</t>
  </si>
  <si>
    <t>✗ Lost (predicted Buffalo Sabres, actual Toronto Maple Leafs)</t>
  </si>
  <si>
    <t>✓ Won by Seattle Kraken</t>
  </si>
  <si>
    <t>Carolina Hurricanes @ Dallas Stars</t>
  </si>
  <si>
    <t>New York Islanders @ Philadelphia Flyers</t>
  </si>
  <si>
    <t>✗ Lost (predicted New York Islanders, actual Philadelphia Flyers)</t>
  </si>
  <si>
    <t>Los Angeles Kings @ Nashville Predators</t>
  </si>
  <si>
    <t>✗ Lost (predicted Los Angeles Kings, actual Nashville Predators)</t>
  </si>
  <si>
    <t>Utah Mammoth @ Minnesota Wild</t>
  </si>
  <si>
    <t>✗ Lost (predicted Minnesota Wild, actual Utah Mammoth)</t>
  </si>
  <si>
    <t>Vegas Golden Knights @ Florida Panthers</t>
  </si>
  <si>
    <t>✗ Lost (predicted Vegas Golden Knights, actual Florida Panthers)</t>
  </si>
  <si>
    <t>St. Louis Blues @ Detroit Red Wings</t>
  </si>
  <si>
    <t>Columbus Blue Jackets @ Pittsburgh Penguins</t>
  </si>
  <si>
    <t>✗ Lost (predicted Pittsburgh Penguins, actual Columbus Blue Jackets)</t>
  </si>
  <si>
    <t>Colorado Avalanche @ Boston Bruins</t>
  </si>
  <si>
    <t>✗ Lost (predicted Colorado Avalanche, actual Boston Bruins)</t>
  </si>
  <si>
    <t>Edmonton Oilers @ Vancouver Canucks</t>
  </si>
  <si>
    <t>✗ Lost (predicted Edmonton Oilers, actual Vancouver Canucks)</t>
  </si>
  <si>
    <t>Vegas Golden Knights @ Tampa Bay Lightning</t>
  </si>
  <si>
    <t>Utah Mammoth @ Winnipeg Jets</t>
  </si>
  <si>
    <t>✗ Lost (predicted Winnipeg Jets, actual Utah Mammoth)</t>
  </si>
  <si>
    <t>Colorado Avalanche @ New Jersey Devils</t>
  </si>
  <si>
    <t>✗ Lost (predicted Colorado Avalanche, actual New Jersey Devils)</t>
  </si>
  <si>
    <t>San Jose Sharks @ Minnesota Wild</t>
  </si>
  <si>
    <t>✗ Lost (predicted Minnesota Wild, actual San Jose Sharks)</t>
  </si>
  <si>
    <t>Los Angeles Kings @ Chicago Blackhawks</t>
  </si>
  <si>
    <t>✗ Lost (predicted Chicago Blackhawks, actual Los Angeles Kings)</t>
  </si>
  <si>
    <t>Dallas Stars @ Nashville Predators</t>
  </si>
  <si>
    <t>New York Rangers @ Calgary Flames</t>
  </si>
  <si>
    <t>✗ Lost (predicted New York Rangers, actual Calgary Flames)</t>
  </si>
  <si>
    <t>Boston Bruins @ Ottawa Senators</t>
  </si>
  <si>
    <t>✗ Lost (predicted Boston Bruins, actual Ottawa Senators)</t>
  </si>
  <si>
    <t>St. Louis Blues @ Pittsburgh Penguins</t>
  </si>
  <si>
    <t>New York Rangers @ Vancouver Canucks</t>
  </si>
  <si>
    <t>18:15:00</t>
  </si>
  <si>
    <t>Calgary Flames @ Toronto Maple Leafs</t>
  </si>
  <si>
    <t>20:15:00</t>
  </si>
  <si>
    <t>Detroit Red Wings @ St. Louis Blues</t>
  </si>
  <si>
    <t>Montreal Canadiens @ Seattle Kraken</t>
  </si>
  <si>
    <t>✗ Lost (predicted Pittsburgh Penguins, actual Philadelphia Flyers)</t>
  </si>
  <si>
    <t>19:45:00</t>
  </si>
  <si>
    <t>Tampa Bay Lightning @ Nashville Predators</t>
  </si>
  <si>
    <t>Winnipeg Jets @ Minnesota Wild</t>
  </si>
  <si>
    <t>✗ Lost (predicted Minnesota Wild, actual Winnipeg Jets)</t>
  </si>
  <si>
    <t>23:00:00</t>
  </si>
  <si>
    <t>Washington Capitals @ Dallas Stars</t>
  </si>
  <si>
    <t>Utah Mammoth @ Edmonton Oilers</t>
  </si>
  <si>
    <t>✗ Lost (predicted Utah Mammoth, actual Edmonton Oilers)</t>
  </si>
  <si>
    <t>19:15:00</t>
  </si>
  <si>
    <t>New York Islanders @ Boston Bruins</t>
  </si>
  <si>
    <t>Columbus Blue Jackets @ Buffalo Sabres</t>
  </si>
  <si>
    <t>✗ Lost (predicted Buffalo Sabres, actual Columbus Blue Jackets)</t>
  </si>
  <si>
    <t>Anaheim Ducks @ Florida Panthers</t>
  </si>
  <si>
    <t>18:30:00</t>
  </si>
  <si>
    <t>Vegas Golden Knights @ Carolina Hurricanes</t>
  </si>
  <si>
    <t>20:45:00</t>
  </si>
  <si>
    <t>Ottawa Senators @ Chicago Blackhawks</t>
  </si>
  <si>
    <t>New Jersey Devils @ Colorado Avalanche</t>
  </si>
  <si>
    <t>✓ Won by Columbus Blue Jackets</t>
  </si>
  <si>
    <t>Chicago Blackhawks @ Winnipeg Jets</t>
  </si>
  <si>
    <t>✗ Lost (predicted Chicago Blackhawks, actual Winnipeg Jets)</t>
  </si>
  <si>
    <t>Dallas Stars @ Tampa Bay Lightning</t>
  </si>
  <si>
    <t>Vancouver Canucks @ St. Louis Blues</t>
  </si>
  <si>
    <t>New Jersey Devils @ San Jose Sharks</t>
  </si>
  <si>
    <t>✗ Lost (predicted New Jersey Devils, actual San Jose Sharks)</t>
  </si>
  <si>
    <t>Nashville Predators @ Philadelphia Flyers</t>
  </si>
  <si>
    <t>Calgary Flames @ Ottawa Senators</t>
  </si>
  <si>
    <t>Pittsburgh Penguins @ Minnesota Wild</t>
  </si>
  <si>
    <t>✗ Lost (predicted Minnesota Wild, actual Pittsburgh Penguins)</t>
  </si>
  <si>
    <t>New York Rangers @ Edmonton Oilers</t>
  </si>
  <si>
    <t>New York Islanders @ Carolina Hurricanes</t>
  </si>
  <si>
    <t>Detroit Red Wings @ Los Angeles Kings</t>
  </si>
  <si>
    <t>✗ Lost (predicted Los Angeles Kings, actual Detroit Red Wings)</t>
  </si>
  <si>
    <t>Detroit Red Wings @ Anaheim Ducks</t>
  </si>
  <si>
    <t>Colorado Avalanche @ Vegas Golden Knights</t>
  </si>
  <si>
    <t>New York Islanders @ Washington Capitals</t>
  </si>
  <si>
    <t>✗ Lost (predicted Washington Capitals, actual New York Islanders)</t>
  </si>
  <si>
    <t>✗ Lost (predicted Carolina Hurricanes, actual Boston Bruins)</t>
  </si>
  <si>
    <t>St. Louis Blues @ Columbus Blue Jackets</t>
  </si>
  <si>
    <t>Chicago Blackhawks @ Edmonton Oilers</t>
  </si>
  <si>
    <t>✗ Lost (predicted Chicago Blackhawks, actual Edmonton Oilers)</t>
  </si>
  <si>
    <t>Dallas Stars @ Florida Panthers</t>
  </si>
  <si>
    <t>✗ Lost (predicted Dallas Stars, actual Florida Panthers)</t>
  </si>
  <si>
    <t>New Jersey Devils @ Los Angeles Kings</t>
  </si>
  <si>
    <t>Vancouver Canucks @ Minnesota Wild</t>
  </si>
  <si>
    <t>✗ Lost (predicted Ottawa Senators, actual Montreal Canadiens)</t>
  </si>
  <si>
    <t>✗ Lost (predicted Calgary Flames, actual Nashville Predators)</t>
  </si>
  <si>
    <t>Toronto Maple Leafs @ Philadelphia Flyers</t>
  </si>
  <si>
    <t>✗ Lost (predicted Philadelphia Flyers, actual Toronto Maple Leafs)</t>
  </si>
  <si>
    <t>New York Rangers @ Seattle Kraken</t>
  </si>
  <si>
    <t>Colorado Avalanche @ San Jose Sharks</t>
  </si>
  <si>
    <t>✗ Lost (predicted Colorado Avalanche, actual San Jose Sharks)</t>
  </si>
  <si>
    <t>Pittsburgh Penguins @ Winnipeg Jets</t>
  </si>
  <si>
    <t>✗ Lost (predicted Pittsburgh Penguins, actual Winnipeg Jets)</t>
  </si>
  <si>
    <t>Washington Capitals @ Buffalo Sabres</t>
  </si>
  <si>
    <t>✗ Lost (predicted Washington Capitals, actual Buffalo Sabres)</t>
  </si>
  <si>
    <t>Tampa Bay Lightning @ Utah Mammoth</t>
  </si>
  <si>
    <t>Detroit Red Wings @ San Jose Sharks</t>
  </si>
  <si>
    <t>✗ Lost (predicted San Jose Sharks, actual Detroit Red Wings)</t>
  </si>
  <si>
    <t>Columbus Blue Jackets @ New York Islanders</t>
  </si>
  <si>
    <t>New Jersey Devils @ Anaheim Ducks</t>
  </si>
  <si>
    <t>Calgary Flames @ Philadelphia Flyers</t>
  </si>
  <si>
    <t>✗ Lost (predicted Philadelphia Flyers, actual Calgary Flames)</t>
  </si>
  <si>
    <t>Chicago Blackhawks @ Seattle Kraken</t>
  </si>
  <si>
    <t>Edmonton Oilers @ St. Louis Blues</t>
  </si>
  <si>
    <t>✗ Lost (predicted Edmonton Oilers, actual St. Louis Blues)</t>
  </si>
  <si>
    <t>Pittsburgh Penguins @ Toronto Maple Leafs</t>
  </si>
  <si>
    <t>✗ Lost (predicted Pittsburgh Penguins, actual Toronto Maple Leafs)</t>
  </si>
  <si>
    <t>✗ Lost (predicted New York Islanders, actual Boston Bruins)</t>
  </si>
  <si>
    <t>Detroit Red Wings @ Vegas Golden Knights</t>
  </si>
  <si>
    <t>Carolina Hurricanes @ New York Rangers</t>
  </si>
  <si>
    <t>Philadelphia Flyers @ Montreal Canadiens</t>
  </si>
  <si>
    <t>Edmonton Oilers @ Dallas Stars</t>
  </si>
  <si>
    <t>Winnipeg Jets @ Los Angeles Kings</t>
  </si>
  <si>
    <t>Tampa Bay Lightning @ Colorado Avalanche</t>
  </si>
  <si>
    <t>Utah Mammoth @ Buffalo Sabres</t>
  </si>
  <si>
    <t>Florida Panthers @ Anaheim Ducks</t>
  </si>
  <si>
    <t>Nashville Predators @ Minnesota Wild</t>
  </si>
  <si>
    <t>Columbus Blue Jackets @ Calgary Flames</t>
  </si>
  <si>
    <t>✗ Lost (predicted Columbus Blue Jackets, actual Calgary Flames)</t>
  </si>
  <si>
    <t>San Jose Sharks @ Seattle Kraken</t>
  </si>
  <si>
    <t>Utah Mammoth @ Toronto Maple Leafs</t>
  </si>
  <si>
    <t>✗ Lost (predicted Utah Mammoth, actual Toronto Maple Leafs)</t>
  </si>
  <si>
    <t>Chicago Blackhawks @ Vancouver Canucks</t>
  </si>
  <si>
    <t>St. Louis Blues @ Washington Capitals</t>
  </si>
  <si>
    <t>Tampa Bay Lightning @ Vegas Golden Knights</t>
  </si>
  <si>
    <t>Washington Capitals @ Pittsburgh Penguins</t>
  </si>
  <si>
    <t>✗ Lost (predicted Washington Capitals, actual Pittsburgh Penguins)</t>
  </si>
  <si>
    <t>Philadelphia Flyers @ Nashville Predators</t>
  </si>
  <si>
    <t>Montreal Canadiens @ New Jersey Devils</t>
  </si>
  <si>
    <t>Florida Panthers @ Los Angeles Kings</t>
  </si>
  <si>
    <t>✗ Lost (predicted Los Angeles Kings, actual Florida Panthers)</t>
  </si>
  <si>
    <t>Anaheim Ducks @ Dallas Stars</t>
  </si>
  <si>
    <t>✗ Lost (predicted Dallas Stars, actual Anaheim Ducks)</t>
  </si>
  <si>
    <t>Minnesota Wild @ Carolina Hurricanes</t>
  </si>
  <si>
    <t>St. Louis Blues @ Buffalo Sabres</t>
  </si>
  <si>
    <t>✗ Lost (predicted Buffalo Sabres, actual St. Louis Blues)</t>
  </si>
  <si>
    <t>Ottawa Senators @ Boston Bruins</t>
  </si>
  <si>
    <t>Chicago Blackhawks @ Calgary Flames</t>
  </si>
  <si>
    <t>New York Rangers @ Detroit Red Wings</t>
  </si>
  <si>
    <t>Minnesota Wild @ New York Islanders</t>
  </si>
  <si>
    <t>Winnipeg Jets @ San Jose Sharks</t>
  </si>
  <si>
    <t>✗ Lost (predicted Winnipeg Jets, actual San Jose Sharks)</t>
  </si>
  <si>
    <t>Columbus Blue Jackets @ Vancouver Canucks</t>
  </si>
  <si>
    <t>✗ Lost (predicted Columbus Blue Jackets, actual Vancouver Canucks)</t>
  </si>
  <si>
    <t>Boston Bruins @ Toronto Maple Leafs</t>
  </si>
  <si>
    <t>Washington Capitals @ Tampa Bay Lightning</t>
  </si>
  <si>
    <t>Seattle Kraken @ St. Louis Blues</t>
  </si>
  <si>
    <t>Florida Panthers @ San Jose Sharks</t>
  </si>
  <si>
    <t>✗ Lost (predicted Florida Panthers, actual San Jose Sharks)</t>
  </si>
  <si>
    <t>Anaheim Ducks @ Vegas Golden Knights</t>
  </si>
  <si>
    <t>New York Islanders @ New York Rangers</t>
  </si>
  <si>
    <t>✗ Lost (predicted New York Rangers, actual New York Islanders)</t>
  </si>
  <si>
    <t>Pittsburgh Penguins @ New Jersey Devils</t>
  </si>
  <si>
    <t>Utah Mammoth @ Montreal Canadiens</t>
  </si>
  <si>
    <t>✗ Lost (predicted Utah Mammoth, actual Montreal Canadiens)</t>
  </si>
  <si>
    <t>Colorado Avalanche @ Edmonton Oilers</t>
  </si>
  <si>
    <t>Ottawa Senators @ Philadelphia Flyers</t>
  </si>
  <si>
    <t>Buffalo Sabres @ Carolina Hurricanes</t>
  </si>
  <si>
    <t>Colorado Avalanche @ Vancouver Canucks</t>
  </si>
  <si>
    <t>Carolina Hurricanes @ Toronto Maple Leafs</t>
  </si>
  <si>
    <t>Los Angeles Kings @ Pittsburgh Penguins</t>
  </si>
  <si>
    <t>✗ Lost (predicted Pittsburgh Penguins, actual Los Angeles Kings)</t>
  </si>
  <si>
    <t>Calgary Flames @ Minnesota Wild</t>
  </si>
  <si>
    <t>Chicago Blackhawks @ Detroit Red Wings</t>
  </si>
  <si>
    <t>Seattle Kraken @ Dallas Stars</t>
  </si>
  <si>
    <t>Winnipeg Jets @ Anaheim Ducks</t>
  </si>
  <si>
    <t>Utah Mammoth @ Ottawa Senators</t>
  </si>
  <si>
    <t>✗ Lost (predicted Utah Mammoth, actual Ottawa Senators)</t>
  </si>
  <si>
    <t>Columbus Blue Jackets @ Edmonton Oilers</t>
  </si>
  <si>
    <t>✗ Lost (predicted Columbus Blue Jackets, actual Edmonton Oilers)</t>
  </si>
  <si>
    <t>New York Islanders @ New Jersey Devils</t>
  </si>
  <si>
    <t>✗ Lost (predicted New Jersey Devils, actual New York Islanders)</t>
  </si>
  <si>
    <t>Nashville Predators @ New York Rangers</t>
  </si>
  <si>
    <t>Florida Panthers @ Vegas Golden Knights</t>
  </si>
  <si>
    <t>Calgary Flames @ St. Louis Blues</t>
  </si>
  <si>
    <t>Winnipeg Jets @ Vancouver Canucks</t>
  </si>
  <si>
    <t>Columbus Blue Jackets @ Seattle Kraken</t>
  </si>
  <si>
    <t>Toronto Maple Leafs @ Boston Bruins</t>
  </si>
  <si>
    <t>Los Angeles Kings @ Montreal Canadiens</t>
  </si>
  <si>
    <t>Anaheim Ducks @ Colorado Avalanche</t>
  </si>
  <si>
    <t>Dallas Stars @ Ottawa Senators</t>
  </si>
  <si>
    <t>Washington Capitals @ Carolina Hurricanes</t>
  </si>
  <si>
    <t>✗ Lost (predicted Carolina Hurricanes, actual Washington Capitals)</t>
  </si>
  <si>
    <t>New Jersey Devils @ Chicago Blackhawks</t>
  </si>
  <si>
    <t>Edmonton Oilers @ Philadelphia Flyers</t>
  </si>
  <si>
    <t>✗ Lost (predicted Philadelphia Flyers, actual Edmonton Oilers)</t>
  </si>
  <si>
    <t>New York Rangers @ Tampa Bay Lightning</t>
  </si>
  <si>
    <t>✗ Lost (predicted Tampa Bay Lightning, actual New York Rangers)</t>
  </si>
  <si>
    <t>Buffalo Sabres @ Utah Mammoth</t>
  </si>
  <si>
    <t>New York Islanders @ Vegas Golden Knights</t>
  </si>
  <si>
    <t>✗ Lost (predicted Vegas Golden Knights, actual New York Islanders)</t>
  </si>
  <si>
    <t>Los Angeles Kings @ Toronto Maple Leafs</t>
  </si>
  <si>
    <t>Winnipeg Jets @ Seattle Kraken</t>
  </si>
  <si>
    <t>San Jose Sharks @ Calgary Flames</t>
  </si>
  <si>
    <t>✗ Lost (predicted San Jose Sharks, actual Calgary Flames)</t>
  </si>
  <si>
    <t>Washington Capitals @ Florida Panthers</t>
  </si>
  <si>
    <t>✗ Lost (predicted Washington Capitals, actual Florida Panthers)</t>
  </si>
  <si>
    <t>Anaheim Ducks @ Detroit Red Wings</t>
  </si>
  <si>
    <t>✗ Lost (predicted Anaheim Ducks, actual Detroit Red Wings)</t>
  </si>
  <si>
    <t>Buffalo Sabres @ Colorado Avalanche</t>
  </si>
  <si>
    <t>Dallas Stars @ Montreal Canadiens</t>
  </si>
  <si>
    <t>Edmonton Oilers @ Columbus Blue Jackets</t>
  </si>
  <si>
    <t>New York Islanders @ Utah Mammoth</t>
  </si>
  <si>
    <t>Pittsburgh Penguins @ Nashville Predators</t>
  </si>
  <si>
    <t>✗ Lost (predicted Pittsburgh Penguins, actual Nashville Predators)</t>
  </si>
  <si>
    <t>Philadelphia Flyers @ St. Louis Blues</t>
  </si>
  <si>
    <t>Vancouver Canucks @ Carolina Hurricanes</t>
  </si>
  <si>
    <t>New Jersey Devils @ Washington Capitals</t>
  </si>
  <si>
    <t>✗ Lost (predicted Washington Capitals, actual New Jersey Devils)</t>
  </si>
  <si>
    <t>Vegas Golden Knights @ St. Louis Blues</t>
  </si>
  <si>
    <t>✗ Lost (predicted San Jose Sharks, actual Seattle Kraken)</t>
  </si>
  <si>
    <t>Boston Bruins @ Montreal Canadiens</t>
  </si>
  <si>
    <t>Anaheim Ducks @ Minnesota Wild</t>
  </si>
  <si>
    <t>✗ Lost (predicted Anaheim Ducks, actual Minnesota Wild)</t>
  </si>
  <si>
    <t>Los Angeles Kings @ Ottawa Senators</t>
  </si>
  <si>
    <t>Philadelphia Flyers @ Dallas Stars</t>
  </si>
  <si>
    <t>Toronto Maple Leafs @ Chicago Blackhawks</t>
  </si>
  <si>
    <t>New York Rangers @ Columbus Blue Jackets</t>
  </si>
  <si>
    <t>Edmonton Oilers @ Carolina Hurricanes</t>
  </si>
  <si>
    <t>✗ Lost (predicted Carolina Hurricanes, actual Edmonton Oilers)</t>
  </si>
  <si>
    <t>Buffalo Sabres @ Detroit Red Wings</t>
  </si>
  <si>
    <t>Tampa Bay Lightning @ Florida Panthers</t>
  </si>
  <si>
    <t>New York Islanders @ Colorado Avalanche</t>
  </si>
  <si>
    <t>Vegas Golden Knights @ Minnesota Wild</t>
  </si>
  <si>
    <t>Detroit Red Wings @ New York Rangers</t>
  </si>
  <si>
    <t>✗ Lost (predicted New York Rangers, actual Detroit Red Wings)</t>
  </si>
  <si>
    <t>09:00:00</t>
  </si>
  <si>
    <t>Nashville Predators @ Pittsburgh Penguins</t>
  </si>
  <si>
    <t>Vancouver Canucks @ Tampa Bay Lightning</t>
  </si>
  <si>
    <t>✗ Lost (predicted Tampa Bay Lightning, actual Vancouver Canucks)</t>
  </si>
  <si>
    <t>✗ Lost (predicted Ottawa Senators, actual Los Angeles Kings)</t>
  </si>
  <si>
    <t>Dallas Stars @ Edmonton Oilers</t>
  </si>
  <si>
    <t>✗ Lost (predicted Detroit Red Wings, actual Nashville Predators)</t>
  </si>
  <si>
    <t>✗ Lost (predicted Anaheim Ducks, actual Vancouver Canucks)</t>
  </si>
  <si>
    <t>✗ Lost (predicted Seattle Kraken, actual Dallas Stars)</t>
  </si>
  <si>
    <t>✗ Lost (predicted Florida Panthers, actual Philadelphia Flyers)</t>
  </si>
  <si>
    <t>✗ Lost (predicted Columbus Blue Jackets, actual Toronto Maple Leafs)</t>
  </si>
  <si>
    <t>✗ Lost (predicted Ottawa Senators, actual St. Louis Blues)</t>
  </si>
  <si>
    <t>✗ Lost (predicted Colorado Avalanche, actual Minnesota Wild)</t>
  </si>
  <si>
    <t>✗ Lost (predicted Boston Bruins, actual New York Rangers)</t>
  </si>
  <si>
    <t>✗ Lost (predicted Florida Panthers, actual Calgary Flames)</t>
  </si>
  <si>
    <t>✗ Lost (predicted Chicago Blackhawks, actual Nashville Predators)</t>
  </si>
  <si>
    <t>✗ Lost (predicted Utah Mammoth, actual St. Louis Blues)</t>
  </si>
  <si>
    <t>✗ Lost (predicted San Jose Sharks, actual Vegas Golden Knights)</t>
  </si>
  <si>
    <t>✗ Lost (predicted Minnesota Wild, actual Buffalo Sabres)</t>
  </si>
  <si>
    <t>✗ Lost (predicted Vancouver Canucks, actual Los Angeles Kings)</t>
  </si>
  <si>
    <t>✗ Lost (predicted Seattle Kraken, actual Edmonton Oilers)</t>
  </si>
  <si>
    <t>✗ Lost (predicted New Jersey Devils, actual Columbus Blue Jackets)</t>
  </si>
  <si>
    <t>✗ Lost (predicted Philadelphia Flyers, actual Pittsburgh Penguins)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</si>
</sst>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0.0%"/>
  </numFmts>
  <fonts count="8" x14ac:knownFonts="1"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family val="2"/>
      <scheme val="minor"/>
    </font>
    <font>
      <sz val="12"/>
      <color rgb="FF374151"/>
      <name val="Aptos Narrow"/>
      <scheme val="minor"/>
    </font>
    <font>
      <sz val="8"/>
      <name val="Aptos Narrow"/>
      <family val="2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9"/>
      </left>
      <right style="thin">
        <color theme="9"/>
      </right>
      <top/>
      <bottom style="thin">
        <color theme="9" tint="0.39997558519241921"/>
      </bottom>
      <diagonal/>
    </border>
    <border>
      <left/>
      <right style="thin">
        <color theme="9"/>
      </right>
      <top/>
      <bottom style="thin">
        <color theme="9" tint="0.39997558519241921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1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3" fillId="0" borderId="0" xfId="0" applyFont="1"/>
    <xf numFmtId="0" fontId="0" fillId="0" borderId="0" xfId="0" applyAlignment="1">
      <alignment horizontal="left"/>
    </xf>
    <xf numFmtId="0" fontId="0" fillId="0" borderId="0" xfId="0" pivotButton="1"/>
    <xf numFmtId="0" fontId="2" fillId="0" borderId="1" xfId="0" applyFont="1" applyBorder="1"/>
    <xf numFmtId="0" fontId="2" fillId="0" borderId="2" xfId="0" applyFont="1" applyBorder="1"/>
    <xf numFmtId="0" fontId="1" fillId="0" borderId="0" xfId="0" applyFont="1"/>
    <xf numFmtId="0" fontId="2" fillId="0" borderId="0" xfId="0" applyFont="1"/>
    <xf numFmtId="0" fontId="5" fillId="0" borderId="0" xfId="0" applyFont="1"/>
    <xf numFmtId="9" fontId="0" fillId="0" borderId="0" xfId="1" applyFont="1"/>
    <xf numFmtId="10" fontId="0" fillId="0" borderId="0" xfId="0" applyNumberFormat="1"/>
    <xf numFmtId="165" fontId="0" fillId="0" borderId="0" xfId="1" applyNumberFormat="1" applyFont="1"/>
    <xf numFmtId="2" fontId="0" fillId="0" borderId="0" xfId="0" applyNumberFormat="1"/>
    <xf numFmtId="2" fontId="0" fillId="0" borderId="0" xfId="1" applyNumberFormat="1" applyFont="1"/>
    <xf numFmtId="9" fontId="7" fillId="0" borderId="0" xfId="0" applyNumberFormat="1" applyFont="1"/>
    <xf numFmtId="9" fontId="0" fillId="0" borderId="0" xfId="0" applyNumberFormat="1"/>
    <xf numFmtId="165" fontId="0" fillId="0" borderId="0" xfId="0" applyNumberFormat="1"/>
    <xf numFmtId="0" fontId="0" fillId="0" borderId="0" xfId="0" applyAlignment="1">
      <alignment horizontal="center"/>
    </xf>
    <xf numFmtId="0" fontId="0" fillId="0" borderId="0" xfId="0" applyNumberFormat="1"/>
  </cellXfs>
  <cellStyles count="2">
    <cellStyle name="Normal" xfId="0" builtinId="0"/>
    <cellStyle name="Percent" xfId="1" builtinId="5"/>
  </cellStyles>
  <dxfs count="8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0.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0.0%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5" formatCode="0.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3" formatCode="0%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4" formatCode="[$-F400]h:mm:ss\ AM/PM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9" formatCode="m/d/yy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border outline="0">
        <top style="thin">
          <color theme="9" tint="0.39997558519241921"/>
        </top>
      </border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 outline="0">
        <left style="thin">
          <color theme="9"/>
        </left>
        <right style="thin">
          <color theme="9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5970.392827083335" createdVersion="8" refreshedVersion="8" minRefreshableVersion="3" recordCount="32" xr:uid="{08FE906C-B966-1C47-96E4-36DEA2271602}">
  <cacheSource type="worksheet">
    <worksheetSource name="Table1"/>
  </cacheSource>
  <cacheFields count="14">
    <cacheField name="Team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GP" numFmtId="0">
      <sharedItems containsSemiMixedTypes="0" containsString="0" containsNumber="1" containsInteger="1" minValue="13" maxValue="16"/>
    </cacheField>
    <cacheField name="W" numFmtId="0">
      <sharedItems containsSemiMixedTypes="0" containsString="0" containsNumber="1" containsInteger="1" minValue="4" maxValue="10"/>
    </cacheField>
    <cacheField name="L" numFmtId="0">
      <sharedItems containsSemiMixedTypes="0" containsString="0" containsNumber="1" containsInteger="1" minValue="1" maxValue="10"/>
    </cacheField>
    <cacheField name="OTL" numFmtId="0">
      <sharedItems containsSemiMixedTypes="0" containsString="0" containsNumber="1" containsInteger="1" minValue="0" maxValue="5"/>
    </cacheField>
    <cacheField name="PTS" numFmtId="0">
      <sharedItems containsSemiMixedTypes="0" containsString="0" containsNumber="1" containsInteger="1" minValue="10" maxValue="21"/>
    </cacheField>
    <cacheField name="HomeWins" numFmtId="0">
      <sharedItems containsSemiMixedTypes="0" containsString="0" containsNumber="1" containsInteger="1" minValue="0" maxValue="7"/>
    </cacheField>
    <cacheField name="HomeLoss" numFmtId="0">
      <sharedItems containsSemiMixedTypes="0" containsString="0" containsNumber="1" containsInteger="1" minValue="0" maxValue="5"/>
    </cacheField>
    <cacheField name="HomeOTL" numFmtId="0">
      <sharedItems containsSemiMixedTypes="0" containsString="0" containsNumber="1" containsInteger="1" minValue="0" maxValue="3"/>
    </cacheField>
    <cacheField name="AwayWins" numFmtId="0">
      <sharedItems containsSemiMixedTypes="0" containsString="0" containsNumber="1" containsInteger="1" minValue="0" maxValue="7"/>
    </cacheField>
    <cacheField name="AwayLoss" numFmtId="0">
      <sharedItems containsSemiMixedTypes="0" containsString="0" containsNumber="1" containsInteger="1" minValue="1" maxValue="6"/>
    </cacheField>
    <cacheField name="AwayOTL" numFmtId="0">
      <sharedItems containsSemiMixedTypes="0" containsString="0" containsNumber="1" containsInteger="1" minValue="0" maxValue="3"/>
    </cacheField>
    <cacheField name="HomeWin%" numFmtId="9">
      <sharedItems containsSemiMixedTypes="0" containsString="0" containsNumber="1" minValue="0" maxValue="1"/>
    </cacheField>
    <cacheField name="AwayWin%" numFmtId="9">
      <sharedItems containsSemiMixedTypes="0" containsString="0" containsNumber="1" minValue="0" maxValue="0.7777777777777777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5978.574677430559" createdVersion="8" refreshedVersion="8" minRefreshableVersion="3" recordCount="32" xr:uid="{351FAC1D-E8D9-6C41-93C8-9C8200E5A023}">
  <cacheSource type="worksheet">
    <worksheetSource ref="A6:B38" sheet="NHL Model"/>
  </cacheSource>
  <cacheFields count="2">
    <cacheField name="Teams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Rating" numFmtId="0">
      <sharedItems containsSemiMixedTypes="0" containsString="0" containsNumber="1" minValue="-1.6211574240381006" maxValue="1.547501359148976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13"/>
    <n v="9"/>
    <n v="3"/>
    <n v="1"/>
    <n v="19"/>
    <n v="4"/>
    <n v="1"/>
    <n v="0"/>
    <n v="5"/>
    <n v="2"/>
    <n v="1"/>
    <n v="0.8"/>
    <n v="0.625"/>
  </r>
  <r>
    <x v="1"/>
    <n v="16"/>
    <n v="9"/>
    <n v="7"/>
    <n v="0"/>
    <n v="18"/>
    <n v="7"/>
    <n v="3"/>
    <n v="0"/>
    <n v="2"/>
    <n v="4"/>
    <n v="0"/>
    <n v="0.7"/>
    <n v="0.33333333333333331"/>
  </r>
  <r>
    <x v="2"/>
    <n v="14"/>
    <n v="5"/>
    <n v="5"/>
    <n v="4"/>
    <n v="14"/>
    <n v="5"/>
    <n v="3"/>
    <n v="2"/>
    <n v="0"/>
    <n v="2"/>
    <n v="2"/>
    <n v="0.5"/>
    <n v="0"/>
  </r>
  <r>
    <x v="3"/>
    <n v="16"/>
    <n v="4"/>
    <n v="10"/>
    <n v="2"/>
    <n v="10"/>
    <n v="2"/>
    <n v="4"/>
    <n v="1"/>
    <n v="2"/>
    <n v="6"/>
    <n v="1"/>
    <n v="0.2857142857142857"/>
    <n v="0.22222222222222221"/>
  </r>
  <r>
    <x v="4"/>
    <n v="13"/>
    <n v="9"/>
    <n v="4"/>
    <n v="0"/>
    <n v="18"/>
    <n v="4"/>
    <n v="1"/>
    <n v="0"/>
    <n v="5"/>
    <n v="3"/>
    <n v="0"/>
    <n v="0.8"/>
    <n v="0.625"/>
  </r>
  <r>
    <x v="5"/>
    <n v="15"/>
    <n v="7"/>
    <n v="5"/>
    <n v="3"/>
    <n v="17"/>
    <n v="3"/>
    <n v="2"/>
    <n v="1"/>
    <n v="4"/>
    <n v="3"/>
    <n v="2"/>
    <n v="0.5"/>
    <n v="0.44444444444444442"/>
  </r>
  <r>
    <x v="6"/>
    <n v="14"/>
    <n v="8"/>
    <n v="1"/>
    <n v="5"/>
    <n v="21"/>
    <n v="4"/>
    <n v="0"/>
    <n v="2"/>
    <n v="4"/>
    <n v="1"/>
    <n v="3"/>
    <n v="0.66666666666666663"/>
    <n v="0.5"/>
  </r>
  <r>
    <x v="7"/>
    <n v="13"/>
    <n v="7"/>
    <n v="6"/>
    <n v="0"/>
    <n v="14"/>
    <n v="3"/>
    <n v="3"/>
    <n v="0"/>
    <n v="4"/>
    <n v="3"/>
    <n v="0"/>
    <n v="0.5"/>
    <n v="0.5714285714285714"/>
  </r>
  <r>
    <x v="8"/>
    <n v="14"/>
    <n v="7"/>
    <n v="4"/>
    <n v="3"/>
    <n v="17"/>
    <n v="4"/>
    <n v="3"/>
    <n v="1"/>
    <n v="3"/>
    <n v="1"/>
    <n v="2"/>
    <n v="0.5"/>
    <n v="0.5"/>
  </r>
  <r>
    <x v="9"/>
    <n v="15"/>
    <n v="9"/>
    <n v="6"/>
    <n v="0"/>
    <n v="18"/>
    <n v="5"/>
    <n v="2"/>
    <n v="0"/>
    <n v="4"/>
    <n v="4"/>
    <n v="0"/>
    <n v="0.7142857142857143"/>
    <n v="0.5"/>
  </r>
  <r>
    <x v="10"/>
    <n v="15"/>
    <n v="6"/>
    <n v="5"/>
    <n v="4"/>
    <n v="16"/>
    <n v="4"/>
    <n v="0"/>
    <n v="2"/>
    <n v="2"/>
    <n v="5"/>
    <n v="2"/>
    <n v="0.66666666666666663"/>
    <n v="0.22222222222222221"/>
  </r>
  <r>
    <x v="11"/>
    <n v="14"/>
    <n v="7"/>
    <n v="6"/>
    <n v="1"/>
    <n v="15"/>
    <n v="5"/>
    <n v="1"/>
    <n v="1"/>
    <n v="2"/>
    <n v="5"/>
    <n v="0"/>
    <n v="0.7142857142857143"/>
    <n v="0.2857142857142857"/>
  </r>
  <r>
    <x v="12"/>
    <n v="15"/>
    <n v="6"/>
    <n v="5"/>
    <n v="4"/>
    <n v="16"/>
    <n v="1"/>
    <n v="4"/>
    <n v="2"/>
    <n v="5"/>
    <n v="1"/>
    <n v="2"/>
    <n v="0.14285714285714285"/>
    <n v="0.625"/>
  </r>
  <r>
    <x v="13"/>
    <n v="16"/>
    <n v="6"/>
    <n v="7"/>
    <n v="3"/>
    <n v="15"/>
    <n v="3"/>
    <n v="3"/>
    <n v="2"/>
    <n v="3"/>
    <n v="4"/>
    <n v="1"/>
    <n v="0.375"/>
    <n v="0.375"/>
  </r>
  <r>
    <x v="14"/>
    <n v="14"/>
    <n v="9"/>
    <n v="3"/>
    <n v="2"/>
    <n v="20"/>
    <n v="4"/>
    <n v="1"/>
    <n v="1"/>
    <n v="5"/>
    <n v="2"/>
    <n v="1"/>
    <n v="0.66666666666666663"/>
    <n v="0.625"/>
  </r>
  <r>
    <x v="15"/>
    <n v="16"/>
    <n v="5"/>
    <n v="7"/>
    <n v="4"/>
    <n v="14"/>
    <n v="4"/>
    <n v="4"/>
    <n v="2"/>
    <n v="1"/>
    <n v="3"/>
    <n v="2"/>
    <n v="0.4"/>
    <n v="0.16666666666666666"/>
  </r>
  <r>
    <x v="16"/>
    <n v="14"/>
    <n v="10"/>
    <n v="4"/>
    <n v="0"/>
    <n v="20"/>
    <n v="6"/>
    <n v="0"/>
    <n v="0"/>
    <n v="4"/>
    <n v="4"/>
    <n v="0"/>
    <n v="1"/>
    <n v="0.5"/>
  </r>
  <r>
    <x v="17"/>
    <n v="14"/>
    <n v="6"/>
    <n v="6"/>
    <n v="2"/>
    <n v="14"/>
    <n v="4"/>
    <n v="3"/>
    <n v="1"/>
    <n v="2"/>
    <n v="3"/>
    <n v="1"/>
    <n v="0.5"/>
    <n v="0.33333333333333331"/>
  </r>
  <r>
    <x v="18"/>
    <n v="15"/>
    <n v="7"/>
    <n v="6"/>
    <n v="2"/>
    <n v="16"/>
    <n v="0"/>
    <n v="5"/>
    <n v="1"/>
    <n v="7"/>
    <n v="1"/>
    <n v="1"/>
    <n v="0"/>
    <n v="0.77777777777777779"/>
  </r>
  <r>
    <x v="19"/>
    <n v="14"/>
    <n v="6"/>
    <n v="5"/>
    <n v="3"/>
    <n v="15"/>
    <n v="4"/>
    <n v="2"/>
    <n v="1"/>
    <n v="2"/>
    <n v="3"/>
    <n v="2"/>
    <n v="0.5714285714285714"/>
    <n v="0.2857142857142857"/>
  </r>
  <r>
    <x v="20"/>
    <n v="14"/>
    <n v="8"/>
    <n v="5"/>
    <n v="1"/>
    <n v="17"/>
    <n v="6"/>
    <n v="3"/>
    <n v="0"/>
    <n v="2"/>
    <n v="2"/>
    <n v="1"/>
    <n v="0.66666666666666663"/>
    <n v="0.4"/>
  </r>
  <r>
    <x v="21"/>
    <n v="15"/>
    <n v="9"/>
    <n v="4"/>
    <n v="2"/>
    <n v="20"/>
    <n v="4"/>
    <n v="1"/>
    <n v="1"/>
    <n v="5"/>
    <n v="3"/>
    <n v="1"/>
    <n v="0.66666666666666663"/>
    <n v="0.55555555555555558"/>
  </r>
  <r>
    <x v="22"/>
    <n v="15"/>
    <n v="6"/>
    <n v="6"/>
    <n v="3"/>
    <n v="15"/>
    <n v="3"/>
    <n v="3"/>
    <n v="3"/>
    <n v="3"/>
    <n v="3"/>
    <n v="0"/>
    <n v="0.33333333333333331"/>
    <n v="0.5"/>
  </r>
  <r>
    <x v="23"/>
    <n v="13"/>
    <n v="6"/>
    <n v="3"/>
    <n v="4"/>
    <n v="16"/>
    <n v="4"/>
    <n v="1"/>
    <n v="2"/>
    <n v="2"/>
    <n v="2"/>
    <n v="2"/>
    <n v="0.5714285714285714"/>
    <n v="0.33333333333333331"/>
  </r>
  <r>
    <x v="24"/>
    <n v="15"/>
    <n v="5"/>
    <n v="8"/>
    <n v="2"/>
    <n v="12"/>
    <n v="2"/>
    <n v="4"/>
    <n v="2"/>
    <n v="3"/>
    <n v="4"/>
    <n v="0"/>
    <n v="0.25"/>
    <n v="0.42857142857142855"/>
  </r>
  <r>
    <x v="25"/>
    <n v="14"/>
    <n v="7"/>
    <n v="5"/>
    <n v="2"/>
    <n v="16"/>
    <n v="3"/>
    <n v="3"/>
    <n v="0"/>
    <n v="4"/>
    <n v="2"/>
    <n v="2"/>
    <n v="0.5"/>
    <n v="0.5"/>
  </r>
  <r>
    <x v="26"/>
    <n v="14"/>
    <n v="8"/>
    <n v="5"/>
    <n v="1"/>
    <n v="17"/>
    <n v="7"/>
    <n v="2"/>
    <n v="1"/>
    <n v="1"/>
    <n v="3"/>
    <n v="0"/>
    <n v="0.7"/>
    <n v="0.25"/>
  </r>
  <r>
    <x v="27"/>
    <n v="14"/>
    <n v="9"/>
    <n v="5"/>
    <n v="0"/>
    <n v="18"/>
    <n v="4"/>
    <n v="1"/>
    <n v="0"/>
    <n v="5"/>
    <n v="4"/>
    <n v="0"/>
    <n v="0.8"/>
    <n v="0.55555555555555558"/>
  </r>
  <r>
    <x v="28"/>
    <n v="15"/>
    <n v="7"/>
    <n v="8"/>
    <n v="0"/>
    <n v="14"/>
    <n v="2"/>
    <n v="4"/>
    <n v="0"/>
    <n v="5"/>
    <n v="4"/>
    <n v="0"/>
    <n v="0.33333333333333331"/>
    <n v="0.55555555555555558"/>
  </r>
  <r>
    <x v="29"/>
    <n v="13"/>
    <n v="7"/>
    <n v="3"/>
    <n v="3"/>
    <n v="17"/>
    <n v="4"/>
    <n v="2"/>
    <n v="1"/>
    <n v="3"/>
    <n v="1"/>
    <n v="2"/>
    <n v="0.5714285714285714"/>
    <n v="0.5"/>
  </r>
  <r>
    <x v="30"/>
    <n v="14"/>
    <n v="7"/>
    <n v="6"/>
    <n v="1"/>
    <n v="15"/>
    <n v="4"/>
    <n v="4"/>
    <n v="0"/>
    <n v="3"/>
    <n v="2"/>
    <n v="1"/>
    <n v="0.5"/>
    <n v="0.5"/>
  </r>
  <r>
    <x v="31"/>
    <n v="14"/>
    <n v="9"/>
    <n v="5"/>
    <n v="0"/>
    <n v="18"/>
    <n v="5"/>
    <n v="3"/>
    <n v="0"/>
    <n v="4"/>
    <n v="2"/>
    <n v="0"/>
    <n v="0.625"/>
    <n v="0.6666666666666666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0.51775546328552802"/>
  </r>
  <r>
    <x v="1"/>
    <n v="4.029141914856392E-2"/>
  </r>
  <r>
    <x v="2"/>
    <n v="-0.8683412362501769"/>
  </r>
  <r>
    <x v="3"/>
    <n v="-1.3903684122795328"/>
  </r>
  <r>
    <x v="4"/>
    <n v="0.67193921242367816"/>
  </r>
  <r>
    <x v="5"/>
    <n v="0.30570968833820172"/>
  </r>
  <r>
    <x v="6"/>
    <n v="1.5475013591489768"/>
  </r>
  <r>
    <x v="7"/>
    <n v="-0.40822279081308277"/>
  </r>
  <r>
    <x v="8"/>
    <n v="0.19809534061227302"/>
  </r>
  <r>
    <x v="9"/>
    <n v="-0.513643833119658"/>
  </r>
  <r>
    <x v="10"/>
    <n v="-0.61980804137564283"/>
  </r>
  <r>
    <x v="11"/>
    <n v="-0.28105923893144158"/>
  </r>
  <r>
    <x v="12"/>
    <n v="-7.5459708298993802E-2"/>
  </r>
  <r>
    <x v="13"/>
    <n v="-0.53650300840565446"/>
  </r>
  <r>
    <x v="14"/>
    <n v="-0.52437726201848234"/>
  </r>
  <r>
    <x v="15"/>
    <n v="-1.3516250707060606"/>
  </r>
  <r>
    <x v="16"/>
    <n v="0.559441163373953"/>
  </r>
  <r>
    <x v="17"/>
    <n v="-6.4729560818359025E-2"/>
  </r>
  <r>
    <x v="18"/>
    <n v="-0.30719665303039001"/>
  </r>
  <r>
    <x v="19"/>
    <n v="-0.40651947573390851"/>
  </r>
  <r>
    <x v="20"/>
    <n v="-0.51358590497437617"/>
  </r>
  <r>
    <x v="21"/>
    <n v="0.26289091192875702"/>
  </r>
  <r>
    <x v="22"/>
    <n v="-0.39418177254008485"/>
  </r>
  <r>
    <x v="23"/>
    <n v="-0.361361309178443"/>
  </r>
  <r>
    <x v="24"/>
    <n v="-1.6211574240381006"/>
  </r>
  <r>
    <x v="25"/>
    <n v="-0.11309445867623392"/>
  </r>
  <r>
    <x v="26"/>
    <n v="-0.635565543477981"/>
  </r>
  <r>
    <x v="27"/>
    <n v="-0.12212311954851815"/>
  </r>
  <r>
    <x v="28"/>
    <n v="-0.6902088310934803"/>
  </r>
  <r>
    <x v="29"/>
    <n v="-6.3745791019188943E-4"/>
  </r>
  <r>
    <x v="30"/>
    <n v="-6.1308839486784707E-2"/>
  </r>
  <r>
    <x v="31"/>
    <n v="0.10510525836976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B00C745-CAFA-E54D-921E-DF665E7200D5}" name="PivotTable2" cacheId="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8:B71" firstHeaderRow="1" firstDataRow="1" firstDataCol="1"/>
  <pivotFields count="14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9" showAll="0"/>
    <pivotField numFmtId="9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HomeWin%" fld="12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9AB3F2-F676-3143-9A31-CE2A61233843}" name="PivotTable3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36" firstHeaderRow="1" firstDataRow="1" firstDataCol="1"/>
  <pivotFields count="2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dataField="1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Rating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00000000-0016-0000-0000-000000000000}" autoFormatId="16" applyNumberFormats="0" applyBorderFormats="0" applyFontFormats="0" applyPatternFormats="0" applyAlignmentFormats="0" applyWidthHeightFormats="0">
  <queryTableRefresh nextId="13">
    <queryTableFields count="10">
      <queryTableField id="1" name="Date" tableColumnId="1"/>
      <queryTableField id="3" name="Visitor" tableColumnId="3"/>
      <queryTableField id="4" name="G" tableColumnId="4"/>
      <queryTableField id="5" name="Home" tableColumnId="5"/>
      <queryTableField id="6" name="G_1" tableColumnId="6"/>
      <queryTableField id="11" name="Column1" tableColumnId="11"/>
      <queryTableField id="7" name="Winning Team" tableColumnId="7"/>
      <queryTableField id="8" name="Losing Team" tableColumnId="8"/>
      <queryTableField id="9" name="Winning_G" tableColumnId="9"/>
      <queryTableField id="10" name="Losing_G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2" xr16:uid="{E74AA801-A9EA-E94D-9F3C-64027CACC214}" autoFormatId="16" applyNumberFormats="0" applyBorderFormats="0" applyFontFormats="0" applyPatternFormats="0" applyAlignmentFormats="0" applyWidthHeightFormats="0">
  <queryTableRefresh nextId="28">
    <queryTableFields count="27">
      <queryTableField id="1" name="game_date" tableColumnId="1"/>
      <queryTableField id="2" name="game_time" tableColumnId="2"/>
      <queryTableField id="3" name="away_team" tableColumnId="3"/>
      <queryTableField id="4" name="home_team" tableColumnId="4"/>
      <queryTableField id="5" name="matchup" tableColumnId="5"/>
      <queryTableField id="6" name="ml_winner" tableColumnId="6"/>
      <queryTableField id="7" name="ml_away_score" tableColumnId="7"/>
      <queryTableField id="8" name="ml_home_score" tableColumnId="8"/>
      <queryTableField id="9" name="ml_confidence" tableColumnId="9"/>
      <queryTableField id="10" name="ml_ot" tableColumnId="10"/>
      <queryTableField id="11" name="ml_ot_prob" tableColumnId="11"/>
      <queryTableField id="12" name="ml_correct" tableColumnId="12"/>
      <queryTableField id="13" name="ml_result" tableColumnId="13"/>
      <queryTableField id="14" name="excel_winner" tableColumnId="14"/>
      <queryTableField id="15" name="excel_away_score" tableColumnId="15"/>
      <queryTableField id="16" name="excel_home_score" tableColumnId="16"/>
      <queryTableField id="17" name="excel_confidence" tableColumnId="17"/>
      <queryTableField id="18" name="excel_ot" tableColumnId="18"/>
      <queryTableField id="19" name="excel_homeice" tableColumnId="19"/>
      <queryTableField id="20" name="excel_correct" tableColumnId="20"/>
      <queryTableField id="21" name="actual_winner" tableColumnId="21"/>
      <queryTableField id="22" name="actual_away_score" tableColumnId="22"/>
      <queryTableField id="23" name="actual_home_score" tableColumnId="23"/>
      <queryTableField id="24" name="actual_ot" tableColumnId="24"/>
      <queryTableField id="25" name="game_status" tableColumnId="25"/>
      <queryTableField id="26" name="recorded_at" tableColumnId="26"/>
      <queryTableField id="27" name="updated_at" tableColumnId="2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6FDC429-DCD2-7140-8F5E-09F03E80DD20}" name="NHL2025_26Results" displayName="NHL2025_26Results" ref="A1:J1313" tableType="queryTable" totalsRowShown="0">
  <autoFilter ref="A1:J1313" xr:uid="{26FDC429-DCD2-7140-8F5E-09F03E80DD20}"/>
  <tableColumns count="10">
    <tableColumn id="1" xr3:uid="{EF1E8A3C-57D7-6744-AF93-B5FF0761D75C}" uniqueName="1" name="Date" queryTableFieldId="1" dataDxfId="80"/>
    <tableColumn id="3" xr3:uid="{2C87C5E2-BA51-8A42-89C8-535F9675CB8F}" uniqueName="3" name="Visitor" queryTableFieldId="3" dataDxfId="79"/>
    <tableColumn id="4" xr3:uid="{CE6ABB56-546F-BB46-9A09-2A1A92669C31}" uniqueName="4" name="G" queryTableFieldId="4" dataDxfId="78"/>
    <tableColumn id="5" xr3:uid="{C1234731-C200-EA4C-B756-2CA67776A39C}" uniqueName="5" name="Home" queryTableFieldId="5" dataDxfId="77"/>
    <tableColumn id="6" xr3:uid="{339325E9-BBA1-9A48-8657-C4AC5A969A45}" uniqueName="6" name="G_1" queryTableFieldId="6" dataDxfId="76"/>
    <tableColumn id="11" xr3:uid="{D5C53254-CDEF-7A46-97BA-0F3F94C9C0F8}" uniqueName="11" name="Column1" queryTableFieldId="11" dataDxfId="75"/>
    <tableColumn id="7" xr3:uid="{B5B6FE11-231C-D94F-89B8-2EC8FCBF8D0D}" uniqueName="7" name="Winning Team" queryTableFieldId="7"/>
    <tableColumn id="8" xr3:uid="{D8BF0E56-89E6-944B-A3C4-3E0975A135C8}" uniqueName="8" name="Losing Team" queryTableFieldId="8"/>
    <tableColumn id="9" xr3:uid="{B7FF8836-2F9F-D24F-AF10-9EA85E443DB0}" uniqueName="9" name="Winning_G" queryTableFieldId="9" dataDxfId="74"/>
    <tableColumn id="10" xr3:uid="{D8B4237A-01AB-6648-9F38-4F24C83C2F02}" uniqueName="10" name="Losing_G" queryTableFieldId="10" dataDxfId="7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2AB263-30A0-9143-A4CB-E8E85CF645DA}" name="Table3" displayName="Table3" ref="D6:J1318" totalsRowShown="0" headerRowDxfId="72" headerRowBorderDxfId="71" tableBorderDxfId="70">
  <autoFilter ref="D6:J1318" xr:uid="{082AB263-30A0-9143-A4CB-E8E85CF645DA}"/>
  <tableColumns count="7">
    <tableColumn id="1" xr3:uid="{A2DA1977-C625-F248-8922-D45BEAE345E6}" name="Visitor" dataDxfId="69"/>
    <tableColumn id="2" xr3:uid="{7F142366-1AE0-5D45-A506-465FBF578C3A}" name="G" dataDxfId="68"/>
    <tableColumn id="3" xr3:uid="{F73B07A5-94FF-C843-900F-F37684899EAA}" name="Home" dataDxfId="67"/>
    <tableColumn id="4" xr3:uid="{7D6FADB5-28D9-9449-ADC0-599788BF0B16}" name="G_1" dataDxfId="66"/>
    <tableColumn id="5" xr3:uid="{98CF2B62-3F88-D44B-AF59-BE4BB5C0604E}" name="HomeMargin" dataDxfId="65">
      <calculatedColumnFormula>Table3[[#This Row],[G_1]]-Table3[[#This Row],[G]]</calculatedColumnFormula>
    </tableColumn>
    <tableColumn id="6" xr3:uid="{FD0EC919-55F2-CA43-8B92-CA3E6283FCFD}" name="HomeForecast" dataDxfId="64">
      <calculatedColumnFormula>HomeEdge+VLOOKUP(Table3[[#This Row],[Home]],$A$6:$B$38,2,FALSE)-VLOOKUP(Table3[[#This Row],[Visitor]],$A$6:$B$38,2,FALSE)</calculatedColumnFormula>
    </tableColumn>
    <tableColumn id="7" xr3:uid="{0900FDB9-09FA-6B40-889E-92B6F3122384}" name="Squared Difference" dataDxfId="63">
      <calculatedColumnFormula>(Table3[[#This Row],[HomeMargin]]-Table3[[#This Row],[HomeForecast]])^2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940C27F-1AFD-1A45-A69A-42FED3D3591C}" name="Table4" displayName="Table4" ref="D1:R1313" totalsRowShown="0" headerRowDxfId="62" dataDxfId="61">
  <autoFilter ref="D1:R1313" xr:uid="{B940C27F-1AFD-1A45-A69A-42FED3D3591C}"/>
  <tableColumns count="15">
    <tableColumn id="1" xr3:uid="{27200A7D-FC6F-7D47-A38B-8116F873A9D8}" name="Date" dataDxfId="60"/>
    <tableColumn id="2" xr3:uid="{E6247AA5-111B-9544-9F6D-FFC524512888}" name="Time" dataDxfId="59"/>
    <tableColumn id="3" xr3:uid="{EDCD8AB3-2C72-284E-B537-7168C3C8687B}" name="Home" dataDxfId="58"/>
    <tableColumn id="4" xr3:uid="{EC6C1412-AAC2-6646-BF48-0D4526947D52}" name="Home Differential" dataDxfId="57">
      <calculatedColumnFormula>VLOOKUP(Table4[[#This Row],[Home]],'NHL Model'!$A$6:$B$38,2,FALSE)</calculatedColumnFormula>
    </tableColumn>
    <tableColumn id="5" xr3:uid="{67F5F1C4-5CC9-B648-BE7C-7E4EF3A85290}" name="Visitor" dataDxfId="56"/>
    <tableColumn id="6" xr3:uid="{84F489BE-33B4-0E4D-959D-E87A85C1D38D}" name="Away Differential" dataDxfId="55">
      <calculatedColumnFormula>VLOOKUP(Table4[[#This Row],[Visitor]],'NHL Model'!$A$6:$B$38,2,FALSE)</calculatedColumnFormula>
    </tableColumn>
    <tableColumn id="7" xr3:uid="{A6F9ABE3-1844-E54D-9016-325B538D2969}" name="HomeIce Differential" dataDxfId="54">
      <calculatedColumnFormula>($B$1+Table4[[#This Row],[Home Differential]])-Table4[[#This Row],[Away Differential]]</calculatedColumnFormula>
    </tableColumn>
    <tableColumn id="8" xr3:uid="{8FFD520F-0CF9-9D4A-93B6-B45373384612}" name="Predicted Winner" dataDxfId="53">
      <calculatedColumnFormula>IF(Table4[[#This Row],[HomeIce Differential]]&gt;0,Table4[[#This Row],[Home]],Table4[[#This Row],[Visitor]])</calculatedColumnFormula>
    </tableColumn>
    <tableColumn id="11" xr3:uid="{39F44459-E949-BE48-9326-B9627B452C7F}" name="Strength of Win" dataDxfId="52" dataCellStyle="Percent">
      <calculatedColumnFormula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calculatedColumnFormula>
    </tableColumn>
    <tableColumn id="9" xr3:uid="{769A6846-3396-5E42-B6FD-656B73BC81AC}" name="Adjusted Correct" dataDxfId="51">
      <calculatedColumnFormula>IF(OR((NHL2025_26Results[[#This Row],[Winning Team]]="")),"-",IF(Table4[[#This Row],[Predicted Winner]]=NHL2025_26Results[[#This Row],[Winning Team]],"YES","NO"))</calculatedColumnFormula>
    </tableColumn>
    <tableColumn id="12" xr3:uid="{23A5A109-349C-754F-A7EC-DED5841502F5}" name="Error" dataDxfId="50">
      <calculatedColumnFormula>IF(Table4[[#This Row],[Adjusted Correct]]="-", "",IF(Table4[[#This Row],[Adjusted Correct]]="YES",(Table4[[#This Row],[Strength of Win]]-1)^2,(Table4[[#This Row],[Strength of Win]]-0)^2))</calculatedColumnFormula>
    </tableColumn>
    <tableColumn id="14" xr3:uid="{A973287C-4E38-7E4F-B9CF-1E2830C528BF}" name="Locked HomeIce Differential"/>
    <tableColumn id="15" xr3:uid="{36F30536-F21A-F54E-86E5-C07F78FE2C90}" name="Locked Strength of Win" dataCellStyle="Percent"/>
    <tableColumn id="10" xr3:uid="{7C967E26-5EF3-D640-BF8C-C38117E19E9C}" name="Locked Prediction" dataDxfId="49"/>
    <tableColumn id="13" xr3:uid="{F50D85A3-D772-F247-BFBE-86E765FD0BF6}" name="Locked Correct" dataDxfId="48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34B514-E1CC-0949-A7DD-8D37387465DD}" name="Table1" displayName="Table1" ref="A1:R33" totalsRowShown="0" headerRowDxfId="47">
  <autoFilter ref="A1:R33" xr:uid="{1B34B514-E1CC-0949-A7DD-8D37387465DD}"/>
  <tableColumns count="18">
    <tableColumn id="1" xr3:uid="{C9F77F0F-7B0D-CC44-9D34-395D1E3FA55B}" name="Team" dataDxfId="46"/>
    <tableColumn id="2" xr3:uid="{4080CFDD-7980-DD4D-A4DE-25DB03E50B7C}" name="GP" dataDxfId="45">
      <calculatedColumnFormula>SUM(Table1[[#This Row],[W]:[OTL]])</calculatedColumnFormula>
    </tableColumn>
    <tableColumn id="3" xr3:uid="{3C1AB986-0335-3D46-9153-E78ADBAE30F8}" name="W"/>
    <tableColumn id="4" xr3:uid="{4FEE9C55-064E-1147-A8FB-213CF7F16F8E}" name="L" dataDxfId="44">
      <calculatedColumnFormula>COUNTIFS('NHL2025-26Results'!$H:$H,A2,'NHL2025-26Results'!$F:$F,"")</calculatedColumnFormula>
    </tableColumn>
    <tableColumn id="5" xr3:uid="{5EA2DCC3-F71A-5A40-B3F3-8F2F8CB0A7CE}" name="OTL" dataDxfId="43">
      <calculatedColumnFormula>COUNTIFS('NHL2025-26Results'!$F:$F,"OT",'NHL2025-26Results'!$H:$H,A2) + COUNTIFS('NHL2025-26Results'!$F:$F,"SO",'NHL2025-26Results'!$H:$H,A2)</calculatedColumnFormula>
    </tableColumn>
    <tableColumn id="6" xr3:uid="{29726E8F-4315-9A45-99A9-C5F42D047761}" name="PTS" dataDxfId="42">
      <calculatedColumnFormula>(Table1[[#This Row],[W]]*2)+Table1[[#This Row],[OTL]]</calculatedColumnFormula>
    </tableColumn>
    <tableColumn id="7" xr3:uid="{40EA95E8-9958-E040-A5BE-EC17EEDC1CBD}" name="HomeWins" dataDxfId="41">
      <calculatedColumnFormula>COUNTIFS('NHL2025-26Results'!$D:$D,A2,'NHL2025-26Results'!$G:$G,A2)</calculatedColumnFormula>
    </tableColumn>
    <tableColumn id="9" xr3:uid="{F3FA5C24-502A-6446-A4B9-25DB670D2CB7}" name="HomeLoss" dataDxfId="40">
      <calculatedColumnFormula>COUNTIFS('NHL2025-26Results'!$D:$D,A2,'NHL2025-26Results'!$H:$H,A2,'NHL2025-26Results'!$F:$F,"")</calculatedColumnFormula>
    </tableColumn>
    <tableColumn id="8" xr3:uid="{999F1273-113E-7F4B-990E-AC7B23C4A496}" name="HomeOTL" dataDxfId="39">
      <calculatedColumnFormula>COUNTIFS('NHL2025-26Results'!$D:$D,A2,'NHL2025-26Results'!$H:$H,A2,'NHL2025-26Results'!$F:$F,"OT") + COUNTIFS('NHL2025-26Results'!$D:$D,A2,'NHL2025-26Results'!$H:$H,A2,'NHL2025-26Results'!$F:$F,"SO")</calculatedColumnFormula>
    </tableColumn>
    <tableColumn id="11" xr3:uid="{6CECAD97-17BB-4D4F-87FA-691F94F265F9}" name="AwayWins" dataDxfId="38">
      <calculatedColumnFormula>COUNTIFS('NHL2025-26Results'!$B:$B,A2,'NHL2025-26Results'!$G:$G,A2)</calculatedColumnFormula>
    </tableColumn>
    <tableColumn id="10" xr3:uid="{1A63BDD0-5CF0-0C48-B684-3675FC716427}" name="AwayLoss" dataDxfId="37">
      <calculatedColumnFormula>COUNTIFS('NHL2025-26Results'!$B:$B,A2,'NHL2025-26Results'!$H:$H,A2,'NHL2025-26Results'!$F:$F,"")</calculatedColumnFormula>
    </tableColumn>
    <tableColumn id="12" xr3:uid="{59628040-0BA7-5042-BB5A-1E9D40ABC469}" name="AwayOTL" dataDxfId="36">
      <calculatedColumnFormula>COUNTIFS('NHL2025-26Results'!$B:$B,A2,'NHL2025-26Results'!$H:$H,A2,'NHL2025-26Results'!$F:$F,"OT") + COUNTIFS('NHL2025-26Results'!$B:$B,A2,'NHL2025-26Results'!$H:$H,A2,'NHL2025-26Results'!$F:$F,"SO")</calculatedColumnFormula>
    </tableColumn>
    <tableColumn id="13" xr3:uid="{89A1A1C5-47FE-3145-A770-190DF841C5BD}" name="HomeWin%" dataCellStyle="Percent">
      <calculatedColumnFormula>Table1[[#This Row],[HomeWins]]/SUM(Table1[[#This Row],[HomeWins]:[HomeOTL]])</calculatedColumnFormula>
    </tableColumn>
    <tableColumn id="14" xr3:uid="{549944E4-F46B-CF42-BE7D-1E9DCCA03B7C}" name="AwayWin%" dataCellStyle="Percent">
      <calculatedColumnFormula>Table1[[#This Row],[AwayWins]]/SUM(Table1[[#This Row],[AwayWins]:[AwayOTL]])</calculatedColumnFormula>
    </tableColumn>
    <tableColumn id="15" xr3:uid="{F3DE1AB8-2119-EF46-A72D-1C4A7C8BC10E}" name="Home Goals per Game" dataDxfId="35">
      <calculatedColumnFormula>SUMIFS('NHL2025-26Results'!$E:$E,'NHL2025-26Results'!$D:$D,A2,'NHL2025-26Results'!$E:$E,"&gt;0")/COUNTIFS('NHL2025-26Results'!$D:$D,A2,'NHL2025-26Results'!$E:$E,"&gt;0")</calculatedColumnFormula>
    </tableColumn>
    <tableColumn id="16" xr3:uid="{4CF1F86B-09D8-BA40-A4FA-B851C5E9F7C2}" name="Away Goals per Game" dataDxfId="34">
      <calculatedColumnFormula>SUMIFS('NHL2025-26Results'!$C:$C,'NHL2025-26Results'!$B:$B,A2,'NHL2025-26Results'!$C:$C,"&gt;0")/COUNTIFS('NHL2025-26Results'!$B:$B,A2,'NHL2025-26Results'!$C:$C,"&gt;0")</calculatedColumnFormula>
    </tableColumn>
    <tableColumn id="17" xr3:uid="{E1815B79-AB22-3943-B69B-8FBDF5A76842}" name="Home Goals Against" dataDxfId="33">
      <calculatedColumnFormula>SUMIFS('NHL2025-26Results'!$C:$C,'NHL2025-26Results'!$D:$D,A2,'NHL2025-26Results'!$C:$C,"&gt;0")/COUNTIFS('NHL2025-26Results'!$D:$D,A2,'NHL2025-26Results'!$C:$C,"&gt;0")</calculatedColumnFormula>
    </tableColumn>
    <tableColumn id="18" xr3:uid="{45CF85AF-BBFE-AC45-BB4B-F990DB1CC608}" name="Away Goals Against" dataDxfId="32">
      <calculatedColumnFormula>SUMIFS('NHL2025-26Results'!$E:$E,'NHL2025-26Results'!$B:$B,A2,'NHL2025-26Results'!$E:$E,"&gt;0")/COUNTIFS('NHL2025-26Results'!$B:$B,A2,'NHL2025-26Results'!$E:$E,"&gt;0")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2332789-251B-774B-AB2B-8BB4F3AFC4B8}" name="nhl_predictions_daily_migrated" displayName="nhl_predictions_daily_migrated" ref="A1:AA1313" tableType="queryTable" totalsRowShown="0">
  <autoFilter ref="A1:AA1313" xr:uid="{F2332789-251B-774B-AB2B-8BB4F3AFC4B8}"/>
  <tableColumns count="27">
    <tableColumn id="1" xr3:uid="{A82D8364-7061-A147-9648-1020427F222D}" uniqueName="1" name="game_date" queryTableFieldId="1" dataDxfId="26"/>
    <tableColumn id="2" xr3:uid="{2F0B0F85-AE68-C84D-ABF4-9C9BD4BCDE1A}" uniqueName="2" name="game_time" queryTableFieldId="2" dataDxfId="25"/>
    <tableColumn id="3" xr3:uid="{E190D701-E48A-4849-B026-83F6843A3F7C}" uniqueName="3" name="away_team" queryTableFieldId="3" dataDxfId="24"/>
    <tableColumn id="4" xr3:uid="{D8A87A5E-45E9-434D-B896-A1AC29AE2193}" uniqueName="4" name="home_team" queryTableFieldId="4" dataDxfId="23"/>
    <tableColumn id="5" xr3:uid="{F866A432-CB2E-1344-BB8E-B02DE09CEE39}" uniqueName="5" name="matchup" queryTableFieldId="5" dataDxfId="22"/>
    <tableColumn id="6" xr3:uid="{321205EB-FCDC-FF42-A5BC-028328229DA9}" uniqueName="6" name="ml_winner" queryTableFieldId="6" dataDxfId="21"/>
    <tableColumn id="7" xr3:uid="{1146F8DC-3374-2845-B506-3428513D1030}" uniqueName="7" name="ml_away_score" queryTableFieldId="7" dataDxfId="20"/>
    <tableColumn id="8" xr3:uid="{04F6AA09-904F-E441-9223-5D3EABA2C9DE}" uniqueName="8" name="ml_home_score" queryTableFieldId="8" dataDxfId="19"/>
    <tableColumn id="9" xr3:uid="{A52E9546-F206-504B-B50C-DE483A5979F1}" uniqueName="9" name="ml_confidence" queryTableFieldId="9" dataDxfId="18" dataCellStyle="Percent"/>
    <tableColumn id="10" xr3:uid="{B0863A61-8896-F94A-9BD1-877DA74E944C}" uniqueName="10" name="ml_ot" queryTableFieldId="10" dataDxfId="17"/>
    <tableColumn id="11" xr3:uid="{0CEF2C0B-AEAC-D24C-B808-9E65DA36D85B}" uniqueName="11" name="ml_ot_prob" queryTableFieldId="11" dataDxfId="16"/>
    <tableColumn id="12" xr3:uid="{953F4783-1A2A-2049-B662-B96EC4C98B47}" uniqueName="12" name="ml_correct" queryTableFieldId="12" dataDxfId="15"/>
    <tableColumn id="13" xr3:uid="{01F9271B-BF28-974D-9DD2-7B2DE98B6F67}" uniqueName="13" name="ml_result" queryTableFieldId="13" dataDxfId="14"/>
    <tableColumn id="14" xr3:uid="{53D10B71-CBA8-8D4A-96BA-CDF21FB393EA}" uniqueName="14" name="excel_winner" queryTableFieldId="14" dataDxfId="13"/>
    <tableColumn id="15" xr3:uid="{BFE057F3-C344-6344-BBC6-D1E83F6B5653}" uniqueName="15" name="excel_away_score" queryTableFieldId="15" dataDxfId="12"/>
    <tableColumn id="16" xr3:uid="{95A37C51-0AFC-4B48-BDBD-9F547D067C1A}" uniqueName="16" name="excel_home_score" queryTableFieldId="16" dataDxfId="11"/>
    <tableColumn id="17" xr3:uid="{21361EAA-D669-0647-AB36-316C9A355B06}" uniqueName="17" name="excel_confidence" queryTableFieldId="17" dataDxfId="10" dataCellStyle="Percent"/>
    <tableColumn id="18" xr3:uid="{C0D4B874-D9A3-F047-9F50-E1FD6B0B1717}" uniqueName="18" name="excel_ot" queryTableFieldId="18" dataDxfId="9"/>
    <tableColumn id="19" xr3:uid="{B5C6CD51-366A-5E4F-9D9D-FCD85DB91334}" uniqueName="19" name="excel_homeice" queryTableFieldId="19" dataDxfId="8"/>
    <tableColumn id="20" xr3:uid="{8A0C0F6C-7907-0B40-9DDC-02333190C939}" uniqueName="20" name="excel_correct" queryTableFieldId="20" dataDxfId="7"/>
    <tableColumn id="21" xr3:uid="{4F720508-4E4B-1843-AE1F-4E2016CC6849}" uniqueName="21" name="actual_winner" queryTableFieldId="21" dataDxfId="6"/>
    <tableColumn id="22" xr3:uid="{DF1197C5-5856-EF4D-BC04-6C080F1AD21B}" uniqueName="22" name="actual_away_score" queryTableFieldId="22" dataDxfId="5"/>
    <tableColumn id="23" xr3:uid="{521AC888-C59A-E842-8AF4-8F313E19B6CE}" uniqueName="23" name="actual_home_score" queryTableFieldId="23" dataDxfId="4"/>
    <tableColumn id="24" xr3:uid="{BBF8FDF8-3558-D043-9E29-97FCC0E90C92}" uniqueName="24" name="actual_ot" queryTableFieldId="24" dataDxfId="3"/>
    <tableColumn id="25" xr3:uid="{B3C51976-5727-A24B-9842-AC69798A596C}" uniqueName="25" name="game_status" queryTableFieldId="25" dataDxfId="2"/>
    <tableColumn id="26" xr3:uid="{C7B8AFAB-46A9-D04C-A7AF-56BEE52383BA}" uniqueName="26" name="recorded_at" queryTableFieldId="26" dataDxfId="1"/>
    <tableColumn id="27" xr3:uid="{0C0062D0-5688-D346-83F6-DF5908F6B02E}" uniqueName="27" name="updated_at" queryTableFieldId="27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96007-C7B4-4944-91BA-66DCCD1435C9}">
  <sheetPr codeName="Sheet1"/>
  <dimension ref="A1:J1313"/>
  <sheetViews>
    <sheetView zoomScale="120" zoomScaleNormal="120" workbookViewId="0">
      <selection activeCell="R58" sqref="R58"/>
    </sheetView>
  </sheetViews>
  <sheetFormatPr baseColWidth="10" defaultColWidth="10.83203125" defaultRowHeight="16" x14ac:dyDescent="0.2"/>
  <cols>
    <col min="1" max="1" width="10.5" bestFit="1" customWidth="1"/>
    <col min="2" max="2" width="19.83203125" bestFit="1" customWidth="1"/>
    <col min="3" max="3" width="5" bestFit="1" customWidth="1"/>
    <col min="4" max="4" width="19.83203125" bestFit="1" customWidth="1"/>
    <col min="5" max="5" width="6.83203125" bestFit="1" customWidth="1"/>
    <col min="6" max="6" width="11.1640625" bestFit="1" customWidth="1"/>
    <col min="7" max="8" width="19.83203125" bestFit="1" customWidth="1"/>
    <col min="9" max="9" width="12.5" bestFit="1" customWidth="1"/>
    <col min="10" max="10" width="11.33203125" bestFit="1" customWidth="1"/>
    <col min="11" max="11" width="11.33203125" customWidth="1"/>
    <col min="16" max="16" width="19.83203125" bestFit="1" customWidth="1"/>
  </cols>
  <sheetData>
    <row r="1" spans="1:10" x14ac:dyDescent="0.2">
      <c r="A1" t="s">
        <v>0</v>
      </c>
      <c r="B1" t="s">
        <v>2</v>
      </c>
      <c r="C1" t="s">
        <v>3</v>
      </c>
      <c r="D1" t="s">
        <v>4</v>
      </c>
      <c r="E1" t="s">
        <v>5</v>
      </c>
      <c r="F1" t="s">
        <v>175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">
      <c r="A2" s="1" t="s">
        <v>176</v>
      </c>
      <c r="B2" t="s">
        <v>10</v>
      </c>
      <c r="C2">
        <v>2</v>
      </c>
      <c r="D2" t="s">
        <v>11</v>
      </c>
      <c r="E2">
        <v>3</v>
      </c>
      <c r="F2" t="s">
        <v>60</v>
      </c>
      <c r="G2" t="s">
        <v>11</v>
      </c>
      <c r="H2" t="s">
        <v>10</v>
      </c>
      <c r="I2">
        <v>3</v>
      </c>
      <c r="J2">
        <v>2</v>
      </c>
    </row>
    <row r="3" spans="1:10" x14ac:dyDescent="0.2">
      <c r="A3" s="1" t="s">
        <v>176</v>
      </c>
      <c r="B3" t="s">
        <v>12</v>
      </c>
      <c r="C3">
        <v>4</v>
      </c>
      <c r="D3" t="s">
        <v>13</v>
      </c>
      <c r="E3">
        <v>1</v>
      </c>
      <c r="F3" t="s">
        <v>60</v>
      </c>
      <c r="G3" t="s">
        <v>12</v>
      </c>
      <c r="H3" t="s">
        <v>13</v>
      </c>
      <c r="I3">
        <v>4</v>
      </c>
      <c r="J3">
        <v>1</v>
      </c>
    </row>
    <row r="4" spans="1:10" x14ac:dyDescent="0.2">
      <c r="A4" s="1" t="s">
        <v>176</v>
      </c>
      <c r="B4" t="s">
        <v>14</v>
      </c>
      <c r="C4">
        <v>3</v>
      </c>
      <c r="D4" t="s">
        <v>15</v>
      </c>
      <c r="E4">
        <v>0</v>
      </c>
      <c r="F4" t="s">
        <v>60</v>
      </c>
      <c r="G4" t="s">
        <v>14</v>
      </c>
      <c r="H4" t="s">
        <v>15</v>
      </c>
      <c r="I4">
        <v>3</v>
      </c>
      <c r="J4">
        <v>0</v>
      </c>
    </row>
    <row r="5" spans="1:10" x14ac:dyDescent="0.2">
      <c r="A5" s="1" t="s">
        <v>177</v>
      </c>
      <c r="B5" t="s">
        <v>16</v>
      </c>
      <c r="C5">
        <v>4</v>
      </c>
      <c r="D5" t="s">
        <v>17</v>
      </c>
      <c r="E5">
        <v>3</v>
      </c>
      <c r="F5" t="s">
        <v>61</v>
      </c>
      <c r="G5" t="s">
        <v>16</v>
      </c>
      <c r="H5" t="s">
        <v>17</v>
      </c>
      <c r="I5">
        <v>4</v>
      </c>
      <c r="J5">
        <v>3</v>
      </c>
    </row>
    <row r="6" spans="1:10" x14ac:dyDescent="0.2">
      <c r="A6" s="1" t="s">
        <v>177</v>
      </c>
      <c r="B6" t="s">
        <v>18</v>
      </c>
      <c r="C6">
        <v>2</v>
      </c>
      <c r="D6" t="s">
        <v>19</v>
      </c>
      <c r="E6">
        <v>5</v>
      </c>
      <c r="F6" t="s">
        <v>60</v>
      </c>
      <c r="G6" t="s">
        <v>19</v>
      </c>
      <c r="H6" t="s">
        <v>18</v>
      </c>
      <c r="I6">
        <v>5</v>
      </c>
      <c r="J6">
        <v>2</v>
      </c>
    </row>
    <row r="7" spans="1:10" x14ac:dyDescent="0.2">
      <c r="A7" s="1" t="s">
        <v>177</v>
      </c>
      <c r="B7" t="s">
        <v>13</v>
      </c>
      <c r="C7">
        <v>6</v>
      </c>
      <c r="D7" t="s">
        <v>20</v>
      </c>
      <c r="E7">
        <v>5</v>
      </c>
      <c r="F7" t="s">
        <v>61</v>
      </c>
      <c r="G7" t="s">
        <v>13</v>
      </c>
      <c r="H7" t="s">
        <v>20</v>
      </c>
      <c r="I7">
        <v>6</v>
      </c>
      <c r="J7">
        <v>5</v>
      </c>
    </row>
    <row r="8" spans="1:10" x14ac:dyDescent="0.2">
      <c r="A8" s="1" t="s">
        <v>177</v>
      </c>
      <c r="B8" t="s">
        <v>21</v>
      </c>
      <c r="C8">
        <v>3</v>
      </c>
      <c r="D8" t="s">
        <v>22</v>
      </c>
      <c r="E8">
        <v>1</v>
      </c>
      <c r="F8" t="s">
        <v>60</v>
      </c>
      <c r="G8" t="s">
        <v>21</v>
      </c>
      <c r="H8" t="s">
        <v>22</v>
      </c>
      <c r="I8">
        <v>3</v>
      </c>
      <c r="J8">
        <v>1</v>
      </c>
    </row>
    <row r="9" spans="1:10" x14ac:dyDescent="0.2">
      <c r="A9" s="1" t="s">
        <v>178</v>
      </c>
      <c r="B9" t="s">
        <v>10</v>
      </c>
      <c r="C9">
        <v>3</v>
      </c>
      <c r="D9" t="s">
        <v>21</v>
      </c>
      <c r="E9">
        <v>4</v>
      </c>
      <c r="F9" t="s">
        <v>62</v>
      </c>
      <c r="G9" t="s">
        <v>21</v>
      </c>
      <c r="H9" t="s">
        <v>10</v>
      </c>
      <c r="I9">
        <v>4</v>
      </c>
      <c r="J9">
        <v>3</v>
      </c>
    </row>
    <row r="10" spans="1:10" x14ac:dyDescent="0.2">
      <c r="A10" s="1" t="s">
        <v>178</v>
      </c>
      <c r="B10" t="s">
        <v>15</v>
      </c>
      <c r="C10">
        <v>4</v>
      </c>
      <c r="D10" t="s">
        <v>23</v>
      </c>
      <c r="E10">
        <v>0</v>
      </c>
      <c r="F10" t="s">
        <v>60</v>
      </c>
      <c r="G10" t="s">
        <v>15</v>
      </c>
      <c r="H10" t="s">
        <v>23</v>
      </c>
      <c r="I10">
        <v>4</v>
      </c>
      <c r="J10">
        <v>0</v>
      </c>
    </row>
    <row r="11" spans="1:10" x14ac:dyDescent="0.2">
      <c r="A11" s="1" t="s">
        <v>178</v>
      </c>
      <c r="B11" t="s">
        <v>24</v>
      </c>
      <c r="C11">
        <v>3</v>
      </c>
      <c r="D11" t="s">
        <v>25</v>
      </c>
      <c r="E11">
        <v>6</v>
      </c>
      <c r="F11" t="s">
        <v>60</v>
      </c>
      <c r="G11" t="s">
        <v>25</v>
      </c>
      <c r="H11" t="s">
        <v>24</v>
      </c>
      <c r="I11">
        <v>6</v>
      </c>
      <c r="J11">
        <v>3</v>
      </c>
    </row>
    <row r="12" spans="1:10" x14ac:dyDescent="0.2">
      <c r="A12" s="1" t="s">
        <v>178</v>
      </c>
      <c r="B12" t="s">
        <v>55</v>
      </c>
      <c r="C12">
        <v>1</v>
      </c>
      <c r="D12" t="s">
        <v>12</v>
      </c>
      <c r="E12">
        <v>2</v>
      </c>
      <c r="F12" t="s">
        <v>60</v>
      </c>
      <c r="G12" t="s">
        <v>12</v>
      </c>
      <c r="H12" t="s">
        <v>55</v>
      </c>
      <c r="I12">
        <v>2</v>
      </c>
      <c r="J12">
        <v>1</v>
      </c>
    </row>
    <row r="13" spans="1:10" x14ac:dyDescent="0.2">
      <c r="A13" s="1" t="s">
        <v>178</v>
      </c>
      <c r="B13" t="s">
        <v>18</v>
      </c>
      <c r="C13">
        <v>5</v>
      </c>
      <c r="D13" t="s">
        <v>26</v>
      </c>
      <c r="E13">
        <v>1</v>
      </c>
      <c r="F13" t="s">
        <v>60</v>
      </c>
      <c r="G13" t="s">
        <v>18</v>
      </c>
      <c r="H13" t="s">
        <v>26</v>
      </c>
      <c r="I13">
        <v>5</v>
      </c>
      <c r="J13">
        <v>1</v>
      </c>
    </row>
    <row r="14" spans="1:10" x14ac:dyDescent="0.2">
      <c r="A14" s="1" t="s">
        <v>178</v>
      </c>
      <c r="B14" t="s">
        <v>27</v>
      </c>
      <c r="C14">
        <v>1</v>
      </c>
      <c r="D14" t="s">
        <v>11</v>
      </c>
      <c r="E14">
        <v>2</v>
      </c>
      <c r="F14" t="s">
        <v>60</v>
      </c>
      <c r="G14" t="s">
        <v>11</v>
      </c>
      <c r="H14" t="s">
        <v>27</v>
      </c>
      <c r="I14">
        <v>2</v>
      </c>
      <c r="J14">
        <v>1</v>
      </c>
    </row>
    <row r="15" spans="1:10" x14ac:dyDescent="0.2">
      <c r="A15" s="1" t="s">
        <v>178</v>
      </c>
      <c r="B15" t="s">
        <v>28</v>
      </c>
      <c r="C15">
        <v>1</v>
      </c>
      <c r="D15" t="s">
        <v>29</v>
      </c>
      <c r="E15">
        <v>2</v>
      </c>
      <c r="F15" t="s">
        <v>60</v>
      </c>
      <c r="G15" t="s">
        <v>29</v>
      </c>
      <c r="H15" t="s">
        <v>28</v>
      </c>
      <c r="I15">
        <v>2</v>
      </c>
      <c r="J15">
        <v>1</v>
      </c>
    </row>
    <row r="16" spans="1:10" x14ac:dyDescent="0.2">
      <c r="A16" s="1" t="s">
        <v>178</v>
      </c>
      <c r="B16" t="s">
        <v>30</v>
      </c>
      <c r="C16">
        <v>3</v>
      </c>
      <c r="D16" t="s">
        <v>14</v>
      </c>
      <c r="E16">
        <v>4</v>
      </c>
      <c r="F16" t="s">
        <v>60</v>
      </c>
      <c r="G16" t="s">
        <v>14</v>
      </c>
      <c r="H16" t="s">
        <v>30</v>
      </c>
      <c r="I16">
        <v>4</v>
      </c>
      <c r="J16">
        <v>3</v>
      </c>
    </row>
    <row r="17" spans="1:10" x14ac:dyDescent="0.2">
      <c r="A17" s="1" t="s">
        <v>178</v>
      </c>
      <c r="B17" t="s">
        <v>31</v>
      </c>
      <c r="C17">
        <v>1</v>
      </c>
      <c r="D17" t="s">
        <v>32</v>
      </c>
      <c r="E17">
        <v>3</v>
      </c>
      <c r="F17" t="s">
        <v>60</v>
      </c>
      <c r="G17" t="s">
        <v>32</v>
      </c>
      <c r="H17" t="s">
        <v>31</v>
      </c>
      <c r="I17">
        <v>3</v>
      </c>
      <c r="J17">
        <v>1</v>
      </c>
    </row>
    <row r="18" spans="1:10" x14ac:dyDescent="0.2">
      <c r="A18" s="1" t="s">
        <v>178</v>
      </c>
      <c r="B18" t="s">
        <v>20</v>
      </c>
      <c r="C18">
        <v>4</v>
      </c>
      <c r="D18" t="s">
        <v>33</v>
      </c>
      <c r="E18">
        <v>3</v>
      </c>
      <c r="F18" t="s">
        <v>62</v>
      </c>
      <c r="G18" t="s">
        <v>20</v>
      </c>
      <c r="H18" t="s">
        <v>33</v>
      </c>
      <c r="I18">
        <v>4</v>
      </c>
      <c r="J18">
        <v>3</v>
      </c>
    </row>
    <row r="19" spans="1:10" x14ac:dyDescent="0.2">
      <c r="A19" s="1" t="s">
        <v>178</v>
      </c>
      <c r="B19" t="s">
        <v>34</v>
      </c>
      <c r="C19">
        <v>5</v>
      </c>
      <c r="D19" t="s">
        <v>35</v>
      </c>
      <c r="E19">
        <v>0</v>
      </c>
      <c r="F19" t="s">
        <v>60</v>
      </c>
      <c r="G19" t="s">
        <v>34</v>
      </c>
      <c r="H19" t="s">
        <v>35</v>
      </c>
      <c r="I19">
        <v>5</v>
      </c>
      <c r="J19">
        <v>0</v>
      </c>
    </row>
    <row r="20" spans="1:10" x14ac:dyDescent="0.2">
      <c r="A20" s="1" t="s">
        <v>178</v>
      </c>
      <c r="B20" t="s">
        <v>36</v>
      </c>
      <c r="C20">
        <v>5</v>
      </c>
      <c r="D20" t="s">
        <v>37</v>
      </c>
      <c r="E20">
        <v>4</v>
      </c>
      <c r="F20" t="s">
        <v>60</v>
      </c>
      <c r="G20" t="s">
        <v>36</v>
      </c>
      <c r="H20" t="s">
        <v>37</v>
      </c>
      <c r="I20">
        <v>5</v>
      </c>
      <c r="J20">
        <v>4</v>
      </c>
    </row>
    <row r="21" spans="1:10" x14ac:dyDescent="0.2">
      <c r="A21" s="1" t="s">
        <v>178</v>
      </c>
      <c r="B21" t="s">
        <v>16</v>
      </c>
      <c r="C21">
        <v>1</v>
      </c>
      <c r="D21" t="s">
        <v>38</v>
      </c>
      <c r="E21">
        <v>5</v>
      </c>
      <c r="F21" t="s">
        <v>60</v>
      </c>
      <c r="G21" t="s">
        <v>38</v>
      </c>
      <c r="H21" t="s">
        <v>16</v>
      </c>
      <c r="I21">
        <v>5</v>
      </c>
      <c r="J21">
        <v>1</v>
      </c>
    </row>
    <row r="22" spans="1:10" x14ac:dyDescent="0.2">
      <c r="A22" s="1" t="s">
        <v>178</v>
      </c>
      <c r="B22" t="s">
        <v>39</v>
      </c>
      <c r="C22">
        <v>5</v>
      </c>
      <c r="D22" t="s">
        <v>40</v>
      </c>
      <c r="E22">
        <v>4</v>
      </c>
      <c r="F22" t="s">
        <v>60</v>
      </c>
      <c r="G22" t="s">
        <v>39</v>
      </c>
      <c r="H22" t="s">
        <v>40</v>
      </c>
      <c r="I22">
        <v>5</v>
      </c>
      <c r="J22">
        <v>4</v>
      </c>
    </row>
    <row r="23" spans="1:10" x14ac:dyDescent="0.2">
      <c r="A23" s="1" t="s">
        <v>179</v>
      </c>
      <c r="B23" t="s">
        <v>23</v>
      </c>
      <c r="C23">
        <v>1</v>
      </c>
      <c r="D23" t="s">
        <v>21</v>
      </c>
      <c r="E23">
        <v>3</v>
      </c>
      <c r="F23" t="s">
        <v>60</v>
      </c>
      <c r="G23" t="s">
        <v>21</v>
      </c>
      <c r="H23" t="s">
        <v>23</v>
      </c>
      <c r="I23">
        <v>3</v>
      </c>
      <c r="J23">
        <v>1</v>
      </c>
    </row>
    <row r="24" spans="1:10" x14ac:dyDescent="0.2">
      <c r="A24" s="1" t="s">
        <v>179</v>
      </c>
      <c r="B24" t="s">
        <v>27</v>
      </c>
      <c r="C24">
        <v>3</v>
      </c>
      <c r="D24" t="s">
        <v>25</v>
      </c>
      <c r="E24">
        <v>4</v>
      </c>
      <c r="F24" t="s">
        <v>62</v>
      </c>
      <c r="G24" t="s">
        <v>25</v>
      </c>
      <c r="H24" t="s">
        <v>27</v>
      </c>
      <c r="I24">
        <v>4</v>
      </c>
      <c r="J24">
        <v>3</v>
      </c>
    </row>
    <row r="25" spans="1:10" x14ac:dyDescent="0.2">
      <c r="A25" s="1" t="s">
        <v>179</v>
      </c>
      <c r="B25" t="s">
        <v>35</v>
      </c>
      <c r="C25">
        <v>4</v>
      </c>
      <c r="D25" t="s">
        <v>16</v>
      </c>
      <c r="E25">
        <v>2</v>
      </c>
      <c r="F25" t="s">
        <v>60</v>
      </c>
      <c r="G25" t="s">
        <v>35</v>
      </c>
      <c r="H25" t="s">
        <v>16</v>
      </c>
      <c r="I25">
        <v>4</v>
      </c>
      <c r="J25">
        <v>2</v>
      </c>
    </row>
    <row r="26" spans="1:10" x14ac:dyDescent="0.2">
      <c r="A26" s="1" t="s">
        <v>179</v>
      </c>
      <c r="B26" t="s">
        <v>18</v>
      </c>
      <c r="C26">
        <v>3</v>
      </c>
      <c r="D26" t="s">
        <v>10</v>
      </c>
      <c r="E26">
        <v>2</v>
      </c>
      <c r="F26" t="s">
        <v>60</v>
      </c>
      <c r="G26" t="s">
        <v>18</v>
      </c>
      <c r="H26" t="s">
        <v>10</v>
      </c>
      <c r="I26">
        <v>3</v>
      </c>
      <c r="J26">
        <v>2</v>
      </c>
    </row>
    <row r="27" spans="1:10" x14ac:dyDescent="0.2">
      <c r="A27" s="1" t="s">
        <v>179</v>
      </c>
      <c r="B27" t="s">
        <v>39</v>
      </c>
      <c r="C27">
        <v>5</v>
      </c>
      <c r="D27" t="s">
        <v>12</v>
      </c>
      <c r="E27">
        <v>4</v>
      </c>
      <c r="F27" t="s">
        <v>61</v>
      </c>
      <c r="G27" t="s">
        <v>39</v>
      </c>
      <c r="H27" t="s">
        <v>12</v>
      </c>
      <c r="I27">
        <v>5</v>
      </c>
      <c r="J27">
        <v>4</v>
      </c>
    </row>
    <row r="28" spans="1:10" x14ac:dyDescent="0.2">
      <c r="A28" s="1" t="s">
        <v>179</v>
      </c>
      <c r="B28" t="s">
        <v>19</v>
      </c>
      <c r="C28">
        <v>3</v>
      </c>
      <c r="D28" t="s">
        <v>26</v>
      </c>
      <c r="E28">
        <v>6</v>
      </c>
      <c r="F28" t="s">
        <v>60</v>
      </c>
      <c r="G28" t="s">
        <v>26</v>
      </c>
      <c r="H28" t="s">
        <v>19</v>
      </c>
      <c r="I28">
        <v>6</v>
      </c>
      <c r="J28">
        <v>3</v>
      </c>
    </row>
    <row r="29" spans="1:10" x14ac:dyDescent="0.2">
      <c r="A29" s="1" t="s">
        <v>179</v>
      </c>
      <c r="B29" t="s">
        <v>38</v>
      </c>
      <c r="C29">
        <v>1</v>
      </c>
      <c r="D29" t="s">
        <v>17</v>
      </c>
      <c r="E29">
        <v>3</v>
      </c>
      <c r="F29" t="s">
        <v>60</v>
      </c>
      <c r="G29" t="s">
        <v>17</v>
      </c>
      <c r="H29" t="s">
        <v>38</v>
      </c>
      <c r="I29">
        <v>3</v>
      </c>
      <c r="J29">
        <v>1</v>
      </c>
    </row>
    <row r="30" spans="1:10" x14ac:dyDescent="0.2">
      <c r="A30" s="1" t="s">
        <v>179</v>
      </c>
      <c r="B30" t="s">
        <v>36</v>
      </c>
      <c r="C30">
        <v>2</v>
      </c>
      <c r="D30" t="s">
        <v>11</v>
      </c>
      <c r="E30">
        <v>6</v>
      </c>
      <c r="F30" t="s">
        <v>60</v>
      </c>
      <c r="G30" t="s">
        <v>11</v>
      </c>
      <c r="H30" t="s">
        <v>36</v>
      </c>
      <c r="I30">
        <v>6</v>
      </c>
      <c r="J30">
        <v>2</v>
      </c>
    </row>
    <row r="31" spans="1:10" x14ac:dyDescent="0.2">
      <c r="A31" s="1" t="s">
        <v>179</v>
      </c>
      <c r="B31" t="s">
        <v>28</v>
      </c>
      <c r="C31">
        <v>7</v>
      </c>
      <c r="D31" t="s">
        <v>34</v>
      </c>
      <c r="E31">
        <v>4</v>
      </c>
      <c r="F31" t="s">
        <v>60</v>
      </c>
      <c r="G31" t="s">
        <v>28</v>
      </c>
      <c r="H31" t="s">
        <v>34</v>
      </c>
      <c r="I31">
        <v>7</v>
      </c>
      <c r="J31">
        <v>4</v>
      </c>
    </row>
    <row r="32" spans="1:10" x14ac:dyDescent="0.2">
      <c r="A32" s="1" t="s">
        <v>179</v>
      </c>
      <c r="B32" t="s">
        <v>55</v>
      </c>
      <c r="C32">
        <v>3</v>
      </c>
      <c r="D32" t="s">
        <v>29</v>
      </c>
      <c r="E32">
        <v>2</v>
      </c>
      <c r="F32" t="s">
        <v>62</v>
      </c>
      <c r="G32" t="s">
        <v>55</v>
      </c>
      <c r="H32" t="s">
        <v>29</v>
      </c>
      <c r="I32">
        <v>3</v>
      </c>
      <c r="J32">
        <v>2</v>
      </c>
    </row>
    <row r="33" spans="1:10" x14ac:dyDescent="0.2">
      <c r="A33" s="1" t="s">
        <v>179</v>
      </c>
      <c r="B33" t="s">
        <v>22</v>
      </c>
      <c r="C33">
        <v>4</v>
      </c>
      <c r="D33" t="s">
        <v>30</v>
      </c>
      <c r="E33">
        <v>2</v>
      </c>
      <c r="F33" t="s">
        <v>60</v>
      </c>
      <c r="G33" t="s">
        <v>22</v>
      </c>
      <c r="H33" t="s">
        <v>30</v>
      </c>
      <c r="I33">
        <v>4</v>
      </c>
      <c r="J33">
        <v>2</v>
      </c>
    </row>
    <row r="34" spans="1:10" x14ac:dyDescent="0.2">
      <c r="A34" s="1" t="s">
        <v>179</v>
      </c>
      <c r="B34" t="s">
        <v>15</v>
      </c>
      <c r="C34">
        <v>6</v>
      </c>
      <c r="D34" t="s">
        <v>14</v>
      </c>
      <c r="E34">
        <v>1</v>
      </c>
      <c r="F34" t="s">
        <v>60</v>
      </c>
      <c r="G34" t="s">
        <v>15</v>
      </c>
      <c r="H34" t="s">
        <v>14</v>
      </c>
      <c r="I34">
        <v>6</v>
      </c>
      <c r="J34">
        <v>1</v>
      </c>
    </row>
    <row r="35" spans="1:10" x14ac:dyDescent="0.2">
      <c r="A35" s="1" t="s">
        <v>179</v>
      </c>
      <c r="B35" t="s">
        <v>20</v>
      </c>
      <c r="C35">
        <v>1</v>
      </c>
      <c r="D35" t="s">
        <v>32</v>
      </c>
      <c r="E35">
        <v>2</v>
      </c>
      <c r="F35" t="s">
        <v>62</v>
      </c>
      <c r="G35" t="s">
        <v>32</v>
      </c>
      <c r="H35" t="s">
        <v>20</v>
      </c>
      <c r="I35">
        <v>2</v>
      </c>
      <c r="J35">
        <v>1</v>
      </c>
    </row>
    <row r="36" spans="1:10" x14ac:dyDescent="0.2">
      <c r="A36" s="1" t="s">
        <v>179</v>
      </c>
      <c r="B36" t="s">
        <v>31</v>
      </c>
      <c r="C36">
        <v>7</v>
      </c>
      <c r="D36" t="s">
        <v>33</v>
      </c>
      <c r="E36">
        <v>6</v>
      </c>
      <c r="F36" t="s">
        <v>62</v>
      </c>
      <c r="G36" t="s">
        <v>31</v>
      </c>
      <c r="H36" t="s">
        <v>33</v>
      </c>
      <c r="I36">
        <v>7</v>
      </c>
      <c r="J36">
        <v>6</v>
      </c>
    </row>
    <row r="37" spans="1:10" x14ac:dyDescent="0.2">
      <c r="A37" s="1" t="s">
        <v>179</v>
      </c>
      <c r="B37" t="s">
        <v>24</v>
      </c>
      <c r="C37">
        <v>5</v>
      </c>
      <c r="D37" t="s">
        <v>37</v>
      </c>
      <c r="E37">
        <v>3</v>
      </c>
      <c r="F37" t="s">
        <v>60</v>
      </c>
      <c r="G37" t="s">
        <v>24</v>
      </c>
      <c r="H37" t="s">
        <v>37</v>
      </c>
      <c r="I37">
        <v>5</v>
      </c>
      <c r="J37">
        <v>3</v>
      </c>
    </row>
    <row r="38" spans="1:10" x14ac:dyDescent="0.2">
      <c r="A38" s="1" t="s">
        <v>179</v>
      </c>
      <c r="B38" t="s">
        <v>13</v>
      </c>
      <c r="C38">
        <v>2</v>
      </c>
      <c r="D38" t="s">
        <v>40</v>
      </c>
      <c r="E38">
        <v>3</v>
      </c>
      <c r="F38" t="s">
        <v>60</v>
      </c>
      <c r="G38" t="s">
        <v>40</v>
      </c>
      <c r="H38" t="s">
        <v>13</v>
      </c>
      <c r="I38">
        <v>3</v>
      </c>
      <c r="J38">
        <v>2</v>
      </c>
    </row>
    <row r="39" spans="1:10" x14ac:dyDescent="0.2">
      <c r="A39" s="1" t="s">
        <v>180</v>
      </c>
      <c r="B39" t="s">
        <v>22</v>
      </c>
      <c r="C39">
        <v>1</v>
      </c>
      <c r="D39" t="s">
        <v>15</v>
      </c>
      <c r="E39">
        <v>0</v>
      </c>
      <c r="F39" t="s">
        <v>60</v>
      </c>
      <c r="G39" t="s">
        <v>22</v>
      </c>
      <c r="H39" t="s">
        <v>15</v>
      </c>
      <c r="I39">
        <v>1</v>
      </c>
      <c r="J39">
        <v>0</v>
      </c>
    </row>
    <row r="40" spans="1:10" x14ac:dyDescent="0.2">
      <c r="A40" s="1" t="s">
        <v>181</v>
      </c>
      <c r="B40" t="s">
        <v>37</v>
      </c>
      <c r="C40">
        <v>4</v>
      </c>
      <c r="D40" t="s">
        <v>21</v>
      </c>
      <c r="E40">
        <v>3</v>
      </c>
      <c r="F40" t="s">
        <v>60</v>
      </c>
      <c r="G40" t="s">
        <v>37</v>
      </c>
      <c r="H40" t="s">
        <v>21</v>
      </c>
      <c r="I40">
        <v>4</v>
      </c>
      <c r="J40">
        <v>3</v>
      </c>
    </row>
    <row r="41" spans="1:10" x14ac:dyDescent="0.2">
      <c r="A41" s="1" t="s">
        <v>181</v>
      </c>
      <c r="B41" t="s">
        <v>12</v>
      </c>
      <c r="C41">
        <v>3</v>
      </c>
      <c r="D41" t="s">
        <v>23</v>
      </c>
      <c r="E41">
        <v>1</v>
      </c>
      <c r="F41" t="s">
        <v>60</v>
      </c>
      <c r="G41" t="s">
        <v>12</v>
      </c>
      <c r="H41" t="s">
        <v>23</v>
      </c>
      <c r="I41">
        <v>3</v>
      </c>
      <c r="J41">
        <v>1</v>
      </c>
    </row>
    <row r="42" spans="1:10" x14ac:dyDescent="0.2">
      <c r="A42" s="1" t="s">
        <v>181</v>
      </c>
      <c r="B42" t="s">
        <v>24</v>
      </c>
      <c r="C42">
        <v>3</v>
      </c>
      <c r="D42" t="s">
        <v>28</v>
      </c>
      <c r="E42">
        <v>2</v>
      </c>
      <c r="F42" t="s">
        <v>60</v>
      </c>
      <c r="G42" t="s">
        <v>24</v>
      </c>
      <c r="H42" t="s">
        <v>28</v>
      </c>
      <c r="I42">
        <v>3</v>
      </c>
      <c r="J42">
        <v>2</v>
      </c>
    </row>
    <row r="43" spans="1:10" x14ac:dyDescent="0.2">
      <c r="A43" s="1" t="s">
        <v>181</v>
      </c>
      <c r="B43" t="s">
        <v>55</v>
      </c>
      <c r="C43">
        <v>1</v>
      </c>
      <c r="D43" t="s">
        <v>10</v>
      </c>
      <c r="E43">
        <v>3</v>
      </c>
      <c r="F43" t="s">
        <v>60</v>
      </c>
      <c r="G43" t="s">
        <v>10</v>
      </c>
      <c r="H43" t="s">
        <v>55</v>
      </c>
      <c r="I43">
        <v>3</v>
      </c>
      <c r="J43">
        <v>1</v>
      </c>
    </row>
    <row r="44" spans="1:10" x14ac:dyDescent="0.2">
      <c r="A44" s="1" t="s">
        <v>181</v>
      </c>
      <c r="B44" t="s">
        <v>13</v>
      </c>
      <c r="C44">
        <v>3</v>
      </c>
      <c r="D44" t="s">
        <v>34</v>
      </c>
      <c r="E44">
        <v>4</v>
      </c>
      <c r="F44" t="s">
        <v>61</v>
      </c>
      <c r="G44" t="s">
        <v>34</v>
      </c>
      <c r="H44" t="s">
        <v>13</v>
      </c>
      <c r="I44">
        <v>4</v>
      </c>
      <c r="J44">
        <v>3</v>
      </c>
    </row>
    <row r="45" spans="1:10" x14ac:dyDescent="0.2">
      <c r="A45" s="1" t="s">
        <v>181</v>
      </c>
      <c r="B45" t="s">
        <v>40</v>
      </c>
      <c r="C45">
        <v>5</v>
      </c>
      <c r="D45" t="s">
        <v>30</v>
      </c>
      <c r="E45">
        <v>2</v>
      </c>
      <c r="F45" t="s">
        <v>60</v>
      </c>
      <c r="G45" t="s">
        <v>40</v>
      </c>
      <c r="H45" t="s">
        <v>30</v>
      </c>
      <c r="I45">
        <v>5</v>
      </c>
      <c r="J45">
        <v>2</v>
      </c>
    </row>
    <row r="46" spans="1:10" x14ac:dyDescent="0.2">
      <c r="A46" s="1" t="s">
        <v>181</v>
      </c>
      <c r="B46" t="s">
        <v>29</v>
      </c>
      <c r="C46">
        <v>4</v>
      </c>
      <c r="D46" t="s">
        <v>36</v>
      </c>
      <c r="E46">
        <v>1</v>
      </c>
      <c r="F46" t="s">
        <v>60</v>
      </c>
      <c r="G46" t="s">
        <v>29</v>
      </c>
      <c r="H46" t="s">
        <v>36</v>
      </c>
      <c r="I46">
        <v>4</v>
      </c>
      <c r="J46">
        <v>1</v>
      </c>
    </row>
    <row r="47" spans="1:10" x14ac:dyDescent="0.2">
      <c r="A47" s="1" t="s">
        <v>181</v>
      </c>
      <c r="B47" t="s">
        <v>11</v>
      </c>
      <c r="C47">
        <v>2</v>
      </c>
      <c r="D47" t="s">
        <v>27</v>
      </c>
      <c r="E47">
        <v>5</v>
      </c>
      <c r="F47" t="s">
        <v>60</v>
      </c>
      <c r="G47" t="s">
        <v>27</v>
      </c>
      <c r="H47" t="s">
        <v>11</v>
      </c>
      <c r="I47">
        <v>5</v>
      </c>
      <c r="J47">
        <v>2</v>
      </c>
    </row>
    <row r="48" spans="1:10" x14ac:dyDescent="0.2">
      <c r="A48" s="1" t="s">
        <v>181</v>
      </c>
      <c r="B48" t="s">
        <v>26</v>
      </c>
      <c r="C48">
        <v>3</v>
      </c>
      <c r="D48" t="s">
        <v>19</v>
      </c>
      <c r="E48">
        <v>2</v>
      </c>
      <c r="F48" t="s">
        <v>60</v>
      </c>
      <c r="G48" t="s">
        <v>26</v>
      </c>
      <c r="H48" t="s">
        <v>19</v>
      </c>
      <c r="I48">
        <v>3</v>
      </c>
      <c r="J48">
        <v>2</v>
      </c>
    </row>
    <row r="49" spans="1:10" x14ac:dyDescent="0.2">
      <c r="A49" s="1" t="s">
        <v>181</v>
      </c>
      <c r="B49" t="s">
        <v>35</v>
      </c>
      <c r="C49">
        <v>5</v>
      </c>
      <c r="D49" t="s">
        <v>38</v>
      </c>
      <c r="E49">
        <v>2</v>
      </c>
      <c r="F49" t="s">
        <v>60</v>
      </c>
      <c r="G49" t="s">
        <v>35</v>
      </c>
      <c r="H49" t="s">
        <v>38</v>
      </c>
      <c r="I49">
        <v>5</v>
      </c>
      <c r="J49">
        <v>2</v>
      </c>
    </row>
    <row r="50" spans="1:10" x14ac:dyDescent="0.2">
      <c r="A50" s="1" t="s">
        <v>182</v>
      </c>
      <c r="B50" t="s">
        <v>14</v>
      </c>
      <c r="C50">
        <v>3</v>
      </c>
      <c r="D50" t="s">
        <v>31</v>
      </c>
      <c r="E50">
        <v>4</v>
      </c>
      <c r="F50" t="s">
        <v>60</v>
      </c>
      <c r="G50" t="s">
        <v>31</v>
      </c>
      <c r="H50" t="s">
        <v>14</v>
      </c>
      <c r="I50">
        <v>4</v>
      </c>
      <c r="J50">
        <v>3</v>
      </c>
    </row>
    <row r="51" spans="1:10" x14ac:dyDescent="0.2">
      <c r="A51" s="1" t="s">
        <v>182</v>
      </c>
      <c r="B51" t="s">
        <v>20</v>
      </c>
      <c r="C51">
        <v>4</v>
      </c>
      <c r="D51" t="s">
        <v>16</v>
      </c>
      <c r="E51">
        <v>2</v>
      </c>
      <c r="F51" t="s">
        <v>60</v>
      </c>
      <c r="G51" t="s">
        <v>20</v>
      </c>
      <c r="H51" t="s">
        <v>16</v>
      </c>
      <c r="I51">
        <v>4</v>
      </c>
      <c r="J51">
        <v>2</v>
      </c>
    </row>
    <row r="52" spans="1:10" x14ac:dyDescent="0.2">
      <c r="A52" s="1" t="s">
        <v>182</v>
      </c>
      <c r="B52" t="s">
        <v>34</v>
      </c>
      <c r="C52">
        <v>2</v>
      </c>
      <c r="D52" t="s">
        <v>39</v>
      </c>
      <c r="E52">
        <v>5</v>
      </c>
      <c r="F52" t="s">
        <v>60</v>
      </c>
      <c r="G52" t="s">
        <v>39</v>
      </c>
      <c r="H52" t="s">
        <v>34</v>
      </c>
      <c r="I52">
        <v>5</v>
      </c>
      <c r="J52">
        <v>2</v>
      </c>
    </row>
    <row r="53" spans="1:10" x14ac:dyDescent="0.2">
      <c r="A53" s="1" t="s">
        <v>182</v>
      </c>
      <c r="B53" t="s">
        <v>32</v>
      </c>
      <c r="C53">
        <v>4</v>
      </c>
      <c r="D53" t="s">
        <v>18</v>
      </c>
      <c r="E53">
        <v>5</v>
      </c>
      <c r="F53" t="s">
        <v>62</v>
      </c>
      <c r="G53" t="s">
        <v>18</v>
      </c>
      <c r="H53" t="s">
        <v>32</v>
      </c>
      <c r="I53">
        <v>5</v>
      </c>
      <c r="J53">
        <v>4</v>
      </c>
    </row>
    <row r="54" spans="1:10" x14ac:dyDescent="0.2">
      <c r="A54" s="1" t="s">
        <v>182</v>
      </c>
      <c r="B54" t="s">
        <v>17</v>
      </c>
      <c r="C54">
        <v>2</v>
      </c>
      <c r="D54" t="s">
        <v>15</v>
      </c>
      <c r="E54">
        <v>0</v>
      </c>
      <c r="F54" t="s">
        <v>60</v>
      </c>
      <c r="G54" t="s">
        <v>17</v>
      </c>
      <c r="H54" t="s">
        <v>15</v>
      </c>
      <c r="I54">
        <v>2</v>
      </c>
      <c r="J54">
        <v>0</v>
      </c>
    </row>
    <row r="55" spans="1:10" x14ac:dyDescent="0.2">
      <c r="A55" s="1" t="s">
        <v>182</v>
      </c>
      <c r="B55" t="s">
        <v>25</v>
      </c>
      <c r="C55">
        <v>5</v>
      </c>
      <c r="D55" t="s">
        <v>33</v>
      </c>
      <c r="E55">
        <v>1</v>
      </c>
      <c r="F55" t="s">
        <v>60</v>
      </c>
      <c r="G55" t="s">
        <v>25</v>
      </c>
      <c r="H55" t="s">
        <v>33</v>
      </c>
      <c r="I55">
        <v>5</v>
      </c>
      <c r="J55">
        <v>1</v>
      </c>
    </row>
    <row r="56" spans="1:10" x14ac:dyDescent="0.2">
      <c r="A56" s="1" t="s">
        <v>182</v>
      </c>
      <c r="B56" t="s">
        <v>29</v>
      </c>
      <c r="C56">
        <v>4</v>
      </c>
      <c r="D56" t="s">
        <v>19</v>
      </c>
      <c r="E56">
        <v>7</v>
      </c>
      <c r="F56" t="s">
        <v>60</v>
      </c>
      <c r="G56" t="s">
        <v>19</v>
      </c>
      <c r="H56" t="s">
        <v>29</v>
      </c>
      <c r="I56">
        <v>7</v>
      </c>
      <c r="J56">
        <v>4</v>
      </c>
    </row>
    <row r="57" spans="1:10" x14ac:dyDescent="0.2">
      <c r="A57" s="1" t="s">
        <v>182</v>
      </c>
      <c r="B57" t="s">
        <v>37</v>
      </c>
      <c r="C57">
        <v>2</v>
      </c>
      <c r="D57" t="s">
        <v>22</v>
      </c>
      <c r="E57">
        <v>3</v>
      </c>
      <c r="F57" t="s">
        <v>62</v>
      </c>
      <c r="G57" t="s">
        <v>22</v>
      </c>
      <c r="H57" t="s">
        <v>37</v>
      </c>
      <c r="I57">
        <v>3</v>
      </c>
      <c r="J57">
        <v>2</v>
      </c>
    </row>
    <row r="58" spans="1:10" x14ac:dyDescent="0.2">
      <c r="A58" s="1" t="s">
        <v>183</v>
      </c>
      <c r="B58" t="s">
        <v>36</v>
      </c>
      <c r="C58">
        <v>4</v>
      </c>
      <c r="D58" t="s">
        <v>23</v>
      </c>
      <c r="E58">
        <v>8</v>
      </c>
      <c r="F58" t="s">
        <v>60</v>
      </c>
      <c r="G58" t="s">
        <v>23</v>
      </c>
      <c r="H58" t="s">
        <v>36</v>
      </c>
      <c r="I58">
        <v>8</v>
      </c>
      <c r="J58">
        <v>4</v>
      </c>
    </row>
    <row r="59" spans="1:10" x14ac:dyDescent="0.2">
      <c r="A59" s="1" t="s">
        <v>183</v>
      </c>
      <c r="B59" t="s">
        <v>11</v>
      </c>
      <c r="C59">
        <v>1</v>
      </c>
      <c r="D59" t="s">
        <v>26</v>
      </c>
      <c r="E59">
        <v>4</v>
      </c>
      <c r="F59" t="s">
        <v>60</v>
      </c>
      <c r="G59" t="s">
        <v>26</v>
      </c>
      <c r="H59" t="s">
        <v>11</v>
      </c>
      <c r="I59">
        <v>4</v>
      </c>
      <c r="J59">
        <v>1</v>
      </c>
    </row>
    <row r="60" spans="1:10" x14ac:dyDescent="0.2">
      <c r="A60" s="1" t="s">
        <v>183</v>
      </c>
      <c r="B60" t="s">
        <v>10</v>
      </c>
      <c r="C60">
        <v>8</v>
      </c>
      <c r="D60" t="s">
        <v>35</v>
      </c>
      <c r="E60">
        <v>3</v>
      </c>
      <c r="F60" t="s">
        <v>60</v>
      </c>
      <c r="G60" t="s">
        <v>10</v>
      </c>
      <c r="H60" t="s">
        <v>35</v>
      </c>
      <c r="I60">
        <v>8</v>
      </c>
      <c r="J60">
        <v>3</v>
      </c>
    </row>
    <row r="61" spans="1:10" x14ac:dyDescent="0.2">
      <c r="A61" s="1" t="s">
        <v>183</v>
      </c>
      <c r="B61" t="s">
        <v>16</v>
      </c>
      <c r="C61">
        <v>1</v>
      </c>
      <c r="D61" t="s">
        <v>55</v>
      </c>
      <c r="E61">
        <v>3</v>
      </c>
      <c r="F61" t="s">
        <v>60</v>
      </c>
      <c r="G61" t="s">
        <v>55</v>
      </c>
      <c r="H61" t="s">
        <v>16</v>
      </c>
      <c r="I61">
        <v>3</v>
      </c>
      <c r="J61">
        <v>1</v>
      </c>
    </row>
    <row r="62" spans="1:10" x14ac:dyDescent="0.2">
      <c r="A62" s="1" t="s">
        <v>184</v>
      </c>
      <c r="B62" t="s">
        <v>25</v>
      </c>
      <c r="C62">
        <v>4</v>
      </c>
      <c r="D62" t="s">
        <v>31</v>
      </c>
      <c r="E62">
        <v>1</v>
      </c>
      <c r="F62" t="s">
        <v>60</v>
      </c>
      <c r="G62" t="s">
        <v>25</v>
      </c>
      <c r="H62" t="s">
        <v>31</v>
      </c>
      <c r="I62">
        <v>4</v>
      </c>
      <c r="J62">
        <v>1</v>
      </c>
    </row>
    <row r="63" spans="1:10" x14ac:dyDescent="0.2">
      <c r="A63" s="1" t="s">
        <v>184</v>
      </c>
      <c r="B63" t="s">
        <v>12</v>
      </c>
      <c r="C63">
        <v>4</v>
      </c>
      <c r="D63" t="s">
        <v>28</v>
      </c>
      <c r="E63">
        <v>1</v>
      </c>
      <c r="F63" t="s">
        <v>60</v>
      </c>
      <c r="G63" t="s">
        <v>12</v>
      </c>
      <c r="H63" t="s">
        <v>28</v>
      </c>
      <c r="I63">
        <v>4</v>
      </c>
      <c r="J63">
        <v>1</v>
      </c>
    </row>
    <row r="64" spans="1:10" x14ac:dyDescent="0.2">
      <c r="A64" s="1" t="s">
        <v>184</v>
      </c>
      <c r="B64" t="s">
        <v>38</v>
      </c>
      <c r="C64">
        <v>5</v>
      </c>
      <c r="D64" t="s">
        <v>39</v>
      </c>
      <c r="E64">
        <v>3</v>
      </c>
      <c r="F64" t="s">
        <v>60</v>
      </c>
      <c r="G64" t="s">
        <v>38</v>
      </c>
      <c r="H64" t="s">
        <v>39</v>
      </c>
      <c r="I64">
        <v>5</v>
      </c>
      <c r="J64">
        <v>3</v>
      </c>
    </row>
    <row r="65" spans="1:10" x14ac:dyDescent="0.2">
      <c r="A65" s="1" t="s">
        <v>184</v>
      </c>
      <c r="B65" t="s">
        <v>14</v>
      </c>
      <c r="C65">
        <v>4</v>
      </c>
      <c r="D65" t="s">
        <v>13</v>
      </c>
      <c r="E65">
        <v>2</v>
      </c>
      <c r="F65" t="s">
        <v>60</v>
      </c>
      <c r="G65" t="s">
        <v>14</v>
      </c>
      <c r="H65" t="s">
        <v>13</v>
      </c>
      <c r="I65">
        <v>4</v>
      </c>
      <c r="J65">
        <v>2</v>
      </c>
    </row>
    <row r="66" spans="1:10" x14ac:dyDescent="0.2">
      <c r="A66" s="1" t="s">
        <v>184</v>
      </c>
      <c r="B66" t="s">
        <v>29</v>
      </c>
      <c r="C66">
        <v>2</v>
      </c>
      <c r="D66" t="s">
        <v>18</v>
      </c>
      <c r="E66">
        <v>3</v>
      </c>
      <c r="F66" t="s">
        <v>62</v>
      </c>
      <c r="G66" t="s">
        <v>18</v>
      </c>
      <c r="H66" t="s">
        <v>29</v>
      </c>
      <c r="I66">
        <v>3</v>
      </c>
      <c r="J66">
        <v>2</v>
      </c>
    </row>
    <row r="67" spans="1:10" x14ac:dyDescent="0.2">
      <c r="A67" s="1" t="s">
        <v>184</v>
      </c>
      <c r="B67" t="s">
        <v>11</v>
      </c>
      <c r="C67">
        <v>1</v>
      </c>
      <c r="D67" t="s">
        <v>24</v>
      </c>
      <c r="E67">
        <v>3</v>
      </c>
      <c r="F67" t="s">
        <v>60</v>
      </c>
      <c r="G67" t="s">
        <v>24</v>
      </c>
      <c r="H67" t="s">
        <v>11</v>
      </c>
      <c r="I67">
        <v>3</v>
      </c>
      <c r="J67">
        <v>1</v>
      </c>
    </row>
    <row r="68" spans="1:10" x14ac:dyDescent="0.2">
      <c r="A68" s="1" t="s">
        <v>184</v>
      </c>
      <c r="B68" t="s">
        <v>17</v>
      </c>
      <c r="C68">
        <v>2</v>
      </c>
      <c r="D68" t="s">
        <v>30</v>
      </c>
      <c r="E68">
        <v>4</v>
      </c>
      <c r="F68" t="s">
        <v>60</v>
      </c>
      <c r="G68" t="s">
        <v>30</v>
      </c>
      <c r="H68" t="s">
        <v>17</v>
      </c>
      <c r="I68">
        <v>4</v>
      </c>
      <c r="J68">
        <v>2</v>
      </c>
    </row>
    <row r="69" spans="1:10" x14ac:dyDescent="0.2">
      <c r="A69" s="1" t="s">
        <v>184</v>
      </c>
      <c r="B69" t="s">
        <v>32</v>
      </c>
      <c r="C69">
        <v>3</v>
      </c>
      <c r="D69" t="s">
        <v>36</v>
      </c>
      <c r="E69">
        <v>4</v>
      </c>
      <c r="F69" t="s">
        <v>61</v>
      </c>
      <c r="G69" t="s">
        <v>36</v>
      </c>
      <c r="H69" t="s">
        <v>32</v>
      </c>
      <c r="I69">
        <v>4</v>
      </c>
      <c r="J69">
        <v>3</v>
      </c>
    </row>
    <row r="70" spans="1:10" x14ac:dyDescent="0.2">
      <c r="A70" s="1" t="s">
        <v>184</v>
      </c>
      <c r="B70" t="s">
        <v>40</v>
      </c>
      <c r="C70">
        <v>5</v>
      </c>
      <c r="D70" t="s">
        <v>27</v>
      </c>
      <c r="E70">
        <v>2</v>
      </c>
      <c r="F70" t="s">
        <v>60</v>
      </c>
      <c r="G70" t="s">
        <v>40</v>
      </c>
      <c r="H70" t="s">
        <v>27</v>
      </c>
      <c r="I70">
        <v>5</v>
      </c>
      <c r="J70">
        <v>2</v>
      </c>
    </row>
    <row r="71" spans="1:10" x14ac:dyDescent="0.2">
      <c r="A71" s="1" t="s">
        <v>184</v>
      </c>
      <c r="B71" t="s">
        <v>15</v>
      </c>
      <c r="C71">
        <v>1</v>
      </c>
      <c r="D71" t="s">
        <v>19</v>
      </c>
      <c r="E71">
        <v>2</v>
      </c>
      <c r="F71" t="s">
        <v>62</v>
      </c>
      <c r="G71" t="s">
        <v>19</v>
      </c>
      <c r="H71" t="s">
        <v>15</v>
      </c>
      <c r="I71">
        <v>2</v>
      </c>
      <c r="J71">
        <v>1</v>
      </c>
    </row>
    <row r="72" spans="1:10" x14ac:dyDescent="0.2">
      <c r="A72" s="1" t="s">
        <v>184</v>
      </c>
      <c r="B72" t="s">
        <v>21</v>
      </c>
      <c r="C72">
        <v>5</v>
      </c>
      <c r="D72" t="s">
        <v>20</v>
      </c>
      <c r="E72">
        <v>6</v>
      </c>
      <c r="F72" t="s">
        <v>60</v>
      </c>
      <c r="G72" t="s">
        <v>20</v>
      </c>
      <c r="H72" t="s">
        <v>21</v>
      </c>
      <c r="I72">
        <v>6</v>
      </c>
      <c r="J72">
        <v>5</v>
      </c>
    </row>
    <row r="73" spans="1:10" x14ac:dyDescent="0.2">
      <c r="A73" s="1" t="s">
        <v>185</v>
      </c>
      <c r="B73" t="s">
        <v>38</v>
      </c>
      <c r="C73">
        <v>3</v>
      </c>
      <c r="D73" t="s">
        <v>10</v>
      </c>
      <c r="E73">
        <v>2</v>
      </c>
      <c r="F73" t="s">
        <v>61</v>
      </c>
      <c r="G73" t="s">
        <v>38</v>
      </c>
      <c r="H73" t="s">
        <v>10</v>
      </c>
      <c r="I73">
        <v>3</v>
      </c>
      <c r="J73">
        <v>2</v>
      </c>
    </row>
    <row r="74" spans="1:10" x14ac:dyDescent="0.2">
      <c r="A74" s="1" t="s">
        <v>185</v>
      </c>
      <c r="B74" t="s">
        <v>37</v>
      </c>
      <c r="C74">
        <v>1</v>
      </c>
      <c r="D74" t="s">
        <v>26</v>
      </c>
      <c r="E74">
        <v>2</v>
      </c>
      <c r="F74" t="s">
        <v>62</v>
      </c>
      <c r="G74" t="s">
        <v>26</v>
      </c>
      <c r="H74" t="s">
        <v>37</v>
      </c>
      <c r="I74">
        <v>2</v>
      </c>
      <c r="J74">
        <v>1</v>
      </c>
    </row>
    <row r="75" spans="1:10" x14ac:dyDescent="0.2">
      <c r="A75" s="1" t="s">
        <v>185</v>
      </c>
      <c r="B75" t="s">
        <v>33</v>
      </c>
      <c r="C75">
        <v>3</v>
      </c>
      <c r="D75" t="s">
        <v>55</v>
      </c>
      <c r="E75">
        <v>6</v>
      </c>
      <c r="F75" t="s">
        <v>60</v>
      </c>
      <c r="G75" t="s">
        <v>55</v>
      </c>
      <c r="H75" t="s">
        <v>33</v>
      </c>
      <c r="I75">
        <v>6</v>
      </c>
      <c r="J75">
        <v>3</v>
      </c>
    </row>
    <row r="76" spans="1:10" x14ac:dyDescent="0.2">
      <c r="A76" s="1" t="s">
        <v>185</v>
      </c>
      <c r="B76" t="s">
        <v>34</v>
      </c>
      <c r="C76">
        <v>1</v>
      </c>
      <c r="D76" t="s">
        <v>22</v>
      </c>
      <c r="E76">
        <v>5</v>
      </c>
      <c r="F76" t="s">
        <v>60</v>
      </c>
      <c r="G76" t="s">
        <v>22</v>
      </c>
      <c r="H76" t="s">
        <v>34</v>
      </c>
      <c r="I76">
        <v>5</v>
      </c>
      <c r="J76">
        <v>1</v>
      </c>
    </row>
    <row r="77" spans="1:10" x14ac:dyDescent="0.2">
      <c r="A77" s="1" t="s">
        <v>186</v>
      </c>
      <c r="B77" t="s">
        <v>11</v>
      </c>
      <c r="C77">
        <v>0</v>
      </c>
      <c r="D77" t="s">
        <v>23</v>
      </c>
      <c r="E77">
        <v>3</v>
      </c>
      <c r="F77" t="s">
        <v>60</v>
      </c>
      <c r="G77" t="s">
        <v>23</v>
      </c>
      <c r="H77" t="s">
        <v>11</v>
      </c>
      <c r="I77">
        <v>3</v>
      </c>
      <c r="J77">
        <v>0</v>
      </c>
    </row>
    <row r="78" spans="1:10" x14ac:dyDescent="0.2">
      <c r="A78" s="1" t="s">
        <v>186</v>
      </c>
      <c r="B78" t="s">
        <v>37</v>
      </c>
      <c r="C78">
        <v>2</v>
      </c>
      <c r="D78" t="s">
        <v>28</v>
      </c>
      <c r="E78">
        <v>3</v>
      </c>
      <c r="F78" t="s">
        <v>60</v>
      </c>
      <c r="G78" t="s">
        <v>28</v>
      </c>
      <c r="H78" t="s">
        <v>37</v>
      </c>
      <c r="I78">
        <v>3</v>
      </c>
      <c r="J78">
        <v>2</v>
      </c>
    </row>
    <row r="79" spans="1:10" x14ac:dyDescent="0.2">
      <c r="A79" s="1" t="s">
        <v>186</v>
      </c>
      <c r="B79" t="s">
        <v>21</v>
      </c>
      <c r="C79">
        <v>1</v>
      </c>
      <c r="D79" t="s">
        <v>12</v>
      </c>
      <c r="E79">
        <v>4</v>
      </c>
      <c r="F79" t="s">
        <v>60</v>
      </c>
      <c r="G79" t="s">
        <v>12</v>
      </c>
      <c r="H79" t="s">
        <v>21</v>
      </c>
      <c r="I79">
        <v>4</v>
      </c>
      <c r="J79">
        <v>1</v>
      </c>
    </row>
    <row r="80" spans="1:10" x14ac:dyDescent="0.2">
      <c r="A80" s="1" t="s">
        <v>186</v>
      </c>
      <c r="B80" t="s">
        <v>25</v>
      </c>
      <c r="C80">
        <v>4</v>
      </c>
      <c r="D80" t="s">
        <v>13</v>
      </c>
      <c r="E80">
        <v>3</v>
      </c>
      <c r="F80" t="s">
        <v>62</v>
      </c>
      <c r="G80" t="s">
        <v>25</v>
      </c>
      <c r="H80" t="s">
        <v>13</v>
      </c>
      <c r="I80">
        <v>4</v>
      </c>
      <c r="J80">
        <v>3</v>
      </c>
    </row>
    <row r="81" spans="1:10" x14ac:dyDescent="0.2">
      <c r="A81" s="1" t="s">
        <v>186</v>
      </c>
      <c r="B81" t="s">
        <v>15</v>
      </c>
      <c r="C81">
        <v>4</v>
      </c>
      <c r="D81" t="s">
        <v>18</v>
      </c>
      <c r="E81">
        <v>3</v>
      </c>
      <c r="F81" t="s">
        <v>60</v>
      </c>
      <c r="G81" t="s">
        <v>15</v>
      </c>
      <c r="H81" t="s">
        <v>18</v>
      </c>
      <c r="I81">
        <v>4</v>
      </c>
      <c r="J81">
        <v>3</v>
      </c>
    </row>
    <row r="82" spans="1:10" x14ac:dyDescent="0.2">
      <c r="A82" s="1" t="s">
        <v>186</v>
      </c>
      <c r="B82" t="s">
        <v>17</v>
      </c>
      <c r="C82">
        <v>3</v>
      </c>
      <c r="D82" t="s">
        <v>24</v>
      </c>
      <c r="E82">
        <v>5</v>
      </c>
      <c r="F82" t="s">
        <v>60</v>
      </c>
      <c r="G82" t="s">
        <v>24</v>
      </c>
      <c r="H82" t="s">
        <v>17</v>
      </c>
      <c r="I82">
        <v>5</v>
      </c>
      <c r="J82">
        <v>3</v>
      </c>
    </row>
    <row r="83" spans="1:10" x14ac:dyDescent="0.2">
      <c r="A83" s="1" t="s">
        <v>186</v>
      </c>
      <c r="B83" t="s">
        <v>30</v>
      </c>
      <c r="C83">
        <v>5</v>
      </c>
      <c r="D83" t="s">
        <v>36</v>
      </c>
      <c r="E83">
        <v>4</v>
      </c>
      <c r="F83" t="s">
        <v>60</v>
      </c>
      <c r="G83" t="s">
        <v>30</v>
      </c>
      <c r="H83" t="s">
        <v>36</v>
      </c>
      <c r="I83">
        <v>5</v>
      </c>
      <c r="J83">
        <v>4</v>
      </c>
    </row>
    <row r="84" spans="1:10" x14ac:dyDescent="0.2">
      <c r="A84" s="1" t="s">
        <v>186</v>
      </c>
      <c r="B84" t="s">
        <v>34</v>
      </c>
      <c r="C84">
        <v>1</v>
      </c>
      <c r="D84" t="s">
        <v>27</v>
      </c>
      <c r="E84">
        <v>2</v>
      </c>
      <c r="F84" t="s">
        <v>62</v>
      </c>
      <c r="G84" t="s">
        <v>27</v>
      </c>
      <c r="H84" t="s">
        <v>34</v>
      </c>
      <c r="I84">
        <v>2</v>
      </c>
      <c r="J84">
        <v>1</v>
      </c>
    </row>
    <row r="85" spans="1:10" x14ac:dyDescent="0.2">
      <c r="A85" s="1" t="s">
        <v>186</v>
      </c>
      <c r="B85" t="s">
        <v>14</v>
      </c>
      <c r="C85">
        <v>3</v>
      </c>
      <c r="D85" t="s">
        <v>33</v>
      </c>
      <c r="E85">
        <v>0</v>
      </c>
      <c r="F85" t="s">
        <v>60</v>
      </c>
      <c r="G85" t="s">
        <v>14</v>
      </c>
      <c r="H85" t="s">
        <v>33</v>
      </c>
      <c r="I85">
        <v>3</v>
      </c>
      <c r="J85">
        <v>0</v>
      </c>
    </row>
    <row r="86" spans="1:10" x14ac:dyDescent="0.2">
      <c r="A86" s="1" t="s">
        <v>186</v>
      </c>
      <c r="B86" t="s">
        <v>39</v>
      </c>
      <c r="C86">
        <v>1</v>
      </c>
      <c r="D86" t="s">
        <v>35</v>
      </c>
      <c r="E86">
        <v>3</v>
      </c>
      <c r="F86" t="s">
        <v>60</v>
      </c>
      <c r="G86" t="s">
        <v>35</v>
      </c>
      <c r="H86" t="s">
        <v>39</v>
      </c>
      <c r="I86">
        <v>3</v>
      </c>
      <c r="J86">
        <v>1</v>
      </c>
    </row>
    <row r="87" spans="1:10" x14ac:dyDescent="0.2">
      <c r="A87" s="1" t="s">
        <v>186</v>
      </c>
      <c r="B87" t="s">
        <v>32</v>
      </c>
      <c r="C87">
        <v>4</v>
      </c>
      <c r="D87" t="s">
        <v>19</v>
      </c>
      <c r="E87">
        <v>3</v>
      </c>
      <c r="F87" t="s">
        <v>62</v>
      </c>
      <c r="G87" t="s">
        <v>32</v>
      </c>
      <c r="H87" t="s">
        <v>19</v>
      </c>
      <c r="I87">
        <v>4</v>
      </c>
      <c r="J87">
        <v>3</v>
      </c>
    </row>
    <row r="88" spans="1:10" x14ac:dyDescent="0.2">
      <c r="A88" s="1" t="s">
        <v>186</v>
      </c>
      <c r="B88" t="s">
        <v>16</v>
      </c>
      <c r="C88">
        <v>1</v>
      </c>
      <c r="D88" t="s">
        <v>20</v>
      </c>
      <c r="E88">
        <v>6</v>
      </c>
      <c r="F88" t="s">
        <v>60</v>
      </c>
      <c r="G88" t="s">
        <v>20</v>
      </c>
      <c r="H88" t="s">
        <v>16</v>
      </c>
      <c r="I88">
        <v>6</v>
      </c>
      <c r="J88">
        <v>1</v>
      </c>
    </row>
    <row r="89" spans="1:10" x14ac:dyDescent="0.2">
      <c r="A89" s="1" t="s">
        <v>186</v>
      </c>
      <c r="B89" t="s">
        <v>29</v>
      </c>
      <c r="C89">
        <v>1</v>
      </c>
      <c r="D89" t="s">
        <v>40</v>
      </c>
      <c r="E89">
        <v>4</v>
      </c>
      <c r="F89" t="s">
        <v>60</v>
      </c>
      <c r="G89" t="s">
        <v>40</v>
      </c>
      <c r="H89" t="s">
        <v>29</v>
      </c>
      <c r="I89">
        <v>4</v>
      </c>
      <c r="J89">
        <v>1</v>
      </c>
    </row>
    <row r="90" spans="1:10" x14ac:dyDescent="0.2">
      <c r="A90" s="1" t="s">
        <v>187</v>
      </c>
      <c r="B90" t="s">
        <v>31</v>
      </c>
      <c r="C90">
        <v>1</v>
      </c>
      <c r="D90" t="s">
        <v>10</v>
      </c>
      <c r="E90">
        <v>2</v>
      </c>
      <c r="F90" t="s">
        <v>62</v>
      </c>
      <c r="G90" t="s">
        <v>10</v>
      </c>
      <c r="H90" t="s">
        <v>31</v>
      </c>
      <c r="I90">
        <v>2</v>
      </c>
      <c r="J90">
        <v>1</v>
      </c>
    </row>
    <row r="91" spans="1:10" x14ac:dyDescent="0.2">
      <c r="A91" s="1" t="s">
        <v>187</v>
      </c>
      <c r="B91" t="s">
        <v>17</v>
      </c>
      <c r="C91">
        <v>2</v>
      </c>
      <c r="D91" t="s">
        <v>26</v>
      </c>
      <c r="E91">
        <v>4</v>
      </c>
      <c r="F91" t="s">
        <v>60</v>
      </c>
      <c r="G91" t="s">
        <v>26</v>
      </c>
      <c r="H91" t="s">
        <v>17</v>
      </c>
      <c r="I91">
        <v>4</v>
      </c>
      <c r="J91">
        <v>2</v>
      </c>
    </row>
    <row r="92" spans="1:10" x14ac:dyDescent="0.2">
      <c r="A92" s="1" t="s">
        <v>187</v>
      </c>
      <c r="B92" t="s">
        <v>21</v>
      </c>
      <c r="C92">
        <v>2</v>
      </c>
      <c r="D92" t="s">
        <v>55</v>
      </c>
      <c r="E92">
        <v>3</v>
      </c>
      <c r="F92" t="s">
        <v>60</v>
      </c>
      <c r="G92" t="s">
        <v>55</v>
      </c>
      <c r="H92" t="s">
        <v>21</v>
      </c>
      <c r="I92">
        <v>3</v>
      </c>
      <c r="J92">
        <v>2</v>
      </c>
    </row>
    <row r="93" spans="1:10" x14ac:dyDescent="0.2">
      <c r="A93" s="1" t="s">
        <v>187</v>
      </c>
      <c r="B93" t="s">
        <v>38</v>
      </c>
      <c r="C93">
        <v>4</v>
      </c>
      <c r="D93" t="s">
        <v>22</v>
      </c>
      <c r="E93">
        <v>3</v>
      </c>
      <c r="F93" t="s">
        <v>60</v>
      </c>
      <c r="G93" t="s">
        <v>38</v>
      </c>
      <c r="H93" t="s">
        <v>22</v>
      </c>
      <c r="I93">
        <v>4</v>
      </c>
      <c r="J93">
        <v>3</v>
      </c>
    </row>
    <row r="94" spans="1:10" x14ac:dyDescent="0.2">
      <c r="A94" s="1" t="s">
        <v>188</v>
      </c>
      <c r="B94" t="s">
        <v>40</v>
      </c>
      <c r="C94">
        <v>2</v>
      </c>
      <c r="D94" t="s">
        <v>16</v>
      </c>
      <c r="E94">
        <v>1</v>
      </c>
      <c r="F94" t="s">
        <v>60</v>
      </c>
      <c r="G94" t="s">
        <v>40</v>
      </c>
      <c r="H94" t="s">
        <v>16</v>
      </c>
      <c r="I94">
        <v>2</v>
      </c>
      <c r="J94">
        <v>1</v>
      </c>
    </row>
    <row r="95" spans="1:10" x14ac:dyDescent="0.2">
      <c r="A95" s="1" t="s">
        <v>188</v>
      </c>
      <c r="B95" t="s">
        <v>23</v>
      </c>
      <c r="C95">
        <v>2</v>
      </c>
      <c r="D95" t="s">
        <v>18</v>
      </c>
      <c r="E95">
        <v>4</v>
      </c>
      <c r="F95" t="s">
        <v>60</v>
      </c>
      <c r="G95" t="s">
        <v>18</v>
      </c>
      <c r="H95" t="s">
        <v>23</v>
      </c>
      <c r="I95">
        <v>4</v>
      </c>
      <c r="J95">
        <v>2</v>
      </c>
    </row>
    <row r="96" spans="1:10" x14ac:dyDescent="0.2">
      <c r="A96" s="1" t="s">
        <v>188</v>
      </c>
      <c r="B96" t="s">
        <v>34</v>
      </c>
      <c r="C96">
        <v>3</v>
      </c>
      <c r="D96" t="s">
        <v>15</v>
      </c>
      <c r="E96">
        <v>1</v>
      </c>
      <c r="F96" t="s">
        <v>60</v>
      </c>
      <c r="G96" t="s">
        <v>34</v>
      </c>
      <c r="H96" t="s">
        <v>15</v>
      </c>
      <c r="I96">
        <v>3</v>
      </c>
      <c r="J96">
        <v>1</v>
      </c>
    </row>
    <row r="97" spans="1:10" x14ac:dyDescent="0.2">
      <c r="A97" s="1" t="s">
        <v>188</v>
      </c>
      <c r="B97" t="s">
        <v>32</v>
      </c>
      <c r="C97">
        <v>2</v>
      </c>
      <c r="D97" t="s">
        <v>27</v>
      </c>
      <c r="E97">
        <v>5</v>
      </c>
      <c r="F97" t="s">
        <v>60</v>
      </c>
      <c r="G97" t="s">
        <v>27</v>
      </c>
      <c r="H97" t="s">
        <v>32</v>
      </c>
      <c r="I97">
        <v>5</v>
      </c>
      <c r="J97">
        <v>2</v>
      </c>
    </row>
    <row r="98" spans="1:10" x14ac:dyDescent="0.2">
      <c r="A98" s="1" t="s">
        <v>188</v>
      </c>
      <c r="B98" t="s">
        <v>25</v>
      </c>
      <c r="C98">
        <v>1</v>
      </c>
      <c r="D98" t="s">
        <v>20</v>
      </c>
      <c r="E98">
        <v>4</v>
      </c>
      <c r="F98" t="s">
        <v>60</v>
      </c>
      <c r="G98" t="s">
        <v>20</v>
      </c>
      <c r="H98" t="s">
        <v>25</v>
      </c>
      <c r="I98">
        <v>4</v>
      </c>
      <c r="J98">
        <v>1</v>
      </c>
    </row>
    <row r="99" spans="1:10" x14ac:dyDescent="0.2">
      <c r="A99" s="1" t="s">
        <v>189</v>
      </c>
      <c r="B99" t="s">
        <v>11</v>
      </c>
      <c r="C99">
        <v>4</v>
      </c>
      <c r="D99" t="s">
        <v>21</v>
      </c>
      <c r="E99">
        <v>3</v>
      </c>
      <c r="F99" t="s">
        <v>60</v>
      </c>
      <c r="G99" t="s">
        <v>11</v>
      </c>
      <c r="H99" t="s">
        <v>21</v>
      </c>
      <c r="I99">
        <v>4</v>
      </c>
      <c r="J99">
        <v>3</v>
      </c>
    </row>
    <row r="100" spans="1:10" x14ac:dyDescent="0.2">
      <c r="A100" s="1" t="s">
        <v>189</v>
      </c>
      <c r="B100" t="s">
        <v>28</v>
      </c>
      <c r="C100">
        <v>5</v>
      </c>
      <c r="D100" t="s">
        <v>39</v>
      </c>
      <c r="E100">
        <v>1</v>
      </c>
      <c r="F100" t="s">
        <v>60</v>
      </c>
      <c r="G100" t="s">
        <v>28</v>
      </c>
      <c r="H100" t="s">
        <v>39</v>
      </c>
      <c r="I100">
        <v>5</v>
      </c>
      <c r="J100">
        <v>1</v>
      </c>
    </row>
    <row r="101" spans="1:10" x14ac:dyDescent="0.2">
      <c r="A101" s="1" t="s">
        <v>189</v>
      </c>
      <c r="B101" t="s">
        <v>31</v>
      </c>
      <c r="C101">
        <v>5</v>
      </c>
      <c r="D101" t="s">
        <v>29</v>
      </c>
      <c r="E101">
        <v>2</v>
      </c>
      <c r="F101" t="s">
        <v>60</v>
      </c>
      <c r="G101" t="s">
        <v>31</v>
      </c>
      <c r="H101" t="s">
        <v>29</v>
      </c>
      <c r="I101">
        <v>5</v>
      </c>
      <c r="J101">
        <v>2</v>
      </c>
    </row>
    <row r="102" spans="1:10" x14ac:dyDescent="0.2">
      <c r="A102" s="1" t="s">
        <v>189</v>
      </c>
      <c r="B102" t="s">
        <v>33</v>
      </c>
      <c r="C102">
        <v>3</v>
      </c>
      <c r="D102" t="s">
        <v>30</v>
      </c>
      <c r="E102">
        <v>4</v>
      </c>
      <c r="F102" t="s">
        <v>60</v>
      </c>
      <c r="G102" t="s">
        <v>30</v>
      </c>
      <c r="H102" t="s">
        <v>33</v>
      </c>
      <c r="I102">
        <v>4</v>
      </c>
      <c r="J102">
        <v>3</v>
      </c>
    </row>
    <row r="103" spans="1:10" x14ac:dyDescent="0.2">
      <c r="A103" s="1" t="s">
        <v>189</v>
      </c>
      <c r="B103" t="s">
        <v>17</v>
      </c>
      <c r="C103">
        <v>3</v>
      </c>
      <c r="D103" t="s">
        <v>36</v>
      </c>
      <c r="E103">
        <v>2</v>
      </c>
      <c r="F103" t="s">
        <v>62</v>
      </c>
      <c r="G103" t="s">
        <v>17</v>
      </c>
      <c r="H103" t="s">
        <v>36</v>
      </c>
      <c r="I103">
        <v>3</v>
      </c>
      <c r="J103">
        <v>2</v>
      </c>
    </row>
    <row r="104" spans="1:10" x14ac:dyDescent="0.2">
      <c r="A104" s="1" t="s">
        <v>189</v>
      </c>
      <c r="B104" t="s">
        <v>38</v>
      </c>
      <c r="C104">
        <v>1</v>
      </c>
      <c r="D104" t="s">
        <v>14</v>
      </c>
      <c r="E104">
        <v>5</v>
      </c>
      <c r="F104" t="s">
        <v>60</v>
      </c>
      <c r="G104" t="s">
        <v>14</v>
      </c>
      <c r="H104" t="s">
        <v>38</v>
      </c>
      <c r="I104">
        <v>5</v>
      </c>
      <c r="J104">
        <v>1</v>
      </c>
    </row>
    <row r="105" spans="1:10" x14ac:dyDescent="0.2">
      <c r="A105" s="1" t="s">
        <v>189</v>
      </c>
      <c r="B105" t="s">
        <v>13</v>
      </c>
      <c r="C105">
        <v>2</v>
      </c>
      <c r="D105" t="s">
        <v>35</v>
      </c>
      <c r="E105">
        <v>1</v>
      </c>
      <c r="F105" t="s">
        <v>62</v>
      </c>
      <c r="G105" t="s">
        <v>13</v>
      </c>
      <c r="H105" t="s">
        <v>35</v>
      </c>
      <c r="I105">
        <v>2</v>
      </c>
      <c r="J105">
        <v>1</v>
      </c>
    </row>
    <row r="106" spans="1:10" x14ac:dyDescent="0.2">
      <c r="A106" s="1" t="s">
        <v>189</v>
      </c>
      <c r="B106" t="s">
        <v>24</v>
      </c>
      <c r="C106">
        <v>5</v>
      </c>
      <c r="D106" t="s">
        <v>19</v>
      </c>
      <c r="E106">
        <v>2</v>
      </c>
      <c r="F106" t="s">
        <v>60</v>
      </c>
      <c r="G106" t="s">
        <v>24</v>
      </c>
      <c r="H106" t="s">
        <v>19</v>
      </c>
      <c r="I106">
        <v>5</v>
      </c>
      <c r="J106">
        <v>2</v>
      </c>
    </row>
    <row r="107" spans="1:10" x14ac:dyDescent="0.2">
      <c r="A107" s="1" t="s">
        <v>189</v>
      </c>
      <c r="B107" t="s">
        <v>12</v>
      </c>
      <c r="C107">
        <v>3</v>
      </c>
      <c r="D107" t="s">
        <v>55</v>
      </c>
      <c r="E107">
        <v>4</v>
      </c>
      <c r="F107" t="s">
        <v>62</v>
      </c>
      <c r="G107" t="s">
        <v>55</v>
      </c>
      <c r="H107" t="s">
        <v>12</v>
      </c>
      <c r="I107">
        <v>4</v>
      </c>
      <c r="J107">
        <v>3</v>
      </c>
    </row>
    <row r="108" spans="1:10" x14ac:dyDescent="0.2">
      <c r="A108" s="1" t="s">
        <v>189</v>
      </c>
      <c r="B108" t="s">
        <v>32</v>
      </c>
      <c r="C108">
        <v>1</v>
      </c>
      <c r="D108" t="s">
        <v>22</v>
      </c>
      <c r="E108">
        <v>4</v>
      </c>
      <c r="F108" t="s">
        <v>60</v>
      </c>
      <c r="G108" t="s">
        <v>22</v>
      </c>
      <c r="H108" t="s">
        <v>32</v>
      </c>
      <c r="I108">
        <v>4</v>
      </c>
      <c r="J108">
        <v>1</v>
      </c>
    </row>
    <row r="109" spans="1:10" x14ac:dyDescent="0.2">
      <c r="A109" s="1" t="s">
        <v>190</v>
      </c>
      <c r="B109" t="s">
        <v>26</v>
      </c>
      <c r="C109">
        <v>2</v>
      </c>
      <c r="D109" t="s">
        <v>23</v>
      </c>
      <c r="E109">
        <v>4</v>
      </c>
      <c r="F109" t="s">
        <v>60</v>
      </c>
      <c r="G109" t="s">
        <v>23</v>
      </c>
      <c r="H109" t="s">
        <v>26</v>
      </c>
      <c r="I109">
        <v>4</v>
      </c>
      <c r="J109">
        <v>2</v>
      </c>
    </row>
    <row r="110" spans="1:10" x14ac:dyDescent="0.2">
      <c r="A110" s="1" t="s">
        <v>190</v>
      </c>
      <c r="B110" t="s">
        <v>18</v>
      </c>
      <c r="C110">
        <v>2</v>
      </c>
      <c r="D110" t="s">
        <v>16</v>
      </c>
      <c r="E110">
        <v>1</v>
      </c>
      <c r="F110" t="s">
        <v>62</v>
      </c>
      <c r="G110" t="s">
        <v>18</v>
      </c>
      <c r="H110" t="s">
        <v>16</v>
      </c>
      <c r="I110">
        <v>2</v>
      </c>
      <c r="J110">
        <v>1</v>
      </c>
    </row>
    <row r="111" spans="1:10" x14ac:dyDescent="0.2">
      <c r="A111" s="1" t="s">
        <v>190</v>
      </c>
      <c r="B111" t="s">
        <v>34</v>
      </c>
      <c r="C111">
        <v>1</v>
      </c>
      <c r="D111" t="s">
        <v>24</v>
      </c>
      <c r="E111">
        <v>4</v>
      </c>
      <c r="F111" t="s">
        <v>60</v>
      </c>
      <c r="G111" t="s">
        <v>24</v>
      </c>
      <c r="H111" t="s">
        <v>34</v>
      </c>
      <c r="I111">
        <v>4</v>
      </c>
      <c r="J111">
        <v>1</v>
      </c>
    </row>
    <row r="112" spans="1:10" x14ac:dyDescent="0.2">
      <c r="A112" s="1" t="s">
        <v>191</v>
      </c>
      <c r="B112" t="s">
        <v>31</v>
      </c>
      <c r="C112">
        <v>7</v>
      </c>
      <c r="D112" t="s">
        <v>21</v>
      </c>
      <c r="E112">
        <v>5</v>
      </c>
      <c r="F112" t="s">
        <v>60</v>
      </c>
      <c r="G112" t="s">
        <v>31</v>
      </c>
      <c r="H112" t="s">
        <v>21</v>
      </c>
      <c r="I112">
        <v>7</v>
      </c>
      <c r="J112">
        <v>5</v>
      </c>
    </row>
    <row r="113" spans="1:10" x14ac:dyDescent="0.2">
      <c r="A113" s="1" t="s">
        <v>191</v>
      </c>
      <c r="B113" t="s">
        <v>25</v>
      </c>
      <c r="C113">
        <v>5</v>
      </c>
      <c r="D113" t="s">
        <v>12</v>
      </c>
      <c r="E113">
        <v>4</v>
      </c>
      <c r="F113" t="s">
        <v>61</v>
      </c>
      <c r="G113" t="s">
        <v>25</v>
      </c>
      <c r="H113" t="s">
        <v>12</v>
      </c>
      <c r="I113">
        <v>5</v>
      </c>
      <c r="J113">
        <v>4</v>
      </c>
    </row>
    <row r="114" spans="1:10" x14ac:dyDescent="0.2">
      <c r="A114" s="1" t="s">
        <v>191</v>
      </c>
      <c r="B114" t="s">
        <v>13</v>
      </c>
      <c r="C114">
        <v>3</v>
      </c>
      <c r="D114" t="s">
        <v>39</v>
      </c>
      <c r="E114">
        <v>2</v>
      </c>
      <c r="F114" t="s">
        <v>62</v>
      </c>
      <c r="G114" t="s">
        <v>13</v>
      </c>
      <c r="H114" t="s">
        <v>39</v>
      </c>
      <c r="I114">
        <v>3</v>
      </c>
      <c r="J114">
        <v>2</v>
      </c>
    </row>
    <row r="115" spans="1:10" x14ac:dyDescent="0.2">
      <c r="A115" s="1" t="s">
        <v>191</v>
      </c>
      <c r="B115" t="s">
        <v>18</v>
      </c>
      <c r="C115">
        <v>5</v>
      </c>
      <c r="D115" t="s">
        <v>17</v>
      </c>
      <c r="E115">
        <v>6</v>
      </c>
      <c r="F115" t="s">
        <v>60</v>
      </c>
      <c r="G115" t="s">
        <v>17</v>
      </c>
      <c r="H115" t="s">
        <v>18</v>
      </c>
      <c r="I115">
        <v>6</v>
      </c>
      <c r="J115">
        <v>5</v>
      </c>
    </row>
    <row r="116" spans="1:10" x14ac:dyDescent="0.2">
      <c r="A116" s="1" t="s">
        <v>191</v>
      </c>
      <c r="B116" t="s">
        <v>14</v>
      </c>
      <c r="C116">
        <v>5</v>
      </c>
      <c r="D116" t="s">
        <v>11</v>
      </c>
      <c r="E116">
        <v>3</v>
      </c>
      <c r="F116" t="s">
        <v>60</v>
      </c>
      <c r="G116" t="s">
        <v>14</v>
      </c>
      <c r="H116" t="s">
        <v>11</v>
      </c>
      <c r="I116">
        <v>5</v>
      </c>
      <c r="J116">
        <v>3</v>
      </c>
    </row>
    <row r="117" spans="1:10" x14ac:dyDescent="0.2">
      <c r="A117" s="1" t="s">
        <v>191</v>
      </c>
      <c r="B117" t="s">
        <v>38</v>
      </c>
      <c r="C117">
        <v>1</v>
      </c>
      <c r="D117" t="s">
        <v>29</v>
      </c>
      <c r="E117">
        <v>2</v>
      </c>
      <c r="F117" t="s">
        <v>60</v>
      </c>
      <c r="G117" t="s">
        <v>29</v>
      </c>
      <c r="H117" t="s">
        <v>38</v>
      </c>
      <c r="I117">
        <v>2</v>
      </c>
      <c r="J117">
        <v>1</v>
      </c>
    </row>
    <row r="118" spans="1:10" x14ac:dyDescent="0.2">
      <c r="A118" s="1" t="s">
        <v>191</v>
      </c>
      <c r="B118" t="s">
        <v>26</v>
      </c>
      <c r="C118">
        <v>2</v>
      </c>
      <c r="D118" t="s">
        <v>30</v>
      </c>
      <c r="E118">
        <v>7</v>
      </c>
      <c r="F118" t="s">
        <v>60</v>
      </c>
      <c r="G118" t="s">
        <v>30</v>
      </c>
      <c r="H118" t="s">
        <v>26</v>
      </c>
      <c r="I118">
        <v>7</v>
      </c>
      <c r="J118">
        <v>2</v>
      </c>
    </row>
    <row r="119" spans="1:10" x14ac:dyDescent="0.2">
      <c r="A119" s="1" t="s">
        <v>191</v>
      </c>
      <c r="B119" t="s">
        <v>33</v>
      </c>
      <c r="C119">
        <v>6</v>
      </c>
      <c r="D119" t="s">
        <v>15</v>
      </c>
      <c r="E119">
        <v>5</v>
      </c>
      <c r="F119" t="s">
        <v>62</v>
      </c>
      <c r="G119" t="s">
        <v>33</v>
      </c>
      <c r="H119" t="s">
        <v>15</v>
      </c>
      <c r="I119">
        <v>6</v>
      </c>
      <c r="J119">
        <v>5</v>
      </c>
    </row>
    <row r="120" spans="1:10" x14ac:dyDescent="0.2">
      <c r="A120" s="1" t="s">
        <v>191</v>
      </c>
      <c r="B120" t="s">
        <v>27</v>
      </c>
      <c r="C120">
        <v>1</v>
      </c>
      <c r="D120" t="s">
        <v>36</v>
      </c>
      <c r="E120">
        <v>2</v>
      </c>
      <c r="F120" t="s">
        <v>60</v>
      </c>
      <c r="G120" t="s">
        <v>36</v>
      </c>
      <c r="H120" t="s">
        <v>27</v>
      </c>
      <c r="I120">
        <v>2</v>
      </c>
      <c r="J120">
        <v>1</v>
      </c>
    </row>
    <row r="121" spans="1:10" x14ac:dyDescent="0.2">
      <c r="A121" s="1" t="s">
        <v>191</v>
      </c>
      <c r="B121" t="s">
        <v>55</v>
      </c>
      <c r="C121">
        <v>7</v>
      </c>
      <c r="D121" t="s">
        <v>35</v>
      </c>
      <c r="E121">
        <v>4</v>
      </c>
      <c r="F121" t="s">
        <v>60</v>
      </c>
      <c r="G121" t="s">
        <v>55</v>
      </c>
      <c r="H121" t="s">
        <v>35</v>
      </c>
      <c r="I121">
        <v>7</v>
      </c>
      <c r="J121">
        <v>4</v>
      </c>
    </row>
    <row r="122" spans="1:10" x14ac:dyDescent="0.2">
      <c r="A122" s="1" t="s">
        <v>191</v>
      </c>
      <c r="B122" t="s">
        <v>10</v>
      </c>
      <c r="C122">
        <v>3</v>
      </c>
      <c r="D122" t="s">
        <v>37</v>
      </c>
      <c r="E122">
        <v>2</v>
      </c>
      <c r="F122" t="s">
        <v>60</v>
      </c>
      <c r="G122" t="s">
        <v>10</v>
      </c>
      <c r="H122" t="s">
        <v>37</v>
      </c>
      <c r="I122">
        <v>3</v>
      </c>
      <c r="J122">
        <v>2</v>
      </c>
    </row>
    <row r="123" spans="1:10" x14ac:dyDescent="0.2">
      <c r="A123" s="1" t="s">
        <v>191</v>
      </c>
      <c r="B123" t="s">
        <v>32</v>
      </c>
      <c r="C123">
        <v>3</v>
      </c>
      <c r="D123" t="s">
        <v>40</v>
      </c>
      <c r="E123">
        <v>0</v>
      </c>
      <c r="F123" t="s">
        <v>60</v>
      </c>
      <c r="G123" t="s">
        <v>32</v>
      </c>
      <c r="H123" t="s">
        <v>40</v>
      </c>
      <c r="I123">
        <v>3</v>
      </c>
      <c r="J123">
        <v>0</v>
      </c>
    </row>
    <row r="124" spans="1:10" x14ac:dyDescent="0.2">
      <c r="A124" s="1" t="s">
        <v>192</v>
      </c>
      <c r="B124" t="s">
        <v>19</v>
      </c>
      <c r="C124">
        <v>3</v>
      </c>
      <c r="D124" t="s">
        <v>23</v>
      </c>
      <c r="E124">
        <v>5</v>
      </c>
      <c r="F124" t="s">
        <v>60</v>
      </c>
      <c r="G124" t="s">
        <v>23</v>
      </c>
      <c r="H124" t="s">
        <v>19</v>
      </c>
      <c r="I124">
        <v>5</v>
      </c>
      <c r="J124">
        <v>3</v>
      </c>
    </row>
    <row r="125" spans="1:10" x14ac:dyDescent="0.2">
      <c r="A125" s="1" t="s">
        <v>192</v>
      </c>
      <c r="B125" t="s">
        <v>22</v>
      </c>
      <c r="C125">
        <v>5</v>
      </c>
      <c r="D125" t="s">
        <v>28</v>
      </c>
      <c r="E125">
        <v>1</v>
      </c>
      <c r="F125" t="s">
        <v>60</v>
      </c>
      <c r="G125" t="s">
        <v>22</v>
      </c>
      <c r="H125" t="s">
        <v>28</v>
      </c>
      <c r="I125">
        <v>5</v>
      </c>
      <c r="J125">
        <v>1</v>
      </c>
    </row>
    <row r="126" spans="1:10" x14ac:dyDescent="0.2">
      <c r="A126" s="1" t="s">
        <v>192</v>
      </c>
      <c r="B126" t="s">
        <v>33</v>
      </c>
      <c r="C126">
        <v>1</v>
      </c>
      <c r="D126" t="s">
        <v>24</v>
      </c>
      <c r="E126">
        <v>3</v>
      </c>
      <c r="F126" t="s">
        <v>60</v>
      </c>
      <c r="G126" t="s">
        <v>24</v>
      </c>
      <c r="H126" t="s">
        <v>33</v>
      </c>
      <c r="I126">
        <v>3</v>
      </c>
      <c r="J126">
        <v>1</v>
      </c>
    </row>
    <row r="127" spans="1:10" x14ac:dyDescent="0.2">
      <c r="A127" s="1" t="s">
        <v>192</v>
      </c>
      <c r="B127" t="s">
        <v>16</v>
      </c>
      <c r="C127">
        <v>3</v>
      </c>
      <c r="D127" t="s">
        <v>40</v>
      </c>
      <c r="E127">
        <v>5</v>
      </c>
      <c r="F127" t="s">
        <v>60</v>
      </c>
      <c r="G127" t="s">
        <v>40</v>
      </c>
      <c r="H127" t="s">
        <v>16</v>
      </c>
      <c r="I127">
        <v>5</v>
      </c>
      <c r="J127">
        <v>3</v>
      </c>
    </row>
    <row r="128" spans="1:10" x14ac:dyDescent="0.2">
      <c r="A128" s="1" t="s">
        <v>193</v>
      </c>
      <c r="B128" t="s">
        <v>12</v>
      </c>
      <c r="C128">
        <v>2</v>
      </c>
      <c r="D128" t="s">
        <v>21</v>
      </c>
      <c r="E128">
        <v>3</v>
      </c>
      <c r="F128" t="s">
        <v>60</v>
      </c>
      <c r="G128" t="s">
        <v>21</v>
      </c>
      <c r="H128" t="s">
        <v>12</v>
      </c>
      <c r="I128">
        <v>3</v>
      </c>
      <c r="J128">
        <v>2</v>
      </c>
    </row>
    <row r="129" spans="1:10" x14ac:dyDescent="0.2">
      <c r="A129" s="1" t="s">
        <v>193</v>
      </c>
      <c r="B129" t="s">
        <v>25</v>
      </c>
      <c r="C129">
        <v>2</v>
      </c>
      <c r="D129" t="s">
        <v>39</v>
      </c>
      <c r="E129">
        <v>3</v>
      </c>
      <c r="F129" t="s">
        <v>60</v>
      </c>
      <c r="G129" t="s">
        <v>39</v>
      </c>
      <c r="H129" t="s">
        <v>25</v>
      </c>
      <c r="I129">
        <v>3</v>
      </c>
      <c r="J129">
        <v>2</v>
      </c>
    </row>
    <row r="130" spans="1:10" x14ac:dyDescent="0.2">
      <c r="A130" s="1" t="s">
        <v>193</v>
      </c>
      <c r="B130" t="s">
        <v>35</v>
      </c>
      <c r="C130">
        <v>4</v>
      </c>
      <c r="D130" t="s">
        <v>26</v>
      </c>
      <c r="E130">
        <v>6</v>
      </c>
      <c r="F130" t="s">
        <v>60</v>
      </c>
      <c r="G130" t="s">
        <v>26</v>
      </c>
      <c r="H130" t="s">
        <v>35</v>
      </c>
      <c r="I130">
        <v>6</v>
      </c>
      <c r="J130">
        <v>4</v>
      </c>
    </row>
    <row r="131" spans="1:10" x14ac:dyDescent="0.2">
      <c r="A131" s="1" t="s">
        <v>193</v>
      </c>
      <c r="B131" t="s">
        <v>20</v>
      </c>
      <c r="C131">
        <v>0</v>
      </c>
      <c r="D131" t="s">
        <v>11</v>
      </c>
      <c r="E131">
        <v>3</v>
      </c>
      <c r="F131" t="s">
        <v>60</v>
      </c>
      <c r="G131" t="s">
        <v>11</v>
      </c>
      <c r="H131" t="s">
        <v>20</v>
      </c>
      <c r="I131">
        <v>3</v>
      </c>
      <c r="J131">
        <v>0</v>
      </c>
    </row>
    <row r="132" spans="1:10" x14ac:dyDescent="0.2">
      <c r="A132" s="1" t="s">
        <v>193</v>
      </c>
      <c r="B132" t="s">
        <v>55</v>
      </c>
      <c r="C132">
        <v>6</v>
      </c>
      <c r="D132" t="s">
        <v>34</v>
      </c>
      <c r="E132">
        <v>2</v>
      </c>
      <c r="F132" t="s">
        <v>60</v>
      </c>
      <c r="G132" t="s">
        <v>55</v>
      </c>
      <c r="H132" t="s">
        <v>34</v>
      </c>
      <c r="I132">
        <v>6</v>
      </c>
      <c r="J132">
        <v>2</v>
      </c>
    </row>
    <row r="133" spans="1:10" x14ac:dyDescent="0.2">
      <c r="A133" s="1" t="s">
        <v>193</v>
      </c>
      <c r="B133" t="s">
        <v>13</v>
      </c>
      <c r="C133">
        <v>4</v>
      </c>
      <c r="D133" t="s">
        <v>29</v>
      </c>
      <c r="E133">
        <v>5</v>
      </c>
      <c r="F133" t="s">
        <v>61</v>
      </c>
      <c r="G133" t="s">
        <v>29</v>
      </c>
      <c r="H133" t="s">
        <v>13</v>
      </c>
      <c r="I133">
        <v>5</v>
      </c>
      <c r="J133">
        <v>4</v>
      </c>
    </row>
    <row r="134" spans="1:10" x14ac:dyDescent="0.2">
      <c r="A134" s="1" t="s">
        <v>193</v>
      </c>
      <c r="B134" t="s">
        <v>30</v>
      </c>
      <c r="C134">
        <v>3</v>
      </c>
      <c r="D134" t="s">
        <v>27</v>
      </c>
      <c r="E134">
        <v>4</v>
      </c>
      <c r="F134" t="s">
        <v>61</v>
      </c>
      <c r="G134" t="s">
        <v>27</v>
      </c>
      <c r="H134" t="s">
        <v>30</v>
      </c>
      <c r="I134">
        <v>4</v>
      </c>
      <c r="J134">
        <v>3</v>
      </c>
    </row>
    <row r="135" spans="1:10" x14ac:dyDescent="0.2">
      <c r="A135" s="1" t="s">
        <v>193</v>
      </c>
      <c r="B135" t="s">
        <v>28</v>
      </c>
      <c r="C135">
        <v>5</v>
      </c>
      <c r="D135" t="s">
        <v>14</v>
      </c>
      <c r="E135">
        <v>4</v>
      </c>
      <c r="F135" t="s">
        <v>61</v>
      </c>
      <c r="G135" t="s">
        <v>28</v>
      </c>
      <c r="H135" t="s">
        <v>14</v>
      </c>
      <c r="I135">
        <v>5</v>
      </c>
      <c r="J135">
        <v>4</v>
      </c>
    </row>
    <row r="136" spans="1:10" x14ac:dyDescent="0.2">
      <c r="A136" s="1" t="s">
        <v>193</v>
      </c>
      <c r="B136" t="s">
        <v>17</v>
      </c>
      <c r="C136">
        <v>2</v>
      </c>
      <c r="D136" t="s">
        <v>32</v>
      </c>
      <c r="E136">
        <v>3</v>
      </c>
      <c r="F136" t="s">
        <v>60</v>
      </c>
      <c r="G136" t="s">
        <v>32</v>
      </c>
      <c r="H136" t="s">
        <v>17</v>
      </c>
      <c r="I136">
        <v>3</v>
      </c>
      <c r="J136">
        <v>2</v>
      </c>
    </row>
    <row r="137" spans="1:10" x14ac:dyDescent="0.2">
      <c r="A137" s="1" t="s">
        <v>193</v>
      </c>
      <c r="B137" t="s">
        <v>31</v>
      </c>
      <c r="C137">
        <v>3</v>
      </c>
      <c r="D137" t="s">
        <v>37</v>
      </c>
      <c r="E137">
        <v>4</v>
      </c>
      <c r="F137" t="s">
        <v>60</v>
      </c>
      <c r="G137" t="s">
        <v>37</v>
      </c>
      <c r="H137" t="s">
        <v>31</v>
      </c>
      <c r="I137">
        <v>4</v>
      </c>
      <c r="J137">
        <v>3</v>
      </c>
    </row>
    <row r="138" spans="1:10" x14ac:dyDescent="0.2">
      <c r="A138" s="1" t="s">
        <v>193</v>
      </c>
      <c r="B138" t="s">
        <v>23</v>
      </c>
      <c r="C138">
        <v>3</v>
      </c>
      <c r="D138" t="s">
        <v>19</v>
      </c>
      <c r="E138">
        <v>4</v>
      </c>
      <c r="F138" t="s">
        <v>62</v>
      </c>
      <c r="G138" t="s">
        <v>19</v>
      </c>
      <c r="H138" t="s">
        <v>23</v>
      </c>
      <c r="I138">
        <v>4</v>
      </c>
      <c r="J138">
        <v>3</v>
      </c>
    </row>
    <row r="139" spans="1:10" x14ac:dyDescent="0.2">
      <c r="A139" s="1" t="s">
        <v>193</v>
      </c>
      <c r="B139" t="s">
        <v>18</v>
      </c>
      <c r="C139">
        <v>4</v>
      </c>
      <c r="D139" t="s">
        <v>38</v>
      </c>
      <c r="E139">
        <v>3</v>
      </c>
      <c r="F139" t="s">
        <v>60</v>
      </c>
      <c r="G139" t="s">
        <v>18</v>
      </c>
      <c r="H139" t="s">
        <v>38</v>
      </c>
      <c r="I139">
        <v>4</v>
      </c>
      <c r="J139">
        <v>3</v>
      </c>
    </row>
    <row r="140" spans="1:10" x14ac:dyDescent="0.2">
      <c r="A140" s="1" t="s">
        <v>193</v>
      </c>
      <c r="B140" t="s">
        <v>36</v>
      </c>
      <c r="C140">
        <v>7</v>
      </c>
      <c r="D140" t="s">
        <v>22</v>
      </c>
      <c r="E140">
        <v>1</v>
      </c>
      <c r="F140" t="s">
        <v>60</v>
      </c>
      <c r="G140" t="s">
        <v>36</v>
      </c>
      <c r="H140" t="s">
        <v>22</v>
      </c>
      <c r="I140">
        <v>7</v>
      </c>
      <c r="J140">
        <v>1</v>
      </c>
    </row>
    <row r="141" spans="1:10" x14ac:dyDescent="0.2">
      <c r="A141" s="1" t="s">
        <v>194</v>
      </c>
      <c r="B141" t="s">
        <v>15</v>
      </c>
      <c r="C141">
        <v>1</v>
      </c>
      <c r="D141" t="s">
        <v>16</v>
      </c>
      <c r="E141">
        <v>5</v>
      </c>
      <c r="F141" t="s">
        <v>60</v>
      </c>
      <c r="G141" t="s">
        <v>16</v>
      </c>
      <c r="H141" t="s">
        <v>15</v>
      </c>
      <c r="I141">
        <v>5</v>
      </c>
      <c r="J141">
        <v>1</v>
      </c>
    </row>
    <row r="142" spans="1:10" x14ac:dyDescent="0.2">
      <c r="A142" s="1" t="s">
        <v>194</v>
      </c>
      <c r="B142" t="s">
        <v>13</v>
      </c>
      <c r="C142">
        <v>3</v>
      </c>
      <c r="D142" t="s">
        <v>10</v>
      </c>
      <c r="E142">
        <v>1</v>
      </c>
      <c r="F142" t="s">
        <v>60</v>
      </c>
      <c r="G142" t="s">
        <v>13</v>
      </c>
      <c r="H142" t="s">
        <v>10</v>
      </c>
      <c r="I142">
        <v>3</v>
      </c>
      <c r="J142">
        <v>1</v>
      </c>
    </row>
    <row r="143" spans="1:10" x14ac:dyDescent="0.2">
      <c r="A143" s="1" t="s">
        <v>194</v>
      </c>
      <c r="B143" t="s">
        <v>33</v>
      </c>
      <c r="C143">
        <v>6</v>
      </c>
      <c r="D143" t="s">
        <v>34</v>
      </c>
      <c r="E143">
        <v>5</v>
      </c>
      <c r="F143" t="s">
        <v>62</v>
      </c>
      <c r="G143" t="s">
        <v>33</v>
      </c>
      <c r="H143" t="s">
        <v>34</v>
      </c>
      <c r="I143">
        <v>6</v>
      </c>
      <c r="J143">
        <v>5</v>
      </c>
    </row>
    <row r="144" spans="1:10" x14ac:dyDescent="0.2">
      <c r="A144" s="1" t="s">
        <v>194</v>
      </c>
      <c r="B144" t="s">
        <v>12</v>
      </c>
      <c r="C144">
        <v>3</v>
      </c>
      <c r="D144" t="s">
        <v>24</v>
      </c>
      <c r="E144">
        <v>4</v>
      </c>
      <c r="F144" t="s">
        <v>62</v>
      </c>
      <c r="G144" t="s">
        <v>24</v>
      </c>
      <c r="H144" t="s">
        <v>12</v>
      </c>
      <c r="I144">
        <v>4</v>
      </c>
      <c r="J144">
        <v>3</v>
      </c>
    </row>
    <row r="145" spans="1:10" x14ac:dyDescent="0.2">
      <c r="A145" s="1" t="s">
        <v>194</v>
      </c>
      <c r="B145" t="s">
        <v>39</v>
      </c>
      <c r="C145">
        <v>3</v>
      </c>
      <c r="D145" t="s">
        <v>29</v>
      </c>
      <c r="E145">
        <v>2</v>
      </c>
      <c r="F145" t="s">
        <v>60</v>
      </c>
      <c r="G145" t="s">
        <v>39</v>
      </c>
      <c r="H145" t="s">
        <v>29</v>
      </c>
      <c r="I145">
        <v>3</v>
      </c>
      <c r="J145">
        <v>2</v>
      </c>
    </row>
    <row r="146" spans="1:10" x14ac:dyDescent="0.2">
      <c r="A146" s="1" t="s">
        <v>194</v>
      </c>
      <c r="B146" t="s">
        <v>20</v>
      </c>
      <c r="C146">
        <v>1</v>
      </c>
      <c r="D146" t="s">
        <v>37</v>
      </c>
      <c r="E146">
        <v>2</v>
      </c>
      <c r="F146" t="s">
        <v>62</v>
      </c>
      <c r="G146" t="s">
        <v>37</v>
      </c>
      <c r="H146" t="s">
        <v>20</v>
      </c>
      <c r="I146">
        <v>2</v>
      </c>
      <c r="J146">
        <v>1</v>
      </c>
    </row>
    <row r="147" spans="1:10" x14ac:dyDescent="0.2">
      <c r="A147" s="1" t="s">
        <v>194</v>
      </c>
      <c r="B147" t="s">
        <v>17</v>
      </c>
      <c r="C147">
        <v>3</v>
      </c>
      <c r="D147" t="s">
        <v>38</v>
      </c>
      <c r="E147">
        <v>4</v>
      </c>
      <c r="F147" t="s">
        <v>62</v>
      </c>
      <c r="G147" t="s">
        <v>38</v>
      </c>
      <c r="H147" t="s">
        <v>17</v>
      </c>
      <c r="I147">
        <v>4</v>
      </c>
      <c r="J147">
        <v>3</v>
      </c>
    </row>
    <row r="148" spans="1:10" x14ac:dyDescent="0.2">
      <c r="A148" s="1" t="s">
        <v>194</v>
      </c>
      <c r="B148" t="s">
        <v>55</v>
      </c>
      <c r="C148">
        <v>3</v>
      </c>
      <c r="D148" t="s">
        <v>40</v>
      </c>
      <c r="E148">
        <v>2</v>
      </c>
      <c r="F148" t="s">
        <v>60</v>
      </c>
      <c r="G148" t="s">
        <v>55</v>
      </c>
      <c r="H148" t="s">
        <v>40</v>
      </c>
      <c r="I148">
        <v>3</v>
      </c>
      <c r="J148">
        <v>2</v>
      </c>
    </row>
    <row r="149" spans="1:10" x14ac:dyDescent="0.2">
      <c r="A149" s="1" t="s">
        <v>195</v>
      </c>
      <c r="B149" t="s">
        <v>21</v>
      </c>
      <c r="C149">
        <v>2</v>
      </c>
      <c r="D149" t="s">
        <v>36</v>
      </c>
      <c r="E149">
        <v>7</v>
      </c>
      <c r="F149" t="s">
        <v>60</v>
      </c>
      <c r="G149" t="s">
        <v>36</v>
      </c>
      <c r="H149" t="s">
        <v>21</v>
      </c>
      <c r="I149">
        <v>7</v>
      </c>
      <c r="J149">
        <v>2</v>
      </c>
    </row>
    <row r="150" spans="1:10" x14ac:dyDescent="0.2">
      <c r="A150" s="1" t="s">
        <v>195</v>
      </c>
      <c r="B150" t="s">
        <v>35</v>
      </c>
      <c r="C150">
        <v>3</v>
      </c>
      <c r="D150" t="s">
        <v>14</v>
      </c>
      <c r="E150">
        <v>6</v>
      </c>
      <c r="F150" t="s">
        <v>60</v>
      </c>
      <c r="G150" t="s">
        <v>14</v>
      </c>
      <c r="H150" t="s">
        <v>35</v>
      </c>
      <c r="I150">
        <v>6</v>
      </c>
      <c r="J150">
        <v>3</v>
      </c>
    </row>
    <row r="151" spans="1:10" x14ac:dyDescent="0.2">
      <c r="A151" s="1" t="s">
        <v>196</v>
      </c>
      <c r="B151" t="s">
        <v>30</v>
      </c>
      <c r="C151">
        <v>2</v>
      </c>
      <c r="D151" t="s">
        <v>21</v>
      </c>
      <c r="E151">
        <v>5</v>
      </c>
      <c r="F151" t="s">
        <v>60</v>
      </c>
      <c r="G151" t="s">
        <v>21</v>
      </c>
      <c r="H151" t="s">
        <v>30</v>
      </c>
      <c r="I151">
        <v>5</v>
      </c>
      <c r="J151">
        <v>2</v>
      </c>
    </row>
    <row r="152" spans="1:10" x14ac:dyDescent="0.2">
      <c r="A152" s="1" t="s">
        <v>196</v>
      </c>
      <c r="B152" t="s">
        <v>28</v>
      </c>
      <c r="C152">
        <v>4</v>
      </c>
      <c r="D152" t="s">
        <v>23</v>
      </c>
      <c r="E152">
        <v>3</v>
      </c>
      <c r="F152" t="s">
        <v>62</v>
      </c>
      <c r="G152" t="s">
        <v>28</v>
      </c>
      <c r="H152" t="s">
        <v>23</v>
      </c>
      <c r="I152">
        <v>4</v>
      </c>
      <c r="J152">
        <v>3</v>
      </c>
    </row>
    <row r="153" spans="1:10" x14ac:dyDescent="0.2">
      <c r="A153" s="1" t="s">
        <v>196</v>
      </c>
      <c r="B153" t="s">
        <v>20</v>
      </c>
      <c r="C153">
        <v>6</v>
      </c>
      <c r="D153" t="s">
        <v>25</v>
      </c>
      <c r="E153">
        <v>3</v>
      </c>
      <c r="F153" t="s">
        <v>60</v>
      </c>
      <c r="G153" t="s">
        <v>20</v>
      </c>
      <c r="H153" t="s">
        <v>25</v>
      </c>
      <c r="I153">
        <v>6</v>
      </c>
      <c r="J153">
        <v>3</v>
      </c>
    </row>
    <row r="154" spans="1:10" x14ac:dyDescent="0.2">
      <c r="A154" s="1" t="s">
        <v>196</v>
      </c>
      <c r="B154" t="s">
        <v>36</v>
      </c>
      <c r="C154">
        <v>3</v>
      </c>
      <c r="D154" t="s">
        <v>10</v>
      </c>
      <c r="E154">
        <v>7</v>
      </c>
      <c r="F154" t="s">
        <v>60</v>
      </c>
      <c r="G154" t="s">
        <v>10</v>
      </c>
      <c r="H154" t="s">
        <v>36</v>
      </c>
      <c r="I154">
        <v>7</v>
      </c>
      <c r="J154">
        <v>3</v>
      </c>
    </row>
    <row r="155" spans="1:10" x14ac:dyDescent="0.2">
      <c r="A155" s="1" t="s">
        <v>196</v>
      </c>
      <c r="B155" t="s">
        <v>24</v>
      </c>
      <c r="C155">
        <v>4</v>
      </c>
      <c r="D155" t="s">
        <v>12</v>
      </c>
      <c r="E155">
        <v>8</v>
      </c>
      <c r="F155" t="s">
        <v>60</v>
      </c>
      <c r="G155" t="s">
        <v>12</v>
      </c>
      <c r="H155" t="s">
        <v>24</v>
      </c>
      <c r="I155">
        <v>8</v>
      </c>
      <c r="J155">
        <v>4</v>
      </c>
    </row>
    <row r="156" spans="1:10" x14ac:dyDescent="0.2">
      <c r="A156" s="1" t="s">
        <v>196</v>
      </c>
      <c r="B156" t="s">
        <v>22</v>
      </c>
      <c r="C156">
        <v>0</v>
      </c>
      <c r="D156" t="s">
        <v>39</v>
      </c>
      <c r="E156">
        <v>1</v>
      </c>
      <c r="F156" t="s">
        <v>60</v>
      </c>
      <c r="G156" t="s">
        <v>39</v>
      </c>
      <c r="H156" t="s">
        <v>22</v>
      </c>
      <c r="I156">
        <v>1</v>
      </c>
      <c r="J156">
        <v>0</v>
      </c>
    </row>
    <row r="157" spans="1:10" x14ac:dyDescent="0.2">
      <c r="A157" s="1" t="s">
        <v>196</v>
      </c>
      <c r="B157" t="s">
        <v>55</v>
      </c>
      <c r="C157">
        <v>3</v>
      </c>
      <c r="D157" t="s">
        <v>17</v>
      </c>
      <c r="E157">
        <v>6</v>
      </c>
      <c r="F157" t="s">
        <v>60</v>
      </c>
      <c r="G157" t="s">
        <v>17</v>
      </c>
      <c r="H157" t="s">
        <v>55</v>
      </c>
      <c r="I157">
        <v>6</v>
      </c>
      <c r="J157">
        <v>3</v>
      </c>
    </row>
    <row r="158" spans="1:10" x14ac:dyDescent="0.2">
      <c r="A158" s="1" t="s">
        <v>196</v>
      </c>
      <c r="B158" t="s">
        <v>31</v>
      </c>
      <c r="C158">
        <v>3</v>
      </c>
      <c r="D158" t="s">
        <v>11</v>
      </c>
      <c r="E158">
        <v>2</v>
      </c>
      <c r="F158" t="s">
        <v>61</v>
      </c>
      <c r="G158" t="s">
        <v>31</v>
      </c>
      <c r="H158" t="s">
        <v>11</v>
      </c>
      <c r="I158">
        <v>3</v>
      </c>
      <c r="J158">
        <v>2</v>
      </c>
    </row>
    <row r="159" spans="1:10" x14ac:dyDescent="0.2">
      <c r="A159" s="1" t="s">
        <v>196</v>
      </c>
      <c r="B159" t="s">
        <v>40</v>
      </c>
      <c r="C159">
        <v>4</v>
      </c>
      <c r="D159" t="s">
        <v>34</v>
      </c>
      <c r="E159">
        <v>3</v>
      </c>
      <c r="F159" t="s">
        <v>62</v>
      </c>
      <c r="G159" t="s">
        <v>40</v>
      </c>
      <c r="H159" t="s">
        <v>34</v>
      </c>
      <c r="I159">
        <v>4</v>
      </c>
      <c r="J159">
        <v>3</v>
      </c>
    </row>
    <row r="160" spans="1:10" x14ac:dyDescent="0.2">
      <c r="A160" s="1" t="s">
        <v>196</v>
      </c>
      <c r="B160" t="s">
        <v>37</v>
      </c>
      <c r="C160">
        <v>5</v>
      </c>
      <c r="D160" t="s">
        <v>29</v>
      </c>
      <c r="E160">
        <v>2</v>
      </c>
      <c r="F160" t="s">
        <v>60</v>
      </c>
      <c r="G160" t="s">
        <v>37</v>
      </c>
      <c r="H160" t="s">
        <v>29</v>
      </c>
      <c r="I160">
        <v>5</v>
      </c>
      <c r="J160">
        <v>2</v>
      </c>
    </row>
    <row r="161" spans="1:10" x14ac:dyDescent="0.2">
      <c r="A161" s="1" t="s">
        <v>196</v>
      </c>
      <c r="B161" t="s">
        <v>14</v>
      </c>
      <c r="C161">
        <v>2</v>
      </c>
      <c r="D161" t="s">
        <v>27</v>
      </c>
      <c r="E161">
        <v>3</v>
      </c>
      <c r="F161" t="s">
        <v>61</v>
      </c>
      <c r="G161" t="s">
        <v>27</v>
      </c>
      <c r="H161" t="s">
        <v>14</v>
      </c>
      <c r="I161">
        <v>3</v>
      </c>
      <c r="J161">
        <v>2</v>
      </c>
    </row>
    <row r="162" spans="1:10" x14ac:dyDescent="0.2">
      <c r="A162" s="1" t="s">
        <v>196</v>
      </c>
      <c r="B162" t="s">
        <v>18</v>
      </c>
      <c r="C162">
        <v>4</v>
      </c>
      <c r="D162" t="s">
        <v>32</v>
      </c>
      <c r="E162">
        <v>3</v>
      </c>
      <c r="F162" t="s">
        <v>62</v>
      </c>
      <c r="G162" t="s">
        <v>18</v>
      </c>
      <c r="H162" t="s">
        <v>32</v>
      </c>
      <c r="I162">
        <v>4</v>
      </c>
      <c r="J162">
        <v>3</v>
      </c>
    </row>
    <row r="163" spans="1:10" x14ac:dyDescent="0.2">
      <c r="A163" s="1" t="s">
        <v>196</v>
      </c>
      <c r="B163" t="s">
        <v>13</v>
      </c>
      <c r="C163">
        <v>4</v>
      </c>
      <c r="D163" t="s">
        <v>33</v>
      </c>
      <c r="E163">
        <v>3</v>
      </c>
      <c r="F163" t="s">
        <v>60</v>
      </c>
      <c r="G163" t="s">
        <v>13</v>
      </c>
      <c r="H163" t="s">
        <v>33</v>
      </c>
      <c r="I163">
        <v>4</v>
      </c>
      <c r="J163">
        <v>3</v>
      </c>
    </row>
    <row r="164" spans="1:10" x14ac:dyDescent="0.2">
      <c r="A164" s="1" t="s">
        <v>196</v>
      </c>
      <c r="B164" t="s">
        <v>26</v>
      </c>
      <c r="C164">
        <v>5</v>
      </c>
      <c r="D164" t="s">
        <v>35</v>
      </c>
      <c r="E164">
        <v>2</v>
      </c>
      <c r="F164" t="s">
        <v>60</v>
      </c>
      <c r="G164" t="s">
        <v>26</v>
      </c>
      <c r="H164" t="s">
        <v>35</v>
      </c>
      <c r="I164">
        <v>5</v>
      </c>
      <c r="J164">
        <v>2</v>
      </c>
    </row>
    <row r="165" spans="1:10" x14ac:dyDescent="0.2">
      <c r="A165" s="1" t="s">
        <v>196</v>
      </c>
      <c r="B165" t="s">
        <v>16</v>
      </c>
      <c r="C165">
        <v>3</v>
      </c>
      <c r="D165" t="s">
        <v>19</v>
      </c>
      <c r="E165">
        <v>4</v>
      </c>
      <c r="F165" t="s">
        <v>60</v>
      </c>
      <c r="G165" t="s">
        <v>19</v>
      </c>
      <c r="H165" t="s">
        <v>16</v>
      </c>
      <c r="I165">
        <v>4</v>
      </c>
      <c r="J165">
        <v>3</v>
      </c>
    </row>
    <row r="166" spans="1:10" x14ac:dyDescent="0.2">
      <c r="A166" s="1" t="s">
        <v>196</v>
      </c>
      <c r="B166" t="s">
        <v>15</v>
      </c>
      <c r="C166">
        <v>2</v>
      </c>
      <c r="D166" t="s">
        <v>38</v>
      </c>
      <c r="E166">
        <v>0</v>
      </c>
      <c r="F166" t="s">
        <v>60</v>
      </c>
      <c r="G166" t="s">
        <v>15</v>
      </c>
      <c r="H166" t="s">
        <v>38</v>
      </c>
      <c r="I166">
        <v>2</v>
      </c>
      <c r="J166">
        <v>0</v>
      </c>
    </row>
    <row r="167" spans="1:10" x14ac:dyDescent="0.2">
      <c r="A167" s="1" t="s">
        <v>197</v>
      </c>
      <c r="B167" t="s">
        <v>19</v>
      </c>
      <c r="C167">
        <v>3</v>
      </c>
      <c r="D167" t="s">
        <v>28</v>
      </c>
      <c r="E167">
        <v>6</v>
      </c>
      <c r="F167" t="s">
        <v>60</v>
      </c>
      <c r="G167" t="s">
        <v>28</v>
      </c>
      <c r="H167" t="s">
        <v>19</v>
      </c>
      <c r="I167">
        <v>6</v>
      </c>
      <c r="J167">
        <v>3</v>
      </c>
    </row>
    <row r="168" spans="1:10" x14ac:dyDescent="0.2">
      <c r="A168" s="1" t="s">
        <v>198</v>
      </c>
      <c r="B168" t="s">
        <v>23</v>
      </c>
      <c r="C168">
        <v>3</v>
      </c>
      <c r="D168" t="s">
        <v>21</v>
      </c>
      <c r="E168">
        <v>4</v>
      </c>
      <c r="F168" t="s">
        <v>62</v>
      </c>
      <c r="G168" t="s">
        <v>21</v>
      </c>
      <c r="H168" t="s">
        <v>23</v>
      </c>
      <c r="I168">
        <v>4</v>
      </c>
      <c r="J168">
        <v>3</v>
      </c>
    </row>
    <row r="169" spans="1:10" x14ac:dyDescent="0.2">
      <c r="A169" s="1" t="s">
        <v>198</v>
      </c>
      <c r="B169" t="s">
        <v>30</v>
      </c>
      <c r="C169">
        <v>2</v>
      </c>
      <c r="D169" t="s">
        <v>25</v>
      </c>
      <c r="E169">
        <v>6</v>
      </c>
      <c r="F169" t="s">
        <v>60</v>
      </c>
      <c r="G169" t="s">
        <v>25</v>
      </c>
      <c r="H169" t="s">
        <v>30</v>
      </c>
      <c r="I169">
        <v>6</v>
      </c>
      <c r="J169">
        <v>2</v>
      </c>
    </row>
    <row r="170" spans="1:10" x14ac:dyDescent="0.2">
      <c r="A170" s="1" t="s">
        <v>198</v>
      </c>
      <c r="B170" t="s">
        <v>15</v>
      </c>
      <c r="C170">
        <v>4</v>
      </c>
      <c r="D170" t="s">
        <v>17</v>
      </c>
      <c r="E170">
        <v>3</v>
      </c>
      <c r="F170" t="s">
        <v>62</v>
      </c>
      <c r="G170" t="s">
        <v>15</v>
      </c>
      <c r="H170" t="s">
        <v>17</v>
      </c>
      <c r="I170">
        <v>4</v>
      </c>
      <c r="J170">
        <v>3</v>
      </c>
    </row>
    <row r="171" spans="1:10" x14ac:dyDescent="0.2">
      <c r="A171" s="1" t="s">
        <v>198</v>
      </c>
      <c r="B171" t="s">
        <v>26</v>
      </c>
      <c r="C171">
        <v>4</v>
      </c>
      <c r="D171" t="s">
        <v>13</v>
      </c>
      <c r="E171">
        <v>3</v>
      </c>
      <c r="F171" t="s">
        <v>61</v>
      </c>
      <c r="G171" t="s">
        <v>26</v>
      </c>
      <c r="H171" t="s">
        <v>13</v>
      </c>
      <c r="I171">
        <v>4</v>
      </c>
      <c r="J171">
        <v>3</v>
      </c>
    </row>
    <row r="172" spans="1:10" x14ac:dyDescent="0.2">
      <c r="A172" s="1" t="s">
        <v>198</v>
      </c>
      <c r="B172" t="s">
        <v>14</v>
      </c>
      <c r="C172">
        <v>4</v>
      </c>
      <c r="D172" t="s">
        <v>34</v>
      </c>
      <c r="E172">
        <v>1</v>
      </c>
      <c r="F172" t="s">
        <v>60</v>
      </c>
      <c r="G172" t="s">
        <v>14</v>
      </c>
      <c r="H172" t="s">
        <v>34</v>
      </c>
      <c r="I172">
        <v>4</v>
      </c>
      <c r="J172">
        <v>1</v>
      </c>
    </row>
    <row r="173" spans="1:10" x14ac:dyDescent="0.2">
      <c r="A173" s="1" t="s">
        <v>198</v>
      </c>
      <c r="B173" t="s">
        <v>16</v>
      </c>
      <c r="C173">
        <v>3</v>
      </c>
      <c r="D173" t="s">
        <v>36</v>
      </c>
      <c r="E173">
        <v>4</v>
      </c>
      <c r="F173" t="s">
        <v>61</v>
      </c>
      <c r="G173" t="s">
        <v>36</v>
      </c>
      <c r="H173" t="s">
        <v>16</v>
      </c>
      <c r="I173">
        <v>4</v>
      </c>
      <c r="J173">
        <v>3</v>
      </c>
    </row>
    <row r="174" spans="1:10" x14ac:dyDescent="0.2">
      <c r="A174" s="1" t="s">
        <v>198</v>
      </c>
      <c r="B174" t="s">
        <v>29</v>
      </c>
      <c r="C174">
        <v>1</v>
      </c>
      <c r="D174" t="s">
        <v>27</v>
      </c>
      <c r="E174">
        <v>4</v>
      </c>
      <c r="F174" t="s">
        <v>60</v>
      </c>
      <c r="G174" t="s">
        <v>27</v>
      </c>
      <c r="H174" t="s">
        <v>29</v>
      </c>
      <c r="I174">
        <v>4</v>
      </c>
      <c r="J174">
        <v>1</v>
      </c>
    </row>
    <row r="175" spans="1:10" x14ac:dyDescent="0.2">
      <c r="A175" s="1" t="s">
        <v>198</v>
      </c>
      <c r="B175" t="s">
        <v>24</v>
      </c>
      <c r="C175">
        <v>2</v>
      </c>
      <c r="D175" t="s">
        <v>33</v>
      </c>
      <c r="E175">
        <v>5</v>
      </c>
      <c r="F175" t="s">
        <v>60</v>
      </c>
      <c r="G175" t="s">
        <v>33</v>
      </c>
      <c r="H175" t="s">
        <v>24</v>
      </c>
      <c r="I175">
        <v>5</v>
      </c>
      <c r="J175">
        <v>2</v>
      </c>
    </row>
    <row r="176" spans="1:10" x14ac:dyDescent="0.2">
      <c r="A176" s="1" t="s">
        <v>198</v>
      </c>
      <c r="B176" t="s">
        <v>38</v>
      </c>
      <c r="C176">
        <v>4</v>
      </c>
      <c r="D176" t="s">
        <v>35</v>
      </c>
      <c r="E176">
        <v>3</v>
      </c>
      <c r="F176" t="s">
        <v>61</v>
      </c>
      <c r="G176" t="s">
        <v>38</v>
      </c>
      <c r="H176" t="s">
        <v>35</v>
      </c>
      <c r="I176">
        <v>4</v>
      </c>
      <c r="J176">
        <v>3</v>
      </c>
    </row>
    <row r="177" spans="1:10" x14ac:dyDescent="0.2">
      <c r="A177" s="1" t="s">
        <v>198</v>
      </c>
      <c r="B177" t="s">
        <v>39</v>
      </c>
      <c r="C177">
        <v>1</v>
      </c>
      <c r="D177" t="s">
        <v>37</v>
      </c>
      <c r="E177">
        <v>2</v>
      </c>
      <c r="F177" t="s">
        <v>62</v>
      </c>
      <c r="G177" t="s">
        <v>37</v>
      </c>
      <c r="H177" t="s">
        <v>39</v>
      </c>
      <c r="I177">
        <v>2</v>
      </c>
      <c r="J177">
        <v>1</v>
      </c>
    </row>
    <row r="178" spans="1:10" x14ac:dyDescent="0.2">
      <c r="A178" s="1" t="s">
        <v>198</v>
      </c>
      <c r="B178" t="s">
        <v>10</v>
      </c>
      <c r="C178">
        <v>3</v>
      </c>
      <c r="D178" t="s">
        <v>40</v>
      </c>
      <c r="E178">
        <v>6</v>
      </c>
      <c r="F178" t="s">
        <v>60</v>
      </c>
      <c r="G178" t="s">
        <v>40</v>
      </c>
      <c r="H178" t="s">
        <v>10</v>
      </c>
      <c r="I178">
        <v>6</v>
      </c>
      <c r="J178">
        <v>3</v>
      </c>
    </row>
    <row r="179" spans="1:10" x14ac:dyDescent="0.2">
      <c r="A179" s="1" t="s">
        <v>199</v>
      </c>
      <c r="B179" t="s">
        <v>26</v>
      </c>
      <c r="C179">
        <v>2</v>
      </c>
      <c r="D179" t="s">
        <v>31</v>
      </c>
      <c r="E179">
        <v>5</v>
      </c>
      <c r="F179" t="s">
        <v>60</v>
      </c>
      <c r="G179" t="s">
        <v>31</v>
      </c>
      <c r="H179" t="s">
        <v>26</v>
      </c>
      <c r="I179">
        <v>5</v>
      </c>
      <c r="J179">
        <v>2</v>
      </c>
    </row>
    <row r="180" spans="1:10" x14ac:dyDescent="0.2">
      <c r="A180" s="1" t="s">
        <v>199</v>
      </c>
      <c r="B180" t="s">
        <v>12</v>
      </c>
      <c r="C180">
        <v>4</v>
      </c>
      <c r="D180" t="s">
        <v>20</v>
      </c>
      <c r="E180">
        <v>2</v>
      </c>
      <c r="F180" t="s">
        <v>60</v>
      </c>
      <c r="G180" t="s">
        <v>12</v>
      </c>
      <c r="H180" t="s">
        <v>20</v>
      </c>
      <c r="I180">
        <v>4</v>
      </c>
      <c r="J180">
        <v>2</v>
      </c>
    </row>
    <row r="181" spans="1:10" x14ac:dyDescent="0.2">
      <c r="A181" s="1" t="s">
        <v>199</v>
      </c>
      <c r="B181" t="s">
        <v>30</v>
      </c>
      <c r="C181">
        <v>3</v>
      </c>
      <c r="D181" t="s">
        <v>22</v>
      </c>
      <c r="E181">
        <v>1</v>
      </c>
      <c r="F181" t="s">
        <v>60</v>
      </c>
      <c r="G181" t="s">
        <v>30</v>
      </c>
      <c r="H181" t="s">
        <v>22</v>
      </c>
      <c r="I181">
        <v>3</v>
      </c>
      <c r="J181">
        <v>1</v>
      </c>
    </row>
    <row r="182" spans="1:10" x14ac:dyDescent="0.2">
      <c r="A182" s="1" t="s">
        <v>200</v>
      </c>
      <c r="B182" t="s">
        <v>25</v>
      </c>
      <c r="C182">
        <v>1</v>
      </c>
      <c r="D182" t="s">
        <v>21</v>
      </c>
      <c r="E182">
        <v>2</v>
      </c>
      <c r="F182" t="s">
        <v>60</v>
      </c>
      <c r="G182" t="s">
        <v>21</v>
      </c>
      <c r="H182" t="s">
        <v>25</v>
      </c>
      <c r="I182">
        <v>2</v>
      </c>
      <c r="J182">
        <v>1</v>
      </c>
    </row>
    <row r="183" spans="1:10" x14ac:dyDescent="0.2">
      <c r="A183" s="1" t="s">
        <v>200</v>
      </c>
      <c r="B183" t="s">
        <v>22</v>
      </c>
      <c r="C183">
        <v>3</v>
      </c>
      <c r="D183" t="s">
        <v>23</v>
      </c>
      <c r="E183">
        <v>4</v>
      </c>
      <c r="F183" t="s">
        <v>61</v>
      </c>
      <c r="G183" t="s">
        <v>23</v>
      </c>
      <c r="H183" t="s">
        <v>22</v>
      </c>
      <c r="I183">
        <v>4</v>
      </c>
      <c r="J183">
        <v>3</v>
      </c>
    </row>
    <row r="184" spans="1:10" x14ac:dyDescent="0.2">
      <c r="A184" s="1" t="s">
        <v>200</v>
      </c>
      <c r="B184" t="s">
        <v>35</v>
      </c>
      <c r="C184">
        <v>2</v>
      </c>
      <c r="D184" t="s">
        <v>28</v>
      </c>
      <c r="E184">
        <v>3</v>
      </c>
      <c r="F184" t="s">
        <v>60</v>
      </c>
      <c r="G184" t="s">
        <v>28</v>
      </c>
      <c r="H184" t="s">
        <v>35</v>
      </c>
      <c r="I184">
        <v>3</v>
      </c>
      <c r="J184">
        <v>2</v>
      </c>
    </row>
    <row r="185" spans="1:10" x14ac:dyDescent="0.2">
      <c r="A185" s="1" t="s">
        <v>200</v>
      </c>
      <c r="B185" t="s">
        <v>10</v>
      </c>
      <c r="C185">
        <v>2</v>
      </c>
      <c r="D185" t="s">
        <v>17</v>
      </c>
      <c r="E185">
        <v>3</v>
      </c>
      <c r="F185" t="s">
        <v>62</v>
      </c>
      <c r="G185" t="s">
        <v>17</v>
      </c>
      <c r="H185" t="s">
        <v>10</v>
      </c>
      <c r="I185">
        <v>3</v>
      </c>
      <c r="J185">
        <v>2</v>
      </c>
    </row>
    <row r="186" spans="1:10" x14ac:dyDescent="0.2">
      <c r="A186" s="1" t="s">
        <v>200</v>
      </c>
      <c r="B186" t="s">
        <v>39</v>
      </c>
      <c r="C186">
        <v>3</v>
      </c>
      <c r="D186" t="s">
        <v>11</v>
      </c>
      <c r="E186">
        <v>4</v>
      </c>
      <c r="F186" t="s">
        <v>61</v>
      </c>
      <c r="G186" t="s">
        <v>11</v>
      </c>
      <c r="H186" t="s">
        <v>39</v>
      </c>
      <c r="I186">
        <v>4</v>
      </c>
      <c r="J186">
        <v>3</v>
      </c>
    </row>
    <row r="187" spans="1:10" x14ac:dyDescent="0.2">
      <c r="A187" s="1" t="s">
        <v>200</v>
      </c>
      <c r="B187" t="s">
        <v>24</v>
      </c>
      <c r="C187">
        <v>4</v>
      </c>
      <c r="D187" t="s">
        <v>13</v>
      </c>
      <c r="E187">
        <v>1</v>
      </c>
      <c r="F187" t="s">
        <v>60</v>
      </c>
      <c r="G187" t="s">
        <v>24</v>
      </c>
      <c r="H187" t="s">
        <v>13</v>
      </c>
      <c r="I187">
        <v>4</v>
      </c>
      <c r="J187">
        <v>1</v>
      </c>
    </row>
    <row r="188" spans="1:10" x14ac:dyDescent="0.2">
      <c r="A188" s="1" t="s">
        <v>200</v>
      </c>
      <c r="B188" t="s">
        <v>38</v>
      </c>
      <c r="C188">
        <v>2</v>
      </c>
      <c r="D188" t="s">
        <v>34</v>
      </c>
      <c r="E188">
        <v>5</v>
      </c>
      <c r="F188" t="s">
        <v>60</v>
      </c>
      <c r="G188" t="s">
        <v>34</v>
      </c>
      <c r="H188" t="s">
        <v>38</v>
      </c>
      <c r="I188">
        <v>5</v>
      </c>
      <c r="J188">
        <v>2</v>
      </c>
    </row>
    <row r="189" spans="1:10" x14ac:dyDescent="0.2">
      <c r="A189" s="1" t="s">
        <v>200</v>
      </c>
      <c r="B189" t="s">
        <v>36</v>
      </c>
      <c r="C189">
        <v>3</v>
      </c>
      <c r="D189" t="s">
        <v>18</v>
      </c>
      <c r="E189">
        <v>4</v>
      </c>
      <c r="F189" t="s">
        <v>62</v>
      </c>
      <c r="G189" t="s">
        <v>18</v>
      </c>
      <c r="H189" t="s">
        <v>36</v>
      </c>
      <c r="I189">
        <v>4</v>
      </c>
      <c r="J189">
        <v>3</v>
      </c>
    </row>
    <row r="190" spans="1:10" x14ac:dyDescent="0.2">
      <c r="A190" s="1" t="s">
        <v>200</v>
      </c>
      <c r="B190" t="s">
        <v>16</v>
      </c>
      <c r="C190">
        <v>2</v>
      </c>
      <c r="D190" t="s">
        <v>29</v>
      </c>
      <c r="E190">
        <v>4</v>
      </c>
      <c r="F190" t="s">
        <v>60</v>
      </c>
      <c r="G190" t="s">
        <v>29</v>
      </c>
      <c r="H190" t="s">
        <v>16</v>
      </c>
      <c r="I190">
        <v>4</v>
      </c>
      <c r="J190">
        <v>2</v>
      </c>
    </row>
    <row r="191" spans="1:10" x14ac:dyDescent="0.2">
      <c r="A191" s="1" t="s">
        <v>200</v>
      </c>
      <c r="B191" t="s">
        <v>19</v>
      </c>
      <c r="C191">
        <v>5</v>
      </c>
      <c r="D191" t="s">
        <v>27</v>
      </c>
      <c r="E191">
        <v>2</v>
      </c>
      <c r="F191" t="s">
        <v>60</v>
      </c>
      <c r="G191" t="s">
        <v>19</v>
      </c>
      <c r="H191" t="s">
        <v>27</v>
      </c>
      <c r="I191">
        <v>5</v>
      </c>
      <c r="J191">
        <v>2</v>
      </c>
    </row>
    <row r="192" spans="1:10" x14ac:dyDescent="0.2">
      <c r="A192" s="1" t="s">
        <v>200</v>
      </c>
      <c r="B192" t="s">
        <v>15</v>
      </c>
      <c r="C192">
        <v>3</v>
      </c>
      <c r="D192" t="s">
        <v>32</v>
      </c>
      <c r="E192">
        <v>2</v>
      </c>
      <c r="F192" t="s">
        <v>62</v>
      </c>
      <c r="G192" t="s">
        <v>15</v>
      </c>
      <c r="H192" t="s">
        <v>32</v>
      </c>
      <c r="I192">
        <v>3</v>
      </c>
      <c r="J192">
        <v>2</v>
      </c>
    </row>
    <row r="193" spans="1:10" x14ac:dyDescent="0.2">
      <c r="A193" s="1" t="s">
        <v>200</v>
      </c>
      <c r="B193" t="s">
        <v>12</v>
      </c>
      <c r="C193">
        <v>2</v>
      </c>
      <c r="D193" t="s">
        <v>33</v>
      </c>
      <c r="E193">
        <v>3</v>
      </c>
      <c r="F193" t="s">
        <v>62</v>
      </c>
      <c r="G193" t="s">
        <v>33</v>
      </c>
      <c r="H193" t="s">
        <v>12</v>
      </c>
      <c r="I193">
        <v>3</v>
      </c>
      <c r="J193">
        <v>2</v>
      </c>
    </row>
    <row r="194" spans="1:10" x14ac:dyDescent="0.2">
      <c r="A194" s="1" t="s">
        <v>200</v>
      </c>
      <c r="B194" t="s">
        <v>14</v>
      </c>
      <c r="C194">
        <v>2</v>
      </c>
      <c r="D194" t="s">
        <v>40</v>
      </c>
      <c r="E194">
        <v>5</v>
      </c>
      <c r="F194" t="s">
        <v>60</v>
      </c>
      <c r="G194" t="s">
        <v>40</v>
      </c>
      <c r="H194" t="s">
        <v>14</v>
      </c>
      <c r="I194">
        <v>5</v>
      </c>
      <c r="J194">
        <v>2</v>
      </c>
    </row>
    <row r="195" spans="1:10" x14ac:dyDescent="0.2">
      <c r="A195" s="1" t="s">
        <v>201</v>
      </c>
      <c r="B195" t="s">
        <v>24</v>
      </c>
      <c r="C195">
        <v>1</v>
      </c>
      <c r="D195" t="s">
        <v>31</v>
      </c>
      <c r="E195">
        <v>4</v>
      </c>
      <c r="F195" t="s">
        <v>60</v>
      </c>
      <c r="G195" t="s">
        <v>31</v>
      </c>
      <c r="H195" t="s">
        <v>24</v>
      </c>
      <c r="I195">
        <v>4</v>
      </c>
      <c r="J195">
        <v>1</v>
      </c>
    </row>
    <row r="196" spans="1:10" x14ac:dyDescent="0.2">
      <c r="A196" s="1" t="s">
        <v>201</v>
      </c>
      <c r="B196" t="s">
        <v>28</v>
      </c>
      <c r="C196">
        <v>2</v>
      </c>
      <c r="D196" t="s">
        <v>30</v>
      </c>
      <c r="E196">
        <v>3</v>
      </c>
      <c r="F196" t="s">
        <v>60</v>
      </c>
      <c r="G196" t="s">
        <v>30</v>
      </c>
      <c r="H196" t="s">
        <v>28</v>
      </c>
      <c r="I196">
        <v>3</v>
      </c>
      <c r="J196">
        <v>2</v>
      </c>
    </row>
    <row r="197" spans="1:10" x14ac:dyDescent="0.2">
      <c r="A197" s="1" t="s">
        <v>201</v>
      </c>
      <c r="B197" t="s">
        <v>16</v>
      </c>
      <c r="C197">
        <v>2</v>
      </c>
      <c r="D197" t="s">
        <v>27</v>
      </c>
      <c r="E197">
        <v>1</v>
      </c>
      <c r="F197" t="s">
        <v>60</v>
      </c>
      <c r="G197" t="s">
        <v>16</v>
      </c>
      <c r="H197" t="s">
        <v>27</v>
      </c>
      <c r="I197">
        <v>2</v>
      </c>
      <c r="J197">
        <v>1</v>
      </c>
    </row>
    <row r="198" spans="1:10" x14ac:dyDescent="0.2">
      <c r="A198" s="1" t="s">
        <v>201</v>
      </c>
      <c r="B198" t="s">
        <v>26</v>
      </c>
      <c r="C198">
        <v>3</v>
      </c>
      <c r="D198" t="s">
        <v>33</v>
      </c>
      <c r="E198">
        <v>2</v>
      </c>
      <c r="F198" t="s">
        <v>61</v>
      </c>
      <c r="G198" t="s">
        <v>26</v>
      </c>
      <c r="H198" t="s">
        <v>33</v>
      </c>
      <c r="I198">
        <v>3</v>
      </c>
      <c r="J198">
        <v>2</v>
      </c>
    </row>
    <row r="199" spans="1:10" x14ac:dyDescent="0.2">
      <c r="A199" s="1" t="s">
        <v>201</v>
      </c>
      <c r="B199" t="s">
        <v>37</v>
      </c>
      <c r="C199">
        <v>4</v>
      </c>
      <c r="D199" t="s">
        <v>55</v>
      </c>
      <c r="E199">
        <v>2</v>
      </c>
      <c r="F199" t="s">
        <v>60</v>
      </c>
      <c r="G199" t="s">
        <v>37</v>
      </c>
      <c r="H199" t="s">
        <v>55</v>
      </c>
      <c r="I199">
        <v>4</v>
      </c>
      <c r="J199">
        <v>2</v>
      </c>
    </row>
    <row r="200" spans="1:10" x14ac:dyDescent="0.2">
      <c r="A200" s="1" t="s">
        <v>202</v>
      </c>
      <c r="B200" t="s">
        <v>38</v>
      </c>
      <c r="C200">
        <v>5</v>
      </c>
      <c r="D200" t="s">
        <v>29</v>
      </c>
      <c r="E200">
        <v>4</v>
      </c>
      <c r="F200" t="s">
        <v>62</v>
      </c>
      <c r="G200" t="s">
        <v>38</v>
      </c>
      <c r="H200" t="s">
        <v>29</v>
      </c>
      <c r="I200">
        <v>5</v>
      </c>
      <c r="J200">
        <v>4</v>
      </c>
    </row>
    <row r="201" spans="1:10" x14ac:dyDescent="0.2">
      <c r="A201" s="1" t="s">
        <v>202</v>
      </c>
      <c r="B201" t="s">
        <v>10</v>
      </c>
      <c r="C201">
        <v>1</v>
      </c>
      <c r="D201" t="s">
        <v>32</v>
      </c>
      <c r="E201">
        <v>3</v>
      </c>
      <c r="F201" t="s">
        <v>60</v>
      </c>
      <c r="G201" t="s">
        <v>32</v>
      </c>
      <c r="H201" t="s">
        <v>10</v>
      </c>
      <c r="I201">
        <v>3</v>
      </c>
      <c r="J201">
        <v>1</v>
      </c>
    </row>
    <row r="202" spans="1:10" x14ac:dyDescent="0.2">
      <c r="A202" s="1" t="s">
        <v>202</v>
      </c>
      <c r="B202" t="s">
        <v>17</v>
      </c>
      <c r="C202">
        <v>2</v>
      </c>
      <c r="D202" t="s">
        <v>35</v>
      </c>
      <c r="E202">
        <v>3</v>
      </c>
      <c r="F202" t="s">
        <v>60</v>
      </c>
      <c r="G202" t="s">
        <v>35</v>
      </c>
      <c r="H202" t="s">
        <v>17</v>
      </c>
      <c r="I202">
        <v>3</v>
      </c>
      <c r="J202">
        <v>2</v>
      </c>
    </row>
    <row r="203" spans="1:10" x14ac:dyDescent="0.2">
      <c r="A203" s="1" t="s">
        <v>202</v>
      </c>
      <c r="B203" t="s">
        <v>14</v>
      </c>
      <c r="C203">
        <v>3</v>
      </c>
      <c r="D203" t="s">
        <v>19</v>
      </c>
      <c r="E203">
        <v>4</v>
      </c>
      <c r="F203" t="s">
        <v>60</v>
      </c>
      <c r="G203" t="s">
        <v>19</v>
      </c>
      <c r="H203" t="s">
        <v>14</v>
      </c>
      <c r="I203">
        <v>4</v>
      </c>
      <c r="J203">
        <v>3</v>
      </c>
    </row>
    <row r="204" spans="1:10" x14ac:dyDescent="0.2">
      <c r="A204" s="1" t="s">
        <v>203</v>
      </c>
      <c r="B204" t="s">
        <v>11</v>
      </c>
      <c r="C204">
        <v>3</v>
      </c>
      <c r="D204" t="s">
        <v>31</v>
      </c>
      <c r="E204">
        <v>7</v>
      </c>
      <c r="F204" t="s">
        <v>60</v>
      </c>
      <c r="G204" t="s">
        <v>31</v>
      </c>
      <c r="H204" t="s">
        <v>11</v>
      </c>
      <c r="I204">
        <v>7</v>
      </c>
      <c r="J204">
        <v>3</v>
      </c>
    </row>
    <row r="205" spans="1:10" x14ac:dyDescent="0.2">
      <c r="A205" s="1" t="s">
        <v>203</v>
      </c>
      <c r="B205" t="s">
        <v>55</v>
      </c>
      <c r="C205">
        <v>2</v>
      </c>
      <c r="D205" t="s">
        <v>23</v>
      </c>
      <c r="E205">
        <v>1</v>
      </c>
      <c r="F205" t="s">
        <v>62</v>
      </c>
      <c r="G205" t="s">
        <v>55</v>
      </c>
      <c r="H205" t="s">
        <v>23</v>
      </c>
      <c r="I205">
        <v>2</v>
      </c>
      <c r="J205">
        <v>1</v>
      </c>
    </row>
    <row r="206" spans="1:10" x14ac:dyDescent="0.2">
      <c r="A206" s="1" t="s">
        <v>203</v>
      </c>
      <c r="B206" t="s">
        <v>37</v>
      </c>
      <c r="C206">
        <v>2</v>
      </c>
      <c r="D206" t="s">
        <v>12</v>
      </c>
      <c r="E206">
        <v>3</v>
      </c>
      <c r="F206" t="s">
        <v>60</v>
      </c>
      <c r="G206" t="s">
        <v>12</v>
      </c>
      <c r="H206" t="s">
        <v>37</v>
      </c>
      <c r="I206">
        <v>3</v>
      </c>
      <c r="J206">
        <v>2</v>
      </c>
    </row>
    <row r="207" spans="1:10" x14ac:dyDescent="0.2">
      <c r="A207" s="1" t="s">
        <v>203</v>
      </c>
      <c r="B207" t="s">
        <v>17</v>
      </c>
      <c r="C207">
        <v>3</v>
      </c>
      <c r="D207" t="s">
        <v>39</v>
      </c>
      <c r="E207">
        <v>4</v>
      </c>
      <c r="F207" t="s">
        <v>61</v>
      </c>
      <c r="G207" t="s">
        <v>39</v>
      </c>
      <c r="H207" t="s">
        <v>17</v>
      </c>
      <c r="I207">
        <v>4</v>
      </c>
      <c r="J207">
        <v>3</v>
      </c>
    </row>
    <row r="208" spans="1:10" x14ac:dyDescent="0.2">
      <c r="A208" s="1" t="s">
        <v>203</v>
      </c>
      <c r="B208" t="s">
        <v>40</v>
      </c>
      <c r="C208">
        <v>0</v>
      </c>
      <c r="D208" t="s">
        <v>13</v>
      </c>
      <c r="E208">
        <v>3</v>
      </c>
      <c r="F208" t="s">
        <v>60</v>
      </c>
      <c r="G208" t="s">
        <v>13</v>
      </c>
      <c r="H208" t="s">
        <v>40</v>
      </c>
      <c r="I208">
        <v>3</v>
      </c>
      <c r="J208">
        <v>0</v>
      </c>
    </row>
    <row r="209" spans="1:10" x14ac:dyDescent="0.2">
      <c r="A209" s="1" t="s">
        <v>203</v>
      </c>
      <c r="B209" t="s">
        <v>29</v>
      </c>
      <c r="C209">
        <v>2</v>
      </c>
      <c r="D209" t="s">
        <v>34</v>
      </c>
      <c r="E209">
        <v>3</v>
      </c>
      <c r="F209" t="s">
        <v>62</v>
      </c>
      <c r="G209" t="s">
        <v>34</v>
      </c>
      <c r="H209" t="s">
        <v>29</v>
      </c>
      <c r="I209">
        <v>3</v>
      </c>
      <c r="J209">
        <v>2</v>
      </c>
    </row>
    <row r="210" spans="1:10" x14ac:dyDescent="0.2">
      <c r="A210" s="1" t="s">
        <v>203</v>
      </c>
      <c r="B210" t="s">
        <v>27</v>
      </c>
      <c r="C210">
        <v>5</v>
      </c>
      <c r="D210" t="s">
        <v>18</v>
      </c>
      <c r="E210">
        <v>4</v>
      </c>
      <c r="F210" t="s">
        <v>61</v>
      </c>
      <c r="G210" t="s">
        <v>27</v>
      </c>
      <c r="H210" t="s">
        <v>18</v>
      </c>
      <c r="I210">
        <v>5</v>
      </c>
      <c r="J210">
        <v>4</v>
      </c>
    </row>
    <row r="211" spans="1:10" x14ac:dyDescent="0.2">
      <c r="A211" s="1" t="s">
        <v>203</v>
      </c>
      <c r="B211" t="s">
        <v>21</v>
      </c>
      <c r="C211">
        <v>4</v>
      </c>
      <c r="D211" t="s">
        <v>30</v>
      </c>
      <c r="E211">
        <v>3</v>
      </c>
      <c r="F211" t="s">
        <v>61</v>
      </c>
      <c r="G211" t="s">
        <v>21</v>
      </c>
      <c r="H211" t="s">
        <v>30</v>
      </c>
      <c r="I211">
        <v>4</v>
      </c>
      <c r="J211">
        <v>3</v>
      </c>
    </row>
    <row r="212" spans="1:10" x14ac:dyDescent="0.2">
      <c r="A212" s="1" t="s">
        <v>203</v>
      </c>
      <c r="B212" t="s">
        <v>25</v>
      </c>
      <c r="C212">
        <v>3</v>
      </c>
      <c r="D212" t="s">
        <v>15</v>
      </c>
      <c r="E212">
        <v>0</v>
      </c>
      <c r="F212" t="s">
        <v>60</v>
      </c>
      <c r="G212" t="s">
        <v>25</v>
      </c>
      <c r="H212" t="s">
        <v>15</v>
      </c>
      <c r="I212">
        <v>3</v>
      </c>
      <c r="J212">
        <v>0</v>
      </c>
    </row>
    <row r="213" spans="1:10" x14ac:dyDescent="0.2">
      <c r="A213" s="1" t="s">
        <v>203</v>
      </c>
      <c r="B213" t="s">
        <v>26</v>
      </c>
      <c r="C213">
        <v>0</v>
      </c>
      <c r="D213" t="s">
        <v>20</v>
      </c>
      <c r="E213">
        <v>1</v>
      </c>
      <c r="F213" t="s">
        <v>60</v>
      </c>
      <c r="G213" t="s">
        <v>20</v>
      </c>
      <c r="H213" t="s">
        <v>26</v>
      </c>
      <c r="I213">
        <v>1</v>
      </c>
      <c r="J213">
        <v>0</v>
      </c>
    </row>
    <row r="214" spans="1:10" x14ac:dyDescent="0.2">
      <c r="A214" s="1" t="s">
        <v>204</v>
      </c>
      <c r="B214" t="s">
        <v>28</v>
      </c>
      <c r="C214">
        <v>1</v>
      </c>
      <c r="D214" t="s">
        <v>16</v>
      </c>
      <c r="E214">
        <v>5</v>
      </c>
      <c r="F214" t="s">
        <v>60</v>
      </c>
      <c r="G214" t="s">
        <v>16</v>
      </c>
      <c r="H214" t="s">
        <v>28</v>
      </c>
      <c r="I214">
        <v>5</v>
      </c>
      <c r="J214">
        <v>1</v>
      </c>
    </row>
    <row r="215" spans="1:10" x14ac:dyDescent="0.2">
      <c r="A215" s="1" t="s">
        <v>204</v>
      </c>
      <c r="B215" t="s">
        <v>33</v>
      </c>
      <c r="C215">
        <v>6</v>
      </c>
      <c r="D215" t="s">
        <v>32</v>
      </c>
      <c r="E215">
        <v>1</v>
      </c>
      <c r="F215" t="s">
        <v>60</v>
      </c>
      <c r="G215" t="s">
        <v>33</v>
      </c>
      <c r="H215" t="s">
        <v>32</v>
      </c>
      <c r="I215">
        <v>6</v>
      </c>
      <c r="J215">
        <v>1</v>
      </c>
    </row>
    <row r="216" spans="1:10" x14ac:dyDescent="0.2">
      <c r="A216" s="1" t="s">
        <v>204</v>
      </c>
      <c r="B216" t="s">
        <v>55</v>
      </c>
      <c r="C216">
        <v>3</v>
      </c>
      <c r="D216" t="s">
        <v>19</v>
      </c>
      <c r="E216">
        <v>5</v>
      </c>
      <c r="F216" t="s">
        <v>60</v>
      </c>
      <c r="G216" t="s">
        <v>19</v>
      </c>
      <c r="H216" t="s">
        <v>55</v>
      </c>
      <c r="I216">
        <v>5</v>
      </c>
      <c r="J216">
        <v>3</v>
      </c>
    </row>
    <row r="217" spans="1:10" x14ac:dyDescent="0.2">
      <c r="A217" s="1" t="s">
        <v>204</v>
      </c>
      <c r="B217" t="s">
        <v>10</v>
      </c>
      <c r="C217">
        <v>5</v>
      </c>
      <c r="D217" t="s">
        <v>38</v>
      </c>
      <c r="E217">
        <v>2</v>
      </c>
      <c r="F217" t="s">
        <v>60</v>
      </c>
      <c r="G217" t="s">
        <v>10</v>
      </c>
      <c r="H217" t="s">
        <v>38</v>
      </c>
      <c r="I217">
        <v>5</v>
      </c>
      <c r="J217">
        <v>2</v>
      </c>
    </row>
    <row r="218" spans="1:10" x14ac:dyDescent="0.2">
      <c r="A218" s="1" t="s">
        <v>204</v>
      </c>
      <c r="B218" t="s">
        <v>35</v>
      </c>
      <c r="C218">
        <v>1</v>
      </c>
      <c r="D218" t="s">
        <v>22</v>
      </c>
      <c r="E218">
        <v>6</v>
      </c>
      <c r="F218" t="s">
        <v>60</v>
      </c>
      <c r="G218" t="s">
        <v>22</v>
      </c>
      <c r="H218" t="s">
        <v>35</v>
      </c>
      <c r="I218">
        <v>6</v>
      </c>
      <c r="J218">
        <v>1</v>
      </c>
    </row>
    <row r="219" spans="1:10" x14ac:dyDescent="0.2">
      <c r="A219" s="1" t="s">
        <v>205</v>
      </c>
      <c r="B219" t="s">
        <v>36</v>
      </c>
      <c r="C219">
        <v>2</v>
      </c>
      <c r="D219" t="s">
        <v>21</v>
      </c>
      <c r="E219">
        <v>3</v>
      </c>
      <c r="F219" t="s">
        <v>62</v>
      </c>
      <c r="G219" t="s">
        <v>21</v>
      </c>
      <c r="H219" t="s">
        <v>36</v>
      </c>
      <c r="I219">
        <v>3</v>
      </c>
      <c r="J219">
        <v>2</v>
      </c>
    </row>
    <row r="220" spans="1:10" x14ac:dyDescent="0.2">
      <c r="A220" s="1" t="s">
        <v>205</v>
      </c>
      <c r="B220" t="s">
        <v>35</v>
      </c>
      <c r="C220">
        <v>3</v>
      </c>
      <c r="D220" t="s">
        <v>23</v>
      </c>
      <c r="E220">
        <v>0</v>
      </c>
      <c r="F220" t="s">
        <v>60</v>
      </c>
      <c r="G220" t="s">
        <v>35</v>
      </c>
      <c r="H220" t="s">
        <v>23</v>
      </c>
      <c r="I220">
        <v>3</v>
      </c>
      <c r="J220">
        <v>0</v>
      </c>
    </row>
    <row r="221" spans="1:10" x14ac:dyDescent="0.2">
      <c r="A221" s="1" t="s">
        <v>205</v>
      </c>
      <c r="B221" t="s">
        <v>34</v>
      </c>
      <c r="C221">
        <v>3</v>
      </c>
      <c r="D221" t="s">
        <v>25</v>
      </c>
      <c r="E221">
        <v>4</v>
      </c>
      <c r="F221" t="s">
        <v>60</v>
      </c>
      <c r="G221" t="s">
        <v>25</v>
      </c>
      <c r="H221" t="s">
        <v>34</v>
      </c>
      <c r="I221">
        <v>4</v>
      </c>
      <c r="J221">
        <v>3</v>
      </c>
    </row>
    <row r="222" spans="1:10" x14ac:dyDescent="0.2">
      <c r="A222" s="1" t="s">
        <v>205</v>
      </c>
      <c r="B222" t="s">
        <v>31</v>
      </c>
      <c r="C222">
        <v>7</v>
      </c>
      <c r="D222" t="s">
        <v>39</v>
      </c>
      <c r="E222">
        <v>5</v>
      </c>
      <c r="F222" t="s">
        <v>60</v>
      </c>
      <c r="G222" t="s">
        <v>31</v>
      </c>
      <c r="H222" t="s">
        <v>39</v>
      </c>
      <c r="I222">
        <v>7</v>
      </c>
      <c r="J222">
        <v>5</v>
      </c>
    </row>
    <row r="223" spans="1:10" x14ac:dyDescent="0.2">
      <c r="A223" s="1" t="s">
        <v>205</v>
      </c>
      <c r="B223" t="s">
        <v>11</v>
      </c>
      <c r="C223">
        <v>5</v>
      </c>
      <c r="D223" t="s">
        <v>13</v>
      </c>
      <c r="E223">
        <v>2</v>
      </c>
      <c r="F223" t="s">
        <v>60</v>
      </c>
      <c r="G223" t="s">
        <v>11</v>
      </c>
      <c r="H223" t="s">
        <v>13</v>
      </c>
      <c r="I223">
        <v>5</v>
      </c>
      <c r="J223">
        <v>2</v>
      </c>
    </row>
    <row r="224" spans="1:10" x14ac:dyDescent="0.2">
      <c r="A224" s="1" t="s">
        <v>205</v>
      </c>
      <c r="B224" t="s">
        <v>18</v>
      </c>
      <c r="C224">
        <v>3</v>
      </c>
      <c r="D224" t="s">
        <v>24</v>
      </c>
      <c r="E224">
        <v>4</v>
      </c>
      <c r="F224" t="s">
        <v>62</v>
      </c>
      <c r="G224" t="s">
        <v>24</v>
      </c>
      <c r="H224" t="s">
        <v>18</v>
      </c>
      <c r="I224">
        <v>4</v>
      </c>
      <c r="J224">
        <v>3</v>
      </c>
    </row>
    <row r="225" spans="1:10" x14ac:dyDescent="0.2">
      <c r="A225" s="1" t="s">
        <v>205</v>
      </c>
      <c r="B225" t="s">
        <v>27</v>
      </c>
      <c r="C225">
        <v>3</v>
      </c>
      <c r="D225" t="s">
        <v>29</v>
      </c>
      <c r="E225">
        <v>1</v>
      </c>
      <c r="F225" t="s">
        <v>60</v>
      </c>
      <c r="G225" t="s">
        <v>27</v>
      </c>
      <c r="H225" t="s">
        <v>29</v>
      </c>
      <c r="I225">
        <v>3</v>
      </c>
      <c r="J225">
        <v>1</v>
      </c>
    </row>
    <row r="226" spans="1:10" x14ac:dyDescent="0.2">
      <c r="A226" s="1" t="s">
        <v>205</v>
      </c>
      <c r="B226" t="s">
        <v>22</v>
      </c>
      <c r="C226">
        <v>3</v>
      </c>
      <c r="D226" t="s">
        <v>14</v>
      </c>
      <c r="E226">
        <v>5</v>
      </c>
      <c r="F226" t="s">
        <v>60</v>
      </c>
      <c r="G226" t="s">
        <v>14</v>
      </c>
      <c r="H226" t="s">
        <v>22</v>
      </c>
      <c r="I226">
        <v>5</v>
      </c>
      <c r="J226">
        <v>3</v>
      </c>
    </row>
    <row r="227" spans="1:10" x14ac:dyDescent="0.2">
      <c r="A227" s="1" t="s">
        <v>205</v>
      </c>
      <c r="B227" t="s">
        <v>37</v>
      </c>
      <c r="C227">
        <v>6</v>
      </c>
      <c r="D227" t="s">
        <v>20</v>
      </c>
      <c r="E227">
        <v>3</v>
      </c>
      <c r="F227" t="s">
        <v>60</v>
      </c>
      <c r="G227" t="s">
        <v>37</v>
      </c>
      <c r="H227" t="s">
        <v>20</v>
      </c>
      <c r="I227">
        <v>6</v>
      </c>
      <c r="J227">
        <v>3</v>
      </c>
    </row>
    <row r="228" spans="1:10" x14ac:dyDescent="0.2">
      <c r="A228" s="1" t="s">
        <v>206</v>
      </c>
      <c r="B228" t="s">
        <v>10</v>
      </c>
      <c r="C228">
        <v>4</v>
      </c>
      <c r="D228" t="s">
        <v>16</v>
      </c>
      <c r="E228">
        <v>0</v>
      </c>
      <c r="F228" t="s">
        <v>60</v>
      </c>
      <c r="G228" t="s">
        <v>10</v>
      </c>
      <c r="H228" t="s">
        <v>16</v>
      </c>
      <c r="I228">
        <v>4</v>
      </c>
      <c r="J228">
        <v>0</v>
      </c>
    </row>
    <row r="229" spans="1:10" x14ac:dyDescent="0.2">
      <c r="A229" s="1" t="s">
        <v>206</v>
      </c>
      <c r="B229" t="s">
        <v>15</v>
      </c>
      <c r="C229">
        <v>4</v>
      </c>
      <c r="D229" t="s">
        <v>26</v>
      </c>
      <c r="E229">
        <v>1</v>
      </c>
      <c r="F229" t="s">
        <v>60</v>
      </c>
      <c r="G229" t="s">
        <v>15</v>
      </c>
      <c r="H229" t="s">
        <v>26</v>
      </c>
      <c r="I229">
        <v>4</v>
      </c>
      <c r="J229">
        <v>1</v>
      </c>
    </row>
    <row r="230" spans="1:10" x14ac:dyDescent="0.2">
      <c r="A230" s="1" t="s">
        <v>206</v>
      </c>
      <c r="B230" t="s">
        <v>34</v>
      </c>
      <c r="C230">
        <v>5</v>
      </c>
      <c r="D230" t="s">
        <v>30</v>
      </c>
      <c r="E230">
        <v>2</v>
      </c>
      <c r="F230" t="s">
        <v>60</v>
      </c>
      <c r="G230" t="s">
        <v>34</v>
      </c>
      <c r="H230" t="s">
        <v>30</v>
      </c>
      <c r="I230">
        <v>5</v>
      </c>
      <c r="J230">
        <v>2</v>
      </c>
    </row>
    <row r="231" spans="1:10" x14ac:dyDescent="0.2">
      <c r="A231" s="1" t="s">
        <v>206</v>
      </c>
      <c r="B231" t="s">
        <v>40</v>
      </c>
      <c r="C231">
        <v>1</v>
      </c>
      <c r="D231" t="s">
        <v>33</v>
      </c>
      <c r="E231">
        <v>2</v>
      </c>
      <c r="F231" t="s">
        <v>60</v>
      </c>
      <c r="G231" t="s">
        <v>33</v>
      </c>
      <c r="H231" t="s">
        <v>40</v>
      </c>
      <c r="I231">
        <v>2</v>
      </c>
      <c r="J231">
        <v>1</v>
      </c>
    </row>
    <row r="232" spans="1:10" x14ac:dyDescent="0.2">
      <c r="A232" s="1" t="s">
        <v>207</v>
      </c>
      <c r="B232" t="s">
        <v>23</v>
      </c>
      <c r="C232">
        <v>3</v>
      </c>
      <c r="D232" t="s">
        <v>25</v>
      </c>
      <c r="E232">
        <v>6</v>
      </c>
      <c r="F232" t="s">
        <v>60</v>
      </c>
      <c r="G232" t="s">
        <v>25</v>
      </c>
      <c r="H232" t="s">
        <v>23</v>
      </c>
      <c r="I232">
        <v>6</v>
      </c>
      <c r="J232">
        <v>3</v>
      </c>
    </row>
    <row r="233" spans="1:10" x14ac:dyDescent="0.2">
      <c r="A233" s="1" t="s">
        <v>207</v>
      </c>
      <c r="B233" t="s">
        <v>12</v>
      </c>
      <c r="C233">
        <v>9</v>
      </c>
      <c r="D233" t="s">
        <v>17</v>
      </c>
      <c r="E233">
        <v>1</v>
      </c>
      <c r="F233" t="s">
        <v>60</v>
      </c>
      <c r="G233" t="s">
        <v>12</v>
      </c>
      <c r="H233" t="s">
        <v>17</v>
      </c>
      <c r="I233">
        <v>9</v>
      </c>
      <c r="J233">
        <v>1</v>
      </c>
    </row>
    <row r="234" spans="1:10" x14ac:dyDescent="0.2">
      <c r="A234" s="1" t="s">
        <v>207</v>
      </c>
      <c r="B234" t="s">
        <v>55</v>
      </c>
      <c r="C234">
        <v>2</v>
      </c>
      <c r="D234" t="s">
        <v>18</v>
      </c>
      <c r="E234">
        <v>6</v>
      </c>
      <c r="F234" t="s">
        <v>60</v>
      </c>
      <c r="G234" t="s">
        <v>18</v>
      </c>
      <c r="H234" t="s">
        <v>55</v>
      </c>
      <c r="I234">
        <v>6</v>
      </c>
      <c r="J234">
        <v>2</v>
      </c>
    </row>
    <row r="235" spans="1:10" x14ac:dyDescent="0.2">
      <c r="A235" s="1" t="s">
        <v>207</v>
      </c>
      <c r="B235" t="s">
        <v>14</v>
      </c>
      <c r="C235">
        <v>1</v>
      </c>
      <c r="D235" t="s">
        <v>24</v>
      </c>
      <c r="E235">
        <v>2</v>
      </c>
      <c r="F235" t="s">
        <v>61</v>
      </c>
      <c r="G235" t="s">
        <v>24</v>
      </c>
      <c r="H235" t="s">
        <v>14</v>
      </c>
      <c r="I235">
        <v>2</v>
      </c>
      <c r="J235">
        <v>1</v>
      </c>
    </row>
    <row r="236" spans="1:10" x14ac:dyDescent="0.2">
      <c r="A236" s="1" t="s">
        <v>207</v>
      </c>
      <c r="B236" t="s">
        <v>39</v>
      </c>
      <c r="C236">
        <v>5</v>
      </c>
      <c r="D236" t="s">
        <v>29</v>
      </c>
      <c r="E236">
        <v>4</v>
      </c>
      <c r="F236" t="s">
        <v>60</v>
      </c>
      <c r="G236" t="s">
        <v>39</v>
      </c>
      <c r="H236" t="s">
        <v>29</v>
      </c>
      <c r="I236">
        <v>5</v>
      </c>
      <c r="J236">
        <v>4</v>
      </c>
    </row>
    <row r="237" spans="1:10" x14ac:dyDescent="0.2">
      <c r="A237" s="1" t="s">
        <v>207</v>
      </c>
      <c r="B237" t="s">
        <v>30</v>
      </c>
      <c r="C237">
        <v>5</v>
      </c>
      <c r="D237" t="s">
        <v>15</v>
      </c>
      <c r="E237">
        <v>0</v>
      </c>
      <c r="F237" t="s">
        <v>60</v>
      </c>
      <c r="G237" t="s">
        <v>30</v>
      </c>
      <c r="H237" t="s">
        <v>15</v>
      </c>
      <c r="I237">
        <v>5</v>
      </c>
      <c r="J237">
        <v>0</v>
      </c>
    </row>
    <row r="238" spans="1:10" x14ac:dyDescent="0.2">
      <c r="A238" s="1" t="s">
        <v>207</v>
      </c>
      <c r="B238" t="s">
        <v>36</v>
      </c>
      <c r="C238">
        <v>3</v>
      </c>
      <c r="D238" t="s">
        <v>27</v>
      </c>
      <c r="E238">
        <v>2</v>
      </c>
      <c r="F238" t="s">
        <v>62</v>
      </c>
      <c r="G238" t="s">
        <v>36</v>
      </c>
      <c r="H238" t="s">
        <v>27</v>
      </c>
      <c r="I238">
        <v>3</v>
      </c>
      <c r="J238">
        <v>2</v>
      </c>
    </row>
    <row r="239" spans="1:10" x14ac:dyDescent="0.2">
      <c r="A239" s="1" t="s">
        <v>207</v>
      </c>
      <c r="B239" t="s">
        <v>11</v>
      </c>
      <c r="C239">
        <v>1</v>
      </c>
      <c r="D239" t="s">
        <v>33</v>
      </c>
      <c r="E239">
        <v>3</v>
      </c>
      <c r="F239" t="s">
        <v>60</v>
      </c>
      <c r="G239" t="s">
        <v>33</v>
      </c>
      <c r="H239" t="s">
        <v>11</v>
      </c>
      <c r="I239">
        <v>3</v>
      </c>
      <c r="J239">
        <v>1</v>
      </c>
    </row>
    <row r="240" spans="1:10" x14ac:dyDescent="0.2">
      <c r="A240" s="1" t="s">
        <v>207</v>
      </c>
      <c r="B240" t="s">
        <v>32</v>
      </c>
      <c r="C240">
        <v>4</v>
      </c>
      <c r="D240" t="s">
        <v>35</v>
      </c>
      <c r="E240">
        <v>3</v>
      </c>
      <c r="F240" t="s">
        <v>62</v>
      </c>
      <c r="G240" t="s">
        <v>32</v>
      </c>
      <c r="H240" t="s">
        <v>35</v>
      </c>
      <c r="I240">
        <v>4</v>
      </c>
      <c r="J240">
        <v>3</v>
      </c>
    </row>
    <row r="241" spans="1:10" x14ac:dyDescent="0.2">
      <c r="A241" s="1" t="s">
        <v>207</v>
      </c>
      <c r="B241" t="s">
        <v>22</v>
      </c>
      <c r="C241">
        <v>2</v>
      </c>
      <c r="D241" t="s">
        <v>37</v>
      </c>
      <c r="E241">
        <v>3</v>
      </c>
      <c r="F241" t="s">
        <v>60</v>
      </c>
      <c r="G241" t="s">
        <v>37</v>
      </c>
      <c r="H241" t="s">
        <v>22</v>
      </c>
      <c r="I241">
        <v>3</v>
      </c>
      <c r="J241">
        <v>2</v>
      </c>
    </row>
    <row r="242" spans="1:10" x14ac:dyDescent="0.2">
      <c r="A242" s="1" t="s">
        <v>207</v>
      </c>
      <c r="B242" t="s">
        <v>21</v>
      </c>
      <c r="C242">
        <v>5</v>
      </c>
      <c r="D242" t="s">
        <v>19</v>
      </c>
      <c r="E242">
        <v>3</v>
      </c>
      <c r="F242" t="s">
        <v>60</v>
      </c>
      <c r="G242" t="s">
        <v>21</v>
      </c>
      <c r="H242" t="s">
        <v>19</v>
      </c>
      <c r="I242">
        <v>5</v>
      </c>
      <c r="J242">
        <v>3</v>
      </c>
    </row>
    <row r="243" spans="1:10" x14ac:dyDescent="0.2">
      <c r="A243" s="1" t="s">
        <v>207</v>
      </c>
      <c r="B243" t="s">
        <v>28</v>
      </c>
      <c r="C243">
        <v>3</v>
      </c>
      <c r="D243" t="s">
        <v>38</v>
      </c>
      <c r="E243">
        <v>4</v>
      </c>
      <c r="F243" t="s">
        <v>60</v>
      </c>
      <c r="G243" t="s">
        <v>38</v>
      </c>
      <c r="H243" t="s">
        <v>28</v>
      </c>
      <c r="I243">
        <v>4</v>
      </c>
      <c r="J243">
        <v>3</v>
      </c>
    </row>
    <row r="244" spans="1:10" x14ac:dyDescent="0.2">
      <c r="A244" s="1" t="s">
        <v>207</v>
      </c>
      <c r="B244" t="s">
        <v>31</v>
      </c>
      <c r="C244">
        <v>4</v>
      </c>
      <c r="D244" t="s">
        <v>20</v>
      </c>
      <c r="E244">
        <v>3</v>
      </c>
      <c r="F244" t="s">
        <v>62</v>
      </c>
      <c r="G244" t="s">
        <v>31</v>
      </c>
      <c r="H244" t="s">
        <v>20</v>
      </c>
      <c r="I244">
        <v>4</v>
      </c>
      <c r="J244">
        <v>3</v>
      </c>
    </row>
    <row r="245" spans="1:10" x14ac:dyDescent="0.2">
      <c r="A245" s="1" t="s">
        <v>208</v>
      </c>
      <c r="B245" t="s">
        <v>40</v>
      </c>
      <c r="C245">
        <v>1</v>
      </c>
      <c r="D245" t="s">
        <v>31</v>
      </c>
      <c r="E245">
        <v>4</v>
      </c>
      <c r="F245" t="s">
        <v>60</v>
      </c>
      <c r="G245" t="s">
        <v>31</v>
      </c>
      <c r="H245" t="s">
        <v>40</v>
      </c>
      <c r="I245">
        <v>4</v>
      </c>
      <c r="J245">
        <v>1</v>
      </c>
    </row>
    <row r="246" spans="1:10" x14ac:dyDescent="0.2">
      <c r="A246" s="1" t="s">
        <v>208</v>
      </c>
      <c r="B246" t="s">
        <v>32</v>
      </c>
      <c r="C246">
        <v>1</v>
      </c>
      <c r="D246" t="s">
        <v>39</v>
      </c>
      <c r="E246">
        <v>2</v>
      </c>
      <c r="F246" t="s">
        <v>60</v>
      </c>
      <c r="G246" t="s">
        <v>39</v>
      </c>
      <c r="H246" t="s">
        <v>32</v>
      </c>
      <c r="I246">
        <v>2</v>
      </c>
      <c r="J246">
        <v>1</v>
      </c>
    </row>
    <row r="247" spans="1:10" x14ac:dyDescent="0.2">
      <c r="A247" s="1" t="s">
        <v>208</v>
      </c>
      <c r="B247" t="s">
        <v>10</v>
      </c>
      <c r="C247">
        <v>5</v>
      </c>
      <c r="D247" t="s">
        <v>26</v>
      </c>
      <c r="E247">
        <v>1</v>
      </c>
      <c r="F247" t="s">
        <v>60</v>
      </c>
      <c r="G247" t="s">
        <v>10</v>
      </c>
      <c r="H247" t="s">
        <v>26</v>
      </c>
      <c r="I247">
        <v>5</v>
      </c>
      <c r="J247">
        <v>1</v>
      </c>
    </row>
    <row r="248" spans="1:10" x14ac:dyDescent="0.2">
      <c r="A248" s="1" t="s">
        <v>208</v>
      </c>
      <c r="B248" t="s">
        <v>16</v>
      </c>
      <c r="C248">
        <v>0</v>
      </c>
      <c r="D248" t="s">
        <v>34</v>
      </c>
      <c r="E248">
        <v>2</v>
      </c>
      <c r="F248" t="s">
        <v>60</v>
      </c>
      <c r="G248" t="s">
        <v>34</v>
      </c>
      <c r="H248" t="s">
        <v>16</v>
      </c>
      <c r="I248">
        <v>2</v>
      </c>
      <c r="J248">
        <v>0</v>
      </c>
    </row>
    <row r="249" spans="1:10" x14ac:dyDescent="0.2">
      <c r="A249" s="1" t="s">
        <v>208</v>
      </c>
      <c r="B249" t="s">
        <v>55</v>
      </c>
      <c r="C249">
        <v>2</v>
      </c>
      <c r="D249" t="s">
        <v>36</v>
      </c>
      <c r="E249">
        <v>4</v>
      </c>
      <c r="F249" t="s">
        <v>60</v>
      </c>
      <c r="G249" t="s">
        <v>36</v>
      </c>
      <c r="H249" t="s">
        <v>55</v>
      </c>
      <c r="I249">
        <v>4</v>
      </c>
      <c r="J249">
        <v>2</v>
      </c>
    </row>
    <row r="250" spans="1:10" x14ac:dyDescent="0.2">
      <c r="A250" s="1" t="s">
        <v>208</v>
      </c>
      <c r="B250" t="s">
        <v>13</v>
      </c>
      <c r="C250">
        <v>3</v>
      </c>
      <c r="D250" t="s">
        <v>14</v>
      </c>
      <c r="E250">
        <v>2</v>
      </c>
      <c r="F250" t="s">
        <v>60</v>
      </c>
      <c r="G250" t="s">
        <v>13</v>
      </c>
      <c r="H250" t="s">
        <v>14</v>
      </c>
      <c r="I250">
        <v>3</v>
      </c>
      <c r="J250">
        <v>2</v>
      </c>
    </row>
    <row r="251" spans="1:10" x14ac:dyDescent="0.2">
      <c r="A251" s="1" t="s">
        <v>208</v>
      </c>
      <c r="B251" t="s">
        <v>25</v>
      </c>
      <c r="C251">
        <v>5</v>
      </c>
      <c r="D251" t="s">
        <v>19</v>
      </c>
      <c r="E251">
        <v>4</v>
      </c>
      <c r="F251" t="s">
        <v>60</v>
      </c>
      <c r="G251" t="s">
        <v>25</v>
      </c>
      <c r="H251" t="s">
        <v>19</v>
      </c>
      <c r="I251">
        <v>5</v>
      </c>
      <c r="J251">
        <v>4</v>
      </c>
    </row>
    <row r="252" spans="1:10" x14ac:dyDescent="0.2">
      <c r="A252" s="1" t="s">
        <v>208</v>
      </c>
      <c r="B252" t="s">
        <v>12</v>
      </c>
      <c r="C252">
        <v>5</v>
      </c>
      <c r="D252" t="s">
        <v>38</v>
      </c>
      <c r="E252">
        <v>4</v>
      </c>
      <c r="F252" t="s">
        <v>62</v>
      </c>
      <c r="G252" t="s">
        <v>12</v>
      </c>
      <c r="H252" t="s">
        <v>38</v>
      </c>
      <c r="I252">
        <v>5</v>
      </c>
      <c r="J252">
        <v>4</v>
      </c>
    </row>
    <row r="253" spans="1:10" x14ac:dyDescent="0.2">
      <c r="A253" s="1" t="s">
        <v>209</v>
      </c>
      <c r="B253" t="s">
        <v>28</v>
      </c>
      <c r="C253">
        <v>4</v>
      </c>
      <c r="D253" t="s">
        <v>17</v>
      </c>
      <c r="E253">
        <v>5</v>
      </c>
      <c r="F253" t="s">
        <v>62</v>
      </c>
      <c r="G253" t="s">
        <v>17</v>
      </c>
      <c r="H253" t="s">
        <v>28</v>
      </c>
      <c r="I253">
        <v>5</v>
      </c>
      <c r="J253">
        <v>4</v>
      </c>
    </row>
    <row r="254" spans="1:10" x14ac:dyDescent="0.2">
      <c r="A254" s="1" t="s">
        <v>209</v>
      </c>
      <c r="B254" t="s">
        <v>30</v>
      </c>
      <c r="C254">
        <v>3</v>
      </c>
      <c r="D254" t="s">
        <v>24</v>
      </c>
      <c r="E254">
        <v>2</v>
      </c>
      <c r="F254" t="s">
        <v>62</v>
      </c>
      <c r="G254" t="s">
        <v>30</v>
      </c>
      <c r="H254" t="s">
        <v>24</v>
      </c>
      <c r="I254">
        <v>3</v>
      </c>
      <c r="J254">
        <v>2</v>
      </c>
    </row>
    <row r="255" spans="1:10" x14ac:dyDescent="0.2">
      <c r="A255" s="1" t="s">
        <v>209</v>
      </c>
      <c r="B255" t="s">
        <v>29</v>
      </c>
      <c r="C255">
        <v>3</v>
      </c>
      <c r="D255" t="s">
        <v>15</v>
      </c>
      <c r="E255">
        <v>6</v>
      </c>
      <c r="F255" t="s">
        <v>60</v>
      </c>
      <c r="G255" t="s">
        <v>15</v>
      </c>
      <c r="H255" t="s">
        <v>29</v>
      </c>
      <c r="I255">
        <v>6</v>
      </c>
      <c r="J255">
        <v>3</v>
      </c>
    </row>
    <row r="256" spans="1:10" x14ac:dyDescent="0.2">
      <c r="A256" s="1" t="s">
        <v>209</v>
      </c>
      <c r="B256" t="s">
        <v>11</v>
      </c>
      <c r="C256">
        <v>3</v>
      </c>
      <c r="D256" t="s">
        <v>20</v>
      </c>
      <c r="E256">
        <v>2</v>
      </c>
      <c r="F256" t="s">
        <v>60</v>
      </c>
      <c r="G256" t="s">
        <v>11</v>
      </c>
      <c r="H256" t="s">
        <v>20</v>
      </c>
      <c r="I256">
        <v>3</v>
      </c>
      <c r="J256">
        <v>2</v>
      </c>
    </row>
    <row r="257" spans="1:10" x14ac:dyDescent="0.2">
      <c r="A257" s="1" t="s">
        <v>210</v>
      </c>
      <c r="B257" t="s">
        <v>19</v>
      </c>
      <c r="C257">
        <v>3</v>
      </c>
      <c r="D257" t="s">
        <v>21</v>
      </c>
      <c r="E257">
        <v>5</v>
      </c>
      <c r="F257" t="s">
        <v>60</v>
      </c>
      <c r="G257" t="s">
        <v>21</v>
      </c>
      <c r="H257" t="s">
        <v>19</v>
      </c>
      <c r="I257">
        <v>5</v>
      </c>
      <c r="J257">
        <v>3</v>
      </c>
    </row>
    <row r="258" spans="1:10" x14ac:dyDescent="0.2">
      <c r="A258" s="1" t="s">
        <v>210</v>
      </c>
      <c r="B258" t="s">
        <v>22</v>
      </c>
      <c r="C258">
        <v>4</v>
      </c>
      <c r="D258" t="s">
        <v>25</v>
      </c>
      <c r="E258">
        <v>1</v>
      </c>
      <c r="F258" t="s">
        <v>60</v>
      </c>
      <c r="G258" t="s">
        <v>22</v>
      </c>
      <c r="H258" t="s">
        <v>25</v>
      </c>
      <c r="I258">
        <v>4</v>
      </c>
      <c r="J258">
        <v>1</v>
      </c>
    </row>
    <row r="259" spans="1:10" x14ac:dyDescent="0.2">
      <c r="A259" s="1" t="s">
        <v>210</v>
      </c>
      <c r="B259" t="s">
        <v>31</v>
      </c>
      <c r="C259">
        <v>1</v>
      </c>
      <c r="D259" t="s">
        <v>12</v>
      </c>
      <c r="E259">
        <v>4</v>
      </c>
      <c r="F259" t="s">
        <v>60</v>
      </c>
      <c r="G259" t="s">
        <v>12</v>
      </c>
      <c r="H259" t="s">
        <v>31</v>
      </c>
      <c r="I259">
        <v>4</v>
      </c>
      <c r="J259">
        <v>1</v>
      </c>
    </row>
    <row r="260" spans="1:10" x14ac:dyDescent="0.2">
      <c r="A260" s="1" t="s">
        <v>210</v>
      </c>
      <c r="B260" t="s">
        <v>33</v>
      </c>
      <c r="C260">
        <v>2</v>
      </c>
      <c r="D260" t="s">
        <v>34</v>
      </c>
      <c r="E260">
        <v>1</v>
      </c>
      <c r="F260" t="s">
        <v>62</v>
      </c>
      <c r="G260" t="s">
        <v>33</v>
      </c>
      <c r="H260" t="s">
        <v>34</v>
      </c>
      <c r="I260">
        <v>2</v>
      </c>
      <c r="J260">
        <v>1</v>
      </c>
    </row>
    <row r="261" spans="1:10" x14ac:dyDescent="0.2">
      <c r="A261" s="1" t="s">
        <v>210</v>
      </c>
      <c r="B261" t="s">
        <v>13</v>
      </c>
      <c r="C261">
        <v>5</v>
      </c>
      <c r="D261" t="s">
        <v>18</v>
      </c>
      <c r="E261">
        <v>1</v>
      </c>
      <c r="F261" t="s">
        <v>60</v>
      </c>
      <c r="G261" t="s">
        <v>13</v>
      </c>
      <c r="H261" t="s">
        <v>18</v>
      </c>
      <c r="I261">
        <v>5</v>
      </c>
      <c r="J261">
        <v>1</v>
      </c>
    </row>
    <row r="262" spans="1:10" x14ac:dyDescent="0.2">
      <c r="A262" s="1" t="s">
        <v>210</v>
      </c>
      <c r="B262" t="s">
        <v>39</v>
      </c>
      <c r="C262">
        <v>3</v>
      </c>
      <c r="D262" t="s">
        <v>36</v>
      </c>
      <c r="E262">
        <v>2</v>
      </c>
      <c r="F262" t="s">
        <v>62</v>
      </c>
      <c r="G262" t="s">
        <v>39</v>
      </c>
      <c r="H262" t="s">
        <v>36</v>
      </c>
      <c r="I262">
        <v>3</v>
      </c>
      <c r="J262">
        <v>2</v>
      </c>
    </row>
    <row r="263" spans="1:10" x14ac:dyDescent="0.2">
      <c r="A263" s="1" t="s">
        <v>210</v>
      </c>
      <c r="B263" t="s">
        <v>28</v>
      </c>
      <c r="C263">
        <v>2</v>
      </c>
      <c r="D263" t="s">
        <v>32</v>
      </c>
      <c r="E263">
        <v>1</v>
      </c>
      <c r="F263" t="s">
        <v>61</v>
      </c>
      <c r="G263" t="s">
        <v>28</v>
      </c>
      <c r="H263" t="s">
        <v>32</v>
      </c>
      <c r="I263">
        <v>2</v>
      </c>
      <c r="J263">
        <v>1</v>
      </c>
    </row>
    <row r="264" spans="1:10" x14ac:dyDescent="0.2">
      <c r="A264" s="1" t="s">
        <v>210</v>
      </c>
      <c r="B264" t="s">
        <v>16</v>
      </c>
      <c r="C264">
        <v>2</v>
      </c>
      <c r="D264" t="s">
        <v>35</v>
      </c>
      <c r="E264">
        <v>3</v>
      </c>
      <c r="F264" t="s">
        <v>60</v>
      </c>
      <c r="G264" t="s">
        <v>35</v>
      </c>
      <c r="H264" t="s">
        <v>16</v>
      </c>
      <c r="I264">
        <v>3</v>
      </c>
      <c r="J264">
        <v>2</v>
      </c>
    </row>
    <row r="265" spans="1:10" x14ac:dyDescent="0.2">
      <c r="A265" s="1" t="s">
        <v>210</v>
      </c>
      <c r="B265" t="s">
        <v>40</v>
      </c>
      <c r="C265">
        <v>5</v>
      </c>
      <c r="D265" t="s">
        <v>38</v>
      </c>
      <c r="E265">
        <v>3</v>
      </c>
      <c r="F265" t="s">
        <v>60</v>
      </c>
      <c r="G265" t="s">
        <v>40</v>
      </c>
      <c r="H265" t="s">
        <v>38</v>
      </c>
      <c r="I265">
        <v>5</v>
      </c>
      <c r="J265">
        <v>3</v>
      </c>
    </row>
    <row r="266" spans="1:10" x14ac:dyDescent="0.2">
      <c r="A266" s="1" t="s">
        <v>211</v>
      </c>
      <c r="B266" t="s">
        <v>24</v>
      </c>
      <c r="C266">
        <v>4</v>
      </c>
      <c r="D266" t="s">
        <v>10</v>
      </c>
      <c r="E266">
        <v>3</v>
      </c>
      <c r="F266" t="s">
        <v>62</v>
      </c>
      <c r="G266" t="s">
        <v>24</v>
      </c>
      <c r="H266" t="s">
        <v>10</v>
      </c>
      <c r="I266">
        <v>4</v>
      </c>
      <c r="J266">
        <v>3</v>
      </c>
    </row>
    <row r="267" spans="1:10" x14ac:dyDescent="0.2">
      <c r="A267" s="1" t="s">
        <v>211</v>
      </c>
      <c r="B267" t="s">
        <v>17</v>
      </c>
      <c r="C267">
        <v>2</v>
      </c>
      <c r="D267" t="s">
        <v>27</v>
      </c>
      <c r="E267">
        <v>1</v>
      </c>
      <c r="F267" t="s">
        <v>62</v>
      </c>
      <c r="G267" t="s">
        <v>17</v>
      </c>
      <c r="H267" t="s">
        <v>27</v>
      </c>
      <c r="I267">
        <v>2</v>
      </c>
      <c r="J267">
        <v>1</v>
      </c>
    </row>
    <row r="268" spans="1:10" x14ac:dyDescent="0.2">
      <c r="A268" s="1" t="s">
        <v>211</v>
      </c>
      <c r="B268" t="s">
        <v>15</v>
      </c>
      <c r="C268">
        <v>7</v>
      </c>
      <c r="D268" t="s">
        <v>37</v>
      </c>
      <c r="E268">
        <v>3</v>
      </c>
      <c r="F268" t="s">
        <v>60</v>
      </c>
      <c r="G268" t="s">
        <v>15</v>
      </c>
      <c r="H268" t="s">
        <v>37</v>
      </c>
      <c r="I268">
        <v>7</v>
      </c>
      <c r="J268">
        <v>3</v>
      </c>
    </row>
    <row r="269" spans="1:10" x14ac:dyDescent="0.2">
      <c r="A269" s="1" t="s">
        <v>211</v>
      </c>
      <c r="B269" t="s">
        <v>23</v>
      </c>
      <c r="C269">
        <v>2</v>
      </c>
      <c r="D269" t="s">
        <v>55</v>
      </c>
      <c r="E269">
        <v>5</v>
      </c>
      <c r="F269" t="s">
        <v>60</v>
      </c>
      <c r="G269" t="s">
        <v>55</v>
      </c>
      <c r="H269" t="s">
        <v>23</v>
      </c>
      <c r="I269">
        <v>5</v>
      </c>
      <c r="J269">
        <v>2</v>
      </c>
    </row>
    <row r="270" spans="1:10" x14ac:dyDescent="0.2">
      <c r="A270" s="1" t="s">
        <v>212</v>
      </c>
      <c r="B270" t="s">
        <v>17</v>
      </c>
      <c r="C270">
        <v>4</v>
      </c>
      <c r="D270" t="s">
        <v>28</v>
      </c>
      <c r="E270">
        <v>5</v>
      </c>
      <c r="F270" t="s">
        <v>60</v>
      </c>
      <c r="G270" t="s">
        <v>28</v>
      </c>
      <c r="H270" t="s">
        <v>17</v>
      </c>
      <c r="I270">
        <v>5</v>
      </c>
      <c r="J270">
        <v>4</v>
      </c>
    </row>
    <row r="271" spans="1:10" x14ac:dyDescent="0.2">
      <c r="A271" s="1" t="s">
        <v>212</v>
      </c>
      <c r="B271" t="s">
        <v>33</v>
      </c>
      <c r="C271">
        <v>0</v>
      </c>
      <c r="D271" t="s">
        <v>16</v>
      </c>
      <c r="E271">
        <v>2</v>
      </c>
      <c r="F271" t="s">
        <v>60</v>
      </c>
      <c r="G271" t="s">
        <v>16</v>
      </c>
      <c r="H271" t="s">
        <v>33</v>
      </c>
      <c r="I271">
        <v>2</v>
      </c>
      <c r="J271">
        <v>0</v>
      </c>
    </row>
    <row r="272" spans="1:10" x14ac:dyDescent="0.2">
      <c r="A272" s="1" t="s">
        <v>212</v>
      </c>
      <c r="B272" t="s">
        <v>23</v>
      </c>
      <c r="C272">
        <v>3</v>
      </c>
      <c r="D272" t="s">
        <v>12</v>
      </c>
      <c r="E272">
        <v>6</v>
      </c>
      <c r="F272" t="s">
        <v>60</v>
      </c>
      <c r="G272" t="s">
        <v>12</v>
      </c>
      <c r="H272" t="s">
        <v>23</v>
      </c>
      <c r="I272">
        <v>6</v>
      </c>
      <c r="J272">
        <v>3</v>
      </c>
    </row>
    <row r="273" spans="1:10" x14ac:dyDescent="0.2">
      <c r="A273" s="1" t="s">
        <v>212</v>
      </c>
      <c r="B273" t="s">
        <v>31</v>
      </c>
      <c r="C273">
        <v>3</v>
      </c>
      <c r="D273" t="s">
        <v>26</v>
      </c>
      <c r="E273">
        <v>6</v>
      </c>
      <c r="F273" t="s">
        <v>60</v>
      </c>
      <c r="G273" t="s">
        <v>26</v>
      </c>
      <c r="H273" t="s">
        <v>31</v>
      </c>
      <c r="I273">
        <v>6</v>
      </c>
      <c r="J273">
        <v>3</v>
      </c>
    </row>
    <row r="274" spans="1:10" x14ac:dyDescent="0.2">
      <c r="A274" s="1" t="s">
        <v>212</v>
      </c>
      <c r="B274" t="s">
        <v>22</v>
      </c>
      <c r="C274">
        <v>3</v>
      </c>
      <c r="D274" t="s">
        <v>11</v>
      </c>
      <c r="E274">
        <v>6</v>
      </c>
      <c r="F274" t="s">
        <v>60</v>
      </c>
      <c r="G274" t="s">
        <v>11</v>
      </c>
      <c r="H274" t="s">
        <v>22</v>
      </c>
      <c r="I274">
        <v>6</v>
      </c>
      <c r="J274">
        <v>3</v>
      </c>
    </row>
    <row r="275" spans="1:10" x14ac:dyDescent="0.2">
      <c r="A275" s="1" t="s">
        <v>212</v>
      </c>
      <c r="B275" t="s">
        <v>39</v>
      </c>
      <c r="C275">
        <v>7</v>
      </c>
      <c r="D275" t="s">
        <v>18</v>
      </c>
      <c r="E275">
        <v>0</v>
      </c>
      <c r="F275" t="s">
        <v>60</v>
      </c>
      <c r="G275" t="s">
        <v>39</v>
      </c>
      <c r="H275" t="s">
        <v>18</v>
      </c>
      <c r="I275">
        <v>7</v>
      </c>
      <c r="J275">
        <v>0</v>
      </c>
    </row>
    <row r="276" spans="1:10" x14ac:dyDescent="0.2">
      <c r="A276" s="1" t="s">
        <v>212</v>
      </c>
      <c r="B276" t="s">
        <v>21</v>
      </c>
      <c r="C276">
        <v>3</v>
      </c>
      <c r="D276" t="s">
        <v>36</v>
      </c>
      <c r="E276">
        <v>5</v>
      </c>
      <c r="F276" t="s">
        <v>60</v>
      </c>
      <c r="G276" t="s">
        <v>36</v>
      </c>
      <c r="H276" t="s">
        <v>21</v>
      </c>
      <c r="I276">
        <v>5</v>
      </c>
      <c r="J276">
        <v>3</v>
      </c>
    </row>
    <row r="277" spans="1:10" x14ac:dyDescent="0.2">
      <c r="A277" s="1" t="s">
        <v>212</v>
      </c>
      <c r="B277" t="s">
        <v>40</v>
      </c>
      <c r="C277">
        <v>3</v>
      </c>
      <c r="D277" t="s">
        <v>32</v>
      </c>
      <c r="E277">
        <v>5</v>
      </c>
      <c r="F277" t="s">
        <v>60</v>
      </c>
      <c r="G277" t="s">
        <v>32</v>
      </c>
      <c r="H277" t="s">
        <v>40</v>
      </c>
      <c r="I277">
        <v>5</v>
      </c>
      <c r="J277">
        <v>3</v>
      </c>
    </row>
    <row r="278" spans="1:10" x14ac:dyDescent="0.2">
      <c r="A278" s="1" t="s">
        <v>212</v>
      </c>
      <c r="B278" t="s">
        <v>13</v>
      </c>
      <c r="C278">
        <v>4</v>
      </c>
      <c r="D278" t="s">
        <v>19</v>
      </c>
      <c r="E278">
        <v>3</v>
      </c>
      <c r="F278" t="s">
        <v>62</v>
      </c>
      <c r="G278" t="s">
        <v>13</v>
      </c>
      <c r="H278" t="s">
        <v>19</v>
      </c>
      <c r="I278">
        <v>4</v>
      </c>
      <c r="J278">
        <v>3</v>
      </c>
    </row>
    <row r="279" spans="1:10" x14ac:dyDescent="0.2">
      <c r="A279" s="1" t="s">
        <v>212</v>
      </c>
      <c r="B279" t="s">
        <v>30</v>
      </c>
      <c r="C279">
        <v>4</v>
      </c>
      <c r="D279" t="s">
        <v>20</v>
      </c>
      <c r="E279">
        <v>3</v>
      </c>
      <c r="F279" t="s">
        <v>62</v>
      </c>
      <c r="G279" t="s">
        <v>30</v>
      </c>
      <c r="H279" t="s">
        <v>20</v>
      </c>
      <c r="I279">
        <v>4</v>
      </c>
      <c r="J279">
        <v>3</v>
      </c>
    </row>
    <row r="280" spans="1:10" x14ac:dyDescent="0.2">
      <c r="A280" s="1" t="s">
        <v>213</v>
      </c>
      <c r="B280" t="s">
        <v>38</v>
      </c>
      <c r="C280">
        <v>3</v>
      </c>
      <c r="D280" t="s">
        <v>25</v>
      </c>
      <c r="E280">
        <v>4</v>
      </c>
      <c r="F280" t="s">
        <v>62</v>
      </c>
      <c r="G280" t="s">
        <v>25</v>
      </c>
      <c r="H280" t="s">
        <v>38</v>
      </c>
      <c r="I280">
        <v>4</v>
      </c>
      <c r="J280">
        <v>3</v>
      </c>
    </row>
    <row r="281" spans="1:10" x14ac:dyDescent="0.2">
      <c r="A281" s="1" t="s">
        <v>213</v>
      </c>
      <c r="B281" t="s">
        <v>14</v>
      </c>
      <c r="C281">
        <v>1</v>
      </c>
      <c r="D281" t="s">
        <v>29</v>
      </c>
      <c r="E281">
        <v>2</v>
      </c>
      <c r="F281" t="s">
        <v>62</v>
      </c>
      <c r="G281" t="s">
        <v>29</v>
      </c>
      <c r="H281" t="s">
        <v>14</v>
      </c>
      <c r="I281">
        <v>2</v>
      </c>
      <c r="J281">
        <v>1</v>
      </c>
    </row>
    <row r="282" spans="1:10" x14ac:dyDescent="0.2">
      <c r="A282" s="1" t="s">
        <v>213</v>
      </c>
      <c r="B282" t="s">
        <v>27</v>
      </c>
      <c r="C282">
        <v>6</v>
      </c>
      <c r="D282" t="s">
        <v>35</v>
      </c>
      <c r="E282">
        <v>5</v>
      </c>
      <c r="F282" t="s">
        <v>61</v>
      </c>
      <c r="G282" t="s">
        <v>27</v>
      </c>
      <c r="H282" t="s">
        <v>35</v>
      </c>
      <c r="I282">
        <v>6</v>
      </c>
      <c r="J282">
        <v>5</v>
      </c>
    </row>
    <row r="283" spans="1:10" x14ac:dyDescent="0.2">
      <c r="A283" s="1" t="s">
        <v>213</v>
      </c>
      <c r="B283" t="s">
        <v>30</v>
      </c>
      <c r="C283">
        <v>3</v>
      </c>
      <c r="D283" t="s">
        <v>55</v>
      </c>
      <c r="E283">
        <v>2</v>
      </c>
      <c r="F283" t="s">
        <v>62</v>
      </c>
      <c r="G283" t="s">
        <v>30</v>
      </c>
      <c r="H283" t="s">
        <v>55</v>
      </c>
      <c r="I283">
        <v>3</v>
      </c>
      <c r="J283">
        <v>2</v>
      </c>
    </row>
    <row r="284" spans="1:10" x14ac:dyDescent="0.2">
      <c r="A284" s="1" t="s">
        <v>214</v>
      </c>
      <c r="B284" t="s">
        <v>17</v>
      </c>
      <c r="C284">
        <v>4</v>
      </c>
      <c r="D284" t="s">
        <v>25</v>
      </c>
      <c r="E284">
        <v>3</v>
      </c>
      <c r="F284" t="s">
        <v>62</v>
      </c>
      <c r="G284" t="s">
        <v>17</v>
      </c>
      <c r="H284" t="s">
        <v>25</v>
      </c>
      <c r="I284">
        <v>4</v>
      </c>
      <c r="J284">
        <v>3</v>
      </c>
    </row>
    <row r="285" spans="1:10" x14ac:dyDescent="0.2">
      <c r="A285" s="1" t="s">
        <v>214</v>
      </c>
      <c r="B285" t="s">
        <v>15</v>
      </c>
      <c r="C285">
        <v>2</v>
      </c>
      <c r="D285" t="s">
        <v>28</v>
      </c>
      <c r="E285">
        <v>1</v>
      </c>
      <c r="F285" t="s">
        <v>61</v>
      </c>
      <c r="G285" t="s">
        <v>15</v>
      </c>
      <c r="H285" t="s">
        <v>28</v>
      </c>
      <c r="I285">
        <v>2</v>
      </c>
      <c r="J285">
        <v>1</v>
      </c>
    </row>
    <row r="286" spans="1:10" x14ac:dyDescent="0.2">
      <c r="A286" s="1" t="s">
        <v>214</v>
      </c>
      <c r="B286" t="s">
        <v>40</v>
      </c>
      <c r="C286">
        <v>4</v>
      </c>
      <c r="D286" t="s">
        <v>16</v>
      </c>
      <c r="E286">
        <v>3</v>
      </c>
      <c r="F286" t="s">
        <v>61</v>
      </c>
      <c r="G286" t="s">
        <v>40</v>
      </c>
      <c r="H286" t="s">
        <v>16</v>
      </c>
      <c r="I286">
        <v>4</v>
      </c>
      <c r="J286">
        <v>3</v>
      </c>
    </row>
    <row r="287" spans="1:10" x14ac:dyDescent="0.2">
      <c r="A287" s="1" t="s">
        <v>214</v>
      </c>
      <c r="B287" t="s">
        <v>19</v>
      </c>
      <c r="C287">
        <v>2</v>
      </c>
      <c r="D287" t="s">
        <v>10</v>
      </c>
      <c r="E287">
        <v>3</v>
      </c>
      <c r="F287" t="s">
        <v>60</v>
      </c>
      <c r="G287" t="s">
        <v>10</v>
      </c>
      <c r="H287" t="s">
        <v>19</v>
      </c>
      <c r="I287">
        <v>3</v>
      </c>
      <c r="J287">
        <v>2</v>
      </c>
    </row>
    <row r="288" spans="1:10" x14ac:dyDescent="0.2">
      <c r="A288" s="1" t="s">
        <v>214</v>
      </c>
      <c r="B288" t="s">
        <v>27</v>
      </c>
      <c r="C288">
        <v>1</v>
      </c>
      <c r="D288" t="s">
        <v>39</v>
      </c>
      <c r="E288">
        <v>5</v>
      </c>
      <c r="F288" t="s">
        <v>60</v>
      </c>
      <c r="G288" t="s">
        <v>39</v>
      </c>
      <c r="H288" t="s">
        <v>27</v>
      </c>
      <c r="I288">
        <v>5</v>
      </c>
      <c r="J288">
        <v>1</v>
      </c>
    </row>
    <row r="289" spans="1:10" x14ac:dyDescent="0.2">
      <c r="A289" s="1" t="s">
        <v>214</v>
      </c>
      <c r="B289" t="s">
        <v>23</v>
      </c>
      <c r="C289">
        <v>5</v>
      </c>
      <c r="D289" t="s">
        <v>26</v>
      </c>
      <c r="E289">
        <v>4</v>
      </c>
      <c r="F289" t="s">
        <v>62</v>
      </c>
      <c r="G289" t="s">
        <v>23</v>
      </c>
      <c r="H289" t="s">
        <v>26</v>
      </c>
      <c r="I289">
        <v>5</v>
      </c>
      <c r="J289">
        <v>4</v>
      </c>
    </row>
    <row r="290" spans="1:10" x14ac:dyDescent="0.2">
      <c r="A290" s="1" t="s">
        <v>214</v>
      </c>
      <c r="B290" t="s">
        <v>37</v>
      </c>
      <c r="C290">
        <v>3</v>
      </c>
      <c r="D290" t="s">
        <v>11</v>
      </c>
      <c r="E290">
        <v>1</v>
      </c>
      <c r="F290" t="s">
        <v>60</v>
      </c>
      <c r="G290" t="s">
        <v>37</v>
      </c>
      <c r="H290" t="s">
        <v>11</v>
      </c>
      <c r="I290">
        <v>3</v>
      </c>
      <c r="J290">
        <v>1</v>
      </c>
    </row>
    <row r="291" spans="1:10" x14ac:dyDescent="0.2">
      <c r="A291" s="1" t="s">
        <v>214</v>
      </c>
      <c r="B291" t="s">
        <v>31</v>
      </c>
      <c r="C291">
        <v>0</v>
      </c>
      <c r="D291" t="s">
        <v>34</v>
      </c>
      <c r="E291">
        <v>2</v>
      </c>
      <c r="F291" t="s">
        <v>60</v>
      </c>
      <c r="G291" t="s">
        <v>34</v>
      </c>
      <c r="H291" t="s">
        <v>31</v>
      </c>
      <c r="I291">
        <v>2</v>
      </c>
      <c r="J291">
        <v>0</v>
      </c>
    </row>
    <row r="292" spans="1:10" x14ac:dyDescent="0.2">
      <c r="A292" s="1" t="s">
        <v>214</v>
      </c>
      <c r="B292" t="s">
        <v>21</v>
      </c>
      <c r="C292">
        <v>3</v>
      </c>
      <c r="D292" t="s">
        <v>18</v>
      </c>
      <c r="E292">
        <v>2</v>
      </c>
      <c r="F292" t="s">
        <v>60</v>
      </c>
      <c r="G292" t="s">
        <v>21</v>
      </c>
      <c r="H292" t="s">
        <v>18</v>
      </c>
      <c r="I292">
        <v>3</v>
      </c>
      <c r="J292">
        <v>2</v>
      </c>
    </row>
    <row r="293" spans="1:10" x14ac:dyDescent="0.2">
      <c r="A293" s="1" t="s">
        <v>214</v>
      </c>
      <c r="B293" t="s">
        <v>13</v>
      </c>
      <c r="C293">
        <v>1</v>
      </c>
      <c r="D293" t="s">
        <v>36</v>
      </c>
      <c r="E293">
        <v>0</v>
      </c>
      <c r="F293" t="s">
        <v>60</v>
      </c>
      <c r="G293" t="s">
        <v>13</v>
      </c>
      <c r="H293" t="s">
        <v>36</v>
      </c>
      <c r="I293">
        <v>1</v>
      </c>
      <c r="J293">
        <v>0</v>
      </c>
    </row>
    <row r="294" spans="1:10" x14ac:dyDescent="0.2">
      <c r="A294" s="1" t="s">
        <v>214</v>
      </c>
      <c r="B294" t="s">
        <v>33</v>
      </c>
      <c r="C294">
        <v>1</v>
      </c>
      <c r="D294" t="s">
        <v>32</v>
      </c>
      <c r="E294">
        <v>4</v>
      </c>
      <c r="F294" t="s">
        <v>60</v>
      </c>
      <c r="G294" t="s">
        <v>32</v>
      </c>
      <c r="H294" t="s">
        <v>33</v>
      </c>
      <c r="I294">
        <v>4</v>
      </c>
      <c r="J294">
        <v>1</v>
      </c>
    </row>
    <row r="295" spans="1:10" x14ac:dyDescent="0.2">
      <c r="A295" s="1" t="s">
        <v>214</v>
      </c>
      <c r="B295" t="s">
        <v>20</v>
      </c>
      <c r="C295">
        <v>4</v>
      </c>
      <c r="D295" t="s">
        <v>35</v>
      </c>
      <c r="E295">
        <v>1</v>
      </c>
      <c r="F295" t="s">
        <v>60</v>
      </c>
      <c r="G295" t="s">
        <v>20</v>
      </c>
      <c r="H295" t="s">
        <v>35</v>
      </c>
      <c r="I295">
        <v>4</v>
      </c>
      <c r="J295">
        <v>1</v>
      </c>
    </row>
    <row r="296" spans="1:10" x14ac:dyDescent="0.2">
      <c r="A296" s="1" t="s">
        <v>214</v>
      </c>
      <c r="B296" t="s">
        <v>24</v>
      </c>
      <c r="C296">
        <v>3</v>
      </c>
      <c r="D296" t="s">
        <v>22</v>
      </c>
      <c r="E296">
        <v>2</v>
      </c>
      <c r="F296" t="s">
        <v>61</v>
      </c>
      <c r="G296" t="s">
        <v>24</v>
      </c>
      <c r="H296" t="s">
        <v>22</v>
      </c>
      <c r="I296">
        <v>3</v>
      </c>
      <c r="J296">
        <v>2</v>
      </c>
    </row>
    <row r="297" spans="1:10" x14ac:dyDescent="0.2">
      <c r="A297" s="1" t="s">
        <v>215</v>
      </c>
      <c r="B297" t="s">
        <v>30</v>
      </c>
      <c r="C297">
        <v>1</v>
      </c>
      <c r="D297" t="s">
        <v>12</v>
      </c>
      <c r="E297">
        <v>4</v>
      </c>
      <c r="F297" t="s">
        <v>60</v>
      </c>
      <c r="G297" t="s">
        <v>12</v>
      </c>
      <c r="H297" t="s">
        <v>30</v>
      </c>
      <c r="I297">
        <v>4</v>
      </c>
      <c r="J297">
        <v>1</v>
      </c>
    </row>
    <row r="298" spans="1:10" x14ac:dyDescent="0.2">
      <c r="A298" s="1" t="s">
        <v>215</v>
      </c>
      <c r="B298" t="s">
        <v>20</v>
      </c>
      <c r="C298">
        <v>2</v>
      </c>
      <c r="D298" t="s">
        <v>34</v>
      </c>
      <c r="E298">
        <v>3</v>
      </c>
      <c r="F298" t="s">
        <v>62</v>
      </c>
      <c r="G298" t="s">
        <v>34</v>
      </c>
      <c r="H298" t="s">
        <v>20</v>
      </c>
      <c r="I298">
        <v>3</v>
      </c>
      <c r="J298">
        <v>2</v>
      </c>
    </row>
    <row r="299" spans="1:10" x14ac:dyDescent="0.2">
      <c r="A299" s="1" t="s">
        <v>215</v>
      </c>
      <c r="B299" t="s">
        <v>26</v>
      </c>
      <c r="C299">
        <v>2</v>
      </c>
      <c r="D299" t="s">
        <v>15</v>
      </c>
      <c r="E299">
        <v>1</v>
      </c>
      <c r="F299" t="s">
        <v>60</v>
      </c>
      <c r="G299" t="s">
        <v>26</v>
      </c>
      <c r="H299" t="s">
        <v>15</v>
      </c>
      <c r="I299">
        <v>2</v>
      </c>
      <c r="J299">
        <v>1</v>
      </c>
    </row>
    <row r="300" spans="1:10" x14ac:dyDescent="0.2">
      <c r="A300" s="1" t="s">
        <v>215</v>
      </c>
      <c r="B300" t="s">
        <v>29</v>
      </c>
      <c r="C300">
        <v>0</v>
      </c>
      <c r="D300" t="s">
        <v>14</v>
      </c>
      <c r="E300">
        <v>4</v>
      </c>
      <c r="F300" t="s">
        <v>60</v>
      </c>
      <c r="G300" t="s">
        <v>14</v>
      </c>
      <c r="H300" t="s">
        <v>29</v>
      </c>
      <c r="I300">
        <v>4</v>
      </c>
      <c r="J300">
        <v>0</v>
      </c>
    </row>
    <row r="301" spans="1:10" x14ac:dyDescent="0.2">
      <c r="A301" s="1" t="s">
        <v>215</v>
      </c>
      <c r="B301" t="s">
        <v>38</v>
      </c>
      <c r="C301">
        <v>6</v>
      </c>
      <c r="D301" t="s">
        <v>37</v>
      </c>
      <c r="E301">
        <v>2</v>
      </c>
      <c r="F301" t="s">
        <v>60</v>
      </c>
      <c r="G301" t="s">
        <v>38</v>
      </c>
      <c r="H301" t="s">
        <v>37</v>
      </c>
      <c r="I301">
        <v>6</v>
      </c>
      <c r="J301">
        <v>2</v>
      </c>
    </row>
    <row r="302" spans="1:10" x14ac:dyDescent="0.2">
      <c r="A302" s="1" t="s">
        <v>216</v>
      </c>
      <c r="B302" t="s">
        <v>55</v>
      </c>
      <c r="C302">
        <v>2</v>
      </c>
      <c r="D302" t="s">
        <v>31</v>
      </c>
      <c r="E302">
        <v>3</v>
      </c>
      <c r="F302" t="s">
        <v>62</v>
      </c>
      <c r="G302" t="s">
        <v>31</v>
      </c>
      <c r="H302" t="s">
        <v>55</v>
      </c>
      <c r="I302">
        <v>3</v>
      </c>
      <c r="J302">
        <v>2</v>
      </c>
    </row>
    <row r="303" spans="1:10" x14ac:dyDescent="0.2">
      <c r="A303" s="1" t="s">
        <v>216</v>
      </c>
      <c r="B303" t="s">
        <v>25</v>
      </c>
      <c r="C303">
        <v>3</v>
      </c>
      <c r="D303" t="s">
        <v>21</v>
      </c>
      <c r="E303">
        <v>1</v>
      </c>
      <c r="F303" t="s">
        <v>60</v>
      </c>
      <c r="G303" t="s">
        <v>25</v>
      </c>
      <c r="H303" t="s">
        <v>21</v>
      </c>
      <c r="I303">
        <v>3</v>
      </c>
      <c r="J303">
        <v>1</v>
      </c>
    </row>
    <row r="304" spans="1:10" x14ac:dyDescent="0.2">
      <c r="A304" s="1" t="s">
        <v>216</v>
      </c>
      <c r="B304" t="s">
        <v>17</v>
      </c>
      <c r="C304">
        <v>1</v>
      </c>
      <c r="D304" t="s">
        <v>23</v>
      </c>
      <c r="E304">
        <v>5</v>
      </c>
      <c r="F304" t="s">
        <v>60</v>
      </c>
      <c r="G304" t="s">
        <v>23</v>
      </c>
      <c r="H304" t="s">
        <v>17</v>
      </c>
      <c r="I304">
        <v>5</v>
      </c>
      <c r="J304">
        <v>1</v>
      </c>
    </row>
    <row r="305" spans="1:10" x14ac:dyDescent="0.2">
      <c r="A305" s="1" t="s">
        <v>216</v>
      </c>
      <c r="B305" t="s">
        <v>18</v>
      </c>
      <c r="C305">
        <v>3</v>
      </c>
      <c r="D305" t="s">
        <v>28</v>
      </c>
      <c r="E305">
        <v>4</v>
      </c>
      <c r="F305" t="s">
        <v>61</v>
      </c>
      <c r="G305" t="s">
        <v>28</v>
      </c>
      <c r="H305" t="s">
        <v>18</v>
      </c>
      <c r="I305">
        <v>4</v>
      </c>
      <c r="J305">
        <v>3</v>
      </c>
    </row>
    <row r="306" spans="1:10" x14ac:dyDescent="0.2">
      <c r="A306" s="1" t="s">
        <v>216</v>
      </c>
      <c r="B306" t="s">
        <v>38</v>
      </c>
      <c r="C306">
        <v>5</v>
      </c>
      <c r="D306" t="s">
        <v>11</v>
      </c>
      <c r="E306">
        <v>8</v>
      </c>
      <c r="F306" t="s">
        <v>60</v>
      </c>
      <c r="G306" t="s">
        <v>11</v>
      </c>
      <c r="H306" t="s">
        <v>38</v>
      </c>
      <c r="I306">
        <v>8</v>
      </c>
      <c r="J306">
        <v>5</v>
      </c>
    </row>
    <row r="307" spans="1:10" x14ac:dyDescent="0.2">
      <c r="A307" s="1" t="s">
        <v>216</v>
      </c>
      <c r="B307" t="s">
        <v>13</v>
      </c>
      <c r="C307">
        <v>1</v>
      </c>
      <c r="D307" t="s">
        <v>22</v>
      </c>
      <c r="E307">
        <v>2</v>
      </c>
      <c r="F307" t="s">
        <v>60</v>
      </c>
      <c r="G307" t="s">
        <v>22</v>
      </c>
      <c r="H307" t="s">
        <v>13</v>
      </c>
      <c r="I307">
        <v>2</v>
      </c>
      <c r="J307">
        <v>1</v>
      </c>
    </row>
    <row r="308" spans="1:10" x14ac:dyDescent="0.2">
      <c r="A308" s="1" t="s">
        <v>217</v>
      </c>
      <c r="B308" t="s">
        <v>16</v>
      </c>
      <c r="C308">
        <v>2</v>
      </c>
      <c r="D308" t="s">
        <v>10</v>
      </c>
      <c r="E308">
        <v>5</v>
      </c>
      <c r="F308" t="s">
        <v>60</v>
      </c>
      <c r="G308" t="s">
        <v>10</v>
      </c>
      <c r="H308" t="s">
        <v>16</v>
      </c>
      <c r="I308">
        <v>5</v>
      </c>
      <c r="J308">
        <v>2</v>
      </c>
    </row>
    <row r="309" spans="1:10" x14ac:dyDescent="0.2">
      <c r="A309" s="1" t="s">
        <v>217</v>
      </c>
      <c r="B309" t="s">
        <v>30</v>
      </c>
      <c r="C309">
        <v>3</v>
      </c>
      <c r="D309" t="s">
        <v>39</v>
      </c>
      <c r="E309">
        <v>2</v>
      </c>
      <c r="F309" t="s">
        <v>60</v>
      </c>
      <c r="G309" t="s">
        <v>30</v>
      </c>
      <c r="H309" t="s">
        <v>39</v>
      </c>
      <c r="I309">
        <v>3</v>
      </c>
      <c r="J309">
        <v>2</v>
      </c>
    </row>
    <row r="310" spans="1:10" x14ac:dyDescent="0.2">
      <c r="A310" s="1" t="s">
        <v>217</v>
      </c>
      <c r="B310" t="s">
        <v>32</v>
      </c>
      <c r="C310">
        <v>2</v>
      </c>
      <c r="D310" t="s">
        <v>26</v>
      </c>
      <c r="E310">
        <v>4</v>
      </c>
      <c r="F310" t="s">
        <v>60</v>
      </c>
      <c r="G310" t="s">
        <v>26</v>
      </c>
      <c r="H310" t="s">
        <v>32</v>
      </c>
      <c r="I310">
        <v>4</v>
      </c>
      <c r="J310">
        <v>2</v>
      </c>
    </row>
    <row r="311" spans="1:10" x14ac:dyDescent="0.2">
      <c r="A311" s="1" t="s">
        <v>217</v>
      </c>
      <c r="B311" t="s">
        <v>55</v>
      </c>
      <c r="C311">
        <v>2</v>
      </c>
      <c r="D311" t="s">
        <v>33</v>
      </c>
      <c r="E311">
        <v>3</v>
      </c>
      <c r="F311" t="s">
        <v>62</v>
      </c>
      <c r="G311" t="s">
        <v>33</v>
      </c>
      <c r="H311" t="s">
        <v>55</v>
      </c>
      <c r="I311">
        <v>3</v>
      </c>
      <c r="J311">
        <v>2</v>
      </c>
    </row>
    <row r="312" spans="1:10" x14ac:dyDescent="0.2">
      <c r="A312" s="1" t="s">
        <v>217</v>
      </c>
      <c r="B312" t="s">
        <v>24</v>
      </c>
      <c r="C312">
        <v>1</v>
      </c>
      <c r="D312" t="s">
        <v>37</v>
      </c>
      <c r="E312">
        <v>5</v>
      </c>
      <c r="F312" t="s">
        <v>60</v>
      </c>
      <c r="G312" t="s">
        <v>37</v>
      </c>
      <c r="H312" t="s">
        <v>24</v>
      </c>
      <c r="I312">
        <v>5</v>
      </c>
      <c r="J312">
        <v>1</v>
      </c>
    </row>
    <row r="313" spans="1:10" x14ac:dyDescent="0.2">
      <c r="A313" s="1" t="s">
        <v>217</v>
      </c>
      <c r="B313" t="s">
        <v>35</v>
      </c>
      <c r="C313">
        <v>2</v>
      </c>
      <c r="D313" t="s">
        <v>19</v>
      </c>
      <c r="E313">
        <v>3</v>
      </c>
      <c r="F313" t="s">
        <v>62</v>
      </c>
      <c r="G313" t="s">
        <v>19</v>
      </c>
      <c r="H313" t="s">
        <v>35</v>
      </c>
      <c r="I313">
        <v>3</v>
      </c>
      <c r="J313">
        <v>2</v>
      </c>
    </row>
    <row r="314" spans="1:10" x14ac:dyDescent="0.2">
      <c r="A314" s="1" t="s">
        <v>217</v>
      </c>
      <c r="B314" t="s">
        <v>15</v>
      </c>
      <c r="C314">
        <v>2</v>
      </c>
      <c r="D314" t="s">
        <v>20</v>
      </c>
      <c r="E314">
        <v>3</v>
      </c>
      <c r="F314" t="s">
        <v>60</v>
      </c>
      <c r="G314" t="s">
        <v>20</v>
      </c>
      <c r="H314" t="s">
        <v>15</v>
      </c>
      <c r="I314">
        <v>3</v>
      </c>
      <c r="J314">
        <v>2</v>
      </c>
    </row>
    <row r="315" spans="1:10" x14ac:dyDescent="0.2">
      <c r="A315" s="1" t="s">
        <v>217</v>
      </c>
      <c r="B315" t="s">
        <v>28</v>
      </c>
      <c r="C315">
        <v>2</v>
      </c>
      <c r="D315" t="s">
        <v>40</v>
      </c>
      <c r="E315">
        <v>5</v>
      </c>
      <c r="F315" t="s">
        <v>60</v>
      </c>
      <c r="G315" t="s">
        <v>40</v>
      </c>
      <c r="H315" t="s">
        <v>28</v>
      </c>
      <c r="I315">
        <v>5</v>
      </c>
      <c r="J315">
        <v>2</v>
      </c>
    </row>
    <row r="316" spans="1:10" x14ac:dyDescent="0.2">
      <c r="A316" s="1" t="s">
        <v>218</v>
      </c>
      <c r="B316" t="s">
        <v>21</v>
      </c>
      <c r="C316">
        <v>3</v>
      </c>
      <c r="D316" t="s">
        <v>31</v>
      </c>
      <c r="E316">
        <v>4</v>
      </c>
      <c r="F316" t="s">
        <v>60</v>
      </c>
      <c r="G316" t="s">
        <v>31</v>
      </c>
      <c r="H316" t="s">
        <v>21</v>
      </c>
      <c r="I316">
        <v>4</v>
      </c>
      <c r="J316">
        <v>3</v>
      </c>
    </row>
    <row r="317" spans="1:10" x14ac:dyDescent="0.2">
      <c r="A317" s="1" t="s">
        <v>218</v>
      </c>
      <c r="B317" t="s">
        <v>16</v>
      </c>
      <c r="C317">
        <v>6</v>
      </c>
      <c r="D317" t="s">
        <v>23</v>
      </c>
      <c r="E317">
        <v>2</v>
      </c>
      <c r="F317" t="s">
        <v>60</v>
      </c>
      <c r="G317" t="s">
        <v>16</v>
      </c>
      <c r="H317" t="s">
        <v>23</v>
      </c>
      <c r="I317">
        <v>6</v>
      </c>
      <c r="J317">
        <v>2</v>
      </c>
    </row>
    <row r="318" spans="1:10" x14ac:dyDescent="0.2">
      <c r="A318" s="1" t="s">
        <v>218</v>
      </c>
      <c r="B318" t="s">
        <v>25</v>
      </c>
      <c r="C318">
        <v>3</v>
      </c>
      <c r="D318" t="s">
        <v>34</v>
      </c>
      <c r="E318">
        <v>4</v>
      </c>
      <c r="F318" t="s">
        <v>61</v>
      </c>
      <c r="G318" t="s">
        <v>34</v>
      </c>
      <c r="H318" t="s">
        <v>25</v>
      </c>
      <c r="I318">
        <v>4</v>
      </c>
      <c r="J318">
        <v>3</v>
      </c>
    </row>
    <row r="319" spans="1:10" x14ac:dyDescent="0.2">
      <c r="A319" s="1" t="s">
        <v>218</v>
      </c>
      <c r="B319" t="s">
        <v>17</v>
      </c>
      <c r="C319">
        <v>4</v>
      </c>
      <c r="D319" t="s">
        <v>22</v>
      </c>
      <c r="E319">
        <v>7</v>
      </c>
      <c r="F319" t="s">
        <v>60</v>
      </c>
      <c r="G319" t="s">
        <v>22</v>
      </c>
      <c r="H319" t="s">
        <v>17</v>
      </c>
      <c r="I319">
        <v>7</v>
      </c>
      <c r="J319">
        <v>4</v>
      </c>
    </row>
    <row r="320" spans="1:10" x14ac:dyDescent="0.2">
      <c r="A320" s="1" t="s">
        <v>219</v>
      </c>
      <c r="B320" t="s">
        <v>36</v>
      </c>
      <c r="C320">
        <v>3</v>
      </c>
      <c r="D320" t="s">
        <v>31</v>
      </c>
      <c r="E320">
        <v>2</v>
      </c>
      <c r="F320" t="s">
        <v>60</v>
      </c>
      <c r="G320" t="s">
        <v>36</v>
      </c>
      <c r="H320" t="s">
        <v>31</v>
      </c>
      <c r="I320">
        <v>3</v>
      </c>
      <c r="J320">
        <v>2</v>
      </c>
    </row>
    <row r="321" spans="1:10" x14ac:dyDescent="0.2">
      <c r="A321" s="1" t="s">
        <v>219</v>
      </c>
      <c r="B321" t="s">
        <v>32</v>
      </c>
      <c r="C321">
        <v>3</v>
      </c>
      <c r="D321" t="s">
        <v>10</v>
      </c>
      <c r="E321">
        <v>2</v>
      </c>
      <c r="F321" t="s">
        <v>60</v>
      </c>
      <c r="G321" t="s">
        <v>32</v>
      </c>
      <c r="H321" t="s">
        <v>10</v>
      </c>
      <c r="I321">
        <v>3</v>
      </c>
      <c r="J321">
        <v>2</v>
      </c>
    </row>
    <row r="322" spans="1:10" x14ac:dyDescent="0.2">
      <c r="A322" s="1" t="s">
        <v>219</v>
      </c>
      <c r="B322" t="s">
        <v>15</v>
      </c>
      <c r="C322">
        <v>3</v>
      </c>
      <c r="D322" t="s">
        <v>12</v>
      </c>
      <c r="E322">
        <v>6</v>
      </c>
      <c r="F322" t="s">
        <v>60</v>
      </c>
      <c r="G322" t="s">
        <v>12</v>
      </c>
      <c r="H322" t="s">
        <v>15</v>
      </c>
      <c r="I322">
        <v>6</v>
      </c>
      <c r="J322">
        <v>3</v>
      </c>
    </row>
    <row r="323" spans="1:10" x14ac:dyDescent="0.2">
      <c r="A323" s="1" t="s">
        <v>219</v>
      </c>
      <c r="B323" t="s">
        <v>30</v>
      </c>
      <c r="C323">
        <v>5</v>
      </c>
      <c r="D323" t="s">
        <v>26</v>
      </c>
      <c r="E323">
        <v>0</v>
      </c>
      <c r="F323" t="s">
        <v>60</v>
      </c>
      <c r="G323" t="s">
        <v>30</v>
      </c>
      <c r="H323" t="s">
        <v>26</v>
      </c>
      <c r="I323">
        <v>5</v>
      </c>
      <c r="J323">
        <v>0</v>
      </c>
    </row>
    <row r="324" spans="1:10" x14ac:dyDescent="0.2">
      <c r="A324" s="1" t="s">
        <v>219</v>
      </c>
      <c r="B324" t="s">
        <v>24</v>
      </c>
      <c r="C324">
        <v>0</v>
      </c>
      <c r="D324" t="s">
        <v>11</v>
      </c>
      <c r="E324">
        <v>1</v>
      </c>
      <c r="F324" t="s">
        <v>60</v>
      </c>
      <c r="G324" t="s">
        <v>11</v>
      </c>
      <c r="H324" t="s">
        <v>24</v>
      </c>
      <c r="I324">
        <v>1</v>
      </c>
      <c r="J324">
        <v>0</v>
      </c>
    </row>
    <row r="325" spans="1:10" x14ac:dyDescent="0.2">
      <c r="A325" s="1" t="s">
        <v>219</v>
      </c>
      <c r="B325" t="s">
        <v>22</v>
      </c>
      <c r="C325">
        <v>8</v>
      </c>
      <c r="D325" t="s">
        <v>18</v>
      </c>
      <c r="E325">
        <v>4</v>
      </c>
      <c r="F325" t="s">
        <v>60</v>
      </c>
      <c r="G325" t="s">
        <v>22</v>
      </c>
      <c r="H325" t="s">
        <v>18</v>
      </c>
      <c r="I325">
        <v>8</v>
      </c>
      <c r="J325">
        <v>4</v>
      </c>
    </row>
    <row r="326" spans="1:10" x14ac:dyDescent="0.2">
      <c r="A326" s="1" t="s">
        <v>219</v>
      </c>
      <c r="B326" t="s">
        <v>35</v>
      </c>
      <c r="C326">
        <v>2</v>
      </c>
      <c r="D326" t="s">
        <v>27</v>
      </c>
      <c r="E326">
        <v>3</v>
      </c>
      <c r="F326" t="s">
        <v>62</v>
      </c>
      <c r="G326" t="s">
        <v>27</v>
      </c>
      <c r="H326" t="s">
        <v>35</v>
      </c>
      <c r="I326">
        <v>3</v>
      </c>
      <c r="J326">
        <v>2</v>
      </c>
    </row>
    <row r="327" spans="1:10" x14ac:dyDescent="0.2">
      <c r="A327" s="1" t="s">
        <v>219</v>
      </c>
      <c r="B327" t="s">
        <v>13</v>
      </c>
      <c r="C327">
        <v>3</v>
      </c>
      <c r="D327" t="s">
        <v>33</v>
      </c>
      <c r="E327">
        <v>4</v>
      </c>
      <c r="F327" t="s">
        <v>61</v>
      </c>
      <c r="G327" t="s">
        <v>33</v>
      </c>
      <c r="H327" t="s">
        <v>13</v>
      </c>
      <c r="I327">
        <v>4</v>
      </c>
      <c r="J327">
        <v>3</v>
      </c>
    </row>
    <row r="328" spans="1:10" x14ac:dyDescent="0.2">
      <c r="A328" s="1" t="s">
        <v>219</v>
      </c>
      <c r="B328" t="s">
        <v>17</v>
      </c>
      <c r="C328">
        <v>1</v>
      </c>
      <c r="D328" t="s">
        <v>37</v>
      </c>
      <c r="E328">
        <v>2</v>
      </c>
      <c r="F328" t="s">
        <v>62</v>
      </c>
      <c r="G328" t="s">
        <v>37</v>
      </c>
      <c r="H328" t="s">
        <v>17</v>
      </c>
      <c r="I328">
        <v>2</v>
      </c>
      <c r="J328">
        <v>1</v>
      </c>
    </row>
    <row r="329" spans="1:10" x14ac:dyDescent="0.2">
      <c r="A329" s="1" t="s">
        <v>219</v>
      </c>
      <c r="B329" t="s">
        <v>28</v>
      </c>
      <c r="C329">
        <v>3</v>
      </c>
      <c r="D329" t="s">
        <v>19</v>
      </c>
      <c r="E329">
        <v>2</v>
      </c>
      <c r="F329" t="s">
        <v>62</v>
      </c>
      <c r="G329" t="s">
        <v>28</v>
      </c>
      <c r="H329" t="s">
        <v>19</v>
      </c>
      <c r="I329">
        <v>3</v>
      </c>
      <c r="J329">
        <v>2</v>
      </c>
    </row>
    <row r="330" spans="1:10" x14ac:dyDescent="0.2">
      <c r="A330" s="1" t="s">
        <v>219</v>
      </c>
      <c r="B330" t="s">
        <v>20</v>
      </c>
      <c r="C330">
        <v>4</v>
      </c>
      <c r="D330" t="s">
        <v>55</v>
      </c>
      <c r="E330">
        <v>1</v>
      </c>
      <c r="F330" t="s">
        <v>60</v>
      </c>
      <c r="G330" t="s">
        <v>20</v>
      </c>
      <c r="H330" t="s">
        <v>55</v>
      </c>
      <c r="I330">
        <v>4</v>
      </c>
      <c r="J330">
        <v>1</v>
      </c>
    </row>
    <row r="331" spans="1:10" x14ac:dyDescent="0.2">
      <c r="A331" s="1" t="s">
        <v>219</v>
      </c>
      <c r="B331" t="s">
        <v>39</v>
      </c>
      <c r="C331">
        <v>4</v>
      </c>
      <c r="D331" t="s">
        <v>38</v>
      </c>
      <c r="E331">
        <v>2</v>
      </c>
      <c r="F331" t="s">
        <v>60</v>
      </c>
      <c r="G331" t="s">
        <v>39</v>
      </c>
      <c r="H331" t="s">
        <v>38</v>
      </c>
      <c r="I331">
        <v>4</v>
      </c>
      <c r="J331">
        <v>2</v>
      </c>
    </row>
    <row r="332" spans="1:10" x14ac:dyDescent="0.2">
      <c r="A332" s="1" t="s">
        <v>220</v>
      </c>
      <c r="B332" t="s">
        <v>10</v>
      </c>
      <c r="C332">
        <v>3</v>
      </c>
      <c r="D332" t="s">
        <v>23</v>
      </c>
      <c r="E332">
        <v>9</v>
      </c>
      <c r="F332" t="s">
        <v>60</v>
      </c>
      <c r="G332" t="s">
        <v>23</v>
      </c>
      <c r="H332" t="s">
        <v>10</v>
      </c>
      <c r="I332">
        <v>9</v>
      </c>
      <c r="J332">
        <v>3</v>
      </c>
    </row>
    <row r="333" spans="1:10" x14ac:dyDescent="0.2">
      <c r="A333" s="1" t="s">
        <v>220</v>
      </c>
      <c r="B333" t="s">
        <v>21</v>
      </c>
      <c r="C333">
        <v>2</v>
      </c>
      <c r="D333" t="s">
        <v>13</v>
      </c>
      <c r="E333">
        <v>1</v>
      </c>
      <c r="F333" t="s">
        <v>62</v>
      </c>
      <c r="G333" t="s">
        <v>21</v>
      </c>
      <c r="H333" t="s">
        <v>13</v>
      </c>
      <c r="I333">
        <v>2</v>
      </c>
      <c r="J333">
        <v>1</v>
      </c>
    </row>
    <row r="334" spans="1:10" x14ac:dyDescent="0.2">
      <c r="A334" s="1" t="s">
        <v>220</v>
      </c>
      <c r="B334" t="s">
        <v>34</v>
      </c>
      <c r="C334">
        <v>5</v>
      </c>
      <c r="D334" t="s">
        <v>14</v>
      </c>
      <c r="E334">
        <v>0</v>
      </c>
      <c r="F334" t="s">
        <v>60</v>
      </c>
      <c r="G334" t="s">
        <v>34</v>
      </c>
      <c r="H334" t="s">
        <v>14</v>
      </c>
      <c r="I334">
        <v>5</v>
      </c>
      <c r="J334">
        <v>0</v>
      </c>
    </row>
    <row r="335" spans="1:10" x14ac:dyDescent="0.2">
      <c r="A335" s="1" t="s">
        <v>220</v>
      </c>
      <c r="B335" t="s">
        <v>25</v>
      </c>
      <c r="C335">
        <v>4</v>
      </c>
      <c r="D335" t="s">
        <v>40</v>
      </c>
      <c r="E335">
        <v>3</v>
      </c>
      <c r="F335" t="s">
        <v>60</v>
      </c>
      <c r="G335" t="s">
        <v>25</v>
      </c>
      <c r="H335" t="s">
        <v>40</v>
      </c>
      <c r="I335">
        <v>4</v>
      </c>
      <c r="J335">
        <v>3</v>
      </c>
    </row>
    <row r="336" spans="1:10" x14ac:dyDescent="0.2">
      <c r="A336" s="1" t="s">
        <v>221</v>
      </c>
      <c r="B336" t="s">
        <v>20</v>
      </c>
      <c r="C336">
        <v>3</v>
      </c>
      <c r="D336" t="s">
        <v>31</v>
      </c>
      <c r="E336">
        <v>4</v>
      </c>
      <c r="F336" t="s">
        <v>62</v>
      </c>
      <c r="G336" t="s">
        <v>31</v>
      </c>
      <c r="H336" t="s">
        <v>20</v>
      </c>
      <c r="I336">
        <v>4</v>
      </c>
      <c r="J336">
        <v>3</v>
      </c>
    </row>
    <row r="337" spans="1:10" x14ac:dyDescent="0.2">
      <c r="A337" s="1" t="s">
        <v>221</v>
      </c>
      <c r="B337" t="s">
        <v>39</v>
      </c>
      <c r="C337">
        <v>2</v>
      </c>
      <c r="D337" t="s">
        <v>16</v>
      </c>
      <c r="E337">
        <v>3</v>
      </c>
      <c r="F337" t="s">
        <v>61</v>
      </c>
      <c r="G337" t="s">
        <v>16</v>
      </c>
      <c r="H337" t="s">
        <v>39</v>
      </c>
      <c r="I337">
        <v>3</v>
      </c>
      <c r="J337">
        <v>2</v>
      </c>
    </row>
    <row r="338" spans="1:10" x14ac:dyDescent="0.2">
      <c r="A338" s="1" t="s">
        <v>221</v>
      </c>
      <c r="B338" t="s">
        <v>28</v>
      </c>
      <c r="C338">
        <v>3</v>
      </c>
      <c r="D338" t="s">
        <v>26</v>
      </c>
      <c r="E338">
        <v>4</v>
      </c>
      <c r="F338" t="s">
        <v>62</v>
      </c>
      <c r="G338" t="s">
        <v>26</v>
      </c>
      <c r="H338" t="s">
        <v>28</v>
      </c>
      <c r="I338">
        <v>4</v>
      </c>
      <c r="J338">
        <v>3</v>
      </c>
    </row>
    <row r="339" spans="1:10" x14ac:dyDescent="0.2">
      <c r="A339" s="1" t="s">
        <v>221</v>
      </c>
      <c r="B339" t="s">
        <v>17</v>
      </c>
      <c r="C339">
        <v>6</v>
      </c>
      <c r="D339" t="s">
        <v>11</v>
      </c>
      <c r="E339">
        <v>3</v>
      </c>
      <c r="F339" t="s">
        <v>60</v>
      </c>
      <c r="G339" t="s">
        <v>17</v>
      </c>
      <c r="H339" t="s">
        <v>11</v>
      </c>
      <c r="I339">
        <v>6</v>
      </c>
      <c r="J339">
        <v>3</v>
      </c>
    </row>
    <row r="340" spans="1:10" x14ac:dyDescent="0.2">
      <c r="A340" s="1" t="s">
        <v>221</v>
      </c>
      <c r="B340" t="s">
        <v>19</v>
      </c>
      <c r="C340">
        <v>2</v>
      </c>
      <c r="D340" t="s">
        <v>18</v>
      </c>
      <c r="E340">
        <v>5</v>
      </c>
      <c r="F340" t="s">
        <v>60</v>
      </c>
      <c r="G340" t="s">
        <v>18</v>
      </c>
      <c r="H340" t="s">
        <v>19</v>
      </c>
      <c r="I340">
        <v>5</v>
      </c>
      <c r="J340">
        <v>2</v>
      </c>
    </row>
    <row r="341" spans="1:10" x14ac:dyDescent="0.2">
      <c r="A341" s="1" t="s">
        <v>221</v>
      </c>
      <c r="B341" t="s">
        <v>12</v>
      </c>
      <c r="C341">
        <v>3</v>
      </c>
      <c r="D341" t="s">
        <v>29</v>
      </c>
      <c r="E341">
        <v>0</v>
      </c>
      <c r="F341" t="s">
        <v>60</v>
      </c>
      <c r="G341" t="s">
        <v>12</v>
      </c>
      <c r="H341" t="s">
        <v>29</v>
      </c>
      <c r="I341">
        <v>3</v>
      </c>
      <c r="J341">
        <v>0</v>
      </c>
    </row>
    <row r="342" spans="1:10" x14ac:dyDescent="0.2">
      <c r="A342" s="1" t="s">
        <v>221</v>
      </c>
      <c r="B342" t="s">
        <v>35</v>
      </c>
      <c r="C342">
        <v>2</v>
      </c>
      <c r="D342" t="s">
        <v>30</v>
      </c>
      <c r="E342">
        <v>1</v>
      </c>
      <c r="F342" t="s">
        <v>60</v>
      </c>
      <c r="G342" t="s">
        <v>35</v>
      </c>
      <c r="H342" t="s">
        <v>30</v>
      </c>
      <c r="I342">
        <v>2</v>
      </c>
      <c r="J342">
        <v>1</v>
      </c>
    </row>
    <row r="343" spans="1:10" x14ac:dyDescent="0.2">
      <c r="A343" s="1" t="s">
        <v>221</v>
      </c>
      <c r="B343" t="s">
        <v>24</v>
      </c>
      <c r="C343">
        <v>3</v>
      </c>
      <c r="D343" t="s">
        <v>27</v>
      </c>
      <c r="E343">
        <v>6</v>
      </c>
      <c r="F343" t="s">
        <v>60</v>
      </c>
      <c r="G343" t="s">
        <v>27</v>
      </c>
      <c r="H343" t="s">
        <v>24</v>
      </c>
      <c r="I343">
        <v>6</v>
      </c>
      <c r="J343">
        <v>3</v>
      </c>
    </row>
    <row r="344" spans="1:10" x14ac:dyDescent="0.2">
      <c r="A344" s="1" t="s">
        <v>221</v>
      </c>
      <c r="B344" t="s">
        <v>32</v>
      </c>
      <c r="C344">
        <v>3</v>
      </c>
      <c r="D344" t="s">
        <v>14</v>
      </c>
      <c r="E344">
        <v>2</v>
      </c>
      <c r="F344" t="s">
        <v>62</v>
      </c>
      <c r="G344" t="s">
        <v>32</v>
      </c>
      <c r="H344" t="s">
        <v>14</v>
      </c>
      <c r="I344">
        <v>3</v>
      </c>
      <c r="J344">
        <v>2</v>
      </c>
    </row>
    <row r="345" spans="1:10" x14ac:dyDescent="0.2">
      <c r="A345" s="1" t="s">
        <v>221</v>
      </c>
      <c r="B345" t="s">
        <v>36</v>
      </c>
      <c r="C345">
        <v>3</v>
      </c>
      <c r="D345" t="s">
        <v>33</v>
      </c>
      <c r="E345">
        <v>2</v>
      </c>
      <c r="F345" t="s">
        <v>60</v>
      </c>
      <c r="G345" t="s">
        <v>36</v>
      </c>
      <c r="H345" t="s">
        <v>33</v>
      </c>
      <c r="I345">
        <v>3</v>
      </c>
      <c r="J345">
        <v>2</v>
      </c>
    </row>
    <row r="346" spans="1:10" x14ac:dyDescent="0.2">
      <c r="A346" s="1" t="s">
        <v>221</v>
      </c>
      <c r="B346" t="s">
        <v>15</v>
      </c>
      <c r="C346">
        <v>2</v>
      </c>
      <c r="D346" t="s">
        <v>55</v>
      </c>
      <c r="E346">
        <v>3</v>
      </c>
      <c r="F346" t="s">
        <v>60</v>
      </c>
      <c r="G346" t="s">
        <v>55</v>
      </c>
      <c r="H346" t="s">
        <v>15</v>
      </c>
      <c r="I346">
        <v>3</v>
      </c>
      <c r="J346">
        <v>2</v>
      </c>
    </row>
    <row r="347" spans="1:10" x14ac:dyDescent="0.2">
      <c r="A347" s="1" t="s">
        <v>221</v>
      </c>
      <c r="B347" t="s">
        <v>37</v>
      </c>
      <c r="C347">
        <v>5</v>
      </c>
      <c r="D347" t="s">
        <v>22</v>
      </c>
      <c r="E347">
        <v>3</v>
      </c>
      <c r="F347" t="s">
        <v>60</v>
      </c>
      <c r="G347" t="s">
        <v>37</v>
      </c>
      <c r="H347" t="s">
        <v>22</v>
      </c>
      <c r="I347">
        <v>5</v>
      </c>
      <c r="J347">
        <v>3</v>
      </c>
    </row>
    <row r="348" spans="1:10" x14ac:dyDescent="0.2">
      <c r="A348" s="1" t="s">
        <v>222</v>
      </c>
      <c r="B348" t="s">
        <v>25</v>
      </c>
      <c r="C348">
        <v>1</v>
      </c>
      <c r="D348" t="s">
        <v>23</v>
      </c>
      <c r="E348">
        <v>4</v>
      </c>
      <c r="F348" t="s">
        <v>60</v>
      </c>
      <c r="G348" t="s">
        <v>23</v>
      </c>
      <c r="H348" t="s">
        <v>25</v>
      </c>
      <c r="I348">
        <v>4</v>
      </c>
      <c r="J348">
        <v>1</v>
      </c>
    </row>
    <row r="349" spans="1:10" x14ac:dyDescent="0.2">
      <c r="A349" s="1" t="s">
        <v>222</v>
      </c>
      <c r="B349" t="s">
        <v>12</v>
      </c>
      <c r="C349">
        <v>1</v>
      </c>
      <c r="D349" t="s">
        <v>10</v>
      </c>
      <c r="E349">
        <v>0</v>
      </c>
      <c r="F349" t="s">
        <v>60</v>
      </c>
      <c r="G349" t="s">
        <v>12</v>
      </c>
      <c r="H349" t="s">
        <v>10</v>
      </c>
      <c r="I349">
        <v>1</v>
      </c>
      <c r="J349">
        <v>0</v>
      </c>
    </row>
    <row r="350" spans="1:10" x14ac:dyDescent="0.2">
      <c r="A350" s="1" t="s">
        <v>222</v>
      </c>
      <c r="B350" t="s">
        <v>32</v>
      </c>
      <c r="C350">
        <v>0</v>
      </c>
      <c r="D350" t="s">
        <v>30</v>
      </c>
      <c r="E350">
        <v>1</v>
      </c>
      <c r="F350" t="s">
        <v>61</v>
      </c>
      <c r="G350" t="s">
        <v>30</v>
      </c>
      <c r="H350" t="s">
        <v>32</v>
      </c>
      <c r="I350">
        <v>1</v>
      </c>
      <c r="J350">
        <v>0</v>
      </c>
    </row>
    <row r="351" spans="1:10" x14ac:dyDescent="0.2">
      <c r="A351" s="1" t="s">
        <v>222</v>
      </c>
      <c r="B351" t="s">
        <v>21</v>
      </c>
      <c r="C351">
        <v>1</v>
      </c>
      <c r="D351" t="s">
        <v>33</v>
      </c>
      <c r="E351">
        <v>3</v>
      </c>
      <c r="F351" t="s">
        <v>60</v>
      </c>
      <c r="G351" t="s">
        <v>33</v>
      </c>
      <c r="H351" t="s">
        <v>21</v>
      </c>
      <c r="I351">
        <v>3</v>
      </c>
      <c r="J351">
        <v>1</v>
      </c>
    </row>
    <row r="352" spans="1:10" x14ac:dyDescent="0.2">
      <c r="A352" s="1" t="s">
        <v>222</v>
      </c>
      <c r="B352" t="s">
        <v>16</v>
      </c>
      <c r="C352">
        <v>5</v>
      </c>
      <c r="D352" t="s">
        <v>38</v>
      </c>
      <c r="E352">
        <v>2</v>
      </c>
      <c r="F352" t="s">
        <v>60</v>
      </c>
      <c r="G352" t="s">
        <v>16</v>
      </c>
      <c r="H352" t="s">
        <v>38</v>
      </c>
      <c r="I352">
        <v>5</v>
      </c>
      <c r="J352">
        <v>2</v>
      </c>
    </row>
    <row r="353" spans="1:10" x14ac:dyDescent="0.2">
      <c r="A353" s="1" t="s">
        <v>222</v>
      </c>
      <c r="B353" t="s">
        <v>34</v>
      </c>
      <c r="C353">
        <v>3</v>
      </c>
      <c r="D353" t="s">
        <v>40</v>
      </c>
      <c r="E353">
        <v>0</v>
      </c>
      <c r="F353" t="s">
        <v>60</v>
      </c>
      <c r="G353" t="s">
        <v>34</v>
      </c>
      <c r="H353" t="s">
        <v>40</v>
      </c>
      <c r="I353">
        <v>3</v>
      </c>
      <c r="J353">
        <v>0</v>
      </c>
    </row>
    <row r="354" spans="1:10" x14ac:dyDescent="0.2">
      <c r="A354" s="1" t="s">
        <v>223</v>
      </c>
      <c r="B354" t="s">
        <v>36</v>
      </c>
      <c r="C354">
        <v>1</v>
      </c>
      <c r="D354" t="s">
        <v>13</v>
      </c>
      <c r="E354">
        <v>2</v>
      </c>
      <c r="F354" t="s">
        <v>60</v>
      </c>
      <c r="G354" t="s">
        <v>13</v>
      </c>
      <c r="H354" t="s">
        <v>36</v>
      </c>
      <c r="I354">
        <v>2</v>
      </c>
      <c r="J354">
        <v>1</v>
      </c>
    </row>
    <row r="355" spans="1:10" x14ac:dyDescent="0.2">
      <c r="A355" s="1" t="s">
        <v>223</v>
      </c>
      <c r="B355" t="s">
        <v>26</v>
      </c>
      <c r="C355">
        <v>3</v>
      </c>
      <c r="D355" t="s">
        <v>24</v>
      </c>
      <c r="E355">
        <v>4</v>
      </c>
      <c r="F355" t="s">
        <v>60</v>
      </c>
      <c r="G355" t="s">
        <v>24</v>
      </c>
      <c r="H355" t="s">
        <v>26</v>
      </c>
      <c r="I355">
        <v>4</v>
      </c>
      <c r="J355">
        <v>3</v>
      </c>
    </row>
    <row r="356" spans="1:10" x14ac:dyDescent="0.2">
      <c r="A356" s="1" t="s">
        <v>223</v>
      </c>
      <c r="B356" t="s">
        <v>11</v>
      </c>
      <c r="C356">
        <v>8</v>
      </c>
      <c r="D356" t="s">
        <v>29</v>
      </c>
      <c r="E356">
        <v>3</v>
      </c>
      <c r="F356" t="s">
        <v>60</v>
      </c>
      <c r="G356" t="s">
        <v>11</v>
      </c>
      <c r="H356" t="s">
        <v>29</v>
      </c>
      <c r="I356">
        <v>8</v>
      </c>
      <c r="J356">
        <v>3</v>
      </c>
    </row>
    <row r="357" spans="1:10" x14ac:dyDescent="0.2">
      <c r="A357" s="1" t="s">
        <v>223</v>
      </c>
      <c r="B357" t="s">
        <v>35</v>
      </c>
      <c r="C357">
        <v>2</v>
      </c>
      <c r="D357" t="s">
        <v>15</v>
      </c>
      <c r="E357">
        <v>3</v>
      </c>
      <c r="F357" t="s">
        <v>60</v>
      </c>
      <c r="G357" t="s">
        <v>15</v>
      </c>
      <c r="H357" t="s">
        <v>35</v>
      </c>
      <c r="I357">
        <v>3</v>
      </c>
      <c r="J357">
        <v>2</v>
      </c>
    </row>
    <row r="358" spans="1:10" x14ac:dyDescent="0.2">
      <c r="A358" s="1" t="s">
        <v>223</v>
      </c>
      <c r="B358" t="s">
        <v>27</v>
      </c>
      <c r="C358">
        <v>0</v>
      </c>
      <c r="D358" t="s">
        <v>37</v>
      </c>
      <c r="E358">
        <v>3</v>
      </c>
      <c r="F358" t="s">
        <v>60</v>
      </c>
      <c r="G358" t="s">
        <v>37</v>
      </c>
      <c r="H358" t="s">
        <v>27</v>
      </c>
      <c r="I358">
        <v>3</v>
      </c>
      <c r="J358">
        <v>0</v>
      </c>
    </row>
    <row r="359" spans="1:10" x14ac:dyDescent="0.2">
      <c r="A359" s="1" t="s">
        <v>223</v>
      </c>
      <c r="B359" t="s">
        <v>20</v>
      </c>
      <c r="C359">
        <v>1</v>
      </c>
      <c r="D359" t="s">
        <v>55</v>
      </c>
      <c r="E359">
        <v>5</v>
      </c>
      <c r="F359" t="s">
        <v>60</v>
      </c>
      <c r="G359" t="s">
        <v>55</v>
      </c>
      <c r="H359" t="s">
        <v>20</v>
      </c>
      <c r="I359">
        <v>5</v>
      </c>
      <c r="J359">
        <v>1</v>
      </c>
    </row>
    <row r="360" spans="1:10" x14ac:dyDescent="0.2">
      <c r="A360" s="1" t="s">
        <v>223</v>
      </c>
      <c r="B360" t="s">
        <v>28</v>
      </c>
      <c r="C360">
        <v>1</v>
      </c>
      <c r="D360" t="s">
        <v>22</v>
      </c>
      <c r="E360">
        <v>5</v>
      </c>
      <c r="F360" t="s">
        <v>60</v>
      </c>
      <c r="G360" t="s">
        <v>22</v>
      </c>
      <c r="H360" t="s">
        <v>28</v>
      </c>
      <c r="I360">
        <v>5</v>
      </c>
      <c r="J360">
        <v>1</v>
      </c>
    </row>
    <row r="361" spans="1:10" x14ac:dyDescent="0.2">
      <c r="A361" s="1" t="s">
        <v>224</v>
      </c>
      <c r="B361" t="s">
        <v>39</v>
      </c>
      <c r="C361">
        <v>8</v>
      </c>
      <c r="D361" t="s">
        <v>17</v>
      </c>
      <c r="E361">
        <v>3</v>
      </c>
      <c r="F361" t="s">
        <v>60</v>
      </c>
      <c r="G361" t="s">
        <v>39</v>
      </c>
      <c r="H361" t="s">
        <v>17</v>
      </c>
      <c r="I361">
        <v>8</v>
      </c>
      <c r="J361">
        <v>3</v>
      </c>
    </row>
    <row r="362" spans="1:10" x14ac:dyDescent="0.2">
      <c r="A362" s="1" t="s">
        <v>225</v>
      </c>
      <c r="B362" t="s">
        <v>38</v>
      </c>
      <c r="C362">
        <v>5</v>
      </c>
      <c r="D362" t="s">
        <v>31</v>
      </c>
      <c r="E362">
        <v>4</v>
      </c>
      <c r="F362" t="s">
        <v>60</v>
      </c>
      <c r="G362" t="s">
        <v>38</v>
      </c>
      <c r="H362" t="s">
        <v>31</v>
      </c>
      <c r="I362">
        <v>5</v>
      </c>
      <c r="J362">
        <v>4</v>
      </c>
    </row>
    <row r="363" spans="1:10" x14ac:dyDescent="0.2">
      <c r="A363" s="1" t="s">
        <v>225</v>
      </c>
      <c r="B363" t="s">
        <v>15</v>
      </c>
      <c r="C363">
        <v>4</v>
      </c>
      <c r="D363" t="s">
        <v>25</v>
      </c>
      <c r="E363">
        <v>2</v>
      </c>
      <c r="F363" t="s">
        <v>60</v>
      </c>
      <c r="G363" t="s">
        <v>15</v>
      </c>
      <c r="H363" t="s">
        <v>25</v>
      </c>
      <c r="I363">
        <v>4</v>
      </c>
      <c r="J363">
        <v>2</v>
      </c>
    </row>
    <row r="364" spans="1:10" x14ac:dyDescent="0.2">
      <c r="A364" s="1" t="s">
        <v>225</v>
      </c>
      <c r="B364" t="s">
        <v>19</v>
      </c>
      <c r="C364">
        <v>2</v>
      </c>
      <c r="D364" t="s">
        <v>28</v>
      </c>
      <c r="E364">
        <v>1</v>
      </c>
      <c r="F364" t="s">
        <v>62</v>
      </c>
      <c r="G364" t="s">
        <v>19</v>
      </c>
      <c r="H364" t="s">
        <v>28</v>
      </c>
      <c r="I364">
        <v>2</v>
      </c>
      <c r="J364">
        <v>1</v>
      </c>
    </row>
    <row r="365" spans="1:10" x14ac:dyDescent="0.2">
      <c r="A365" s="1" t="s">
        <v>225</v>
      </c>
      <c r="B365" t="s">
        <v>34</v>
      </c>
      <c r="C365">
        <v>4</v>
      </c>
      <c r="D365" t="s">
        <v>10</v>
      </c>
      <c r="E365">
        <v>3</v>
      </c>
      <c r="F365" t="s">
        <v>62</v>
      </c>
      <c r="G365" t="s">
        <v>34</v>
      </c>
      <c r="H365" t="s">
        <v>10</v>
      </c>
      <c r="I365">
        <v>4</v>
      </c>
      <c r="J365">
        <v>3</v>
      </c>
    </row>
    <row r="366" spans="1:10" x14ac:dyDescent="0.2">
      <c r="A366" s="1" t="s">
        <v>225</v>
      </c>
      <c r="B366" t="s">
        <v>33</v>
      </c>
      <c r="C366">
        <v>0</v>
      </c>
      <c r="D366" t="s">
        <v>12</v>
      </c>
      <c r="E366">
        <v>6</v>
      </c>
      <c r="F366" t="s">
        <v>60</v>
      </c>
      <c r="G366" t="s">
        <v>12</v>
      </c>
      <c r="H366" t="s">
        <v>33</v>
      </c>
      <c r="I366">
        <v>6</v>
      </c>
      <c r="J366">
        <v>0</v>
      </c>
    </row>
    <row r="367" spans="1:10" x14ac:dyDescent="0.2">
      <c r="A367" s="1" t="s">
        <v>225</v>
      </c>
      <c r="B367" t="s">
        <v>29</v>
      </c>
      <c r="C367">
        <v>6</v>
      </c>
      <c r="D367" t="s">
        <v>26</v>
      </c>
      <c r="E367">
        <v>3</v>
      </c>
      <c r="F367" t="s">
        <v>60</v>
      </c>
      <c r="G367" t="s">
        <v>29</v>
      </c>
      <c r="H367" t="s">
        <v>26</v>
      </c>
      <c r="I367">
        <v>6</v>
      </c>
      <c r="J367">
        <v>3</v>
      </c>
    </row>
    <row r="368" spans="1:10" x14ac:dyDescent="0.2">
      <c r="A368" s="1" t="s">
        <v>225</v>
      </c>
      <c r="B368" t="s">
        <v>27</v>
      </c>
      <c r="C368">
        <v>4</v>
      </c>
      <c r="D368" t="s">
        <v>11</v>
      </c>
      <c r="E368">
        <v>2</v>
      </c>
      <c r="F368" t="s">
        <v>60</v>
      </c>
      <c r="G368" t="s">
        <v>27</v>
      </c>
      <c r="H368" t="s">
        <v>11</v>
      </c>
      <c r="I368">
        <v>4</v>
      </c>
      <c r="J368">
        <v>2</v>
      </c>
    </row>
    <row r="369" spans="1:10" x14ac:dyDescent="0.2">
      <c r="A369" s="1" t="s">
        <v>225</v>
      </c>
      <c r="B369" t="s">
        <v>35</v>
      </c>
      <c r="C369">
        <v>2</v>
      </c>
      <c r="D369" t="s">
        <v>24</v>
      </c>
      <c r="E369">
        <v>3</v>
      </c>
      <c r="F369" t="s">
        <v>62</v>
      </c>
      <c r="G369" t="s">
        <v>24</v>
      </c>
      <c r="H369" t="s">
        <v>35</v>
      </c>
      <c r="I369">
        <v>3</v>
      </c>
      <c r="J369">
        <v>2</v>
      </c>
    </row>
    <row r="370" spans="1:10" x14ac:dyDescent="0.2">
      <c r="A370" s="1" t="s">
        <v>225</v>
      </c>
      <c r="B370" t="s">
        <v>21</v>
      </c>
      <c r="C370">
        <v>3</v>
      </c>
      <c r="D370" t="s">
        <v>30</v>
      </c>
      <c r="E370">
        <v>1</v>
      </c>
      <c r="F370" t="s">
        <v>60</v>
      </c>
      <c r="G370" t="s">
        <v>21</v>
      </c>
      <c r="H370" t="s">
        <v>30</v>
      </c>
      <c r="I370">
        <v>3</v>
      </c>
      <c r="J370">
        <v>1</v>
      </c>
    </row>
    <row r="371" spans="1:10" x14ac:dyDescent="0.2">
      <c r="A371" s="1" t="s">
        <v>225</v>
      </c>
      <c r="B371" t="s">
        <v>23</v>
      </c>
      <c r="C371">
        <v>2</v>
      </c>
      <c r="D371" t="s">
        <v>14</v>
      </c>
      <c r="E371">
        <v>4</v>
      </c>
      <c r="F371" t="s">
        <v>60</v>
      </c>
      <c r="G371" t="s">
        <v>14</v>
      </c>
      <c r="H371" t="s">
        <v>23</v>
      </c>
      <c r="I371">
        <v>4</v>
      </c>
      <c r="J371">
        <v>2</v>
      </c>
    </row>
    <row r="372" spans="1:10" x14ac:dyDescent="0.2">
      <c r="A372" s="1" t="s">
        <v>225</v>
      </c>
      <c r="B372" t="s">
        <v>39</v>
      </c>
      <c r="C372">
        <v>3</v>
      </c>
      <c r="D372" t="s">
        <v>32</v>
      </c>
      <c r="E372">
        <v>2</v>
      </c>
      <c r="F372" t="s">
        <v>60</v>
      </c>
      <c r="G372" t="s">
        <v>39</v>
      </c>
      <c r="H372" t="s">
        <v>32</v>
      </c>
      <c r="I372">
        <v>3</v>
      </c>
      <c r="J372">
        <v>2</v>
      </c>
    </row>
    <row r="373" spans="1:10" x14ac:dyDescent="0.2">
      <c r="A373" s="1" t="s">
        <v>225</v>
      </c>
      <c r="B373" t="s">
        <v>16</v>
      </c>
      <c r="C373">
        <v>1</v>
      </c>
      <c r="D373" t="s">
        <v>37</v>
      </c>
      <c r="E373">
        <v>5</v>
      </c>
      <c r="F373" t="s">
        <v>60</v>
      </c>
      <c r="G373" t="s">
        <v>37</v>
      </c>
      <c r="H373" t="s">
        <v>16</v>
      </c>
      <c r="I373">
        <v>5</v>
      </c>
      <c r="J373">
        <v>1</v>
      </c>
    </row>
    <row r="374" spans="1:10" x14ac:dyDescent="0.2">
      <c r="A374" s="1" t="s">
        <v>225</v>
      </c>
      <c r="B374" t="s">
        <v>18</v>
      </c>
      <c r="C374">
        <v>4</v>
      </c>
      <c r="D374" t="s">
        <v>55</v>
      </c>
      <c r="E374">
        <v>3</v>
      </c>
      <c r="F374" t="s">
        <v>60</v>
      </c>
      <c r="G374" t="s">
        <v>18</v>
      </c>
      <c r="H374" t="s">
        <v>55</v>
      </c>
      <c r="I374">
        <v>4</v>
      </c>
      <c r="J374">
        <v>3</v>
      </c>
    </row>
    <row r="375" spans="1:10" x14ac:dyDescent="0.2">
      <c r="A375" s="1" t="s">
        <v>225</v>
      </c>
      <c r="B375" t="s">
        <v>36</v>
      </c>
      <c r="C375">
        <v>4</v>
      </c>
      <c r="D375" t="s">
        <v>20</v>
      </c>
      <c r="E375">
        <v>3</v>
      </c>
      <c r="F375" t="s">
        <v>61</v>
      </c>
      <c r="G375" t="s">
        <v>36</v>
      </c>
      <c r="H375" t="s">
        <v>20</v>
      </c>
      <c r="I375">
        <v>4</v>
      </c>
      <c r="J375">
        <v>3</v>
      </c>
    </row>
    <row r="376" spans="1:10" x14ac:dyDescent="0.2">
      <c r="A376" s="1" t="s">
        <v>225</v>
      </c>
      <c r="B376" t="s">
        <v>40</v>
      </c>
      <c r="C376">
        <v>3</v>
      </c>
      <c r="D376" t="s">
        <v>22</v>
      </c>
      <c r="E376">
        <v>4</v>
      </c>
      <c r="F376" t="s">
        <v>60</v>
      </c>
      <c r="G376" t="s">
        <v>22</v>
      </c>
      <c r="H376" t="s">
        <v>40</v>
      </c>
      <c r="I376">
        <v>4</v>
      </c>
      <c r="J376">
        <v>3</v>
      </c>
    </row>
    <row r="377" spans="1:10" x14ac:dyDescent="0.2">
      <c r="A377" s="1" t="s">
        <v>226</v>
      </c>
      <c r="B377" t="s">
        <v>13</v>
      </c>
      <c r="C377">
        <v>4</v>
      </c>
      <c r="D377" t="s">
        <v>31</v>
      </c>
      <c r="E377">
        <v>5</v>
      </c>
      <c r="F377" t="s">
        <v>61</v>
      </c>
      <c r="G377" t="s">
        <v>31</v>
      </c>
      <c r="H377" t="s">
        <v>13</v>
      </c>
      <c r="I377">
        <v>5</v>
      </c>
      <c r="J377">
        <v>4</v>
      </c>
    </row>
    <row r="378" spans="1:10" x14ac:dyDescent="0.2">
      <c r="A378" s="1" t="s">
        <v>226</v>
      </c>
      <c r="B378" t="s">
        <v>15</v>
      </c>
      <c r="C378">
        <v>6</v>
      </c>
      <c r="D378" t="s">
        <v>21</v>
      </c>
      <c r="E378">
        <v>2</v>
      </c>
      <c r="F378" t="s">
        <v>60</v>
      </c>
      <c r="G378" t="s">
        <v>15</v>
      </c>
      <c r="H378" t="s">
        <v>21</v>
      </c>
      <c r="I378">
        <v>6</v>
      </c>
      <c r="J378">
        <v>2</v>
      </c>
    </row>
    <row r="379" spans="1:10" x14ac:dyDescent="0.2">
      <c r="A379" s="1" t="s">
        <v>226</v>
      </c>
      <c r="B379" t="s">
        <v>24</v>
      </c>
      <c r="C379">
        <v>5</v>
      </c>
      <c r="D379" t="s">
        <v>23</v>
      </c>
      <c r="E379">
        <v>0</v>
      </c>
      <c r="F379" t="s">
        <v>60</v>
      </c>
      <c r="G379" t="s">
        <v>24</v>
      </c>
      <c r="H379" t="s">
        <v>23</v>
      </c>
      <c r="I379">
        <v>5</v>
      </c>
      <c r="J379">
        <v>0</v>
      </c>
    </row>
    <row r="380" spans="1:10" x14ac:dyDescent="0.2">
      <c r="A380" s="1" t="s">
        <v>226</v>
      </c>
      <c r="B380" t="s">
        <v>40</v>
      </c>
      <c r="C380">
        <v>1</v>
      </c>
      <c r="D380" t="s">
        <v>25</v>
      </c>
      <c r="E380">
        <v>5</v>
      </c>
      <c r="F380" t="s">
        <v>60</v>
      </c>
      <c r="G380" t="s">
        <v>25</v>
      </c>
      <c r="H380" t="s">
        <v>40</v>
      </c>
      <c r="I380">
        <v>5</v>
      </c>
      <c r="J380">
        <v>1</v>
      </c>
    </row>
    <row r="381" spans="1:10" x14ac:dyDescent="0.2">
      <c r="A381" s="1" t="s">
        <v>226</v>
      </c>
      <c r="B381" t="s">
        <v>14</v>
      </c>
      <c r="C381">
        <v>4</v>
      </c>
      <c r="D381" t="s">
        <v>28</v>
      </c>
      <c r="E381">
        <v>3</v>
      </c>
      <c r="F381" t="s">
        <v>62</v>
      </c>
      <c r="G381" t="s">
        <v>14</v>
      </c>
      <c r="H381" t="s">
        <v>28</v>
      </c>
      <c r="I381">
        <v>4</v>
      </c>
      <c r="J381">
        <v>3</v>
      </c>
    </row>
    <row r="382" spans="1:10" x14ac:dyDescent="0.2">
      <c r="A382" s="1" t="s">
        <v>226</v>
      </c>
      <c r="B382" t="s">
        <v>29</v>
      </c>
      <c r="C382">
        <v>4</v>
      </c>
      <c r="D382" t="s">
        <v>10</v>
      </c>
      <c r="E382">
        <v>3</v>
      </c>
      <c r="F382" t="s">
        <v>60</v>
      </c>
      <c r="G382" t="s">
        <v>29</v>
      </c>
      <c r="H382" t="s">
        <v>10</v>
      </c>
      <c r="I382">
        <v>4</v>
      </c>
      <c r="J382">
        <v>3</v>
      </c>
    </row>
    <row r="383" spans="1:10" x14ac:dyDescent="0.2">
      <c r="A383" s="1" t="s">
        <v>226</v>
      </c>
      <c r="B383" t="s">
        <v>55</v>
      </c>
      <c r="C383">
        <v>3</v>
      </c>
      <c r="D383" t="s">
        <v>39</v>
      </c>
      <c r="E383">
        <v>4</v>
      </c>
      <c r="F383" t="s">
        <v>60</v>
      </c>
      <c r="G383" t="s">
        <v>39</v>
      </c>
      <c r="H383" t="s">
        <v>55</v>
      </c>
      <c r="I383">
        <v>4</v>
      </c>
      <c r="J383">
        <v>3</v>
      </c>
    </row>
    <row r="384" spans="1:10" x14ac:dyDescent="0.2">
      <c r="A384" s="1" t="s">
        <v>226</v>
      </c>
      <c r="B384" t="s">
        <v>37</v>
      </c>
      <c r="C384">
        <v>6</v>
      </c>
      <c r="D384" t="s">
        <v>26</v>
      </c>
      <c r="E384">
        <v>3</v>
      </c>
      <c r="F384" t="s">
        <v>60</v>
      </c>
      <c r="G384" t="s">
        <v>37</v>
      </c>
      <c r="H384" t="s">
        <v>26</v>
      </c>
      <c r="I384">
        <v>6</v>
      </c>
      <c r="J384">
        <v>3</v>
      </c>
    </row>
    <row r="385" spans="1:10" x14ac:dyDescent="0.2">
      <c r="A385" s="1" t="s">
        <v>226</v>
      </c>
      <c r="B385" t="s">
        <v>16</v>
      </c>
      <c r="C385">
        <v>5</v>
      </c>
      <c r="D385" t="s">
        <v>11</v>
      </c>
      <c r="E385">
        <v>3</v>
      </c>
      <c r="F385" t="s">
        <v>60</v>
      </c>
      <c r="G385" t="s">
        <v>16</v>
      </c>
      <c r="H385" t="s">
        <v>11</v>
      </c>
      <c r="I385">
        <v>5</v>
      </c>
      <c r="J385">
        <v>3</v>
      </c>
    </row>
    <row r="386" spans="1:10" x14ac:dyDescent="0.2">
      <c r="A386" s="1" t="s">
        <v>226</v>
      </c>
      <c r="B386" t="s">
        <v>12</v>
      </c>
      <c r="C386">
        <v>2</v>
      </c>
      <c r="D386" t="s">
        <v>34</v>
      </c>
      <c r="E386">
        <v>3</v>
      </c>
      <c r="F386" t="s">
        <v>61</v>
      </c>
      <c r="G386" t="s">
        <v>34</v>
      </c>
      <c r="H386" t="s">
        <v>12</v>
      </c>
      <c r="I386">
        <v>3</v>
      </c>
      <c r="J386">
        <v>2</v>
      </c>
    </row>
    <row r="387" spans="1:10" x14ac:dyDescent="0.2">
      <c r="A387" s="1" t="s">
        <v>226</v>
      </c>
      <c r="B387" t="s">
        <v>27</v>
      </c>
      <c r="C387">
        <v>4</v>
      </c>
      <c r="D387" t="s">
        <v>30</v>
      </c>
      <c r="E387">
        <v>3</v>
      </c>
      <c r="F387" t="s">
        <v>61</v>
      </c>
      <c r="G387" t="s">
        <v>27</v>
      </c>
      <c r="H387" t="s">
        <v>30</v>
      </c>
      <c r="I387">
        <v>4</v>
      </c>
      <c r="J387">
        <v>3</v>
      </c>
    </row>
    <row r="388" spans="1:10" x14ac:dyDescent="0.2">
      <c r="A388" s="1" t="s">
        <v>226</v>
      </c>
      <c r="B388" t="s">
        <v>38</v>
      </c>
      <c r="C388">
        <v>2</v>
      </c>
      <c r="D388" t="s">
        <v>33</v>
      </c>
      <c r="E388">
        <v>3</v>
      </c>
      <c r="F388" t="s">
        <v>60</v>
      </c>
      <c r="G388" t="s">
        <v>33</v>
      </c>
      <c r="H388" t="s">
        <v>38</v>
      </c>
      <c r="I388">
        <v>3</v>
      </c>
      <c r="J388">
        <v>2</v>
      </c>
    </row>
    <row r="389" spans="1:10" x14ac:dyDescent="0.2">
      <c r="A389" s="1" t="s">
        <v>226</v>
      </c>
      <c r="B389" t="s">
        <v>36</v>
      </c>
      <c r="C389">
        <v>3</v>
      </c>
      <c r="D389" t="s">
        <v>35</v>
      </c>
      <c r="E389">
        <v>4</v>
      </c>
      <c r="F389" t="s">
        <v>60</v>
      </c>
      <c r="G389" t="s">
        <v>35</v>
      </c>
      <c r="H389" t="s">
        <v>36</v>
      </c>
      <c r="I389">
        <v>4</v>
      </c>
      <c r="J389">
        <v>3</v>
      </c>
    </row>
    <row r="390" spans="1:10" x14ac:dyDescent="0.2">
      <c r="A390" s="1" t="s">
        <v>226</v>
      </c>
      <c r="B390" t="s">
        <v>18</v>
      </c>
      <c r="C390">
        <v>4</v>
      </c>
      <c r="D390" t="s">
        <v>20</v>
      </c>
      <c r="E390">
        <v>1</v>
      </c>
      <c r="F390" t="s">
        <v>60</v>
      </c>
      <c r="G390" t="s">
        <v>18</v>
      </c>
      <c r="H390" t="s">
        <v>20</v>
      </c>
      <c r="I390">
        <v>4</v>
      </c>
      <c r="J390">
        <v>1</v>
      </c>
    </row>
    <row r="391" spans="1:10" x14ac:dyDescent="0.2">
      <c r="A391" s="1" t="s">
        <v>226</v>
      </c>
      <c r="B391" t="s">
        <v>19</v>
      </c>
      <c r="C391">
        <v>2</v>
      </c>
      <c r="D391" t="s">
        <v>22</v>
      </c>
      <c r="E391">
        <v>4</v>
      </c>
      <c r="F391" t="s">
        <v>60</v>
      </c>
      <c r="G391" t="s">
        <v>22</v>
      </c>
      <c r="H391" t="s">
        <v>19</v>
      </c>
      <c r="I391">
        <v>4</v>
      </c>
      <c r="J391">
        <v>2</v>
      </c>
    </row>
    <row r="392" spans="1:10" x14ac:dyDescent="0.2">
      <c r="A392" s="1" t="s">
        <v>227</v>
      </c>
      <c r="B392" t="s">
        <v>26</v>
      </c>
      <c r="C392">
        <v>2</v>
      </c>
      <c r="D392" t="s">
        <v>21</v>
      </c>
      <c r="E392">
        <v>3</v>
      </c>
      <c r="F392" t="s">
        <v>61</v>
      </c>
      <c r="G392" t="s">
        <v>21</v>
      </c>
      <c r="H392" t="s">
        <v>26</v>
      </c>
      <c r="I392">
        <v>3</v>
      </c>
      <c r="J392">
        <v>2</v>
      </c>
    </row>
    <row r="393" spans="1:10" x14ac:dyDescent="0.2">
      <c r="A393" s="1" t="s">
        <v>227</v>
      </c>
      <c r="B393" t="s">
        <v>18</v>
      </c>
      <c r="C393">
        <v>2</v>
      </c>
      <c r="D393" t="s">
        <v>12</v>
      </c>
      <c r="E393">
        <v>7</v>
      </c>
      <c r="F393" t="s">
        <v>60</v>
      </c>
      <c r="G393" t="s">
        <v>12</v>
      </c>
      <c r="H393" t="s">
        <v>18</v>
      </c>
      <c r="I393">
        <v>7</v>
      </c>
      <c r="J393">
        <v>2</v>
      </c>
    </row>
    <row r="394" spans="1:10" x14ac:dyDescent="0.2">
      <c r="A394" s="1" t="s">
        <v>227</v>
      </c>
      <c r="B394" t="s">
        <v>38</v>
      </c>
      <c r="C394">
        <v>1</v>
      </c>
      <c r="D394" t="s">
        <v>13</v>
      </c>
      <c r="E394">
        <v>2</v>
      </c>
      <c r="F394" t="s">
        <v>62</v>
      </c>
      <c r="G394" t="s">
        <v>13</v>
      </c>
      <c r="H394" t="s">
        <v>38</v>
      </c>
      <c r="I394">
        <v>2</v>
      </c>
      <c r="J394">
        <v>1</v>
      </c>
    </row>
    <row r="395" spans="1:10" x14ac:dyDescent="0.2">
      <c r="A395" s="1" t="s">
        <v>227</v>
      </c>
      <c r="B395" t="s">
        <v>23</v>
      </c>
      <c r="C395">
        <v>3</v>
      </c>
      <c r="D395" t="s">
        <v>34</v>
      </c>
      <c r="E395">
        <v>2</v>
      </c>
      <c r="F395" t="s">
        <v>61</v>
      </c>
      <c r="G395" t="s">
        <v>23</v>
      </c>
      <c r="H395" t="s">
        <v>34</v>
      </c>
      <c r="I395">
        <v>3</v>
      </c>
      <c r="J395">
        <v>2</v>
      </c>
    </row>
    <row r="396" spans="1:10" x14ac:dyDescent="0.2">
      <c r="A396" s="1" t="s">
        <v>227</v>
      </c>
      <c r="B396" t="s">
        <v>27</v>
      </c>
      <c r="C396">
        <v>5</v>
      </c>
      <c r="D396" t="s">
        <v>24</v>
      </c>
      <c r="E396">
        <v>3</v>
      </c>
      <c r="F396" t="s">
        <v>60</v>
      </c>
      <c r="G396" t="s">
        <v>27</v>
      </c>
      <c r="H396" t="s">
        <v>24</v>
      </c>
      <c r="I396">
        <v>5</v>
      </c>
      <c r="J396">
        <v>3</v>
      </c>
    </row>
    <row r="397" spans="1:10" x14ac:dyDescent="0.2">
      <c r="A397" s="1" t="s">
        <v>227</v>
      </c>
      <c r="B397" t="s">
        <v>40</v>
      </c>
      <c r="C397">
        <v>5</v>
      </c>
      <c r="D397" t="s">
        <v>29</v>
      </c>
      <c r="E397">
        <v>2</v>
      </c>
      <c r="F397" t="s">
        <v>60</v>
      </c>
      <c r="G397" t="s">
        <v>40</v>
      </c>
      <c r="H397" t="s">
        <v>29</v>
      </c>
      <c r="I397">
        <v>5</v>
      </c>
      <c r="J397">
        <v>2</v>
      </c>
    </row>
    <row r="398" spans="1:10" x14ac:dyDescent="0.2">
      <c r="A398" s="1" t="s">
        <v>227</v>
      </c>
      <c r="B398" t="s">
        <v>37</v>
      </c>
      <c r="C398">
        <v>4</v>
      </c>
      <c r="D398" t="s">
        <v>15</v>
      </c>
      <c r="E398">
        <v>1</v>
      </c>
      <c r="F398" t="s">
        <v>60</v>
      </c>
      <c r="G398" t="s">
        <v>37</v>
      </c>
      <c r="H398" t="s">
        <v>15</v>
      </c>
      <c r="I398">
        <v>4</v>
      </c>
      <c r="J398">
        <v>1</v>
      </c>
    </row>
    <row r="399" spans="1:10" x14ac:dyDescent="0.2">
      <c r="A399" s="1" t="s">
        <v>227</v>
      </c>
      <c r="B399" t="s">
        <v>19</v>
      </c>
      <c r="C399">
        <v>7</v>
      </c>
      <c r="D399" t="s">
        <v>14</v>
      </c>
      <c r="E399">
        <v>2</v>
      </c>
      <c r="F399" t="s">
        <v>60</v>
      </c>
      <c r="G399" t="s">
        <v>19</v>
      </c>
      <c r="H399" t="s">
        <v>14</v>
      </c>
      <c r="I399">
        <v>7</v>
      </c>
      <c r="J399">
        <v>2</v>
      </c>
    </row>
    <row r="400" spans="1:10" x14ac:dyDescent="0.2">
      <c r="A400" s="1" t="s">
        <v>227</v>
      </c>
      <c r="B400" t="s">
        <v>17</v>
      </c>
      <c r="C400">
        <v>4</v>
      </c>
      <c r="D400" t="s">
        <v>32</v>
      </c>
      <c r="E400">
        <v>0</v>
      </c>
      <c r="F400" t="s">
        <v>60</v>
      </c>
      <c r="G400" t="s">
        <v>17</v>
      </c>
      <c r="H400" t="s">
        <v>32</v>
      </c>
      <c r="I400">
        <v>4</v>
      </c>
      <c r="J400">
        <v>0</v>
      </c>
    </row>
    <row r="401" spans="1:10" x14ac:dyDescent="0.2">
      <c r="A401" s="1" t="s">
        <v>227</v>
      </c>
      <c r="B401" t="s">
        <v>55</v>
      </c>
      <c r="C401">
        <v>0</v>
      </c>
      <c r="D401" t="s">
        <v>35</v>
      </c>
      <c r="E401">
        <v>1</v>
      </c>
      <c r="F401" t="s">
        <v>60</v>
      </c>
      <c r="G401" t="s">
        <v>35</v>
      </c>
      <c r="H401" t="s">
        <v>55</v>
      </c>
      <c r="I401">
        <v>1</v>
      </c>
      <c r="J401">
        <v>0</v>
      </c>
    </row>
    <row r="402" spans="1:10" x14ac:dyDescent="0.2">
      <c r="A402" s="1" t="s">
        <v>227</v>
      </c>
      <c r="B402" t="s">
        <v>33</v>
      </c>
      <c r="C402">
        <v>3</v>
      </c>
      <c r="D402" t="s">
        <v>20</v>
      </c>
      <c r="E402">
        <v>4</v>
      </c>
      <c r="F402" t="s">
        <v>60</v>
      </c>
      <c r="G402" t="s">
        <v>20</v>
      </c>
      <c r="H402" t="s">
        <v>33</v>
      </c>
      <c r="I402">
        <v>4</v>
      </c>
      <c r="J402">
        <v>3</v>
      </c>
    </row>
    <row r="403" spans="1:10" x14ac:dyDescent="0.2">
      <c r="A403" s="1" t="s">
        <v>228</v>
      </c>
      <c r="B403" t="s">
        <v>16</v>
      </c>
      <c r="C403">
        <v>0</v>
      </c>
      <c r="D403" t="s">
        <v>25</v>
      </c>
      <c r="E403">
        <v>1</v>
      </c>
      <c r="F403" t="s">
        <v>62</v>
      </c>
      <c r="G403" t="s">
        <v>25</v>
      </c>
      <c r="H403" t="s">
        <v>16</v>
      </c>
      <c r="I403">
        <v>1</v>
      </c>
      <c r="J403">
        <v>0</v>
      </c>
    </row>
    <row r="404" spans="1:10" x14ac:dyDescent="0.2">
      <c r="A404" s="1" t="s">
        <v>228</v>
      </c>
      <c r="B404" t="s">
        <v>31</v>
      </c>
      <c r="C404">
        <v>3</v>
      </c>
      <c r="D404" t="s">
        <v>10</v>
      </c>
      <c r="E404">
        <v>5</v>
      </c>
      <c r="F404" t="s">
        <v>60</v>
      </c>
      <c r="G404" t="s">
        <v>10</v>
      </c>
      <c r="H404" t="s">
        <v>31</v>
      </c>
      <c r="I404">
        <v>5</v>
      </c>
      <c r="J404">
        <v>3</v>
      </c>
    </row>
    <row r="405" spans="1:10" x14ac:dyDescent="0.2">
      <c r="A405" s="1" t="s">
        <v>228</v>
      </c>
      <c r="B405" t="s">
        <v>36</v>
      </c>
      <c r="C405">
        <v>1</v>
      </c>
      <c r="D405" t="s">
        <v>39</v>
      </c>
      <c r="E405">
        <v>6</v>
      </c>
      <c r="F405" t="s">
        <v>60</v>
      </c>
      <c r="G405" t="s">
        <v>39</v>
      </c>
      <c r="H405" t="s">
        <v>36</v>
      </c>
      <c r="I405">
        <v>6</v>
      </c>
      <c r="J405">
        <v>1</v>
      </c>
    </row>
    <row r="406" spans="1:10" x14ac:dyDescent="0.2">
      <c r="A406" s="1" t="s">
        <v>228</v>
      </c>
      <c r="B406" t="s">
        <v>22</v>
      </c>
      <c r="C406">
        <v>4</v>
      </c>
      <c r="D406" t="s">
        <v>30</v>
      </c>
      <c r="E406">
        <v>1</v>
      </c>
      <c r="F406" t="s">
        <v>60</v>
      </c>
      <c r="G406" t="s">
        <v>22</v>
      </c>
      <c r="H406" t="s">
        <v>30</v>
      </c>
      <c r="I406">
        <v>4</v>
      </c>
      <c r="J406">
        <v>1</v>
      </c>
    </row>
    <row r="407" spans="1:10" x14ac:dyDescent="0.2">
      <c r="A407" s="1" t="s">
        <v>229</v>
      </c>
      <c r="B407" t="s">
        <v>40</v>
      </c>
      <c r="C407">
        <v>1</v>
      </c>
      <c r="D407" t="s">
        <v>23</v>
      </c>
      <c r="E407">
        <v>5</v>
      </c>
      <c r="F407" t="s">
        <v>60</v>
      </c>
      <c r="G407" t="s">
        <v>23</v>
      </c>
      <c r="H407" t="s">
        <v>40</v>
      </c>
      <c r="I407">
        <v>5</v>
      </c>
      <c r="J407">
        <v>1</v>
      </c>
    </row>
    <row r="408" spans="1:10" x14ac:dyDescent="0.2">
      <c r="A408" s="1" t="s">
        <v>229</v>
      </c>
      <c r="B408" t="s">
        <v>28</v>
      </c>
      <c r="C408">
        <v>5</v>
      </c>
      <c r="D408" t="s">
        <v>24</v>
      </c>
      <c r="E408">
        <v>3</v>
      </c>
      <c r="F408" t="s">
        <v>60</v>
      </c>
      <c r="G408" t="s">
        <v>28</v>
      </c>
      <c r="H408" t="s">
        <v>24</v>
      </c>
      <c r="I408">
        <v>5</v>
      </c>
      <c r="J408">
        <v>3</v>
      </c>
    </row>
    <row r="409" spans="1:10" x14ac:dyDescent="0.2">
      <c r="A409" s="1" t="s">
        <v>229</v>
      </c>
      <c r="B409" t="s">
        <v>14</v>
      </c>
      <c r="C409">
        <v>5</v>
      </c>
      <c r="D409" t="s">
        <v>27</v>
      </c>
      <c r="E409">
        <v>1</v>
      </c>
      <c r="F409" t="s">
        <v>60</v>
      </c>
      <c r="G409" t="s">
        <v>14</v>
      </c>
      <c r="H409" t="s">
        <v>27</v>
      </c>
      <c r="I409">
        <v>5</v>
      </c>
      <c r="J409">
        <v>1</v>
      </c>
    </row>
    <row r="410" spans="1:10" x14ac:dyDescent="0.2">
      <c r="A410" s="1" t="s">
        <v>229</v>
      </c>
      <c r="B410" t="s">
        <v>55</v>
      </c>
      <c r="C410">
        <v>3</v>
      </c>
      <c r="D410" t="s">
        <v>33</v>
      </c>
      <c r="E410">
        <v>6</v>
      </c>
      <c r="F410" t="s">
        <v>60</v>
      </c>
      <c r="G410" t="s">
        <v>33</v>
      </c>
      <c r="H410" t="s">
        <v>55</v>
      </c>
      <c r="I410">
        <v>6</v>
      </c>
      <c r="J410">
        <v>3</v>
      </c>
    </row>
    <row r="411" spans="1:10" x14ac:dyDescent="0.2">
      <c r="A411" s="1" t="s">
        <v>229</v>
      </c>
      <c r="B411" t="s">
        <v>31</v>
      </c>
      <c r="C411">
        <v>4</v>
      </c>
      <c r="D411" t="s">
        <v>35</v>
      </c>
      <c r="E411">
        <v>1</v>
      </c>
      <c r="F411" t="s">
        <v>60</v>
      </c>
      <c r="G411" t="s">
        <v>31</v>
      </c>
      <c r="H411" t="s">
        <v>35</v>
      </c>
      <c r="I411">
        <v>4</v>
      </c>
      <c r="J411">
        <v>1</v>
      </c>
    </row>
    <row r="412" spans="1:10" x14ac:dyDescent="0.2">
      <c r="A412" s="1" t="s">
        <v>230</v>
      </c>
      <c r="B412" t="s">
        <v>38</v>
      </c>
      <c r="D412" t="s">
        <v>12</v>
      </c>
      <c r="F412" t="s">
        <v>60</v>
      </c>
    </row>
    <row r="413" spans="1:10" x14ac:dyDescent="0.2">
      <c r="A413" s="1" t="s">
        <v>230</v>
      </c>
      <c r="B413" t="s">
        <v>21</v>
      </c>
      <c r="D413" t="s">
        <v>26</v>
      </c>
      <c r="F413" t="s">
        <v>60</v>
      </c>
    </row>
    <row r="414" spans="1:10" x14ac:dyDescent="0.2">
      <c r="A414" s="1" t="s">
        <v>230</v>
      </c>
      <c r="B414" t="s">
        <v>34</v>
      </c>
      <c r="D414" t="s">
        <v>17</v>
      </c>
      <c r="F414" t="s">
        <v>60</v>
      </c>
    </row>
    <row r="415" spans="1:10" x14ac:dyDescent="0.2">
      <c r="A415" s="1" t="s">
        <v>230</v>
      </c>
      <c r="B415" t="s">
        <v>19</v>
      </c>
      <c r="D415" t="s">
        <v>11</v>
      </c>
      <c r="F415" t="s">
        <v>60</v>
      </c>
    </row>
    <row r="416" spans="1:10" x14ac:dyDescent="0.2">
      <c r="A416" s="1" t="s">
        <v>230</v>
      </c>
      <c r="B416" t="s">
        <v>22</v>
      </c>
      <c r="D416" t="s">
        <v>13</v>
      </c>
      <c r="F416" t="s">
        <v>60</v>
      </c>
    </row>
    <row r="417" spans="1:6" x14ac:dyDescent="0.2">
      <c r="A417" s="1" t="s">
        <v>230</v>
      </c>
      <c r="B417" t="s">
        <v>36</v>
      </c>
      <c r="D417" t="s">
        <v>18</v>
      </c>
      <c r="F417" t="s">
        <v>60</v>
      </c>
    </row>
    <row r="418" spans="1:6" x14ac:dyDescent="0.2">
      <c r="A418" s="1" t="s">
        <v>230</v>
      </c>
      <c r="B418" t="s">
        <v>16</v>
      </c>
      <c r="D418" t="s">
        <v>29</v>
      </c>
      <c r="F418" t="s">
        <v>60</v>
      </c>
    </row>
    <row r="419" spans="1:6" x14ac:dyDescent="0.2">
      <c r="A419" s="1" t="s">
        <v>230</v>
      </c>
      <c r="B419" t="s">
        <v>37</v>
      </c>
      <c r="D419" t="s">
        <v>30</v>
      </c>
      <c r="F419" t="s">
        <v>60</v>
      </c>
    </row>
    <row r="420" spans="1:6" x14ac:dyDescent="0.2">
      <c r="A420" s="1" t="s">
        <v>230</v>
      </c>
      <c r="B420" t="s">
        <v>39</v>
      </c>
      <c r="D420" t="s">
        <v>15</v>
      </c>
      <c r="F420" t="s">
        <v>60</v>
      </c>
    </row>
    <row r="421" spans="1:6" x14ac:dyDescent="0.2">
      <c r="A421" s="1" t="s">
        <v>230</v>
      </c>
      <c r="B421" t="s">
        <v>10</v>
      </c>
      <c r="D421" t="s">
        <v>20</v>
      </c>
      <c r="F421" t="s">
        <v>60</v>
      </c>
    </row>
    <row r="422" spans="1:6" x14ac:dyDescent="0.2">
      <c r="A422" s="1" t="s">
        <v>231</v>
      </c>
      <c r="B422" t="s">
        <v>55</v>
      </c>
      <c r="D422" t="s">
        <v>31</v>
      </c>
      <c r="F422" t="s">
        <v>60</v>
      </c>
    </row>
    <row r="423" spans="1:6" x14ac:dyDescent="0.2">
      <c r="A423" s="1" t="s">
        <v>231</v>
      </c>
      <c r="B423" t="s">
        <v>40</v>
      </c>
      <c r="D423" t="s">
        <v>18</v>
      </c>
      <c r="F423" t="s">
        <v>60</v>
      </c>
    </row>
    <row r="424" spans="1:6" x14ac:dyDescent="0.2">
      <c r="A424" s="1" t="s">
        <v>231</v>
      </c>
      <c r="B424" t="s">
        <v>39</v>
      </c>
      <c r="D424" t="s">
        <v>24</v>
      </c>
      <c r="F424" t="s">
        <v>60</v>
      </c>
    </row>
    <row r="425" spans="1:6" x14ac:dyDescent="0.2">
      <c r="A425" s="1" t="s">
        <v>231</v>
      </c>
      <c r="B425" t="s">
        <v>23</v>
      </c>
      <c r="D425" t="s">
        <v>27</v>
      </c>
      <c r="F425" t="s">
        <v>60</v>
      </c>
    </row>
    <row r="426" spans="1:6" x14ac:dyDescent="0.2">
      <c r="A426" s="1" t="s">
        <v>231</v>
      </c>
      <c r="B426" t="s">
        <v>22</v>
      </c>
      <c r="D426" t="s">
        <v>33</v>
      </c>
      <c r="F426" t="s">
        <v>60</v>
      </c>
    </row>
    <row r="427" spans="1:6" x14ac:dyDescent="0.2">
      <c r="A427" s="1" t="s">
        <v>232</v>
      </c>
      <c r="B427" t="s">
        <v>35</v>
      </c>
      <c r="D427" t="s">
        <v>21</v>
      </c>
      <c r="F427" t="s">
        <v>60</v>
      </c>
    </row>
    <row r="428" spans="1:6" x14ac:dyDescent="0.2">
      <c r="A428" s="1" t="s">
        <v>232</v>
      </c>
      <c r="B428" t="s">
        <v>19</v>
      </c>
      <c r="D428" t="s">
        <v>25</v>
      </c>
      <c r="F428" t="s">
        <v>60</v>
      </c>
    </row>
    <row r="429" spans="1:6" x14ac:dyDescent="0.2">
      <c r="A429" s="1" t="s">
        <v>232</v>
      </c>
      <c r="B429" t="s">
        <v>26</v>
      </c>
      <c r="D429" t="s">
        <v>28</v>
      </c>
      <c r="F429" t="s">
        <v>60</v>
      </c>
    </row>
    <row r="430" spans="1:6" x14ac:dyDescent="0.2">
      <c r="A430" s="1" t="s">
        <v>232</v>
      </c>
      <c r="B430" t="s">
        <v>34</v>
      </c>
      <c r="D430" t="s">
        <v>16</v>
      </c>
      <c r="F430" t="s">
        <v>60</v>
      </c>
    </row>
    <row r="431" spans="1:6" x14ac:dyDescent="0.2">
      <c r="A431" s="1" t="s">
        <v>232</v>
      </c>
      <c r="B431" t="s">
        <v>32</v>
      </c>
      <c r="D431" t="s">
        <v>17</v>
      </c>
      <c r="F431" t="s">
        <v>60</v>
      </c>
    </row>
    <row r="432" spans="1:6" x14ac:dyDescent="0.2">
      <c r="A432" s="1" t="s">
        <v>232</v>
      </c>
      <c r="B432" t="s">
        <v>29</v>
      </c>
      <c r="D432" t="s">
        <v>11</v>
      </c>
      <c r="F432" t="s">
        <v>60</v>
      </c>
    </row>
    <row r="433" spans="1:6" x14ac:dyDescent="0.2">
      <c r="A433" s="1" t="s">
        <v>232</v>
      </c>
      <c r="B433" t="s">
        <v>10</v>
      </c>
      <c r="D433" t="s">
        <v>13</v>
      </c>
      <c r="F433" t="s">
        <v>60</v>
      </c>
    </row>
    <row r="434" spans="1:6" x14ac:dyDescent="0.2">
      <c r="A434" s="1" t="s">
        <v>232</v>
      </c>
      <c r="B434" t="s">
        <v>12</v>
      </c>
      <c r="D434" t="s">
        <v>30</v>
      </c>
      <c r="F434" t="s">
        <v>60</v>
      </c>
    </row>
    <row r="435" spans="1:6" x14ac:dyDescent="0.2">
      <c r="A435" s="1" t="s">
        <v>232</v>
      </c>
      <c r="B435" t="s">
        <v>15</v>
      </c>
      <c r="D435" t="s">
        <v>36</v>
      </c>
      <c r="F435" t="s">
        <v>60</v>
      </c>
    </row>
    <row r="436" spans="1:6" x14ac:dyDescent="0.2">
      <c r="A436" s="1" t="s">
        <v>232</v>
      </c>
      <c r="B436" t="s">
        <v>14</v>
      </c>
      <c r="D436" t="s">
        <v>37</v>
      </c>
      <c r="F436" t="s">
        <v>60</v>
      </c>
    </row>
    <row r="437" spans="1:6" x14ac:dyDescent="0.2">
      <c r="A437" s="1" t="s">
        <v>233</v>
      </c>
      <c r="B437" t="s">
        <v>22</v>
      </c>
      <c r="D437" t="s">
        <v>31</v>
      </c>
      <c r="F437" t="s">
        <v>60</v>
      </c>
    </row>
    <row r="438" spans="1:6" x14ac:dyDescent="0.2">
      <c r="A438" s="1" t="s">
        <v>233</v>
      </c>
      <c r="B438" t="s">
        <v>33</v>
      </c>
      <c r="D438" t="s">
        <v>39</v>
      </c>
      <c r="F438" t="s">
        <v>60</v>
      </c>
    </row>
    <row r="439" spans="1:6" x14ac:dyDescent="0.2">
      <c r="A439" s="1" t="s">
        <v>233</v>
      </c>
      <c r="B439" t="s">
        <v>20</v>
      </c>
      <c r="D439" t="s">
        <v>24</v>
      </c>
      <c r="F439" t="s">
        <v>60</v>
      </c>
    </row>
    <row r="440" spans="1:6" x14ac:dyDescent="0.2">
      <c r="A440" s="1" t="s">
        <v>233</v>
      </c>
      <c r="B440" t="s">
        <v>55</v>
      </c>
      <c r="D440" t="s">
        <v>38</v>
      </c>
      <c r="F440" t="s">
        <v>60</v>
      </c>
    </row>
    <row r="441" spans="1:6" x14ac:dyDescent="0.2">
      <c r="A441" s="1" t="s">
        <v>233</v>
      </c>
      <c r="B441" t="s">
        <v>23</v>
      </c>
      <c r="D441" t="s">
        <v>40</v>
      </c>
      <c r="F441" t="s">
        <v>60</v>
      </c>
    </row>
    <row r="442" spans="1:6" x14ac:dyDescent="0.2">
      <c r="A442" s="1" t="s">
        <v>234</v>
      </c>
      <c r="B442" t="s">
        <v>24</v>
      </c>
      <c r="D442" t="s">
        <v>21</v>
      </c>
      <c r="F442" t="s">
        <v>60</v>
      </c>
    </row>
    <row r="443" spans="1:6" x14ac:dyDescent="0.2">
      <c r="A443" s="1" t="s">
        <v>234</v>
      </c>
      <c r="B443" t="s">
        <v>29</v>
      </c>
      <c r="D443" t="s">
        <v>25</v>
      </c>
      <c r="F443" t="s">
        <v>60</v>
      </c>
    </row>
    <row r="444" spans="1:6" x14ac:dyDescent="0.2">
      <c r="A444" s="1" t="s">
        <v>234</v>
      </c>
      <c r="B444" t="s">
        <v>55</v>
      </c>
      <c r="D444" t="s">
        <v>16</v>
      </c>
      <c r="F444" t="s">
        <v>60</v>
      </c>
    </row>
    <row r="445" spans="1:6" x14ac:dyDescent="0.2">
      <c r="A445" s="1" t="s">
        <v>234</v>
      </c>
      <c r="B445" t="s">
        <v>40</v>
      </c>
      <c r="D445" t="s">
        <v>17</v>
      </c>
      <c r="F445" t="s">
        <v>60</v>
      </c>
    </row>
    <row r="446" spans="1:6" x14ac:dyDescent="0.2">
      <c r="A446" s="1" t="s">
        <v>234</v>
      </c>
      <c r="B446" t="s">
        <v>28</v>
      </c>
      <c r="D446" t="s">
        <v>11</v>
      </c>
      <c r="F446" t="s">
        <v>60</v>
      </c>
    </row>
    <row r="447" spans="1:6" x14ac:dyDescent="0.2">
      <c r="A447" s="1" t="s">
        <v>234</v>
      </c>
      <c r="B447" t="s">
        <v>10</v>
      </c>
      <c r="D447" t="s">
        <v>13</v>
      </c>
      <c r="F447" t="s">
        <v>60</v>
      </c>
    </row>
    <row r="448" spans="1:6" x14ac:dyDescent="0.2">
      <c r="A448" s="1" t="s">
        <v>234</v>
      </c>
      <c r="B448" t="s">
        <v>12</v>
      </c>
      <c r="D448" t="s">
        <v>15</v>
      </c>
      <c r="F448" t="s">
        <v>60</v>
      </c>
    </row>
    <row r="449" spans="1:6" x14ac:dyDescent="0.2">
      <c r="A449" s="1" t="s">
        <v>234</v>
      </c>
      <c r="B449" t="s">
        <v>35</v>
      </c>
      <c r="D449" t="s">
        <v>36</v>
      </c>
      <c r="F449" t="s">
        <v>60</v>
      </c>
    </row>
    <row r="450" spans="1:6" x14ac:dyDescent="0.2">
      <c r="A450" s="1" t="s">
        <v>234</v>
      </c>
      <c r="B450" t="s">
        <v>26</v>
      </c>
      <c r="D450" t="s">
        <v>32</v>
      </c>
      <c r="F450" t="s">
        <v>60</v>
      </c>
    </row>
    <row r="451" spans="1:6" x14ac:dyDescent="0.2">
      <c r="A451" s="1" t="s">
        <v>234</v>
      </c>
      <c r="B451" t="s">
        <v>30</v>
      </c>
      <c r="D451" t="s">
        <v>37</v>
      </c>
      <c r="F451" t="s">
        <v>60</v>
      </c>
    </row>
    <row r="452" spans="1:6" x14ac:dyDescent="0.2">
      <c r="A452" s="1" t="s">
        <v>234</v>
      </c>
      <c r="B452" t="s">
        <v>18</v>
      </c>
      <c r="D452" t="s">
        <v>19</v>
      </c>
      <c r="F452" t="s">
        <v>60</v>
      </c>
    </row>
    <row r="453" spans="1:6" x14ac:dyDescent="0.2">
      <c r="A453" s="1" t="s">
        <v>234</v>
      </c>
      <c r="B453" t="s">
        <v>34</v>
      </c>
      <c r="D453" t="s">
        <v>38</v>
      </c>
      <c r="F453" t="s">
        <v>60</v>
      </c>
    </row>
    <row r="454" spans="1:6" x14ac:dyDescent="0.2">
      <c r="A454" s="1" t="s">
        <v>235</v>
      </c>
      <c r="B454" t="s">
        <v>10</v>
      </c>
      <c r="D454" t="s">
        <v>31</v>
      </c>
      <c r="F454" t="s">
        <v>60</v>
      </c>
    </row>
    <row r="455" spans="1:6" x14ac:dyDescent="0.2">
      <c r="A455" s="1" t="s">
        <v>235</v>
      </c>
      <c r="B455" t="s">
        <v>33</v>
      </c>
      <c r="D455" t="s">
        <v>25</v>
      </c>
      <c r="F455" t="s">
        <v>60</v>
      </c>
    </row>
    <row r="456" spans="1:6" x14ac:dyDescent="0.2">
      <c r="A456" s="1" t="s">
        <v>235</v>
      </c>
      <c r="B456" t="s">
        <v>14</v>
      </c>
      <c r="D456" t="s">
        <v>39</v>
      </c>
      <c r="F456" t="s">
        <v>60</v>
      </c>
    </row>
    <row r="457" spans="1:6" x14ac:dyDescent="0.2">
      <c r="A457" s="1" t="s">
        <v>235</v>
      </c>
      <c r="B457" t="s">
        <v>30</v>
      </c>
      <c r="D457" t="s">
        <v>11</v>
      </c>
      <c r="F457" t="s">
        <v>60</v>
      </c>
    </row>
    <row r="458" spans="1:6" x14ac:dyDescent="0.2">
      <c r="A458" s="1" t="s">
        <v>235</v>
      </c>
      <c r="B458" t="s">
        <v>35</v>
      </c>
      <c r="D458" t="s">
        <v>18</v>
      </c>
      <c r="F458" t="s">
        <v>60</v>
      </c>
    </row>
    <row r="459" spans="1:6" x14ac:dyDescent="0.2">
      <c r="A459" s="1" t="s">
        <v>235</v>
      </c>
      <c r="B459" t="s">
        <v>20</v>
      </c>
      <c r="D459" t="s">
        <v>15</v>
      </c>
      <c r="F459" t="s">
        <v>60</v>
      </c>
    </row>
    <row r="460" spans="1:6" x14ac:dyDescent="0.2">
      <c r="A460" s="1" t="s">
        <v>235</v>
      </c>
      <c r="B460" t="s">
        <v>12</v>
      </c>
      <c r="D460" t="s">
        <v>27</v>
      </c>
      <c r="F460" t="s">
        <v>60</v>
      </c>
    </row>
    <row r="461" spans="1:6" x14ac:dyDescent="0.2">
      <c r="A461" s="1" t="s">
        <v>235</v>
      </c>
      <c r="B461" t="s">
        <v>28</v>
      </c>
      <c r="D461" t="s">
        <v>22</v>
      </c>
      <c r="F461" t="s">
        <v>60</v>
      </c>
    </row>
    <row r="462" spans="1:6" x14ac:dyDescent="0.2">
      <c r="A462" s="1" t="s">
        <v>236</v>
      </c>
      <c r="B462" t="s">
        <v>23</v>
      </c>
      <c r="D462" t="s">
        <v>16</v>
      </c>
      <c r="F462" t="s">
        <v>60</v>
      </c>
    </row>
    <row r="463" spans="1:6" x14ac:dyDescent="0.2">
      <c r="A463" s="1" t="s">
        <v>236</v>
      </c>
      <c r="B463" t="s">
        <v>34</v>
      </c>
      <c r="D463" t="s">
        <v>32</v>
      </c>
      <c r="F463" t="s">
        <v>60</v>
      </c>
    </row>
    <row r="464" spans="1:6" x14ac:dyDescent="0.2">
      <c r="A464" s="1" t="s">
        <v>236</v>
      </c>
      <c r="B464" t="s">
        <v>37</v>
      </c>
      <c r="D464" t="s">
        <v>19</v>
      </c>
      <c r="F464" t="s">
        <v>60</v>
      </c>
    </row>
    <row r="465" spans="1:6" x14ac:dyDescent="0.2">
      <c r="A465" s="1" t="s">
        <v>236</v>
      </c>
      <c r="B465" t="s">
        <v>13</v>
      </c>
      <c r="D465" t="s">
        <v>55</v>
      </c>
      <c r="F465" t="s">
        <v>60</v>
      </c>
    </row>
    <row r="466" spans="1:6" x14ac:dyDescent="0.2">
      <c r="A466" s="1" t="s">
        <v>236</v>
      </c>
      <c r="B466" t="s">
        <v>26</v>
      </c>
      <c r="D466" t="s">
        <v>38</v>
      </c>
      <c r="F466" t="s">
        <v>60</v>
      </c>
    </row>
    <row r="467" spans="1:6" x14ac:dyDescent="0.2">
      <c r="A467" s="1" t="s">
        <v>237</v>
      </c>
      <c r="B467" t="s">
        <v>28</v>
      </c>
      <c r="D467" t="s">
        <v>25</v>
      </c>
      <c r="F467" t="s">
        <v>60</v>
      </c>
    </row>
    <row r="468" spans="1:6" x14ac:dyDescent="0.2">
      <c r="A468" s="1" t="s">
        <v>237</v>
      </c>
      <c r="B468" t="s">
        <v>23</v>
      </c>
      <c r="D468" t="s">
        <v>17</v>
      </c>
      <c r="F468" t="s">
        <v>60</v>
      </c>
    </row>
    <row r="469" spans="1:6" x14ac:dyDescent="0.2">
      <c r="A469" s="1" t="s">
        <v>237</v>
      </c>
      <c r="B469" t="s">
        <v>37</v>
      </c>
      <c r="D469" t="s">
        <v>18</v>
      </c>
      <c r="F469" t="s">
        <v>60</v>
      </c>
    </row>
    <row r="470" spans="1:6" x14ac:dyDescent="0.2">
      <c r="A470" s="1" t="s">
        <v>237</v>
      </c>
      <c r="B470" t="s">
        <v>12</v>
      </c>
      <c r="D470" t="s">
        <v>29</v>
      </c>
      <c r="F470" t="s">
        <v>60</v>
      </c>
    </row>
    <row r="471" spans="1:6" x14ac:dyDescent="0.2">
      <c r="A471" s="1" t="s">
        <v>237</v>
      </c>
      <c r="B471" t="s">
        <v>20</v>
      </c>
      <c r="D471" t="s">
        <v>30</v>
      </c>
      <c r="F471" t="s">
        <v>60</v>
      </c>
    </row>
    <row r="472" spans="1:6" x14ac:dyDescent="0.2">
      <c r="A472" s="1" t="s">
        <v>237</v>
      </c>
      <c r="B472" t="s">
        <v>24</v>
      </c>
      <c r="D472" t="s">
        <v>36</v>
      </c>
      <c r="F472" t="s">
        <v>60</v>
      </c>
    </row>
    <row r="473" spans="1:6" x14ac:dyDescent="0.2">
      <c r="A473" s="1" t="s">
        <v>237</v>
      </c>
      <c r="B473" t="s">
        <v>33</v>
      </c>
      <c r="D473" t="s">
        <v>27</v>
      </c>
      <c r="F473" t="s">
        <v>60</v>
      </c>
    </row>
    <row r="474" spans="1:6" x14ac:dyDescent="0.2">
      <c r="A474" s="1" t="s">
        <v>237</v>
      </c>
      <c r="B474" t="s">
        <v>31</v>
      </c>
      <c r="D474" t="s">
        <v>14</v>
      </c>
      <c r="F474" t="s">
        <v>60</v>
      </c>
    </row>
    <row r="475" spans="1:6" x14ac:dyDescent="0.2">
      <c r="A475" s="1" t="s">
        <v>237</v>
      </c>
      <c r="B475" t="s">
        <v>21</v>
      </c>
      <c r="D475" t="s">
        <v>35</v>
      </c>
      <c r="F475" t="s">
        <v>60</v>
      </c>
    </row>
    <row r="476" spans="1:6" x14ac:dyDescent="0.2">
      <c r="A476" s="1" t="s">
        <v>237</v>
      </c>
      <c r="B476" t="s">
        <v>39</v>
      </c>
      <c r="D476" t="s">
        <v>40</v>
      </c>
      <c r="F476" t="s">
        <v>60</v>
      </c>
    </row>
    <row r="477" spans="1:6" x14ac:dyDescent="0.2">
      <c r="A477" s="1" t="s">
        <v>238</v>
      </c>
      <c r="B477" t="s">
        <v>26</v>
      </c>
      <c r="D477" t="s">
        <v>16</v>
      </c>
      <c r="F477" t="s">
        <v>60</v>
      </c>
    </row>
    <row r="478" spans="1:6" x14ac:dyDescent="0.2">
      <c r="A478" s="1" t="s">
        <v>238</v>
      </c>
      <c r="B478" t="s">
        <v>15</v>
      </c>
      <c r="D478" t="s">
        <v>10</v>
      </c>
      <c r="F478" t="s">
        <v>60</v>
      </c>
    </row>
    <row r="479" spans="1:6" x14ac:dyDescent="0.2">
      <c r="A479" s="1" t="s">
        <v>238</v>
      </c>
      <c r="B479" t="s">
        <v>13</v>
      </c>
      <c r="D479" t="s">
        <v>32</v>
      </c>
      <c r="F479" t="s">
        <v>60</v>
      </c>
    </row>
    <row r="480" spans="1:6" x14ac:dyDescent="0.2">
      <c r="A480" s="1" t="s">
        <v>238</v>
      </c>
      <c r="B480" t="s">
        <v>11</v>
      </c>
      <c r="D480" t="s">
        <v>55</v>
      </c>
      <c r="F480" t="s">
        <v>60</v>
      </c>
    </row>
    <row r="481" spans="1:6" x14ac:dyDescent="0.2">
      <c r="A481" s="1" t="s">
        <v>239</v>
      </c>
      <c r="B481" t="s">
        <v>36</v>
      </c>
      <c r="D481" t="s">
        <v>28</v>
      </c>
      <c r="F481" t="s">
        <v>60</v>
      </c>
    </row>
    <row r="482" spans="1:6" x14ac:dyDescent="0.2">
      <c r="A482" s="1" t="s">
        <v>239</v>
      </c>
      <c r="B482" t="s">
        <v>11</v>
      </c>
      <c r="D482" t="s">
        <v>12</v>
      </c>
      <c r="F482" t="s">
        <v>60</v>
      </c>
    </row>
    <row r="483" spans="1:6" x14ac:dyDescent="0.2">
      <c r="A483" s="1" t="s">
        <v>239</v>
      </c>
      <c r="B483" t="s">
        <v>26</v>
      </c>
      <c r="D483" t="s">
        <v>17</v>
      </c>
      <c r="F483" t="s">
        <v>60</v>
      </c>
    </row>
    <row r="484" spans="1:6" x14ac:dyDescent="0.2">
      <c r="A484" s="1" t="s">
        <v>239</v>
      </c>
      <c r="B484" t="s">
        <v>39</v>
      </c>
      <c r="D484" t="s">
        <v>34</v>
      </c>
      <c r="F484" t="s">
        <v>60</v>
      </c>
    </row>
    <row r="485" spans="1:6" x14ac:dyDescent="0.2">
      <c r="A485" s="1" t="s">
        <v>239</v>
      </c>
      <c r="B485" t="s">
        <v>37</v>
      </c>
      <c r="D485" t="s">
        <v>24</v>
      </c>
      <c r="F485" t="s">
        <v>60</v>
      </c>
    </row>
    <row r="486" spans="1:6" x14ac:dyDescent="0.2">
      <c r="A486" s="1" t="s">
        <v>239</v>
      </c>
      <c r="B486" t="s">
        <v>35</v>
      </c>
      <c r="D486" t="s">
        <v>29</v>
      </c>
      <c r="F486" t="s">
        <v>60</v>
      </c>
    </row>
    <row r="487" spans="1:6" x14ac:dyDescent="0.2">
      <c r="A487" s="1" t="s">
        <v>239</v>
      </c>
      <c r="B487" t="s">
        <v>31</v>
      </c>
      <c r="D487" t="s">
        <v>30</v>
      </c>
      <c r="F487" t="s">
        <v>60</v>
      </c>
    </row>
    <row r="488" spans="1:6" x14ac:dyDescent="0.2">
      <c r="A488" s="1" t="s">
        <v>239</v>
      </c>
      <c r="B488" t="s">
        <v>20</v>
      </c>
      <c r="D488" t="s">
        <v>27</v>
      </c>
      <c r="F488" t="s">
        <v>60</v>
      </c>
    </row>
    <row r="489" spans="1:6" x14ac:dyDescent="0.2">
      <c r="A489" s="1" t="s">
        <v>239</v>
      </c>
      <c r="B489" t="s">
        <v>18</v>
      </c>
      <c r="D489" t="s">
        <v>14</v>
      </c>
      <c r="F489" t="s">
        <v>60</v>
      </c>
    </row>
    <row r="490" spans="1:6" x14ac:dyDescent="0.2">
      <c r="A490" s="1" t="s">
        <v>239</v>
      </c>
      <c r="B490" t="s">
        <v>33</v>
      </c>
      <c r="D490" t="s">
        <v>19</v>
      </c>
      <c r="F490" t="s">
        <v>60</v>
      </c>
    </row>
    <row r="491" spans="1:6" x14ac:dyDescent="0.2">
      <c r="A491" s="1" t="s">
        <v>239</v>
      </c>
      <c r="B491" t="s">
        <v>23</v>
      </c>
      <c r="D491" t="s">
        <v>38</v>
      </c>
      <c r="F491" t="s">
        <v>60</v>
      </c>
    </row>
    <row r="492" spans="1:6" x14ac:dyDescent="0.2">
      <c r="A492" s="1" t="s">
        <v>239</v>
      </c>
      <c r="B492" t="s">
        <v>21</v>
      </c>
      <c r="D492" t="s">
        <v>40</v>
      </c>
      <c r="F492" t="s">
        <v>60</v>
      </c>
    </row>
    <row r="493" spans="1:6" x14ac:dyDescent="0.2">
      <c r="A493" s="1" t="s">
        <v>239</v>
      </c>
      <c r="B493" t="s">
        <v>25</v>
      </c>
      <c r="D493" t="s">
        <v>22</v>
      </c>
      <c r="F493" t="s">
        <v>60</v>
      </c>
    </row>
    <row r="494" spans="1:6" x14ac:dyDescent="0.2">
      <c r="A494" s="1" t="s">
        <v>240</v>
      </c>
      <c r="B494" t="s">
        <v>10</v>
      </c>
      <c r="D494" t="s">
        <v>35</v>
      </c>
      <c r="F494" t="s">
        <v>60</v>
      </c>
    </row>
    <row r="495" spans="1:6" x14ac:dyDescent="0.2">
      <c r="A495" s="1" t="s">
        <v>240</v>
      </c>
      <c r="B495" t="s">
        <v>32</v>
      </c>
      <c r="D495" t="s">
        <v>55</v>
      </c>
      <c r="F495" t="s">
        <v>60</v>
      </c>
    </row>
    <row r="496" spans="1:6" x14ac:dyDescent="0.2">
      <c r="A496" s="1" t="s">
        <v>63</v>
      </c>
      <c r="B496" t="s">
        <v>20</v>
      </c>
      <c r="D496" t="s">
        <v>28</v>
      </c>
      <c r="F496" t="s">
        <v>60</v>
      </c>
    </row>
    <row r="497" spans="1:6" x14ac:dyDescent="0.2">
      <c r="A497" s="1" t="s">
        <v>63</v>
      </c>
      <c r="B497" t="s">
        <v>26</v>
      </c>
      <c r="D497" t="s">
        <v>10</v>
      </c>
      <c r="F497" t="s">
        <v>60</v>
      </c>
    </row>
    <row r="498" spans="1:6" x14ac:dyDescent="0.2">
      <c r="A498" s="1" t="s">
        <v>63</v>
      </c>
      <c r="B498" t="s">
        <v>29</v>
      </c>
      <c r="D498" t="s">
        <v>12</v>
      </c>
      <c r="F498" t="s">
        <v>60</v>
      </c>
    </row>
    <row r="499" spans="1:6" x14ac:dyDescent="0.2">
      <c r="A499" s="1" t="s">
        <v>63</v>
      </c>
      <c r="B499" t="s">
        <v>11</v>
      </c>
      <c r="D499" t="s">
        <v>39</v>
      </c>
      <c r="F499" t="s">
        <v>60</v>
      </c>
    </row>
    <row r="500" spans="1:6" x14ac:dyDescent="0.2">
      <c r="A500" s="1" t="s">
        <v>63</v>
      </c>
      <c r="B500" t="s">
        <v>16</v>
      </c>
      <c r="D500" t="s">
        <v>13</v>
      </c>
      <c r="F500" t="s">
        <v>60</v>
      </c>
    </row>
    <row r="501" spans="1:6" x14ac:dyDescent="0.2">
      <c r="A501" s="1" t="s">
        <v>63</v>
      </c>
      <c r="B501" t="s">
        <v>36</v>
      </c>
      <c r="D501" t="s">
        <v>34</v>
      </c>
      <c r="F501" t="s">
        <v>60</v>
      </c>
    </row>
    <row r="502" spans="1:6" x14ac:dyDescent="0.2">
      <c r="A502" t="s">
        <v>63</v>
      </c>
      <c r="B502" t="s">
        <v>31</v>
      </c>
      <c r="D502" t="s">
        <v>24</v>
      </c>
      <c r="F502" t="s">
        <v>60</v>
      </c>
    </row>
    <row r="503" spans="1:6" x14ac:dyDescent="0.2">
      <c r="A503" t="s">
        <v>63</v>
      </c>
      <c r="B503" t="s">
        <v>37</v>
      </c>
      <c r="D503" t="s">
        <v>30</v>
      </c>
      <c r="F503" t="s">
        <v>60</v>
      </c>
    </row>
    <row r="504" spans="1:6" x14ac:dyDescent="0.2">
      <c r="A504" t="s">
        <v>63</v>
      </c>
      <c r="B504" t="s">
        <v>18</v>
      </c>
      <c r="D504" t="s">
        <v>15</v>
      </c>
      <c r="F504" t="s">
        <v>60</v>
      </c>
    </row>
    <row r="505" spans="1:6" x14ac:dyDescent="0.2">
      <c r="A505" t="s">
        <v>63</v>
      </c>
      <c r="B505" t="s">
        <v>25</v>
      </c>
      <c r="D505" t="s">
        <v>27</v>
      </c>
      <c r="F505" t="s">
        <v>60</v>
      </c>
    </row>
    <row r="506" spans="1:6" x14ac:dyDescent="0.2">
      <c r="A506" t="s">
        <v>63</v>
      </c>
      <c r="B506" t="s">
        <v>33</v>
      </c>
      <c r="D506" t="s">
        <v>14</v>
      </c>
      <c r="F506" t="s">
        <v>60</v>
      </c>
    </row>
    <row r="507" spans="1:6" x14ac:dyDescent="0.2">
      <c r="A507" t="s">
        <v>63</v>
      </c>
      <c r="B507" t="s">
        <v>17</v>
      </c>
      <c r="D507" t="s">
        <v>19</v>
      </c>
      <c r="F507" t="s">
        <v>60</v>
      </c>
    </row>
    <row r="508" spans="1:6" x14ac:dyDescent="0.2">
      <c r="A508" t="s">
        <v>63</v>
      </c>
      <c r="B508" t="s">
        <v>22</v>
      </c>
      <c r="D508" t="s">
        <v>40</v>
      </c>
      <c r="F508" t="s">
        <v>60</v>
      </c>
    </row>
    <row r="509" spans="1:6" x14ac:dyDescent="0.2">
      <c r="A509" t="s">
        <v>64</v>
      </c>
      <c r="B509" t="s">
        <v>27</v>
      </c>
      <c r="D509" t="s">
        <v>25</v>
      </c>
      <c r="F509" t="s">
        <v>60</v>
      </c>
    </row>
    <row r="510" spans="1:6" x14ac:dyDescent="0.2">
      <c r="A510" t="s">
        <v>64</v>
      </c>
      <c r="B510" t="s">
        <v>21</v>
      </c>
      <c r="D510" t="s">
        <v>34</v>
      </c>
      <c r="F510" t="s">
        <v>60</v>
      </c>
    </row>
    <row r="511" spans="1:6" x14ac:dyDescent="0.2">
      <c r="A511" t="s">
        <v>64</v>
      </c>
      <c r="B511" t="s">
        <v>17</v>
      </c>
      <c r="D511" t="s">
        <v>18</v>
      </c>
      <c r="F511" t="s">
        <v>60</v>
      </c>
    </row>
    <row r="512" spans="1:6" x14ac:dyDescent="0.2">
      <c r="A512" t="s">
        <v>64</v>
      </c>
      <c r="B512" t="s">
        <v>38</v>
      </c>
      <c r="D512" t="s">
        <v>24</v>
      </c>
      <c r="F512" t="s">
        <v>60</v>
      </c>
    </row>
    <row r="513" spans="1:6" x14ac:dyDescent="0.2">
      <c r="A513" t="s">
        <v>64</v>
      </c>
      <c r="B513" t="s">
        <v>55</v>
      </c>
      <c r="D513" t="s">
        <v>14</v>
      </c>
      <c r="F513" t="s">
        <v>60</v>
      </c>
    </row>
    <row r="514" spans="1:6" x14ac:dyDescent="0.2">
      <c r="A514" t="s">
        <v>64</v>
      </c>
      <c r="B514" t="s">
        <v>23</v>
      </c>
      <c r="D514" t="s">
        <v>32</v>
      </c>
      <c r="F514" t="s">
        <v>60</v>
      </c>
    </row>
    <row r="515" spans="1:6" x14ac:dyDescent="0.2">
      <c r="A515" t="s">
        <v>65</v>
      </c>
      <c r="B515" t="s">
        <v>13</v>
      </c>
      <c r="D515" t="s">
        <v>39</v>
      </c>
      <c r="F515" t="s">
        <v>60</v>
      </c>
    </row>
    <row r="516" spans="1:6" x14ac:dyDescent="0.2">
      <c r="A516" t="s">
        <v>65</v>
      </c>
      <c r="B516" t="s">
        <v>31</v>
      </c>
      <c r="D516" t="s">
        <v>15</v>
      </c>
      <c r="F516" t="s">
        <v>60</v>
      </c>
    </row>
    <row r="517" spans="1:6" x14ac:dyDescent="0.2">
      <c r="A517" t="s">
        <v>65</v>
      </c>
      <c r="B517" t="s">
        <v>29</v>
      </c>
      <c r="D517" t="s">
        <v>35</v>
      </c>
      <c r="F517" t="s">
        <v>60</v>
      </c>
    </row>
    <row r="518" spans="1:6" x14ac:dyDescent="0.2">
      <c r="A518" t="s">
        <v>65</v>
      </c>
      <c r="B518" t="s">
        <v>11</v>
      </c>
      <c r="D518" t="s">
        <v>37</v>
      </c>
      <c r="F518" t="s">
        <v>60</v>
      </c>
    </row>
    <row r="519" spans="1:6" x14ac:dyDescent="0.2">
      <c r="A519" t="s">
        <v>65</v>
      </c>
      <c r="B519" t="s">
        <v>36</v>
      </c>
      <c r="D519" t="s">
        <v>40</v>
      </c>
      <c r="F519" t="s">
        <v>60</v>
      </c>
    </row>
    <row r="520" spans="1:6" x14ac:dyDescent="0.2">
      <c r="A520" t="s">
        <v>66</v>
      </c>
      <c r="B520" t="s">
        <v>55</v>
      </c>
      <c r="D520" t="s">
        <v>21</v>
      </c>
      <c r="F520" t="s">
        <v>60</v>
      </c>
    </row>
    <row r="521" spans="1:6" x14ac:dyDescent="0.2">
      <c r="A521" t="s">
        <v>66</v>
      </c>
      <c r="B521" t="s">
        <v>31</v>
      </c>
      <c r="D521" t="s">
        <v>28</v>
      </c>
      <c r="F521" t="s">
        <v>60</v>
      </c>
    </row>
    <row r="522" spans="1:6" x14ac:dyDescent="0.2">
      <c r="A522" t="s">
        <v>66</v>
      </c>
      <c r="B522" t="s">
        <v>30</v>
      </c>
      <c r="D522" t="s">
        <v>26</v>
      </c>
      <c r="F522" t="s">
        <v>60</v>
      </c>
    </row>
    <row r="523" spans="1:6" x14ac:dyDescent="0.2">
      <c r="A523" t="s">
        <v>66</v>
      </c>
      <c r="B523" t="s">
        <v>22</v>
      </c>
      <c r="D523" t="s">
        <v>34</v>
      </c>
      <c r="F523" t="s">
        <v>60</v>
      </c>
    </row>
    <row r="524" spans="1:6" x14ac:dyDescent="0.2">
      <c r="A524" t="s">
        <v>66</v>
      </c>
      <c r="B524" t="s">
        <v>27</v>
      </c>
      <c r="D524" t="s">
        <v>18</v>
      </c>
      <c r="F524" t="s">
        <v>60</v>
      </c>
    </row>
    <row r="525" spans="1:6" x14ac:dyDescent="0.2">
      <c r="A525" t="s">
        <v>66</v>
      </c>
      <c r="B525" t="s">
        <v>38</v>
      </c>
      <c r="D525" t="s">
        <v>15</v>
      </c>
      <c r="F525" t="s">
        <v>60</v>
      </c>
    </row>
    <row r="526" spans="1:6" x14ac:dyDescent="0.2">
      <c r="A526" t="s">
        <v>66</v>
      </c>
      <c r="B526" t="s">
        <v>17</v>
      </c>
      <c r="D526" t="s">
        <v>14</v>
      </c>
      <c r="F526" t="s">
        <v>60</v>
      </c>
    </row>
    <row r="527" spans="1:6" x14ac:dyDescent="0.2">
      <c r="A527" t="s">
        <v>66</v>
      </c>
      <c r="B527" t="s">
        <v>12</v>
      </c>
      <c r="D527" t="s">
        <v>32</v>
      </c>
      <c r="F527" t="s">
        <v>60</v>
      </c>
    </row>
    <row r="528" spans="1:6" x14ac:dyDescent="0.2">
      <c r="A528" t="s">
        <v>66</v>
      </c>
      <c r="B528" t="s">
        <v>16</v>
      </c>
      <c r="D528" t="s">
        <v>33</v>
      </c>
      <c r="F528" t="s">
        <v>60</v>
      </c>
    </row>
    <row r="529" spans="1:6" x14ac:dyDescent="0.2">
      <c r="A529" t="s">
        <v>66</v>
      </c>
      <c r="B529" t="s">
        <v>10</v>
      </c>
      <c r="D529" t="s">
        <v>19</v>
      </c>
      <c r="F529" t="s">
        <v>60</v>
      </c>
    </row>
    <row r="530" spans="1:6" x14ac:dyDescent="0.2">
      <c r="A530" t="s">
        <v>67</v>
      </c>
      <c r="B530" t="s">
        <v>55</v>
      </c>
      <c r="D530" t="s">
        <v>26</v>
      </c>
      <c r="F530" t="s">
        <v>60</v>
      </c>
    </row>
    <row r="531" spans="1:6" x14ac:dyDescent="0.2">
      <c r="A531" t="s">
        <v>67</v>
      </c>
      <c r="B531" t="s">
        <v>13</v>
      </c>
      <c r="D531" t="s">
        <v>11</v>
      </c>
      <c r="F531" t="s">
        <v>60</v>
      </c>
    </row>
    <row r="532" spans="1:6" x14ac:dyDescent="0.2">
      <c r="A532" t="s">
        <v>67</v>
      </c>
      <c r="B532" t="s">
        <v>25</v>
      </c>
      <c r="D532" t="s">
        <v>29</v>
      </c>
      <c r="F532" t="s">
        <v>60</v>
      </c>
    </row>
    <row r="533" spans="1:6" x14ac:dyDescent="0.2">
      <c r="A533" t="s">
        <v>67</v>
      </c>
      <c r="B533" t="s">
        <v>40</v>
      </c>
      <c r="D533" t="s">
        <v>35</v>
      </c>
      <c r="F533" t="s">
        <v>60</v>
      </c>
    </row>
    <row r="534" spans="1:6" x14ac:dyDescent="0.2">
      <c r="A534" t="s">
        <v>67</v>
      </c>
      <c r="B534" t="s">
        <v>24</v>
      </c>
      <c r="D534" t="s">
        <v>20</v>
      </c>
      <c r="F534" t="s">
        <v>60</v>
      </c>
    </row>
    <row r="535" spans="1:6" x14ac:dyDescent="0.2">
      <c r="A535" t="s">
        <v>68</v>
      </c>
      <c r="B535" t="s">
        <v>17</v>
      </c>
      <c r="D535" t="s">
        <v>21</v>
      </c>
      <c r="F535" t="s">
        <v>60</v>
      </c>
    </row>
    <row r="536" spans="1:6" x14ac:dyDescent="0.2">
      <c r="A536" t="s">
        <v>68</v>
      </c>
      <c r="B536" t="s">
        <v>27</v>
      </c>
      <c r="D536" t="s">
        <v>23</v>
      </c>
      <c r="F536" t="s">
        <v>60</v>
      </c>
    </row>
    <row r="537" spans="1:6" x14ac:dyDescent="0.2">
      <c r="A537" t="s">
        <v>68</v>
      </c>
      <c r="B537" t="s">
        <v>34</v>
      </c>
      <c r="D537" t="s">
        <v>28</v>
      </c>
      <c r="F537" t="s">
        <v>60</v>
      </c>
    </row>
    <row r="538" spans="1:6" x14ac:dyDescent="0.2">
      <c r="A538" t="s">
        <v>68</v>
      </c>
      <c r="B538" t="s">
        <v>32</v>
      </c>
      <c r="D538" t="s">
        <v>16</v>
      </c>
      <c r="F538" t="s">
        <v>60</v>
      </c>
    </row>
    <row r="539" spans="1:6" x14ac:dyDescent="0.2">
      <c r="A539" t="s">
        <v>68</v>
      </c>
      <c r="B539" t="s">
        <v>10</v>
      </c>
      <c r="D539" t="s">
        <v>18</v>
      </c>
      <c r="F539" t="s">
        <v>60</v>
      </c>
    </row>
    <row r="540" spans="1:6" x14ac:dyDescent="0.2">
      <c r="A540" t="s">
        <v>68</v>
      </c>
      <c r="B540" t="s">
        <v>14</v>
      </c>
      <c r="D540" t="s">
        <v>36</v>
      </c>
      <c r="F540" t="s">
        <v>60</v>
      </c>
    </row>
    <row r="541" spans="1:6" x14ac:dyDescent="0.2">
      <c r="A541" t="s">
        <v>68</v>
      </c>
      <c r="B541" t="s">
        <v>39</v>
      </c>
      <c r="D541" t="s">
        <v>33</v>
      </c>
      <c r="F541" t="s">
        <v>60</v>
      </c>
    </row>
    <row r="542" spans="1:6" x14ac:dyDescent="0.2">
      <c r="A542" t="s">
        <v>68</v>
      </c>
      <c r="B542" t="s">
        <v>15</v>
      </c>
      <c r="D542" t="s">
        <v>35</v>
      </c>
      <c r="F542" t="s">
        <v>60</v>
      </c>
    </row>
    <row r="543" spans="1:6" x14ac:dyDescent="0.2">
      <c r="A543" t="s">
        <v>68</v>
      </c>
      <c r="B543" t="s">
        <v>13</v>
      </c>
      <c r="D543" t="s">
        <v>37</v>
      </c>
      <c r="F543" t="s">
        <v>60</v>
      </c>
    </row>
    <row r="544" spans="1:6" x14ac:dyDescent="0.2">
      <c r="A544" t="s">
        <v>68</v>
      </c>
      <c r="B544" t="s">
        <v>19</v>
      </c>
      <c r="D544" t="s">
        <v>22</v>
      </c>
      <c r="F544" t="s">
        <v>60</v>
      </c>
    </row>
    <row r="545" spans="1:6" x14ac:dyDescent="0.2">
      <c r="A545" t="s">
        <v>69</v>
      </c>
      <c r="B545" t="s">
        <v>39</v>
      </c>
      <c r="D545" t="s">
        <v>31</v>
      </c>
      <c r="F545" t="s">
        <v>60</v>
      </c>
    </row>
    <row r="546" spans="1:6" x14ac:dyDescent="0.2">
      <c r="A546" t="s">
        <v>69</v>
      </c>
      <c r="B546" t="s">
        <v>40</v>
      </c>
      <c r="D546" t="s">
        <v>12</v>
      </c>
      <c r="F546" t="s">
        <v>60</v>
      </c>
    </row>
    <row r="547" spans="1:6" x14ac:dyDescent="0.2">
      <c r="A547" t="s">
        <v>69</v>
      </c>
      <c r="B547" t="s">
        <v>25</v>
      </c>
      <c r="D547" t="s">
        <v>11</v>
      </c>
      <c r="F547" t="s">
        <v>60</v>
      </c>
    </row>
    <row r="548" spans="1:6" x14ac:dyDescent="0.2">
      <c r="A548" t="s">
        <v>69</v>
      </c>
      <c r="B548" t="s">
        <v>38</v>
      </c>
      <c r="D548" t="s">
        <v>30</v>
      </c>
      <c r="F548" t="s">
        <v>60</v>
      </c>
    </row>
    <row r="549" spans="1:6" x14ac:dyDescent="0.2">
      <c r="A549" t="s">
        <v>69</v>
      </c>
      <c r="B549" t="s">
        <v>24</v>
      </c>
      <c r="D549" t="s">
        <v>55</v>
      </c>
      <c r="F549" t="s">
        <v>60</v>
      </c>
    </row>
    <row r="550" spans="1:6" x14ac:dyDescent="0.2">
      <c r="A550" t="s">
        <v>70</v>
      </c>
      <c r="B550" t="s">
        <v>28</v>
      </c>
      <c r="D550" t="s">
        <v>31</v>
      </c>
      <c r="F550" t="s">
        <v>60</v>
      </c>
    </row>
    <row r="551" spans="1:6" x14ac:dyDescent="0.2">
      <c r="A551" t="s">
        <v>70</v>
      </c>
      <c r="B551" t="s">
        <v>38</v>
      </c>
      <c r="D551" t="s">
        <v>21</v>
      </c>
      <c r="F551" t="s">
        <v>60</v>
      </c>
    </row>
    <row r="552" spans="1:6" x14ac:dyDescent="0.2">
      <c r="A552" t="s">
        <v>70</v>
      </c>
      <c r="B552" t="s">
        <v>30</v>
      </c>
      <c r="D552" t="s">
        <v>23</v>
      </c>
      <c r="F552" t="s">
        <v>60</v>
      </c>
    </row>
    <row r="553" spans="1:6" x14ac:dyDescent="0.2">
      <c r="A553" t="s">
        <v>70</v>
      </c>
      <c r="B553" t="s">
        <v>20</v>
      </c>
      <c r="D553" t="s">
        <v>16</v>
      </c>
      <c r="F553" t="s">
        <v>60</v>
      </c>
    </row>
    <row r="554" spans="1:6" x14ac:dyDescent="0.2">
      <c r="A554" t="s">
        <v>70</v>
      </c>
      <c r="B554" t="s">
        <v>35</v>
      </c>
      <c r="D554" t="s">
        <v>11</v>
      </c>
      <c r="F554" t="s">
        <v>60</v>
      </c>
    </row>
    <row r="555" spans="1:6" x14ac:dyDescent="0.2">
      <c r="A555" t="s">
        <v>70</v>
      </c>
      <c r="B555" t="s">
        <v>17</v>
      </c>
      <c r="D555" t="s">
        <v>34</v>
      </c>
      <c r="F555" t="s">
        <v>60</v>
      </c>
    </row>
    <row r="556" spans="1:6" x14ac:dyDescent="0.2">
      <c r="A556" t="s">
        <v>70</v>
      </c>
      <c r="B556" t="s">
        <v>14</v>
      </c>
      <c r="D556" t="s">
        <v>18</v>
      </c>
      <c r="F556" t="s">
        <v>60</v>
      </c>
    </row>
    <row r="557" spans="1:6" x14ac:dyDescent="0.2">
      <c r="A557" t="s">
        <v>70</v>
      </c>
      <c r="B557" t="s">
        <v>19</v>
      </c>
      <c r="D557" t="s">
        <v>29</v>
      </c>
      <c r="F557" t="s">
        <v>60</v>
      </c>
    </row>
    <row r="558" spans="1:6" x14ac:dyDescent="0.2">
      <c r="A558" t="s">
        <v>70</v>
      </c>
      <c r="B558" t="s">
        <v>27</v>
      </c>
      <c r="D558" t="s">
        <v>15</v>
      </c>
      <c r="F558" t="s">
        <v>60</v>
      </c>
    </row>
    <row r="559" spans="1:6" x14ac:dyDescent="0.2">
      <c r="A559" t="s">
        <v>70</v>
      </c>
      <c r="B559" t="s">
        <v>10</v>
      </c>
      <c r="D559" t="s">
        <v>36</v>
      </c>
      <c r="F559" t="s">
        <v>60</v>
      </c>
    </row>
    <row r="560" spans="1:6" x14ac:dyDescent="0.2">
      <c r="A560" t="s">
        <v>70</v>
      </c>
      <c r="B560" t="s">
        <v>32</v>
      </c>
      <c r="D560" t="s">
        <v>33</v>
      </c>
      <c r="F560" t="s">
        <v>60</v>
      </c>
    </row>
    <row r="561" spans="1:6" x14ac:dyDescent="0.2">
      <c r="A561" t="s">
        <v>70</v>
      </c>
      <c r="B561" t="s">
        <v>25</v>
      </c>
      <c r="D561" t="s">
        <v>37</v>
      </c>
      <c r="F561" t="s">
        <v>60</v>
      </c>
    </row>
    <row r="562" spans="1:6" x14ac:dyDescent="0.2">
      <c r="A562" t="s">
        <v>70</v>
      </c>
      <c r="B562" t="s">
        <v>26</v>
      </c>
      <c r="D562" t="s">
        <v>22</v>
      </c>
      <c r="F562" t="s">
        <v>60</v>
      </c>
    </row>
    <row r="563" spans="1:6" x14ac:dyDescent="0.2">
      <c r="A563" t="s">
        <v>71</v>
      </c>
      <c r="B563" t="s">
        <v>36</v>
      </c>
      <c r="D563" t="s">
        <v>21</v>
      </c>
      <c r="F563" t="s">
        <v>60</v>
      </c>
    </row>
    <row r="564" spans="1:6" x14ac:dyDescent="0.2">
      <c r="A564" t="s">
        <v>71</v>
      </c>
      <c r="B564" t="s">
        <v>19</v>
      </c>
      <c r="D564" t="s">
        <v>39</v>
      </c>
      <c r="F564" t="s">
        <v>60</v>
      </c>
    </row>
    <row r="565" spans="1:6" x14ac:dyDescent="0.2">
      <c r="A565" t="s">
        <v>71</v>
      </c>
      <c r="B565" t="s">
        <v>22</v>
      </c>
      <c r="D565" t="s">
        <v>26</v>
      </c>
      <c r="F565" t="s">
        <v>60</v>
      </c>
    </row>
    <row r="566" spans="1:6" x14ac:dyDescent="0.2">
      <c r="A566" t="s">
        <v>71</v>
      </c>
      <c r="B566" t="s">
        <v>20</v>
      </c>
      <c r="D566" t="s">
        <v>17</v>
      </c>
      <c r="F566" t="s">
        <v>60</v>
      </c>
    </row>
    <row r="567" spans="1:6" x14ac:dyDescent="0.2">
      <c r="A567" t="s">
        <v>71</v>
      </c>
      <c r="B567" t="s">
        <v>12</v>
      </c>
      <c r="D567" t="s">
        <v>34</v>
      </c>
      <c r="F567" t="s">
        <v>60</v>
      </c>
    </row>
    <row r="568" spans="1:6" x14ac:dyDescent="0.2">
      <c r="A568" t="s">
        <v>71</v>
      </c>
      <c r="B568" t="s">
        <v>23</v>
      </c>
      <c r="D568" t="s">
        <v>24</v>
      </c>
      <c r="F568" t="s">
        <v>60</v>
      </c>
    </row>
    <row r="569" spans="1:6" x14ac:dyDescent="0.2">
      <c r="A569" t="s">
        <v>71</v>
      </c>
      <c r="B569" t="s">
        <v>15</v>
      </c>
      <c r="D569" t="s">
        <v>29</v>
      </c>
      <c r="F569" t="s">
        <v>60</v>
      </c>
    </row>
    <row r="570" spans="1:6" x14ac:dyDescent="0.2">
      <c r="A570" t="s">
        <v>71</v>
      </c>
      <c r="B570" t="s">
        <v>18</v>
      </c>
      <c r="D570" t="s">
        <v>14</v>
      </c>
      <c r="F570" t="s">
        <v>60</v>
      </c>
    </row>
    <row r="571" spans="1:6" x14ac:dyDescent="0.2">
      <c r="A571" t="s">
        <v>71</v>
      </c>
      <c r="B571" t="s">
        <v>40</v>
      </c>
      <c r="D571" t="s">
        <v>55</v>
      </c>
      <c r="F571" t="s">
        <v>60</v>
      </c>
    </row>
    <row r="572" spans="1:6" x14ac:dyDescent="0.2">
      <c r="A572" t="s">
        <v>72</v>
      </c>
      <c r="B572" t="s">
        <v>32</v>
      </c>
      <c r="D572" t="s">
        <v>31</v>
      </c>
      <c r="F572" t="s">
        <v>60</v>
      </c>
    </row>
    <row r="573" spans="1:6" x14ac:dyDescent="0.2">
      <c r="A573" t="s">
        <v>72</v>
      </c>
      <c r="B573" t="s">
        <v>28</v>
      </c>
      <c r="D573" t="s">
        <v>13</v>
      </c>
      <c r="F573" t="s">
        <v>60</v>
      </c>
    </row>
    <row r="574" spans="1:6" x14ac:dyDescent="0.2">
      <c r="A574" t="s">
        <v>72</v>
      </c>
      <c r="B574" t="s">
        <v>38</v>
      </c>
      <c r="D574" t="s">
        <v>27</v>
      </c>
      <c r="F574" t="s">
        <v>60</v>
      </c>
    </row>
    <row r="575" spans="1:6" x14ac:dyDescent="0.2">
      <c r="A575" t="s">
        <v>72</v>
      </c>
      <c r="B575" t="s">
        <v>35</v>
      </c>
      <c r="D575" t="s">
        <v>37</v>
      </c>
      <c r="F575" t="s">
        <v>60</v>
      </c>
    </row>
    <row r="576" spans="1:6" x14ac:dyDescent="0.2">
      <c r="A576" t="s">
        <v>73</v>
      </c>
      <c r="B576" t="s">
        <v>18</v>
      </c>
      <c r="D576" t="s">
        <v>21</v>
      </c>
      <c r="F576" t="s">
        <v>60</v>
      </c>
    </row>
    <row r="577" spans="1:6" x14ac:dyDescent="0.2">
      <c r="A577" t="s">
        <v>73</v>
      </c>
      <c r="B577" t="s">
        <v>11</v>
      </c>
      <c r="D577" t="s">
        <v>25</v>
      </c>
      <c r="F577" t="s">
        <v>60</v>
      </c>
    </row>
    <row r="578" spans="1:6" x14ac:dyDescent="0.2">
      <c r="A578" t="s">
        <v>73</v>
      </c>
      <c r="B578" t="s">
        <v>27</v>
      </c>
      <c r="D578" t="s">
        <v>10</v>
      </c>
      <c r="F578" t="s">
        <v>60</v>
      </c>
    </row>
    <row r="579" spans="1:6" x14ac:dyDescent="0.2">
      <c r="A579" t="s">
        <v>73</v>
      </c>
      <c r="B579" t="s">
        <v>55</v>
      </c>
      <c r="D579" t="s">
        <v>12</v>
      </c>
      <c r="F579" t="s">
        <v>60</v>
      </c>
    </row>
    <row r="580" spans="1:6" x14ac:dyDescent="0.2">
      <c r="A580" t="s">
        <v>73</v>
      </c>
      <c r="B580" t="s">
        <v>39</v>
      </c>
      <c r="D580" t="s">
        <v>26</v>
      </c>
      <c r="F580" t="s">
        <v>60</v>
      </c>
    </row>
    <row r="581" spans="1:6" x14ac:dyDescent="0.2">
      <c r="A581" t="s">
        <v>73</v>
      </c>
      <c r="B581" t="s">
        <v>16</v>
      </c>
      <c r="D581" t="s">
        <v>17</v>
      </c>
      <c r="F581" t="s">
        <v>60</v>
      </c>
    </row>
    <row r="582" spans="1:6" x14ac:dyDescent="0.2">
      <c r="A582" t="s">
        <v>73</v>
      </c>
      <c r="B582" t="s">
        <v>32</v>
      </c>
      <c r="D582" t="s">
        <v>13</v>
      </c>
      <c r="F582" t="s">
        <v>60</v>
      </c>
    </row>
    <row r="583" spans="1:6" x14ac:dyDescent="0.2">
      <c r="A583" t="s">
        <v>73</v>
      </c>
      <c r="B583" t="s">
        <v>29</v>
      </c>
      <c r="D583" t="s">
        <v>34</v>
      </c>
      <c r="F583" t="s">
        <v>60</v>
      </c>
    </row>
    <row r="584" spans="1:6" x14ac:dyDescent="0.2">
      <c r="A584" t="s">
        <v>73</v>
      </c>
      <c r="B584" t="s">
        <v>24</v>
      </c>
      <c r="D584" t="s">
        <v>30</v>
      </c>
      <c r="F584" t="s">
        <v>60</v>
      </c>
    </row>
    <row r="585" spans="1:6" x14ac:dyDescent="0.2">
      <c r="A585" t="s">
        <v>73</v>
      </c>
      <c r="B585" t="s">
        <v>23</v>
      </c>
      <c r="D585" t="s">
        <v>36</v>
      </c>
      <c r="F585" t="s">
        <v>60</v>
      </c>
    </row>
    <row r="586" spans="1:6" x14ac:dyDescent="0.2">
      <c r="A586" t="s">
        <v>73</v>
      </c>
      <c r="B586" t="s">
        <v>14</v>
      </c>
      <c r="D586" t="s">
        <v>19</v>
      </c>
      <c r="F586" t="s">
        <v>60</v>
      </c>
    </row>
    <row r="587" spans="1:6" x14ac:dyDescent="0.2">
      <c r="A587" t="s">
        <v>73</v>
      </c>
      <c r="B587" t="s">
        <v>33</v>
      </c>
      <c r="D587" t="s">
        <v>20</v>
      </c>
      <c r="F587" t="s">
        <v>60</v>
      </c>
    </row>
    <row r="588" spans="1:6" x14ac:dyDescent="0.2">
      <c r="A588" t="s">
        <v>73</v>
      </c>
      <c r="B588" t="s">
        <v>15</v>
      </c>
      <c r="D588" t="s">
        <v>22</v>
      </c>
      <c r="F588" t="s">
        <v>60</v>
      </c>
    </row>
    <row r="589" spans="1:6" x14ac:dyDescent="0.2">
      <c r="A589" t="s">
        <v>74</v>
      </c>
      <c r="B589" t="s">
        <v>21</v>
      </c>
      <c r="D589" t="s">
        <v>23</v>
      </c>
      <c r="F589" t="s">
        <v>60</v>
      </c>
    </row>
    <row r="590" spans="1:6" x14ac:dyDescent="0.2">
      <c r="A590" t="s">
        <v>74</v>
      </c>
      <c r="B590" t="s">
        <v>26</v>
      </c>
      <c r="D590" t="s">
        <v>25</v>
      </c>
      <c r="F590" t="s">
        <v>60</v>
      </c>
    </row>
    <row r="591" spans="1:6" x14ac:dyDescent="0.2">
      <c r="A591" t="s">
        <v>74</v>
      </c>
      <c r="B591" t="s">
        <v>17</v>
      </c>
      <c r="D591" t="s">
        <v>16</v>
      </c>
      <c r="F591" t="s">
        <v>60</v>
      </c>
    </row>
    <row r="592" spans="1:6" x14ac:dyDescent="0.2">
      <c r="A592" t="s">
        <v>74</v>
      </c>
      <c r="B592" t="s">
        <v>10</v>
      </c>
      <c r="D592" t="s">
        <v>39</v>
      </c>
      <c r="F592" t="s">
        <v>60</v>
      </c>
    </row>
    <row r="593" spans="1:6" x14ac:dyDescent="0.2">
      <c r="A593" t="s">
        <v>74</v>
      </c>
      <c r="B593" t="s">
        <v>37</v>
      </c>
      <c r="D593" t="s">
        <v>11</v>
      </c>
      <c r="F593" t="s">
        <v>60</v>
      </c>
    </row>
    <row r="594" spans="1:6" x14ac:dyDescent="0.2">
      <c r="A594" t="s">
        <v>74</v>
      </c>
      <c r="B594" t="s">
        <v>31</v>
      </c>
      <c r="D594" t="s">
        <v>13</v>
      </c>
      <c r="F594" t="s">
        <v>60</v>
      </c>
    </row>
    <row r="595" spans="1:6" x14ac:dyDescent="0.2">
      <c r="A595" t="s">
        <v>74</v>
      </c>
      <c r="B595" t="s">
        <v>22</v>
      </c>
      <c r="D595" t="s">
        <v>24</v>
      </c>
      <c r="F595" t="s">
        <v>60</v>
      </c>
    </row>
    <row r="596" spans="1:6" x14ac:dyDescent="0.2">
      <c r="A596" t="s">
        <v>74</v>
      </c>
      <c r="B596" t="s">
        <v>15</v>
      </c>
      <c r="D596" t="s">
        <v>30</v>
      </c>
      <c r="F596" t="s">
        <v>60</v>
      </c>
    </row>
    <row r="597" spans="1:6" x14ac:dyDescent="0.2">
      <c r="A597" t="s">
        <v>74</v>
      </c>
      <c r="B597" t="s">
        <v>29</v>
      </c>
      <c r="D597" t="s">
        <v>35</v>
      </c>
      <c r="F597" t="s">
        <v>60</v>
      </c>
    </row>
    <row r="598" spans="1:6" x14ac:dyDescent="0.2">
      <c r="A598" t="s">
        <v>74</v>
      </c>
      <c r="B598" t="s">
        <v>36</v>
      </c>
      <c r="D598" t="s">
        <v>19</v>
      </c>
      <c r="F598" t="s">
        <v>60</v>
      </c>
    </row>
    <row r="599" spans="1:6" x14ac:dyDescent="0.2">
      <c r="A599" t="s">
        <v>74</v>
      </c>
      <c r="B599" t="s">
        <v>33</v>
      </c>
      <c r="D599" t="s">
        <v>38</v>
      </c>
      <c r="F599" t="s">
        <v>60</v>
      </c>
    </row>
    <row r="600" spans="1:6" x14ac:dyDescent="0.2">
      <c r="A600" t="s">
        <v>74</v>
      </c>
      <c r="B600" t="s">
        <v>12</v>
      </c>
      <c r="D600" t="s">
        <v>20</v>
      </c>
      <c r="F600" t="s">
        <v>60</v>
      </c>
    </row>
    <row r="601" spans="1:6" x14ac:dyDescent="0.2">
      <c r="A601" t="s">
        <v>74</v>
      </c>
      <c r="B601" t="s">
        <v>34</v>
      </c>
      <c r="D601" t="s">
        <v>40</v>
      </c>
      <c r="F601" t="s">
        <v>60</v>
      </c>
    </row>
    <row r="602" spans="1:6" x14ac:dyDescent="0.2">
      <c r="A602" t="s">
        <v>75</v>
      </c>
      <c r="B602" t="s">
        <v>30</v>
      </c>
      <c r="D602" t="s">
        <v>28</v>
      </c>
      <c r="F602" t="s">
        <v>60</v>
      </c>
    </row>
    <row r="603" spans="1:6" x14ac:dyDescent="0.2">
      <c r="A603" t="s">
        <v>75</v>
      </c>
      <c r="B603" t="s">
        <v>14</v>
      </c>
      <c r="D603" t="s">
        <v>10</v>
      </c>
      <c r="F603" t="s">
        <v>60</v>
      </c>
    </row>
    <row r="604" spans="1:6" x14ac:dyDescent="0.2">
      <c r="A604" t="s">
        <v>75</v>
      </c>
      <c r="B604" t="s">
        <v>19</v>
      </c>
      <c r="D604" t="s">
        <v>26</v>
      </c>
      <c r="F604" t="s">
        <v>60</v>
      </c>
    </row>
    <row r="605" spans="1:6" x14ac:dyDescent="0.2">
      <c r="A605" t="s">
        <v>75</v>
      </c>
      <c r="B605" t="s">
        <v>27</v>
      </c>
      <c r="D605" t="s">
        <v>32</v>
      </c>
      <c r="F605" t="s">
        <v>60</v>
      </c>
    </row>
    <row r="606" spans="1:6" x14ac:dyDescent="0.2">
      <c r="A606" t="s">
        <v>75</v>
      </c>
      <c r="B606" t="s">
        <v>18</v>
      </c>
      <c r="D606" t="s">
        <v>37</v>
      </c>
      <c r="F606" t="s">
        <v>60</v>
      </c>
    </row>
    <row r="607" spans="1:6" x14ac:dyDescent="0.2">
      <c r="A607" t="s">
        <v>76</v>
      </c>
      <c r="B607" t="s">
        <v>33</v>
      </c>
      <c r="D607" t="s">
        <v>31</v>
      </c>
      <c r="F607" t="s">
        <v>60</v>
      </c>
    </row>
    <row r="608" spans="1:6" x14ac:dyDescent="0.2">
      <c r="A608" t="s">
        <v>76</v>
      </c>
      <c r="B608" t="s">
        <v>15</v>
      </c>
      <c r="D608" t="s">
        <v>25</v>
      </c>
      <c r="F608" t="s">
        <v>60</v>
      </c>
    </row>
    <row r="609" spans="1:6" x14ac:dyDescent="0.2">
      <c r="A609" t="s">
        <v>76</v>
      </c>
      <c r="B609" t="s">
        <v>21</v>
      </c>
      <c r="D609" t="s">
        <v>16</v>
      </c>
      <c r="F609" t="s">
        <v>60</v>
      </c>
    </row>
    <row r="610" spans="1:6" x14ac:dyDescent="0.2">
      <c r="A610" t="s">
        <v>76</v>
      </c>
      <c r="B610" t="s">
        <v>13</v>
      </c>
      <c r="D610" t="s">
        <v>12</v>
      </c>
      <c r="F610" t="s">
        <v>60</v>
      </c>
    </row>
    <row r="611" spans="1:6" x14ac:dyDescent="0.2">
      <c r="A611" t="s">
        <v>76</v>
      </c>
      <c r="B611" t="s">
        <v>22</v>
      </c>
      <c r="D611" t="s">
        <v>11</v>
      </c>
      <c r="F611" t="s">
        <v>60</v>
      </c>
    </row>
    <row r="612" spans="1:6" x14ac:dyDescent="0.2">
      <c r="A612" t="s">
        <v>76</v>
      </c>
      <c r="B612" t="s">
        <v>28</v>
      </c>
      <c r="D612" t="s">
        <v>36</v>
      </c>
      <c r="F612" t="s">
        <v>60</v>
      </c>
    </row>
    <row r="613" spans="1:6" x14ac:dyDescent="0.2">
      <c r="A613" t="s">
        <v>76</v>
      </c>
      <c r="B613" t="s">
        <v>38</v>
      </c>
      <c r="D613" t="s">
        <v>32</v>
      </c>
      <c r="F613" t="s">
        <v>60</v>
      </c>
    </row>
    <row r="614" spans="1:6" x14ac:dyDescent="0.2">
      <c r="A614" t="s">
        <v>76</v>
      </c>
      <c r="B614" t="s">
        <v>23</v>
      </c>
      <c r="D614" t="s">
        <v>35</v>
      </c>
      <c r="F614" t="s">
        <v>60</v>
      </c>
    </row>
    <row r="615" spans="1:6" x14ac:dyDescent="0.2">
      <c r="A615" t="s">
        <v>76</v>
      </c>
      <c r="B615" t="s">
        <v>29</v>
      </c>
      <c r="D615" t="s">
        <v>55</v>
      </c>
      <c r="F615" t="s">
        <v>60</v>
      </c>
    </row>
    <row r="616" spans="1:6" x14ac:dyDescent="0.2">
      <c r="A616" t="s">
        <v>76</v>
      </c>
      <c r="B616" t="s">
        <v>34</v>
      </c>
      <c r="D616" t="s">
        <v>20</v>
      </c>
      <c r="F616" t="s">
        <v>60</v>
      </c>
    </row>
    <row r="617" spans="1:6" x14ac:dyDescent="0.2">
      <c r="A617" t="s">
        <v>76</v>
      </c>
      <c r="B617" t="s">
        <v>17</v>
      </c>
      <c r="D617" t="s">
        <v>40</v>
      </c>
      <c r="F617" t="s">
        <v>60</v>
      </c>
    </row>
    <row r="618" spans="1:6" x14ac:dyDescent="0.2">
      <c r="A618" t="s">
        <v>77</v>
      </c>
      <c r="B618" t="s">
        <v>30</v>
      </c>
      <c r="D618" t="s">
        <v>10</v>
      </c>
      <c r="F618" t="s">
        <v>60</v>
      </c>
    </row>
    <row r="619" spans="1:6" x14ac:dyDescent="0.2">
      <c r="A619" t="s">
        <v>77</v>
      </c>
      <c r="B619" t="s">
        <v>18</v>
      </c>
      <c r="D619" t="s">
        <v>11</v>
      </c>
      <c r="F619" t="s">
        <v>60</v>
      </c>
    </row>
    <row r="620" spans="1:6" x14ac:dyDescent="0.2">
      <c r="A620" t="s">
        <v>77</v>
      </c>
      <c r="B620" t="s">
        <v>25</v>
      </c>
      <c r="D620" t="s">
        <v>14</v>
      </c>
      <c r="F620" t="s">
        <v>60</v>
      </c>
    </row>
    <row r="621" spans="1:6" x14ac:dyDescent="0.2">
      <c r="A621" t="s">
        <v>77</v>
      </c>
      <c r="B621" t="s">
        <v>24</v>
      </c>
      <c r="D621" t="s">
        <v>19</v>
      </c>
      <c r="F621" t="s">
        <v>60</v>
      </c>
    </row>
    <row r="622" spans="1:6" x14ac:dyDescent="0.2">
      <c r="A622" t="s">
        <v>77</v>
      </c>
      <c r="B622" t="s">
        <v>27</v>
      </c>
      <c r="D622" t="s">
        <v>38</v>
      </c>
      <c r="F622" t="s">
        <v>60</v>
      </c>
    </row>
    <row r="623" spans="1:6" x14ac:dyDescent="0.2">
      <c r="A623" t="s">
        <v>78</v>
      </c>
      <c r="B623" t="s">
        <v>37</v>
      </c>
      <c r="D623" t="s">
        <v>31</v>
      </c>
      <c r="F623" t="s">
        <v>60</v>
      </c>
    </row>
    <row r="624" spans="1:6" x14ac:dyDescent="0.2">
      <c r="A624" t="s">
        <v>78</v>
      </c>
      <c r="B624" t="s">
        <v>24</v>
      </c>
      <c r="D624" t="s">
        <v>28</v>
      </c>
      <c r="F624" t="s">
        <v>60</v>
      </c>
    </row>
    <row r="625" spans="1:6" x14ac:dyDescent="0.2">
      <c r="A625" t="s">
        <v>78</v>
      </c>
      <c r="B625" t="s">
        <v>27</v>
      </c>
      <c r="D625" t="s">
        <v>16</v>
      </c>
      <c r="F625" t="s">
        <v>60</v>
      </c>
    </row>
    <row r="626" spans="1:6" x14ac:dyDescent="0.2">
      <c r="A626" t="s">
        <v>78</v>
      </c>
      <c r="B626" t="s">
        <v>35</v>
      </c>
      <c r="D626" t="s">
        <v>12</v>
      </c>
      <c r="F626" t="s">
        <v>60</v>
      </c>
    </row>
    <row r="627" spans="1:6" x14ac:dyDescent="0.2">
      <c r="A627" t="s">
        <v>78</v>
      </c>
      <c r="B627" t="s">
        <v>23</v>
      </c>
      <c r="D627" t="s">
        <v>39</v>
      </c>
      <c r="F627" t="s">
        <v>60</v>
      </c>
    </row>
    <row r="628" spans="1:6" x14ac:dyDescent="0.2">
      <c r="A628" t="s">
        <v>78</v>
      </c>
      <c r="B628" t="s">
        <v>40</v>
      </c>
      <c r="D628" t="s">
        <v>26</v>
      </c>
      <c r="F628" t="s">
        <v>60</v>
      </c>
    </row>
    <row r="629" spans="1:6" x14ac:dyDescent="0.2">
      <c r="A629" t="s">
        <v>78</v>
      </c>
      <c r="B629" t="s">
        <v>21</v>
      </c>
      <c r="D629" t="s">
        <v>17</v>
      </c>
      <c r="F629" t="s">
        <v>60</v>
      </c>
    </row>
    <row r="630" spans="1:6" x14ac:dyDescent="0.2">
      <c r="A630" t="s">
        <v>78</v>
      </c>
      <c r="B630" t="s">
        <v>34</v>
      </c>
      <c r="D630" t="s">
        <v>33</v>
      </c>
      <c r="F630" t="s">
        <v>60</v>
      </c>
    </row>
    <row r="631" spans="1:6" x14ac:dyDescent="0.2">
      <c r="A631" t="s">
        <v>78</v>
      </c>
      <c r="B631" t="s">
        <v>29</v>
      </c>
      <c r="D631" t="s">
        <v>20</v>
      </c>
      <c r="F631" t="s">
        <v>60</v>
      </c>
    </row>
    <row r="632" spans="1:6" x14ac:dyDescent="0.2">
      <c r="A632" t="s">
        <v>78</v>
      </c>
      <c r="B632" t="s">
        <v>15</v>
      </c>
      <c r="D632" t="s">
        <v>22</v>
      </c>
      <c r="F632" t="s">
        <v>60</v>
      </c>
    </row>
    <row r="633" spans="1:6" x14ac:dyDescent="0.2">
      <c r="A633" t="s">
        <v>79</v>
      </c>
      <c r="B633" t="s">
        <v>18</v>
      </c>
      <c r="D633" t="s">
        <v>25</v>
      </c>
      <c r="F633" t="s">
        <v>60</v>
      </c>
    </row>
    <row r="634" spans="1:6" x14ac:dyDescent="0.2">
      <c r="A634" t="s">
        <v>79</v>
      </c>
      <c r="B634" t="s">
        <v>39</v>
      </c>
      <c r="D634" t="s">
        <v>10</v>
      </c>
      <c r="F634" t="s">
        <v>60</v>
      </c>
    </row>
    <row r="635" spans="1:6" x14ac:dyDescent="0.2">
      <c r="A635" t="s">
        <v>79</v>
      </c>
      <c r="B635" t="s">
        <v>37</v>
      </c>
      <c r="D635" t="s">
        <v>13</v>
      </c>
      <c r="F635" t="s">
        <v>60</v>
      </c>
    </row>
    <row r="636" spans="1:6" x14ac:dyDescent="0.2">
      <c r="A636" t="s">
        <v>79</v>
      </c>
      <c r="B636" t="s">
        <v>55</v>
      </c>
      <c r="D636" t="s">
        <v>30</v>
      </c>
      <c r="F636" t="s">
        <v>60</v>
      </c>
    </row>
    <row r="637" spans="1:6" x14ac:dyDescent="0.2">
      <c r="A637" t="s">
        <v>79</v>
      </c>
      <c r="B637" t="s">
        <v>22</v>
      </c>
      <c r="D637" t="s">
        <v>36</v>
      </c>
      <c r="F637" t="s">
        <v>60</v>
      </c>
    </row>
    <row r="638" spans="1:6" x14ac:dyDescent="0.2">
      <c r="A638" t="s">
        <v>79</v>
      </c>
      <c r="B638" t="s">
        <v>26</v>
      </c>
      <c r="D638" t="s">
        <v>14</v>
      </c>
      <c r="F638" t="s">
        <v>60</v>
      </c>
    </row>
    <row r="639" spans="1:6" x14ac:dyDescent="0.2">
      <c r="A639" t="s">
        <v>79</v>
      </c>
      <c r="B639" t="s">
        <v>29</v>
      </c>
      <c r="D639" t="s">
        <v>32</v>
      </c>
      <c r="F639" t="s">
        <v>60</v>
      </c>
    </row>
    <row r="640" spans="1:6" x14ac:dyDescent="0.2">
      <c r="A640" t="s">
        <v>79</v>
      </c>
      <c r="B640" t="s">
        <v>40</v>
      </c>
      <c r="D640" t="s">
        <v>19</v>
      </c>
      <c r="F640" t="s">
        <v>60</v>
      </c>
    </row>
    <row r="641" spans="1:6" x14ac:dyDescent="0.2">
      <c r="A641" t="s">
        <v>80</v>
      </c>
      <c r="B641" t="s">
        <v>34</v>
      </c>
      <c r="D641" t="s">
        <v>31</v>
      </c>
      <c r="F641" t="s">
        <v>60</v>
      </c>
    </row>
    <row r="642" spans="1:6" x14ac:dyDescent="0.2">
      <c r="A642" t="s">
        <v>80</v>
      </c>
      <c r="B642" t="s">
        <v>15</v>
      </c>
      <c r="D642" t="s">
        <v>11</v>
      </c>
      <c r="F642" t="s">
        <v>60</v>
      </c>
    </row>
    <row r="643" spans="1:6" x14ac:dyDescent="0.2">
      <c r="A643" t="s">
        <v>80</v>
      </c>
      <c r="B643" t="s">
        <v>20</v>
      </c>
      <c r="D643" t="s">
        <v>35</v>
      </c>
      <c r="F643" t="s">
        <v>60</v>
      </c>
    </row>
    <row r="644" spans="1:6" x14ac:dyDescent="0.2">
      <c r="A644" t="s">
        <v>80</v>
      </c>
      <c r="B644" t="s">
        <v>32</v>
      </c>
      <c r="D644" t="s">
        <v>38</v>
      </c>
      <c r="F644" t="s">
        <v>60</v>
      </c>
    </row>
    <row r="645" spans="1:6" x14ac:dyDescent="0.2">
      <c r="A645" t="s">
        <v>81</v>
      </c>
      <c r="B645" t="s">
        <v>12</v>
      </c>
      <c r="D645" t="s">
        <v>25</v>
      </c>
      <c r="F645" t="s">
        <v>60</v>
      </c>
    </row>
    <row r="646" spans="1:6" x14ac:dyDescent="0.2">
      <c r="A646" t="s">
        <v>81</v>
      </c>
      <c r="B646" t="s">
        <v>23</v>
      </c>
      <c r="D646" t="s">
        <v>28</v>
      </c>
      <c r="F646" t="s">
        <v>60</v>
      </c>
    </row>
    <row r="647" spans="1:6" x14ac:dyDescent="0.2">
      <c r="A647" t="s">
        <v>81</v>
      </c>
      <c r="B647" t="s">
        <v>29</v>
      </c>
      <c r="D647" t="s">
        <v>16</v>
      </c>
      <c r="F647" t="s">
        <v>60</v>
      </c>
    </row>
    <row r="648" spans="1:6" x14ac:dyDescent="0.2">
      <c r="A648" t="s">
        <v>81</v>
      </c>
      <c r="B648" t="s">
        <v>14</v>
      </c>
      <c r="D648" t="s">
        <v>26</v>
      </c>
      <c r="F648" t="s">
        <v>60</v>
      </c>
    </row>
    <row r="649" spans="1:6" x14ac:dyDescent="0.2">
      <c r="A649" t="s">
        <v>81</v>
      </c>
      <c r="B649" t="s">
        <v>27</v>
      </c>
      <c r="D649" t="s">
        <v>17</v>
      </c>
      <c r="F649" t="s">
        <v>60</v>
      </c>
    </row>
    <row r="650" spans="1:6" x14ac:dyDescent="0.2">
      <c r="A650" t="s">
        <v>81</v>
      </c>
      <c r="B650" t="s">
        <v>34</v>
      </c>
      <c r="D650" t="s">
        <v>13</v>
      </c>
      <c r="F650" t="s">
        <v>60</v>
      </c>
    </row>
    <row r="651" spans="1:6" x14ac:dyDescent="0.2">
      <c r="A651" t="s">
        <v>81</v>
      </c>
      <c r="B651" t="s">
        <v>55</v>
      </c>
      <c r="D651" t="s">
        <v>24</v>
      </c>
      <c r="F651" t="s">
        <v>60</v>
      </c>
    </row>
    <row r="652" spans="1:6" x14ac:dyDescent="0.2">
      <c r="A652" t="s">
        <v>81</v>
      </c>
      <c r="B652" t="s">
        <v>19</v>
      </c>
      <c r="D652" t="s">
        <v>30</v>
      </c>
      <c r="F652" t="s">
        <v>60</v>
      </c>
    </row>
    <row r="653" spans="1:6" x14ac:dyDescent="0.2">
      <c r="A653" t="s">
        <v>81</v>
      </c>
      <c r="B653" t="s">
        <v>40</v>
      </c>
      <c r="D653" t="s">
        <v>36</v>
      </c>
      <c r="F653" t="s">
        <v>60</v>
      </c>
    </row>
    <row r="654" spans="1:6" x14ac:dyDescent="0.2">
      <c r="A654" t="s">
        <v>81</v>
      </c>
      <c r="B654" t="s">
        <v>37</v>
      </c>
      <c r="D654" t="s">
        <v>33</v>
      </c>
      <c r="F654" t="s">
        <v>60</v>
      </c>
    </row>
    <row r="655" spans="1:6" x14ac:dyDescent="0.2">
      <c r="A655" t="s">
        <v>81</v>
      </c>
      <c r="B655" t="s">
        <v>18</v>
      </c>
      <c r="D655" t="s">
        <v>35</v>
      </c>
      <c r="F655" t="s">
        <v>60</v>
      </c>
    </row>
    <row r="656" spans="1:6" x14ac:dyDescent="0.2">
      <c r="A656" t="s">
        <v>81</v>
      </c>
      <c r="B656" t="s">
        <v>21</v>
      </c>
      <c r="D656" t="s">
        <v>38</v>
      </c>
      <c r="F656" t="s">
        <v>60</v>
      </c>
    </row>
    <row r="657" spans="1:6" x14ac:dyDescent="0.2">
      <c r="A657" t="s">
        <v>81</v>
      </c>
      <c r="B657" t="s">
        <v>10</v>
      </c>
      <c r="D657" t="s">
        <v>22</v>
      </c>
      <c r="F657" t="s">
        <v>60</v>
      </c>
    </row>
    <row r="658" spans="1:6" x14ac:dyDescent="0.2">
      <c r="A658" t="s">
        <v>82</v>
      </c>
      <c r="B658" t="s">
        <v>14</v>
      </c>
      <c r="D658" t="s">
        <v>28</v>
      </c>
      <c r="F658" t="s">
        <v>60</v>
      </c>
    </row>
    <row r="659" spans="1:6" x14ac:dyDescent="0.2">
      <c r="A659" t="s">
        <v>82</v>
      </c>
      <c r="B659" t="s">
        <v>20</v>
      </c>
      <c r="D659" t="s">
        <v>10</v>
      </c>
      <c r="F659" t="s">
        <v>60</v>
      </c>
    </row>
    <row r="660" spans="1:6" x14ac:dyDescent="0.2">
      <c r="A660" t="s">
        <v>82</v>
      </c>
      <c r="B660" t="s">
        <v>18</v>
      </c>
      <c r="D660" t="s">
        <v>39</v>
      </c>
      <c r="F660" t="s">
        <v>60</v>
      </c>
    </row>
    <row r="661" spans="1:6" x14ac:dyDescent="0.2">
      <c r="A661" t="s">
        <v>82</v>
      </c>
      <c r="B661" t="s">
        <v>12</v>
      </c>
      <c r="D661" t="s">
        <v>11</v>
      </c>
      <c r="F661" t="s">
        <v>60</v>
      </c>
    </row>
    <row r="662" spans="1:6" x14ac:dyDescent="0.2">
      <c r="A662" t="s">
        <v>82</v>
      </c>
      <c r="B662" t="s">
        <v>25</v>
      </c>
      <c r="D662" t="s">
        <v>24</v>
      </c>
      <c r="F662" t="s">
        <v>60</v>
      </c>
    </row>
    <row r="663" spans="1:6" x14ac:dyDescent="0.2">
      <c r="A663" t="s">
        <v>83</v>
      </c>
      <c r="B663" t="s">
        <v>32</v>
      </c>
      <c r="D663" t="s">
        <v>16</v>
      </c>
      <c r="F663" t="s">
        <v>60</v>
      </c>
    </row>
    <row r="664" spans="1:6" x14ac:dyDescent="0.2">
      <c r="A664" t="s">
        <v>83</v>
      </c>
      <c r="B664" t="s">
        <v>34</v>
      </c>
      <c r="D664" t="s">
        <v>13</v>
      </c>
      <c r="F664" t="s">
        <v>60</v>
      </c>
    </row>
    <row r="665" spans="1:6" x14ac:dyDescent="0.2">
      <c r="A665" t="s">
        <v>83</v>
      </c>
      <c r="B665" t="s">
        <v>55</v>
      </c>
      <c r="D665" t="s">
        <v>15</v>
      </c>
      <c r="F665" t="s">
        <v>60</v>
      </c>
    </row>
    <row r="666" spans="1:6" x14ac:dyDescent="0.2">
      <c r="A666" t="s">
        <v>83</v>
      </c>
      <c r="B666" t="s">
        <v>26</v>
      </c>
      <c r="D666" t="s">
        <v>36</v>
      </c>
      <c r="F666" t="s">
        <v>60</v>
      </c>
    </row>
    <row r="667" spans="1:6" x14ac:dyDescent="0.2">
      <c r="A667" t="s">
        <v>83</v>
      </c>
      <c r="B667" t="s">
        <v>31</v>
      </c>
      <c r="D667" t="s">
        <v>22</v>
      </c>
      <c r="F667" t="s">
        <v>60</v>
      </c>
    </row>
    <row r="668" spans="1:6" x14ac:dyDescent="0.2">
      <c r="A668" t="s">
        <v>84</v>
      </c>
      <c r="B668" t="s">
        <v>38</v>
      </c>
      <c r="D668" t="s">
        <v>23</v>
      </c>
      <c r="F668" t="s">
        <v>60</v>
      </c>
    </row>
    <row r="669" spans="1:6" x14ac:dyDescent="0.2">
      <c r="A669" t="s">
        <v>84</v>
      </c>
      <c r="B669" t="s">
        <v>39</v>
      </c>
      <c r="D669" t="s">
        <v>25</v>
      </c>
      <c r="F669" t="s">
        <v>60</v>
      </c>
    </row>
    <row r="670" spans="1:6" x14ac:dyDescent="0.2">
      <c r="A670" t="s">
        <v>84</v>
      </c>
      <c r="B670" t="s">
        <v>29</v>
      </c>
      <c r="D670" t="s">
        <v>17</v>
      </c>
      <c r="F670" t="s">
        <v>60</v>
      </c>
    </row>
    <row r="671" spans="1:6" x14ac:dyDescent="0.2">
      <c r="A671" t="s">
        <v>84</v>
      </c>
      <c r="B671" t="s">
        <v>24</v>
      </c>
      <c r="D671" t="s">
        <v>30</v>
      </c>
      <c r="F671" t="s">
        <v>60</v>
      </c>
    </row>
    <row r="672" spans="1:6" x14ac:dyDescent="0.2">
      <c r="A672" t="s">
        <v>84</v>
      </c>
      <c r="B672" t="s">
        <v>31</v>
      </c>
      <c r="D672" t="s">
        <v>27</v>
      </c>
      <c r="F672" t="s">
        <v>60</v>
      </c>
    </row>
    <row r="673" spans="1:6" x14ac:dyDescent="0.2">
      <c r="A673" t="s">
        <v>84</v>
      </c>
      <c r="B673" t="s">
        <v>21</v>
      </c>
      <c r="D673" t="s">
        <v>32</v>
      </c>
      <c r="F673" t="s">
        <v>60</v>
      </c>
    </row>
    <row r="674" spans="1:6" x14ac:dyDescent="0.2">
      <c r="A674" t="s">
        <v>84</v>
      </c>
      <c r="B674" t="s">
        <v>28</v>
      </c>
      <c r="D674" t="s">
        <v>33</v>
      </c>
      <c r="F674" t="s">
        <v>60</v>
      </c>
    </row>
    <row r="675" spans="1:6" x14ac:dyDescent="0.2">
      <c r="A675" t="s">
        <v>84</v>
      </c>
      <c r="B675" t="s">
        <v>12</v>
      </c>
      <c r="D675" t="s">
        <v>37</v>
      </c>
      <c r="F675" t="s">
        <v>60</v>
      </c>
    </row>
    <row r="676" spans="1:6" x14ac:dyDescent="0.2">
      <c r="A676" t="s">
        <v>84</v>
      </c>
      <c r="B676" t="s">
        <v>11</v>
      </c>
      <c r="D676" t="s">
        <v>19</v>
      </c>
      <c r="F676" t="s">
        <v>60</v>
      </c>
    </row>
    <row r="677" spans="1:6" x14ac:dyDescent="0.2">
      <c r="A677" t="s">
        <v>84</v>
      </c>
      <c r="B677" t="s">
        <v>20</v>
      </c>
      <c r="D677" t="s">
        <v>40</v>
      </c>
      <c r="F677" t="s">
        <v>60</v>
      </c>
    </row>
    <row r="678" spans="1:6" x14ac:dyDescent="0.2">
      <c r="A678" t="s">
        <v>85</v>
      </c>
      <c r="B678" t="s">
        <v>35</v>
      </c>
      <c r="D678" t="s">
        <v>10</v>
      </c>
      <c r="F678" t="s">
        <v>60</v>
      </c>
    </row>
    <row r="679" spans="1:6" x14ac:dyDescent="0.2">
      <c r="A679" t="s">
        <v>85</v>
      </c>
      <c r="B679" t="s">
        <v>33</v>
      </c>
      <c r="D679" t="s">
        <v>13</v>
      </c>
      <c r="F679" t="s">
        <v>60</v>
      </c>
    </row>
    <row r="680" spans="1:6" x14ac:dyDescent="0.2">
      <c r="A680" t="s">
        <v>85</v>
      </c>
      <c r="B680" t="s">
        <v>16</v>
      </c>
      <c r="D680" t="s">
        <v>18</v>
      </c>
      <c r="F680" t="s">
        <v>60</v>
      </c>
    </row>
    <row r="681" spans="1:6" x14ac:dyDescent="0.2">
      <c r="A681" t="s">
        <v>85</v>
      </c>
      <c r="B681" t="s">
        <v>36</v>
      </c>
      <c r="D681" t="s">
        <v>55</v>
      </c>
      <c r="F681" t="s">
        <v>60</v>
      </c>
    </row>
    <row r="682" spans="1:6" x14ac:dyDescent="0.2">
      <c r="A682" t="s">
        <v>85</v>
      </c>
      <c r="B682" t="s">
        <v>39</v>
      </c>
      <c r="D682" t="s">
        <v>22</v>
      </c>
      <c r="F682" t="s">
        <v>60</v>
      </c>
    </row>
    <row r="683" spans="1:6" x14ac:dyDescent="0.2">
      <c r="A683" t="s">
        <v>86</v>
      </c>
      <c r="B683" t="s">
        <v>16</v>
      </c>
      <c r="D683" t="s">
        <v>21</v>
      </c>
      <c r="F683" t="s">
        <v>60</v>
      </c>
    </row>
    <row r="684" spans="1:6" x14ac:dyDescent="0.2">
      <c r="A684" t="s">
        <v>86</v>
      </c>
      <c r="B684" t="s">
        <v>31</v>
      </c>
      <c r="D684" t="s">
        <v>25</v>
      </c>
      <c r="F684" t="s">
        <v>60</v>
      </c>
    </row>
    <row r="685" spans="1:6" x14ac:dyDescent="0.2">
      <c r="A685" t="s">
        <v>86</v>
      </c>
      <c r="B685" t="s">
        <v>36</v>
      </c>
      <c r="D685" t="s">
        <v>12</v>
      </c>
      <c r="F685" t="s">
        <v>60</v>
      </c>
    </row>
    <row r="686" spans="1:6" x14ac:dyDescent="0.2">
      <c r="A686" t="s">
        <v>86</v>
      </c>
      <c r="B686" t="s">
        <v>38</v>
      </c>
      <c r="D686" t="s">
        <v>26</v>
      </c>
      <c r="F686" t="s">
        <v>60</v>
      </c>
    </row>
    <row r="687" spans="1:6" x14ac:dyDescent="0.2">
      <c r="A687" t="s">
        <v>86</v>
      </c>
      <c r="B687" t="s">
        <v>11</v>
      </c>
      <c r="D687" t="s">
        <v>18</v>
      </c>
      <c r="F687" t="s">
        <v>60</v>
      </c>
    </row>
    <row r="688" spans="1:6" x14ac:dyDescent="0.2">
      <c r="A688" t="s">
        <v>86</v>
      </c>
      <c r="B688" t="s">
        <v>30</v>
      </c>
      <c r="D688" t="s">
        <v>29</v>
      </c>
      <c r="F688" t="s">
        <v>60</v>
      </c>
    </row>
    <row r="689" spans="1:6" x14ac:dyDescent="0.2">
      <c r="A689" t="s">
        <v>86</v>
      </c>
      <c r="B689" t="s">
        <v>23</v>
      </c>
      <c r="D689" t="s">
        <v>15</v>
      </c>
      <c r="F689" t="s">
        <v>60</v>
      </c>
    </row>
    <row r="690" spans="1:6" x14ac:dyDescent="0.2">
      <c r="A690" t="s">
        <v>86</v>
      </c>
      <c r="B690" t="s">
        <v>19</v>
      </c>
      <c r="D690" t="s">
        <v>27</v>
      </c>
      <c r="F690" t="s">
        <v>60</v>
      </c>
    </row>
    <row r="691" spans="1:6" x14ac:dyDescent="0.2">
      <c r="A691" t="s">
        <v>86</v>
      </c>
      <c r="B691" t="s">
        <v>24</v>
      </c>
      <c r="D691" t="s">
        <v>14</v>
      </c>
      <c r="F691" t="s">
        <v>60</v>
      </c>
    </row>
    <row r="692" spans="1:6" x14ac:dyDescent="0.2">
      <c r="A692" t="s">
        <v>86</v>
      </c>
      <c r="B692" t="s">
        <v>34</v>
      </c>
      <c r="D692" t="s">
        <v>32</v>
      </c>
      <c r="F692" t="s">
        <v>60</v>
      </c>
    </row>
    <row r="693" spans="1:6" x14ac:dyDescent="0.2">
      <c r="A693" t="s">
        <v>86</v>
      </c>
      <c r="B693" t="s">
        <v>28</v>
      </c>
      <c r="D693" t="s">
        <v>20</v>
      </c>
      <c r="F693" t="s">
        <v>60</v>
      </c>
    </row>
    <row r="694" spans="1:6" x14ac:dyDescent="0.2">
      <c r="A694" t="s">
        <v>86</v>
      </c>
      <c r="B694" t="s">
        <v>17</v>
      </c>
      <c r="D694" t="s">
        <v>40</v>
      </c>
      <c r="F694" t="s">
        <v>60</v>
      </c>
    </row>
    <row r="695" spans="1:6" x14ac:dyDescent="0.2">
      <c r="A695" t="s">
        <v>87</v>
      </c>
      <c r="B695" t="s">
        <v>22</v>
      </c>
      <c r="D695" t="s">
        <v>10</v>
      </c>
      <c r="F695" t="s">
        <v>60</v>
      </c>
    </row>
    <row r="696" spans="1:6" x14ac:dyDescent="0.2">
      <c r="A696" t="s">
        <v>87</v>
      </c>
      <c r="B696" t="s">
        <v>35</v>
      </c>
      <c r="D696" t="s">
        <v>55</v>
      </c>
      <c r="F696" t="s">
        <v>60</v>
      </c>
    </row>
    <row r="697" spans="1:6" x14ac:dyDescent="0.2">
      <c r="A697" t="s">
        <v>87</v>
      </c>
      <c r="B697" t="s">
        <v>13</v>
      </c>
      <c r="D697" t="s">
        <v>40</v>
      </c>
      <c r="F697" t="s">
        <v>60</v>
      </c>
    </row>
    <row r="698" spans="1:6" x14ac:dyDescent="0.2">
      <c r="A698" t="s">
        <v>88</v>
      </c>
      <c r="B698" t="s">
        <v>15</v>
      </c>
      <c r="D698" t="s">
        <v>21</v>
      </c>
      <c r="F698" t="s">
        <v>60</v>
      </c>
    </row>
    <row r="699" spans="1:6" x14ac:dyDescent="0.2">
      <c r="A699" t="s">
        <v>88</v>
      </c>
      <c r="B699" t="s">
        <v>31</v>
      </c>
      <c r="D699" t="s">
        <v>23</v>
      </c>
      <c r="F699" t="s">
        <v>60</v>
      </c>
    </row>
    <row r="700" spans="1:6" x14ac:dyDescent="0.2">
      <c r="A700" t="s">
        <v>88</v>
      </c>
      <c r="B700" t="s">
        <v>32</v>
      </c>
      <c r="D700" t="s">
        <v>25</v>
      </c>
      <c r="F700" t="s">
        <v>60</v>
      </c>
    </row>
    <row r="701" spans="1:6" x14ac:dyDescent="0.2">
      <c r="A701" t="s">
        <v>88</v>
      </c>
      <c r="B701" t="s">
        <v>28</v>
      </c>
      <c r="D701" t="s">
        <v>12</v>
      </c>
      <c r="F701" t="s">
        <v>60</v>
      </c>
    </row>
    <row r="702" spans="1:6" x14ac:dyDescent="0.2">
      <c r="A702" t="s">
        <v>88</v>
      </c>
      <c r="B702" t="s">
        <v>13</v>
      </c>
      <c r="D702" t="s">
        <v>17</v>
      </c>
      <c r="F702" t="s">
        <v>60</v>
      </c>
    </row>
    <row r="703" spans="1:6" x14ac:dyDescent="0.2">
      <c r="A703" t="s">
        <v>88</v>
      </c>
      <c r="B703" t="s">
        <v>30</v>
      </c>
      <c r="D703" t="s">
        <v>34</v>
      </c>
      <c r="F703" t="s">
        <v>60</v>
      </c>
    </row>
    <row r="704" spans="1:6" x14ac:dyDescent="0.2">
      <c r="A704" t="s">
        <v>88</v>
      </c>
      <c r="B704" t="s">
        <v>26</v>
      </c>
      <c r="D704" t="s">
        <v>18</v>
      </c>
      <c r="F704" t="s">
        <v>60</v>
      </c>
    </row>
    <row r="705" spans="1:6" x14ac:dyDescent="0.2">
      <c r="A705" t="s">
        <v>88</v>
      </c>
      <c r="B705" t="s">
        <v>10</v>
      </c>
      <c r="D705" t="s">
        <v>29</v>
      </c>
      <c r="F705" t="s">
        <v>60</v>
      </c>
    </row>
    <row r="706" spans="1:6" x14ac:dyDescent="0.2">
      <c r="A706" t="s">
        <v>88</v>
      </c>
      <c r="B706" t="s">
        <v>11</v>
      </c>
      <c r="D706" t="s">
        <v>36</v>
      </c>
      <c r="F706" t="s">
        <v>60</v>
      </c>
    </row>
    <row r="707" spans="1:6" x14ac:dyDescent="0.2">
      <c r="A707" t="s">
        <v>88</v>
      </c>
      <c r="B707" t="s">
        <v>37</v>
      </c>
      <c r="D707" t="s">
        <v>27</v>
      </c>
      <c r="F707" t="s">
        <v>60</v>
      </c>
    </row>
    <row r="708" spans="1:6" x14ac:dyDescent="0.2">
      <c r="A708" t="s">
        <v>88</v>
      </c>
      <c r="B708" t="s">
        <v>16</v>
      </c>
      <c r="D708" t="s">
        <v>14</v>
      </c>
      <c r="F708" t="s">
        <v>60</v>
      </c>
    </row>
    <row r="709" spans="1:6" x14ac:dyDescent="0.2">
      <c r="A709" t="s">
        <v>88</v>
      </c>
      <c r="B709" t="s">
        <v>39</v>
      </c>
      <c r="D709" t="s">
        <v>33</v>
      </c>
      <c r="F709" t="s">
        <v>60</v>
      </c>
    </row>
    <row r="710" spans="1:6" x14ac:dyDescent="0.2">
      <c r="A710" t="s">
        <v>88</v>
      </c>
      <c r="B710" t="s">
        <v>38</v>
      </c>
      <c r="D710" t="s">
        <v>19</v>
      </c>
      <c r="F710" t="s">
        <v>60</v>
      </c>
    </row>
    <row r="711" spans="1:6" x14ac:dyDescent="0.2">
      <c r="A711" t="s">
        <v>88</v>
      </c>
      <c r="B711" t="s">
        <v>35</v>
      </c>
      <c r="D711" t="s">
        <v>20</v>
      </c>
      <c r="F711" t="s">
        <v>60</v>
      </c>
    </row>
    <row r="712" spans="1:6" x14ac:dyDescent="0.2">
      <c r="A712" t="s">
        <v>89</v>
      </c>
      <c r="B712" t="s">
        <v>14</v>
      </c>
      <c r="D712" t="s">
        <v>21</v>
      </c>
      <c r="F712" t="s">
        <v>60</v>
      </c>
    </row>
    <row r="713" spans="1:6" x14ac:dyDescent="0.2">
      <c r="A713" t="s">
        <v>89</v>
      </c>
      <c r="B713" t="s">
        <v>22</v>
      </c>
      <c r="D713" t="s">
        <v>29</v>
      </c>
      <c r="F713" t="s">
        <v>60</v>
      </c>
    </row>
    <row r="714" spans="1:6" x14ac:dyDescent="0.2">
      <c r="A714" t="s">
        <v>89</v>
      </c>
      <c r="B714" t="s">
        <v>20</v>
      </c>
      <c r="D714" t="s">
        <v>33</v>
      </c>
      <c r="F714" t="s">
        <v>60</v>
      </c>
    </row>
    <row r="715" spans="1:6" x14ac:dyDescent="0.2">
      <c r="A715" t="s">
        <v>89</v>
      </c>
      <c r="B715" t="s">
        <v>28</v>
      </c>
      <c r="D715" t="s">
        <v>55</v>
      </c>
      <c r="F715" t="s">
        <v>60</v>
      </c>
    </row>
    <row r="716" spans="1:6" x14ac:dyDescent="0.2">
      <c r="A716" t="s">
        <v>89</v>
      </c>
      <c r="B716" t="s">
        <v>24</v>
      </c>
      <c r="D716" t="s">
        <v>40</v>
      </c>
      <c r="F716" t="s">
        <v>60</v>
      </c>
    </row>
    <row r="717" spans="1:6" x14ac:dyDescent="0.2">
      <c r="A717" t="s">
        <v>90</v>
      </c>
      <c r="B717" t="s">
        <v>11</v>
      </c>
      <c r="D717" t="s">
        <v>23</v>
      </c>
      <c r="F717" t="s">
        <v>60</v>
      </c>
    </row>
    <row r="718" spans="1:6" x14ac:dyDescent="0.2">
      <c r="A718" t="s">
        <v>90</v>
      </c>
      <c r="B718" t="s">
        <v>17</v>
      </c>
      <c r="D718" t="s">
        <v>10</v>
      </c>
      <c r="F718" t="s">
        <v>60</v>
      </c>
    </row>
    <row r="719" spans="1:6" x14ac:dyDescent="0.2">
      <c r="A719" t="s">
        <v>90</v>
      </c>
      <c r="B719" t="s">
        <v>19</v>
      </c>
      <c r="D719" t="s">
        <v>12</v>
      </c>
      <c r="F719" t="s">
        <v>60</v>
      </c>
    </row>
    <row r="720" spans="1:6" x14ac:dyDescent="0.2">
      <c r="A720" t="s">
        <v>90</v>
      </c>
      <c r="B720" t="s">
        <v>25</v>
      </c>
      <c r="D720" t="s">
        <v>26</v>
      </c>
      <c r="F720" t="s">
        <v>60</v>
      </c>
    </row>
    <row r="721" spans="1:6" x14ac:dyDescent="0.2">
      <c r="A721" t="s">
        <v>90</v>
      </c>
      <c r="B721" t="s">
        <v>39</v>
      </c>
      <c r="D721" t="s">
        <v>13</v>
      </c>
      <c r="F721" t="s">
        <v>60</v>
      </c>
    </row>
    <row r="722" spans="1:6" x14ac:dyDescent="0.2">
      <c r="A722" t="s">
        <v>90</v>
      </c>
      <c r="B722" t="s">
        <v>24</v>
      </c>
      <c r="D722" t="s">
        <v>34</v>
      </c>
      <c r="F722" t="s">
        <v>60</v>
      </c>
    </row>
    <row r="723" spans="1:6" x14ac:dyDescent="0.2">
      <c r="A723" t="s">
        <v>90</v>
      </c>
      <c r="B723" t="s">
        <v>38</v>
      </c>
      <c r="D723" t="s">
        <v>18</v>
      </c>
      <c r="F723" t="s">
        <v>60</v>
      </c>
    </row>
    <row r="724" spans="1:6" x14ac:dyDescent="0.2">
      <c r="A724" t="s">
        <v>90</v>
      </c>
      <c r="B724" t="s">
        <v>32</v>
      </c>
      <c r="D724" t="s">
        <v>15</v>
      </c>
      <c r="F724" t="s">
        <v>60</v>
      </c>
    </row>
    <row r="725" spans="1:6" x14ac:dyDescent="0.2">
      <c r="A725" t="s">
        <v>90</v>
      </c>
      <c r="B725" t="s">
        <v>37</v>
      </c>
      <c r="D725" t="s">
        <v>27</v>
      </c>
      <c r="F725" t="s">
        <v>60</v>
      </c>
    </row>
    <row r="726" spans="1:6" x14ac:dyDescent="0.2">
      <c r="A726" t="s">
        <v>91</v>
      </c>
      <c r="B726" t="s">
        <v>39</v>
      </c>
      <c r="D726" t="s">
        <v>31</v>
      </c>
      <c r="F726" t="s">
        <v>60</v>
      </c>
    </row>
    <row r="727" spans="1:6" x14ac:dyDescent="0.2">
      <c r="A727" t="s">
        <v>91</v>
      </c>
      <c r="B727" t="s">
        <v>26</v>
      </c>
      <c r="D727" t="s">
        <v>21</v>
      </c>
      <c r="F727" t="s">
        <v>60</v>
      </c>
    </row>
    <row r="728" spans="1:6" x14ac:dyDescent="0.2">
      <c r="A728" t="s">
        <v>91</v>
      </c>
      <c r="B728" t="s">
        <v>16</v>
      </c>
      <c r="D728" t="s">
        <v>28</v>
      </c>
      <c r="F728" t="s">
        <v>60</v>
      </c>
    </row>
    <row r="729" spans="1:6" x14ac:dyDescent="0.2">
      <c r="A729" t="s">
        <v>91</v>
      </c>
      <c r="B729" t="s">
        <v>17</v>
      </c>
      <c r="D729" t="s">
        <v>29</v>
      </c>
      <c r="F729" t="s">
        <v>60</v>
      </c>
    </row>
    <row r="730" spans="1:6" x14ac:dyDescent="0.2">
      <c r="A730" t="s">
        <v>91</v>
      </c>
      <c r="B730" t="s">
        <v>38</v>
      </c>
      <c r="D730" t="s">
        <v>36</v>
      </c>
      <c r="F730" t="s">
        <v>60</v>
      </c>
    </row>
    <row r="731" spans="1:6" x14ac:dyDescent="0.2">
      <c r="A731" t="s">
        <v>91</v>
      </c>
      <c r="B731" t="s">
        <v>37</v>
      </c>
      <c r="D731" t="s">
        <v>14</v>
      </c>
      <c r="F731" t="s">
        <v>60</v>
      </c>
    </row>
    <row r="732" spans="1:6" x14ac:dyDescent="0.2">
      <c r="A732" t="s">
        <v>91</v>
      </c>
      <c r="B732" t="s">
        <v>25</v>
      </c>
      <c r="D732" t="s">
        <v>35</v>
      </c>
      <c r="F732" t="s">
        <v>60</v>
      </c>
    </row>
    <row r="733" spans="1:6" x14ac:dyDescent="0.2">
      <c r="A733" t="s">
        <v>91</v>
      </c>
      <c r="B733" t="s">
        <v>19</v>
      </c>
      <c r="D733" t="s">
        <v>55</v>
      </c>
      <c r="F733" t="s">
        <v>60</v>
      </c>
    </row>
    <row r="734" spans="1:6" x14ac:dyDescent="0.2">
      <c r="A734" t="s">
        <v>91</v>
      </c>
      <c r="B734" t="s">
        <v>30</v>
      </c>
      <c r="D734" t="s">
        <v>40</v>
      </c>
      <c r="F734" t="s">
        <v>60</v>
      </c>
    </row>
    <row r="735" spans="1:6" x14ac:dyDescent="0.2">
      <c r="A735" t="s">
        <v>91</v>
      </c>
      <c r="B735" t="s">
        <v>18</v>
      </c>
      <c r="D735" t="s">
        <v>22</v>
      </c>
      <c r="F735" t="s">
        <v>60</v>
      </c>
    </row>
    <row r="736" spans="1:6" x14ac:dyDescent="0.2">
      <c r="A736" t="s">
        <v>92</v>
      </c>
      <c r="B736" t="s">
        <v>27</v>
      </c>
      <c r="D736" t="s">
        <v>23</v>
      </c>
      <c r="F736" t="s">
        <v>60</v>
      </c>
    </row>
    <row r="737" spans="1:6" x14ac:dyDescent="0.2">
      <c r="A737" t="s">
        <v>92</v>
      </c>
      <c r="B737" t="s">
        <v>20</v>
      </c>
      <c r="D737" t="s">
        <v>13</v>
      </c>
      <c r="F737" t="s">
        <v>60</v>
      </c>
    </row>
    <row r="738" spans="1:6" x14ac:dyDescent="0.2">
      <c r="A738" t="s">
        <v>92</v>
      </c>
      <c r="B738" t="s">
        <v>32</v>
      </c>
      <c r="D738" t="s">
        <v>24</v>
      </c>
      <c r="F738" t="s">
        <v>60</v>
      </c>
    </row>
    <row r="739" spans="1:6" x14ac:dyDescent="0.2">
      <c r="A739" t="s">
        <v>92</v>
      </c>
      <c r="B739" t="s">
        <v>36</v>
      </c>
      <c r="D739" t="s">
        <v>15</v>
      </c>
      <c r="F739" t="s">
        <v>60</v>
      </c>
    </row>
    <row r="740" spans="1:6" x14ac:dyDescent="0.2">
      <c r="A740" t="s">
        <v>93</v>
      </c>
      <c r="B740" t="s">
        <v>32</v>
      </c>
      <c r="D740" t="s">
        <v>21</v>
      </c>
      <c r="F740" t="s">
        <v>60</v>
      </c>
    </row>
    <row r="741" spans="1:6" x14ac:dyDescent="0.2">
      <c r="A741" t="s">
        <v>93</v>
      </c>
      <c r="B741" t="s">
        <v>18</v>
      </c>
      <c r="D741" t="s">
        <v>23</v>
      </c>
      <c r="F741" t="s">
        <v>60</v>
      </c>
    </row>
    <row r="742" spans="1:6" x14ac:dyDescent="0.2">
      <c r="A742" t="s">
        <v>93</v>
      </c>
      <c r="B742" t="s">
        <v>38</v>
      </c>
      <c r="D742" t="s">
        <v>28</v>
      </c>
      <c r="F742" t="s">
        <v>60</v>
      </c>
    </row>
    <row r="743" spans="1:6" x14ac:dyDescent="0.2">
      <c r="A743" t="s">
        <v>93</v>
      </c>
      <c r="B743" t="s">
        <v>16</v>
      </c>
      <c r="D743" t="s">
        <v>10</v>
      </c>
      <c r="F743" t="s">
        <v>60</v>
      </c>
    </row>
    <row r="744" spans="1:6" x14ac:dyDescent="0.2">
      <c r="A744" t="s">
        <v>93</v>
      </c>
      <c r="B744" t="s">
        <v>30</v>
      </c>
      <c r="D744" t="s">
        <v>17</v>
      </c>
      <c r="F744" t="s">
        <v>60</v>
      </c>
    </row>
    <row r="745" spans="1:6" x14ac:dyDescent="0.2">
      <c r="A745" t="s">
        <v>93</v>
      </c>
      <c r="B745" t="s">
        <v>40</v>
      </c>
      <c r="D745" t="s">
        <v>34</v>
      </c>
      <c r="F745" t="s">
        <v>60</v>
      </c>
    </row>
    <row r="746" spans="1:6" x14ac:dyDescent="0.2">
      <c r="A746" t="s">
        <v>93</v>
      </c>
      <c r="B746" t="s">
        <v>27</v>
      </c>
      <c r="D746" t="s">
        <v>14</v>
      </c>
      <c r="F746" t="s">
        <v>60</v>
      </c>
    </row>
    <row r="747" spans="1:6" x14ac:dyDescent="0.2">
      <c r="A747" t="s">
        <v>93</v>
      </c>
      <c r="B747" t="s">
        <v>39</v>
      </c>
      <c r="D747" t="s">
        <v>55</v>
      </c>
      <c r="F747" t="s">
        <v>60</v>
      </c>
    </row>
    <row r="748" spans="1:6" x14ac:dyDescent="0.2">
      <c r="A748" t="s">
        <v>93</v>
      </c>
      <c r="B748" t="s">
        <v>19</v>
      </c>
      <c r="D748" t="s">
        <v>20</v>
      </c>
      <c r="F748" t="s">
        <v>60</v>
      </c>
    </row>
    <row r="749" spans="1:6" x14ac:dyDescent="0.2">
      <c r="A749" t="s">
        <v>93</v>
      </c>
      <c r="B749" t="s">
        <v>33</v>
      </c>
      <c r="D749" t="s">
        <v>22</v>
      </c>
      <c r="F749" t="s">
        <v>60</v>
      </c>
    </row>
    <row r="750" spans="1:6" x14ac:dyDescent="0.2">
      <c r="A750" t="s">
        <v>94</v>
      </c>
      <c r="B750" t="s">
        <v>11</v>
      </c>
      <c r="D750" t="s">
        <v>25</v>
      </c>
      <c r="F750" t="s">
        <v>60</v>
      </c>
    </row>
    <row r="751" spans="1:6" x14ac:dyDescent="0.2">
      <c r="A751" t="s">
        <v>94</v>
      </c>
      <c r="B751" t="s">
        <v>29</v>
      </c>
      <c r="D751" t="s">
        <v>12</v>
      </c>
      <c r="F751" t="s">
        <v>60</v>
      </c>
    </row>
    <row r="752" spans="1:6" x14ac:dyDescent="0.2">
      <c r="A752" t="s">
        <v>94</v>
      </c>
      <c r="B752" t="s">
        <v>33</v>
      </c>
      <c r="D752" t="s">
        <v>26</v>
      </c>
      <c r="F752" t="s">
        <v>60</v>
      </c>
    </row>
    <row r="753" spans="1:6" x14ac:dyDescent="0.2">
      <c r="A753" t="s">
        <v>94</v>
      </c>
      <c r="B753" t="s">
        <v>31</v>
      </c>
      <c r="D753" t="s">
        <v>13</v>
      </c>
      <c r="F753" t="s">
        <v>60</v>
      </c>
    </row>
    <row r="754" spans="1:6" x14ac:dyDescent="0.2">
      <c r="A754" t="s">
        <v>94</v>
      </c>
      <c r="B754" t="s">
        <v>37</v>
      </c>
      <c r="D754" t="s">
        <v>35</v>
      </c>
      <c r="F754" t="s">
        <v>60</v>
      </c>
    </row>
    <row r="755" spans="1:6" x14ac:dyDescent="0.2">
      <c r="A755" t="s">
        <v>95</v>
      </c>
      <c r="B755" t="s">
        <v>13</v>
      </c>
      <c r="D755" t="s">
        <v>31</v>
      </c>
      <c r="F755" t="s">
        <v>60</v>
      </c>
    </row>
    <row r="756" spans="1:6" x14ac:dyDescent="0.2">
      <c r="A756" t="s">
        <v>95</v>
      </c>
      <c r="B756" t="s">
        <v>34</v>
      </c>
      <c r="D756" t="s">
        <v>23</v>
      </c>
      <c r="F756" t="s">
        <v>60</v>
      </c>
    </row>
    <row r="757" spans="1:6" x14ac:dyDescent="0.2">
      <c r="A757" t="s">
        <v>95</v>
      </c>
      <c r="B757" t="s">
        <v>30</v>
      </c>
      <c r="D757" t="s">
        <v>16</v>
      </c>
      <c r="F757" t="s">
        <v>60</v>
      </c>
    </row>
    <row r="758" spans="1:6" x14ac:dyDescent="0.2">
      <c r="A758" t="s">
        <v>95</v>
      </c>
      <c r="B758" t="s">
        <v>21</v>
      </c>
      <c r="D758" t="s">
        <v>10</v>
      </c>
      <c r="F758" t="s">
        <v>60</v>
      </c>
    </row>
    <row r="759" spans="1:6" x14ac:dyDescent="0.2">
      <c r="A759" t="s">
        <v>95</v>
      </c>
      <c r="B759" t="s">
        <v>25</v>
      </c>
      <c r="D759" t="s">
        <v>24</v>
      </c>
      <c r="F759" t="s">
        <v>60</v>
      </c>
    </row>
    <row r="760" spans="1:6" x14ac:dyDescent="0.2">
      <c r="A760" t="s">
        <v>95</v>
      </c>
      <c r="B760" t="s">
        <v>18</v>
      </c>
      <c r="D760" t="s">
        <v>36</v>
      </c>
      <c r="F760" t="s">
        <v>60</v>
      </c>
    </row>
    <row r="761" spans="1:6" x14ac:dyDescent="0.2">
      <c r="A761" t="s">
        <v>95</v>
      </c>
      <c r="B761" t="s">
        <v>15</v>
      </c>
      <c r="D761" t="s">
        <v>27</v>
      </c>
      <c r="F761" t="s">
        <v>60</v>
      </c>
    </row>
    <row r="762" spans="1:6" x14ac:dyDescent="0.2">
      <c r="A762" t="s">
        <v>95</v>
      </c>
      <c r="B762" t="s">
        <v>28</v>
      </c>
      <c r="D762" t="s">
        <v>14</v>
      </c>
      <c r="F762" t="s">
        <v>60</v>
      </c>
    </row>
    <row r="763" spans="1:6" x14ac:dyDescent="0.2">
      <c r="A763" t="s">
        <v>95</v>
      </c>
      <c r="B763" t="s">
        <v>32</v>
      </c>
      <c r="D763" t="s">
        <v>55</v>
      </c>
      <c r="F763" t="s">
        <v>60</v>
      </c>
    </row>
    <row r="764" spans="1:6" x14ac:dyDescent="0.2">
      <c r="A764" t="s">
        <v>95</v>
      </c>
      <c r="B764" t="s">
        <v>17</v>
      </c>
      <c r="D764" t="s">
        <v>38</v>
      </c>
      <c r="F764" t="s">
        <v>60</v>
      </c>
    </row>
    <row r="765" spans="1:6" x14ac:dyDescent="0.2">
      <c r="A765" t="s">
        <v>95</v>
      </c>
      <c r="B765" t="s">
        <v>29</v>
      </c>
      <c r="D765" t="s">
        <v>20</v>
      </c>
      <c r="F765" t="s">
        <v>60</v>
      </c>
    </row>
    <row r="766" spans="1:6" x14ac:dyDescent="0.2">
      <c r="A766" t="s">
        <v>95</v>
      </c>
      <c r="B766" t="s">
        <v>19</v>
      </c>
      <c r="D766" t="s">
        <v>40</v>
      </c>
      <c r="F766" t="s">
        <v>60</v>
      </c>
    </row>
    <row r="767" spans="1:6" x14ac:dyDescent="0.2">
      <c r="A767" t="s">
        <v>95</v>
      </c>
      <c r="B767" t="s">
        <v>11</v>
      </c>
      <c r="D767" t="s">
        <v>22</v>
      </c>
      <c r="F767" t="s">
        <v>60</v>
      </c>
    </row>
    <row r="768" spans="1:6" x14ac:dyDescent="0.2">
      <c r="A768" t="s">
        <v>96</v>
      </c>
      <c r="B768" t="s">
        <v>37</v>
      </c>
      <c r="D768" t="s">
        <v>39</v>
      </c>
      <c r="F768" t="s">
        <v>60</v>
      </c>
    </row>
    <row r="769" spans="1:6" x14ac:dyDescent="0.2">
      <c r="A769" t="s">
        <v>96</v>
      </c>
      <c r="B769" t="s">
        <v>36</v>
      </c>
      <c r="D769" t="s">
        <v>26</v>
      </c>
      <c r="F769" t="s">
        <v>60</v>
      </c>
    </row>
    <row r="770" spans="1:6" x14ac:dyDescent="0.2">
      <c r="A770" t="s">
        <v>96</v>
      </c>
      <c r="B770" t="s">
        <v>35</v>
      </c>
      <c r="D770" t="s">
        <v>17</v>
      </c>
      <c r="F770" t="s">
        <v>60</v>
      </c>
    </row>
    <row r="771" spans="1:6" x14ac:dyDescent="0.2">
      <c r="A771" t="s">
        <v>97</v>
      </c>
      <c r="B771" t="s">
        <v>15</v>
      </c>
      <c r="D771" t="s">
        <v>31</v>
      </c>
      <c r="F771" t="s">
        <v>60</v>
      </c>
    </row>
    <row r="772" spans="1:6" x14ac:dyDescent="0.2">
      <c r="A772" t="s">
        <v>97</v>
      </c>
      <c r="B772" t="s">
        <v>23</v>
      </c>
      <c r="D772" t="s">
        <v>25</v>
      </c>
      <c r="F772" t="s">
        <v>60</v>
      </c>
    </row>
    <row r="773" spans="1:6" x14ac:dyDescent="0.2">
      <c r="A773" t="s">
        <v>97</v>
      </c>
      <c r="B773" t="s">
        <v>24</v>
      </c>
      <c r="D773" t="s">
        <v>16</v>
      </c>
      <c r="F773" t="s">
        <v>60</v>
      </c>
    </row>
    <row r="774" spans="1:6" x14ac:dyDescent="0.2">
      <c r="A774" t="s">
        <v>97</v>
      </c>
      <c r="B774" t="s">
        <v>40</v>
      </c>
      <c r="D774" t="s">
        <v>10</v>
      </c>
      <c r="F774" t="s">
        <v>60</v>
      </c>
    </row>
    <row r="775" spans="1:6" x14ac:dyDescent="0.2">
      <c r="A775" t="s">
        <v>97</v>
      </c>
      <c r="B775" t="s">
        <v>22</v>
      </c>
      <c r="D775" t="s">
        <v>12</v>
      </c>
      <c r="F775" t="s">
        <v>60</v>
      </c>
    </row>
    <row r="776" spans="1:6" x14ac:dyDescent="0.2">
      <c r="A776" t="s">
        <v>97</v>
      </c>
      <c r="B776" t="s">
        <v>33</v>
      </c>
      <c r="D776" t="s">
        <v>11</v>
      </c>
      <c r="F776" t="s">
        <v>60</v>
      </c>
    </row>
    <row r="777" spans="1:6" x14ac:dyDescent="0.2">
      <c r="A777" t="s">
        <v>97</v>
      </c>
      <c r="B777" t="s">
        <v>14</v>
      </c>
      <c r="D777" t="s">
        <v>32</v>
      </c>
      <c r="F777" t="s">
        <v>60</v>
      </c>
    </row>
    <row r="778" spans="1:6" x14ac:dyDescent="0.2">
      <c r="A778" t="s">
        <v>97</v>
      </c>
      <c r="B778" t="s">
        <v>34</v>
      </c>
      <c r="D778" t="s">
        <v>19</v>
      </c>
      <c r="F778" t="s">
        <v>60</v>
      </c>
    </row>
    <row r="779" spans="1:6" x14ac:dyDescent="0.2">
      <c r="A779" t="s">
        <v>97</v>
      </c>
      <c r="B779" t="s">
        <v>30</v>
      </c>
      <c r="D779" t="s">
        <v>38</v>
      </c>
      <c r="F779" t="s">
        <v>60</v>
      </c>
    </row>
    <row r="780" spans="1:6" x14ac:dyDescent="0.2">
      <c r="A780" t="s">
        <v>97</v>
      </c>
      <c r="B780" t="s">
        <v>27</v>
      </c>
      <c r="D780" t="s">
        <v>20</v>
      </c>
      <c r="F780" t="s">
        <v>60</v>
      </c>
    </row>
    <row r="781" spans="1:6" x14ac:dyDescent="0.2">
      <c r="A781" t="s">
        <v>98</v>
      </c>
      <c r="B781" t="s">
        <v>36</v>
      </c>
      <c r="D781" t="s">
        <v>28</v>
      </c>
      <c r="F781" t="s">
        <v>60</v>
      </c>
    </row>
    <row r="782" spans="1:6" x14ac:dyDescent="0.2">
      <c r="A782" t="s">
        <v>98</v>
      </c>
      <c r="B782" t="s">
        <v>21</v>
      </c>
      <c r="D782" t="s">
        <v>39</v>
      </c>
      <c r="F782" t="s">
        <v>60</v>
      </c>
    </row>
    <row r="783" spans="1:6" x14ac:dyDescent="0.2">
      <c r="A783" t="s">
        <v>98</v>
      </c>
      <c r="B783" t="s">
        <v>24</v>
      </c>
      <c r="D783" t="s">
        <v>17</v>
      </c>
      <c r="F783" t="s">
        <v>60</v>
      </c>
    </row>
    <row r="784" spans="1:6" x14ac:dyDescent="0.2">
      <c r="A784" t="s">
        <v>98</v>
      </c>
      <c r="B784" t="s">
        <v>15</v>
      </c>
      <c r="D784" t="s">
        <v>13</v>
      </c>
      <c r="F784" t="s">
        <v>60</v>
      </c>
    </row>
    <row r="785" spans="1:6" x14ac:dyDescent="0.2">
      <c r="A785" t="s">
        <v>98</v>
      </c>
      <c r="B785" t="s">
        <v>34</v>
      </c>
      <c r="D785" t="s">
        <v>18</v>
      </c>
      <c r="F785" t="s">
        <v>60</v>
      </c>
    </row>
    <row r="786" spans="1:6" x14ac:dyDescent="0.2">
      <c r="A786" t="s">
        <v>98</v>
      </c>
      <c r="B786" t="s">
        <v>23</v>
      </c>
      <c r="D786" t="s">
        <v>29</v>
      </c>
      <c r="F786" t="s">
        <v>60</v>
      </c>
    </row>
    <row r="787" spans="1:6" x14ac:dyDescent="0.2">
      <c r="A787" t="s">
        <v>98</v>
      </c>
      <c r="B787" t="s">
        <v>33</v>
      </c>
      <c r="D787" t="s">
        <v>37</v>
      </c>
      <c r="F787" t="s">
        <v>60</v>
      </c>
    </row>
    <row r="788" spans="1:6" x14ac:dyDescent="0.2">
      <c r="A788" t="s">
        <v>98</v>
      </c>
      <c r="B788" t="s">
        <v>35</v>
      </c>
      <c r="D788" t="s">
        <v>40</v>
      </c>
      <c r="F788" t="s">
        <v>60</v>
      </c>
    </row>
    <row r="789" spans="1:6" x14ac:dyDescent="0.2">
      <c r="A789" t="s">
        <v>99</v>
      </c>
      <c r="B789" t="s">
        <v>14</v>
      </c>
      <c r="D789" t="s">
        <v>16</v>
      </c>
      <c r="F789" t="s">
        <v>60</v>
      </c>
    </row>
    <row r="790" spans="1:6" x14ac:dyDescent="0.2">
      <c r="A790" t="s">
        <v>99</v>
      </c>
      <c r="B790" t="s">
        <v>31</v>
      </c>
      <c r="D790" t="s">
        <v>12</v>
      </c>
      <c r="F790" t="s">
        <v>60</v>
      </c>
    </row>
    <row r="791" spans="1:6" x14ac:dyDescent="0.2">
      <c r="A791" t="s">
        <v>99</v>
      </c>
      <c r="B791" t="s">
        <v>30</v>
      </c>
      <c r="D791" t="s">
        <v>32</v>
      </c>
      <c r="F791" t="s">
        <v>60</v>
      </c>
    </row>
    <row r="792" spans="1:6" x14ac:dyDescent="0.2">
      <c r="A792" t="s">
        <v>99</v>
      </c>
      <c r="B792" t="s">
        <v>26</v>
      </c>
      <c r="D792" t="s">
        <v>19</v>
      </c>
      <c r="F792" t="s">
        <v>60</v>
      </c>
    </row>
    <row r="793" spans="1:6" x14ac:dyDescent="0.2">
      <c r="A793" t="s">
        <v>99</v>
      </c>
      <c r="B793" t="s">
        <v>27</v>
      </c>
      <c r="D793" t="s">
        <v>55</v>
      </c>
      <c r="F793" t="s">
        <v>60</v>
      </c>
    </row>
    <row r="794" spans="1:6" x14ac:dyDescent="0.2">
      <c r="A794" t="s">
        <v>99</v>
      </c>
      <c r="B794" t="s">
        <v>22</v>
      </c>
      <c r="D794" t="s">
        <v>38</v>
      </c>
      <c r="F794" t="s">
        <v>60</v>
      </c>
    </row>
    <row r="795" spans="1:6" x14ac:dyDescent="0.2">
      <c r="A795" t="s">
        <v>100</v>
      </c>
      <c r="B795" t="s">
        <v>20</v>
      </c>
      <c r="D795" t="s">
        <v>21</v>
      </c>
      <c r="F795" t="s">
        <v>60</v>
      </c>
    </row>
    <row r="796" spans="1:6" x14ac:dyDescent="0.2">
      <c r="A796" t="s">
        <v>100</v>
      </c>
      <c r="B796" t="s">
        <v>10</v>
      </c>
      <c r="D796" t="s">
        <v>25</v>
      </c>
      <c r="F796" t="s">
        <v>60</v>
      </c>
    </row>
    <row r="797" spans="1:6" x14ac:dyDescent="0.2">
      <c r="A797" t="s">
        <v>100</v>
      </c>
      <c r="B797" t="s">
        <v>39</v>
      </c>
      <c r="D797" t="s">
        <v>28</v>
      </c>
      <c r="F797" t="s">
        <v>60</v>
      </c>
    </row>
    <row r="798" spans="1:6" x14ac:dyDescent="0.2">
      <c r="A798" t="s">
        <v>100</v>
      </c>
      <c r="B798" t="s">
        <v>14</v>
      </c>
      <c r="D798" t="s">
        <v>17</v>
      </c>
      <c r="F798" t="s">
        <v>60</v>
      </c>
    </row>
    <row r="799" spans="1:6" x14ac:dyDescent="0.2">
      <c r="A799" t="s">
        <v>100</v>
      </c>
      <c r="B799" t="s">
        <v>26</v>
      </c>
      <c r="D799" t="s">
        <v>34</v>
      </c>
      <c r="F799" t="s">
        <v>60</v>
      </c>
    </row>
    <row r="800" spans="1:6" x14ac:dyDescent="0.2">
      <c r="A800" t="s">
        <v>100</v>
      </c>
      <c r="B800" t="s">
        <v>23</v>
      </c>
      <c r="D800" t="s">
        <v>18</v>
      </c>
      <c r="F800" t="s">
        <v>60</v>
      </c>
    </row>
    <row r="801" spans="1:6" x14ac:dyDescent="0.2">
      <c r="A801" t="s">
        <v>100</v>
      </c>
      <c r="B801" t="s">
        <v>36</v>
      </c>
      <c r="D801" t="s">
        <v>29</v>
      </c>
      <c r="F801" t="s">
        <v>60</v>
      </c>
    </row>
    <row r="802" spans="1:6" x14ac:dyDescent="0.2">
      <c r="A802" t="s">
        <v>100</v>
      </c>
      <c r="B802" t="s">
        <v>11</v>
      </c>
      <c r="D802" t="s">
        <v>40</v>
      </c>
      <c r="F802" t="s">
        <v>60</v>
      </c>
    </row>
    <row r="803" spans="1:6" x14ac:dyDescent="0.2">
      <c r="A803" t="s">
        <v>101</v>
      </c>
      <c r="B803" t="s">
        <v>22</v>
      </c>
      <c r="D803" t="s">
        <v>16</v>
      </c>
      <c r="F803" t="s">
        <v>60</v>
      </c>
    </row>
    <row r="804" spans="1:6" x14ac:dyDescent="0.2">
      <c r="A804" t="s">
        <v>101</v>
      </c>
      <c r="B804" t="s">
        <v>37</v>
      </c>
      <c r="D804" t="s">
        <v>10</v>
      </c>
      <c r="F804" t="s">
        <v>60</v>
      </c>
    </row>
    <row r="805" spans="1:6" x14ac:dyDescent="0.2">
      <c r="A805" t="s">
        <v>101</v>
      </c>
      <c r="B805" t="s">
        <v>27</v>
      </c>
      <c r="D805" t="s">
        <v>12</v>
      </c>
      <c r="F805" t="s">
        <v>60</v>
      </c>
    </row>
    <row r="806" spans="1:6" x14ac:dyDescent="0.2">
      <c r="A806" t="s">
        <v>101</v>
      </c>
      <c r="B806" t="s">
        <v>35</v>
      </c>
      <c r="D806" t="s">
        <v>39</v>
      </c>
      <c r="F806" t="s">
        <v>60</v>
      </c>
    </row>
    <row r="807" spans="1:6" x14ac:dyDescent="0.2">
      <c r="A807" t="s">
        <v>101</v>
      </c>
      <c r="B807" t="s">
        <v>31</v>
      </c>
      <c r="D807" t="s">
        <v>32</v>
      </c>
      <c r="F807" t="s">
        <v>60</v>
      </c>
    </row>
    <row r="808" spans="1:6" x14ac:dyDescent="0.2">
      <c r="A808" t="s">
        <v>101</v>
      </c>
      <c r="B808" t="s">
        <v>15</v>
      </c>
      <c r="D808" t="s">
        <v>33</v>
      </c>
      <c r="F808" t="s">
        <v>60</v>
      </c>
    </row>
    <row r="809" spans="1:6" x14ac:dyDescent="0.2">
      <c r="A809" t="s">
        <v>101</v>
      </c>
      <c r="B809" t="s">
        <v>20</v>
      </c>
      <c r="D809" t="s">
        <v>19</v>
      </c>
      <c r="F809" t="s">
        <v>60</v>
      </c>
    </row>
    <row r="810" spans="1:6" x14ac:dyDescent="0.2">
      <c r="A810" t="s">
        <v>101</v>
      </c>
      <c r="B810" t="s">
        <v>24</v>
      </c>
      <c r="D810" t="s">
        <v>38</v>
      </c>
      <c r="F810" t="s">
        <v>60</v>
      </c>
    </row>
    <row r="811" spans="1:6" x14ac:dyDescent="0.2">
      <c r="A811" t="s">
        <v>102</v>
      </c>
      <c r="B811" t="s">
        <v>18</v>
      </c>
      <c r="D811" t="s">
        <v>21</v>
      </c>
      <c r="F811" t="s">
        <v>60</v>
      </c>
    </row>
    <row r="812" spans="1:6" x14ac:dyDescent="0.2">
      <c r="A812" t="s">
        <v>102</v>
      </c>
      <c r="B812" t="s">
        <v>37</v>
      </c>
      <c r="D812" t="s">
        <v>28</v>
      </c>
      <c r="F812" t="s">
        <v>60</v>
      </c>
    </row>
    <row r="813" spans="1:6" x14ac:dyDescent="0.2">
      <c r="A813" t="s">
        <v>102</v>
      </c>
      <c r="B813" t="s">
        <v>22</v>
      </c>
      <c r="D813" t="s">
        <v>17</v>
      </c>
      <c r="F813" t="s">
        <v>60</v>
      </c>
    </row>
    <row r="814" spans="1:6" x14ac:dyDescent="0.2">
      <c r="A814" t="s">
        <v>102</v>
      </c>
      <c r="B814" t="s">
        <v>11</v>
      </c>
      <c r="D814" t="s">
        <v>34</v>
      </c>
      <c r="F814" t="s">
        <v>60</v>
      </c>
    </row>
    <row r="815" spans="1:6" x14ac:dyDescent="0.2">
      <c r="A815" t="s">
        <v>102</v>
      </c>
      <c r="B815" t="s">
        <v>55</v>
      </c>
      <c r="D815" t="s">
        <v>29</v>
      </c>
      <c r="F815" t="s">
        <v>60</v>
      </c>
    </row>
    <row r="816" spans="1:6" x14ac:dyDescent="0.2">
      <c r="A816" t="s">
        <v>102</v>
      </c>
      <c r="B816" t="s">
        <v>23</v>
      </c>
      <c r="D816" t="s">
        <v>30</v>
      </c>
      <c r="F816" t="s">
        <v>60</v>
      </c>
    </row>
    <row r="817" spans="1:6" x14ac:dyDescent="0.2">
      <c r="A817" t="s">
        <v>102</v>
      </c>
      <c r="B817" t="s">
        <v>25</v>
      </c>
      <c r="D817" t="s">
        <v>36</v>
      </c>
      <c r="F817" t="s">
        <v>60</v>
      </c>
    </row>
    <row r="818" spans="1:6" x14ac:dyDescent="0.2">
      <c r="A818" t="s">
        <v>102</v>
      </c>
      <c r="B818" t="s">
        <v>13</v>
      </c>
      <c r="D818" t="s">
        <v>35</v>
      </c>
      <c r="F818" t="s">
        <v>60</v>
      </c>
    </row>
    <row r="819" spans="1:6" x14ac:dyDescent="0.2">
      <c r="A819" t="s">
        <v>102</v>
      </c>
      <c r="B819" t="s">
        <v>26</v>
      </c>
      <c r="D819" t="s">
        <v>40</v>
      </c>
      <c r="F819" t="s">
        <v>60</v>
      </c>
    </row>
    <row r="820" spans="1:6" x14ac:dyDescent="0.2">
      <c r="A820" t="s">
        <v>103</v>
      </c>
      <c r="B820" t="s">
        <v>31</v>
      </c>
      <c r="D820" t="s">
        <v>16</v>
      </c>
      <c r="F820" t="s">
        <v>60</v>
      </c>
    </row>
    <row r="821" spans="1:6" x14ac:dyDescent="0.2">
      <c r="A821" t="s">
        <v>103</v>
      </c>
      <c r="B821" t="s">
        <v>11</v>
      </c>
      <c r="D821" t="s">
        <v>10</v>
      </c>
      <c r="F821" t="s">
        <v>60</v>
      </c>
    </row>
    <row r="822" spans="1:6" x14ac:dyDescent="0.2">
      <c r="A822" t="s">
        <v>103</v>
      </c>
      <c r="B822" t="s">
        <v>20</v>
      </c>
      <c r="D822" t="s">
        <v>36</v>
      </c>
      <c r="F822" t="s">
        <v>60</v>
      </c>
    </row>
    <row r="823" spans="1:6" x14ac:dyDescent="0.2">
      <c r="A823" t="s">
        <v>103</v>
      </c>
      <c r="B823" t="s">
        <v>24</v>
      </c>
      <c r="D823" t="s">
        <v>32</v>
      </c>
      <c r="F823" t="s">
        <v>60</v>
      </c>
    </row>
    <row r="824" spans="1:6" x14ac:dyDescent="0.2">
      <c r="A824" t="s">
        <v>103</v>
      </c>
      <c r="B824" t="s">
        <v>12</v>
      </c>
      <c r="D824" t="s">
        <v>19</v>
      </c>
      <c r="F824" t="s">
        <v>60</v>
      </c>
    </row>
    <row r="825" spans="1:6" x14ac:dyDescent="0.2">
      <c r="A825" t="s">
        <v>103</v>
      </c>
      <c r="B825" t="s">
        <v>14</v>
      </c>
      <c r="D825" t="s">
        <v>38</v>
      </c>
      <c r="F825" t="s">
        <v>60</v>
      </c>
    </row>
    <row r="826" spans="1:6" x14ac:dyDescent="0.2">
      <c r="A826" t="s">
        <v>104</v>
      </c>
      <c r="B826" t="s">
        <v>13</v>
      </c>
      <c r="D826" t="s">
        <v>28</v>
      </c>
      <c r="F826" t="s">
        <v>60</v>
      </c>
    </row>
    <row r="827" spans="1:6" x14ac:dyDescent="0.2">
      <c r="A827" t="s">
        <v>104</v>
      </c>
      <c r="B827" t="s">
        <v>31</v>
      </c>
      <c r="D827" t="s">
        <v>17</v>
      </c>
      <c r="F827" t="s">
        <v>60</v>
      </c>
    </row>
    <row r="828" spans="1:6" x14ac:dyDescent="0.2">
      <c r="A828" t="s">
        <v>104</v>
      </c>
      <c r="B828" t="s">
        <v>21</v>
      </c>
      <c r="D828" t="s">
        <v>15</v>
      </c>
      <c r="F828" t="s">
        <v>60</v>
      </c>
    </row>
    <row r="829" spans="1:6" x14ac:dyDescent="0.2">
      <c r="A829" t="s">
        <v>104</v>
      </c>
      <c r="B829" t="s">
        <v>30</v>
      </c>
      <c r="D829" t="s">
        <v>27</v>
      </c>
      <c r="F829" t="s">
        <v>60</v>
      </c>
    </row>
    <row r="830" spans="1:6" x14ac:dyDescent="0.2">
      <c r="A830" t="s">
        <v>104</v>
      </c>
      <c r="B830" t="s">
        <v>55</v>
      </c>
      <c r="D830" t="s">
        <v>37</v>
      </c>
      <c r="F830" t="s">
        <v>60</v>
      </c>
    </row>
    <row r="831" spans="1:6" x14ac:dyDescent="0.2">
      <c r="A831" t="s">
        <v>105</v>
      </c>
      <c r="B831" t="s">
        <v>29</v>
      </c>
      <c r="D831" t="s">
        <v>21</v>
      </c>
      <c r="F831" t="s">
        <v>60</v>
      </c>
    </row>
    <row r="832" spans="1:6" x14ac:dyDescent="0.2">
      <c r="A832" t="s">
        <v>105</v>
      </c>
      <c r="B832" t="s">
        <v>13</v>
      </c>
      <c r="D832" t="s">
        <v>26</v>
      </c>
      <c r="F832" t="s">
        <v>60</v>
      </c>
    </row>
    <row r="833" spans="1:6" x14ac:dyDescent="0.2">
      <c r="A833" t="s">
        <v>105</v>
      </c>
      <c r="B833" t="s">
        <v>55</v>
      </c>
      <c r="D833" t="s">
        <v>11</v>
      </c>
      <c r="F833" t="s">
        <v>60</v>
      </c>
    </row>
    <row r="834" spans="1:6" x14ac:dyDescent="0.2">
      <c r="A834" t="s">
        <v>105</v>
      </c>
      <c r="B834" t="s">
        <v>10</v>
      </c>
      <c r="D834" t="s">
        <v>34</v>
      </c>
      <c r="F834" t="s">
        <v>60</v>
      </c>
    </row>
    <row r="835" spans="1:6" x14ac:dyDescent="0.2">
      <c r="A835" t="s">
        <v>105</v>
      </c>
      <c r="B835" t="s">
        <v>20</v>
      </c>
      <c r="D835" t="s">
        <v>18</v>
      </c>
      <c r="F835" t="s">
        <v>60</v>
      </c>
    </row>
    <row r="836" spans="1:6" x14ac:dyDescent="0.2">
      <c r="A836" t="s">
        <v>105</v>
      </c>
      <c r="B836" t="s">
        <v>40</v>
      </c>
      <c r="D836" t="s">
        <v>24</v>
      </c>
      <c r="F836" t="s">
        <v>60</v>
      </c>
    </row>
    <row r="837" spans="1:6" x14ac:dyDescent="0.2">
      <c r="A837" t="s">
        <v>105</v>
      </c>
      <c r="B837" t="s">
        <v>22</v>
      </c>
      <c r="D837" t="s">
        <v>32</v>
      </c>
      <c r="F837" t="s">
        <v>60</v>
      </c>
    </row>
    <row r="838" spans="1:6" x14ac:dyDescent="0.2">
      <c r="A838" t="s">
        <v>105</v>
      </c>
      <c r="B838" t="s">
        <v>39</v>
      </c>
      <c r="D838" t="s">
        <v>35</v>
      </c>
      <c r="F838" t="s">
        <v>60</v>
      </c>
    </row>
    <row r="839" spans="1:6" x14ac:dyDescent="0.2">
      <c r="A839" t="s">
        <v>105</v>
      </c>
      <c r="B839" t="s">
        <v>23</v>
      </c>
      <c r="D839" t="s">
        <v>19</v>
      </c>
      <c r="F839" t="s">
        <v>60</v>
      </c>
    </row>
    <row r="840" spans="1:6" x14ac:dyDescent="0.2">
      <c r="A840" t="s">
        <v>105</v>
      </c>
      <c r="B840" t="s">
        <v>33</v>
      </c>
      <c r="D840" t="s">
        <v>38</v>
      </c>
      <c r="F840" t="s">
        <v>60</v>
      </c>
    </row>
    <row r="841" spans="1:6" x14ac:dyDescent="0.2">
      <c r="A841" t="s">
        <v>106</v>
      </c>
      <c r="B841" t="s">
        <v>27</v>
      </c>
      <c r="D841" t="s">
        <v>28</v>
      </c>
      <c r="F841" t="s">
        <v>60</v>
      </c>
    </row>
    <row r="842" spans="1:6" x14ac:dyDescent="0.2">
      <c r="A842" t="s">
        <v>106</v>
      </c>
      <c r="B842" t="s">
        <v>15</v>
      </c>
      <c r="D842" t="s">
        <v>30</v>
      </c>
      <c r="F842" t="s">
        <v>60</v>
      </c>
    </row>
    <row r="843" spans="1:6" x14ac:dyDescent="0.2">
      <c r="A843" t="s">
        <v>106</v>
      </c>
      <c r="B843" t="s">
        <v>12</v>
      </c>
      <c r="D843" t="s">
        <v>36</v>
      </c>
      <c r="F843" t="s">
        <v>60</v>
      </c>
    </row>
    <row r="844" spans="1:6" x14ac:dyDescent="0.2">
      <c r="A844" t="s">
        <v>107</v>
      </c>
      <c r="B844" t="s">
        <v>27</v>
      </c>
      <c r="D844" t="s">
        <v>21</v>
      </c>
      <c r="F844" t="s">
        <v>60</v>
      </c>
    </row>
    <row r="845" spans="1:6" x14ac:dyDescent="0.2">
      <c r="A845" t="s">
        <v>107</v>
      </c>
      <c r="B845" t="s">
        <v>13</v>
      </c>
      <c r="D845" t="s">
        <v>23</v>
      </c>
      <c r="F845" t="s">
        <v>60</v>
      </c>
    </row>
    <row r="846" spans="1:6" x14ac:dyDescent="0.2">
      <c r="A846" t="s">
        <v>107</v>
      </c>
      <c r="B846" t="s">
        <v>55</v>
      </c>
      <c r="D846" t="s">
        <v>25</v>
      </c>
      <c r="F846" t="s">
        <v>60</v>
      </c>
    </row>
    <row r="847" spans="1:6" x14ac:dyDescent="0.2">
      <c r="A847" t="s">
        <v>107</v>
      </c>
      <c r="B847" t="s">
        <v>22</v>
      </c>
      <c r="D847" t="s">
        <v>26</v>
      </c>
      <c r="F847" t="s">
        <v>60</v>
      </c>
    </row>
    <row r="848" spans="1:6" x14ac:dyDescent="0.2">
      <c r="A848" t="s">
        <v>107</v>
      </c>
      <c r="B848" t="s">
        <v>33</v>
      </c>
      <c r="D848" t="s">
        <v>17</v>
      </c>
      <c r="F848" t="s">
        <v>60</v>
      </c>
    </row>
    <row r="849" spans="1:6" x14ac:dyDescent="0.2">
      <c r="A849" t="s">
        <v>107</v>
      </c>
      <c r="B849" t="s">
        <v>16</v>
      </c>
      <c r="D849" t="s">
        <v>34</v>
      </c>
      <c r="F849" t="s">
        <v>60</v>
      </c>
    </row>
    <row r="850" spans="1:6" x14ac:dyDescent="0.2">
      <c r="A850" t="s">
        <v>107</v>
      </c>
      <c r="B850" t="s">
        <v>12</v>
      </c>
      <c r="D850" t="s">
        <v>18</v>
      </c>
      <c r="F850" t="s">
        <v>60</v>
      </c>
    </row>
    <row r="851" spans="1:6" x14ac:dyDescent="0.2">
      <c r="A851" t="s">
        <v>107</v>
      </c>
      <c r="B851" t="s">
        <v>29</v>
      </c>
      <c r="D851" t="s">
        <v>24</v>
      </c>
      <c r="F851" t="s">
        <v>60</v>
      </c>
    </row>
    <row r="852" spans="1:6" x14ac:dyDescent="0.2">
      <c r="A852" t="s">
        <v>107</v>
      </c>
      <c r="B852" t="s">
        <v>30</v>
      </c>
      <c r="D852" t="s">
        <v>15</v>
      </c>
      <c r="F852" t="s">
        <v>60</v>
      </c>
    </row>
    <row r="853" spans="1:6" x14ac:dyDescent="0.2">
      <c r="A853" t="s">
        <v>107</v>
      </c>
      <c r="B853" t="s">
        <v>10</v>
      </c>
      <c r="D853" t="s">
        <v>14</v>
      </c>
      <c r="F853" t="s">
        <v>60</v>
      </c>
    </row>
    <row r="854" spans="1:6" x14ac:dyDescent="0.2">
      <c r="A854" t="s">
        <v>107</v>
      </c>
      <c r="B854" t="s">
        <v>19</v>
      </c>
      <c r="D854" t="s">
        <v>32</v>
      </c>
      <c r="F854" t="s">
        <v>60</v>
      </c>
    </row>
    <row r="855" spans="1:6" x14ac:dyDescent="0.2">
      <c r="A855" t="s">
        <v>107</v>
      </c>
      <c r="B855" t="s">
        <v>11</v>
      </c>
      <c r="D855" t="s">
        <v>35</v>
      </c>
      <c r="F855" t="s">
        <v>60</v>
      </c>
    </row>
    <row r="856" spans="1:6" x14ac:dyDescent="0.2">
      <c r="A856" t="s">
        <v>107</v>
      </c>
      <c r="B856" t="s">
        <v>40</v>
      </c>
      <c r="D856" t="s">
        <v>37</v>
      </c>
      <c r="F856" t="s">
        <v>60</v>
      </c>
    </row>
    <row r="857" spans="1:6" x14ac:dyDescent="0.2">
      <c r="A857" t="s">
        <v>107</v>
      </c>
      <c r="B857" t="s">
        <v>31</v>
      </c>
      <c r="D857" t="s">
        <v>38</v>
      </c>
      <c r="F857" t="s">
        <v>60</v>
      </c>
    </row>
    <row r="858" spans="1:6" x14ac:dyDescent="0.2">
      <c r="A858" t="s">
        <v>107</v>
      </c>
      <c r="B858" t="s">
        <v>39</v>
      </c>
      <c r="D858" t="s">
        <v>20</v>
      </c>
      <c r="F858" t="s">
        <v>60</v>
      </c>
    </row>
    <row r="859" spans="1:6" x14ac:dyDescent="0.2">
      <c r="A859" t="s">
        <v>108</v>
      </c>
      <c r="B859" t="s">
        <v>28</v>
      </c>
      <c r="D859" t="s">
        <v>10</v>
      </c>
      <c r="F859" t="s">
        <v>60</v>
      </c>
    </row>
    <row r="860" spans="1:6" x14ac:dyDescent="0.2">
      <c r="A860" t="s">
        <v>109</v>
      </c>
      <c r="B860" t="s">
        <v>18</v>
      </c>
      <c r="D860" t="s">
        <v>23</v>
      </c>
      <c r="F860" t="s">
        <v>60</v>
      </c>
    </row>
    <row r="861" spans="1:6" x14ac:dyDescent="0.2">
      <c r="A861" t="s">
        <v>109</v>
      </c>
      <c r="B861" t="s">
        <v>33</v>
      </c>
      <c r="D861" t="s">
        <v>16</v>
      </c>
      <c r="F861" t="s">
        <v>60</v>
      </c>
    </row>
    <row r="862" spans="1:6" x14ac:dyDescent="0.2">
      <c r="A862" t="s">
        <v>109</v>
      </c>
      <c r="B862" t="s">
        <v>12</v>
      </c>
      <c r="D862" t="s">
        <v>26</v>
      </c>
      <c r="F862" t="s">
        <v>60</v>
      </c>
    </row>
    <row r="863" spans="1:6" x14ac:dyDescent="0.2">
      <c r="A863" t="s">
        <v>109</v>
      </c>
      <c r="B863" t="s">
        <v>34</v>
      </c>
      <c r="D863" t="s">
        <v>17</v>
      </c>
      <c r="F863" t="s">
        <v>60</v>
      </c>
    </row>
    <row r="864" spans="1:6" x14ac:dyDescent="0.2">
      <c r="A864" t="s">
        <v>109</v>
      </c>
      <c r="B864" t="s">
        <v>40</v>
      </c>
      <c r="D864" t="s">
        <v>11</v>
      </c>
      <c r="F864" t="s">
        <v>60</v>
      </c>
    </row>
    <row r="865" spans="1:6" x14ac:dyDescent="0.2">
      <c r="A865" t="s">
        <v>109</v>
      </c>
      <c r="B865" t="s">
        <v>29</v>
      </c>
      <c r="D865" t="s">
        <v>30</v>
      </c>
      <c r="F865" t="s">
        <v>60</v>
      </c>
    </row>
    <row r="866" spans="1:6" x14ac:dyDescent="0.2">
      <c r="A866" t="s">
        <v>109</v>
      </c>
      <c r="B866" t="s">
        <v>24</v>
      </c>
      <c r="D866" t="s">
        <v>36</v>
      </c>
      <c r="F866" t="s">
        <v>60</v>
      </c>
    </row>
    <row r="867" spans="1:6" x14ac:dyDescent="0.2">
      <c r="A867" t="s">
        <v>109</v>
      </c>
      <c r="B867" t="s">
        <v>13</v>
      </c>
      <c r="D867" t="s">
        <v>27</v>
      </c>
      <c r="F867" t="s">
        <v>60</v>
      </c>
    </row>
    <row r="868" spans="1:6" x14ac:dyDescent="0.2">
      <c r="A868" t="s">
        <v>109</v>
      </c>
      <c r="B868" t="s">
        <v>15</v>
      </c>
      <c r="D868" t="s">
        <v>14</v>
      </c>
      <c r="F868" t="s">
        <v>60</v>
      </c>
    </row>
    <row r="869" spans="1:6" x14ac:dyDescent="0.2">
      <c r="A869" t="s">
        <v>109</v>
      </c>
      <c r="B869" t="s">
        <v>28</v>
      </c>
      <c r="D869" t="s">
        <v>35</v>
      </c>
      <c r="F869" t="s">
        <v>60</v>
      </c>
    </row>
    <row r="870" spans="1:6" x14ac:dyDescent="0.2">
      <c r="A870" t="s">
        <v>109</v>
      </c>
      <c r="B870" t="s">
        <v>39</v>
      </c>
      <c r="D870" t="s">
        <v>55</v>
      </c>
      <c r="F870" t="s">
        <v>60</v>
      </c>
    </row>
    <row r="871" spans="1:6" x14ac:dyDescent="0.2">
      <c r="A871" t="s">
        <v>109</v>
      </c>
      <c r="B871" t="s">
        <v>19</v>
      </c>
      <c r="D871" t="s">
        <v>38</v>
      </c>
      <c r="F871" t="s">
        <v>60</v>
      </c>
    </row>
    <row r="872" spans="1:6" x14ac:dyDescent="0.2">
      <c r="A872" t="s">
        <v>109</v>
      </c>
      <c r="B872" t="s">
        <v>32</v>
      </c>
      <c r="D872" t="s">
        <v>20</v>
      </c>
      <c r="F872" t="s">
        <v>60</v>
      </c>
    </row>
    <row r="873" spans="1:6" x14ac:dyDescent="0.2">
      <c r="A873" t="s">
        <v>109</v>
      </c>
      <c r="B873" t="s">
        <v>25</v>
      </c>
      <c r="D873" t="s">
        <v>22</v>
      </c>
      <c r="F873" t="s">
        <v>60</v>
      </c>
    </row>
    <row r="874" spans="1:6" x14ac:dyDescent="0.2">
      <c r="A874" t="s">
        <v>110</v>
      </c>
      <c r="B874" t="s">
        <v>20</v>
      </c>
      <c r="D874" t="s">
        <v>31</v>
      </c>
      <c r="F874" t="s">
        <v>60</v>
      </c>
    </row>
    <row r="875" spans="1:6" x14ac:dyDescent="0.2">
      <c r="A875" t="s">
        <v>110</v>
      </c>
      <c r="B875" t="s">
        <v>13</v>
      </c>
      <c r="D875" t="s">
        <v>25</v>
      </c>
      <c r="F875" t="s">
        <v>60</v>
      </c>
    </row>
    <row r="876" spans="1:6" x14ac:dyDescent="0.2">
      <c r="A876" t="s">
        <v>110</v>
      </c>
      <c r="B876" t="s">
        <v>21</v>
      </c>
      <c r="D876" t="s">
        <v>37</v>
      </c>
      <c r="F876" t="s">
        <v>60</v>
      </c>
    </row>
    <row r="877" spans="1:6" x14ac:dyDescent="0.2">
      <c r="A877" t="s">
        <v>111</v>
      </c>
      <c r="B877" t="s">
        <v>19</v>
      </c>
      <c r="D877" t="s">
        <v>16</v>
      </c>
      <c r="F877" t="s">
        <v>60</v>
      </c>
    </row>
    <row r="878" spans="1:6" x14ac:dyDescent="0.2">
      <c r="A878" t="s">
        <v>111</v>
      </c>
      <c r="B878" t="s">
        <v>33</v>
      </c>
      <c r="D878" t="s">
        <v>10</v>
      </c>
      <c r="F878" t="s">
        <v>60</v>
      </c>
    </row>
    <row r="879" spans="1:6" x14ac:dyDescent="0.2">
      <c r="A879" t="s">
        <v>111</v>
      </c>
      <c r="B879" t="s">
        <v>26</v>
      </c>
      <c r="D879" t="s">
        <v>12</v>
      </c>
      <c r="F879" t="s">
        <v>60</v>
      </c>
    </row>
    <row r="880" spans="1:6" x14ac:dyDescent="0.2">
      <c r="A880" t="s">
        <v>111</v>
      </c>
      <c r="B880" t="s">
        <v>40</v>
      </c>
      <c r="D880" t="s">
        <v>39</v>
      </c>
      <c r="F880" t="s">
        <v>60</v>
      </c>
    </row>
    <row r="881" spans="1:6" x14ac:dyDescent="0.2">
      <c r="A881" t="s">
        <v>111</v>
      </c>
      <c r="B881" t="s">
        <v>23</v>
      </c>
      <c r="D881" t="s">
        <v>11</v>
      </c>
      <c r="F881" t="s">
        <v>60</v>
      </c>
    </row>
    <row r="882" spans="1:6" x14ac:dyDescent="0.2">
      <c r="A882" t="s">
        <v>111</v>
      </c>
      <c r="B882" t="s">
        <v>18</v>
      </c>
      <c r="D882" t="s">
        <v>34</v>
      </c>
      <c r="F882" t="s">
        <v>60</v>
      </c>
    </row>
    <row r="883" spans="1:6" x14ac:dyDescent="0.2">
      <c r="A883" t="s">
        <v>111</v>
      </c>
      <c r="B883" t="s">
        <v>35</v>
      </c>
      <c r="D883" t="s">
        <v>29</v>
      </c>
      <c r="F883" t="s">
        <v>60</v>
      </c>
    </row>
    <row r="884" spans="1:6" x14ac:dyDescent="0.2">
      <c r="A884" t="s">
        <v>111</v>
      </c>
      <c r="B884" t="s">
        <v>36</v>
      </c>
      <c r="D884" t="s">
        <v>14</v>
      </c>
      <c r="F884" t="s">
        <v>60</v>
      </c>
    </row>
    <row r="885" spans="1:6" x14ac:dyDescent="0.2">
      <c r="A885" t="s">
        <v>111</v>
      </c>
      <c r="B885" t="s">
        <v>38</v>
      </c>
      <c r="D885" t="s">
        <v>55</v>
      </c>
      <c r="F885" t="s">
        <v>60</v>
      </c>
    </row>
    <row r="886" spans="1:6" x14ac:dyDescent="0.2">
      <c r="A886" t="s">
        <v>111</v>
      </c>
      <c r="B886" t="s">
        <v>30</v>
      </c>
      <c r="D886" t="s">
        <v>22</v>
      </c>
      <c r="F886" t="s">
        <v>60</v>
      </c>
    </row>
    <row r="887" spans="1:6" x14ac:dyDescent="0.2">
      <c r="A887" t="s">
        <v>112</v>
      </c>
      <c r="B887" t="s">
        <v>32</v>
      </c>
      <c r="D887" t="s">
        <v>31</v>
      </c>
      <c r="F887" t="s">
        <v>60</v>
      </c>
    </row>
    <row r="888" spans="1:6" x14ac:dyDescent="0.2">
      <c r="A888" t="s">
        <v>112</v>
      </c>
      <c r="B888" t="s">
        <v>36</v>
      </c>
      <c r="D888" t="s">
        <v>25</v>
      </c>
      <c r="F888" t="s">
        <v>60</v>
      </c>
    </row>
    <row r="889" spans="1:6" x14ac:dyDescent="0.2">
      <c r="A889" t="s">
        <v>112</v>
      </c>
      <c r="B889" t="s">
        <v>19</v>
      </c>
      <c r="D889" t="s">
        <v>17</v>
      </c>
      <c r="F889" t="s">
        <v>60</v>
      </c>
    </row>
    <row r="890" spans="1:6" x14ac:dyDescent="0.2">
      <c r="A890" t="s">
        <v>112</v>
      </c>
      <c r="B890" t="s">
        <v>28</v>
      </c>
      <c r="D890" t="s">
        <v>24</v>
      </c>
      <c r="F890" t="s">
        <v>60</v>
      </c>
    </row>
    <row r="891" spans="1:6" x14ac:dyDescent="0.2">
      <c r="A891" t="s">
        <v>112</v>
      </c>
      <c r="B891" t="s">
        <v>14</v>
      </c>
      <c r="D891" t="s">
        <v>30</v>
      </c>
      <c r="F891" t="s">
        <v>60</v>
      </c>
    </row>
    <row r="892" spans="1:6" x14ac:dyDescent="0.2">
      <c r="A892" t="s">
        <v>112</v>
      </c>
      <c r="B892" t="s">
        <v>22</v>
      </c>
      <c r="D892" t="s">
        <v>27</v>
      </c>
      <c r="F892" t="s">
        <v>60</v>
      </c>
    </row>
    <row r="893" spans="1:6" x14ac:dyDescent="0.2">
      <c r="A893" t="s">
        <v>112</v>
      </c>
      <c r="B893" t="s">
        <v>23</v>
      </c>
      <c r="D893" t="s">
        <v>37</v>
      </c>
      <c r="F893" t="s">
        <v>60</v>
      </c>
    </row>
    <row r="894" spans="1:6" x14ac:dyDescent="0.2">
      <c r="A894" t="s">
        <v>113</v>
      </c>
      <c r="B894" t="s">
        <v>10</v>
      </c>
      <c r="D894" t="s">
        <v>28</v>
      </c>
      <c r="F894" t="s">
        <v>60</v>
      </c>
    </row>
    <row r="895" spans="1:6" x14ac:dyDescent="0.2">
      <c r="A895" t="s">
        <v>113</v>
      </c>
      <c r="B895" t="s">
        <v>17</v>
      </c>
      <c r="D895" t="s">
        <v>16</v>
      </c>
      <c r="F895" t="s">
        <v>60</v>
      </c>
    </row>
    <row r="896" spans="1:6" x14ac:dyDescent="0.2">
      <c r="A896" t="s">
        <v>113</v>
      </c>
      <c r="B896" t="s">
        <v>33</v>
      </c>
      <c r="D896" t="s">
        <v>12</v>
      </c>
      <c r="F896" t="s">
        <v>60</v>
      </c>
    </row>
    <row r="897" spans="1:6" x14ac:dyDescent="0.2">
      <c r="A897" t="s">
        <v>113</v>
      </c>
      <c r="B897" t="s">
        <v>35</v>
      </c>
      <c r="D897" t="s">
        <v>39</v>
      </c>
      <c r="F897" t="s">
        <v>60</v>
      </c>
    </row>
    <row r="898" spans="1:6" x14ac:dyDescent="0.2">
      <c r="A898" t="s">
        <v>113</v>
      </c>
      <c r="B898" t="s">
        <v>21</v>
      </c>
      <c r="D898" t="s">
        <v>11</v>
      </c>
      <c r="F898" t="s">
        <v>60</v>
      </c>
    </row>
    <row r="899" spans="1:6" x14ac:dyDescent="0.2">
      <c r="A899" t="s">
        <v>113</v>
      </c>
      <c r="B899" t="s">
        <v>32</v>
      </c>
      <c r="D899" t="s">
        <v>13</v>
      </c>
      <c r="F899" t="s">
        <v>60</v>
      </c>
    </row>
    <row r="900" spans="1:6" x14ac:dyDescent="0.2">
      <c r="A900" t="s">
        <v>113</v>
      </c>
      <c r="B900" t="s">
        <v>34</v>
      </c>
      <c r="D900" t="s">
        <v>29</v>
      </c>
      <c r="F900" t="s">
        <v>60</v>
      </c>
    </row>
    <row r="901" spans="1:6" x14ac:dyDescent="0.2">
      <c r="A901" t="s">
        <v>113</v>
      </c>
      <c r="B901" t="s">
        <v>26</v>
      </c>
      <c r="D901" t="s">
        <v>55</v>
      </c>
      <c r="F901" t="s">
        <v>60</v>
      </c>
    </row>
    <row r="902" spans="1:6" x14ac:dyDescent="0.2">
      <c r="A902" t="s">
        <v>113</v>
      </c>
      <c r="B902" t="s">
        <v>38</v>
      </c>
      <c r="D902" t="s">
        <v>20</v>
      </c>
      <c r="F902" t="s">
        <v>60</v>
      </c>
    </row>
    <row r="903" spans="1:6" x14ac:dyDescent="0.2">
      <c r="A903" t="s">
        <v>113</v>
      </c>
      <c r="B903" t="s">
        <v>18</v>
      </c>
      <c r="D903" t="s">
        <v>40</v>
      </c>
      <c r="F903" t="s">
        <v>60</v>
      </c>
    </row>
    <row r="904" spans="1:6" x14ac:dyDescent="0.2">
      <c r="A904" t="s">
        <v>114</v>
      </c>
      <c r="B904" t="s">
        <v>14</v>
      </c>
      <c r="D904" t="s">
        <v>23</v>
      </c>
      <c r="F904" t="s">
        <v>60</v>
      </c>
    </row>
    <row r="905" spans="1:6" x14ac:dyDescent="0.2">
      <c r="A905" t="s">
        <v>114</v>
      </c>
      <c r="B905" t="s">
        <v>30</v>
      </c>
      <c r="D905" t="s">
        <v>24</v>
      </c>
      <c r="F905" t="s">
        <v>60</v>
      </c>
    </row>
    <row r="906" spans="1:6" x14ac:dyDescent="0.2">
      <c r="A906" t="s">
        <v>114</v>
      </c>
      <c r="B906" t="s">
        <v>25</v>
      </c>
      <c r="D906" t="s">
        <v>15</v>
      </c>
      <c r="F906" t="s">
        <v>60</v>
      </c>
    </row>
    <row r="907" spans="1:6" x14ac:dyDescent="0.2">
      <c r="A907" t="s">
        <v>114</v>
      </c>
      <c r="B907" t="s">
        <v>36</v>
      </c>
      <c r="D907" t="s">
        <v>27</v>
      </c>
      <c r="F907" t="s">
        <v>60</v>
      </c>
    </row>
    <row r="908" spans="1:6" x14ac:dyDescent="0.2">
      <c r="A908" t="s">
        <v>114</v>
      </c>
      <c r="B908" t="s">
        <v>11</v>
      </c>
      <c r="D908" t="s">
        <v>37</v>
      </c>
      <c r="F908" t="s">
        <v>60</v>
      </c>
    </row>
    <row r="909" spans="1:6" x14ac:dyDescent="0.2">
      <c r="A909" t="s">
        <v>114</v>
      </c>
      <c r="B909" t="s">
        <v>13</v>
      </c>
      <c r="D909" t="s">
        <v>20</v>
      </c>
      <c r="F909" t="s">
        <v>60</v>
      </c>
    </row>
    <row r="910" spans="1:6" x14ac:dyDescent="0.2">
      <c r="A910" t="s">
        <v>114</v>
      </c>
      <c r="B910" t="s">
        <v>29</v>
      </c>
      <c r="D910" t="s">
        <v>22</v>
      </c>
      <c r="F910" t="s">
        <v>60</v>
      </c>
    </row>
    <row r="911" spans="1:6" x14ac:dyDescent="0.2">
      <c r="A911" t="s">
        <v>115</v>
      </c>
      <c r="B911" t="s">
        <v>17</v>
      </c>
      <c r="D911" t="s">
        <v>31</v>
      </c>
      <c r="F911" t="s">
        <v>60</v>
      </c>
    </row>
    <row r="912" spans="1:6" x14ac:dyDescent="0.2">
      <c r="A912" t="s">
        <v>115</v>
      </c>
      <c r="B912" t="s">
        <v>32</v>
      </c>
      <c r="D912" t="s">
        <v>39</v>
      </c>
      <c r="F912" t="s">
        <v>60</v>
      </c>
    </row>
    <row r="913" spans="1:6" x14ac:dyDescent="0.2">
      <c r="A913" t="s">
        <v>115</v>
      </c>
      <c r="B913" t="s">
        <v>20</v>
      </c>
      <c r="D913" t="s">
        <v>13</v>
      </c>
      <c r="F913" t="s">
        <v>60</v>
      </c>
    </row>
    <row r="914" spans="1:6" x14ac:dyDescent="0.2">
      <c r="A914" t="s">
        <v>115</v>
      </c>
      <c r="B914" t="s">
        <v>23</v>
      </c>
      <c r="D914" t="s">
        <v>24</v>
      </c>
      <c r="F914" t="s">
        <v>60</v>
      </c>
    </row>
    <row r="915" spans="1:6" x14ac:dyDescent="0.2">
      <c r="A915" t="s">
        <v>115</v>
      </c>
      <c r="B915" t="s">
        <v>19</v>
      </c>
      <c r="D915" t="s">
        <v>37</v>
      </c>
      <c r="F915" t="s">
        <v>60</v>
      </c>
    </row>
    <row r="916" spans="1:6" x14ac:dyDescent="0.2">
      <c r="A916" t="s">
        <v>115</v>
      </c>
      <c r="B916" t="s">
        <v>12</v>
      </c>
      <c r="D916" t="s">
        <v>55</v>
      </c>
      <c r="F916" t="s">
        <v>60</v>
      </c>
    </row>
    <row r="917" spans="1:6" x14ac:dyDescent="0.2">
      <c r="A917" t="s">
        <v>115</v>
      </c>
      <c r="B917" t="s">
        <v>40</v>
      </c>
      <c r="D917" t="s">
        <v>38</v>
      </c>
      <c r="F917" t="s">
        <v>60</v>
      </c>
    </row>
    <row r="918" spans="1:6" x14ac:dyDescent="0.2">
      <c r="A918" t="s">
        <v>115</v>
      </c>
      <c r="B918" t="s">
        <v>27</v>
      </c>
      <c r="D918" t="s">
        <v>22</v>
      </c>
      <c r="F918" t="s">
        <v>60</v>
      </c>
    </row>
    <row r="919" spans="1:6" x14ac:dyDescent="0.2">
      <c r="A919" t="s">
        <v>116</v>
      </c>
      <c r="B919" t="s">
        <v>28</v>
      </c>
      <c r="D919" t="s">
        <v>21</v>
      </c>
      <c r="F919" t="s">
        <v>60</v>
      </c>
    </row>
    <row r="920" spans="1:6" x14ac:dyDescent="0.2">
      <c r="A920" t="s">
        <v>116</v>
      </c>
      <c r="B920" t="s">
        <v>37</v>
      </c>
      <c r="D920" t="s">
        <v>25</v>
      </c>
      <c r="F920" t="s">
        <v>60</v>
      </c>
    </row>
    <row r="921" spans="1:6" x14ac:dyDescent="0.2">
      <c r="A921" t="s">
        <v>116</v>
      </c>
      <c r="B921" t="s">
        <v>34</v>
      </c>
      <c r="D921" t="s">
        <v>12</v>
      </c>
      <c r="F921" t="s">
        <v>60</v>
      </c>
    </row>
    <row r="922" spans="1:6" x14ac:dyDescent="0.2">
      <c r="A922" t="s">
        <v>116</v>
      </c>
      <c r="B922" t="s">
        <v>19</v>
      </c>
      <c r="D922" t="s">
        <v>11</v>
      </c>
      <c r="F922" t="s">
        <v>60</v>
      </c>
    </row>
    <row r="923" spans="1:6" x14ac:dyDescent="0.2">
      <c r="A923" t="s">
        <v>116</v>
      </c>
      <c r="B923" t="s">
        <v>17</v>
      </c>
      <c r="D923" t="s">
        <v>13</v>
      </c>
      <c r="F923" t="s">
        <v>60</v>
      </c>
    </row>
    <row r="924" spans="1:6" x14ac:dyDescent="0.2">
      <c r="A924" t="s">
        <v>116</v>
      </c>
      <c r="B924" t="s">
        <v>30</v>
      </c>
      <c r="D924" t="s">
        <v>18</v>
      </c>
      <c r="F924" t="s">
        <v>60</v>
      </c>
    </row>
    <row r="925" spans="1:6" x14ac:dyDescent="0.2">
      <c r="A925" t="s">
        <v>116</v>
      </c>
      <c r="B925" t="s">
        <v>10</v>
      </c>
      <c r="D925" t="s">
        <v>29</v>
      </c>
      <c r="F925" t="s">
        <v>60</v>
      </c>
    </row>
    <row r="926" spans="1:6" x14ac:dyDescent="0.2">
      <c r="A926" t="s">
        <v>116</v>
      </c>
      <c r="B926" t="s">
        <v>27</v>
      </c>
      <c r="D926" t="s">
        <v>15</v>
      </c>
      <c r="F926" t="s">
        <v>60</v>
      </c>
    </row>
    <row r="927" spans="1:6" x14ac:dyDescent="0.2">
      <c r="A927" t="s">
        <v>116</v>
      </c>
      <c r="B927" t="s">
        <v>26</v>
      </c>
      <c r="D927" t="s">
        <v>36</v>
      </c>
      <c r="F927" t="s">
        <v>60</v>
      </c>
    </row>
    <row r="928" spans="1:6" x14ac:dyDescent="0.2">
      <c r="A928" t="s">
        <v>116</v>
      </c>
      <c r="B928" t="s">
        <v>24</v>
      </c>
      <c r="D928" t="s">
        <v>14</v>
      </c>
      <c r="F928" t="s">
        <v>60</v>
      </c>
    </row>
    <row r="929" spans="1:6" x14ac:dyDescent="0.2">
      <c r="A929" t="s">
        <v>116</v>
      </c>
      <c r="B929" t="s">
        <v>16</v>
      </c>
      <c r="D929" t="s">
        <v>33</v>
      </c>
      <c r="F929" t="s">
        <v>60</v>
      </c>
    </row>
    <row r="930" spans="1:6" x14ac:dyDescent="0.2">
      <c r="A930" t="s">
        <v>116</v>
      </c>
      <c r="B930" t="s">
        <v>32</v>
      </c>
      <c r="D930" t="s">
        <v>35</v>
      </c>
      <c r="F930" t="s">
        <v>60</v>
      </c>
    </row>
    <row r="931" spans="1:6" x14ac:dyDescent="0.2">
      <c r="A931" t="s">
        <v>117</v>
      </c>
      <c r="B931" t="s">
        <v>40</v>
      </c>
      <c r="D931" t="s">
        <v>31</v>
      </c>
      <c r="F931" t="s">
        <v>60</v>
      </c>
    </row>
    <row r="932" spans="1:6" x14ac:dyDescent="0.2">
      <c r="A932" t="s">
        <v>117</v>
      </c>
      <c r="B932" t="s">
        <v>23</v>
      </c>
      <c r="D932" t="s">
        <v>11</v>
      </c>
      <c r="F932" t="s">
        <v>60</v>
      </c>
    </row>
    <row r="933" spans="1:6" x14ac:dyDescent="0.2">
      <c r="A933" t="s">
        <v>117</v>
      </c>
      <c r="B933" t="s">
        <v>34</v>
      </c>
      <c r="D933" t="s">
        <v>55</v>
      </c>
      <c r="F933" t="s">
        <v>60</v>
      </c>
    </row>
    <row r="934" spans="1:6" x14ac:dyDescent="0.2">
      <c r="A934" t="s">
        <v>117</v>
      </c>
      <c r="B934" t="s">
        <v>20</v>
      </c>
      <c r="D934" t="s">
        <v>22</v>
      </c>
      <c r="F934" t="s">
        <v>60</v>
      </c>
    </row>
    <row r="935" spans="1:6" x14ac:dyDescent="0.2">
      <c r="A935" t="s">
        <v>118</v>
      </c>
      <c r="B935" t="s">
        <v>26</v>
      </c>
      <c r="D935" t="s">
        <v>25</v>
      </c>
      <c r="F935" t="s">
        <v>60</v>
      </c>
    </row>
    <row r="936" spans="1:6" x14ac:dyDescent="0.2">
      <c r="A936" t="s">
        <v>118</v>
      </c>
      <c r="B936" t="s">
        <v>30</v>
      </c>
      <c r="D936" t="s">
        <v>28</v>
      </c>
      <c r="F936" t="s">
        <v>60</v>
      </c>
    </row>
    <row r="937" spans="1:6" x14ac:dyDescent="0.2">
      <c r="A937" t="s">
        <v>118</v>
      </c>
      <c r="B937" t="s">
        <v>10</v>
      </c>
      <c r="D937" t="s">
        <v>12</v>
      </c>
      <c r="F937" t="s">
        <v>60</v>
      </c>
    </row>
    <row r="938" spans="1:6" x14ac:dyDescent="0.2">
      <c r="A938" t="s">
        <v>118</v>
      </c>
      <c r="B938" t="s">
        <v>29</v>
      </c>
      <c r="D938" t="s">
        <v>39</v>
      </c>
      <c r="F938" t="s">
        <v>60</v>
      </c>
    </row>
    <row r="939" spans="1:6" x14ac:dyDescent="0.2">
      <c r="A939" t="s">
        <v>118</v>
      </c>
      <c r="B939" t="s">
        <v>16</v>
      </c>
      <c r="D939" t="s">
        <v>13</v>
      </c>
      <c r="F939" t="s">
        <v>60</v>
      </c>
    </row>
    <row r="940" spans="1:6" x14ac:dyDescent="0.2">
      <c r="A940" t="s">
        <v>118</v>
      </c>
      <c r="B940" t="s">
        <v>22</v>
      </c>
      <c r="D940" t="s">
        <v>18</v>
      </c>
      <c r="F940" t="s">
        <v>60</v>
      </c>
    </row>
    <row r="941" spans="1:6" x14ac:dyDescent="0.2">
      <c r="A941" t="s">
        <v>118</v>
      </c>
      <c r="B941" t="s">
        <v>14</v>
      </c>
      <c r="D941" t="s">
        <v>15</v>
      </c>
      <c r="F941" t="s">
        <v>60</v>
      </c>
    </row>
    <row r="942" spans="1:6" x14ac:dyDescent="0.2">
      <c r="A942" t="s">
        <v>118</v>
      </c>
      <c r="B942" t="s">
        <v>21</v>
      </c>
      <c r="D942" t="s">
        <v>27</v>
      </c>
      <c r="F942" t="s">
        <v>60</v>
      </c>
    </row>
    <row r="943" spans="1:6" x14ac:dyDescent="0.2">
      <c r="A943" t="s">
        <v>118</v>
      </c>
      <c r="B943" t="s">
        <v>38</v>
      </c>
      <c r="D943" t="s">
        <v>32</v>
      </c>
      <c r="F943" t="s">
        <v>60</v>
      </c>
    </row>
    <row r="944" spans="1:6" x14ac:dyDescent="0.2">
      <c r="A944" t="s">
        <v>118</v>
      </c>
      <c r="B944" t="s">
        <v>17</v>
      </c>
      <c r="D944" t="s">
        <v>33</v>
      </c>
      <c r="F944" t="s">
        <v>60</v>
      </c>
    </row>
    <row r="945" spans="1:6" x14ac:dyDescent="0.2">
      <c r="A945" t="s">
        <v>118</v>
      </c>
      <c r="B945" t="s">
        <v>24</v>
      </c>
      <c r="D945" t="s">
        <v>35</v>
      </c>
      <c r="F945" t="s">
        <v>60</v>
      </c>
    </row>
    <row r="946" spans="1:6" x14ac:dyDescent="0.2">
      <c r="A946" t="s">
        <v>118</v>
      </c>
      <c r="B946" t="s">
        <v>23</v>
      </c>
      <c r="D946" t="s">
        <v>37</v>
      </c>
      <c r="F946" t="s">
        <v>60</v>
      </c>
    </row>
    <row r="947" spans="1:6" x14ac:dyDescent="0.2">
      <c r="A947" t="s">
        <v>118</v>
      </c>
      <c r="B947" t="s">
        <v>36</v>
      </c>
      <c r="D947" t="s">
        <v>19</v>
      </c>
      <c r="F947" t="s">
        <v>60</v>
      </c>
    </row>
    <row r="948" spans="1:6" x14ac:dyDescent="0.2">
      <c r="A948" t="s">
        <v>119</v>
      </c>
      <c r="B948" t="s">
        <v>16</v>
      </c>
      <c r="D948" t="s">
        <v>31</v>
      </c>
      <c r="F948" t="s">
        <v>60</v>
      </c>
    </row>
    <row r="949" spans="1:6" x14ac:dyDescent="0.2">
      <c r="A949" t="s">
        <v>119</v>
      </c>
      <c r="B949" t="s">
        <v>35</v>
      </c>
      <c r="D949" t="s">
        <v>34</v>
      </c>
      <c r="F949" t="s">
        <v>60</v>
      </c>
    </row>
    <row r="950" spans="1:6" x14ac:dyDescent="0.2">
      <c r="A950" t="s">
        <v>119</v>
      </c>
      <c r="B950" t="s">
        <v>11</v>
      </c>
      <c r="D950" t="s">
        <v>30</v>
      </c>
      <c r="F950" t="s">
        <v>60</v>
      </c>
    </row>
    <row r="951" spans="1:6" x14ac:dyDescent="0.2">
      <c r="A951" t="s">
        <v>119</v>
      </c>
      <c r="B951" t="s">
        <v>20</v>
      </c>
      <c r="D951" t="s">
        <v>14</v>
      </c>
      <c r="F951" t="s">
        <v>60</v>
      </c>
    </row>
    <row r="952" spans="1:6" x14ac:dyDescent="0.2">
      <c r="A952" t="s">
        <v>119</v>
      </c>
      <c r="B952" t="s">
        <v>40</v>
      </c>
      <c r="D952" t="s">
        <v>33</v>
      </c>
      <c r="F952" t="s">
        <v>60</v>
      </c>
    </row>
    <row r="953" spans="1:6" x14ac:dyDescent="0.2">
      <c r="A953" t="s">
        <v>119</v>
      </c>
      <c r="B953" t="s">
        <v>10</v>
      </c>
      <c r="D953" t="s">
        <v>55</v>
      </c>
      <c r="F953" t="s">
        <v>60</v>
      </c>
    </row>
    <row r="954" spans="1:6" x14ac:dyDescent="0.2">
      <c r="A954" t="s">
        <v>120</v>
      </c>
      <c r="B954" t="s">
        <v>12</v>
      </c>
      <c r="D954" t="s">
        <v>13</v>
      </c>
      <c r="F954" t="s">
        <v>60</v>
      </c>
    </row>
    <row r="955" spans="1:6" x14ac:dyDescent="0.2">
      <c r="A955" t="s">
        <v>120</v>
      </c>
      <c r="B955" t="s">
        <v>26</v>
      </c>
      <c r="D955" t="s">
        <v>29</v>
      </c>
      <c r="F955" t="s">
        <v>60</v>
      </c>
    </row>
    <row r="956" spans="1:6" x14ac:dyDescent="0.2">
      <c r="A956" t="s">
        <v>120</v>
      </c>
      <c r="B956" t="s">
        <v>28</v>
      </c>
      <c r="D956" t="s">
        <v>15</v>
      </c>
      <c r="F956" t="s">
        <v>60</v>
      </c>
    </row>
    <row r="957" spans="1:6" x14ac:dyDescent="0.2">
      <c r="A957" t="s">
        <v>120</v>
      </c>
      <c r="B957" t="s">
        <v>25</v>
      </c>
      <c r="D957" t="s">
        <v>32</v>
      </c>
      <c r="F957" t="s">
        <v>60</v>
      </c>
    </row>
    <row r="958" spans="1:6" x14ac:dyDescent="0.2">
      <c r="A958" t="s">
        <v>120</v>
      </c>
      <c r="B958" t="s">
        <v>27</v>
      </c>
      <c r="D958" t="s">
        <v>19</v>
      </c>
      <c r="F958" t="s">
        <v>60</v>
      </c>
    </row>
    <row r="959" spans="1:6" x14ac:dyDescent="0.2">
      <c r="A959" t="s">
        <v>120</v>
      </c>
      <c r="B959" t="s">
        <v>39</v>
      </c>
      <c r="D959" t="s">
        <v>38</v>
      </c>
      <c r="F959" t="s">
        <v>60</v>
      </c>
    </row>
    <row r="960" spans="1:6" x14ac:dyDescent="0.2">
      <c r="A960" t="s">
        <v>121</v>
      </c>
      <c r="B960" t="s">
        <v>12</v>
      </c>
      <c r="D960" t="s">
        <v>31</v>
      </c>
      <c r="F960" t="s">
        <v>60</v>
      </c>
    </row>
    <row r="961" spans="1:6" x14ac:dyDescent="0.2">
      <c r="A961" t="s">
        <v>121</v>
      </c>
      <c r="B961" t="s">
        <v>14</v>
      </c>
      <c r="D961" t="s">
        <v>21</v>
      </c>
      <c r="F961" t="s">
        <v>60</v>
      </c>
    </row>
    <row r="962" spans="1:6" x14ac:dyDescent="0.2">
      <c r="A962" t="s">
        <v>121</v>
      </c>
      <c r="B962" t="s">
        <v>20</v>
      </c>
      <c r="D962" t="s">
        <v>23</v>
      </c>
      <c r="F962" t="s">
        <v>60</v>
      </c>
    </row>
    <row r="963" spans="1:6" x14ac:dyDescent="0.2">
      <c r="A963" t="s">
        <v>121</v>
      </c>
      <c r="B963" t="s">
        <v>29</v>
      </c>
      <c r="D963" t="s">
        <v>28</v>
      </c>
      <c r="F963" t="s">
        <v>60</v>
      </c>
    </row>
    <row r="964" spans="1:6" x14ac:dyDescent="0.2">
      <c r="A964" t="s">
        <v>121</v>
      </c>
      <c r="B964" t="s">
        <v>39</v>
      </c>
      <c r="D964" t="s">
        <v>16</v>
      </c>
      <c r="F964" t="s">
        <v>60</v>
      </c>
    </row>
    <row r="965" spans="1:6" x14ac:dyDescent="0.2">
      <c r="A965" t="s">
        <v>121</v>
      </c>
      <c r="B965" t="s">
        <v>36</v>
      </c>
      <c r="D965" t="s">
        <v>17</v>
      </c>
      <c r="F965" t="s">
        <v>60</v>
      </c>
    </row>
    <row r="966" spans="1:6" x14ac:dyDescent="0.2">
      <c r="A966" t="s">
        <v>121</v>
      </c>
      <c r="B966" t="s">
        <v>37</v>
      </c>
      <c r="D966" t="s">
        <v>34</v>
      </c>
      <c r="F966" t="s">
        <v>60</v>
      </c>
    </row>
    <row r="967" spans="1:6" x14ac:dyDescent="0.2">
      <c r="A967" t="s">
        <v>121</v>
      </c>
      <c r="B967" t="s">
        <v>11</v>
      </c>
      <c r="D967" t="s">
        <v>24</v>
      </c>
      <c r="F967" t="s">
        <v>60</v>
      </c>
    </row>
    <row r="968" spans="1:6" x14ac:dyDescent="0.2">
      <c r="A968" t="s">
        <v>121</v>
      </c>
      <c r="B968" t="s">
        <v>18</v>
      </c>
      <c r="D968" t="s">
        <v>33</v>
      </c>
      <c r="F968" t="s">
        <v>60</v>
      </c>
    </row>
    <row r="969" spans="1:6" x14ac:dyDescent="0.2">
      <c r="A969" t="s">
        <v>121</v>
      </c>
      <c r="B969" t="s">
        <v>10</v>
      </c>
      <c r="D969" t="s">
        <v>40</v>
      </c>
      <c r="F969" t="s">
        <v>60</v>
      </c>
    </row>
    <row r="970" spans="1:6" x14ac:dyDescent="0.2">
      <c r="A970" t="s">
        <v>121</v>
      </c>
      <c r="B970" t="s">
        <v>55</v>
      </c>
      <c r="D970" t="s">
        <v>22</v>
      </c>
      <c r="F970" t="s">
        <v>60</v>
      </c>
    </row>
    <row r="971" spans="1:6" x14ac:dyDescent="0.2">
      <c r="A971" t="s">
        <v>122</v>
      </c>
      <c r="B971" t="s">
        <v>30</v>
      </c>
      <c r="D971" t="s">
        <v>31</v>
      </c>
      <c r="F971" t="s">
        <v>60</v>
      </c>
    </row>
    <row r="972" spans="1:6" x14ac:dyDescent="0.2">
      <c r="A972" t="s">
        <v>122</v>
      </c>
      <c r="B972" t="s">
        <v>20</v>
      </c>
      <c r="D972" t="s">
        <v>26</v>
      </c>
      <c r="F972" t="s">
        <v>60</v>
      </c>
    </row>
    <row r="973" spans="1:6" x14ac:dyDescent="0.2">
      <c r="A973" t="s">
        <v>122</v>
      </c>
      <c r="B973" t="s">
        <v>19</v>
      </c>
      <c r="D973" t="s">
        <v>24</v>
      </c>
      <c r="F973" t="s">
        <v>60</v>
      </c>
    </row>
    <row r="974" spans="1:6" x14ac:dyDescent="0.2">
      <c r="A974" t="s">
        <v>122</v>
      </c>
      <c r="B974" t="s">
        <v>35</v>
      </c>
      <c r="D974" t="s">
        <v>32</v>
      </c>
      <c r="F974" t="s">
        <v>60</v>
      </c>
    </row>
    <row r="975" spans="1:6" x14ac:dyDescent="0.2">
      <c r="A975" t="s">
        <v>122</v>
      </c>
      <c r="B975" t="s">
        <v>25</v>
      </c>
      <c r="D975" t="s">
        <v>38</v>
      </c>
      <c r="F975" t="s">
        <v>60</v>
      </c>
    </row>
    <row r="976" spans="1:6" x14ac:dyDescent="0.2">
      <c r="A976" t="s">
        <v>123</v>
      </c>
      <c r="B976" t="s">
        <v>11</v>
      </c>
      <c r="D976" t="s">
        <v>28</v>
      </c>
      <c r="F976" t="s">
        <v>60</v>
      </c>
    </row>
    <row r="977" spans="1:6" x14ac:dyDescent="0.2">
      <c r="A977" t="s">
        <v>123</v>
      </c>
      <c r="B977" t="s">
        <v>36</v>
      </c>
      <c r="D977" t="s">
        <v>16</v>
      </c>
      <c r="F977" t="s">
        <v>60</v>
      </c>
    </row>
    <row r="978" spans="1:6" x14ac:dyDescent="0.2">
      <c r="A978" t="s">
        <v>123</v>
      </c>
      <c r="B978" t="s">
        <v>30</v>
      </c>
      <c r="D978" t="s">
        <v>13</v>
      </c>
      <c r="F978" t="s">
        <v>60</v>
      </c>
    </row>
    <row r="979" spans="1:6" x14ac:dyDescent="0.2">
      <c r="A979" t="s">
        <v>123</v>
      </c>
      <c r="B979" t="s">
        <v>21</v>
      </c>
      <c r="D979" t="s">
        <v>29</v>
      </c>
      <c r="F979" t="s">
        <v>60</v>
      </c>
    </row>
    <row r="980" spans="1:6" x14ac:dyDescent="0.2">
      <c r="A980" t="s">
        <v>123</v>
      </c>
      <c r="B980" t="s">
        <v>19</v>
      </c>
      <c r="D980" t="s">
        <v>15</v>
      </c>
      <c r="F980" t="s">
        <v>60</v>
      </c>
    </row>
    <row r="981" spans="1:6" x14ac:dyDescent="0.2">
      <c r="A981" t="s">
        <v>123</v>
      </c>
      <c r="B981" t="s">
        <v>55</v>
      </c>
      <c r="D981" t="s">
        <v>27</v>
      </c>
      <c r="F981" t="s">
        <v>60</v>
      </c>
    </row>
    <row r="982" spans="1:6" x14ac:dyDescent="0.2">
      <c r="A982" t="s">
        <v>123</v>
      </c>
      <c r="B982" t="s">
        <v>23</v>
      </c>
      <c r="D982" t="s">
        <v>14</v>
      </c>
      <c r="F982" t="s">
        <v>60</v>
      </c>
    </row>
    <row r="983" spans="1:6" x14ac:dyDescent="0.2">
      <c r="A983" t="s">
        <v>123</v>
      </c>
      <c r="B983" t="s">
        <v>37</v>
      </c>
      <c r="D983" t="s">
        <v>40</v>
      </c>
      <c r="F983" t="s">
        <v>60</v>
      </c>
    </row>
    <row r="984" spans="1:6" x14ac:dyDescent="0.2">
      <c r="A984" t="s">
        <v>124</v>
      </c>
      <c r="B984" t="s">
        <v>18</v>
      </c>
      <c r="D984" t="s">
        <v>31</v>
      </c>
      <c r="F984" t="s">
        <v>60</v>
      </c>
    </row>
    <row r="985" spans="1:6" x14ac:dyDescent="0.2">
      <c r="A985" t="s">
        <v>124</v>
      </c>
      <c r="B985" t="s">
        <v>38</v>
      </c>
      <c r="D985" t="s">
        <v>10</v>
      </c>
      <c r="F985" t="s">
        <v>60</v>
      </c>
    </row>
    <row r="986" spans="1:6" x14ac:dyDescent="0.2">
      <c r="A986" t="s">
        <v>124</v>
      </c>
      <c r="B986" t="s">
        <v>12</v>
      </c>
      <c r="D986" t="s">
        <v>39</v>
      </c>
      <c r="F986" t="s">
        <v>60</v>
      </c>
    </row>
    <row r="987" spans="1:6" x14ac:dyDescent="0.2">
      <c r="A987" t="s">
        <v>124</v>
      </c>
      <c r="B987" t="s">
        <v>11</v>
      </c>
      <c r="D987" t="s">
        <v>26</v>
      </c>
      <c r="F987" t="s">
        <v>60</v>
      </c>
    </row>
    <row r="988" spans="1:6" x14ac:dyDescent="0.2">
      <c r="A988" t="s">
        <v>124</v>
      </c>
      <c r="B988" t="s">
        <v>25</v>
      </c>
      <c r="D988" t="s">
        <v>17</v>
      </c>
      <c r="F988" t="s">
        <v>60</v>
      </c>
    </row>
    <row r="989" spans="1:6" x14ac:dyDescent="0.2">
      <c r="A989" t="s">
        <v>124</v>
      </c>
      <c r="B989" t="s">
        <v>35</v>
      </c>
      <c r="D989" t="s">
        <v>33</v>
      </c>
      <c r="F989" t="s">
        <v>60</v>
      </c>
    </row>
    <row r="990" spans="1:6" x14ac:dyDescent="0.2">
      <c r="A990" t="s">
        <v>124</v>
      </c>
      <c r="B990" t="s">
        <v>34</v>
      </c>
      <c r="D990" t="s">
        <v>20</v>
      </c>
      <c r="F990" t="s">
        <v>60</v>
      </c>
    </row>
    <row r="991" spans="1:6" x14ac:dyDescent="0.2">
      <c r="A991" t="s">
        <v>125</v>
      </c>
      <c r="B991" t="s">
        <v>22</v>
      </c>
      <c r="D991" t="s">
        <v>21</v>
      </c>
      <c r="F991" t="s">
        <v>60</v>
      </c>
    </row>
    <row r="992" spans="1:6" x14ac:dyDescent="0.2">
      <c r="A992" t="s">
        <v>125</v>
      </c>
      <c r="B992" t="s">
        <v>29</v>
      </c>
      <c r="D992" t="s">
        <v>23</v>
      </c>
      <c r="F992" t="s">
        <v>60</v>
      </c>
    </row>
    <row r="993" spans="1:6" x14ac:dyDescent="0.2">
      <c r="A993" t="s">
        <v>125</v>
      </c>
      <c r="B993" t="s">
        <v>55</v>
      </c>
      <c r="D993" t="s">
        <v>28</v>
      </c>
      <c r="F993" t="s">
        <v>60</v>
      </c>
    </row>
    <row r="994" spans="1:6" x14ac:dyDescent="0.2">
      <c r="A994" t="s">
        <v>125</v>
      </c>
      <c r="B994" t="s">
        <v>25</v>
      </c>
      <c r="D994" t="s">
        <v>16</v>
      </c>
      <c r="F994" t="s">
        <v>60</v>
      </c>
    </row>
    <row r="995" spans="1:6" x14ac:dyDescent="0.2">
      <c r="A995" t="s">
        <v>125</v>
      </c>
      <c r="B995" t="s">
        <v>18</v>
      </c>
      <c r="D995" t="s">
        <v>13</v>
      </c>
      <c r="F995" t="s">
        <v>60</v>
      </c>
    </row>
    <row r="996" spans="1:6" x14ac:dyDescent="0.2">
      <c r="A996" t="s">
        <v>125</v>
      </c>
      <c r="B996" t="s">
        <v>15</v>
      </c>
      <c r="D996" t="s">
        <v>24</v>
      </c>
      <c r="F996" t="s">
        <v>60</v>
      </c>
    </row>
    <row r="997" spans="1:6" x14ac:dyDescent="0.2">
      <c r="A997" t="s">
        <v>125</v>
      </c>
      <c r="B997" t="s">
        <v>27</v>
      </c>
      <c r="D997" t="s">
        <v>14</v>
      </c>
      <c r="F997" t="s">
        <v>60</v>
      </c>
    </row>
    <row r="998" spans="1:6" x14ac:dyDescent="0.2">
      <c r="A998" t="s">
        <v>125</v>
      </c>
      <c r="B998" t="s">
        <v>36</v>
      </c>
      <c r="D998" t="s">
        <v>32</v>
      </c>
      <c r="F998" t="s">
        <v>60</v>
      </c>
    </row>
    <row r="999" spans="1:6" x14ac:dyDescent="0.2">
      <c r="A999" t="s">
        <v>125</v>
      </c>
      <c r="B999" t="s">
        <v>30</v>
      </c>
      <c r="D999" t="s">
        <v>33</v>
      </c>
      <c r="F999" t="s">
        <v>60</v>
      </c>
    </row>
    <row r="1000" spans="1:6" x14ac:dyDescent="0.2">
      <c r="A1000" t="s">
        <v>125</v>
      </c>
      <c r="B1000" t="s">
        <v>37</v>
      </c>
      <c r="D1000" t="s">
        <v>19</v>
      </c>
      <c r="F1000" t="s">
        <v>60</v>
      </c>
    </row>
    <row r="1001" spans="1:6" x14ac:dyDescent="0.2">
      <c r="A1001" t="s">
        <v>125</v>
      </c>
      <c r="B1001" t="s">
        <v>38</v>
      </c>
      <c r="D1001" t="s">
        <v>40</v>
      </c>
      <c r="F1001" t="s">
        <v>60</v>
      </c>
    </row>
    <row r="1002" spans="1:6" x14ac:dyDescent="0.2">
      <c r="A1002" t="s">
        <v>126</v>
      </c>
      <c r="B1002" t="s">
        <v>35</v>
      </c>
      <c r="D1002" t="s">
        <v>31</v>
      </c>
      <c r="F1002" t="s">
        <v>60</v>
      </c>
    </row>
    <row r="1003" spans="1:6" x14ac:dyDescent="0.2">
      <c r="A1003" t="s">
        <v>126</v>
      </c>
      <c r="B1003" t="s">
        <v>37</v>
      </c>
      <c r="D1003" t="s">
        <v>23</v>
      </c>
      <c r="F1003" t="s">
        <v>60</v>
      </c>
    </row>
    <row r="1004" spans="1:6" x14ac:dyDescent="0.2">
      <c r="A1004" t="s">
        <v>126</v>
      </c>
      <c r="B1004" t="s">
        <v>34</v>
      </c>
      <c r="D1004" t="s">
        <v>12</v>
      </c>
      <c r="F1004" t="s">
        <v>60</v>
      </c>
    </row>
    <row r="1005" spans="1:6" x14ac:dyDescent="0.2">
      <c r="A1005" t="s">
        <v>126</v>
      </c>
      <c r="B1005" t="s">
        <v>10</v>
      </c>
      <c r="D1005" t="s">
        <v>39</v>
      </c>
      <c r="F1005" t="s">
        <v>60</v>
      </c>
    </row>
    <row r="1006" spans="1:6" x14ac:dyDescent="0.2">
      <c r="A1006" t="s">
        <v>126</v>
      </c>
      <c r="B1006" t="s">
        <v>26</v>
      </c>
      <c r="D1006" t="s">
        <v>24</v>
      </c>
      <c r="F1006" t="s">
        <v>60</v>
      </c>
    </row>
    <row r="1007" spans="1:6" x14ac:dyDescent="0.2">
      <c r="A1007" t="s">
        <v>126</v>
      </c>
      <c r="B1007" t="s">
        <v>21</v>
      </c>
      <c r="D1007" t="s">
        <v>14</v>
      </c>
      <c r="F1007" t="s">
        <v>60</v>
      </c>
    </row>
    <row r="1008" spans="1:6" x14ac:dyDescent="0.2">
      <c r="A1008" t="s">
        <v>126</v>
      </c>
      <c r="B1008" t="s">
        <v>17</v>
      </c>
      <c r="D1008" t="s">
        <v>20</v>
      </c>
      <c r="F1008" t="s">
        <v>60</v>
      </c>
    </row>
    <row r="1009" spans="1:6" x14ac:dyDescent="0.2">
      <c r="A1009" t="s">
        <v>127</v>
      </c>
      <c r="B1009" t="s">
        <v>55</v>
      </c>
      <c r="D1009" t="s">
        <v>10</v>
      </c>
      <c r="F1009" t="s">
        <v>60</v>
      </c>
    </row>
    <row r="1010" spans="1:6" x14ac:dyDescent="0.2">
      <c r="A1010" t="s">
        <v>127</v>
      </c>
      <c r="B1010" t="s">
        <v>15</v>
      </c>
      <c r="D1010" t="s">
        <v>27</v>
      </c>
      <c r="F1010" t="s">
        <v>60</v>
      </c>
    </row>
    <row r="1011" spans="1:6" x14ac:dyDescent="0.2">
      <c r="A1011" t="s">
        <v>127</v>
      </c>
      <c r="B1011" t="s">
        <v>36</v>
      </c>
      <c r="D1011" t="s">
        <v>38</v>
      </c>
      <c r="F1011" t="s">
        <v>60</v>
      </c>
    </row>
    <row r="1012" spans="1:6" x14ac:dyDescent="0.2">
      <c r="A1012" t="s">
        <v>127</v>
      </c>
      <c r="B1012" t="s">
        <v>16</v>
      </c>
      <c r="D1012" t="s">
        <v>22</v>
      </c>
      <c r="F1012" t="s">
        <v>60</v>
      </c>
    </row>
    <row r="1013" spans="1:6" x14ac:dyDescent="0.2">
      <c r="A1013" t="s">
        <v>128</v>
      </c>
      <c r="B1013" t="s">
        <v>13</v>
      </c>
      <c r="D1013" t="s">
        <v>21</v>
      </c>
      <c r="F1013" t="s">
        <v>60</v>
      </c>
    </row>
    <row r="1014" spans="1:6" x14ac:dyDescent="0.2">
      <c r="A1014" t="s">
        <v>128</v>
      </c>
      <c r="B1014" t="s">
        <v>33</v>
      </c>
      <c r="D1014" t="s">
        <v>23</v>
      </c>
      <c r="F1014" t="s">
        <v>60</v>
      </c>
    </row>
    <row r="1015" spans="1:6" x14ac:dyDescent="0.2">
      <c r="A1015" t="s">
        <v>128</v>
      </c>
      <c r="B1015" t="s">
        <v>14</v>
      </c>
      <c r="D1015" t="s">
        <v>25</v>
      </c>
      <c r="F1015" t="s">
        <v>60</v>
      </c>
    </row>
    <row r="1016" spans="1:6" x14ac:dyDescent="0.2">
      <c r="A1016" t="s">
        <v>128</v>
      </c>
      <c r="B1016" t="s">
        <v>17</v>
      </c>
      <c r="D1016" t="s">
        <v>12</v>
      </c>
      <c r="F1016" t="s">
        <v>60</v>
      </c>
    </row>
    <row r="1017" spans="1:6" x14ac:dyDescent="0.2">
      <c r="A1017" t="s">
        <v>128</v>
      </c>
      <c r="B1017" t="s">
        <v>20</v>
      </c>
      <c r="D1017" t="s">
        <v>39</v>
      </c>
      <c r="F1017" t="s">
        <v>60</v>
      </c>
    </row>
    <row r="1018" spans="1:6" x14ac:dyDescent="0.2">
      <c r="A1018" t="s">
        <v>128</v>
      </c>
      <c r="B1018" t="s">
        <v>26</v>
      </c>
      <c r="D1018" t="s">
        <v>11</v>
      </c>
      <c r="F1018" t="s">
        <v>60</v>
      </c>
    </row>
    <row r="1019" spans="1:6" x14ac:dyDescent="0.2">
      <c r="A1019" t="s">
        <v>128</v>
      </c>
      <c r="B1019" t="s">
        <v>55</v>
      </c>
      <c r="D1019" t="s">
        <v>34</v>
      </c>
      <c r="F1019" t="s">
        <v>60</v>
      </c>
    </row>
    <row r="1020" spans="1:6" x14ac:dyDescent="0.2">
      <c r="A1020" t="s">
        <v>128</v>
      </c>
      <c r="B1020" t="s">
        <v>19</v>
      </c>
      <c r="D1020" t="s">
        <v>18</v>
      </c>
      <c r="F1020" t="s">
        <v>60</v>
      </c>
    </row>
    <row r="1021" spans="1:6" x14ac:dyDescent="0.2">
      <c r="A1021" t="s">
        <v>128</v>
      </c>
      <c r="B1021" t="s">
        <v>16</v>
      </c>
      <c r="D1021" t="s">
        <v>15</v>
      </c>
      <c r="F1021" t="s">
        <v>60</v>
      </c>
    </row>
    <row r="1022" spans="1:6" x14ac:dyDescent="0.2">
      <c r="A1022" t="s">
        <v>128</v>
      </c>
      <c r="B1022" t="s">
        <v>29</v>
      </c>
      <c r="D1022" t="s">
        <v>32</v>
      </c>
      <c r="F1022" t="s">
        <v>60</v>
      </c>
    </row>
    <row r="1023" spans="1:6" x14ac:dyDescent="0.2">
      <c r="A1023" t="s">
        <v>128</v>
      </c>
      <c r="B1023" t="s">
        <v>30</v>
      </c>
      <c r="D1023" t="s">
        <v>35</v>
      </c>
      <c r="F1023" t="s">
        <v>60</v>
      </c>
    </row>
    <row r="1024" spans="1:6" x14ac:dyDescent="0.2">
      <c r="A1024" t="s">
        <v>128</v>
      </c>
      <c r="B1024" t="s">
        <v>28</v>
      </c>
      <c r="D1024" t="s">
        <v>37</v>
      </c>
      <c r="F1024" t="s">
        <v>60</v>
      </c>
    </row>
    <row r="1025" spans="1:6" x14ac:dyDescent="0.2">
      <c r="A1025" t="s">
        <v>128</v>
      </c>
      <c r="B1025" t="s">
        <v>31</v>
      </c>
      <c r="D1025" t="s">
        <v>40</v>
      </c>
      <c r="F1025" t="s">
        <v>60</v>
      </c>
    </row>
    <row r="1026" spans="1:6" x14ac:dyDescent="0.2">
      <c r="A1026" t="s">
        <v>129</v>
      </c>
      <c r="B1026" t="s">
        <v>18</v>
      </c>
      <c r="D1026" t="s">
        <v>36</v>
      </c>
      <c r="F1026" t="s">
        <v>60</v>
      </c>
    </row>
    <row r="1027" spans="1:6" x14ac:dyDescent="0.2">
      <c r="A1027" t="s">
        <v>129</v>
      </c>
      <c r="B1027" t="s">
        <v>22</v>
      </c>
      <c r="D1027" t="s">
        <v>27</v>
      </c>
      <c r="F1027" t="s">
        <v>60</v>
      </c>
    </row>
    <row r="1028" spans="1:6" x14ac:dyDescent="0.2">
      <c r="A1028" t="s">
        <v>130</v>
      </c>
      <c r="B1028" t="s">
        <v>33</v>
      </c>
      <c r="D1028" t="s">
        <v>21</v>
      </c>
      <c r="F1028" t="s">
        <v>60</v>
      </c>
    </row>
    <row r="1029" spans="1:6" x14ac:dyDescent="0.2">
      <c r="A1029" t="s">
        <v>130</v>
      </c>
      <c r="B1029" t="s">
        <v>22</v>
      </c>
      <c r="D1029" t="s">
        <v>23</v>
      </c>
      <c r="F1029" t="s">
        <v>60</v>
      </c>
    </row>
    <row r="1030" spans="1:6" x14ac:dyDescent="0.2">
      <c r="A1030" t="s">
        <v>130</v>
      </c>
      <c r="B1030" t="s">
        <v>35</v>
      </c>
      <c r="D1030" t="s">
        <v>25</v>
      </c>
      <c r="F1030" t="s">
        <v>60</v>
      </c>
    </row>
    <row r="1031" spans="1:6" x14ac:dyDescent="0.2">
      <c r="A1031" t="s">
        <v>130</v>
      </c>
      <c r="B1031" t="s">
        <v>17</v>
      </c>
      <c r="D1031" t="s">
        <v>39</v>
      </c>
      <c r="F1031" t="s">
        <v>60</v>
      </c>
    </row>
    <row r="1032" spans="1:6" x14ac:dyDescent="0.2">
      <c r="A1032" t="s">
        <v>130</v>
      </c>
      <c r="B1032" t="s">
        <v>28</v>
      </c>
      <c r="D1032" t="s">
        <v>11</v>
      </c>
      <c r="F1032" t="s">
        <v>60</v>
      </c>
    </row>
    <row r="1033" spans="1:6" x14ac:dyDescent="0.2">
      <c r="A1033" t="s">
        <v>130</v>
      </c>
      <c r="B1033" t="s">
        <v>27</v>
      </c>
      <c r="D1033" t="s">
        <v>34</v>
      </c>
      <c r="F1033" t="s">
        <v>60</v>
      </c>
    </row>
    <row r="1034" spans="1:6" x14ac:dyDescent="0.2">
      <c r="A1034" t="s">
        <v>130</v>
      </c>
      <c r="B1034" t="s">
        <v>16</v>
      </c>
      <c r="D1034" t="s">
        <v>24</v>
      </c>
      <c r="F1034" t="s">
        <v>60</v>
      </c>
    </row>
    <row r="1035" spans="1:6" x14ac:dyDescent="0.2">
      <c r="A1035" t="s">
        <v>130</v>
      </c>
      <c r="B1035" t="s">
        <v>12</v>
      </c>
      <c r="D1035" t="s">
        <v>32</v>
      </c>
      <c r="F1035" t="s">
        <v>60</v>
      </c>
    </row>
    <row r="1036" spans="1:6" x14ac:dyDescent="0.2">
      <c r="A1036" t="s">
        <v>130</v>
      </c>
      <c r="B1036" t="s">
        <v>26</v>
      </c>
      <c r="D1036" t="s">
        <v>37</v>
      </c>
      <c r="F1036" t="s">
        <v>60</v>
      </c>
    </row>
    <row r="1037" spans="1:6" x14ac:dyDescent="0.2">
      <c r="A1037" t="s">
        <v>130</v>
      </c>
      <c r="B1037" t="s">
        <v>31</v>
      </c>
      <c r="D1037" t="s">
        <v>19</v>
      </c>
      <c r="F1037" t="s">
        <v>60</v>
      </c>
    </row>
    <row r="1038" spans="1:6" x14ac:dyDescent="0.2">
      <c r="A1038" t="s">
        <v>130</v>
      </c>
      <c r="B1038" t="s">
        <v>10</v>
      </c>
      <c r="D1038" t="s">
        <v>55</v>
      </c>
      <c r="F1038" t="s">
        <v>60</v>
      </c>
    </row>
    <row r="1039" spans="1:6" x14ac:dyDescent="0.2">
      <c r="A1039" t="s">
        <v>130</v>
      </c>
      <c r="B1039" t="s">
        <v>29</v>
      </c>
      <c r="D1039" t="s">
        <v>38</v>
      </c>
      <c r="F1039" t="s">
        <v>60</v>
      </c>
    </row>
    <row r="1040" spans="1:6" x14ac:dyDescent="0.2">
      <c r="A1040" t="s">
        <v>130</v>
      </c>
      <c r="B1040" t="s">
        <v>14</v>
      </c>
      <c r="D1040" t="s">
        <v>20</v>
      </c>
      <c r="F1040" t="s">
        <v>60</v>
      </c>
    </row>
    <row r="1041" spans="1:6" x14ac:dyDescent="0.2">
      <c r="A1041" t="s">
        <v>130</v>
      </c>
      <c r="B1041" t="s">
        <v>15</v>
      </c>
      <c r="D1041" t="s">
        <v>40</v>
      </c>
      <c r="F1041" t="s">
        <v>60</v>
      </c>
    </row>
    <row r="1042" spans="1:6" x14ac:dyDescent="0.2">
      <c r="A1042" t="s">
        <v>131</v>
      </c>
      <c r="B1042" t="s">
        <v>13</v>
      </c>
      <c r="D1042" t="s">
        <v>30</v>
      </c>
      <c r="F1042" t="s">
        <v>60</v>
      </c>
    </row>
    <row r="1043" spans="1:6" x14ac:dyDescent="0.2">
      <c r="A1043" t="s">
        <v>131</v>
      </c>
      <c r="B1043" t="s">
        <v>17</v>
      </c>
      <c r="D1043" t="s">
        <v>35</v>
      </c>
      <c r="F1043" t="s">
        <v>60</v>
      </c>
    </row>
    <row r="1044" spans="1:6" x14ac:dyDescent="0.2">
      <c r="A1044" t="s">
        <v>132</v>
      </c>
      <c r="B1044" t="s">
        <v>19</v>
      </c>
      <c r="D1044" t="s">
        <v>23</v>
      </c>
      <c r="F1044" t="s">
        <v>60</v>
      </c>
    </row>
    <row r="1045" spans="1:6" x14ac:dyDescent="0.2">
      <c r="A1045" t="s">
        <v>132</v>
      </c>
      <c r="B1045" t="s">
        <v>26</v>
      </c>
      <c r="D1045" t="s">
        <v>39</v>
      </c>
      <c r="F1045" t="s">
        <v>60</v>
      </c>
    </row>
    <row r="1046" spans="1:6" x14ac:dyDescent="0.2">
      <c r="A1046" t="s">
        <v>132</v>
      </c>
      <c r="B1046" t="s">
        <v>15</v>
      </c>
      <c r="D1046" t="s">
        <v>34</v>
      </c>
      <c r="F1046" t="s">
        <v>60</v>
      </c>
    </row>
    <row r="1047" spans="1:6" x14ac:dyDescent="0.2">
      <c r="A1047" t="s">
        <v>132</v>
      </c>
      <c r="B1047" t="s">
        <v>33</v>
      </c>
      <c r="D1047" t="s">
        <v>18</v>
      </c>
      <c r="F1047" t="s">
        <v>60</v>
      </c>
    </row>
    <row r="1048" spans="1:6" x14ac:dyDescent="0.2">
      <c r="A1048" t="s">
        <v>132</v>
      </c>
      <c r="B1048" t="s">
        <v>13</v>
      </c>
      <c r="D1048" t="s">
        <v>24</v>
      </c>
      <c r="F1048" t="s">
        <v>60</v>
      </c>
    </row>
    <row r="1049" spans="1:6" x14ac:dyDescent="0.2">
      <c r="A1049" t="s">
        <v>132</v>
      </c>
      <c r="B1049" t="s">
        <v>16</v>
      </c>
      <c r="D1049" t="s">
        <v>30</v>
      </c>
      <c r="F1049" t="s">
        <v>60</v>
      </c>
    </row>
    <row r="1050" spans="1:6" x14ac:dyDescent="0.2">
      <c r="A1050" t="s">
        <v>132</v>
      </c>
      <c r="B1050" t="s">
        <v>31</v>
      </c>
      <c r="D1050" t="s">
        <v>36</v>
      </c>
      <c r="F1050" t="s">
        <v>60</v>
      </c>
    </row>
    <row r="1051" spans="1:6" x14ac:dyDescent="0.2">
      <c r="A1051" t="s">
        <v>132</v>
      </c>
      <c r="B1051" t="s">
        <v>28</v>
      </c>
      <c r="D1051" t="s">
        <v>27</v>
      </c>
      <c r="F1051" t="s">
        <v>60</v>
      </c>
    </row>
    <row r="1052" spans="1:6" x14ac:dyDescent="0.2">
      <c r="A1052" t="s">
        <v>132</v>
      </c>
      <c r="B1052" t="s">
        <v>25</v>
      </c>
      <c r="D1052" t="s">
        <v>37</v>
      </c>
      <c r="F1052" t="s">
        <v>60</v>
      </c>
    </row>
    <row r="1053" spans="1:6" x14ac:dyDescent="0.2">
      <c r="A1053" t="s">
        <v>132</v>
      </c>
      <c r="B1053" t="s">
        <v>14</v>
      </c>
      <c r="D1053" t="s">
        <v>55</v>
      </c>
      <c r="F1053" t="s">
        <v>60</v>
      </c>
    </row>
    <row r="1054" spans="1:6" x14ac:dyDescent="0.2">
      <c r="A1054" t="s">
        <v>132</v>
      </c>
      <c r="B1054" t="s">
        <v>32</v>
      </c>
      <c r="D1054" t="s">
        <v>38</v>
      </c>
      <c r="F1054" t="s">
        <v>60</v>
      </c>
    </row>
    <row r="1055" spans="1:6" x14ac:dyDescent="0.2">
      <c r="A1055" t="s">
        <v>132</v>
      </c>
      <c r="B1055" t="s">
        <v>10</v>
      </c>
      <c r="D1055" t="s">
        <v>20</v>
      </c>
      <c r="F1055" t="s">
        <v>60</v>
      </c>
    </row>
    <row r="1056" spans="1:6" x14ac:dyDescent="0.2">
      <c r="A1056" t="s">
        <v>132</v>
      </c>
      <c r="B1056" t="s">
        <v>12</v>
      </c>
      <c r="D1056" t="s">
        <v>40</v>
      </c>
      <c r="F1056" t="s">
        <v>60</v>
      </c>
    </row>
    <row r="1057" spans="1:6" x14ac:dyDescent="0.2">
      <c r="A1057" t="s">
        <v>132</v>
      </c>
      <c r="B1057" t="s">
        <v>21</v>
      </c>
      <c r="D1057" t="s">
        <v>22</v>
      </c>
      <c r="F1057" t="s">
        <v>60</v>
      </c>
    </row>
    <row r="1058" spans="1:6" x14ac:dyDescent="0.2">
      <c r="A1058" t="s">
        <v>133</v>
      </c>
      <c r="B1058" t="s">
        <v>29</v>
      </c>
      <c r="D1058" t="s">
        <v>17</v>
      </c>
      <c r="F1058" t="s">
        <v>60</v>
      </c>
    </row>
    <row r="1059" spans="1:6" x14ac:dyDescent="0.2">
      <c r="A1059" t="s">
        <v>133</v>
      </c>
      <c r="B1059" t="s">
        <v>19</v>
      </c>
      <c r="D1059" t="s">
        <v>34</v>
      </c>
      <c r="F1059" t="s">
        <v>60</v>
      </c>
    </row>
    <row r="1060" spans="1:6" x14ac:dyDescent="0.2">
      <c r="A1060" t="s">
        <v>133</v>
      </c>
      <c r="B1060" t="s">
        <v>31</v>
      </c>
      <c r="D1060" t="s">
        <v>18</v>
      </c>
      <c r="F1060" t="s">
        <v>60</v>
      </c>
    </row>
    <row r="1061" spans="1:6" x14ac:dyDescent="0.2">
      <c r="A1061" t="s">
        <v>133</v>
      </c>
      <c r="B1061" t="s">
        <v>33</v>
      </c>
      <c r="D1061" t="s">
        <v>36</v>
      </c>
      <c r="F1061" t="s">
        <v>60</v>
      </c>
    </row>
    <row r="1062" spans="1:6" x14ac:dyDescent="0.2">
      <c r="A1062" t="s">
        <v>133</v>
      </c>
      <c r="B1062" t="s">
        <v>11</v>
      </c>
      <c r="D1062" t="s">
        <v>32</v>
      </c>
      <c r="F1062" t="s">
        <v>60</v>
      </c>
    </row>
    <row r="1063" spans="1:6" x14ac:dyDescent="0.2">
      <c r="A1063" t="s">
        <v>133</v>
      </c>
      <c r="B1063" t="s">
        <v>35</v>
      </c>
      <c r="D1063" t="s">
        <v>40</v>
      </c>
      <c r="F1063" t="s">
        <v>60</v>
      </c>
    </row>
    <row r="1064" spans="1:6" x14ac:dyDescent="0.2">
      <c r="A1064" t="s">
        <v>134</v>
      </c>
      <c r="B1064" t="s">
        <v>14</v>
      </c>
      <c r="D1064" t="s">
        <v>12</v>
      </c>
      <c r="F1064" t="s">
        <v>60</v>
      </c>
    </row>
    <row r="1065" spans="1:6" x14ac:dyDescent="0.2">
      <c r="A1065" t="s">
        <v>134</v>
      </c>
      <c r="B1065" t="s">
        <v>55</v>
      </c>
      <c r="D1065" t="s">
        <v>39</v>
      </c>
      <c r="F1065" t="s">
        <v>60</v>
      </c>
    </row>
    <row r="1066" spans="1:6" x14ac:dyDescent="0.2">
      <c r="A1066" t="s">
        <v>134</v>
      </c>
      <c r="B1066" t="s">
        <v>16</v>
      </c>
      <c r="D1066" t="s">
        <v>26</v>
      </c>
      <c r="F1066" t="s">
        <v>60</v>
      </c>
    </row>
    <row r="1067" spans="1:6" x14ac:dyDescent="0.2">
      <c r="A1067" t="s">
        <v>134</v>
      </c>
      <c r="B1067" t="s">
        <v>21</v>
      </c>
      <c r="D1067" t="s">
        <v>24</v>
      </c>
      <c r="F1067" t="s">
        <v>60</v>
      </c>
    </row>
    <row r="1068" spans="1:6" x14ac:dyDescent="0.2">
      <c r="A1068" t="s">
        <v>134</v>
      </c>
      <c r="B1068" t="s">
        <v>13</v>
      </c>
      <c r="D1068" t="s">
        <v>15</v>
      </c>
      <c r="F1068" t="s">
        <v>60</v>
      </c>
    </row>
    <row r="1069" spans="1:6" x14ac:dyDescent="0.2">
      <c r="A1069" t="s">
        <v>135</v>
      </c>
      <c r="B1069" t="s">
        <v>25</v>
      </c>
      <c r="D1069" t="s">
        <v>28</v>
      </c>
      <c r="F1069" t="s">
        <v>60</v>
      </c>
    </row>
    <row r="1070" spans="1:6" x14ac:dyDescent="0.2">
      <c r="A1070" t="s">
        <v>135</v>
      </c>
      <c r="B1070" t="s">
        <v>34</v>
      </c>
      <c r="D1070" t="s">
        <v>10</v>
      </c>
      <c r="F1070" t="s">
        <v>60</v>
      </c>
    </row>
    <row r="1071" spans="1:6" x14ac:dyDescent="0.2">
      <c r="A1071" t="s">
        <v>135</v>
      </c>
      <c r="B1071" t="s">
        <v>33</v>
      </c>
      <c r="D1071" t="s">
        <v>17</v>
      </c>
      <c r="F1071" t="s">
        <v>60</v>
      </c>
    </row>
    <row r="1072" spans="1:6" x14ac:dyDescent="0.2">
      <c r="A1072" t="s">
        <v>135</v>
      </c>
      <c r="B1072" t="s">
        <v>21</v>
      </c>
      <c r="D1072" t="s">
        <v>18</v>
      </c>
      <c r="F1072" t="s">
        <v>60</v>
      </c>
    </row>
    <row r="1073" spans="1:6" x14ac:dyDescent="0.2">
      <c r="A1073" t="s">
        <v>135</v>
      </c>
      <c r="B1073" t="s">
        <v>37</v>
      </c>
      <c r="D1073" t="s">
        <v>32</v>
      </c>
      <c r="F1073" t="s">
        <v>60</v>
      </c>
    </row>
    <row r="1074" spans="1:6" x14ac:dyDescent="0.2">
      <c r="A1074" t="s">
        <v>135</v>
      </c>
      <c r="B1074" t="s">
        <v>30</v>
      </c>
      <c r="D1074" t="s">
        <v>19</v>
      </c>
      <c r="F1074" t="s">
        <v>60</v>
      </c>
    </row>
    <row r="1075" spans="1:6" x14ac:dyDescent="0.2">
      <c r="A1075" t="s">
        <v>135</v>
      </c>
      <c r="B1075" t="s">
        <v>11</v>
      </c>
      <c r="D1075" t="s">
        <v>38</v>
      </c>
      <c r="F1075" t="s">
        <v>60</v>
      </c>
    </row>
    <row r="1076" spans="1:6" x14ac:dyDescent="0.2">
      <c r="A1076" t="s">
        <v>135</v>
      </c>
      <c r="B1076" t="s">
        <v>23</v>
      </c>
      <c r="D1076" t="s">
        <v>20</v>
      </c>
      <c r="F1076" t="s">
        <v>60</v>
      </c>
    </row>
    <row r="1077" spans="1:6" x14ac:dyDescent="0.2">
      <c r="A1077" t="s">
        <v>135</v>
      </c>
      <c r="B1077" t="s">
        <v>29</v>
      </c>
      <c r="D1077" t="s">
        <v>40</v>
      </c>
      <c r="F1077" t="s">
        <v>60</v>
      </c>
    </row>
    <row r="1078" spans="1:6" x14ac:dyDescent="0.2">
      <c r="A1078" t="s">
        <v>136</v>
      </c>
      <c r="B1078" t="s">
        <v>27</v>
      </c>
      <c r="D1078" t="s">
        <v>31</v>
      </c>
      <c r="F1078" t="s">
        <v>60</v>
      </c>
    </row>
    <row r="1079" spans="1:6" x14ac:dyDescent="0.2">
      <c r="A1079" t="s">
        <v>136</v>
      </c>
      <c r="B1079" t="s">
        <v>14</v>
      </c>
      <c r="D1079" t="s">
        <v>25</v>
      </c>
      <c r="F1079" t="s">
        <v>60</v>
      </c>
    </row>
    <row r="1080" spans="1:6" x14ac:dyDescent="0.2">
      <c r="A1080" t="s">
        <v>136</v>
      </c>
      <c r="B1080" t="s">
        <v>35</v>
      </c>
      <c r="D1080" t="s">
        <v>16</v>
      </c>
      <c r="F1080" t="s">
        <v>60</v>
      </c>
    </row>
    <row r="1081" spans="1:6" x14ac:dyDescent="0.2">
      <c r="A1081" t="s">
        <v>136</v>
      </c>
      <c r="B1081" t="s">
        <v>39</v>
      </c>
      <c r="D1081" t="s">
        <v>12</v>
      </c>
      <c r="F1081" t="s">
        <v>60</v>
      </c>
    </row>
    <row r="1082" spans="1:6" x14ac:dyDescent="0.2">
      <c r="A1082" t="s">
        <v>136</v>
      </c>
      <c r="B1082" t="s">
        <v>24</v>
      </c>
      <c r="D1082" t="s">
        <v>15</v>
      </c>
      <c r="F1082" t="s">
        <v>60</v>
      </c>
    </row>
    <row r="1083" spans="1:6" x14ac:dyDescent="0.2">
      <c r="A1083" t="s">
        <v>136</v>
      </c>
      <c r="B1083" t="s">
        <v>36</v>
      </c>
      <c r="D1083" t="s">
        <v>22</v>
      </c>
      <c r="F1083" t="s">
        <v>60</v>
      </c>
    </row>
    <row r="1084" spans="1:6" x14ac:dyDescent="0.2">
      <c r="A1084" t="s">
        <v>137</v>
      </c>
      <c r="B1084" t="s">
        <v>40</v>
      </c>
      <c r="D1084" t="s">
        <v>21</v>
      </c>
      <c r="F1084" t="s">
        <v>60</v>
      </c>
    </row>
    <row r="1085" spans="1:6" x14ac:dyDescent="0.2">
      <c r="A1085" t="s">
        <v>137</v>
      </c>
      <c r="B1085" t="s">
        <v>15</v>
      </c>
      <c r="D1085" t="s">
        <v>28</v>
      </c>
      <c r="F1085" t="s">
        <v>60</v>
      </c>
    </row>
    <row r="1086" spans="1:6" x14ac:dyDescent="0.2">
      <c r="A1086" t="s">
        <v>137</v>
      </c>
      <c r="B1086" t="s">
        <v>18</v>
      </c>
      <c r="D1086" t="s">
        <v>26</v>
      </c>
      <c r="F1086" t="s">
        <v>60</v>
      </c>
    </row>
    <row r="1087" spans="1:6" x14ac:dyDescent="0.2">
      <c r="A1087" t="s">
        <v>137</v>
      </c>
      <c r="B1087" t="s">
        <v>11</v>
      </c>
      <c r="D1087" t="s">
        <v>17</v>
      </c>
      <c r="F1087" t="s">
        <v>60</v>
      </c>
    </row>
    <row r="1088" spans="1:6" x14ac:dyDescent="0.2">
      <c r="A1088" t="s">
        <v>137</v>
      </c>
      <c r="B1088" t="s">
        <v>27</v>
      </c>
      <c r="D1088" t="s">
        <v>13</v>
      </c>
      <c r="F1088" t="s">
        <v>60</v>
      </c>
    </row>
    <row r="1089" spans="1:6" x14ac:dyDescent="0.2">
      <c r="A1089" t="s">
        <v>137</v>
      </c>
      <c r="B1089" t="s">
        <v>10</v>
      </c>
      <c r="D1089" t="s">
        <v>34</v>
      </c>
      <c r="F1089" t="s">
        <v>60</v>
      </c>
    </row>
    <row r="1090" spans="1:6" x14ac:dyDescent="0.2">
      <c r="A1090" t="s">
        <v>137</v>
      </c>
      <c r="B1090" t="s">
        <v>32</v>
      </c>
      <c r="D1090" t="s">
        <v>29</v>
      </c>
      <c r="F1090" t="s">
        <v>60</v>
      </c>
    </row>
    <row r="1091" spans="1:6" x14ac:dyDescent="0.2">
      <c r="A1091" t="s">
        <v>137</v>
      </c>
      <c r="B1091" t="s">
        <v>30</v>
      </c>
      <c r="D1091" t="s">
        <v>36</v>
      </c>
      <c r="F1091" t="s">
        <v>60</v>
      </c>
    </row>
    <row r="1092" spans="1:6" x14ac:dyDescent="0.2">
      <c r="A1092" t="s">
        <v>137</v>
      </c>
      <c r="B1092" t="s">
        <v>23</v>
      </c>
      <c r="D1092" t="s">
        <v>33</v>
      </c>
      <c r="F1092" t="s">
        <v>60</v>
      </c>
    </row>
    <row r="1093" spans="1:6" x14ac:dyDescent="0.2">
      <c r="A1093" t="s">
        <v>137</v>
      </c>
      <c r="B1093" t="s">
        <v>37</v>
      </c>
      <c r="D1093" t="s">
        <v>38</v>
      </c>
      <c r="F1093" t="s">
        <v>60</v>
      </c>
    </row>
    <row r="1094" spans="1:6" x14ac:dyDescent="0.2">
      <c r="A1094" t="s">
        <v>137</v>
      </c>
      <c r="B1094" t="s">
        <v>55</v>
      </c>
      <c r="D1094" t="s">
        <v>20</v>
      </c>
      <c r="F1094" t="s">
        <v>60</v>
      </c>
    </row>
    <row r="1095" spans="1:6" x14ac:dyDescent="0.2">
      <c r="A1095" t="s">
        <v>138</v>
      </c>
      <c r="B1095" t="s">
        <v>11</v>
      </c>
      <c r="D1095" t="s">
        <v>16</v>
      </c>
      <c r="F1095" t="s">
        <v>60</v>
      </c>
    </row>
    <row r="1096" spans="1:6" x14ac:dyDescent="0.2">
      <c r="A1096" t="s">
        <v>138</v>
      </c>
      <c r="B1096" t="s">
        <v>12</v>
      </c>
      <c r="D1096" t="s">
        <v>10</v>
      </c>
      <c r="F1096" t="s">
        <v>60</v>
      </c>
    </row>
    <row r="1097" spans="1:6" x14ac:dyDescent="0.2">
      <c r="A1097" t="s">
        <v>138</v>
      </c>
      <c r="B1097" t="s">
        <v>25</v>
      </c>
      <c r="D1097" t="s">
        <v>19</v>
      </c>
      <c r="F1097" t="s">
        <v>60</v>
      </c>
    </row>
    <row r="1098" spans="1:6" x14ac:dyDescent="0.2">
      <c r="A1098" t="s">
        <v>138</v>
      </c>
      <c r="B1098" t="s">
        <v>31</v>
      </c>
      <c r="D1098" t="s">
        <v>55</v>
      </c>
      <c r="F1098" t="s">
        <v>60</v>
      </c>
    </row>
    <row r="1099" spans="1:6" x14ac:dyDescent="0.2">
      <c r="A1099" t="s">
        <v>138</v>
      </c>
      <c r="B1099" t="s">
        <v>24</v>
      </c>
      <c r="D1099" t="s">
        <v>22</v>
      </c>
      <c r="F1099" t="s">
        <v>60</v>
      </c>
    </row>
    <row r="1100" spans="1:6" x14ac:dyDescent="0.2">
      <c r="A1100" t="s">
        <v>139</v>
      </c>
      <c r="B1100" t="s">
        <v>32</v>
      </c>
      <c r="D1100" t="s">
        <v>28</v>
      </c>
      <c r="F1100" t="s">
        <v>60</v>
      </c>
    </row>
    <row r="1101" spans="1:6" x14ac:dyDescent="0.2">
      <c r="A1101" t="s">
        <v>139</v>
      </c>
      <c r="B1101" t="s">
        <v>21</v>
      </c>
      <c r="D1101" t="s">
        <v>26</v>
      </c>
      <c r="F1101" t="s">
        <v>60</v>
      </c>
    </row>
    <row r="1102" spans="1:6" x14ac:dyDescent="0.2">
      <c r="A1102" t="s">
        <v>139</v>
      </c>
      <c r="B1102" t="s">
        <v>37</v>
      </c>
      <c r="D1102" t="s">
        <v>17</v>
      </c>
      <c r="F1102" t="s">
        <v>60</v>
      </c>
    </row>
    <row r="1103" spans="1:6" x14ac:dyDescent="0.2">
      <c r="A1103" t="s">
        <v>139</v>
      </c>
      <c r="B1103" t="s">
        <v>23</v>
      </c>
      <c r="D1103" t="s">
        <v>13</v>
      </c>
      <c r="F1103" t="s">
        <v>60</v>
      </c>
    </row>
    <row r="1104" spans="1:6" x14ac:dyDescent="0.2">
      <c r="A1104" t="s">
        <v>139</v>
      </c>
      <c r="B1104" t="s">
        <v>39</v>
      </c>
      <c r="D1104" t="s">
        <v>34</v>
      </c>
      <c r="F1104" t="s">
        <v>60</v>
      </c>
    </row>
    <row r="1105" spans="1:6" x14ac:dyDescent="0.2">
      <c r="A1105" t="s">
        <v>139</v>
      </c>
      <c r="B1105" t="s">
        <v>30</v>
      </c>
      <c r="D1105" t="s">
        <v>18</v>
      </c>
      <c r="F1105" t="s">
        <v>60</v>
      </c>
    </row>
    <row r="1106" spans="1:6" x14ac:dyDescent="0.2">
      <c r="A1106" t="s">
        <v>139</v>
      </c>
      <c r="B1106" t="s">
        <v>20</v>
      </c>
      <c r="D1106" t="s">
        <v>29</v>
      </c>
      <c r="F1106" t="s">
        <v>60</v>
      </c>
    </row>
    <row r="1107" spans="1:6" x14ac:dyDescent="0.2">
      <c r="A1107" t="s">
        <v>139</v>
      </c>
      <c r="B1107" t="s">
        <v>19</v>
      </c>
      <c r="D1107" t="s">
        <v>36</v>
      </c>
      <c r="F1107" t="s">
        <v>60</v>
      </c>
    </row>
    <row r="1108" spans="1:6" x14ac:dyDescent="0.2">
      <c r="A1108" t="s">
        <v>139</v>
      </c>
      <c r="B1108" t="s">
        <v>40</v>
      </c>
      <c r="D1108" t="s">
        <v>14</v>
      </c>
      <c r="F1108" t="s">
        <v>60</v>
      </c>
    </row>
    <row r="1109" spans="1:6" x14ac:dyDescent="0.2">
      <c r="A1109" t="s">
        <v>139</v>
      </c>
      <c r="B1109" t="s">
        <v>27</v>
      </c>
      <c r="D1109" t="s">
        <v>33</v>
      </c>
      <c r="F1109" t="s">
        <v>60</v>
      </c>
    </row>
    <row r="1110" spans="1:6" x14ac:dyDescent="0.2">
      <c r="A1110" t="s">
        <v>139</v>
      </c>
      <c r="B1110" t="s">
        <v>35</v>
      </c>
      <c r="D1110" t="s">
        <v>38</v>
      </c>
      <c r="F1110" t="s">
        <v>60</v>
      </c>
    </row>
    <row r="1111" spans="1:6" x14ac:dyDescent="0.2">
      <c r="A1111" t="s">
        <v>140</v>
      </c>
      <c r="B1111" t="s">
        <v>23</v>
      </c>
      <c r="D1111" t="s">
        <v>31</v>
      </c>
      <c r="F1111" t="s">
        <v>60</v>
      </c>
    </row>
    <row r="1112" spans="1:6" x14ac:dyDescent="0.2">
      <c r="A1112" t="s">
        <v>140</v>
      </c>
      <c r="B1112" t="s">
        <v>37</v>
      </c>
      <c r="D1112" t="s">
        <v>16</v>
      </c>
      <c r="F1112" t="s">
        <v>60</v>
      </c>
    </row>
    <row r="1113" spans="1:6" x14ac:dyDescent="0.2">
      <c r="A1113" t="s">
        <v>140</v>
      </c>
      <c r="B1113" t="s">
        <v>29</v>
      </c>
      <c r="D1113" t="s">
        <v>10</v>
      </c>
      <c r="F1113" t="s">
        <v>60</v>
      </c>
    </row>
    <row r="1114" spans="1:6" x14ac:dyDescent="0.2">
      <c r="A1114" t="s">
        <v>140</v>
      </c>
      <c r="B1114" t="s">
        <v>20</v>
      </c>
      <c r="D1114" t="s">
        <v>39</v>
      </c>
      <c r="F1114" t="s">
        <v>60</v>
      </c>
    </row>
    <row r="1115" spans="1:6" x14ac:dyDescent="0.2">
      <c r="A1115" t="s">
        <v>140</v>
      </c>
      <c r="B1115" t="s">
        <v>28</v>
      </c>
      <c r="D1115" t="s">
        <v>30</v>
      </c>
      <c r="F1115" t="s">
        <v>60</v>
      </c>
    </row>
    <row r="1116" spans="1:6" x14ac:dyDescent="0.2">
      <c r="A1116" t="s">
        <v>140</v>
      </c>
      <c r="B1116" t="s">
        <v>40</v>
      </c>
      <c r="D1116" t="s">
        <v>15</v>
      </c>
      <c r="F1116" t="s">
        <v>60</v>
      </c>
    </row>
    <row r="1117" spans="1:6" x14ac:dyDescent="0.2">
      <c r="A1117" t="s">
        <v>140</v>
      </c>
      <c r="B1117" t="s">
        <v>25</v>
      </c>
      <c r="D1117" t="s">
        <v>14</v>
      </c>
      <c r="F1117" t="s">
        <v>60</v>
      </c>
    </row>
    <row r="1118" spans="1:6" x14ac:dyDescent="0.2">
      <c r="A1118" t="s">
        <v>140</v>
      </c>
      <c r="B1118" t="s">
        <v>13</v>
      </c>
      <c r="D1118" t="s">
        <v>55</v>
      </c>
      <c r="F1118" t="s">
        <v>60</v>
      </c>
    </row>
    <row r="1119" spans="1:6" x14ac:dyDescent="0.2">
      <c r="A1119" t="s">
        <v>140</v>
      </c>
      <c r="B1119" t="s">
        <v>12</v>
      </c>
      <c r="D1119" t="s">
        <v>22</v>
      </c>
      <c r="F1119" t="s">
        <v>60</v>
      </c>
    </row>
    <row r="1120" spans="1:6" x14ac:dyDescent="0.2">
      <c r="A1120" t="s">
        <v>141</v>
      </c>
      <c r="B1120" t="s">
        <v>36</v>
      </c>
      <c r="D1120" t="s">
        <v>15</v>
      </c>
      <c r="F1120" t="s">
        <v>60</v>
      </c>
    </row>
    <row r="1121" spans="1:6" x14ac:dyDescent="0.2">
      <c r="A1121" t="s">
        <v>142</v>
      </c>
      <c r="B1121" t="s">
        <v>19</v>
      </c>
      <c r="D1121" t="s">
        <v>21</v>
      </c>
      <c r="F1121" t="s">
        <v>60</v>
      </c>
    </row>
    <row r="1122" spans="1:6" x14ac:dyDescent="0.2">
      <c r="A1122" t="s">
        <v>142</v>
      </c>
      <c r="B1122" t="s">
        <v>13</v>
      </c>
      <c r="D1122" t="s">
        <v>16</v>
      </c>
      <c r="F1122" t="s">
        <v>60</v>
      </c>
    </row>
    <row r="1123" spans="1:6" x14ac:dyDescent="0.2">
      <c r="A1123" t="s">
        <v>142</v>
      </c>
      <c r="B1123" t="s">
        <v>24</v>
      </c>
      <c r="D1123" t="s">
        <v>39</v>
      </c>
      <c r="F1123" t="s">
        <v>60</v>
      </c>
    </row>
    <row r="1124" spans="1:6" x14ac:dyDescent="0.2">
      <c r="A1124" t="s">
        <v>142</v>
      </c>
      <c r="B1124" t="s">
        <v>36</v>
      </c>
      <c r="D1124" t="s">
        <v>26</v>
      </c>
      <c r="F1124" t="s">
        <v>60</v>
      </c>
    </row>
    <row r="1125" spans="1:6" x14ac:dyDescent="0.2">
      <c r="A1125" t="s">
        <v>142</v>
      </c>
      <c r="B1125" t="s">
        <v>32</v>
      </c>
      <c r="D1125" t="s">
        <v>11</v>
      </c>
      <c r="F1125" t="s">
        <v>60</v>
      </c>
    </row>
    <row r="1126" spans="1:6" x14ac:dyDescent="0.2">
      <c r="A1126" t="s">
        <v>142</v>
      </c>
      <c r="B1126" t="s">
        <v>25</v>
      </c>
      <c r="D1126" t="s">
        <v>18</v>
      </c>
      <c r="F1126" t="s">
        <v>60</v>
      </c>
    </row>
    <row r="1127" spans="1:6" x14ac:dyDescent="0.2">
      <c r="A1127" t="s">
        <v>142</v>
      </c>
      <c r="B1127" t="s">
        <v>33</v>
      </c>
      <c r="D1127" t="s">
        <v>29</v>
      </c>
      <c r="F1127" t="s">
        <v>60</v>
      </c>
    </row>
    <row r="1128" spans="1:6" x14ac:dyDescent="0.2">
      <c r="A1128" t="s">
        <v>142</v>
      </c>
      <c r="B1128" t="s">
        <v>10</v>
      </c>
      <c r="D1128" t="s">
        <v>30</v>
      </c>
      <c r="F1128" t="s">
        <v>60</v>
      </c>
    </row>
    <row r="1129" spans="1:6" x14ac:dyDescent="0.2">
      <c r="A1129" t="s">
        <v>142</v>
      </c>
      <c r="B1129" t="s">
        <v>28</v>
      </c>
      <c r="D1129" t="s">
        <v>27</v>
      </c>
      <c r="F1129" t="s">
        <v>60</v>
      </c>
    </row>
    <row r="1130" spans="1:6" x14ac:dyDescent="0.2">
      <c r="A1130" t="s">
        <v>142</v>
      </c>
      <c r="B1130" t="s">
        <v>12</v>
      </c>
      <c r="D1130" t="s">
        <v>14</v>
      </c>
      <c r="F1130" t="s">
        <v>60</v>
      </c>
    </row>
    <row r="1131" spans="1:6" x14ac:dyDescent="0.2">
      <c r="A1131" t="s">
        <v>142</v>
      </c>
      <c r="B1131" t="s">
        <v>22</v>
      </c>
      <c r="D1131" t="s">
        <v>35</v>
      </c>
      <c r="F1131" t="s">
        <v>60</v>
      </c>
    </row>
    <row r="1132" spans="1:6" x14ac:dyDescent="0.2">
      <c r="A1132" t="s">
        <v>142</v>
      </c>
      <c r="B1132" t="s">
        <v>34</v>
      </c>
      <c r="D1132" t="s">
        <v>37</v>
      </c>
      <c r="F1132" t="s">
        <v>60</v>
      </c>
    </row>
    <row r="1133" spans="1:6" x14ac:dyDescent="0.2">
      <c r="A1133" t="s">
        <v>142</v>
      </c>
      <c r="B1133" t="s">
        <v>17</v>
      </c>
      <c r="D1133" t="s">
        <v>55</v>
      </c>
      <c r="F1133" t="s">
        <v>60</v>
      </c>
    </row>
    <row r="1134" spans="1:6" x14ac:dyDescent="0.2">
      <c r="A1134" t="s">
        <v>142</v>
      </c>
      <c r="B1134" t="s">
        <v>31</v>
      </c>
      <c r="D1134" t="s">
        <v>38</v>
      </c>
      <c r="F1134" t="s">
        <v>60</v>
      </c>
    </row>
    <row r="1135" spans="1:6" x14ac:dyDescent="0.2">
      <c r="A1135" t="s">
        <v>142</v>
      </c>
      <c r="B1135" t="s">
        <v>20</v>
      </c>
      <c r="D1135" t="s">
        <v>40</v>
      </c>
      <c r="F1135" t="s">
        <v>60</v>
      </c>
    </row>
    <row r="1136" spans="1:6" x14ac:dyDescent="0.2">
      <c r="A1136" t="s">
        <v>143</v>
      </c>
      <c r="B1136" t="s">
        <v>21</v>
      </c>
      <c r="D1136" t="s">
        <v>23</v>
      </c>
      <c r="F1136" t="s">
        <v>60</v>
      </c>
    </row>
    <row r="1137" spans="1:6" x14ac:dyDescent="0.2">
      <c r="A1137" t="s">
        <v>143</v>
      </c>
      <c r="B1137" t="s">
        <v>15</v>
      </c>
      <c r="D1137" t="s">
        <v>19</v>
      </c>
      <c r="F1137" t="s">
        <v>60</v>
      </c>
    </row>
    <row r="1138" spans="1:6" x14ac:dyDescent="0.2">
      <c r="A1138" t="s">
        <v>144</v>
      </c>
      <c r="B1138" t="s">
        <v>31</v>
      </c>
      <c r="D1138" t="s">
        <v>16</v>
      </c>
      <c r="F1138" t="s">
        <v>60</v>
      </c>
    </row>
    <row r="1139" spans="1:6" x14ac:dyDescent="0.2">
      <c r="A1139" t="s">
        <v>144</v>
      </c>
      <c r="B1139" t="s">
        <v>34</v>
      </c>
      <c r="D1139" t="s">
        <v>11</v>
      </c>
      <c r="F1139" t="s">
        <v>60</v>
      </c>
    </row>
    <row r="1140" spans="1:6" x14ac:dyDescent="0.2">
      <c r="A1140" t="s">
        <v>144</v>
      </c>
      <c r="B1140" t="s">
        <v>28</v>
      </c>
      <c r="D1140" t="s">
        <v>18</v>
      </c>
      <c r="F1140" t="s">
        <v>60</v>
      </c>
    </row>
    <row r="1141" spans="1:6" x14ac:dyDescent="0.2">
      <c r="A1141" t="s">
        <v>144</v>
      </c>
      <c r="B1141" t="s">
        <v>24</v>
      </c>
      <c r="D1141" t="s">
        <v>29</v>
      </c>
      <c r="F1141" t="s">
        <v>60</v>
      </c>
    </row>
    <row r="1142" spans="1:6" x14ac:dyDescent="0.2">
      <c r="A1142" t="s">
        <v>144</v>
      </c>
      <c r="B1142" t="s">
        <v>39</v>
      </c>
      <c r="D1142" t="s">
        <v>30</v>
      </c>
      <c r="F1142" t="s">
        <v>60</v>
      </c>
    </row>
    <row r="1143" spans="1:6" x14ac:dyDescent="0.2">
      <c r="A1143" t="s">
        <v>144</v>
      </c>
      <c r="B1143" t="s">
        <v>14</v>
      </c>
      <c r="D1143" t="s">
        <v>36</v>
      </c>
      <c r="F1143" t="s">
        <v>60</v>
      </c>
    </row>
    <row r="1144" spans="1:6" x14ac:dyDescent="0.2">
      <c r="A1144" t="s">
        <v>144</v>
      </c>
      <c r="B1144" t="s">
        <v>10</v>
      </c>
      <c r="D1144" t="s">
        <v>27</v>
      </c>
      <c r="F1144" t="s">
        <v>60</v>
      </c>
    </row>
    <row r="1145" spans="1:6" x14ac:dyDescent="0.2">
      <c r="A1145" t="s">
        <v>144</v>
      </c>
      <c r="B1145" t="s">
        <v>33</v>
      </c>
      <c r="D1145" t="s">
        <v>35</v>
      </c>
      <c r="F1145" t="s">
        <v>60</v>
      </c>
    </row>
    <row r="1146" spans="1:6" x14ac:dyDescent="0.2">
      <c r="A1146" t="s">
        <v>144</v>
      </c>
      <c r="B1146" t="s">
        <v>32</v>
      </c>
      <c r="D1146" t="s">
        <v>37</v>
      </c>
      <c r="F1146" t="s">
        <v>60</v>
      </c>
    </row>
    <row r="1147" spans="1:6" x14ac:dyDescent="0.2">
      <c r="A1147" t="s">
        <v>144</v>
      </c>
      <c r="B1147" t="s">
        <v>22</v>
      </c>
      <c r="D1147" t="s">
        <v>55</v>
      </c>
      <c r="F1147" t="s">
        <v>60</v>
      </c>
    </row>
    <row r="1148" spans="1:6" x14ac:dyDescent="0.2">
      <c r="A1148" t="s">
        <v>144</v>
      </c>
      <c r="B1148" t="s">
        <v>13</v>
      </c>
      <c r="D1148" t="s">
        <v>38</v>
      </c>
      <c r="F1148" t="s">
        <v>60</v>
      </c>
    </row>
    <row r="1149" spans="1:6" x14ac:dyDescent="0.2">
      <c r="A1149" t="s">
        <v>144</v>
      </c>
      <c r="B1149" t="s">
        <v>17</v>
      </c>
      <c r="D1149" t="s">
        <v>20</v>
      </c>
      <c r="F1149" t="s">
        <v>60</v>
      </c>
    </row>
    <row r="1150" spans="1:6" x14ac:dyDescent="0.2">
      <c r="A1150" t="s">
        <v>144</v>
      </c>
      <c r="B1150" t="s">
        <v>12</v>
      </c>
      <c r="D1150" t="s">
        <v>40</v>
      </c>
      <c r="F1150" t="s">
        <v>60</v>
      </c>
    </row>
    <row r="1151" spans="1:6" x14ac:dyDescent="0.2">
      <c r="A1151" t="s">
        <v>145</v>
      </c>
      <c r="B1151" t="s">
        <v>26</v>
      </c>
      <c r="D1151" t="s">
        <v>23</v>
      </c>
      <c r="F1151" t="s">
        <v>60</v>
      </c>
    </row>
    <row r="1152" spans="1:6" x14ac:dyDescent="0.2">
      <c r="A1152" t="s">
        <v>145</v>
      </c>
      <c r="B1152" t="s">
        <v>10</v>
      </c>
      <c r="D1152" t="s">
        <v>15</v>
      </c>
      <c r="F1152" t="s">
        <v>60</v>
      </c>
    </row>
    <row r="1153" spans="1:6" x14ac:dyDescent="0.2">
      <c r="A1153" t="s">
        <v>146</v>
      </c>
      <c r="B1153" t="s">
        <v>34</v>
      </c>
      <c r="D1153" t="s">
        <v>21</v>
      </c>
      <c r="F1153" t="s">
        <v>60</v>
      </c>
    </row>
    <row r="1154" spans="1:6" x14ac:dyDescent="0.2">
      <c r="A1154" t="s">
        <v>146</v>
      </c>
      <c r="B1154" t="s">
        <v>32</v>
      </c>
      <c r="D1154" t="s">
        <v>23</v>
      </c>
      <c r="F1154" t="s">
        <v>60</v>
      </c>
    </row>
    <row r="1155" spans="1:6" x14ac:dyDescent="0.2">
      <c r="A1155" t="s">
        <v>146</v>
      </c>
      <c r="B1155" t="s">
        <v>24</v>
      </c>
      <c r="D1155" t="s">
        <v>25</v>
      </c>
      <c r="F1155" t="s">
        <v>60</v>
      </c>
    </row>
    <row r="1156" spans="1:6" x14ac:dyDescent="0.2">
      <c r="A1156" t="s">
        <v>146</v>
      </c>
      <c r="B1156" t="s">
        <v>33</v>
      </c>
      <c r="D1156" t="s">
        <v>28</v>
      </c>
      <c r="F1156" t="s">
        <v>60</v>
      </c>
    </row>
    <row r="1157" spans="1:6" x14ac:dyDescent="0.2">
      <c r="A1157" t="s">
        <v>146</v>
      </c>
      <c r="B1157" t="s">
        <v>38</v>
      </c>
      <c r="D1157" t="s">
        <v>16</v>
      </c>
      <c r="F1157" t="s">
        <v>60</v>
      </c>
    </row>
    <row r="1158" spans="1:6" x14ac:dyDescent="0.2">
      <c r="A1158" t="s">
        <v>146</v>
      </c>
      <c r="B1158" t="s">
        <v>40</v>
      </c>
      <c r="D1158" t="s">
        <v>12</v>
      </c>
      <c r="F1158" t="s">
        <v>60</v>
      </c>
    </row>
    <row r="1159" spans="1:6" x14ac:dyDescent="0.2">
      <c r="A1159" t="s">
        <v>146</v>
      </c>
      <c r="B1159" t="s">
        <v>27</v>
      </c>
      <c r="D1159" t="s">
        <v>26</v>
      </c>
      <c r="F1159" t="s">
        <v>60</v>
      </c>
    </row>
    <row r="1160" spans="1:6" x14ac:dyDescent="0.2">
      <c r="A1160" t="s">
        <v>146</v>
      </c>
      <c r="B1160" t="s">
        <v>31</v>
      </c>
      <c r="D1160" t="s">
        <v>17</v>
      </c>
      <c r="F1160" t="s">
        <v>60</v>
      </c>
    </row>
    <row r="1161" spans="1:6" x14ac:dyDescent="0.2">
      <c r="A1161" t="s">
        <v>146</v>
      </c>
      <c r="B1161" t="s">
        <v>55</v>
      </c>
      <c r="D1161" t="s">
        <v>13</v>
      </c>
      <c r="F1161" t="s">
        <v>60</v>
      </c>
    </row>
    <row r="1162" spans="1:6" x14ac:dyDescent="0.2">
      <c r="A1162" t="s">
        <v>146</v>
      </c>
      <c r="B1162" t="s">
        <v>18</v>
      </c>
      <c r="D1162" t="s">
        <v>29</v>
      </c>
      <c r="F1162" t="s">
        <v>60</v>
      </c>
    </row>
    <row r="1163" spans="1:6" x14ac:dyDescent="0.2">
      <c r="A1163" t="s">
        <v>146</v>
      </c>
      <c r="B1163" t="s">
        <v>11</v>
      </c>
      <c r="D1163" t="s">
        <v>30</v>
      </c>
      <c r="F1163" t="s">
        <v>60</v>
      </c>
    </row>
    <row r="1164" spans="1:6" x14ac:dyDescent="0.2">
      <c r="A1164" t="s">
        <v>146</v>
      </c>
      <c r="B1164" t="s">
        <v>39</v>
      </c>
      <c r="D1164" t="s">
        <v>14</v>
      </c>
      <c r="F1164" t="s">
        <v>60</v>
      </c>
    </row>
    <row r="1165" spans="1:6" x14ac:dyDescent="0.2">
      <c r="A1165" t="s">
        <v>146</v>
      </c>
      <c r="B1165" t="s">
        <v>19</v>
      </c>
      <c r="D1165" t="s">
        <v>35</v>
      </c>
      <c r="F1165" t="s">
        <v>60</v>
      </c>
    </row>
    <row r="1166" spans="1:6" x14ac:dyDescent="0.2">
      <c r="A1166" t="s">
        <v>146</v>
      </c>
      <c r="B1166" t="s">
        <v>36</v>
      </c>
      <c r="D1166" t="s">
        <v>37</v>
      </c>
      <c r="F1166" t="s">
        <v>60</v>
      </c>
    </row>
    <row r="1167" spans="1:6" x14ac:dyDescent="0.2">
      <c r="A1167" t="s">
        <v>146</v>
      </c>
      <c r="B1167" t="s">
        <v>22</v>
      </c>
      <c r="D1167" t="s">
        <v>20</v>
      </c>
      <c r="F1167" t="s">
        <v>60</v>
      </c>
    </row>
    <row r="1168" spans="1:6" x14ac:dyDescent="0.2">
      <c r="A1168" t="s">
        <v>147</v>
      </c>
      <c r="B1168" t="s">
        <v>18</v>
      </c>
      <c r="D1168" t="s">
        <v>25</v>
      </c>
      <c r="F1168" t="s">
        <v>60</v>
      </c>
    </row>
    <row r="1169" spans="1:6" x14ac:dyDescent="0.2">
      <c r="A1169" t="s">
        <v>147</v>
      </c>
      <c r="B1169" t="s">
        <v>21</v>
      </c>
      <c r="D1169" t="s">
        <v>28</v>
      </c>
      <c r="F1169" t="s">
        <v>60</v>
      </c>
    </row>
    <row r="1170" spans="1:6" x14ac:dyDescent="0.2">
      <c r="A1170" t="s">
        <v>147</v>
      </c>
      <c r="B1170" t="s">
        <v>10</v>
      </c>
      <c r="D1170" t="s">
        <v>24</v>
      </c>
      <c r="F1170" t="s">
        <v>60</v>
      </c>
    </row>
    <row r="1171" spans="1:6" x14ac:dyDescent="0.2">
      <c r="A1171" t="s">
        <v>147</v>
      </c>
      <c r="B1171" t="s">
        <v>11</v>
      </c>
      <c r="D1171" t="s">
        <v>15</v>
      </c>
      <c r="F1171" t="s">
        <v>60</v>
      </c>
    </row>
    <row r="1172" spans="1:6" x14ac:dyDescent="0.2">
      <c r="A1172" t="s">
        <v>147</v>
      </c>
      <c r="B1172" t="s">
        <v>39</v>
      </c>
      <c r="D1172" t="s">
        <v>27</v>
      </c>
      <c r="F1172" t="s">
        <v>60</v>
      </c>
    </row>
    <row r="1173" spans="1:6" x14ac:dyDescent="0.2">
      <c r="A1173" t="s">
        <v>147</v>
      </c>
      <c r="B1173" t="s">
        <v>29</v>
      </c>
      <c r="D1173" t="s">
        <v>37</v>
      </c>
      <c r="F1173" t="s">
        <v>60</v>
      </c>
    </row>
    <row r="1174" spans="1:6" x14ac:dyDescent="0.2">
      <c r="A1174" t="s">
        <v>148</v>
      </c>
      <c r="B1174" t="s">
        <v>19</v>
      </c>
      <c r="D1174" t="s">
        <v>31</v>
      </c>
      <c r="F1174" t="s">
        <v>60</v>
      </c>
    </row>
    <row r="1175" spans="1:6" x14ac:dyDescent="0.2">
      <c r="A1175" t="s">
        <v>148</v>
      </c>
      <c r="B1175" t="s">
        <v>16</v>
      </c>
      <c r="D1175" t="s">
        <v>12</v>
      </c>
      <c r="F1175" t="s">
        <v>60</v>
      </c>
    </row>
    <row r="1176" spans="1:6" x14ac:dyDescent="0.2">
      <c r="A1176" t="s">
        <v>148</v>
      </c>
      <c r="B1176" t="s">
        <v>14</v>
      </c>
      <c r="D1176" t="s">
        <v>30</v>
      </c>
      <c r="F1176" t="s">
        <v>60</v>
      </c>
    </row>
    <row r="1177" spans="1:6" x14ac:dyDescent="0.2">
      <c r="A1177" t="s">
        <v>148</v>
      </c>
      <c r="B1177" t="s">
        <v>35</v>
      </c>
      <c r="D1177" t="s">
        <v>33</v>
      </c>
      <c r="F1177" t="s">
        <v>60</v>
      </c>
    </row>
    <row r="1178" spans="1:6" x14ac:dyDescent="0.2">
      <c r="A1178" t="s">
        <v>148</v>
      </c>
      <c r="B1178" t="s">
        <v>38</v>
      </c>
      <c r="D1178" t="s">
        <v>20</v>
      </c>
      <c r="F1178" t="s">
        <v>60</v>
      </c>
    </row>
    <row r="1179" spans="1:6" x14ac:dyDescent="0.2">
      <c r="A1179" t="s">
        <v>149</v>
      </c>
      <c r="B1179" t="s">
        <v>39</v>
      </c>
      <c r="D1179" t="s">
        <v>21</v>
      </c>
      <c r="F1179" t="s">
        <v>60</v>
      </c>
    </row>
    <row r="1180" spans="1:6" x14ac:dyDescent="0.2">
      <c r="A1180" t="s">
        <v>149</v>
      </c>
      <c r="B1180" t="s">
        <v>30</v>
      </c>
      <c r="D1180" t="s">
        <v>23</v>
      </c>
      <c r="F1180" t="s">
        <v>60</v>
      </c>
    </row>
    <row r="1181" spans="1:6" x14ac:dyDescent="0.2">
      <c r="A1181" t="s">
        <v>149</v>
      </c>
      <c r="B1181" t="s">
        <v>25</v>
      </c>
      <c r="D1181" t="s">
        <v>28</v>
      </c>
      <c r="F1181" t="s">
        <v>60</v>
      </c>
    </row>
    <row r="1182" spans="1:6" x14ac:dyDescent="0.2">
      <c r="A1182" t="s">
        <v>149</v>
      </c>
      <c r="B1182" t="s">
        <v>40</v>
      </c>
      <c r="D1182" t="s">
        <v>10</v>
      </c>
      <c r="F1182" t="s">
        <v>60</v>
      </c>
    </row>
    <row r="1183" spans="1:6" x14ac:dyDescent="0.2">
      <c r="A1183" t="s">
        <v>149</v>
      </c>
      <c r="B1183" t="s">
        <v>32</v>
      </c>
      <c r="D1183" t="s">
        <v>17</v>
      </c>
      <c r="F1183" t="s">
        <v>60</v>
      </c>
    </row>
    <row r="1184" spans="1:6" x14ac:dyDescent="0.2">
      <c r="A1184" t="s">
        <v>149</v>
      </c>
      <c r="B1184" t="s">
        <v>36</v>
      </c>
      <c r="D1184" t="s">
        <v>11</v>
      </c>
      <c r="F1184" t="s">
        <v>60</v>
      </c>
    </row>
    <row r="1185" spans="1:6" x14ac:dyDescent="0.2">
      <c r="A1185" t="s">
        <v>149</v>
      </c>
      <c r="B1185" t="s">
        <v>24</v>
      </c>
      <c r="D1185" t="s">
        <v>15</v>
      </c>
      <c r="F1185" t="s">
        <v>60</v>
      </c>
    </row>
    <row r="1186" spans="1:6" x14ac:dyDescent="0.2">
      <c r="A1186" t="s">
        <v>149</v>
      </c>
      <c r="B1186" t="s">
        <v>26</v>
      </c>
      <c r="D1186" t="s">
        <v>14</v>
      </c>
      <c r="F1186" t="s">
        <v>60</v>
      </c>
    </row>
    <row r="1187" spans="1:6" x14ac:dyDescent="0.2">
      <c r="A1187" t="s">
        <v>149</v>
      </c>
      <c r="B1187" t="s">
        <v>18</v>
      </c>
      <c r="D1187" t="s">
        <v>37</v>
      </c>
      <c r="F1187" t="s">
        <v>60</v>
      </c>
    </row>
    <row r="1188" spans="1:6" x14ac:dyDescent="0.2">
      <c r="A1188" t="s">
        <v>149</v>
      </c>
      <c r="B1188" t="s">
        <v>27</v>
      </c>
      <c r="D1188" t="s">
        <v>22</v>
      </c>
      <c r="F1188" t="s">
        <v>60</v>
      </c>
    </row>
    <row r="1189" spans="1:6" x14ac:dyDescent="0.2">
      <c r="A1189" t="s">
        <v>150</v>
      </c>
      <c r="B1189" t="s">
        <v>38</v>
      </c>
      <c r="D1189" t="s">
        <v>12</v>
      </c>
      <c r="F1189" t="s">
        <v>60</v>
      </c>
    </row>
    <row r="1190" spans="1:6" x14ac:dyDescent="0.2">
      <c r="A1190" t="s">
        <v>150</v>
      </c>
      <c r="B1190" t="s">
        <v>35</v>
      </c>
      <c r="D1190" t="s">
        <v>13</v>
      </c>
      <c r="F1190" t="s">
        <v>60</v>
      </c>
    </row>
    <row r="1191" spans="1:6" x14ac:dyDescent="0.2">
      <c r="A1191" t="s">
        <v>150</v>
      </c>
      <c r="B1191" t="s">
        <v>31</v>
      </c>
      <c r="D1191" t="s">
        <v>33</v>
      </c>
      <c r="F1191" t="s">
        <v>60</v>
      </c>
    </row>
    <row r="1192" spans="1:6" x14ac:dyDescent="0.2">
      <c r="A1192" t="s">
        <v>151</v>
      </c>
      <c r="B1192" t="s">
        <v>28</v>
      </c>
      <c r="D1192" t="s">
        <v>25</v>
      </c>
      <c r="F1192" t="s">
        <v>60</v>
      </c>
    </row>
    <row r="1193" spans="1:6" x14ac:dyDescent="0.2">
      <c r="A1193" t="s">
        <v>151</v>
      </c>
      <c r="B1193" t="s">
        <v>40</v>
      </c>
      <c r="D1193" t="s">
        <v>39</v>
      </c>
      <c r="F1193" t="s">
        <v>60</v>
      </c>
    </row>
    <row r="1194" spans="1:6" x14ac:dyDescent="0.2">
      <c r="A1194" t="s">
        <v>151</v>
      </c>
      <c r="B1194" t="s">
        <v>10</v>
      </c>
      <c r="D1194" t="s">
        <v>17</v>
      </c>
      <c r="F1194" t="s">
        <v>60</v>
      </c>
    </row>
    <row r="1195" spans="1:6" x14ac:dyDescent="0.2">
      <c r="A1195" t="s">
        <v>151</v>
      </c>
      <c r="B1195" t="s">
        <v>21</v>
      </c>
      <c r="D1195" t="s">
        <v>11</v>
      </c>
      <c r="F1195" t="s">
        <v>60</v>
      </c>
    </row>
    <row r="1196" spans="1:6" x14ac:dyDescent="0.2">
      <c r="A1196" t="s">
        <v>151</v>
      </c>
      <c r="B1196" t="s">
        <v>29</v>
      </c>
      <c r="D1196" t="s">
        <v>13</v>
      </c>
      <c r="F1196" t="s">
        <v>60</v>
      </c>
    </row>
    <row r="1197" spans="1:6" x14ac:dyDescent="0.2">
      <c r="A1197" t="s">
        <v>151</v>
      </c>
      <c r="B1197" t="s">
        <v>38</v>
      </c>
      <c r="D1197" t="s">
        <v>34</v>
      </c>
      <c r="F1197" t="s">
        <v>60</v>
      </c>
    </row>
    <row r="1198" spans="1:6" x14ac:dyDescent="0.2">
      <c r="A1198" t="s">
        <v>151</v>
      </c>
      <c r="B1198" t="s">
        <v>22</v>
      </c>
      <c r="D1198" t="s">
        <v>24</v>
      </c>
      <c r="F1198" t="s">
        <v>60</v>
      </c>
    </row>
    <row r="1199" spans="1:6" x14ac:dyDescent="0.2">
      <c r="A1199" t="s">
        <v>151</v>
      </c>
      <c r="B1199" t="s">
        <v>18</v>
      </c>
      <c r="D1199" t="s">
        <v>15</v>
      </c>
      <c r="F1199" t="s">
        <v>60</v>
      </c>
    </row>
    <row r="1200" spans="1:6" x14ac:dyDescent="0.2">
      <c r="A1200" t="s">
        <v>151</v>
      </c>
      <c r="B1200" t="s">
        <v>23</v>
      </c>
      <c r="D1200" t="s">
        <v>36</v>
      </c>
      <c r="F1200" t="s">
        <v>60</v>
      </c>
    </row>
    <row r="1201" spans="1:6" x14ac:dyDescent="0.2">
      <c r="A1201" t="s">
        <v>151</v>
      </c>
      <c r="B1201" t="s">
        <v>26</v>
      </c>
      <c r="D1201" t="s">
        <v>27</v>
      </c>
      <c r="F1201" t="s">
        <v>60</v>
      </c>
    </row>
    <row r="1202" spans="1:6" x14ac:dyDescent="0.2">
      <c r="A1202" t="s">
        <v>151</v>
      </c>
      <c r="B1202" t="s">
        <v>55</v>
      </c>
      <c r="D1202" t="s">
        <v>32</v>
      </c>
      <c r="F1202" t="s">
        <v>60</v>
      </c>
    </row>
    <row r="1203" spans="1:6" x14ac:dyDescent="0.2">
      <c r="A1203" t="s">
        <v>151</v>
      </c>
      <c r="B1203" t="s">
        <v>19</v>
      </c>
      <c r="D1203" t="s">
        <v>33</v>
      </c>
      <c r="F1203" t="s">
        <v>60</v>
      </c>
    </row>
    <row r="1204" spans="1:6" x14ac:dyDescent="0.2">
      <c r="A1204" t="s">
        <v>151</v>
      </c>
      <c r="B1204" t="s">
        <v>14</v>
      </c>
      <c r="D1204" t="s">
        <v>37</v>
      </c>
      <c r="F1204" t="s">
        <v>60</v>
      </c>
    </row>
    <row r="1205" spans="1:6" x14ac:dyDescent="0.2">
      <c r="A1205" t="s">
        <v>151</v>
      </c>
      <c r="B1205" t="s">
        <v>16</v>
      </c>
      <c r="D1205" t="s">
        <v>20</v>
      </c>
      <c r="F1205" t="s">
        <v>60</v>
      </c>
    </row>
    <row r="1206" spans="1:6" x14ac:dyDescent="0.2">
      <c r="A1206" t="s">
        <v>152</v>
      </c>
      <c r="B1206" t="s">
        <v>35</v>
      </c>
      <c r="D1206" t="s">
        <v>31</v>
      </c>
      <c r="F1206" t="s">
        <v>60</v>
      </c>
    </row>
    <row r="1207" spans="1:6" x14ac:dyDescent="0.2">
      <c r="A1207" t="s">
        <v>152</v>
      </c>
      <c r="B1207" t="s">
        <v>27</v>
      </c>
      <c r="D1207" t="s">
        <v>30</v>
      </c>
      <c r="F1207" t="s">
        <v>60</v>
      </c>
    </row>
    <row r="1208" spans="1:6" x14ac:dyDescent="0.2">
      <c r="A1208" t="s">
        <v>153</v>
      </c>
      <c r="B1208" t="s">
        <v>16</v>
      </c>
      <c r="D1208" t="s">
        <v>31</v>
      </c>
      <c r="F1208" t="s">
        <v>60</v>
      </c>
    </row>
    <row r="1209" spans="1:6" x14ac:dyDescent="0.2">
      <c r="A1209" t="s">
        <v>153</v>
      </c>
      <c r="B1209" t="s">
        <v>30</v>
      </c>
      <c r="D1209" t="s">
        <v>25</v>
      </c>
      <c r="F1209" t="s">
        <v>60</v>
      </c>
    </row>
    <row r="1210" spans="1:6" x14ac:dyDescent="0.2">
      <c r="A1210" t="s">
        <v>153</v>
      </c>
      <c r="B1210" t="s">
        <v>40</v>
      </c>
      <c r="D1210" t="s">
        <v>28</v>
      </c>
      <c r="F1210" t="s">
        <v>60</v>
      </c>
    </row>
    <row r="1211" spans="1:6" x14ac:dyDescent="0.2">
      <c r="A1211" t="s">
        <v>153</v>
      </c>
      <c r="B1211" t="s">
        <v>12</v>
      </c>
      <c r="D1211" t="s">
        <v>39</v>
      </c>
      <c r="F1211" t="s">
        <v>60</v>
      </c>
    </row>
    <row r="1212" spans="1:6" x14ac:dyDescent="0.2">
      <c r="A1212" t="s">
        <v>153</v>
      </c>
      <c r="B1212" t="s">
        <v>20</v>
      </c>
      <c r="D1212" t="s">
        <v>17</v>
      </c>
      <c r="F1212" t="s">
        <v>60</v>
      </c>
    </row>
    <row r="1213" spans="1:6" x14ac:dyDescent="0.2">
      <c r="A1213" t="s">
        <v>153</v>
      </c>
      <c r="B1213" t="s">
        <v>19</v>
      </c>
      <c r="D1213" t="s">
        <v>13</v>
      </c>
      <c r="F1213" t="s">
        <v>60</v>
      </c>
    </row>
    <row r="1214" spans="1:6" x14ac:dyDescent="0.2">
      <c r="A1214" t="s">
        <v>153</v>
      </c>
      <c r="B1214" t="s">
        <v>18</v>
      </c>
      <c r="D1214" t="s">
        <v>24</v>
      </c>
      <c r="F1214" t="s">
        <v>60</v>
      </c>
    </row>
    <row r="1215" spans="1:6" x14ac:dyDescent="0.2">
      <c r="A1215" t="s">
        <v>153</v>
      </c>
      <c r="B1215" t="s">
        <v>26</v>
      </c>
      <c r="D1215" t="s">
        <v>15</v>
      </c>
      <c r="F1215" t="s">
        <v>60</v>
      </c>
    </row>
    <row r="1216" spans="1:6" x14ac:dyDescent="0.2">
      <c r="A1216" t="s">
        <v>153</v>
      </c>
      <c r="B1216" t="s">
        <v>34</v>
      </c>
      <c r="D1216" t="s">
        <v>36</v>
      </c>
      <c r="F1216" t="s">
        <v>60</v>
      </c>
    </row>
    <row r="1217" spans="1:6" x14ac:dyDescent="0.2">
      <c r="A1217" t="s">
        <v>153</v>
      </c>
      <c r="B1217" t="s">
        <v>11</v>
      </c>
      <c r="D1217" t="s">
        <v>14</v>
      </c>
      <c r="F1217" t="s">
        <v>60</v>
      </c>
    </row>
    <row r="1218" spans="1:6" x14ac:dyDescent="0.2">
      <c r="A1218" t="s">
        <v>153</v>
      </c>
      <c r="B1218" t="s">
        <v>10</v>
      </c>
      <c r="D1218" t="s">
        <v>32</v>
      </c>
      <c r="F1218" t="s">
        <v>60</v>
      </c>
    </row>
    <row r="1219" spans="1:6" x14ac:dyDescent="0.2">
      <c r="A1219" t="s">
        <v>153</v>
      </c>
      <c r="B1219" t="s">
        <v>29</v>
      </c>
      <c r="D1219" t="s">
        <v>33</v>
      </c>
      <c r="F1219" t="s">
        <v>60</v>
      </c>
    </row>
    <row r="1220" spans="1:6" x14ac:dyDescent="0.2">
      <c r="A1220" t="s">
        <v>153</v>
      </c>
      <c r="B1220" t="s">
        <v>21</v>
      </c>
      <c r="D1220" t="s">
        <v>37</v>
      </c>
      <c r="F1220" t="s">
        <v>60</v>
      </c>
    </row>
    <row r="1221" spans="1:6" x14ac:dyDescent="0.2">
      <c r="A1221" t="s">
        <v>153</v>
      </c>
      <c r="B1221" t="s">
        <v>55</v>
      </c>
      <c r="D1221" t="s">
        <v>38</v>
      </c>
      <c r="F1221" t="s">
        <v>60</v>
      </c>
    </row>
    <row r="1222" spans="1:6" x14ac:dyDescent="0.2">
      <c r="A1222" t="s">
        <v>153</v>
      </c>
      <c r="B1222" t="s">
        <v>23</v>
      </c>
      <c r="D1222" t="s">
        <v>22</v>
      </c>
      <c r="F1222" t="s">
        <v>60</v>
      </c>
    </row>
    <row r="1223" spans="1:6" x14ac:dyDescent="0.2">
      <c r="A1223" t="s">
        <v>154</v>
      </c>
      <c r="B1223" t="s">
        <v>35</v>
      </c>
      <c r="D1223" t="s">
        <v>12</v>
      </c>
      <c r="F1223" t="s">
        <v>60</v>
      </c>
    </row>
    <row r="1224" spans="1:6" x14ac:dyDescent="0.2">
      <c r="A1224" t="s">
        <v>154</v>
      </c>
      <c r="B1224" t="s">
        <v>34</v>
      </c>
      <c r="D1224" t="s">
        <v>26</v>
      </c>
      <c r="F1224" t="s">
        <v>60</v>
      </c>
    </row>
    <row r="1225" spans="1:6" x14ac:dyDescent="0.2">
      <c r="A1225" t="s">
        <v>154</v>
      </c>
      <c r="B1225" t="s">
        <v>24</v>
      </c>
      <c r="D1225" t="s">
        <v>18</v>
      </c>
      <c r="F1225" t="s">
        <v>60</v>
      </c>
    </row>
    <row r="1226" spans="1:6" x14ac:dyDescent="0.2">
      <c r="A1226" t="s">
        <v>154</v>
      </c>
      <c r="B1226" t="s">
        <v>22</v>
      </c>
      <c r="D1226" t="s">
        <v>15</v>
      </c>
      <c r="F1226" t="s">
        <v>60</v>
      </c>
    </row>
    <row r="1227" spans="1:6" x14ac:dyDescent="0.2">
      <c r="A1227" t="s">
        <v>154</v>
      </c>
      <c r="B1227" t="s">
        <v>25</v>
      </c>
      <c r="D1227" t="s">
        <v>36</v>
      </c>
      <c r="F1227" t="s">
        <v>60</v>
      </c>
    </row>
    <row r="1228" spans="1:6" x14ac:dyDescent="0.2">
      <c r="A1228" t="s">
        <v>154</v>
      </c>
      <c r="B1228" t="s">
        <v>21</v>
      </c>
      <c r="D1228" t="s">
        <v>27</v>
      </c>
      <c r="F1228" t="s">
        <v>60</v>
      </c>
    </row>
    <row r="1229" spans="1:6" x14ac:dyDescent="0.2">
      <c r="A1229" t="s">
        <v>154</v>
      </c>
      <c r="B1229" t="s">
        <v>11</v>
      </c>
      <c r="D1229" t="s">
        <v>14</v>
      </c>
      <c r="F1229" t="s">
        <v>60</v>
      </c>
    </row>
    <row r="1230" spans="1:6" x14ac:dyDescent="0.2">
      <c r="A1230" t="s">
        <v>155</v>
      </c>
      <c r="B1230" t="s">
        <v>37</v>
      </c>
      <c r="D1230" t="s">
        <v>23</v>
      </c>
      <c r="F1230" t="s">
        <v>60</v>
      </c>
    </row>
    <row r="1231" spans="1:6" x14ac:dyDescent="0.2">
      <c r="A1231" t="s">
        <v>155</v>
      </c>
      <c r="B1231" t="s">
        <v>29</v>
      </c>
      <c r="D1231" t="s">
        <v>13</v>
      </c>
      <c r="F1231" t="s">
        <v>60</v>
      </c>
    </row>
    <row r="1232" spans="1:6" x14ac:dyDescent="0.2">
      <c r="A1232" t="s">
        <v>155</v>
      </c>
      <c r="B1232" t="s">
        <v>10</v>
      </c>
      <c r="D1232" t="s">
        <v>33</v>
      </c>
      <c r="F1232" t="s">
        <v>60</v>
      </c>
    </row>
    <row r="1233" spans="1:6" x14ac:dyDescent="0.2">
      <c r="A1233" t="s">
        <v>155</v>
      </c>
      <c r="B1233" t="s">
        <v>32</v>
      </c>
      <c r="D1233" t="s">
        <v>40</v>
      </c>
      <c r="F1233" t="s">
        <v>60</v>
      </c>
    </row>
    <row r="1234" spans="1:6" x14ac:dyDescent="0.2">
      <c r="A1234" t="s">
        <v>156</v>
      </c>
      <c r="B1234" t="s">
        <v>29</v>
      </c>
      <c r="D1234" t="s">
        <v>31</v>
      </c>
      <c r="F1234" t="s">
        <v>60</v>
      </c>
    </row>
    <row r="1235" spans="1:6" x14ac:dyDescent="0.2">
      <c r="A1235" t="s">
        <v>156</v>
      </c>
      <c r="B1235" t="s">
        <v>21</v>
      </c>
      <c r="D1235" t="s">
        <v>25</v>
      </c>
      <c r="F1235" t="s">
        <v>60</v>
      </c>
    </row>
    <row r="1236" spans="1:6" x14ac:dyDescent="0.2">
      <c r="A1236" t="s">
        <v>156</v>
      </c>
      <c r="B1236" t="s">
        <v>16</v>
      </c>
      <c r="D1236" t="s">
        <v>39</v>
      </c>
      <c r="F1236" t="s">
        <v>60</v>
      </c>
    </row>
    <row r="1237" spans="1:6" x14ac:dyDescent="0.2">
      <c r="A1237" t="s">
        <v>156</v>
      </c>
      <c r="B1237" t="s">
        <v>28</v>
      </c>
      <c r="D1237" t="s">
        <v>26</v>
      </c>
      <c r="F1237" t="s">
        <v>60</v>
      </c>
    </row>
    <row r="1238" spans="1:6" x14ac:dyDescent="0.2">
      <c r="A1238" t="s">
        <v>156</v>
      </c>
      <c r="B1238" t="s">
        <v>32</v>
      </c>
      <c r="D1238" t="s">
        <v>34</v>
      </c>
      <c r="F1238" t="s">
        <v>60</v>
      </c>
    </row>
    <row r="1239" spans="1:6" x14ac:dyDescent="0.2">
      <c r="A1239" t="s">
        <v>156</v>
      </c>
      <c r="B1239" t="s">
        <v>11</v>
      </c>
      <c r="D1239" t="s">
        <v>18</v>
      </c>
      <c r="F1239" t="s">
        <v>60</v>
      </c>
    </row>
    <row r="1240" spans="1:6" x14ac:dyDescent="0.2">
      <c r="A1240" t="s">
        <v>156</v>
      </c>
      <c r="B1240" t="s">
        <v>27</v>
      </c>
      <c r="D1240" t="s">
        <v>24</v>
      </c>
      <c r="F1240" t="s">
        <v>60</v>
      </c>
    </row>
    <row r="1241" spans="1:6" x14ac:dyDescent="0.2">
      <c r="A1241" t="s">
        <v>156</v>
      </c>
      <c r="B1241" t="s">
        <v>37</v>
      </c>
      <c r="D1241" t="s">
        <v>36</v>
      </c>
      <c r="F1241" t="s">
        <v>60</v>
      </c>
    </row>
    <row r="1242" spans="1:6" x14ac:dyDescent="0.2">
      <c r="A1242" t="s">
        <v>156</v>
      </c>
      <c r="B1242" t="s">
        <v>12</v>
      </c>
      <c r="D1242" t="s">
        <v>35</v>
      </c>
      <c r="F1242" t="s">
        <v>60</v>
      </c>
    </row>
    <row r="1243" spans="1:6" x14ac:dyDescent="0.2">
      <c r="A1243" t="s">
        <v>156</v>
      </c>
      <c r="B1243" t="s">
        <v>17</v>
      </c>
      <c r="D1243" t="s">
        <v>55</v>
      </c>
      <c r="F1243" t="s">
        <v>60</v>
      </c>
    </row>
    <row r="1244" spans="1:6" x14ac:dyDescent="0.2">
      <c r="A1244" t="s">
        <v>156</v>
      </c>
      <c r="B1244" t="s">
        <v>20</v>
      </c>
      <c r="D1244" t="s">
        <v>38</v>
      </c>
      <c r="F1244" t="s">
        <v>60</v>
      </c>
    </row>
    <row r="1245" spans="1:6" x14ac:dyDescent="0.2">
      <c r="A1245" t="s">
        <v>157</v>
      </c>
      <c r="B1245" t="s">
        <v>23</v>
      </c>
      <c r="D1245" t="s">
        <v>15</v>
      </c>
      <c r="F1245" t="s">
        <v>60</v>
      </c>
    </row>
    <row r="1246" spans="1:6" x14ac:dyDescent="0.2">
      <c r="A1246" t="s">
        <v>157</v>
      </c>
      <c r="B1246" t="s">
        <v>17</v>
      </c>
      <c r="D1246" t="s">
        <v>33</v>
      </c>
      <c r="F1246" t="s">
        <v>60</v>
      </c>
    </row>
    <row r="1247" spans="1:6" x14ac:dyDescent="0.2">
      <c r="A1247" t="s">
        <v>157</v>
      </c>
      <c r="B1247" t="s">
        <v>22</v>
      </c>
      <c r="D1247" t="s">
        <v>19</v>
      </c>
      <c r="F1247" t="s">
        <v>60</v>
      </c>
    </row>
    <row r="1248" spans="1:6" x14ac:dyDescent="0.2">
      <c r="A1248" t="s">
        <v>158</v>
      </c>
      <c r="B1248" t="s">
        <v>33</v>
      </c>
      <c r="D1248" t="s">
        <v>31</v>
      </c>
      <c r="F1248" t="s">
        <v>60</v>
      </c>
    </row>
    <row r="1249" spans="1:6" x14ac:dyDescent="0.2">
      <c r="A1249" t="s">
        <v>158</v>
      </c>
      <c r="B1249" t="s">
        <v>28</v>
      </c>
      <c r="D1249" t="s">
        <v>23</v>
      </c>
      <c r="F1249" t="s">
        <v>60</v>
      </c>
    </row>
    <row r="1250" spans="1:6" x14ac:dyDescent="0.2">
      <c r="A1250" t="s">
        <v>158</v>
      </c>
      <c r="B1250" t="s">
        <v>25</v>
      </c>
      <c r="D1250" t="s">
        <v>10</v>
      </c>
      <c r="F1250" t="s">
        <v>60</v>
      </c>
    </row>
    <row r="1251" spans="1:6" x14ac:dyDescent="0.2">
      <c r="A1251" t="s">
        <v>158</v>
      </c>
      <c r="B1251" t="s">
        <v>16</v>
      </c>
      <c r="D1251" t="s">
        <v>12</v>
      </c>
      <c r="F1251" t="s">
        <v>60</v>
      </c>
    </row>
    <row r="1252" spans="1:6" x14ac:dyDescent="0.2">
      <c r="A1252" t="s">
        <v>158</v>
      </c>
      <c r="B1252" t="s">
        <v>34</v>
      </c>
      <c r="D1252" t="s">
        <v>39</v>
      </c>
      <c r="F1252" t="s">
        <v>60</v>
      </c>
    </row>
    <row r="1253" spans="1:6" x14ac:dyDescent="0.2">
      <c r="A1253" t="s">
        <v>158</v>
      </c>
      <c r="B1253" t="s">
        <v>27</v>
      </c>
      <c r="D1253" t="s">
        <v>26</v>
      </c>
      <c r="F1253" t="s">
        <v>60</v>
      </c>
    </row>
    <row r="1254" spans="1:6" x14ac:dyDescent="0.2">
      <c r="A1254" t="s">
        <v>158</v>
      </c>
      <c r="B1254" t="s">
        <v>38</v>
      </c>
      <c r="D1254" t="s">
        <v>13</v>
      </c>
      <c r="F1254" t="s">
        <v>60</v>
      </c>
    </row>
    <row r="1255" spans="1:6" x14ac:dyDescent="0.2">
      <c r="A1255" t="s">
        <v>158</v>
      </c>
      <c r="B1255" t="s">
        <v>37</v>
      </c>
      <c r="D1255" t="s">
        <v>18</v>
      </c>
      <c r="F1255" t="s">
        <v>60</v>
      </c>
    </row>
    <row r="1256" spans="1:6" x14ac:dyDescent="0.2">
      <c r="A1256" t="s">
        <v>158</v>
      </c>
      <c r="B1256" t="s">
        <v>14</v>
      </c>
      <c r="D1256" t="s">
        <v>24</v>
      </c>
      <c r="F1256" t="s">
        <v>60</v>
      </c>
    </row>
    <row r="1257" spans="1:6" x14ac:dyDescent="0.2">
      <c r="A1257" t="s">
        <v>158</v>
      </c>
      <c r="B1257" t="s">
        <v>19</v>
      </c>
      <c r="D1257" t="s">
        <v>30</v>
      </c>
      <c r="F1257" t="s">
        <v>60</v>
      </c>
    </row>
    <row r="1258" spans="1:6" x14ac:dyDescent="0.2">
      <c r="A1258" t="s">
        <v>158</v>
      </c>
      <c r="B1258" t="s">
        <v>11</v>
      </c>
      <c r="D1258" t="s">
        <v>36</v>
      </c>
      <c r="F1258" t="s">
        <v>60</v>
      </c>
    </row>
    <row r="1259" spans="1:6" x14ac:dyDescent="0.2">
      <c r="A1259" t="s">
        <v>158</v>
      </c>
      <c r="B1259" t="s">
        <v>20</v>
      </c>
      <c r="D1259" t="s">
        <v>32</v>
      </c>
      <c r="F1259" t="s">
        <v>60</v>
      </c>
    </row>
    <row r="1260" spans="1:6" x14ac:dyDescent="0.2">
      <c r="A1260" t="s">
        <v>158</v>
      </c>
      <c r="B1260" t="s">
        <v>40</v>
      </c>
      <c r="D1260" t="s">
        <v>35</v>
      </c>
      <c r="F1260" t="s">
        <v>60</v>
      </c>
    </row>
    <row r="1261" spans="1:6" x14ac:dyDescent="0.2">
      <c r="A1261" t="s">
        <v>158</v>
      </c>
      <c r="B1261" t="s">
        <v>29</v>
      </c>
      <c r="D1261" t="s">
        <v>55</v>
      </c>
      <c r="F1261" t="s">
        <v>60</v>
      </c>
    </row>
    <row r="1262" spans="1:6" x14ac:dyDescent="0.2">
      <c r="A1262" t="s">
        <v>159</v>
      </c>
      <c r="B1262" t="s">
        <v>37</v>
      </c>
      <c r="D1262" t="s">
        <v>21</v>
      </c>
      <c r="F1262" t="s">
        <v>60</v>
      </c>
    </row>
    <row r="1263" spans="1:6" x14ac:dyDescent="0.2">
      <c r="A1263" t="s">
        <v>159</v>
      </c>
      <c r="B1263" t="s">
        <v>35</v>
      </c>
      <c r="D1263" t="s">
        <v>10</v>
      </c>
      <c r="F1263" t="s">
        <v>60</v>
      </c>
    </row>
    <row r="1264" spans="1:6" x14ac:dyDescent="0.2">
      <c r="A1264" t="s">
        <v>159</v>
      </c>
      <c r="B1264" t="s">
        <v>20</v>
      </c>
      <c r="D1264" t="s">
        <v>12</v>
      </c>
      <c r="F1264" t="s">
        <v>60</v>
      </c>
    </row>
    <row r="1265" spans="1:6" x14ac:dyDescent="0.2">
      <c r="A1265" t="s">
        <v>159</v>
      </c>
      <c r="B1265" t="s">
        <v>15</v>
      </c>
      <c r="D1265" t="s">
        <v>39</v>
      </c>
      <c r="F1265" t="s">
        <v>60</v>
      </c>
    </row>
    <row r="1266" spans="1:6" x14ac:dyDescent="0.2">
      <c r="A1266" t="s">
        <v>159</v>
      </c>
      <c r="B1266" t="s">
        <v>24</v>
      </c>
      <c r="D1266" t="s">
        <v>26</v>
      </c>
      <c r="F1266" t="s">
        <v>60</v>
      </c>
    </row>
    <row r="1267" spans="1:6" x14ac:dyDescent="0.2">
      <c r="A1267" t="s">
        <v>159</v>
      </c>
      <c r="B1267" t="s">
        <v>17</v>
      </c>
      <c r="D1267" t="s">
        <v>13</v>
      </c>
      <c r="F1267" t="s">
        <v>60</v>
      </c>
    </row>
    <row r="1268" spans="1:6" x14ac:dyDescent="0.2">
      <c r="A1268" t="s">
        <v>159</v>
      </c>
      <c r="B1268" t="s">
        <v>28</v>
      </c>
      <c r="D1268" t="s">
        <v>18</v>
      </c>
      <c r="F1268" t="s">
        <v>60</v>
      </c>
    </row>
    <row r="1269" spans="1:6" x14ac:dyDescent="0.2">
      <c r="A1269" t="s">
        <v>159</v>
      </c>
      <c r="B1269" t="s">
        <v>34</v>
      </c>
      <c r="D1269" t="s">
        <v>29</v>
      </c>
      <c r="F1269" t="s">
        <v>60</v>
      </c>
    </row>
    <row r="1270" spans="1:6" x14ac:dyDescent="0.2">
      <c r="A1270" t="s">
        <v>159</v>
      </c>
      <c r="B1270" t="s">
        <v>36</v>
      </c>
      <c r="D1270" t="s">
        <v>30</v>
      </c>
      <c r="F1270" t="s">
        <v>60</v>
      </c>
    </row>
    <row r="1271" spans="1:6" x14ac:dyDescent="0.2">
      <c r="A1271" t="s">
        <v>159</v>
      </c>
      <c r="B1271" t="s">
        <v>22</v>
      </c>
      <c r="D1271" t="s">
        <v>14</v>
      </c>
      <c r="F1271" t="s">
        <v>60</v>
      </c>
    </row>
    <row r="1272" spans="1:6" x14ac:dyDescent="0.2">
      <c r="A1272" t="s">
        <v>159</v>
      </c>
      <c r="B1272" t="s">
        <v>16</v>
      </c>
      <c r="D1272" t="s">
        <v>32</v>
      </c>
      <c r="F1272" t="s">
        <v>60</v>
      </c>
    </row>
    <row r="1273" spans="1:6" x14ac:dyDescent="0.2">
      <c r="A1273" t="s">
        <v>159</v>
      </c>
      <c r="B1273" t="s">
        <v>38</v>
      </c>
      <c r="D1273" t="s">
        <v>33</v>
      </c>
      <c r="F1273" t="s">
        <v>60</v>
      </c>
    </row>
    <row r="1274" spans="1:6" x14ac:dyDescent="0.2">
      <c r="A1274" t="s">
        <v>159</v>
      </c>
      <c r="B1274" t="s">
        <v>11</v>
      </c>
      <c r="D1274" t="s">
        <v>19</v>
      </c>
      <c r="F1274" t="s">
        <v>60</v>
      </c>
    </row>
    <row r="1275" spans="1:6" x14ac:dyDescent="0.2">
      <c r="A1275" t="s">
        <v>159</v>
      </c>
      <c r="B1275" t="s">
        <v>25</v>
      </c>
      <c r="D1275" t="s">
        <v>55</v>
      </c>
      <c r="F1275" t="s">
        <v>60</v>
      </c>
    </row>
    <row r="1276" spans="1:6" x14ac:dyDescent="0.2">
      <c r="A1276" t="s">
        <v>159</v>
      </c>
      <c r="B1276" t="s">
        <v>27</v>
      </c>
      <c r="D1276" t="s">
        <v>40</v>
      </c>
      <c r="F1276" t="s">
        <v>60</v>
      </c>
    </row>
    <row r="1277" spans="1:6" x14ac:dyDescent="0.2">
      <c r="A1277" t="s">
        <v>160</v>
      </c>
      <c r="B1277" t="s">
        <v>38</v>
      </c>
      <c r="D1277" t="s">
        <v>31</v>
      </c>
      <c r="F1277" t="s">
        <v>60</v>
      </c>
    </row>
    <row r="1278" spans="1:6" x14ac:dyDescent="0.2">
      <c r="A1278" t="s">
        <v>160</v>
      </c>
      <c r="B1278" t="s">
        <v>21</v>
      </c>
      <c r="D1278" t="s">
        <v>28</v>
      </c>
      <c r="F1278" t="s">
        <v>60</v>
      </c>
    </row>
    <row r="1279" spans="1:6" x14ac:dyDescent="0.2">
      <c r="A1279" t="s">
        <v>160</v>
      </c>
      <c r="B1279" t="s">
        <v>55</v>
      </c>
      <c r="D1279" t="s">
        <v>16</v>
      </c>
      <c r="F1279" t="s">
        <v>60</v>
      </c>
    </row>
    <row r="1280" spans="1:6" x14ac:dyDescent="0.2">
      <c r="A1280" t="s">
        <v>160</v>
      </c>
      <c r="B1280" t="s">
        <v>36</v>
      </c>
      <c r="D1280" t="s">
        <v>24</v>
      </c>
      <c r="F1280" t="s">
        <v>60</v>
      </c>
    </row>
    <row r="1281" spans="1:6" x14ac:dyDescent="0.2">
      <c r="A1281" t="s">
        <v>160</v>
      </c>
      <c r="B1281" t="s">
        <v>18</v>
      </c>
      <c r="D1281" t="s">
        <v>30</v>
      </c>
      <c r="F1281" t="s">
        <v>60</v>
      </c>
    </row>
    <row r="1282" spans="1:6" x14ac:dyDescent="0.2">
      <c r="A1282" t="s">
        <v>160</v>
      </c>
      <c r="B1282" t="s">
        <v>14</v>
      </c>
      <c r="D1282" t="s">
        <v>22</v>
      </c>
      <c r="F1282" t="s">
        <v>60</v>
      </c>
    </row>
    <row r="1283" spans="1:6" x14ac:dyDescent="0.2">
      <c r="A1283" t="s">
        <v>161</v>
      </c>
      <c r="B1283" t="s">
        <v>23</v>
      </c>
      <c r="D1283" t="s">
        <v>10</v>
      </c>
      <c r="F1283" t="s">
        <v>60</v>
      </c>
    </row>
    <row r="1284" spans="1:6" x14ac:dyDescent="0.2">
      <c r="A1284" t="s">
        <v>161</v>
      </c>
      <c r="B1284" t="s">
        <v>12</v>
      </c>
      <c r="D1284" t="s">
        <v>17</v>
      </c>
      <c r="F1284" t="s">
        <v>60</v>
      </c>
    </row>
    <row r="1285" spans="1:6" x14ac:dyDescent="0.2">
      <c r="A1285" t="s">
        <v>161</v>
      </c>
      <c r="B1285" t="s">
        <v>15</v>
      </c>
      <c r="D1285" t="s">
        <v>11</v>
      </c>
      <c r="F1285" t="s">
        <v>60</v>
      </c>
    </row>
    <row r="1286" spans="1:6" x14ac:dyDescent="0.2">
      <c r="A1286" t="s">
        <v>161</v>
      </c>
      <c r="B1286" t="s">
        <v>33</v>
      </c>
      <c r="D1286" t="s">
        <v>29</v>
      </c>
      <c r="F1286" t="s">
        <v>60</v>
      </c>
    </row>
    <row r="1287" spans="1:6" x14ac:dyDescent="0.2">
      <c r="A1287" t="s">
        <v>161</v>
      </c>
      <c r="B1287" t="s">
        <v>25</v>
      </c>
      <c r="D1287" t="s">
        <v>27</v>
      </c>
      <c r="F1287" t="s">
        <v>60</v>
      </c>
    </row>
    <row r="1288" spans="1:6" x14ac:dyDescent="0.2">
      <c r="A1288" t="s">
        <v>161</v>
      </c>
      <c r="B1288" t="s">
        <v>13</v>
      </c>
      <c r="D1288" t="s">
        <v>32</v>
      </c>
      <c r="F1288" t="s">
        <v>60</v>
      </c>
    </row>
    <row r="1289" spans="1:6" x14ac:dyDescent="0.2">
      <c r="A1289" t="s">
        <v>161</v>
      </c>
      <c r="B1289" t="s">
        <v>34</v>
      </c>
      <c r="D1289" t="s">
        <v>35</v>
      </c>
      <c r="F1289" t="s">
        <v>60</v>
      </c>
    </row>
    <row r="1290" spans="1:6" x14ac:dyDescent="0.2">
      <c r="A1290" t="s">
        <v>161</v>
      </c>
      <c r="B1290" t="s">
        <v>26</v>
      </c>
      <c r="D1290" t="s">
        <v>37</v>
      </c>
      <c r="F1290" t="s">
        <v>60</v>
      </c>
    </row>
    <row r="1291" spans="1:6" x14ac:dyDescent="0.2">
      <c r="A1291" t="s">
        <v>161</v>
      </c>
      <c r="B1291" t="s">
        <v>39</v>
      </c>
      <c r="D1291" t="s">
        <v>19</v>
      </c>
      <c r="F1291" t="s">
        <v>60</v>
      </c>
    </row>
    <row r="1292" spans="1:6" x14ac:dyDescent="0.2">
      <c r="A1292" t="s">
        <v>161</v>
      </c>
      <c r="B1292" t="s">
        <v>40</v>
      </c>
      <c r="D1292" t="s">
        <v>20</v>
      </c>
      <c r="F1292" t="s">
        <v>60</v>
      </c>
    </row>
    <row r="1293" spans="1:6" x14ac:dyDescent="0.2">
      <c r="A1293" t="s">
        <v>162</v>
      </c>
      <c r="B1293" t="s">
        <v>24</v>
      </c>
      <c r="D1293" t="s">
        <v>21</v>
      </c>
      <c r="F1293" t="s">
        <v>60</v>
      </c>
    </row>
    <row r="1294" spans="1:6" x14ac:dyDescent="0.2">
      <c r="A1294" t="s">
        <v>162</v>
      </c>
      <c r="B1294" t="s">
        <v>22</v>
      </c>
      <c r="D1294" t="s">
        <v>28</v>
      </c>
      <c r="F1294" t="s">
        <v>60</v>
      </c>
    </row>
    <row r="1295" spans="1:6" x14ac:dyDescent="0.2">
      <c r="A1295" t="s">
        <v>162</v>
      </c>
      <c r="B1295" t="s">
        <v>12</v>
      </c>
      <c r="D1295" t="s">
        <v>16</v>
      </c>
      <c r="F1295" t="s">
        <v>60</v>
      </c>
    </row>
    <row r="1296" spans="1:6" x14ac:dyDescent="0.2">
      <c r="A1296" t="s">
        <v>162</v>
      </c>
      <c r="B1296" t="s">
        <v>31</v>
      </c>
      <c r="D1296" t="s">
        <v>34</v>
      </c>
      <c r="F1296" t="s">
        <v>60</v>
      </c>
    </row>
    <row r="1297" spans="1:6" x14ac:dyDescent="0.2">
      <c r="A1297" t="s">
        <v>162</v>
      </c>
      <c r="B1297" t="s">
        <v>25</v>
      </c>
      <c r="D1297" t="s">
        <v>30</v>
      </c>
      <c r="F1297" t="s">
        <v>60</v>
      </c>
    </row>
    <row r="1298" spans="1:6" x14ac:dyDescent="0.2">
      <c r="A1298" t="s">
        <v>162</v>
      </c>
      <c r="B1298" t="s">
        <v>18</v>
      </c>
      <c r="D1298" t="s">
        <v>27</v>
      </c>
      <c r="F1298" t="s">
        <v>60</v>
      </c>
    </row>
    <row r="1299" spans="1:6" x14ac:dyDescent="0.2">
      <c r="A1299" t="s">
        <v>162</v>
      </c>
      <c r="B1299" t="s">
        <v>14</v>
      </c>
      <c r="D1299" t="s">
        <v>35</v>
      </c>
      <c r="F1299" t="s">
        <v>60</v>
      </c>
    </row>
    <row r="1300" spans="1:6" x14ac:dyDescent="0.2">
      <c r="A1300" t="s">
        <v>162</v>
      </c>
      <c r="B1300" t="s">
        <v>40</v>
      </c>
      <c r="D1300" t="s">
        <v>55</v>
      </c>
      <c r="F1300" t="s">
        <v>60</v>
      </c>
    </row>
    <row r="1301" spans="1:6" x14ac:dyDescent="0.2">
      <c r="A1301" t="s">
        <v>162</v>
      </c>
      <c r="B1301" t="s">
        <v>13</v>
      </c>
      <c r="D1301" t="s">
        <v>38</v>
      </c>
      <c r="F1301" t="s">
        <v>60</v>
      </c>
    </row>
    <row r="1302" spans="1:6" x14ac:dyDescent="0.2">
      <c r="A1302" t="s">
        <v>163</v>
      </c>
      <c r="B1302" t="s">
        <v>39</v>
      </c>
      <c r="D1302" t="s">
        <v>23</v>
      </c>
      <c r="F1302" t="s">
        <v>60</v>
      </c>
    </row>
    <row r="1303" spans="1:6" x14ac:dyDescent="0.2">
      <c r="A1303" t="s">
        <v>163</v>
      </c>
      <c r="B1303" t="s">
        <v>33</v>
      </c>
      <c r="D1303" t="s">
        <v>10</v>
      </c>
      <c r="F1303" t="s">
        <v>60</v>
      </c>
    </row>
    <row r="1304" spans="1:6" x14ac:dyDescent="0.2">
      <c r="A1304" t="s">
        <v>163</v>
      </c>
      <c r="B1304" t="s">
        <v>26</v>
      </c>
      <c r="D1304" t="s">
        <v>11</v>
      </c>
      <c r="F1304" t="s">
        <v>60</v>
      </c>
    </row>
    <row r="1305" spans="1:6" x14ac:dyDescent="0.2">
      <c r="A1305" t="s">
        <v>163</v>
      </c>
      <c r="B1305" t="s">
        <v>19</v>
      </c>
      <c r="D1305" t="s">
        <v>36</v>
      </c>
      <c r="F1305" t="s">
        <v>60</v>
      </c>
    </row>
    <row r="1306" spans="1:6" x14ac:dyDescent="0.2">
      <c r="A1306" t="s">
        <v>163</v>
      </c>
      <c r="B1306" t="s">
        <v>15</v>
      </c>
      <c r="D1306" t="s">
        <v>37</v>
      </c>
      <c r="F1306" t="s">
        <v>60</v>
      </c>
    </row>
    <row r="1307" spans="1:6" x14ac:dyDescent="0.2">
      <c r="A1307" t="s">
        <v>163</v>
      </c>
      <c r="B1307" t="s">
        <v>32</v>
      </c>
      <c r="D1307" t="s">
        <v>20</v>
      </c>
      <c r="F1307" t="s">
        <v>60</v>
      </c>
    </row>
    <row r="1308" spans="1:6" x14ac:dyDescent="0.2">
      <c r="A1308" t="s">
        <v>164</v>
      </c>
      <c r="B1308" t="s">
        <v>13</v>
      </c>
      <c r="D1308" t="s">
        <v>16</v>
      </c>
      <c r="F1308" t="s">
        <v>60</v>
      </c>
    </row>
    <row r="1309" spans="1:6" x14ac:dyDescent="0.2">
      <c r="A1309" t="s">
        <v>164</v>
      </c>
      <c r="B1309" t="s">
        <v>32</v>
      </c>
      <c r="D1309" t="s">
        <v>12</v>
      </c>
      <c r="F1309" t="s">
        <v>60</v>
      </c>
    </row>
    <row r="1310" spans="1:6" x14ac:dyDescent="0.2">
      <c r="A1310" t="s">
        <v>164</v>
      </c>
      <c r="B1310" t="s">
        <v>38</v>
      </c>
      <c r="D1310" t="s">
        <v>17</v>
      </c>
      <c r="F1310" t="s">
        <v>60</v>
      </c>
    </row>
    <row r="1311" spans="1:6" x14ac:dyDescent="0.2">
      <c r="A1311" t="s">
        <v>164</v>
      </c>
      <c r="B1311" t="s">
        <v>31</v>
      </c>
      <c r="D1311" t="s">
        <v>29</v>
      </c>
      <c r="F1311" t="s">
        <v>60</v>
      </c>
    </row>
    <row r="1312" spans="1:6" x14ac:dyDescent="0.2">
      <c r="A1312" t="s">
        <v>164</v>
      </c>
      <c r="B1312" t="s">
        <v>35</v>
      </c>
      <c r="D1312" t="s">
        <v>55</v>
      </c>
      <c r="F1312" t="s">
        <v>60</v>
      </c>
    </row>
    <row r="1313" spans="1:6" x14ac:dyDescent="0.2">
      <c r="A1313" t="s">
        <v>164</v>
      </c>
      <c r="B1313" t="s">
        <v>33</v>
      </c>
      <c r="D1313" t="s">
        <v>40</v>
      </c>
      <c r="F1313" t="s">
        <v>60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42822-7092-1C4D-84DD-320397CB4560}">
  <sheetPr codeName="Sheet2"/>
  <dimension ref="A1:J1318"/>
  <sheetViews>
    <sheetView zoomScale="90" zoomScaleNormal="90" workbookViewId="0">
      <selection activeCell="J3" sqref="J3"/>
    </sheetView>
  </sheetViews>
  <sheetFormatPr baseColWidth="10" defaultColWidth="10.83203125" defaultRowHeight="16" x14ac:dyDescent="0.2"/>
  <cols>
    <col min="1" max="1" width="19.83203125" bestFit="1" customWidth="1"/>
    <col min="4" max="4" width="19.83203125" bestFit="1" customWidth="1"/>
    <col min="5" max="5" width="11.5" bestFit="1" customWidth="1"/>
    <col min="6" max="6" width="19.83203125" bestFit="1" customWidth="1"/>
    <col min="7" max="7" width="10.1640625" customWidth="1"/>
    <col min="8" max="8" width="14.1640625" customWidth="1"/>
    <col min="9" max="9" width="15.83203125" customWidth="1"/>
    <col min="10" max="10" width="19.33203125" customWidth="1"/>
  </cols>
  <sheetData>
    <row r="1" spans="1:10" x14ac:dyDescent="0.2">
      <c r="A1" s="3" t="s">
        <v>41</v>
      </c>
      <c r="B1">
        <v>4.9900748923162465E-2</v>
      </c>
    </row>
    <row r="2" spans="1:10" x14ac:dyDescent="0.2">
      <c r="J2" s="3" t="s">
        <v>49</v>
      </c>
    </row>
    <row r="3" spans="1:10" x14ac:dyDescent="0.2">
      <c r="B3">
        <v>0</v>
      </c>
      <c r="J3">
        <f>SUM(Table3[Squared Difference])</f>
        <v>2225.0822896183831</v>
      </c>
    </row>
    <row r="6" spans="1:10" x14ac:dyDescent="0.2">
      <c r="A6" s="3" t="s">
        <v>42</v>
      </c>
      <c r="B6" s="3" t="s">
        <v>43</v>
      </c>
      <c r="D6" s="8" t="s">
        <v>2</v>
      </c>
      <c r="E6" s="8" t="s">
        <v>3</v>
      </c>
      <c r="F6" s="8" t="s">
        <v>4</v>
      </c>
      <c r="G6" s="8" t="s">
        <v>5</v>
      </c>
      <c r="H6" s="7" t="s">
        <v>46</v>
      </c>
      <c r="I6" s="6" t="s">
        <v>47</v>
      </c>
      <c r="J6" s="6" t="s">
        <v>48</v>
      </c>
    </row>
    <row r="7" spans="1:10" x14ac:dyDescent="0.2">
      <c r="A7" s="4" t="s">
        <v>31</v>
      </c>
      <c r="B7">
        <v>0.17870302183926629</v>
      </c>
      <c r="D7" t="s">
        <v>10</v>
      </c>
      <c r="E7">
        <f>'NHL2025-26Results'!C2</f>
        <v>2</v>
      </c>
      <c r="F7" t="s">
        <v>11</v>
      </c>
      <c r="G7">
        <f>'NHL2025-26Results'!E2</f>
        <v>3</v>
      </c>
      <c r="H7">
        <f>Table3[[#This Row],[G_1]]-Table3[[#This Row],[G]]</f>
        <v>1</v>
      </c>
      <c r="I7">
        <f>HomeEdge+VLOOKUP(Table3[[#This Row],[Home]],$A$6:$B$38,2,FALSE)-VLOOKUP(Table3[[#This Row],[Visitor]],$A$6:$B$38,2,FALSE)</f>
        <v>-0.17102128695663044</v>
      </c>
      <c r="J7">
        <f>(Table3[[#This Row],[HomeMargin]]-Table3[[#This Row],[HomeForecast]])^2</f>
        <v>1.3712908545055633</v>
      </c>
    </row>
    <row r="8" spans="1:10" x14ac:dyDescent="0.2">
      <c r="A8" s="4" t="s">
        <v>21</v>
      </c>
      <c r="B8">
        <v>-0.21976976044773161</v>
      </c>
      <c r="D8" t="s">
        <v>12</v>
      </c>
      <c r="E8">
        <f>'NHL2025-26Results'!C3</f>
        <v>4</v>
      </c>
      <c r="F8" t="s">
        <v>13</v>
      </c>
      <c r="G8">
        <f>'NHL2025-26Results'!E3</f>
        <v>1</v>
      </c>
      <c r="H8">
        <f>Table3[[#This Row],[G_1]]-Table3[[#This Row],[G]]</f>
        <v>-3</v>
      </c>
      <c r="I8">
        <f>HomeEdge+VLOOKUP(Table3[[#This Row],[Home]],$A$6:$B$38,2,FALSE)-VLOOKUP(Table3[[#This Row],[Visitor]],$A$6:$B$38,2,FALSE)</f>
        <v>-1.9202865081810274</v>
      </c>
      <c r="J8">
        <f>(Table3[[#This Row],[HomeMargin]]-Table3[[#This Row],[HomeForecast]])^2</f>
        <v>1.1657812244159185</v>
      </c>
    </row>
    <row r="9" spans="1:10" x14ac:dyDescent="0.2">
      <c r="A9" s="4" t="s">
        <v>23</v>
      </c>
      <c r="B9">
        <v>-0.4761104357405897</v>
      </c>
      <c r="D9" t="s">
        <v>14</v>
      </c>
      <c r="E9">
        <f>'NHL2025-26Results'!C4</f>
        <v>3</v>
      </c>
      <c r="F9" t="s">
        <v>15</v>
      </c>
      <c r="G9">
        <f>'NHL2025-26Results'!E4</f>
        <v>0</v>
      </c>
      <c r="H9">
        <f>Table3[[#This Row],[G_1]]-Table3[[#This Row],[G]]</f>
        <v>-3</v>
      </c>
      <c r="I9">
        <f>HomeEdge+VLOOKUP(Table3[[#This Row],[Home]],$A$6:$B$38,2,FALSE)-VLOOKUP(Table3[[#This Row],[Visitor]],$A$6:$B$38,2,FALSE)</f>
        <v>-9.7869013995290133E-2</v>
      </c>
      <c r="J9">
        <f>(Table3[[#This Row],[HomeMargin]]-Table3[[#This Row],[HomeForecast]])^2</f>
        <v>8.4223642599286705</v>
      </c>
    </row>
    <row r="10" spans="1:10" x14ac:dyDescent="0.2">
      <c r="A10" s="4" t="s">
        <v>16</v>
      </c>
      <c r="B10">
        <v>-1.0657812790446208</v>
      </c>
      <c r="D10" t="s">
        <v>16</v>
      </c>
      <c r="E10">
        <f>'NHL2025-26Results'!C5</f>
        <v>4</v>
      </c>
      <c r="F10" t="s">
        <v>17</v>
      </c>
      <c r="G10">
        <f>'NHL2025-26Results'!E5</f>
        <v>3</v>
      </c>
      <c r="H10">
        <f>Table3[[#This Row],[G_1]]-Table3[[#This Row],[G]]</f>
        <v>-1</v>
      </c>
      <c r="I10">
        <f>HomeEdge+VLOOKUP(Table3[[#This Row],[Home]],$A$6:$B$38,2,FALSE)-VLOOKUP(Table3[[#This Row],[Visitor]],$A$6:$B$38,2,FALSE)</f>
        <v>0.29793536373026153</v>
      </c>
      <c r="J10">
        <f>(Table3[[#This Row],[HomeMargin]]-Table3[[#This Row],[HomeForecast]])^2</f>
        <v>1.6846362084216062</v>
      </c>
    </row>
    <row r="11" spans="1:10" x14ac:dyDescent="0.2">
      <c r="A11" s="4" t="s">
        <v>25</v>
      </c>
      <c r="B11">
        <v>0.42567513732855267</v>
      </c>
      <c r="D11" t="s">
        <v>18</v>
      </c>
      <c r="E11">
        <f>'NHL2025-26Results'!C6</f>
        <v>2</v>
      </c>
      <c r="F11" t="s">
        <v>19</v>
      </c>
      <c r="G11">
        <f>'NHL2025-26Results'!E6</f>
        <v>5</v>
      </c>
      <c r="H11">
        <f>Table3[[#This Row],[G_1]]-Table3[[#This Row],[G]]</f>
        <v>3</v>
      </c>
      <c r="I11">
        <f>HomeEdge+VLOOKUP(Table3[[#This Row],[Home]],$A$6:$B$38,2,FALSE)-VLOOKUP(Table3[[#This Row],[Visitor]],$A$6:$B$38,2,FALSE)</f>
        <v>8.3117858780070719E-3</v>
      </c>
      <c r="J11">
        <f>(Table3[[#This Row],[HomeMargin]]-Table3[[#This Row],[HomeForecast]])^2</f>
        <v>8.9501983705164392</v>
      </c>
    </row>
    <row r="12" spans="1:10" x14ac:dyDescent="0.2">
      <c r="A12" s="4" t="s">
        <v>10</v>
      </c>
      <c r="B12">
        <v>-0.17619625518431364</v>
      </c>
      <c r="D12" t="s">
        <v>13</v>
      </c>
      <c r="E12">
        <f>'NHL2025-26Results'!C7</f>
        <v>6</v>
      </c>
      <c r="F12" t="s">
        <v>20</v>
      </c>
      <c r="G12">
        <f>'NHL2025-26Results'!E7</f>
        <v>5</v>
      </c>
      <c r="H12">
        <f>Table3[[#This Row],[G_1]]-Table3[[#This Row],[G]]</f>
        <v>-1</v>
      </c>
      <c r="I12">
        <f>HomeEdge+VLOOKUP(Table3[[#This Row],[Home]],$A$6:$B$38,2,FALSE)-VLOOKUP(Table3[[#This Row],[Visitor]],$A$6:$B$38,2,FALSE)</f>
        <v>0.14374351727973972</v>
      </c>
      <c r="J12">
        <f>(Table3[[#This Row],[HomeMargin]]-Table3[[#This Row],[HomeForecast]])^2</f>
        <v>1.3081492333194302</v>
      </c>
    </row>
    <row r="13" spans="1:10" x14ac:dyDescent="0.2">
      <c r="A13" s="4" t="s">
        <v>12</v>
      </c>
      <c r="B13">
        <v>1.6319036584269762</v>
      </c>
      <c r="D13" t="s">
        <v>21</v>
      </c>
      <c r="E13">
        <f>'NHL2025-26Results'!C8</f>
        <v>3</v>
      </c>
      <c r="F13" t="s">
        <v>22</v>
      </c>
      <c r="G13">
        <f>'NHL2025-26Results'!E8</f>
        <v>1</v>
      </c>
      <c r="H13">
        <f>Table3[[#This Row],[G_1]]-Table3[[#This Row],[G]]</f>
        <v>-2</v>
      </c>
      <c r="I13">
        <f>HomeEdge+VLOOKUP(Table3[[#This Row],[Home]],$A$6:$B$38,2,FALSE)-VLOOKUP(Table3[[#This Row],[Visitor]],$A$6:$B$38,2,FALSE)</f>
        <v>0.710377742224651</v>
      </c>
      <c r="J13">
        <f>(Table3[[#This Row],[HomeMargin]]-Table3[[#This Row],[HomeForecast]])^2</f>
        <v>7.3461475055467957</v>
      </c>
    </row>
    <row r="14" spans="1:10" x14ac:dyDescent="0.2">
      <c r="A14" s="4" t="s">
        <v>28</v>
      </c>
      <c r="B14">
        <v>-0.59498940435054026</v>
      </c>
      <c r="D14" t="s">
        <v>10</v>
      </c>
      <c r="E14">
        <f>'NHL2025-26Results'!C9</f>
        <v>3</v>
      </c>
      <c r="F14" t="s">
        <v>21</v>
      </c>
      <c r="G14">
        <f>'NHL2025-26Results'!E9</f>
        <v>4</v>
      </c>
      <c r="H14">
        <f>Table3[[#This Row],[G_1]]-Table3[[#This Row],[G]]</f>
        <v>1</v>
      </c>
      <c r="I14">
        <f>HomeEdge+VLOOKUP(Table3[[#This Row],[Home]],$A$6:$B$38,2,FALSE)-VLOOKUP(Table3[[#This Row],[Visitor]],$A$6:$B$38,2,FALSE)</f>
        <v>6.3272436597444914E-3</v>
      </c>
      <c r="J14">
        <f>(Table3[[#This Row],[HomeMargin]]-Table3[[#This Row],[HomeForecast]])^2</f>
        <v>0.98738554669284084</v>
      </c>
    </row>
    <row r="15" spans="1:10" x14ac:dyDescent="0.2">
      <c r="A15" s="4" t="s">
        <v>39</v>
      </c>
      <c r="B15">
        <v>0.41344250185511977</v>
      </c>
      <c r="D15" t="s">
        <v>15</v>
      </c>
      <c r="E15">
        <f>'NHL2025-26Results'!C10</f>
        <v>4</v>
      </c>
      <c r="F15" t="s">
        <v>23</v>
      </c>
      <c r="G15">
        <f>'NHL2025-26Results'!E10</f>
        <v>0</v>
      </c>
      <c r="H15">
        <f>Table3[[#This Row],[G_1]]-Table3[[#This Row],[G]]</f>
        <v>-4</v>
      </c>
      <c r="I15">
        <f>HomeEdge+VLOOKUP(Table3[[#This Row],[Home]],$A$6:$B$38,2,FALSE)-VLOOKUP(Table3[[#This Row],[Visitor]],$A$6:$B$38,2,FALSE)</f>
        <v>-0.13617570233348458</v>
      </c>
      <c r="J15">
        <f>(Table3[[#This Row],[HomeMargin]]-Table3[[#This Row],[HomeForecast]])^2</f>
        <v>14.929138203238143</v>
      </c>
    </row>
    <row r="16" spans="1:10" x14ac:dyDescent="0.2">
      <c r="A16" s="4" t="s">
        <v>26</v>
      </c>
      <c r="B16">
        <v>-0.87533956503230947</v>
      </c>
      <c r="D16" t="s">
        <v>24</v>
      </c>
      <c r="E16">
        <f>'NHL2025-26Results'!C11</f>
        <v>3</v>
      </c>
      <c r="F16" t="s">
        <v>25</v>
      </c>
      <c r="G16">
        <f>'NHL2025-26Results'!E11</f>
        <v>6</v>
      </c>
      <c r="H16">
        <f>Table3[[#This Row],[G_1]]-Table3[[#This Row],[G]]</f>
        <v>3</v>
      </c>
      <c r="I16">
        <f>HomeEdge+VLOOKUP(Table3[[#This Row],[Home]],$A$6:$B$38,2,FALSE)-VLOOKUP(Table3[[#This Row],[Visitor]],$A$6:$B$38,2,FALSE)</f>
        <v>0.47404563548711087</v>
      </c>
      <c r="J16">
        <f>(Table3[[#This Row],[HomeMargin]]-Table3[[#This Row],[HomeForecast]])^2</f>
        <v>6.3804454516017142</v>
      </c>
    </row>
    <row r="17" spans="1:10" x14ac:dyDescent="0.2">
      <c r="A17" s="4" t="s">
        <v>17</v>
      </c>
      <c r="B17">
        <v>-0.81774666423752174</v>
      </c>
      <c r="D17" t="s">
        <v>55</v>
      </c>
      <c r="E17">
        <f>'NHL2025-26Results'!C12</f>
        <v>1</v>
      </c>
      <c r="F17" t="s">
        <v>12</v>
      </c>
      <c r="G17">
        <f>'NHL2025-26Results'!E12</f>
        <v>2</v>
      </c>
      <c r="H17">
        <f>Table3[[#This Row],[G_1]]-Table3[[#This Row],[G]]</f>
        <v>1</v>
      </c>
      <c r="I17">
        <f>HomeEdge+VLOOKUP(Table3[[#This Row],[Home]],$A$6:$B$38,2,FALSE)-VLOOKUP(Table3[[#This Row],[Visitor]],$A$6:$B$38,2,FALSE)</f>
        <v>2.084927696371321</v>
      </c>
      <c r="J17">
        <f>(Table3[[#This Row],[HomeMargin]]-Table3[[#This Row],[HomeForecast]])^2</f>
        <v>1.1770681063535813</v>
      </c>
    </row>
    <row r="18" spans="1:10" x14ac:dyDescent="0.2">
      <c r="A18" s="4" t="s">
        <v>11</v>
      </c>
      <c r="B18">
        <v>-0.39711829106410657</v>
      </c>
      <c r="D18" t="s">
        <v>18</v>
      </c>
      <c r="E18">
        <f>'NHL2025-26Results'!C13</f>
        <v>5</v>
      </c>
      <c r="F18" t="s">
        <v>26</v>
      </c>
      <c r="G18">
        <f>'NHL2025-26Results'!E13</f>
        <v>1</v>
      </c>
      <c r="H18">
        <f>Table3[[#This Row],[G_1]]-Table3[[#This Row],[G]]</f>
        <v>-4</v>
      </c>
      <c r="I18">
        <f>HomeEdge+VLOOKUP(Table3[[#This Row],[Home]],$A$6:$B$38,2,FALSE)-VLOOKUP(Table3[[#This Row],[Visitor]],$A$6:$B$38,2,FALSE)</f>
        <v>-0.23254918783532186</v>
      </c>
      <c r="J18">
        <f>(Table3[[#This Row],[HomeMargin]]-Table3[[#This Row],[HomeForecast]])^2</f>
        <v>14.193685622080292</v>
      </c>
    </row>
    <row r="19" spans="1:10" x14ac:dyDescent="0.2">
      <c r="A19" s="4" t="s">
        <v>13</v>
      </c>
      <c r="B19">
        <v>-0.33828359867721369</v>
      </c>
      <c r="D19" t="s">
        <v>27</v>
      </c>
      <c r="E19">
        <f>'NHL2025-26Results'!C14</f>
        <v>1</v>
      </c>
      <c r="F19" t="s">
        <v>11</v>
      </c>
      <c r="G19">
        <f>'NHL2025-26Results'!E14</f>
        <v>2</v>
      </c>
      <c r="H19">
        <f>Table3[[#This Row],[G_1]]-Table3[[#This Row],[G]]</f>
        <v>1</v>
      </c>
      <c r="I19">
        <f>HomeEdge+VLOOKUP(Table3[[#This Row],[Home]],$A$6:$B$38,2,FALSE)-VLOOKUP(Table3[[#This Row],[Visitor]],$A$6:$B$38,2,FALSE)</f>
        <v>3.3022041365371957E-2</v>
      </c>
      <c r="J19">
        <f>(Table3[[#This Row],[HomeMargin]]-Table3[[#This Row],[HomeForecast]])^2</f>
        <v>0.93504637248519251</v>
      </c>
    </row>
    <row r="20" spans="1:10" x14ac:dyDescent="0.2">
      <c r="A20" s="4" t="s">
        <v>34</v>
      </c>
      <c r="B20">
        <v>-5.5124787449478845E-2</v>
      </c>
      <c r="D20" t="s">
        <v>28</v>
      </c>
      <c r="E20">
        <f>'NHL2025-26Results'!C15</f>
        <v>1</v>
      </c>
      <c r="F20" t="s">
        <v>29</v>
      </c>
      <c r="G20">
        <f>'NHL2025-26Results'!E15</f>
        <v>2</v>
      </c>
      <c r="H20">
        <f>Table3[[#This Row],[G_1]]-Table3[[#This Row],[G]]</f>
        <v>1</v>
      </c>
      <c r="I20">
        <f>HomeEdge+VLOOKUP(Table3[[#This Row],[Home]],$A$6:$B$38,2,FALSE)-VLOOKUP(Table3[[#This Row],[Visitor]],$A$6:$B$38,2,FALSE)</f>
        <v>-0.74002713053635827</v>
      </c>
      <c r="J20">
        <f>(Table3[[#This Row],[HomeMargin]]-Table3[[#This Row],[HomeForecast]])^2</f>
        <v>3.0276944150025922</v>
      </c>
    </row>
    <row r="21" spans="1:10" x14ac:dyDescent="0.2">
      <c r="A21" s="4" t="s">
        <v>18</v>
      </c>
      <c r="B21">
        <v>-0.59288962827382519</v>
      </c>
      <c r="D21" t="s">
        <v>30</v>
      </c>
      <c r="E21">
        <f>'NHL2025-26Results'!C16</f>
        <v>3</v>
      </c>
      <c r="F21" t="s">
        <v>14</v>
      </c>
      <c r="G21">
        <f>'NHL2025-26Results'!E16</f>
        <v>4</v>
      </c>
      <c r="H21">
        <f>Table3[[#This Row],[G_1]]-Table3[[#This Row],[G]]</f>
        <v>1</v>
      </c>
      <c r="I21">
        <f>HomeEdge+VLOOKUP(Table3[[#This Row],[Home]],$A$6:$B$38,2,FALSE)-VLOOKUP(Table3[[#This Row],[Visitor]],$A$6:$B$38,2,FALSE)</f>
        <v>0.14856852479900506</v>
      </c>
      <c r="J21">
        <f>(Table3[[#This Row],[HomeMargin]]-Table3[[#This Row],[HomeForecast]])^2</f>
        <v>0.72493555696294243</v>
      </c>
    </row>
    <row r="22" spans="1:10" x14ac:dyDescent="0.2">
      <c r="A22" s="4" t="s">
        <v>29</v>
      </c>
      <c r="B22">
        <v>-1.384917283810061</v>
      </c>
      <c r="D22" t="s">
        <v>31</v>
      </c>
      <c r="E22">
        <f>'NHL2025-26Results'!C17</f>
        <v>1</v>
      </c>
      <c r="F22" t="s">
        <v>32</v>
      </c>
      <c r="G22">
        <f>'NHL2025-26Results'!E17</f>
        <v>3</v>
      </c>
      <c r="H22">
        <f>Table3[[#This Row],[G_1]]-Table3[[#This Row],[G]]</f>
        <v>2</v>
      </c>
      <c r="I22">
        <f>HomeEdge+VLOOKUP(Table3[[#This Row],[Home]],$A$6:$B$38,2,FALSE)-VLOOKUP(Table3[[#This Row],[Visitor]],$A$6:$B$38,2,FALSE)</f>
        <v>-0.77817950819419379</v>
      </c>
      <c r="J22">
        <f>(Table3[[#This Row],[HomeMargin]]-Table3[[#This Row],[HomeForecast]])^2</f>
        <v>7.7182813797501337</v>
      </c>
    </row>
    <row r="23" spans="1:10" x14ac:dyDescent="0.2">
      <c r="A23" s="4" t="s">
        <v>24</v>
      </c>
      <c r="B23">
        <v>1.5302507646042616E-3</v>
      </c>
      <c r="D23" t="s">
        <v>20</v>
      </c>
      <c r="E23">
        <f>'NHL2025-26Results'!C18</f>
        <v>4</v>
      </c>
      <c r="F23" t="s">
        <v>33</v>
      </c>
      <c r="G23">
        <f>'NHL2025-26Results'!E18</f>
        <v>3</v>
      </c>
      <c r="H23">
        <f>Table3[[#This Row],[G_1]]-Table3[[#This Row],[G]]</f>
        <v>-1</v>
      </c>
      <c r="I23">
        <f>HomeEdge+VLOOKUP(Table3[[#This Row],[Home]],$A$6:$B$38,2,FALSE)-VLOOKUP(Table3[[#This Row],[Visitor]],$A$6:$B$38,2,FALSE)</f>
        <v>-0.15698941313844447</v>
      </c>
      <c r="J23">
        <f>(Table3[[#This Row],[HomeMargin]]-Table3[[#This Row],[HomeForecast]])^2</f>
        <v>0.71066684956066417</v>
      </c>
    </row>
    <row r="24" spans="1:10" x14ac:dyDescent="0.2">
      <c r="A24" s="4" t="s">
        <v>30</v>
      </c>
      <c r="B24">
        <v>-0.24093199744133265</v>
      </c>
      <c r="D24" t="s">
        <v>34</v>
      </c>
      <c r="E24">
        <f>'NHL2025-26Results'!C19</f>
        <v>5</v>
      </c>
      <c r="F24" t="s">
        <v>35</v>
      </c>
      <c r="G24">
        <f>'NHL2025-26Results'!E19</f>
        <v>0</v>
      </c>
      <c r="H24">
        <f>Table3[[#This Row],[G_1]]-Table3[[#This Row],[G]]</f>
        <v>-5</v>
      </c>
      <c r="I24">
        <f>HomeEdge+VLOOKUP(Table3[[#This Row],[Home]],$A$6:$B$38,2,FALSE)-VLOOKUP(Table3[[#This Row],[Visitor]],$A$6:$B$38,2,FALSE)</f>
        <v>-1.2894528355750812</v>
      </c>
      <c r="J24">
        <f>(Table3[[#This Row],[HomeMargin]]-Table3[[#This Row],[HomeForecast]])^2</f>
        <v>13.768160259421807</v>
      </c>
    </row>
    <row r="25" spans="1:10" x14ac:dyDescent="0.2">
      <c r="A25" s="4" t="s">
        <v>15</v>
      </c>
      <c r="B25">
        <v>-0.29003398448394263</v>
      </c>
      <c r="D25" t="s">
        <v>36</v>
      </c>
      <c r="E25">
        <f>'NHL2025-26Results'!C20</f>
        <v>5</v>
      </c>
      <c r="F25" t="s">
        <v>37</v>
      </c>
      <c r="G25">
        <f>'NHL2025-26Results'!E20</f>
        <v>4</v>
      </c>
      <c r="H25">
        <f>Table3[[#This Row],[G_1]]-Table3[[#This Row],[G]]</f>
        <v>-1</v>
      </c>
      <c r="I25">
        <f>HomeEdge+VLOOKUP(Table3[[#This Row],[Home]],$A$6:$B$38,2,FALSE)-VLOOKUP(Table3[[#This Row],[Visitor]],$A$6:$B$38,2,FALSE)</f>
        <v>1.0917817465346054</v>
      </c>
      <c r="J25">
        <f>(Table3[[#This Row],[HomeMargin]]-Table3[[#This Row],[HomeForecast]])^2</f>
        <v>4.3755508751353638</v>
      </c>
    </row>
    <row r="26" spans="1:10" x14ac:dyDescent="0.2">
      <c r="A26" s="4" t="s">
        <v>36</v>
      </c>
      <c r="B26">
        <v>-0.53137605086483863</v>
      </c>
      <c r="D26" t="s">
        <v>16</v>
      </c>
      <c r="E26">
        <f>'NHL2025-26Results'!C21</f>
        <v>1</v>
      </c>
      <c r="F26" t="s">
        <v>38</v>
      </c>
      <c r="G26">
        <f>'NHL2025-26Results'!E21</f>
        <v>5</v>
      </c>
      <c r="H26">
        <f>Table3[[#This Row],[G_1]]-Table3[[#This Row],[G]]</f>
        <v>4</v>
      </c>
      <c r="I26">
        <f>HomeEdge+VLOOKUP(Table3[[#This Row],[Home]],$A$6:$B$38,2,FALSE)-VLOOKUP(Table3[[#This Row],[Visitor]],$A$6:$B$38,2,FALSE)</f>
        <v>0.16800427285697916</v>
      </c>
      <c r="J26">
        <f>(Table3[[#This Row],[HomeMargin]]-Table3[[#This Row],[HomeForecast]])^2</f>
        <v>14.684191252842369</v>
      </c>
    </row>
    <row r="27" spans="1:10" x14ac:dyDescent="0.2">
      <c r="A27" s="4" t="s">
        <v>27</v>
      </c>
      <c r="B27">
        <v>-0.38023958350631604</v>
      </c>
      <c r="D27" t="s">
        <v>39</v>
      </c>
      <c r="E27">
        <f>'NHL2025-26Results'!C22</f>
        <v>5</v>
      </c>
      <c r="F27" t="s">
        <v>40</v>
      </c>
      <c r="G27">
        <f>'NHL2025-26Results'!E22</f>
        <v>4</v>
      </c>
      <c r="H27">
        <f>Table3[[#This Row],[G_1]]-Table3[[#This Row],[G]]</f>
        <v>-1</v>
      </c>
      <c r="I27">
        <f>HomeEdge+VLOOKUP(Table3[[#This Row],[Home]],$A$6:$B$38,2,FALSE)-VLOOKUP(Table3[[#This Row],[Visitor]],$A$6:$B$38,2,FALSE)</f>
        <v>-0.67678357671474887</v>
      </c>
      <c r="J27">
        <f>(Table3[[#This Row],[HomeMargin]]-Table3[[#This Row],[HomeForecast]])^2</f>
        <v>0.10446885628131063</v>
      </c>
    </row>
    <row r="28" spans="1:10" x14ac:dyDescent="0.2">
      <c r="A28" s="4" t="s">
        <v>14</v>
      </c>
      <c r="B28">
        <v>-0.14226422156549004</v>
      </c>
      <c r="D28" t="s">
        <v>23</v>
      </c>
      <c r="E28">
        <f>'NHL2025-26Results'!C23</f>
        <v>1</v>
      </c>
      <c r="F28" t="s">
        <v>21</v>
      </c>
      <c r="G28">
        <f>'NHL2025-26Results'!E23</f>
        <v>3</v>
      </c>
      <c r="H28">
        <f>Table3[[#This Row],[G_1]]-Table3[[#This Row],[G]]</f>
        <v>2</v>
      </c>
      <c r="I28">
        <f>HomeEdge+VLOOKUP(Table3[[#This Row],[Home]],$A$6:$B$38,2,FALSE)-VLOOKUP(Table3[[#This Row],[Visitor]],$A$6:$B$38,2,FALSE)</f>
        <v>0.30624142421602052</v>
      </c>
      <c r="J28">
        <f>(Table3[[#This Row],[HomeMargin]]-Table3[[#This Row],[HomeForecast]])^2</f>
        <v>2.8688181130417747</v>
      </c>
    </row>
    <row r="29" spans="1:10" x14ac:dyDescent="0.2">
      <c r="A29" s="4" t="s">
        <v>33</v>
      </c>
      <c r="B29">
        <v>-0.45133099238224339</v>
      </c>
      <c r="D29" t="s">
        <v>27</v>
      </c>
      <c r="E29">
        <f>'NHL2025-26Results'!C24</f>
        <v>3</v>
      </c>
      <c r="F29" t="s">
        <v>25</v>
      </c>
      <c r="G29">
        <f>'NHL2025-26Results'!E24</f>
        <v>4</v>
      </c>
      <c r="H29">
        <f>Table3[[#This Row],[G_1]]-Table3[[#This Row],[G]]</f>
        <v>1</v>
      </c>
      <c r="I29">
        <f>HomeEdge+VLOOKUP(Table3[[#This Row],[Home]],$A$6:$B$38,2,FALSE)-VLOOKUP(Table3[[#This Row],[Visitor]],$A$6:$B$38,2,FALSE)</f>
        <v>0.85581546975803113</v>
      </c>
      <c r="J29">
        <f>(Table3[[#This Row],[HomeMargin]]-Table3[[#This Row],[HomeForecast]])^2</f>
        <v>2.0789178761097236E-2</v>
      </c>
    </row>
    <row r="30" spans="1:10" x14ac:dyDescent="0.2">
      <c r="A30" s="4" t="s">
        <v>32</v>
      </c>
      <c r="B30">
        <v>-0.64937723527808999</v>
      </c>
      <c r="D30" t="s">
        <v>35</v>
      </c>
      <c r="E30">
        <f>'NHL2025-26Results'!C25</f>
        <v>4</v>
      </c>
      <c r="F30" t="s">
        <v>16</v>
      </c>
      <c r="G30">
        <f>'NHL2025-26Results'!E25</f>
        <v>2</v>
      </c>
      <c r="H30">
        <f>Table3[[#This Row],[G_1]]-Table3[[#This Row],[G]]</f>
        <v>-2</v>
      </c>
      <c r="I30">
        <f>HomeEdge+VLOOKUP(Table3[[#This Row],[Home]],$A$6:$B$38,2,FALSE)-VLOOKUP(Table3[[#This Row],[Visitor]],$A$6:$B$38,2,FALSE)</f>
        <v>0.3785978418262641</v>
      </c>
      <c r="J30">
        <f>(Table3[[#This Row],[HomeMargin]]-Table3[[#This Row],[HomeForecast]])^2</f>
        <v>5.6577276931405605</v>
      </c>
    </row>
    <row r="31" spans="1:10" x14ac:dyDescent="0.2">
      <c r="A31" s="4" t="s">
        <v>35</v>
      </c>
      <c r="B31">
        <v>-1.3944783719477225</v>
      </c>
      <c r="D31" t="s">
        <v>18</v>
      </c>
      <c r="E31">
        <f>'NHL2025-26Results'!C26</f>
        <v>3</v>
      </c>
      <c r="F31" t="s">
        <v>10</v>
      </c>
      <c r="G31">
        <f>'NHL2025-26Results'!E26</f>
        <v>2</v>
      </c>
      <c r="H31">
        <f>Table3[[#This Row],[G_1]]-Table3[[#This Row],[G]]</f>
        <v>-1</v>
      </c>
      <c r="I31">
        <f>HomeEdge+VLOOKUP(Table3[[#This Row],[Home]],$A$6:$B$38,2,FALSE)-VLOOKUP(Table3[[#This Row],[Visitor]],$A$6:$B$38,2,FALSE)</f>
        <v>0.46659412201267403</v>
      </c>
      <c r="J31">
        <f>(Table3[[#This Row],[HomeMargin]]-Table3[[#This Row],[HomeForecast]])^2</f>
        <v>2.1508983187221258</v>
      </c>
    </row>
    <row r="32" spans="1:10" x14ac:dyDescent="0.2">
      <c r="A32" s="4" t="s">
        <v>37</v>
      </c>
      <c r="B32">
        <v>0.51050494674660429</v>
      </c>
      <c r="D32" t="s">
        <v>39</v>
      </c>
      <c r="E32">
        <f>'NHL2025-26Results'!C27</f>
        <v>5</v>
      </c>
      <c r="F32" t="s">
        <v>12</v>
      </c>
      <c r="G32">
        <f>'NHL2025-26Results'!E27</f>
        <v>4</v>
      </c>
      <c r="H32">
        <f>Table3[[#This Row],[G_1]]-Table3[[#This Row],[G]]</f>
        <v>-1</v>
      </c>
      <c r="I32">
        <f>HomeEdge+VLOOKUP(Table3[[#This Row],[Home]],$A$6:$B$38,2,FALSE)-VLOOKUP(Table3[[#This Row],[Visitor]],$A$6:$B$38,2,FALSE)</f>
        <v>1.2683619054950188</v>
      </c>
      <c r="J32">
        <f>(Table3[[#This Row],[HomeMargin]]-Table3[[#This Row],[HomeForecast]])^2</f>
        <v>5.145465734300994</v>
      </c>
    </row>
    <row r="33" spans="1:10" x14ac:dyDescent="0.2">
      <c r="A33" s="4" t="s">
        <v>19</v>
      </c>
      <c r="B33">
        <v>-0.63447859131898054</v>
      </c>
      <c r="D33" t="s">
        <v>19</v>
      </c>
      <c r="E33">
        <f>'NHL2025-26Results'!C28</f>
        <v>3</v>
      </c>
      <c r="F33" t="s">
        <v>26</v>
      </c>
      <c r="G33">
        <f>'NHL2025-26Results'!E28</f>
        <v>6</v>
      </c>
      <c r="H33">
        <f>Table3[[#This Row],[G_1]]-Table3[[#This Row],[G]]</f>
        <v>3</v>
      </c>
      <c r="I33">
        <f>HomeEdge+VLOOKUP(Table3[[#This Row],[Home]],$A$6:$B$38,2,FALSE)-VLOOKUP(Table3[[#This Row],[Visitor]],$A$6:$B$38,2,FALSE)</f>
        <v>-0.1909602247901665</v>
      </c>
      <c r="J33">
        <f>(Table3[[#This Row],[HomeMargin]]-Table3[[#This Row],[HomeForecast]])^2</f>
        <v>10.18222715619291</v>
      </c>
    </row>
    <row r="34" spans="1:10" x14ac:dyDescent="0.2">
      <c r="A34" t="s">
        <v>55</v>
      </c>
      <c r="B34">
        <v>-0.4031232890211825</v>
      </c>
      <c r="D34" t="s">
        <v>38</v>
      </c>
      <c r="E34">
        <f>'NHL2025-26Results'!C29</f>
        <v>1</v>
      </c>
      <c r="F34" t="s">
        <v>17</v>
      </c>
      <c r="G34">
        <f>'NHL2025-26Results'!E29</f>
        <v>3</v>
      </c>
      <c r="H34">
        <f>Table3[[#This Row],[G_1]]-Table3[[#This Row],[G]]</f>
        <v>2</v>
      </c>
      <c r="I34">
        <f>HomeEdge+VLOOKUP(Table3[[#This Row],[Home]],$A$6:$B$38,2,FALSE)-VLOOKUP(Table3[[#This Row],[Visitor]],$A$6:$B$38,2,FALSE)</f>
        <v>0.17983183979644479</v>
      </c>
      <c r="J34">
        <f>(Table3[[#This Row],[HomeMargin]]-Table3[[#This Row],[HomeForecast]])^2</f>
        <v>3.3130121314187946</v>
      </c>
    </row>
    <row r="35" spans="1:10" x14ac:dyDescent="0.2">
      <c r="A35" s="4" t="s">
        <v>38</v>
      </c>
      <c r="B35">
        <v>-0.9476777551108041</v>
      </c>
      <c r="D35" t="s">
        <v>36</v>
      </c>
      <c r="E35">
        <f>'NHL2025-26Results'!C30</f>
        <v>2</v>
      </c>
      <c r="F35" t="s">
        <v>11</v>
      </c>
      <c r="G35">
        <f>'NHL2025-26Results'!E30</f>
        <v>6</v>
      </c>
      <c r="H35">
        <f>Table3[[#This Row],[G_1]]-Table3[[#This Row],[G]]</f>
        <v>4</v>
      </c>
      <c r="I35">
        <f>HomeEdge+VLOOKUP(Table3[[#This Row],[Home]],$A$6:$B$38,2,FALSE)-VLOOKUP(Table3[[#This Row],[Visitor]],$A$6:$B$38,2,FALSE)</f>
        <v>0.18415850872389455</v>
      </c>
      <c r="J35">
        <f>(Table3[[#This Row],[HomeMargin]]-Table3[[#This Row],[HomeForecast]])^2</f>
        <v>14.560646286544252</v>
      </c>
    </row>
    <row r="36" spans="1:10" x14ac:dyDescent="0.2">
      <c r="A36" s="4" t="s">
        <v>20</v>
      </c>
      <c r="B36">
        <v>-0.24444083032063643</v>
      </c>
      <c r="D36" t="s">
        <v>28</v>
      </c>
      <c r="E36">
        <f>'NHL2025-26Results'!C31</f>
        <v>7</v>
      </c>
      <c r="F36" t="s">
        <v>34</v>
      </c>
      <c r="G36">
        <f>'NHL2025-26Results'!E31</f>
        <v>4</v>
      </c>
      <c r="H36">
        <f>Table3[[#This Row],[G_1]]-Table3[[#This Row],[G]]</f>
        <v>-3</v>
      </c>
      <c r="I36">
        <f>HomeEdge+VLOOKUP(Table3[[#This Row],[Home]],$A$6:$B$38,2,FALSE)-VLOOKUP(Table3[[#This Row],[Visitor]],$A$6:$B$38,2,FALSE)</f>
        <v>0.5897653658242239</v>
      </c>
      <c r="J36">
        <f>(Table3[[#This Row],[HomeMargin]]-Table3[[#This Row],[HomeForecast]])^2</f>
        <v>12.886415381671126</v>
      </c>
    </row>
    <row r="37" spans="1:10" x14ac:dyDescent="0.2">
      <c r="A37" s="4" t="s">
        <v>22</v>
      </c>
      <c r="B37">
        <v>0.4407072328537569</v>
      </c>
      <c r="D37" t="s">
        <v>55</v>
      </c>
      <c r="E37">
        <f>'NHL2025-26Results'!C32</f>
        <v>3</v>
      </c>
      <c r="F37" t="s">
        <v>29</v>
      </c>
      <c r="G37">
        <f>'NHL2025-26Results'!E32</f>
        <v>2</v>
      </c>
      <c r="H37">
        <f>Table3[[#This Row],[G_1]]-Table3[[#This Row],[G]]</f>
        <v>-1</v>
      </c>
      <c r="I37">
        <f>HomeEdge+VLOOKUP(Table3[[#This Row],[Home]],$A$6:$B$38,2,FALSE)-VLOOKUP(Table3[[#This Row],[Visitor]],$A$6:$B$38,2,FALSE)</f>
        <v>-0.93189324586571609</v>
      </c>
      <c r="J37">
        <f>(Table3[[#This Row],[HomeMargin]]-Table3[[#This Row],[HomeForecast]])^2</f>
        <v>4.6385299587077987E-3</v>
      </c>
    </row>
    <row r="38" spans="1:10" x14ac:dyDescent="0.2">
      <c r="A38" s="4" t="s">
        <v>40</v>
      </c>
      <c r="B38">
        <v>-0.31324182378279158</v>
      </c>
      <c r="D38" t="s">
        <v>22</v>
      </c>
      <c r="E38">
        <f>'NHL2025-26Results'!C33</f>
        <v>4</v>
      </c>
      <c r="F38" t="s">
        <v>30</v>
      </c>
      <c r="G38">
        <f>'NHL2025-26Results'!E33</f>
        <v>2</v>
      </c>
      <c r="H38">
        <f>Table3[[#This Row],[G_1]]-Table3[[#This Row],[G]]</f>
        <v>-2</v>
      </c>
      <c r="I38">
        <f>HomeEdge+VLOOKUP(Table3[[#This Row],[Home]],$A$6:$B$38,2,FALSE)-VLOOKUP(Table3[[#This Row],[Visitor]],$A$6:$B$38,2,FALSE)</f>
        <v>-0.63173848137192712</v>
      </c>
      <c r="J38">
        <f>(Table3[[#This Row],[HomeMargin]]-Table3[[#This Row],[HomeForecast]])^2</f>
        <v>1.8721395833584002</v>
      </c>
    </row>
    <row r="39" spans="1:10" x14ac:dyDescent="0.2">
      <c r="D39" t="s">
        <v>15</v>
      </c>
      <c r="E39">
        <f>'NHL2025-26Results'!C34</f>
        <v>6</v>
      </c>
      <c r="F39" t="s">
        <v>14</v>
      </c>
      <c r="G39">
        <f>'NHL2025-26Results'!E34</f>
        <v>1</v>
      </c>
      <c r="H39">
        <f>Table3[[#This Row],[G_1]]-Table3[[#This Row],[G]]</f>
        <v>-5</v>
      </c>
      <c r="I39">
        <f>HomeEdge+VLOOKUP(Table3[[#This Row],[Home]],$A$6:$B$38,2,FALSE)-VLOOKUP(Table3[[#This Row],[Visitor]],$A$6:$B$38,2,FALSE)</f>
        <v>0.19767051184161505</v>
      </c>
      <c r="J39">
        <f>(Table3[[#This Row],[HomeMargin]]-Table3[[#This Row],[HomeForecast]])^2</f>
        <v>27.015778749667874</v>
      </c>
    </row>
    <row r="40" spans="1:10" x14ac:dyDescent="0.2">
      <c r="D40" t="s">
        <v>20</v>
      </c>
      <c r="E40">
        <f>'NHL2025-26Results'!C35</f>
        <v>1</v>
      </c>
      <c r="F40" t="s">
        <v>32</v>
      </c>
      <c r="G40">
        <f>'NHL2025-26Results'!E35</f>
        <v>2</v>
      </c>
      <c r="H40">
        <f>Table3[[#This Row],[G_1]]-Table3[[#This Row],[G]]</f>
        <v>1</v>
      </c>
      <c r="I40">
        <f>HomeEdge+VLOOKUP(Table3[[#This Row],[Home]],$A$6:$B$38,2,FALSE)-VLOOKUP(Table3[[#This Row],[Visitor]],$A$6:$B$38,2,FALSE)</f>
        <v>-0.3550356560342911</v>
      </c>
      <c r="J40">
        <f>(Table3[[#This Row],[HomeMargin]]-Table3[[#This Row],[HomeForecast]])^2</f>
        <v>1.8361216291242817</v>
      </c>
    </row>
    <row r="41" spans="1:10" x14ac:dyDescent="0.2">
      <c r="D41" t="s">
        <v>31</v>
      </c>
      <c r="E41">
        <f>'NHL2025-26Results'!C36</f>
        <v>7</v>
      </c>
      <c r="F41" t="s">
        <v>33</v>
      </c>
      <c r="G41">
        <f>'NHL2025-26Results'!E36</f>
        <v>6</v>
      </c>
      <c r="H41">
        <f>Table3[[#This Row],[G_1]]-Table3[[#This Row],[G]]</f>
        <v>-1</v>
      </c>
      <c r="I41">
        <f>HomeEdge+VLOOKUP(Table3[[#This Row],[Home]],$A$6:$B$38,2,FALSE)-VLOOKUP(Table3[[#This Row],[Visitor]],$A$6:$B$38,2,FALSE)</f>
        <v>-0.58013326529834719</v>
      </c>
      <c r="J41">
        <f>(Table3[[#This Row],[HomeMargin]]-Table3[[#This Row],[HomeForecast]])^2</f>
        <v>0.17628807490902809</v>
      </c>
    </row>
    <row r="42" spans="1:10" x14ac:dyDescent="0.2">
      <c r="D42" t="s">
        <v>24</v>
      </c>
      <c r="E42">
        <f>'NHL2025-26Results'!C37</f>
        <v>5</v>
      </c>
      <c r="F42" t="s">
        <v>37</v>
      </c>
      <c r="G42">
        <f>'NHL2025-26Results'!E37</f>
        <v>3</v>
      </c>
      <c r="H42">
        <f>Table3[[#This Row],[G_1]]-Table3[[#This Row],[G]]</f>
        <v>-2</v>
      </c>
      <c r="I42">
        <f>HomeEdge+VLOOKUP(Table3[[#This Row],[Home]],$A$6:$B$38,2,FALSE)-VLOOKUP(Table3[[#This Row],[Visitor]],$A$6:$B$38,2,FALSE)</f>
        <v>0.5588754449051625</v>
      </c>
      <c r="J42">
        <f>(Table3[[#This Row],[HomeMargin]]-Table3[[#This Row],[HomeForecast]])^2</f>
        <v>6.547843542538593</v>
      </c>
    </row>
    <row r="43" spans="1:10" x14ac:dyDescent="0.2">
      <c r="D43" t="s">
        <v>13</v>
      </c>
      <c r="E43">
        <f>'NHL2025-26Results'!C38</f>
        <v>2</v>
      </c>
      <c r="F43" t="s">
        <v>40</v>
      </c>
      <c r="G43">
        <f>'NHL2025-26Results'!E38</f>
        <v>3</v>
      </c>
      <c r="H43">
        <f>Table3[[#This Row],[G_1]]-Table3[[#This Row],[G]]</f>
        <v>1</v>
      </c>
      <c r="I43">
        <f>HomeEdge+VLOOKUP(Table3[[#This Row],[Home]],$A$6:$B$38,2,FALSE)-VLOOKUP(Table3[[#This Row],[Visitor]],$A$6:$B$38,2,FALSE)</f>
        <v>7.4942523817584594E-2</v>
      </c>
      <c r="J43">
        <f>(Table3[[#This Row],[HomeMargin]]-Table3[[#This Row],[HomeForecast]])^2</f>
        <v>0.85573133424098002</v>
      </c>
    </row>
    <row r="44" spans="1:10" x14ac:dyDescent="0.2">
      <c r="D44" t="s">
        <v>22</v>
      </c>
      <c r="E44">
        <f>'NHL2025-26Results'!C39</f>
        <v>1</v>
      </c>
      <c r="F44" t="s">
        <v>15</v>
      </c>
      <c r="G44">
        <f>'NHL2025-26Results'!E39</f>
        <v>0</v>
      </c>
      <c r="H44">
        <f>Table3[[#This Row],[G_1]]-Table3[[#This Row],[G]]</f>
        <v>-1</v>
      </c>
      <c r="I44">
        <f>HomeEdge+VLOOKUP(Table3[[#This Row],[Home]],$A$6:$B$38,2,FALSE)-VLOOKUP(Table3[[#This Row],[Visitor]],$A$6:$B$38,2,FALSE)</f>
        <v>-0.68084046841453705</v>
      </c>
      <c r="J44">
        <f>(Table3[[#This Row],[HomeMargin]]-Table3[[#This Row],[HomeForecast]])^2</f>
        <v>0.10186280660185212</v>
      </c>
    </row>
    <row r="45" spans="1:10" x14ac:dyDescent="0.2">
      <c r="D45" t="s">
        <v>37</v>
      </c>
      <c r="E45">
        <f>'NHL2025-26Results'!C40</f>
        <v>4</v>
      </c>
      <c r="F45" t="s">
        <v>21</v>
      </c>
      <c r="G45">
        <f>'NHL2025-26Results'!E40</f>
        <v>3</v>
      </c>
      <c r="H45">
        <f>Table3[[#This Row],[G_1]]-Table3[[#This Row],[G]]</f>
        <v>-1</v>
      </c>
      <c r="I45">
        <f>HomeEdge+VLOOKUP(Table3[[#This Row],[Home]],$A$6:$B$38,2,FALSE)-VLOOKUP(Table3[[#This Row],[Visitor]],$A$6:$B$38,2,FALSE)</f>
        <v>-0.68037395827117342</v>
      </c>
      <c r="J45">
        <f>(Table3[[#This Row],[HomeMargin]]-Table3[[#This Row],[HomeForecast]])^2</f>
        <v>0.10216080655123759</v>
      </c>
    </row>
    <row r="46" spans="1:10" x14ac:dyDescent="0.2">
      <c r="D46" t="s">
        <v>12</v>
      </c>
      <c r="E46">
        <f>'NHL2025-26Results'!C41</f>
        <v>3</v>
      </c>
      <c r="F46" t="s">
        <v>23</v>
      </c>
      <c r="G46">
        <f>'NHL2025-26Results'!E41</f>
        <v>1</v>
      </c>
      <c r="H46">
        <f>Table3[[#This Row],[G_1]]-Table3[[#This Row],[G]]</f>
        <v>-2</v>
      </c>
      <c r="I46">
        <f>HomeEdge+VLOOKUP(Table3[[#This Row],[Home]],$A$6:$B$38,2,FALSE)-VLOOKUP(Table3[[#This Row],[Visitor]],$A$6:$B$38,2,FALSE)</f>
        <v>-2.0581133452444034</v>
      </c>
      <c r="J46">
        <f>(Table3[[#This Row],[HomeMargin]]-Table3[[#This Row],[HomeForecast]])^2</f>
        <v>3.3771608954952198E-3</v>
      </c>
    </row>
    <row r="47" spans="1:10" x14ac:dyDescent="0.2">
      <c r="D47" t="s">
        <v>24</v>
      </c>
      <c r="E47">
        <f>'NHL2025-26Results'!C42</f>
        <v>3</v>
      </c>
      <c r="F47" t="s">
        <v>28</v>
      </c>
      <c r="G47">
        <f>'NHL2025-26Results'!E42</f>
        <v>2</v>
      </c>
      <c r="H47">
        <f>Table3[[#This Row],[G_1]]-Table3[[#This Row],[G]]</f>
        <v>-1</v>
      </c>
      <c r="I47">
        <f>HomeEdge+VLOOKUP(Table3[[#This Row],[Home]],$A$6:$B$38,2,FALSE)-VLOOKUP(Table3[[#This Row],[Visitor]],$A$6:$B$38,2,FALSE)</f>
        <v>-0.54661890619198206</v>
      </c>
      <c r="J47">
        <f>(Table3[[#This Row],[HomeMargin]]-Table3[[#This Row],[HomeForecast]])^2</f>
        <v>0.20555441622255477</v>
      </c>
    </row>
    <row r="48" spans="1:10" x14ac:dyDescent="0.2">
      <c r="D48" t="s">
        <v>55</v>
      </c>
      <c r="E48">
        <f>'NHL2025-26Results'!C43</f>
        <v>1</v>
      </c>
      <c r="F48" t="s">
        <v>10</v>
      </c>
      <c r="G48">
        <f>'NHL2025-26Results'!E43</f>
        <v>3</v>
      </c>
      <c r="H48">
        <f>Table3[[#This Row],[G_1]]-Table3[[#This Row],[G]]</f>
        <v>2</v>
      </c>
      <c r="I48">
        <f>HomeEdge+VLOOKUP(Table3[[#This Row],[Home]],$A$6:$B$38,2,FALSE)-VLOOKUP(Table3[[#This Row],[Visitor]],$A$6:$B$38,2,FALSE)</f>
        <v>0.27682778276003128</v>
      </c>
      <c r="J48">
        <f>(Table3[[#This Row],[HomeMargin]]-Table3[[#This Row],[HomeForecast]])^2</f>
        <v>2.9693224902677096</v>
      </c>
    </row>
    <row r="49" spans="4:10" x14ac:dyDescent="0.2">
      <c r="D49" t="s">
        <v>13</v>
      </c>
      <c r="E49">
        <f>'NHL2025-26Results'!C44</f>
        <v>3</v>
      </c>
      <c r="F49" t="s">
        <v>34</v>
      </c>
      <c r="G49">
        <f>'NHL2025-26Results'!E44</f>
        <v>4</v>
      </c>
      <c r="H49">
        <f>Table3[[#This Row],[G_1]]-Table3[[#This Row],[G]]</f>
        <v>1</v>
      </c>
      <c r="I49">
        <f>HomeEdge+VLOOKUP(Table3[[#This Row],[Home]],$A$6:$B$38,2,FALSE)-VLOOKUP(Table3[[#This Row],[Visitor]],$A$6:$B$38,2,FALSE)</f>
        <v>0.33305956015089733</v>
      </c>
      <c r="J49">
        <f>(Table3[[#This Row],[HomeMargin]]-Table3[[#This Row],[HomeForecast]])^2</f>
        <v>0.44480955030611452</v>
      </c>
    </row>
    <row r="50" spans="4:10" x14ac:dyDescent="0.2">
      <c r="D50" t="s">
        <v>40</v>
      </c>
      <c r="E50">
        <f>'NHL2025-26Results'!C45</f>
        <v>5</v>
      </c>
      <c r="F50" t="s">
        <v>30</v>
      </c>
      <c r="G50">
        <f>'NHL2025-26Results'!E45</f>
        <v>2</v>
      </c>
      <c r="H50">
        <f>Table3[[#This Row],[G_1]]-Table3[[#This Row],[G]]</f>
        <v>-3</v>
      </c>
      <c r="I50">
        <f>HomeEdge+VLOOKUP(Table3[[#This Row],[Home]],$A$6:$B$38,2,FALSE)-VLOOKUP(Table3[[#This Row],[Visitor]],$A$6:$B$38,2,FALSE)</f>
        <v>0.1222105752646214</v>
      </c>
      <c r="J50">
        <f>(Table3[[#This Row],[HomeMargin]]-Table3[[#This Row],[HomeForecast]])^2</f>
        <v>9.7481988762942375</v>
      </c>
    </row>
    <row r="51" spans="4:10" x14ac:dyDescent="0.2">
      <c r="D51" t="s">
        <v>29</v>
      </c>
      <c r="E51">
        <f>'NHL2025-26Results'!C46</f>
        <v>4</v>
      </c>
      <c r="F51" t="s">
        <v>36</v>
      </c>
      <c r="G51">
        <f>'NHL2025-26Results'!E46</f>
        <v>1</v>
      </c>
      <c r="H51">
        <f>Table3[[#This Row],[G_1]]-Table3[[#This Row],[G]]</f>
        <v>-3</v>
      </c>
      <c r="I51">
        <f>HomeEdge+VLOOKUP(Table3[[#This Row],[Home]],$A$6:$B$38,2,FALSE)-VLOOKUP(Table3[[#This Row],[Visitor]],$A$6:$B$38,2,FALSE)</f>
        <v>0.90344198186838476</v>
      </c>
      <c r="J51">
        <f>(Table3[[#This Row],[HomeMargin]]-Table3[[#This Row],[HomeForecast]])^2</f>
        <v>15.236859305812583</v>
      </c>
    </row>
    <row r="52" spans="4:10" x14ac:dyDescent="0.2">
      <c r="D52" t="s">
        <v>11</v>
      </c>
      <c r="E52">
        <f>'NHL2025-26Results'!C47</f>
        <v>2</v>
      </c>
      <c r="F52" t="s">
        <v>27</v>
      </c>
      <c r="G52">
        <f>'NHL2025-26Results'!E47</f>
        <v>5</v>
      </c>
      <c r="H52">
        <f>Table3[[#This Row],[G_1]]-Table3[[#This Row],[G]]</f>
        <v>3</v>
      </c>
      <c r="I52">
        <f>HomeEdge+VLOOKUP(Table3[[#This Row],[Home]],$A$6:$B$38,2,FALSE)-VLOOKUP(Table3[[#This Row],[Visitor]],$A$6:$B$38,2,FALSE)</f>
        <v>6.6779456480953014E-2</v>
      </c>
      <c r="J52">
        <f>(Table3[[#This Row],[HomeMargin]]-Table3[[#This Row],[HomeForecast]])^2</f>
        <v>8.6037827569221736</v>
      </c>
    </row>
    <row r="53" spans="4:10" x14ac:dyDescent="0.2">
      <c r="D53" t="s">
        <v>26</v>
      </c>
      <c r="E53">
        <f>'NHL2025-26Results'!C48</f>
        <v>3</v>
      </c>
      <c r="F53" t="s">
        <v>19</v>
      </c>
      <c r="G53">
        <f>'NHL2025-26Results'!E48</f>
        <v>2</v>
      </c>
      <c r="H53">
        <f>Table3[[#This Row],[G_1]]-Table3[[#This Row],[G]]</f>
        <v>-1</v>
      </c>
      <c r="I53">
        <f>HomeEdge+VLOOKUP(Table3[[#This Row],[Home]],$A$6:$B$38,2,FALSE)-VLOOKUP(Table3[[#This Row],[Visitor]],$A$6:$B$38,2,FALSE)</f>
        <v>0.29076172263649136</v>
      </c>
      <c r="J53">
        <f>(Table3[[#This Row],[HomeMargin]]-Table3[[#This Row],[HomeForecast]])^2</f>
        <v>1.6660658246235227</v>
      </c>
    </row>
    <row r="54" spans="4:10" x14ac:dyDescent="0.2">
      <c r="D54" t="s">
        <v>35</v>
      </c>
      <c r="E54">
        <f>'NHL2025-26Results'!C49</f>
        <v>5</v>
      </c>
      <c r="F54" t="s">
        <v>38</v>
      </c>
      <c r="G54">
        <f>'NHL2025-26Results'!E49</f>
        <v>2</v>
      </c>
      <c r="H54">
        <f>Table3[[#This Row],[G_1]]-Table3[[#This Row],[G]]</f>
        <v>-3</v>
      </c>
      <c r="I54">
        <f>HomeEdge+VLOOKUP(Table3[[#This Row],[Home]],$A$6:$B$38,2,FALSE)-VLOOKUP(Table3[[#This Row],[Visitor]],$A$6:$B$38,2,FALSE)</f>
        <v>0.49670136576008084</v>
      </c>
      <c r="J54">
        <f>(Table3[[#This Row],[HomeMargin]]-Table3[[#This Row],[HomeForecast]])^2</f>
        <v>12.226920441308414</v>
      </c>
    </row>
    <row r="55" spans="4:10" x14ac:dyDescent="0.2">
      <c r="D55" t="s">
        <v>14</v>
      </c>
      <c r="E55">
        <f>'NHL2025-26Results'!C50</f>
        <v>3</v>
      </c>
      <c r="F55" t="s">
        <v>31</v>
      </c>
      <c r="G55">
        <f>'NHL2025-26Results'!E50</f>
        <v>4</v>
      </c>
      <c r="H55">
        <f>Table3[[#This Row],[G_1]]-Table3[[#This Row],[G]]</f>
        <v>1</v>
      </c>
      <c r="I55">
        <f>HomeEdge+VLOOKUP(Table3[[#This Row],[Home]],$A$6:$B$38,2,FALSE)-VLOOKUP(Table3[[#This Row],[Visitor]],$A$6:$B$38,2,FALSE)</f>
        <v>0.37086799232791878</v>
      </c>
      <c r="J55">
        <f>(Table3[[#This Row],[HomeMargin]]-Table3[[#This Row],[HomeForecast]])^2</f>
        <v>0.39580708307750367</v>
      </c>
    </row>
    <row r="56" spans="4:10" x14ac:dyDescent="0.2">
      <c r="D56" t="s">
        <v>20</v>
      </c>
      <c r="E56">
        <f>'NHL2025-26Results'!C51</f>
        <v>4</v>
      </c>
      <c r="F56" t="s">
        <v>16</v>
      </c>
      <c r="G56">
        <f>'NHL2025-26Results'!E51</f>
        <v>2</v>
      </c>
      <c r="H56">
        <f>Table3[[#This Row],[G_1]]-Table3[[#This Row],[G]]</f>
        <v>-2</v>
      </c>
      <c r="I56">
        <f>HomeEdge+VLOOKUP(Table3[[#This Row],[Home]],$A$6:$B$38,2,FALSE)-VLOOKUP(Table3[[#This Row],[Visitor]],$A$6:$B$38,2,FALSE)</f>
        <v>-0.77143969980082194</v>
      </c>
      <c r="J56">
        <f>(Table3[[#This Row],[HomeMargin]]-Table3[[#This Row],[HomeForecast]])^2</f>
        <v>1.5093604112254946</v>
      </c>
    </row>
    <row r="57" spans="4:10" x14ac:dyDescent="0.2">
      <c r="D57" t="s">
        <v>34</v>
      </c>
      <c r="E57">
        <f>'NHL2025-26Results'!C52</f>
        <v>2</v>
      </c>
      <c r="F57" t="s">
        <v>39</v>
      </c>
      <c r="G57">
        <f>'NHL2025-26Results'!E52</f>
        <v>5</v>
      </c>
      <c r="H57">
        <f>Table3[[#This Row],[G_1]]-Table3[[#This Row],[G]]</f>
        <v>3</v>
      </c>
      <c r="I57">
        <f>HomeEdge+VLOOKUP(Table3[[#This Row],[Home]],$A$6:$B$38,2,FALSE)-VLOOKUP(Table3[[#This Row],[Visitor]],$A$6:$B$38,2,FALSE)</f>
        <v>0.51846803822776111</v>
      </c>
      <c r="J57">
        <f>(Table3[[#This Row],[HomeMargin]]-Table3[[#This Row],[HomeForecast]])^2</f>
        <v>6.1580008772971775</v>
      </c>
    </row>
    <row r="58" spans="4:10" x14ac:dyDescent="0.2">
      <c r="D58" t="s">
        <v>32</v>
      </c>
      <c r="E58">
        <f>'NHL2025-26Results'!C53</f>
        <v>4</v>
      </c>
      <c r="F58" t="s">
        <v>18</v>
      </c>
      <c r="G58">
        <f>'NHL2025-26Results'!E53</f>
        <v>5</v>
      </c>
      <c r="H58">
        <f>Table3[[#This Row],[G_1]]-Table3[[#This Row],[G]]</f>
        <v>1</v>
      </c>
      <c r="I58">
        <f>HomeEdge+VLOOKUP(Table3[[#This Row],[Home]],$A$6:$B$38,2,FALSE)-VLOOKUP(Table3[[#This Row],[Visitor]],$A$6:$B$38,2,FALSE)</f>
        <v>0.10638835592742724</v>
      </c>
      <c r="J58">
        <f>(Table3[[#This Row],[HomeMargin]]-Table3[[#This Row],[HomeForecast]])^2</f>
        <v>0.79854177042208652</v>
      </c>
    </row>
    <row r="59" spans="4:10" x14ac:dyDescent="0.2">
      <c r="D59" t="s">
        <v>17</v>
      </c>
      <c r="E59">
        <f>'NHL2025-26Results'!C54</f>
        <v>2</v>
      </c>
      <c r="F59" t="s">
        <v>15</v>
      </c>
      <c r="G59">
        <f>'NHL2025-26Results'!E54</f>
        <v>0</v>
      </c>
      <c r="H59">
        <f>Table3[[#This Row],[G_1]]-Table3[[#This Row],[G]]</f>
        <v>-2</v>
      </c>
      <c r="I59">
        <f>HomeEdge+VLOOKUP(Table3[[#This Row],[Home]],$A$6:$B$38,2,FALSE)-VLOOKUP(Table3[[#This Row],[Visitor]],$A$6:$B$38,2,FALSE)</f>
        <v>0.57761342867674159</v>
      </c>
      <c r="J59">
        <f>(Table3[[#This Row],[HomeMargin]]-Table3[[#This Row],[HomeForecast]])^2</f>
        <v>6.6440909876946677</v>
      </c>
    </row>
    <row r="60" spans="4:10" x14ac:dyDescent="0.2">
      <c r="D60" t="s">
        <v>25</v>
      </c>
      <c r="E60">
        <f>'NHL2025-26Results'!C55</f>
        <v>5</v>
      </c>
      <c r="F60" t="s">
        <v>33</v>
      </c>
      <c r="G60">
        <f>'NHL2025-26Results'!E55</f>
        <v>1</v>
      </c>
      <c r="H60">
        <f>Table3[[#This Row],[G_1]]-Table3[[#This Row],[G]]</f>
        <v>-4</v>
      </c>
      <c r="I60">
        <f>HomeEdge+VLOOKUP(Table3[[#This Row],[Home]],$A$6:$B$38,2,FALSE)-VLOOKUP(Table3[[#This Row],[Visitor]],$A$6:$B$38,2,FALSE)</f>
        <v>-0.82710538078763363</v>
      </c>
      <c r="J60">
        <f>(Table3[[#This Row],[HomeMargin]]-Table3[[#This Row],[HomeForecast]])^2</f>
        <v>10.067260264626785</v>
      </c>
    </row>
    <row r="61" spans="4:10" x14ac:dyDescent="0.2">
      <c r="D61" t="s">
        <v>29</v>
      </c>
      <c r="E61">
        <f>'NHL2025-26Results'!C56</f>
        <v>4</v>
      </c>
      <c r="F61" t="s">
        <v>19</v>
      </c>
      <c r="G61">
        <f>'NHL2025-26Results'!E56</f>
        <v>7</v>
      </c>
      <c r="H61">
        <f>Table3[[#This Row],[G_1]]-Table3[[#This Row],[G]]</f>
        <v>3</v>
      </c>
      <c r="I61">
        <f>HomeEdge+VLOOKUP(Table3[[#This Row],[Home]],$A$6:$B$38,2,FALSE)-VLOOKUP(Table3[[#This Row],[Visitor]],$A$6:$B$38,2,FALSE)</f>
        <v>0.80033944141424285</v>
      </c>
      <c r="J61">
        <f>(Table3[[#This Row],[HomeMargin]]-Table3[[#This Row],[HomeForecast]])^2</f>
        <v>4.8385065729978045</v>
      </c>
    </row>
    <row r="62" spans="4:10" x14ac:dyDescent="0.2">
      <c r="D62" t="s">
        <v>37</v>
      </c>
      <c r="E62">
        <f>'NHL2025-26Results'!C57</f>
        <v>2</v>
      </c>
      <c r="F62" t="s">
        <v>22</v>
      </c>
      <c r="G62">
        <f>'NHL2025-26Results'!E57</f>
        <v>3</v>
      </c>
      <c r="H62">
        <f>Table3[[#This Row],[G_1]]-Table3[[#This Row],[G]]</f>
        <v>1</v>
      </c>
      <c r="I62">
        <f>HomeEdge+VLOOKUP(Table3[[#This Row],[Home]],$A$6:$B$38,2,FALSE)-VLOOKUP(Table3[[#This Row],[Visitor]],$A$6:$B$38,2,FALSE)</f>
        <v>-1.9896964969684905E-2</v>
      </c>
      <c r="J62">
        <f>(Table3[[#This Row],[HomeMargin]]-Table3[[#This Row],[HomeForecast]])^2</f>
        <v>1.0401898191543748</v>
      </c>
    </row>
    <row r="63" spans="4:10" x14ac:dyDescent="0.2">
      <c r="D63" t="s">
        <v>36</v>
      </c>
      <c r="E63">
        <f>'NHL2025-26Results'!C58</f>
        <v>4</v>
      </c>
      <c r="F63" t="s">
        <v>23</v>
      </c>
      <c r="G63">
        <f>'NHL2025-26Results'!E58</f>
        <v>8</v>
      </c>
      <c r="H63">
        <f>Table3[[#This Row],[G_1]]-Table3[[#This Row],[G]]</f>
        <v>4</v>
      </c>
      <c r="I63">
        <f>HomeEdge+VLOOKUP(Table3[[#This Row],[Home]],$A$6:$B$38,2,FALSE)-VLOOKUP(Table3[[#This Row],[Visitor]],$A$6:$B$38,2,FALSE)</f>
        <v>0.10516636404741142</v>
      </c>
      <c r="J63">
        <f>(Table3[[#This Row],[HomeMargin]]-Table3[[#This Row],[HomeForecast]])^2</f>
        <v>15.169729051747661</v>
      </c>
    </row>
    <row r="64" spans="4:10" x14ac:dyDescent="0.2">
      <c r="D64" t="s">
        <v>11</v>
      </c>
      <c r="E64">
        <f>'NHL2025-26Results'!C59</f>
        <v>1</v>
      </c>
      <c r="F64" t="s">
        <v>26</v>
      </c>
      <c r="G64">
        <f>'NHL2025-26Results'!E59</f>
        <v>4</v>
      </c>
      <c r="H64">
        <f>Table3[[#This Row],[G_1]]-Table3[[#This Row],[G]]</f>
        <v>3</v>
      </c>
      <c r="I64">
        <f>HomeEdge+VLOOKUP(Table3[[#This Row],[Home]],$A$6:$B$38,2,FALSE)-VLOOKUP(Table3[[#This Row],[Visitor]],$A$6:$B$38,2,FALSE)</f>
        <v>-0.42832052504504048</v>
      </c>
      <c r="J64">
        <f>(Table3[[#This Row],[HomeMargin]]-Table3[[#This Row],[HomeForecast]])^2</f>
        <v>11.753381622445103</v>
      </c>
    </row>
    <row r="65" spans="4:10" x14ac:dyDescent="0.2">
      <c r="D65" t="s">
        <v>10</v>
      </c>
      <c r="E65">
        <f>'NHL2025-26Results'!C60</f>
        <v>8</v>
      </c>
      <c r="F65" t="s">
        <v>35</v>
      </c>
      <c r="G65">
        <f>'NHL2025-26Results'!E60</f>
        <v>3</v>
      </c>
      <c r="H65">
        <f>Table3[[#This Row],[G_1]]-Table3[[#This Row],[G]]</f>
        <v>-5</v>
      </c>
      <c r="I65">
        <f>HomeEdge+VLOOKUP(Table3[[#This Row],[Home]],$A$6:$B$38,2,FALSE)-VLOOKUP(Table3[[#This Row],[Visitor]],$A$6:$B$38,2,FALSE)</f>
        <v>-1.1683813678402464</v>
      </c>
      <c r="J65">
        <f>(Table3[[#This Row],[HomeMargin]]-Table3[[#This Row],[HomeForecast]])^2</f>
        <v>14.681301342313782</v>
      </c>
    </row>
    <row r="66" spans="4:10" x14ac:dyDescent="0.2">
      <c r="D66" t="s">
        <v>16</v>
      </c>
      <c r="E66">
        <f>'NHL2025-26Results'!C61</f>
        <v>1</v>
      </c>
      <c r="F66" t="s">
        <v>55</v>
      </c>
      <c r="G66">
        <f>'NHL2025-26Results'!E61</f>
        <v>3</v>
      </c>
      <c r="H66">
        <f>Table3[[#This Row],[G_1]]-Table3[[#This Row],[G]]</f>
        <v>2</v>
      </c>
      <c r="I66">
        <f>HomeEdge+VLOOKUP(Table3[[#This Row],[Home]],$A$6:$B$38,2,FALSE)-VLOOKUP(Table3[[#This Row],[Visitor]],$A$6:$B$38,2,FALSE)</f>
        <v>0.71255873894660082</v>
      </c>
      <c r="J66">
        <f>(Table3[[#This Row],[HomeMargin]]-Table3[[#This Row],[HomeForecast]])^2</f>
        <v>1.6575050006627667</v>
      </c>
    </row>
    <row r="67" spans="4:10" x14ac:dyDescent="0.2">
      <c r="D67" t="s">
        <v>25</v>
      </c>
      <c r="E67">
        <f>'NHL2025-26Results'!C62</f>
        <v>4</v>
      </c>
      <c r="F67" t="s">
        <v>31</v>
      </c>
      <c r="G67">
        <f>'NHL2025-26Results'!E62</f>
        <v>1</v>
      </c>
      <c r="H67">
        <f>Table3[[#This Row],[G_1]]-Table3[[#This Row],[G]]</f>
        <v>-3</v>
      </c>
      <c r="I67">
        <f>HomeEdge+VLOOKUP(Table3[[#This Row],[Home]],$A$6:$B$38,2,FALSE)-VLOOKUP(Table3[[#This Row],[Visitor]],$A$6:$B$38,2,FALSE)</f>
        <v>-0.19707136656612392</v>
      </c>
      <c r="J67">
        <f>(Table3[[#This Row],[HomeMargin]]-Table3[[#This Row],[HomeForecast]])^2</f>
        <v>7.856408924123496</v>
      </c>
    </row>
    <row r="68" spans="4:10" x14ac:dyDescent="0.2">
      <c r="D68" t="s">
        <v>12</v>
      </c>
      <c r="E68">
        <f>'NHL2025-26Results'!C63</f>
        <v>4</v>
      </c>
      <c r="F68" t="s">
        <v>28</v>
      </c>
      <c r="G68">
        <f>'NHL2025-26Results'!E63</f>
        <v>1</v>
      </c>
      <c r="H68">
        <f>Table3[[#This Row],[G_1]]-Table3[[#This Row],[G]]</f>
        <v>-3</v>
      </c>
      <c r="I68">
        <f>HomeEdge+VLOOKUP(Table3[[#This Row],[Home]],$A$6:$B$38,2,FALSE)-VLOOKUP(Table3[[#This Row],[Visitor]],$A$6:$B$38,2,FALSE)</f>
        <v>-2.1769923138543539</v>
      </c>
      <c r="J68">
        <f>(Table3[[#This Row],[HomeMargin]]-Table3[[#This Row],[HomeForecast]])^2</f>
        <v>0.6773416514548104</v>
      </c>
    </row>
    <row r="69" spans="4:10" x14ac:dyDescent="0.2">
      <c r="D69" t="s">
        <v>38</v>
      </c>
      <c r="E69">
        <f>'NHL2025-26Results'!C64</f>
        <v>5</v>
      </c>
      <c r="F69" t="s">
        <v>39</v>
      </c>
      <c r="G69">
        <f>'NHL2025-26Results'!E64</f>
        <v>3</v>
      </c>
      <c r="H69">
        <f>Table3[[#This Row],[G_1]]-Table3[[#This Row],[G]]</f>
        <v>-2</v>
      </c>
      <c r="I69">
        <f>HomeEdge+VLOOKUP(Table3[[#This Row],[Home]],$A$6:$B$38,2,FALSE)-VLOOKUP(Table3[[#This Row],[Visitor]],$A$6:$B$38,2,FALSE)</f>
        <v>1.4110210058890864</v>
      </c>
      <c r="J69">
        <f>(Table3[[#This Row],[HomeMargin]]-Table3[[#This Row],[HomeForecast]])^2</f>
        <v>11.635064302616595</v>
      </c>
    </row>
    <row r="70" spans="4:10" x14ac:dyDescent="0.2">
      <c r="D70" t="s">
        <v>14</v>
      </c>
      <c r="E70">
        <f>'NHL2025-26Results'!C65</f>
        <v>4</v>
      </c>
      <c r="F70" t="s">
        <v>13</v>
      </c>
      <c r="G70">
        <f>'NHL2025-26Results'!E65</f>
        <v>2</v>
      </c>
      <c r="H70">
        <f>Table3[[#This Row],[G_1]]-Table3[[#This Row],[G]]</f>
        <v>-2</v>
      </c>
      <c r="I70">
        <f>HomeEdge+VLOOKUP(Table3[[#This Row],[Home]],$A$6:$B$38,2,FALSE)-VLOOKUP(Table3[[#This Row],[Visitor]],$A$6:$B$38,2,FALSE)</f>
        <v>-0.14611862818856117</v>
      </c>
      <c r="J70">
        <f>(Table3[[#This Row],[HomeMargin]]-Table3[[#This Row],[HomeForecast]])^2</f>
        <v>3.4368761407494626</v>
      </c>
    </row>
    <row r="71" spans="4:10" x14ac:dyDescent="0.2">
      <c r="D71" t="s">
        <v>29</v>
      </c>
      <c r="E71">
        <f>'NHL2025-26Results'!C66</f>
        <v>2</v>
      </c>
      <c r="F71" t="s">
        <v>18</v>
      </c>
      <c r="G71">
        <f>'NHL2025-26Results'!E66</f>
        <v>3</v>
      </c>
      <c r="H71">
        <f>Table3[[#This Row],[G_1]]-Table3[[#This Row],[G]]</f>
        <v>1</v>
      </c>
      <c r="I71">
        <f>HomeEdge+VLOOKUP(Table3[[#This Row],[Home]],$A$6:$B$38,2,FALSE)-VLOOKUP(Table3[[#This Row],[Visitor]],$A$6:$B$38,2,FALSE)</f>
        <v>0.84192840445939821</v>
      </c>
      <c r="J71">
        <f>(Table3[[#This Row],[HomeMargin]]-Table3[[#This Row],[HomeForecast]])^2</f>
        <v>2.49866293167516E-2</v>
      </c>
    </row>
    <row r="72" spans="4:10" x14ac:dyDescent="0.2">
      <c r="D72" t="s">
        <v>11</v>
      </c>
      <c r="E72">
        <f>'NHL2025-26Results'!C67</f>
        <v>1</v>
      </c>
      <c r="F72" t="s">
        <v>24</v>
      </c>
      <c r="G72">
        <f>'NHL2025-26Results'!E67</f>
        <v>3</v>
      </c>
      <c r="H72">
        <f>Table3[[#This Row],[G_1]]-Table3[[#This Row],[G]]</f>
        <v>2</v>
      </c>
      <c r="I72">
        <f>HomeEdge+VLOOKUP(Table3[[#This Row],[Home]],$A$6:$B$38,2,FALSE)-VLOOKUP(Table3[[#This Row],[Visitor]],$A$6:$B$38,2,FALSE)</f>
        <v>0.44854929075187328</v>
      </c>
      <c r="J72">
        <f>(Table3[[#This Row],[HomeMargin]]-Table3[[#This Row],[HomeForecast]])^2</f>
        <v>2.4069993032265153</v>
      </c>
    </row>
    <row r="73" spans="4:10" x14ac:dyDescent="0.2">
      <c r="D73" t="s">
        <v>17</v>
      </c>
      <c r="E73">
        <f>'NHL2025-26Results'!C68</f>
        <v>2</v>
      </c>
      <c r="F73" t="s">
        <v>30</v>
      </c>
      <c r="G73">
        <f>'NHL2025-26Results'!E68</f>
        <v>4</v>
      </c>
      <c r="H73">
        <f>Table3[[#This Row],[G_1]]-Table3[[#This Row],[G]]</f>
        <v>2</v>
      </c>
      <c r="I73">
        <f>HomeEdge+VLOOKUP(Table3[[#This Row],[Home]],$A$6:$B$38,2,FALSE)-VLOOKUP(Table3[[#This Row],[Visitor]],$A$6:$B$38,2,FALSE)</f>
        <v>0.62671541571935152</v>
      </c>
      <c r="J73">
        <f>(Table3[[#This Row],[HomeMargin]]-Table3[[#This Row],[HomeForecast]])^2</f>
        <v>1.8859105494228736</v>
      </c>
    </row>
    <row r="74" spans="4:10" x14ac:dyDescent="0.2">
      <c r="D74" t="s">
        <v>32</v>
      </c>
      <c r="E74">
        <f>'NHL2025-26Results'!C69</f>
        <v>3</v>
      </c>
      <c r="F74" t="s">
        <v>36</v>
      </c>
      <c r="G74">
        <f>'NHL2025-26Results'!E69</f>
        <v>4</v>
      </c>
      <c r="H74">
        <f>Table3[[#This Row],[G_1]]-Table3[[#This Row],[G]]</f>
        <v>1</v>
      </c>
      <c r="I74">
        <f>HomeEdge+VLOOKUP(Table3[[#This Row],[Home]],$A$6:$B$38,2,FALSE)-VLOOKUP(Table3[[#This Row],[Visitor]],$A$6:$B$38,2,FALSE)</f>
        <v>0.16790193333641384</v>
      </c>
      <c r="J74">
        <f>(Table3[[#This Row],[HomeMargin]]-Table3[[#This Row],[HomeForecast]])^2</f>
        <v>0.69238719254527792</v>
      </c>
    </row>
    <row r="75" spans="4:10" x14ac:dyDescent="0.2">
      <c r="D75" t="s">
        <v>40</v>
      </c>
      <c r="E75">
        <f>'NHL2025-26Results'!C70</f>
        <v>5</v>
      </c>
      <c r="F75" t="s">
        <v>27</v>
      </c>
      <c r="G75">
        <f>'NHL2025-26Results'!E70</f>
        <v>2</v>
      </c>
      <c r="H75">
        <f>Table3[[#This Row],[G_1]]-Table3[[#This Row],[G]]</f>
        <v>-3</v>
      </c>
      <c r="I75">
        <f>HomeEdge+VLOOKUP(Table3[[#This Row],[Home]],$A$6:$B$38,2,FALSE)-VLOOKUP(Table3[[#This Row],[Visitor]],$A$6:$B$38,2,FALSE)</f>
        <v>-1.7097010800361967E-2</v>
      </c>
      <c r="J75">
        <f>(Table3[[#This Row],[HomeMargin]]-Table3[[#This Row],[HomeForecast]])^2</f>
        <v>8.8977102429761352</v>
      </c>
    </row>
    <row r="76" spans="4:10" x14ac:dyDescent="0.2">
      <c r="D76" t="s">
        <v>15</v>
      </c>
      <c r="E76">
        <f>'NHL2025-26Results'!C71</f>
        <v>1</v>
      </c>
      <c r="F76" t="s">
        <v>19</v>
      </c>
      <c r="G76">
        <f>'NHL2025-26Results'!E71</f>
        <v>2</v>
      </c>
      <c r="H76">
        <f>Table3[[#This Row],[G_1]]-Table3[[#This Row],[G]]</f>
        <v>1</v>
      </c>
      <c r="I76">
        <f>HomeEdge+VLOOKUP(Table3[[#This Row],[Home]],$A$6:$B$38,2,FALSE)-VLOOKUP(Table3[[#This Row],[Visitor]],$A$6:$B$38,2,FALSE)</f>
        <v>-0.29454385791187548</v>
      </c>
      <c r="J76">
        <f>(Table3[[#This Row],[HomeMargin]]-Table3[[#This Row],[HomeForecast]])^2</f>
        <v>1.6758438000573621</v>
      </c>
    </row>
    <row r="77" spans="4:10" x14ac:dyDescent="0.2">
      <c r="D77" t="s">
        <v>21</v>
      </c>
      <c r="E77">
        <f>'NHL2025-26Results'!C72</f>
        <v>5</v>
      </c>
      <c r="F77" t="s">
        <v>20</v>
      </c>
      <c r="G77">
        <f>'NHL2025-26Results'!E72</f>
        <v>6</v>
      </c>
      <c r="H77">
        <f>Table3[[#This Row],[G_1]]-Table3[[#This Row],[G]]</f>
        <v>1</v>
      </c>
      <c r="I77">
        <f>HomeEdge+VLOOKUP(Table3[[#This Row],[Home]],$A$6:$B$38,2,FALSE)-VLOOKUP(Table3[[#This Row],[Visitor]],$A$6:$B$38,2,FALSE)</f>
        <v>2.5229679050257636E-2</v>
      </c>
      <c r="J77">
        <f>(Table3[[#This Row],[HomeMargin]]-Table3[[#This Row],[HomeForecast]])^2</f>
        <v>0.95017717860446371</v>
      </c>
    </row>
    <row r="78" spans="4:10" x14ac:dyDescent="0.2">
      <c r="D78" t="s">
        <v>38</v>
      </c>
      <c r="E78">
        <f>'NHL2025-26Results'!C73</f>
        <v>3</v>
      </c>
      <c r="F78" t="s">
        <v>10</v>
      </c>
      <c r="G78">
        <f>'NHL2025-26Results'!E73</f>
        <v>2</v>
      </c>
      <c r="H78">
        <f>Table3[[#This Row],[G_1]]-Table3[[#This Row],[G]]</f>
        <v>-1</v>
      </c>
      <c r="I78">
        <f>HomeEdge+VLOOKUP(Table3[[#This Row],[Home]],$A$6:$B$38,2,FALSE)-VLOOKUP(Table3[[#This Row],[Visitor]],$A$6:$B$38,2,FALSE)</f>
        <v>0.82138224884965294</v>
      </c>
      <c r="J78">
        <f>(Table3[[#This Row],[HomeMargin]]-Table3[[#This Row],[HomeForecast]])^2</f>
        <v>3.3174332964246189</v>
      </c>
    </row>
    <row r="79" spans="4:10" x14ac:dyDescent="0.2">
      <c r="D79" t="s">
        <v>37</v>
      </c>
      <c r="E79">
        <f>'NHL2025-26Results'!C74</f>
        <v>1</v>
      </c>
      <c r="F79" t="s">
        <v>26</v>
      </c>
      <c r="G79">
        <f>'NHL2025-26Results'!E74</f>
        <v>2</v>
      </c>
      <c r="H79">
        <f>Table3[[#This Row],[G_1]]-Table3[[#This Row],[G]]</f>
        <v>1</v>
      </c>
      <c r="I79">
        <f>HomeEdge+VLOOKUP(Table3[[#This Row],[Home]],$A$6:$B$38,2,FALSE)-VLOOKUP(Table3[[#This Row],[Visitor]],$A$6:$B$38,2,FALSE)</f>
        <v>-1.3359437628557513</v>
      </c>
      <c r="J79">
        <f>(Table3[[#This Row],[HomeMargin]]-Table3[[#This Row],[HomeForecast]])^2</f>
        <v>5.4566332632246866</v>
      </c>
    </row>
    <row r="80" spans="4:10" x14ac:dyDescent="0.2">
      <c r="D80" t="s">
        <v>33</v>
      </c>
      <c r="E80">
        <f>'NHL2025-26Results'!C75</f>
        <v>3</v>
      </c>
      <c r="F80" t="s">
        <v>55</v>
      </c>
      <c r="G80">
        <f>'NHL2025-26Results'!E75</f>
        <v>6</v>
      </c>
      <c r="H80">
        <f>Table3[[#This Row],[G_1]]-Table3[[#This Row],[G]]</f>
        <v>3</v>
      </c>
      <c r="I80">
        <f>HomeEdge+VLOOKUP(Table3[[#This Row],[Home]],$A$6:$B$38,2,FALSE)-VLOOKUP(Table3[[#This Row],[Visitor]],$A$6:$B$38,2,FALSE)</f>
        <v>9.810845228422338E-2</v>
      </c>
      <c r="J80">
        <f>(Table3[[#This Row],[HomeMargin]]-Table3[[#This Row],[HomeForecast]])^2</f>
        <v>8.4209745547042658</v>
      </c>
    </row>
    <row r="81" spans="4:10" x14ac:dyDescent="0.2">
      <c r="D81" t="s">
        <v>34</v>
      </c>
      <c r="E81">
        <f>'NHL2025-26Results'!C76</f>
        <v>1</v>
      </c>
      <c r="F81" t="s">
        <v>22</v>
      </c>
      <c r="G81">
        <f>'NHL2025-26Results'!E76</f>
        <v>5</v>
      </c>
      <c r="H81">
        <f>Table3[[#This Row],[G_1]]-Table3[[#This Row],[G]]</f>
        <v>4</v>
      </c>
      <c r="I81">
        <f>HomeEdge+VLOOKUP(Table3[[#This Row],[Home]],$A$6:$B$38,2,FALSE)-VLOOKUP(Table3[[#This Row],[Visitor]],$A$6:$B$38,2,FALSE)</f>
        <v>0.54573276922639824</v>
      </c>
      <c r="J81">
        <f>(Table3[[#This Row],[HomeMargin]]-Table3[[#This Row],[HomeForecast]])^2</f>
        <v>11.931962101596328</v>
      </c>
    </row>
    <row r="82" spans="4:10" x14ac:dyDescent="0.2">
      <c r="D82" t="s">
        <v>11</v>
      </c>
      <c r="E82">
        <f>'NHL2025-26Results'!C77</f>
        <v>0</v>
      </c>
      <c r="F82" t="s">
        <v>23</v>
      </c>
      <c r="G82">
        <f>'NHL2025-26Results'!E77</f>
        <v>3</v>
      </c>
      <c r="H82">
        <f>Table3[[#This Row],[G_1]]-Table3[[#This Row],[G]]</f>
        <v>3</v>
      </c>
      <c r="I82">
        <f>HomeEdge+VLOOKUP(Table3[[#This Row],[Home]],$A$6:$B$38,2,FALSE)-VLOOKUP(Table3[[#This Row],[Visitor]],$A$6:$B$38,2,FALSE)</f>
        <v>-2.9091395753320648E-2</v>
      </c>
      <c r="J82">
        <f>(Table3[[#This Row],[HomeMargin]]-Table3[[#This Row],[HomeForecast]])^2</f>
        <v>9.1753946838268003</v>
      </c>
    </row>
    <row r="83" spans="4:10" x14ac:dyDescent="0.2">
      <c r="D83" t="s">
        <v>37</v>
      </c>
      <c r="E83">
        <f>'NHL2025-26Results'!C78</f>
        <v>2</v>
      </c>
      <c r="F83" t="s">
        <v>28</v>
      </c>
      <c r="G83">
        <f>'NHL2025-26Results'!E78</f>
        <v>3</v>
      </c>
      <c r="H83">
        <f>Table3[[#This Row],[G_1]]-Table3[[#This Row],[G]]</f>
        <v>1</v>
      </c>
      <c r="I83">
        <f>HomeEdge+VLOOKUP(Table3[[#This Row],[Home]],$A$6:$B$38,2,FALSE)-VLOOKUP(Table3[[#This Row],[Visitor]],$A$6:$B$38,2,FALSE)</f>
        <v>-1.0555936021739822</v>
      </c>
      <c r="J83">
        <f>(Table3[[#This Row],[HomeMargin]]-Table3[[#This Row],[HomeForecast]])^2</f>
        <v>4.2254650572986083</v>
      </c>
    </row>
    <row r="84" spans="4:10" x14ac:dyDescent="0.2">
      <c r="D84" t="s">
        <v>21</v>
      </c>
      <c r="E84">
        <f>'NHL2025-26Results'!C79</f>
        <v>1</v>
      </c>
      <c r="F84" t="s">
        <v>12</v>
      </c>
      <c r="G84">
        <f>'NHL2025-26Results'!E79</f>
        <v>4</v>
      </c>
      <c r="H84">
        <f>Table3[[#This Row],[G_1]]-Table3[[#This Row],[G]]</f>
        <v>3</v>
      </c>
      <c r="I84">
        <f>HomeEdge+VLOOKUP(Table3[[#This Row],[Home]],$A$6:$B$38,2,FALSE)-VLOOKUP(Table3[[#This Row],[Visitor]],$A$6:$B$38,2,FALSE)</f>
        <v>1.9015741677978701</v>
      </c>
      <c r="J84">
        <f>(Table3[[#This Row],[HomeMargin]]-Table3[[#This Row],[HomeForecast]])^2</f>
        <v>1.2065393088489416</v>
      </c>
    </row>
    <row r="85" spans="4:10" x14ac:dyDescent="0.2">
      <c r="D85" t="s">
        <v>25</v>
      </c>
      <c r="E85">
        <f>'NHL2025-26Results'!C80</f>
        <v>4</v>
      </c>
      <c r="F85" t="s">
        <v>13</v>
      </c>
      <c r="G85">
        <f>'NHL2025-26Results'!E80</f>
        <v>3</v>
      </c>
      <c r="H85">
        <f>Table3[[#This Row],[G_1]]-Table3[[#This Row],[G]]</f>
        <v>-1</v>
      </c>
      <c r="I85">
        <f>HomeEdge+VLOOKUP(Table3[[#This Row],[Home]],$A$6:$B$38,2,FALSE)-VLOOKUP(Table3[[#This Row],[Visitor]],$A$6:$B$38,2,FALSE)</f>
        <v>-0.71405798708260382</v>
      </c>
      <c r="J85">
        <f>(Table3[[#This Row],[HomeMargin]]-Table3[[#This Row],[HomeForecast]])^2</f>
        <v>8.1762834751252358E-2</v>
      </c>
    </row>
    <row r="86" spans="4:10" x14ac:dyDescent="0.2">
      <c r="D86" t="s">
        <v>15</v>
      </c>
      <c r="E86">
        <f>'NHL2025-26Results'!C81</f>
        <v>4</v>
      </c>
      <c r="F86" t="s">
        <v>18</v>
      </c>
      <c r="G86">
        <f>'NHL2025-26Results'!E81</f>
        <v>3</v>
      </c>
      <c r="H86">
        <f>Table3[[#This Row],[G_1]]-Table3[[#This Row],[G]]</f>
        <v>-1</v>
      </c>
      <c r="I86">
        <f>HomeEdge+VLOOKUP(Table3[[#This Row],[Home]],$A$6:$B$38,2,FALSE)-VLOOKUP(Table3[[#This Row],[Visitor]],$A$6:$B$38,2,FALSE)</f>
        <v>-0.25295489486672013</v>
      </c>
      <c r="J86">
        <f>(Table3[[#This Row],[HomeMargin]]-Table3[[#This Row],[HomeForecast]])^2</f>
        <v>0.55807638910359314</v>
      </c>
    </row>
    <row r="87" spans="4:10" x14ac:dyDescent="0.2">
      <c r="D87" t="s">
        <v>17</v>
      </c>
      <c r="E87">
        <f>'NHL2025-26Results'!C82</f>
        <v>3</v>
      </c>
      <c r="F87" t="s">
        <v>24</v>
      </c>
      <c r="G87">
        <f>'NHL2025-26Results'!E82</f>
        <v>5</v>
      </c>
      <c r="H87">
        <f>Table3[[#This Row],[G_1]]-Table3[[#This Row],[G]]</f>
        <v>2</v>
      </c>
      <c r="I87">
        <f>HomeEdge+VLOOKUP(Table3[[#This Row],[Home]],$A$6:$B$38,2,FALSE)-VLOOKUP(Table3[[#This Row],[Visitor]],$A$6:$B$38,2,FALSE)</f>
        <v>0.8691776639252885</v>
      </c>
      <c r="J87">
        <f>(Table3[[#This Row],[HomeMargin]]-Table3[[#This Row],[HomeForecast]])^2</f>
        <v>1.2787591557654676</v>
      </c>
    </row>
    <row r="88" spans="4:10" x14ac:dyDescent="0.2">
      <c r="D88" t="s">
        <v>30</v>
      </c>
      <c r="E88">
        <f>'NHL2025-26Results'!C83</f>
        <v>5</v>
      </c>
      <c r="F88" t="s">
        <v>36</v>
      </c>
      <c r="G88">
        <f>'NHL2025-26Results'!E83</f>
        <v>4</v>
      </c>
      <c r="H88">
        <f>Table3[[#This Row],[G_1]]-Table3[[#This Row],[G]]</f>
        <v>-1</v>
      </c>
      <c r="I88">
        <f>HomeEdge+VLOOKUP(Table3[[#This Row],[Home]],$A$6:$B$38,2,FALSE)-VLOOKUP(Table3[[#This Row],[Visitor]],$A$6:$B$38,2,FALSE)</f>
        <v>-0.2405433045003435</v>
      </c>
      <c r="J88">
        <f>(Table3[[#This Row],[HomeMargin]]-Table3[[#This Row],[HomeForecast]])^2</f>
        <v>0.57677447233925794</v>
      </c>
    </row>
    <row r="89" spans="4:10" x14ac:dyDescent="0.2">
      <c r="D89" t="s">
        <v>34</v>
      </c>
      <c r="E89">
        <f>'NHL2025-26Results'!C84</f>
        <v>1</v>
      </c>
      <c r="F89" t="s">
        <v>27</v>
      </c>
      <c r="G89">
        <f>'NHL2025-26Results'!E84</f>
        <v>2</v>
      </c>
      <c r="H89">
        <f>Table3[[#This Row],[G_1]]-Table3[[#This Row],[G]]</f>
        <v>1</v>
      </c>
      <c r="I89">
        <f>HomeEdge+VLOOKUP(Table3[[#This Row],[Home]],$A$6:$B$38,2,FALSE)-VLOOKUP(Table3[[#This Row],[Visitor]],$A$6:$B$38,2,FALSE)</f>
        <v>-0.2752140471336747</v>
      </c>
      <c r="J89">
        <f>(Table3[[#This Row],[HomeMargin]]-Table3[[#This Row],[HomeForecast]])^2</f>
        <v>1.6261708660070462</v>
      </c>
    </row>
    <row r="90" spans="4:10" x14ac:dyDescent="0.2">
      <c r="D90" t="s">
        <v>14</v>
      </c>
      <c r="E90">
        <f>'NHL2025-26Results'!C85</f>
        <v>3</v>
      </c>
      <c r="F90" t="s">
        <v>33</v>
      </c>
      <c r="G90">
        <f>'NHL2025-26Results'!E85</f>
        <v>0</v>
      </c>
      <c r="H90">
        <f>Table3[[#This Row],[G_1]]-Table3[[#This Row],[G]]</f>
        <v>-3</v>
      </c>
      <c r="I90">
        <f>HomeEdge+VLOOKUP(Table3[[#This Row],[Home]],$A$6:$B$38,2,FALSE)-VLOOKUP(Table3[[#This Row],[Visitor]],$A$6:$B$38,2,FALSE)</f>
        <v>-0.25916602189359084</v>
      </c>
      <c r="J90">
        <f>(Table3[[#This Row],[HomeMargin]]-Table3[[#This Row],[HomeForecast]])^2</f>
        <v>7.5121708955426039</v>
      </c>
    </row>
    <row r="91" spans="4:10" x14ac:dyDescent="0.2">
      <c r="D91" t="s">
        <v>39</v>
      </c>
      <c r="E91">
        <f>'NHL2025-26Results'!C86</f>
        <v>1</v>
      </c>
      <c r="F91" t="s">
        <v>35</v>
      </c>
      <c r="G91">
        <f>'NHL2025-26Results'!E86</f>
        <v>3</v>
      </c>
      <c r="H91">
        <f>Table3[[#This Row],[G_1]]-Table3[[#This Row],[G]]</f>
        <v>2</v>
      </c>
      <c r="I91">
        <f>HomeEdge+VLOOKUP(Table3[[#This Row],[Home]],$A$6:$B$38,2,FALSE)-VLOOKUP(Table3[[#This Row],[Visitor]],$A$6:$B$38,2,FALSE)</f>
        <v>-1.7580201248796798</v>
      </c>
      <c r="J91">
        <f>(Table3[[#This Row],[HomeMargin]]-Table3[[#This Row],[HomeForecast]])^2</f>
        <v>14.122715259000687</v>
      </c>
    </row>
    <row r="92" spans="4:10" x14ac:dyDescent="0.2">
      <c r="D92" t="s">
        <v>32</v>
      </c>
      <c r="E92">
        <f>'NHL2025-26Results'!C87</f>
        <v>4</v>
      </c>
      <c r="F92" t="s">
        <v>19</v>
      </c>
      <c r="G92">
        <f>'NHL2025-26Results'!E87</f>
        <v>3</v>
      </c>
      <c r="H92">
        <f>Table3[[#This Row],[G_1]]-Table3[[#This Row],[G]]</f>
        <v>-1</v>
      </c>
      <c r="I92">
        <f>HomeEdge+VLOOKUP(Table3[[#This Row],[Home]],$A$6:$B$38,2,FALSE)-VLOOKUP(Table3[[#This Row],[Visitor]],$A$6:$B$38,2,FALSE)</f>
        <v>6.4799392882271878E-2</v>
      </c>
      <c r="J92">
        <f>(Table3[[#This Row],[HomeMargin]]-Table3[[#This Row],[HomeForecast]])^2</f>
        <v>1.1337977470824547</v>
      </c>
    </row>
    <row r="93" spans="4:10" x14ac:dyDescent="0.2">
      <c r="D93" t="s">
        <v>16</v>
      </c>
      <c r="E93">
        <f>'NHL2025-26Results'!C88</f>
        <v>1</v>
      </c>
      <c r="F93" t="s">
        <v>20</v>
      </c>
      <c r="G93">
        <f>'NHL2025-26Results'!E88</f>
        <v>6</v>
      </c>
      <c r="H93">
        <f>Table3[[#This Row],[G_1]]-Table3[[#This Row],[G]]</f>
        <v>5</v>
      </c>
      <c r="I93">
        <f>HomeEdge+VLOOKUP(Table3[[#This Row],[Home]],$A$6:$B$38,2,FALSE)-VLOOKUP(Table3[[#This Row],[Visitor]],$A$6:$B$38,2,FALSE)</f>
        <v>0.8712411976471468</v>
      </c>
      <c r="J93">
        <f>(Table3[[#This Row],[HomeMargin]]-Table3[[#This Row],[HomeForecast]])^2</f>
        <v>17.046649248006165</v>
      </c>
    </row>
    <row r="94" spans="4:10" x14ac:dyDescent="0.2">
      <c r="D94" t="s">
        <v>29</v>
      </c>
      <c r="E94">
        <f>'NHL2025-26Results'!C89</f>
        <v>1</v>
      </c>
      <c r="F94" t="s">
        <v>40</v>
      </c>
      <c r="G94">
        <f>'NHL2025-26Results'!E89</f>
        <v>4</v>
      </c>
      <c r="H94">
        <f>Table3[[#This Row],[G_1]]-Table3[[#This Row],[G]]</f>
        <v>3</v>
      </c>
      <c r="I94">
        <f>HomeEdge+VLOOKUP(Table3[[#This Row],[Home]],$A$6:$B$38,2,FALSE)-VLOOKUP(Table3[[#This Row],[Visitor]],$A$6:$B$38,2,FALSE)</f>
        <v>1.1215762089504318</v>
      </c>
      <c r="J94">
        <f>(Table3[[#This Row],[HomeMargin]]-Table3[[#This Row],[HomeForecast]])^2</f>
        <v>3.5284759387810318</v>
      </c>
    </row>
    <row r="95" spans="4:10" x14ac:dyDescent="0.2">
      <c r="D95" t="s">
        <v>31</v>
      </c>
      <c r="E95">
        <f>'NHL2025-26Results'!C90</f>
        <v>1</v>
      </c>
      <c r="F95" t="s">
        <v>10</v>
      </c>
      <c r="G95">
        <f>'NHL2025-26Results'!E90</f>
        <v>2</v>
      </c>
      <c r="H95">
        <f>Table3[[#This Row],[G_1]]-Table3[[#This Row],[G]]</f>
        <v>1</v>
      </c>
      <c r="I95">
        <f>HomeEdge+VLOOKUP(Table3[[#This Row],[Home]],$A$6:$B$38,2,FALSE)-VLOOKUP(Table3[[#This Row],[Visitor]],$A$6:$B$38,2,FALSE)</f>
        <v>-0.3049985281004175</v>
      </c>
      <c r="J95">
        <f>(Table3[[#This Row],[HomeMargin]]-Table3[[#This Row],[HomeForecast]])^2</f>
        <v>1.7030211583442563</v>
      </c>
    </row>
    <row r="96" spans="4:10" x14ac:dyDescent="0.2">
      <c r="D96" t="s">
        <v>17</v>
      </c>
      <c r="E96">
        <f>'NHL2025-26Results'!C91</f>
        <v>2</v>
      </c>
      <c r="F96" t="s">
        <v>26</v>
      </c>
      <c r="G96">
        <f>'NHL2025-26Results'!E91</f>
        <v>4</v>
      </c>
      <c r="H96">
        <f>Table3[[#This Row],[G_1]]-Table3[[#This Row],[G]]</f>
        <v>2</v>
      </c>
      <c r="I96">
        <f>HomeEdge+VLOOKUP(Table3[[#This Row],[Home]],$A$6:$B$38,2,FALSE)-VLOOKUP(Table3[[#This Row],[Visitor]],$A$6:$B$38,2,FALSE)</f>
        <v>-7.6921518716253079E-3</v>
      </c>
      <c r="J96">
        <f>(Table3[[#This Row],[HomeMargin]]-Table3[[#This Row],[HomeForecast]])^2</f>
        <v>4.0308277766869161</v>
      </c>
    </row>
    <row r="97" spans="4:10" x14ac:dyDescent="0.2">
      <c r="D97" t="s">
        <v>21</v>
      </c>
      <c r="E97">
        <f>'NHL2025-26Results'!C92</f>
        <v>2</v>
      </c>
      <c r="F97" t="s">
        <v>55</v>
      </c>
      <c r="G97">
        <f>'NHL2025-26Results'!E92</f>
        <v>3</v>
      </c>
      <c r="H97">
        <f>Table3[[#This Row],[G_1]]-Table3[[#This Row],[G]]</f>
        <v>1</v>
      </c>
      <c r="I97">
        <f>HomeEdge+VLOOKUP(Table3[[#This Row],[Home]],$A$6:$B$38,2,FALSE)-VLOOKUP(Table3[[#This Row],[Visitor]],$A$6:$B$38,2,FALSE)</f>
        <v>-0.1334527796502884</v>
      </c>
      <c r="J97">
        <f>(Table3[[#This Row],[HomeMargin]]-Table3[[#This Row],[HomeForecast]])^2</f>
        <v>1.2847152036969653</v>
      </c>
    </row>
    <row r="98" spans="4:10" x14ac:dyDescent="0.2">
      <c r="D98" t="s">
        <v>38</v>
      </c>
      <c r="E98">
        <f>'NHL2025-26Results'!C93</f>
        <v>4</v>
      </c>
      <c r="F98" t="s">
        <v>22</v>
      </c>
      <c r="G98">
        <f>'NHL2025-26Results'!E93</f>
        <v>3</v>
      </c>
      <c r="H98">
        <f>Table3[[#This Row],[G_1]]-Table3[[#This Row],[G]]</f>
        <v>-1</v>
      </c>
      <c r="I98">
        <f>HomeEdge+VLOOKUP(Table3[[#This Row],[Home]],$A$6:$B$38,2,FALSE)-VLOOKUP(Table3[[#This Row],[Visitor]],$A$6:$B$38,2,FALSE)</f>
        <v>1.4382857368877235</v>
      </c>
      <c r="J98">
        <f>(Table3[[#This Row],[HomeMargin]]-Table3[[#This Row],[HomeForecast]])^2</f>
        <v>5.94523733471011</v>
      </c>
    </row>
    <row r="99" spans="4:10" x14ac:dyDescent="0.2">
      <c r="D99" t="s">
        <v>40</v>
      </c>
      <c r="E99">
        <f>'NHL2025-26Results'!C94</f>
        <v>2</v>
      </c>
      <c r="F99" t="s">
        <v>16</v>
      </c>
      <c r="G99">
        <f>'NHL2025-26Results'!E94</f>
        <v>1</v>
      </c>
      <c r="H99">
        <f>Table3[[#This Row],[G_1]]-Table3[[#This Row],[G]]</f>
        <v>-1</v>
      </c>
      <c r="I99">
        <f>HomeEdge+VLOOKUP(Table3[[#This Row],[Home]],$A$6:$B$38,2,FALSE)-VLOOKUP(Table3[[#This Row],[Visitor]],$A$6:$B$38,2,FALSE)</f>
        <v>-0.70263870633866676</v>
      </c>
      <c r="J99">
        <f>(Table3[[#This Row],[HomeMargin]]-Table3[[#This Row],[HomeForecast]])^2</f>
        <v>8.8423738967941659E-2</v>
      </c>
    </row>
    <row r="100" spans="4:10" x14ac:dyDescent="0.2">
      <c r="D100" t="s">
        <v>23</v>
      </c>
      <c r="E100">
        <f>'NHL2025-26Results'!C95</f>
        <v>2</v>
      </c>
      <c r="F100" t="s">
        <v>18</v>
      </c>
      <c r="G100">
        <f>'NHL2025-26Results'!E95</f>
        <v>4</v>
      </c>
      <c r="H100">
        <f>Table3[[#This Row],[G_1]]-Table3[[#This Row],[G]]</f>
        <v>2</v>
      </c>
      <c r="I100">
        <f>HomeEdge+VLOOKUP(Table3[[#This Row],[Home]],$A$6:$B$38,2,FALSE)-VLOOKUP(Table3[[#This Row],[Visitor]],$A$6:$B$38,2,FALSE)</f>
        <v>-6.6878443610073057E-2</v>
      </c>
      <c r="J100">
        <f>(Table3[[#This Row],[HomeMargin]]-Table3[[#This Row],[HomeForecast]])^2</f>
        <v>4.271986500659998</v>
      </c>
    </row>
    <row r="101" spans="4:10" x14ac:dyDescent="0.2">
      <c r="D101" t="s">
        <v>34</v>
      </c>
      <c r="E101">
        <f>'NHL2025-26Results'!C96</f>
        <v>3</v>
      </c>
      <c r="F101" t="s">
        <v>15</v>
      </c>
      <c r="G101">
        <f>'NHL2025-26Results'!E96</f>
        <v>1</v>
      </c>
      <c r="H101">
        <f>Table3[[#This Row],[G_1]]-Table3[[#This Row],[G]]</f>
        <v>-2</v>
      </c>
      <c r="I101">
        <f>HomeEdge+VLOOKUP(Table3[[#This Row],[Home]],$A$6:$B$38,2,FALSE)-VLOOKUP(Table3[[#This Row],[Visitor]],$A$6:$B$38,2,FALSE)</f>
        <v>-0.18500844811130132</v>
      </c>
      <c r="J101">
        <f>(Table3[[#This Row],[HomeMargin]]-Table3[[#This Row],[HomeForecast]])^2</f>
        <v>3.2941943334273471</v>
      </c>
    </row>
    <row r="102" spans="4:10" x14ac:dyDescent="0.2">
      <c r="D102" t="s">
        <v>32</v>
      </c>
      <c r="E102">
        <f>'NHL2025-26Results'!C97</f>
        <v>2</v>
      </c>
      <c r="F102" t="s">
        <v>27</v>
      </c>
      <c r="G102">
        <f>'NHL2025-26Results'!E97</f>
        <v>5</v>
      </c>
      <c r="H102">
        <f>Table3[[#This Row],[G_1]]-Table3[[#This Row],[G]]</f>
        <v>3</v>
      </c>
      <c r="I102">
        <f>HomeEdge+VLOOKUP(Table3[[#This Row],[Home]],$A$6:$B$38,2,FALSE)-VLOOKUP(Table3[[#This Row],[Visitor]],$A$6:$B$38,2,FALSE)</f>
        <v>0.31903840069493644</v>
      </c>
      <c r="J102">
        <f>(Table3[[#This Row],[HomeMargin]]-Table3[[#This Row],[HomeForecast]])^2</f>
        <v>7.1875550969483655</v>
      </c>
    </row>
    <row r="103" spans="4:10" x14ac:dyDescent="0.2">
      <c r="D103" t="s">
        <v>25</v>
      </c>
      <c r="E103">
        <f>'NHL2025-26Results'!C98</f>
        <v>1</v>
      </c>
      <c r="F103" t="s">
        <v>20</v>
      </c>
      <c r="G103">
        <f>'NHL2025-26Results'!E98</f>
        <v>4</v>
      </c>
      <c r="H103">
        <f>Table3[[#This Row],[G_1]]-Table3[[#This Row],[G]]</f>
        <v>3</v>
      </c>
      <c r="I103">
        <f>HomeEdge+VLOOKUP(Table3[[#This Row],[Home]],$A$6:$B$38,2,FALSE)-VLOOKUP(Table3[[#This Row],[Visitor]],$A$6:$B$38,2,FALSE)</f>
        <v>-0.62021521872602658</v>
      </c>
      <c r="J103">
        <f>(Table3[[#This Row],[HomeMargin]]-Table3[[#This Row],[HomeForecast]])^2</f>
        <v>13.105958229895533</v>
      </c>
    </row>
    <row r="104" spans="4:10" x14ac:dyDescent="0.2">
      <c r="D104" t="s">
        <v>11</v>
      </c>
      <c r="E104">
        <f>'NHL2025-26Results'!C99</f>
        <v>4</v>
      </c>
      <c r="F104" t="s">
        <v>21</v>
      </c>
      <c r="G104">
        <f>'NHL2025-26Results'!E99</f>
        <v>3</v>
      </c>
      <c r="H104">
        <f>Table3[[#This Row],[G_1]]-Table3[[#This Row],[G]]</f>
        <v>-1</v>
      </c>
      <c r="I104">
        <f>HomeEdge+VLOOKUP(Table3[[#This Row],[Home]],$A$6:$B$38,2,FALSE)-VLOOKUP(Table3[[#This Row],[Visitor]],$A$6:$B$38,2,FALSE)</f>
        <v>0.22724927953953741</v>
      </c>
      <c r="J104">
        <f>(Table3[[#This Row],[HomeMargin]]-Table3[[#This Row],[HomeForecast]])^2</f>
        <v>1.5061407941303135</v>
      </c>
    </row>
    <row r="105" spans="4:10" x14ac:dyDescent="0.2">
      <c r="D105" t="s">
        <v>28</v>
      </c>
      <c r="E105">
        <f>'NHL2025-26Results'!C100</f>
        <v>5</v>
      </c>
      <c r="F105" t="s">
        <v>39</v>
      </c>
      <c r="G105">
        <f>'NHL2025-26Results'!E100</f>
        <v>1</v>
      </c>
      <c r="H105">
        <f>Table3[[#This Row],[G_1]]-Table3[[#This Row],[G]]</f>
        <v>-4</v>
      </c>
      <c r="I105">
        <f>HomeEdge+VLOOKUP(Table3[[#This Row],[Home]],$A$6:$B$38,2,FALSE)-VLOOKUP(Table3[[#This Row],[Visitor]],$A$6:$B$38,2,FALSE)</f>
        <v>1.0583326551288226</v>
      </c>
      <c r="J105">
        <f>(Table3[[#This Row],[HomeMargin]]-Table3[[#This Row],[HomeForecast]])^2</f>
        <v>25.5867292499426</v>
      </c>
    </row>
    <row r="106" spans="4:10" x14ac:dyDescent="0.2">
      <c r="D106" t="s">
        <v>31</v>
      </c>
      <c r="E106">
        <f>'NHL2025-26Results'!C101</f>
        <v>5</v>
      </c>
      <c r="F106" t="s">
        <v>29</v>
      </c>
      <c r="G106">
        <f>'NHL2025-26Results'!E101</f>
        <v>2</v>
      </c>
      <c r="H106">
        <f>Table3[[#This Row],[G_1]]-Table3[[#This Row],[G]]</f>
        <v>-3</v>
      </c>
      <c r="I106">
        <f>HomeEdge+VLOOKUP(Table3[[#This Row],[Home]],$A$6:$B$38,2,FALSE)-VLOOKUP(Table3[[#This Row],[Visitor]],$A$6:$B$38,2,FALSE)</f>
        <v>-1.5137195567261648</v>
      </c>
      <c r="J106">
        <f>(Table3[[#This Row],[HomeMargin]]-Table3[[#This Row],[HomeForecast]])^2</f>
        <v>2.209029556058268</v>
      </c>
    </row>
    <row r="107" spans="4:10" x14ac:dyDescent="0.2">
      <c r="D107" t="s">
        <v>33</v>
      </c>
      <c r="E107">
        <f>'NHL2025-26Results'!C102</f>
        <v>3</v>
      </c>
      <c r="F107" t="s">
        <v>30</v>
      </c>
      <c r="G107">
        <f>'NHL2025-26Results'!E102</f>
        <v>4</v>
      </c>
      <c r="H107">
        <f>Table3[[#This Row],[G_1]]-Table3[[#This Row],[G]]</f>
        <v>1</v>
      </c>
      <c r="I107">
        <f>HomeEdge+VLOOKUP(Table3[[#This Row],[Home]],$A$6:$B$38,2,FALSE)-VLOOKUP(Table3[[#This Row],[Visitor]],$A$6:$B$38,2,FALSE)</f>
        <v>0.26029974386407317</v>
      </c>
      <c r="J107">
        <f>(Table3[[#This Row],[HomeMargin]]-Table3[[#This Row],[HomeForecast]])^2</f>
        <v>0.54715646892755576</v>
      </c>
    </row>
    <row r="108" spans="4:10" x14ac:dyDescent="0.2">
      <c r="D108" t="s">
        <v>17</v>
      </c>
      <c r="E108">
        <f>'NHL2025-26Results'!C103</f>
        <v>3</v>
      </c>
      <c r="F108" t="s">
        <v>36</v>
      </c>
      <c r="G108">
        <f>'NHL2025-26Results'!E103</f>
        <v>2</v>
      </c>
      <c r="H108">
        <f>Table3[[#This Row],[G_1]]-Table3[[#This Row],[G]]</f>
        <v>-1</v>
      </c>
      <c r="I108">
        <f>HomeEdge+VLOOKUP(Table3[[#This Row],[Home]],$A$6:$B$38,2,FALSE)-VLOOKUP(Table3[[#This Row],[Visitor]],$A$6:$B$38,2,FALSE)</f>
        <v>0.33627136229584559</v>
      </c>
      <c r="J108">
        <f>(Table3[[#This Row],[HomeMargin]]-Table3[[#This Row],[HomeForecast]])^2</f>
        <v>1.7856211536919948</v>
      </c>
    </row>
    <row r="109" spans="4:10" x14ac:dyDescent="0.2">
      <c r="D109" t="s">
        <v>38</v>
      </c>
      <c r="E109">
        <f>'NHL2025-26Results'!C104</f>
        <v>1</v>
      </c>
      <c r="F109" t="s">
        <v>14</v>
      </c>
      <c r="G109">
        <f>'NHL2025-26Results'!E104</f>
        <v>5</v>
      </c>
      <c r="H109">
        <f>Table3[[#This Row],[G_1]]-Table3[[#This Row],[G]]</f>
        <v>4</v>
      </c>
      <c r="I109">
        <f>HomeEdge+VLOOKUP(Table3[[#This Row],[Home]],$A$6:$B$38,2,FALSE)-VLOOKUP(Table3[[#This Row],[Visitor]],$A$6:$B$38,2,FALSE)</f>
        <v>0.85531428246847652</v>
      </c>
      <c r="J109">
        <f>(Table3[[#This Row],[HomeMargin]]-Table3[[#This Row],[HomeForecast]])^2</f>
        <v>9.889048262046753</v>
      </c>
    </row>
    <row r="110" spans="4:10" x14ac:dyDescent="0.2">
      <c r="D110" t="s">
        <v>13</v>
      </c>
      <c r="E110">
        <f>'NHL2025-26Results'!C105</f>
        <v>2</v>
      </c>
      <c r="F110" t="s">
        <v>35</v>
      </c>
      <c r="G110">
        <f>'NHL2025-26Results'!E105</f>
        <v>1</v>
      </c>
      <c r="H110">
        <f>Table3[[#This Row],[G_1]]-Table3[[#This Row],[G]]</f>
        <v>-1</v>
      </c>
      <c r="I110">
        <f>HomeEdge+VLOOKUP(Table3[[#This Row],[Home]],$A$6:$B$38,2,FALSE)-VLOOKUP(Table3[[#This Row],[Visitor]],$A$6:$B$38,2,FALSE)</f>
        <v>-1.0062940243473464</v>
      </c>
      <c r="J110">
        <f>(Table3[[#This Row],[HomeMargin]]-Table3[[#This Row],[HomeForecast]])^2</f>
        <v>3.9614742484989063E-5</v>
      </c>
    </row>
    <row r="111" spans="4:10" x14ac:dyDescent="0.2">
      <c r="D111" t="s">
        <v>24</v>
      </c>
      <c r="E111">
        <f>'NHL2025-26Results'!C106</f>
        <v>5</v>
      </c>
      <c r="F111" t="s">
        <v>19</v>
      </c>
      <c r="G111">
        <f>'NHL2025-26Results'!E106</f>
        <v>2</v>
      </c>
      <c r="H111">
        <f>Table3[[#This Row],[G_1]]-Table3[[#This Row],[G]]</f>
        <v>-3</v>
      </c>
      <c r="I111">
        <f>HomeEdge+VLOOKUP(Table3[[#This Row],[Home]],$A$6:$B$38,2,FALSE)-VLOOKUP(Table3[[#This Row],[Visitor]],$A$6:$B$38,2,FALSE)</f>
        <v>-0.58610809316042234</v>
      </c>
      <c r="J111">
        <f>(Table3[[#This Row],[HomeMargin]]-Table3[[#This Row],[HomeForecast]])^2</f>
        <v>5.8268741379056124</v>
      </c>
    </row>
    <row r="112" spans="4:10" x14ac:dyDescent="0.2">
      <c r="D112" t="s">
        <v>12</v>
      </c>
      <c r="E112">
        <f>'NHL2025-26Results'!C107</f>
        <v>3</v>
      </c>
      <c r="F112" t="s">
        <v>55</v>
      </c>
      <c r="G112">
        <f>'NHL2025-26Results'!E107</f>
        <v>4</v>
      </c>
      <c r="H112">
        <f>Table3[[#This Row],[G_1]]-Table3[[#This Row],[G]]</f>
        <v>1</v>
      </c>
      <c r="I112">
        <f>HomeEdge+VLOOKUP(Table3[[#This Row],[Home]],$A$6:$B$38,2,FALSE)-VLOOKUP(Table3[[#This Row],[Visitor]],$A$6:$B$38,2,FALSE)</f>
        <v>-1.9851261985249962</v>
      </c>
      <c r="J112">
        <f>(Table3[[#This Row],[HomeMargin]]-Table3[[#This Row],[HomeForecast]])^2</f>
        <v>8.9109784211202943</v>
      </c>
    </row>
    <row r="113" spans="4:10" x14ac:dyDescent="0.2">
      <c r="D113" t="s">
        <v>32</v>
      </c>
      <c r="E113">
        <f>'NHL2025-26Results'!C108</f>
        <v>1</v>
      </c>
      <c r="F113" t="s">
        <v>22</v>
      </c>
      <c r="G113">
        <f>'NHL2025-26Results'!E108</f>
        <v>4</v>
      </c>
      <c r="H113">
        <f>Table3[[#This Row],[G_1]]-Table3[[#This Row],[G]]</f>
        <v>3</v>
      </c>
      <c r="I113">
        <f>HomeEdge+VLOOKUP(Table3[[#This Row],[Home]],$A$6:$B$38,2,FALSE)-VLOOKUP(Table3[[#This Row],[Visitor]],$A$6:$B$38,2,FALSE)</f>
        <v>1.1399852170550093</v>
      </c>
      <c r="J113">
        <f>(Table3[[#This Row],[HomeMargin]]-Table3[[#This Row],[HomeForecast]])^2</f>
        <v>3.4596549927739009</v>
      </c>
    </row>
    <row r="114" spans="4:10" x14ac:dyDescent="0.2">
      <c r="D114" t="s">
        <v>26</v>
      </c>
      <c r="E114">
        <f>'NHL2025-26Results'!C109</f>
        <v>2</v>
      </c>
      <c r="F114" t="s">
        <v>23</v>
      </c>
      <c r="G114">
        <f>'NHL2025-26Results'!E109</f>
        <v>4</v>
      </c>
      <c r="H114">
        <f>Table3[[#This Row],[G_1]]-Table3[[#This Row],[G]]</f>
        <v>2</v>
      </c>
      <c r="I114">
        <f>HomeEdge+VLOOKUP(Table3[[#This Row],[Home]],$A$6:$B$38,2,FALSE)-VLOOKUP(Table3[[#This Row],[Visitor]],$A$6:$B$38,2,FALSE)</f>
        <v>0.44912987821488226</v>
      </c>
      <c r="J114">
        <f>(Table3[[#This Row],[HomeMargin]]-Table3[[#This Row],[HomeForecast]])^2</f>
        <v>2.405198134645786</v>
      </c>
    </row>
    <row r="115" spans="4:10" x14ac:dyDescent="0.2">
      <c r="D115" t="s">
        <v>18</v>
      </c>
      <c r="E115">
        <f>'NHL2025-26Results'!C110</f>
        <v>2</v>
      </c>
      <c r="F115" t="s">
        <v>16</v>
      </c>
      <c r="G115">
        <f>'NHL2025-26Results'!E110</f>
        <v>1</v>
      </c>
      <c r="H115">
        <f>Table3[[#This Row],[G_1]]-Table3[[#This Row],[G]]</f>
        <v>-1</v>
      </c>
      <c r="I115">
        <f>HomeEdge+VLOOKUP(Table3[[#This Row],[Home]],$A$6:$B$38,2,FALSE)-VLOOKUP(Table3[[#This Row],[Visitor]],$A$6:$B$38,2,FALSE)</f>
        <v>-0.42299090184763322</v>
      </c>
      <c r="J115">
        <f>(Table3[[#This Row],[HomeMargin]]-Table3[[#This Row],[HomeForecast]])^2</f>
        <v>0.33293949935060763</v>
      </c>
    </row>
    <row r="116" spans="4:10" x14ac:dyDescent="0.2">
      <c r="D116" t="s">
        <v>34</v>
      </c>
      <c r="E116">
        <f>'NHL2025-26Results'!C111</f>
        <v>1</v>
      </c>
      <c r="F116" t="s">
        <v>24</v>
      </c>
      <c r="G116">
        <f>'NHL2025-26Results'!E111</f>
        <v>4</v>
      </c>
      <c r="H116">
        <f>Table3[[#This Row],[G_1]]-Table3[[#This Row],[G]]</f>
        <v>3</v>
      </c>
      <c r="I116">
        <f>HomeEdge+VLOOKUP(Table3[[#This Row],[Home]],$A$6:$B$38,2,FALSE)-VLOOKUP(Table3[[#This Row],[Visitor]],$A$6:$B$38,2,FALSE)</f>
        <v>0.10655578713724556</v>
      </c>
      <c r="J116">
        <f>(Table3[[#This Row],[HomeMargin]]-Table3[[#This Row],[HomeForecast]])^2</f>
        <v>8.3720194129489656</v>
      </c>
    </row>
    <row r="117" spans="4:10" x14ac:dyDescent="0.2">
      <c r="D117" t="s">
        <v>31</v>
      </c>
      <c r="E117">
        <f>'NHL2025-26Results'!C112</f>
        <v>7</v>
      </c>
      <c r="F117" t="s">
        <v>21</v>
      </c>
      <c r="G117">
        <f>'NHL2025-26Results'!E112</f>
        <v>5</v>
      </c>
      <c r="H117">
        <f>Table3[[#This Row],[G_1]]-Table3[[#This Row],[G]]</f>
        <v>-2</v>
      </c>
      <c r="I117">
        <f>HomeEdge+VLOOKUP(Table3[[#This Row],[Home]],$A$6:$B$38,2,FALSE)-VLOOKUP(Table3[[#This Row],[Visitor]],$A$6:$B$38,2,FALSE)</f>
        <v>-0.34857203336383547</v>
      </c>
      <c r="J117">
        <f>(Table3[[#This Row],[HomeMargin]]-Table3[[#This Row],[HomeForecast]])^2</f>
        <v>2.7272143289880564</v>
      </c>
    </row>
    <row r="118" spans="4:10" x14ac:dyDescent="0.2">
      <c r="D118" t="s">
        <v>25</v>
      </c>
      <c r="E118">
        <f>'NHL2025-26Results'!C113</f>
        <v>5</v>
      </c>
      <c r="F118" t="s">
        <v>12</v>
      </c>
      <c r="G118">
        <f>'NHL2025-26Results'!E113</f>
        <v>4</v>
      </c>
      <c r="H118">
        <f>Table3[[#This Row],[G_1]]-Table3[[#This Row],[G]]</f>
        <v>-1</v>
      </c>
      <c r="I118">
        <f>HomeEdge+VLOOKUP(Table3[[#This Row],[Home]],$A$6:$B$38,2,FALSE)-VLOOKUP(Table3[[#This Row],[Visitor]],$A$6:$B$38,2,FALSE)</f>
        <v>1.256129270021586</v>
      </c>
      <c r="J118">
        <f>(Table3[[#This Row],[HomeMargin]]-Table3[[#This Row],[HomeForecast]])^2</f>
        <v>5.0901192830481348</v>
      </c>
    </row>
    <row r="119" spans="4:10" x14ac:dyDescent="0.2">
      <c r="D119" t="s">
        <v>13</v>
      </c>
      <c r="E119">
        <f>'NHL2025-26Results'!C114</f>
        <v>3</v>
      </c>
      <c r="F119" t="s">
        <v>39</v>
      </c>
      <c r="G119">
        <f>'NHL2025-26Results'!E114</f>
        <v>2</v>
      </c>
      <c r="H119">
        <f>Table3[[#This Row],[G_1]]-Table3[[#This Row],[G]]</f>
        <v>-1</v>
      </c>
      <c r="I119">
        <f>HomeEdge+VLOOKUP(Table3[[#This Row],[Home]],$A$6:$B$38,2,FALSE)-VLOOKUP(Table3[[#This Row],[Visitor]],$A$6:$B$38,2,FALSE)</f>
        <v>0.80162684945549589</v>
      </c>
      <c r="J119">
        <f>(Table3[[#This Row],[HomeMargin]]-Table3[[#This Row],[HomeForecast]])^2</f>
        <v>3.2458593046789361</v>
      </c>
    </row>
    <row r="120" spans="4:10" x14ac:dyDescent="0.2">
      <c r="D120" t="s">
        <v>18</v>
      </c>
      <c r="E120">
        <f>'NHL2025-26Results'!C115</f>
        <v>5</v>
      </c>
      <c r="F120" t="s">
        <v>17</v>
      </c>
      <c r="G120">
        <f>'NHL2025-26Results'!E115</f>
        <v>6</v>
      </c>
      <c r="H120">
        <f>Table3[[#This Row],[G_1]]-Table3[[#This Row],[G]]</f>
        <v>1</v>
      </c>
      <c r="I120">
        <f>HomeEdge+VLOOKUP(Table3[[#This Row],[Home]],$A$6:$B$38,2,FALSE)-VLOOKUP(Table3[[#This Row],[Visitor]],$A$6:$B$38,2,FALSE)</f>
        <v>-0.17495628704053412</v>
      </c>
      <c r="J120">
        <f>(Table3[[#This Row],[HomeMargin]]-Table3[[#This Row],[HomeForecast]])^2</f>
        <v>1.3805222764560781</v>
      </c>
    </row>
    <row r="121" spans="4:10" x14ac:dyDescent="0.2">
      <c r="D121" t="s">
        <v>14</v>
      </c>
      <c r="E121">
        <f>'NHL2025-26Results'!C116</f>
        <v>5</v>
      </c>
      <c r="F121" t="s">
        <v>11</v>
      </c>
      <c r="G121">
        <f>'NHL2025-26Results'!E116</f>
        <v>3</v>
      </c>
      <c r="H121">
        <f>Table3[[#This Row],[G_1]]-Table3[[#This Row],[G]]</f>
        <v>-2</v>
      </c>
      <c r="I121">
        <f>HomeEdge+VLOOKUP(Table3[[#This Row],[Home]],$A$6:$B$38,2,FALSE)-VLOOKUP(Table3[[#This Row],[Visitor]],$A$6:$B$38,2,FALSE)</f>
        <v>-0.20495332057545404</v>
      </c>
      <c r="J121">
        <f>(Table3[[#This Row],[HomeMargin]]-Table3[[#This Row],[HomeForecast]])^2</f>
        <v>3.2221925813130885</v>
      </c>
    </row>
    <row r="122" spans="4:10" x14ac:dyDescent="0.2">
      <c r="D122" t="s">
        <v>38</v>
      </c>
      <c r="E122">
        <f>'NHL2025-26Results'!C117</f>
        <v>1</v>
      </c>
      <c r="F122" t="s">
        <v>29</v>
      </c>
      <c r="G122">
        <f>'NHL2025-26Results'!E117</f>
        <v>2</v>
      </c>
      <c r="H122">
        <f>Table3[[#This Row],[G_1]]-Table3[[#This Row],[G]]</f>
        <v>1</v>
      </c>
      <c r="I122">
        <f>HomeEdge+VLOOKUP(Table3[[#This Row],[Home]],$A$6:$B$38,2,FALSE)-VLOOKUP(Table3[[#This Row],[Visitor]],$A$6:$B$38,2,FALSE)</f>
        <v>-0.38733877977609443</v>
      </c>
      <c r="J122">
        <f>(Table3[[#This Row],[HomeMargin]]-Table3[[#This Row],[HomeForecast]])^2</f>
        <v>1.9247088898706231</v>
      </c>
    </row>
    <row r="123" spans="4:10" x14ac:dyDescent="0.2">
      <c r="D123" t="s">
        <v>26</v>
      </c>
      <c r="E123">
        <f>'NHL2025-26Results'!C118</f>
        <v>2</v>
      </c>
      <c r="F123" t="s">
        <v>30</v>
      </c>
      <c r="G123">
        <f>'NHL2025-26Results'!E118</f>
        <v>7</v>
      </c>
      <c r="H123">
        <f>Table3[[#This Row],[G_1]]-Table3[[#This Row],[G]]</f>
        <v>5</v>
      </c>
      <c r="I123">
        <f>HomeEdge+VLOOKUP(Table3[[#This Row],[Home]],$A$6:$B$38,2,FALSE)-VLOOKUP(Table3[[#This Row],[Visitor]],$A$6:$B$38,2,FALSE)</f>
        <v>0.68430831651413926</v>
      </c>
      <c r="J123">
        <f>(Table3[[#This Row],[HomeMargin]]-Table3[[#This Row],[HomeForecast]])^2</f>
        <v>18.625194706909024</v>
      </c>
    </row>
    <row r="124" spans="4:10" x14ac:dyDescent="0.2">
      <c r="D124" t="s">
        <v>33</v>
      </c>
      <c r="E124">
        <f>'NHL2025-26Results'!C119</f>
        <v>6</v>
      </c>
      <c r="F124" t="s">
        <v>15</v>
      </c>
      <c r="G124">
        <f>'NHL2025-26Results'!E119</f>
        <v>5</v>
      </c>
      <c r="H124">
        <f>Table3[[#This Row],[G_1]]-Table3[[#This Row],[G]]</f>
        <v>-1</v>
      </c>
      <c r="I124">
        <f>HomeEdge+VLOOKUP(Table3[[#This Row],[Home]],$A$6:$B$38,2,FALSE)-VLOOKUP(Table3[[#This Row],[Visitor]],$A$6:$B$38,2,FALSE)</f>
        <v>0.21119775682146322</v>
      </c>
      <c r="J124">
        <f>(Table3[[#This Row],[HomeMargin]]-Table3[[#This Row],[HomeForecast]])^2</f>
        <v>1.4670000061293442</v>
      </c>
    </row>
    <row r="125" spans="4:10" x14ac:dyDescent="0.2">
      <c r="D125" t="s">
        <v>27</v>
      </c>
      <c r="E125">
        <f>'NHL2025-26Results'!C120</f>
        <v>1</v>
      </c>
      <c r="F125" t="s">
        <v>36</v>
      </c>
      <c r="G125">
        <f>'NHL2025-26Results'!E120</f>
        <v>2</v>
      </c>
      <c r="H125">
        <f>Table3[[#This Row],[G_1]]-Table3[[#This Row],[G]]</f>
        <v>1</v>
      </c>
      <c r="I125">
        <f>HomeEdge+VLOOKUP(Table3[[#This Row],[Home]],$A$6:$B$38,2,FALSE)-VLOOKUP(Table3[[#This Row],[Visitor]],$A$6:$B$38,2,FALSE)</f>
        <v>-0.10123571843536011</v>
      </c>
      <c r="J125">
        <f>(Table3[[#This Row],[HomeMargin]]-Table3[[#This Row],[HomeForecast]])^2</f>
        <v>1.2127201075578435</v>
      </c>
    </row>
    <row r="126" spans="4:10" x14ac:dyDescent="0.2">
      <c r="D126" t="s">
        <v>55</v>
      </c>
      <c r="E126">
        <f>'NHL2025-26Results'!C121</f>
        <v>7</v>
      </c>
      <c r="F126" t="s">
        <v>35</v>
      </c>
      <c r="G126">
        <f>'NHL2025-26Results'!E121</f>
        <v>4</v>
      </c>
      <c r="H126">
        <f>Table3[[#This Row],[G_1]]-Table3[[#This Row],[G]]</f>
        <v>-3</v>
      </c>
      <c r="I126">
        <f>HomeEdge+VLOOKUP(Table3[[#This Row],[Home]],$A$6:$B$38,2,FALSE)-VLOOKUP(Table3[[#This Row],[Visitor]],$A$6:$B$38,2,FALSE)</f>
        <v>-0.94145433400337764</v>
      </c>
      <c r="J126">
        <f>(Table3[[#This Row],[HomeMargin]]-Table3[[#This Row],[HomeForecast]])^2</f>
        <v>4.2376102589934774</v>
      </c>
    </row>
    <row r="127" spans="4:10" x14ac:dyDescent="0.2">
      <c r="D127" t="s">
        <v>10</v>
      </c>
      <c r="E127">
        <f>'NHL2025-26Results'!C122</f>
        <v>3</v>
      </c>
      <c r="F127" t="s">
        <v>37</v>
      </c>
      <c r="G127">
        <f>'NHL2025-26Results'!E122</f>
        <v>2</v>
      </c>
      <c r="H127">
        <f>Table3[[#This Row],[G_1]]-Table3[[#This Row],[G]]</f>
        <v>-1</v>
      </c>
      <c r="I127">
        <f>HomeEdge+VLOOKUP(Table3[[#This Row],[Home]],$A$6:$B$38,2,FALSE)-VLOOKUP(Table3[[#This Row],[Visitor]],$A$6:$B$38,2,FALSE)</f>
        <v>0.73660195085408042</v>
      </c>
      <c r="J127">
        <f>(Table3[[#This Row],[HomeMargin]]-Table3[[#This Row],[HomeForecast]])^2</f>
        <v>3.0157863357101982</v>
      </c>
    </row>
    <row r="128" spans="4:10" x14ac:dyDescent="0.2">
      <c r="D128" t="s">
        <v>32</v>
      </c>
      <c r="E128">
        <f>'NHL2025-26Results'!C123</f>
        <v>3</v>
      </c>
      <c r="F128" t="s">
        <v>40</v>
      </c>
      <c r="G128">
        <f>'NHL2025-26Results'!E123</f>
        <v>0</v>
      </c>
      <c r="H128">
        <f>Table3[[#This Row],[G_1]]-Table3[[#This Row],[G]]</f>
        <v>-3</v>
      </c>
      <c r="I128">
        <f>HomeEdge+VLOOKUP(Table3[[#This Row],[Home]],$A$6:$B$38,2,FALSE)-VLOOKUP(Table3[[#This Row],[Visitor]],$A$6:$B$38,2,FALSE)</f>
        <v>0.38603616041846089</v>
      </c>
      <c r="J128">
        <f>(Table3[[#This Row],[HomeMargin]]-Table3[[#This Row],[HomeForecast]])^2</f>
        <v>11.465240879661394</v>
      </c>
    </row>
    <row r="129" spans="4:10" x14ac:dyDescent="0.2">
      <c r="D129" t="s">
        <v>19</v>
      </c>
      <c r="E129">
        <f>'NHL2025-26Results'!C124</f>
        <v>3</v>
      </c>
      <c r="F129" t="s">
        <v>23</v>
      </c>
      <c r="G129">
        <f>'NHL2025-26Results'!E124</f>
        <v>5</v>
      </c>
      <c r="H129">
        <f>Table3[[#This Row],[G_1]]-Table3[[#This Row],[G]]</f>
        <v>2</v>
      </c>
      <c r="I129">
        <f>HomeEdge+VLOOKUP(Table3[[#This Row],[Home]],$A$6:$B$38,2,FALSE)-VLOOKUP(Table3[[#This Row],[Visitor]],$A$6:$B$38,2,FALSE)</f>
        <v>0.20826890450155333</v>
      </c>
      <c r="J129">
        <f>(Table3[[#This Row],[HomeMargin]]-Table3[[#This Row],[HomeForecast]])^2</f>
        <v>3.2103003185760639</v>
      </c>
    </row>
    <row r="130" spans="4:10" x14ac:dyDescent="0.2">
      <c r="D130" t="s">
        <v>22</v>
      </c>
      <c r="E130">
        <f>'NHL2025-26Results'!C125</f>
        <v>5</v>
      </c>
      <c r="F130" t="s">
        <v>28</v>
      </c>
      <c r="G130">
        <f>'NHL2025-26Results'!E125</f>
        <v>1</v>
      </c>
      <c r="H130">
        <f>Table3[[#This Row],[G_1]]-Table3[[#This Row],[G]]</f>
        <v>-4</v>
      </c>
      <c r="I130">
        <f>HomeEdge+VLOOKUP(Table3[[#This Row],[Home]],$A$6:$B$38,2,FALSE)-VLOOKUP(Table3[[#This Row],[Visitor]],$A$6:$B$38,2,FALSE)</f>
        <v>-0.98579588828113474</v>
      </c>
      <c r="J130">
        <f>(Table3[[#This Row],[HomeMargin]]-Table3[[#This Row],[HomeForecast]])^2</f>
        <v>9.085426427102913</v>
      </c>
    </row>
    <row r="131" spans="4:10" x14ac:dyDescent="0.2">
      <c r="D131" t="s">
        <v>33</v>
      </c>
      <c r="E131">
        <f>'NHL2025-26Results'!C126</f>
        <v>1</v>
      </c>
      <c r="F131" t="s">
        <v>24</v>
      </c>
      <c r="G131">
        <f>'NHL2025-26Results'!E126</f>
        <v>3</v>
      </c>
      <c r="H131">
        <f>Table3[[#This Row],[G_1]]-Table3[[#This Row],[G]]</f>
        <v>2</v>
      </c>
      <c r="I131">
        <f>HomeEdge+VLOOKUP(Table3[[#This Row],[Home]],$A$6:$B$38,2,FALSE)-VLOOKUP(Table3[[#This Row],[Visitor]],$A$6:$B$38,2,FALSE)</f>
        <v>0.50276199207001016</v>
      </c>
      <c r="J131">
        <f>(Table3[[#This Row],[HomeMargin]]-Table3[[#This Row],[HomeForecast]])^2</f>
        <v>2.2417216523901642</v>
      </c>
    </row>
    <row r="132" spans="4:10" x14ac:dyDescent="0.2">
      <c r="D132" t="s">
        <v>16</v>
      </c>
      <c r="E132">
        <f>'NHL2025-26Results'!C127</f>
        <v>3</v>
      </c>
      <c r="F132" t="s">
        <v>40</v>
      </c>
      <c r="G132">
        <f>'NHL2025-26Results'!E127</f>
        <v>5</v>
      </c>
      <c r="H132">
        <f>Table3[[#This Row],[G_1]]-Table3[[#This Row],[G]]</f>
        <v>2</v>
      </c>
      <c r="I132">
        <f>HomeEdge+VLOOKUP(Table3[[#This Row],[Home]],$A$6:$B$38,2,FALSE)-VLOOKUP(Table3[[#This Row],[Visitor]],$A$6:$B$38,2,FALSE)</f>
        <v>0.80244020418499173</v>
      </c>
      <c r="J132">
        <f>(Table3[[#This Row],[HomeMargin]]-Table3[[#This Row],[HomeForecast]])^2</f>
        <v>1.4341494645524839</v>
      </c>
    </row>
    <row r="133" spans="4:10" x14ac:dyDescent="0.2">
      <c r="D133" t="s">
        <v>12</v>
      </c>
      <c r="E133">
        <f>'NHL2025-26Results'!C128</f>
        <v>2</v>
      </c>
      <c r="F133" t="s">
        <v>21</v>
      </c>
      <c r="G133">
        <f>'NHL2025-26Results'!E128</f>
        <v>3</v>
      </c>
      <c r="H133">
        <f>Table3[[#This Row],[G_1]]-Table3[[#This Row],[G]]</f>
        <v>1</v>
      </c>
      <c r="I133">
        <f>HomeEdge+VLOOKUP(Table3[[#This Row],[Home]],$A$6:$B$38,2,FALSE)-VLOOKUP(Table3[[#This Row],[Visitor]],$A$6:$B$38,2,FALSE)</f>
        <v>-1.8017726699515453</v>
      </c>
      <c r="J133">
        <f>(Table3[[#This Row],[HomeMargin]]-Table3[[#This Row],[HomeForecast]])^2</f>
        <v>7.8499300940874122</v>
      </c>
    </row>
    <row r="134" spans="4:10" x14ac:dyDescent="0.2">
      <c r="D134" t="s">
        <v>25</v>
      </c>
      <c r="E134">
        <f>'NHL2025-26Results'!C129</f>
        <v>2</v>
      </c>
      <c r="F134" t="s">
        <v>39</v>
      </c>
      <c r="G134">
        <f>'NHL2025-26Results'!E129</f>
        <v>3</v>
      </c>
      <c r="H134">
        <f>Table3[[#This Row],[G_1]]-Table3[[#This Row],[G]]</f>
        <v>1</v>
      </c>
      <c r="I134">
        <f>HomeEdge+VLOOKUP(Table3[[#This Row],[Home]],$A$6:$B$38,2,FALSE)-VLOOKUP(Table3[[#This Row],[Visitor]],$A$6:$B$38,2,FALSE)</f>
        <v>3.766811344972959E-2</v>
      </c>
      <c r="J134">
        <f>(Table3[[#This Row],[HomeMargin]]-Table3[[#This Row],[HomeForecast]])^2</f>
        <v>0.92608265987140237</v>
      </c>
    </row>
    <row r="135" spans="4:10" x14ac:dyDescent="0.2">
      <c r="D135" t="s">
        <v>35</v>
      </c>
      <c r="E135">
        <f>'NHL2025-26Results'!C130</f>
        <v>4</v>
      </c>
      <c r="F135" t="s">
        <v>26</v>
      </c>
      <c r="G135">
        <f>'NHL2025-26Results'!E130</f>
        <v>6</v>
      </c>
      <c r="H135">
        <f>Table3[[#This Row],[G_1]]-Table3[[#This Row],[G]]</f>
        <v>2</v>
      </c>
      <c r="I135">
        <f>HomeEdge+VLOOKUP(Table3[[#This Row],[Home]],$A$6:$B$38,2,FALSE)-VLOOKUP(Table3[[#This Row],[Visitor]],$A$6:$B$38,2,FALSE)</f>
        <v>0.56903955583857546</v>
      </c>
      <c r="J135">
        <f>(Table3[[#This Row],[HomeMargin]]-Table3[[#This Row],[HomeForecast]])^2</f>
        <v>2.0476477927546615</v>
      </c>
    </row>
    <row r="136" spans="4:10" x14ac:dyDescent="0.2">
      <c r="D136" t="s">
        <v>20</v>
      </c>
      <c r="E136">
        <f>'NHL2025-26Results'!C131</f>
        <v>0</v>
      </c>
      <c r="F136" t="s">
        <v>11</v>
      </c>
      <c r="G136">
        <f>'NHL2025-26Results'!E131</f>
        <v>3</v>
      </c>
      <c r="H136">
        <f>Table3[[#This Row],[G_1]]-Table3[[#This Row],[G]]</f>
        <v>3</v>
      </c>
      <c r="I136">
        <f>HomeEdge+VLOOKUP(Table3[[#This Row],[Home]],$A$6:$B$38,2,FALSE)-VLOOKUP(Table3[[#This Row],[Visitor]],$A$6:$B$38,2,FALSE)</f>
        <v>-0.10277671182030765</v>
      </c>
      <c r="J136">
        <f>(Table3[[#This Row],[HomeMargin]]-Table3[[#This Row],[HomeForecast]])^2</f>
        <v>9.6272233234144391</v>
      </c>
    </row>
    <row r="137" spans="4:10" x14ac:dyDescent="0.2">
      <c r="D137" t="s">
        <v>55</v>
      </c>
      <c r="E137">
        <f>'NHL2025-26Results'!C132</f>
        <v>6</v>
      </c>
      <c r="F137" t="s">
        <v>34</v>
      </c>
      <c r="G137">
        <f>'NHL2025-26Results'!E132</f>
        <v>2</v>
      </c>
      <c r="H137">
        <f>Table3[[#This Row],[G_1]]-Table3[[#This Row],[G]]</f>
        <v>-4</v>
      </c>
      <c r="I137">
        <f>HomeEdge+VLOOKUP(Table3[[#This Row],[Home]],$A$6:$B$38,2,FALSE)-VLOOKUP(Table3[[#This Row],[Visitor]],$A$6:$B$38,2,FALSE)</f>
        <v>0.39789925049486613</v>
      </c>
      <c r="J137">
        <f>(Table3[[#This Row],[HomeMargin]]-Table3[[#This Row],[HomeForecast]])^2</f>
        <v>19.341517817503309</v>
      </c>
    </row>
    <row r="138" spans="4:10" x14ac:dyDescent="0.2">
      <c r="D138" t="s">
        <v>13</v>
      </c>
      <c r="E138">
        <f>'NHL2025-26Results'!C133</f>
        <v>4</v>
      </c>
      <c r="F138" t="s">
        <v>29</v>
      </c>
      <c r="G138">
        <f>'NHL2025-26Results'!E133</f>
        <v>5</v>
      </c>
      <c r="H138">
        <f>Table3[[#This Row],[G_1]]-Table3[[#This Row],[G]]</f>
        <v>1</v>
      </c>
      <c r="I138">
        <f>HomeEdge+VLOOKUP(Table3[[#This Row],[Home]],$A$6:$B$38,2,FALSE)-VLOOKUP(Table3[[#This Row],[Visitor]],$A$6:$B$38,2,FALSE)</f>
        <v>-0.99673293620968484</v>
      </c>
      <c r="J138">
        <f>(Table3[[#This Row],[HomeMargin]]-Table3[[#This Row],[HomeForecast]])^2</f>
        <v>3.9869424185445492</v>
      </c>
    </row>
    <row r="139" spans="4:10" x14ac:dyDescent="0.2">
      <c r="D139" t="s">
        <v>30</v>
      </c>
      <c r="E139">
        <f>'NHL2025-26Results'!C134</f>
        <v>3</v>
      </c>
      <c r="F139" t="s">
        <v>27</v>
      </c>
      <c r="G139">
        <f>'NHL2025-26Results'!E134</f>
        <v>4</v>
      </c>
      <c r="H139">
        <f>Table3[[#This Row],[G_1]]-Table3[[#This Row],[G]]</f>
        <v>1</v>
      </c>
      <c r="I139">
        <f>HomeEdge+VLOOKUP(Table3[[#This Row],[Home]],$A$6:$B$38,2,FALSE)-VLOOKUP(Table3[[#This Row],[Visitor]],$A$6:$B$38,2,FALSE)</f>
        <v>-8.9406837141820905E-2</v>
      </c>
      <c r="J139">
        <f>(Table3[[#This Row],[HomeMargin]]-Table3[[#This Row],[HomeForecast]])^2</f>
        <v>1.1868072568113457</v>
      </c>
    </row>
    <row r="140" spans="4:10" x14ac:dyDescent="0.2">
      <c r="D140" t="s">
        <v>28</v>
      </c>
      <c r="E140">
        <f>'NHL2025-26Results'!C135</f>
        <v>5</v>
      </c>
      <c r="F140" t="s">
        <v>14</v>
      </c>
      <c r="G140">
        <f>'NHL2025-26Results'!E135</f>
        <v>4</v>
      </c>
      <c r="H140">
        <f>Table3[[#This Row],[G_1]]-Table3[[#This Row],[G]]</f>
        <v>-1</v>
      </c>
      <c r="I140">
        <f>HomeEdge+VLOOKUP(Table3[[#This Row],[Home]],$A$6:$B$38,2,FALSE)-VLOOKUP(Table3[[#This Row],[Visitor]],$A$6:$B$38,2,FALSE)</f>
        <v>0.50262593170821268</v>
      </c>
      <c r="J140">
        <f>(Table3[[#This Row],[HomeMargin]]-Table3[[#This Row],[HomeForecast]])^2</f>
        <v>2.2578846906419741</v>
      </c>
    </row>
    <row r="141" spans="4:10" x14ac:dyDescent="0.2">
      <c r="D141" t="s">
        <v>17</v>
      </c>
      <c r="E141">
        <f>'NHL2025-26Results'!C136</f>
        <v>2</v>
      </c>
      <c r="F141" t="s">
        <v>32</v>
      </c>
      <c r="G141">
        <f>'NHL2025-26Results'!E136</f>
        <v>3</v>
      </c>
      <c r="H141">
        <f>Table3[[#This Row],[G_1]]-Table3[[#This Row],[G]]</f>
        <v>1</v>
      </c>
      <c r="I141">
        <f>HomeEdge+VLOOKUP(Table3[[#This Row],[Home]],$A$6:$B$38,2,FALSE)-VLOOKUP(Table3[[#This Row],[Visitor]],$A$6:$B$38,2,FALSE)</f>
        <v>0.21827017788259417</v>
      </c>
      <c r="J141">
        <f>(Table3[[#This Row],[HomeMargin]]-Table3[[#This Row],[HomeForecast]])^2</f>
        <v>0.61110151478771091</v>
      </c>
    </row>
    <row r="142" spans="4:10" x14ac:dyDescent="0.2">
      <c r="D142" t="s">
        <v>31</v>
      </c>
      <c r="E142">
        <f>'NHL2025-26Results'!C137</f>
        <v>3</v>
      </c>
      <c r="F142" t="s">
        <v>37</v>
      </c>
      <c r="G142">
        <f>'NHL2025-26Results'!E137</f>
        <v>4</v>
      </c>
      <c r="H142">
        <f>Table3[[#This Row],[G_1]]-Table3[[#This Row],[G]]</f>
        <v>1</v>
      </c>
      <c r="I142">
        <f>HomeEdge+VLOOKUP(Table3[[#This Row],[Home]],$A$6:$B$38,2,FALSE)-VLOOKUP(Table3[[#This Row],[Visitor]],$A$6:$B$38,2,FALSE)</f>
        <v>0.38170267383050044</v>
      </c>
      <c r="J142">
        <f>(Table3[[#This Row],[HomeMargin]]-Table3[[#This Row],[HomeForecast]])^2</f>
        <v>0.38229158354835246</v>
      </c>
    </row>
    <row r="143" spans="4:10" x14ac:dyDescent="0.2">
      <c r="D143" t="s">
        <v>23</v>
      </c>
      <c r="E143">
        <f>'NHL2025-26Results'!C138</f>
        <v>3</v>
      </c>
      <c r="F143" t="s">
        <v>19</v>
      </c>
      <c r="G143">
        <f>'NHL2025-26Results'!E138</f>
        <v>4</v>
      </c>
      <c r="H143">
        <f>Table3[[#This Row],[G_1]]-Table3[[#This Row],[G]]</f>
        <v>1</v>
      </c>
      <c r="I143">
        <f>HomeEdge+VLOOKUP(Table3[[#This Row],[Home]],$A$6:$B$38,2,FALSE)-VLOOKUP(Table3[[#This Row],[Visitor]],$A$6:$B$38,2,FALSE)</f>
        <v>-0.10846740665522842</v>
      </c>
      <c r="J143">
        <f>(Table3[[#This Row],[HomeMargin]]-Table3[[#This Row],[HomeForecast]])^2</f>
        <v>1.2286999916169676</v>
      </c>
    </row>
    <row r="144" spans="4:10" x14ac:dyDescent="0.2">
      <c r="D144" t="s">
        <v>18</v>
      </c>
      <c r="E144">
        <f>'NHL2025-26Results'!C139</f>
        <v>4</v>
      </c>
      <c r="F144" t="s">
        <v>38</v>
      </c>
      <c r="G144">
        <f>'NHL2025-26Results'!E139</f>
        <v>3</v>
      </c>
      <c r="H144">
        <f>Table3[[#This Row],[G_1]]-Table3[[#This Row],[G]]</f>
        <v>-1</v>
      </c>
      <c r="I144">
        <f>HomeEdge+VLOOKUP(Table3[[#This Row],[Home]],$A$6:$B$38,2,FALSE)-VLOOKUP(Table3[[#This Row],[Visitor]],$A$6:$B$38,2,FALSE)</f>
        <v>-0.30488737791381648</v>
      </c>
      <c r="J144">
        <f>(Table3[[#This Row],[HomeMargin]]-Table3[[#This Row],[HomeForecast]])^2</f>
        <v>0.48318155738352941</v>
      </c>
    </row>
    <row r="145" spans="4:10" x14ac:dyDescent="0.2">
      <c r="D145" t="s">
        <v>36</v>
      </c>
      <c r="E145">
        <f>'NHL2025-26Results'!C140</f>
        <v>7</v>
      </c>
      <c r="F145" t="s">
        <v>22</v>
      </c>
      <c r="G145">
        <f>'NHL2025-26Results'!E140</f>
        <v>1</v>
      </c>
      <c r="H145">
        <f>Table3[[#This Row],[G_1]]-Table3[[#This Row],[G]]</f>
        <v>-6</v>
      </c>
      <c r="I145">
        <f>HomeEdge+VLOOKUP(Table3[[#This Row],[Home]],$A$6:$B$38,2,FALSE)-VLOOKUP(Table3[[#This Row],[Visitor]],$A$6:$B$38,2,FALSE)</f>
        <v>1.021984032641758</v>
      </c>
      <c r="J145">
        <f>(Table3[[#This Row],[HomeMargin]]-Table3[[#This Row],[HomeForecast]])^2</f>
        <v>49.308259754675802</v>
      </c>
    </row>
    <row r="146" spans="4:10" x14ac:dyDescent="0.2">
      <c r="D146" t="s">
        <v>15</v>
      </c>
      <c r="E146">
        <f>'NHL2025-26Results'!C141</f>
        <v>1</v>
      </c>
      <c r="F146" t="s">
        <v>16</v>
      </c>
      <c r="G146">
        <f>'NHL2025-26Results'!E141</f>
        <v>5</v>
      </c>
      <c r="H146">
        <f>Table3[[#This Row],[G_1]]-Table3[[#This Row],[G]]</f>
        <v>4</v>
      </c>
      <c r="I146">
        <f>HomeEdge+VLOOKUP(Table3[[#This Row],[Home]],$A$6:$B$38,2,FALSE)-VLOOKUP(Table3[[#This Row],[Visitor]],$A$6:$B$38,2,FALSE)</f>
        <v>-0.72584654563751583</v>
      </c>
      <c r="J146">
        <f>(Table3[[#This Row],[HomeMargin]]-Table3[[#This Row],[HomeForecast]])^2</f>
        <v>22.333625572914045</v>
      </c>
    </row>
    <row r="147" spans="4:10" x14ac:dyDescent="0.2">
      <c r="D147" t="s">
        <v>13</v>
      </c>
      <c r="E147">
        <f>'NHL2025-26Results'!C142</f>
        <v>3</v>
      </c>
      <c r="F147" t="s">
        <v>10</v>
      </c>
      <c r="G147">
        <f>'NHL2025-26Results'!E142</f>
        <v>1</v>
      </c>
      <c r="H147">
        <f>Table3[[#This Row],[G_1]]-Table3[[#This Row],[G]]</f>
        <v>-2</v>
      </c>
      <c r="I147">
        <f>HomeEdge+VLOOKUP(Table3[[#This Row],[Home]],$A$6:$B$38,2,FALSE)-VLOOKUP(Table3[[#This Row],[Visitor]],$A$6:$B$38,2,FALSE)</f>
        <v>0.21198809241606251</v>
      </c>
      <c r="J147">
        <f>(Table3[[#This Row],[HomeMargin]]-Table3[[#This Row],[HomeForecast]])^2</f>
        <v>4.8928913209904517</v>
      </c>
    </row>
    <row r="148" spans="4:10" x14ac:dyDescent="0.2">
      <c r="D148" t="s">
        <v>33</v>
      </c>
      <c r="E148">
        <f>'NHL2025-26Results'!C143</f>
        <v>6</v>
      </c>
      <c r="F148" t="s">
        <v>34</v>
      </c>
      <c r="G148">
        <f>'NHL2025-26Results'!E143</f>
        <v>5</v>
      </c>
      <c r="H148">
        <f>Table3[[#This Row],[G_1]]-Table3[[#This Row],[G]]</f>
        <v>-1</v>
      </c>
      <c r="I148">
        <f>HomeEdge+VLOOKUP(Table3[[#This Row],[Home]],$A$6:$B$38,2,FALSE)-VLOOKUP(Table3[[#This Row],[Visitor]],$A$6:$B$38,2,FALSE)</f>
        <v>0.44610695385592702</v>
      </c>
      <c r="J148">
        <f>(Table3[[#This Row],[HomeMargin]]-Table3[[#This Row],[HomeForecast]])^2</f>
        <v>2.0912253219904682</v>
      </c>
    </row>
    <row r="149" spans="4:10" x14ac:dyDescent="0.2">
      <c r="D149" t="s">
        <v>12</v>
      </c>
      <c r="E149">
        <f>'NHL2025-26Results'!C144</f>
        <v>3</v>
      </c>
      <c r="F149" t="s">
        <v>24</v>
      </c>
      <c r="G149">
        <f>'NHL2025-26Results'!E144</f>
        <v>4</v>
      </c>
      <c r="H149">
        <f>Table3[[#This Row],[G_1]]-Table3[[#This Row],[G]]</f>
        <v>1</v>
      </c>
      <c r="I149">
        <f>HomeEdge+VLOOKUP(Table3[[#This Row],[Home]],$A$6:$B$38,2,FALSE)-VLOOKUP(Table3[[#This Row],[Visitor]],$A$6:$B$38,2,FALSE)</f>
        <v>-1.5804726587392095</v>
      </c>
      <c r="J149">
        <f>(Table3[[#This Row],[HomeMargin]]-Table3[[#This Row],[HomeForecast]])^2</f>
        <v>6.6588391425006037</v>
      </c>
    </row>
    <row r="150" spans="4:10" x14ac:dyDescent="0.2">
      <c r="D150" t="s">
        <v>39</v>
      </c>
      <c r="E150">
        <f>'NHL2025-26Results'!C145</f>
        <v>3</v>
      </c>
      <c r="F150" t="s">
        <v>29</v>
      </c>
      <c r="G150">
        <f>'NHL2025-26Results'!E145</f>
        <v>2</v>
      </c>
      <c r="H150">
        <f>Table3[[#This Row],[G_1]]-Table3[[#This Row],[G]]</f>
        <v>-1</v>
      </c>
      <c r="I150">
        <f>HomeEdge+VLOOKUP(Table3[[#This Row],[Home]],$A$6:$B$38,2,FALSE)-VLOOKUP(Table3[[#This Row],[Visitor]],$A$6:$B$38,2,FALSE)</f>
        <v>-1.7484590367420183</v>
      </c>
      <c r="J150">
        <f>(Table3[[#This Row],[HomeMargin]]-Table3[[#This Row],[HomeForecast]])^2</f>
        <v>0.56019092968078987</v>
      </c>
    </row>
    <row r="151" spans="4:10" x14ac:dyDescent="0.2">
      <c r="D151" t="s">
        <v>20</v>
      </c>
      <c r="E151">
        <f>'NHL2025-26Results'!C146</f>
        <v>1</v>
      </c>
      <c r="F151" t="s">
        <v>37</v>
      </c>
      <c r="G151">
        <f>'NHL2025-26Results'!E146</f>
        <v>2</v>
      </c>
      <c r="H151">
        <f>Table3[[#This Row],[G_1]]-Table3[[#This Row],[G]]</f>
        <v>1</v>
      </c>
      <c r="I151">
        <f>HomeEdge+VLOOKUP(Table3[[#This Row],[Home]],$A$6:$B$38,2,FALSE)-VLOOKUP(Table3[[#This Row],[Visitor]],$A$6:$B$38,2,FALSE)</f>
        <v>0.80484652599040318</v>
      </c>
      <c r="J151">
        <f>(Table3[[#This Row],[HomeMargin]]-Table3[[#This Row],[HomeForecast]])^2</f>
        <v>3.8084878418014383E-2</v>
      </c>
    </row>
    <row r="152" spans="4:10" x14ac:dyDescent="0.2">
      <c r="D152" t="s">
        <v>17</v>
      </c>
      <c r="E152">
        <f>'NHL2025-26Results'!C147</f>
        <v>3</v>
      </c>
      <c r="F152" t="s">
        <v>38</v>
      </c>
      <c r="G152">
        <f>'NHL2025-26Results'!E147</f>
        <v>4</v>
      </c>
      <c r="H152">
        <f>Table3[[#This Row],[G_1]]-Table3[[#This Row],[G]]</f>
        <v>1</v>
      </c>
      <c r="I152">
        <f>HomeEdge+VLOOKUP(Table3[[#This Row],[Home]],$A$6:$B$38,2,FALSE)-VLOOKUP(Table3[[#This Row],[Visitor]],$A$6:$B$38,2,FALSE)</f>
        <v>-8.0030341950119932E-2</v>
      </c>
      <c r="J152">
        <f>(Table3[[#This Row],[HomeMargin]]-Table3[[#This Row],[HomeForecast]])^2</f>
        <v>1.1664655395328933</v>
      </c>
    </row>
    <row r="153" spans="4:10" x14ac:dyDescent="0.2">
      <c r="D153" t="s">
        <v>55</v>
      </c>
      <c r="E153">
        <f>'NHL2025-26Results'!C148</f>
        <v>3</v>
      </c>
      <c r="F153" t="s">
        <v>40</v>
      </c>
      <c r="G153">
        <f>'NHL2025-26Results'!E148</f>
        <v>2</v>
      </c>
      <c r="H153">
        <f>Table3[[#This Row],[G_1]]-Table3[[#This Row],[G]]</f>
        <v>-1</v>
      </c>
      <c r="I153">
        <f>HomeEdge+VLOOKUP(Table3[[#This Row],[Home]],$A$6:$B$38,2,FALSE)-VLOOKUP(Table3[[#This Row],[Visitor]],$A$6:$B$38,2,FALSE)</f>
        <v>0.1397822141615534</v>
      </c>
      <c r="J153">
        <f>(Table3[[#This Row],[HomeMargin]]-Table3[[#This Row],[HomeForecast]])^2</f>
        <v>1.2991034957190133</v>
      </c>
    </row>
    <row r="154" spans="4:10" x14ac:dyDescent="0.2">
      <c r="D154" t="s">
        <v>21</v>
      </c>
      <c r="E154">
        <f>'NHL2025-26Results'!C149</f>
        <v>2</v>
      </c>
      <c r="F154" t="s">
        <v>36</v>
      </c>
      <c r="G154">
        <f>'NHL2025-26Results'!E149</f>
        <v>7</v>
      </c>
      <c r="H154">
        <f>Table3[[#This Row],[G_1]]-Table3[[#This Row],[G]]</f>
        <v>5</v>
      </c>
      <c r="I154">
        <f>HomeEdge+VLOOKUP(Table3[[#This Row],[Home]],$A$6:$B$38,2,FALSE)-VLOOKUP(Table3[[#This Row],[Visitor]],$A$6:$B$38,2,FALSE)</f>
        <v>-0.26170554149394454</v>
      </c>
      <c r="J154">
        <f>(Table3[[#This Row],[HomeMargin]]-Table3[[#This Row],[HomeForecast]])^2</f>
        <v>27.685545205388088</v>
      </c>
    </row>
    <row r="155" spans="4:10" x14ac:dyDescent="0.2">
      <c r="D155" t="s">
        <v>35</v>
      </c>
      <c r="E155">
        <f>'NHL2025-26Results'!C150</f>
        <v>3</v>
      </c>
      <c r="F155" t="s">
        <v>14</v>
      </c>
      <c r="G155">
        <f>'NHL2025-26Results'!E150</f>
        <v>6</v>
      </c>
      <c r="H155">
        <f>Table3[[#This Row],[G_1]]-Table3[[#This Row],[G]]</f>
        <v>3</v>
      </c>
      <c r="I155">
        <f>HomeEdge+VLOOKUP(Table3[[#This Row],[Home]],$A$6:$B$38,2,FALSE)-VLOOKUP(Table3[[#This Row],[Visitor]],$A$6:$B$38,2,FALSE)</f>
        <v>1.302114899305395</v>
      </c>
      <c r="J155">
        <f>(Table3[[#This Row],[HomeMargin]]-Table3[[#This Row],[HomeForecast]])^2</f>
        <v>2.8828138151607288</v>
      </c>
    </row>
    <row r="156" spans="4:10" x14ac:dyDescent="0.2">
      <c r="D156" t="s">
        <v>30</v>
      </c>
      <c r="E156">
        <f>'NHL2025-26Results'!C151</f>
        <v>2</v>
      </c>
      <c r="F156" t="s">
        <v>21</v>
      </c>
      <c r="G156">
        <f>'NHL2025-26Results'!E151</f>
        <v>5</v>
      </c>
      <c r="H156">
        <f>Table3[[#This Row],[G_1]]-Table3[[#This Row],[G]]</f>
        <v>3</v>
      </c>
      <c r="I156">
        <f>HomeEdge+VLOOKUP(Table3[[#This Row],[Home]],$A$6:$B$38,2,FALSE)-VLOOKUP(Table3[[#This Row],[Visitor]],$A$6:$B$38,2,FALSE)</f>
        <v>7.1062985916763494E-2</v>
      </c>
      <c r="J156">
        <f>(Table3[[#This Row],[HomeMargin]]-Table3[[#This Row],[HomeForecast]])^2</f>
        <v>8.5786720324668266</v>
      </c>
    </row>
    <row r="157" spans="4:10" x14ac:dyDescent="0.2">
      <c r="D157" t="s">
        <v>28</v>
      </c>
      <c r="E157">
        <f>'NHL2025-26Results'!C152</f>
        <v>4</v>
      </c>
      <c r="F157" t="s">
        <v>23</v>
      </c>
      <c r="G157">
        <f>'NHL2025-26Results'!E152</f>
        <v>3</v>
      </c>
      <c r="H157">
        <f>Table3[[#This Row],[G_1]]-Table3[[#This Row],[G]]</f>
        <v>-1</v>
      </c>
      <c r="I157">
        <f>HomeEdge+VLOOKUP(Table3[[#This Row],[Home]],$A$6:$B$38,2,FALSE)-VLOOKUP(Table3[[#This Row],[Visitor]],$A$6:$B$38,2,FALSE)</f>
        <v>0.16877971753311305</v>
      </c>
      <c r="J157">
        <f>(Table3[[#This Row],[HomeMargin]]-Table3[[#This Row],[HomeForecast]])^2</f>
        <v>1.3660460281167839</v>
      </c>
    </row>
    <row r="158" spans="4:10" x14ac:dyDescent="0.2">
      <c r="D158" t="s">
        <v>20</v>
      </c>
      <c r="E158">
        <f>'NHL2025-26Results'!C153</f>
        <v>6</v>
      </c>
      <c r="F158" t="s">
        <v>25</v>
      </c>
      <c r="G158">
        <f>'NHL2025-26Results'!E153</f>
        <v>3</v>
      </c>
      <c r="H158">
        <f>Table3[[#This Row],[G_1]]-Table3[[#This Row],[G]]</f>
        <v>-3</v>
      </c>
      <c r="I158">
        <f>HomeEdge+VLOOKUP(Table3[[#This Row],[Home]],$A$6:$B$38,2,FALSE)-VLOOKUP(Table3[[#This Row],[Visitor]],$A$6:$B$38,2,FALSE)</f>
        <v>0.72001671657235156</v>
      </c>
      <c r="J158">
        <f>(Table3[[#This Row],[HomeMargin]]-Table3[[#This Row],[HomeForecast]])^2</f>
        <v>13.838524371577739</v>
      </c>
    </row>
    <row r="159" spans="4:10" x14ac:dyDescent="0.2">
      <c r="D159" t="s">
        <v>36</v>
      </c>
      <c r="E159">
        <f>'NHL2025-26Results'!C154</f>
        <v>3</v>
      </c>
      <c r="F159" t="s">
        <v>10</v>
      </c>
      <c r="G159">
        <f>'NHL2025-26Results'!E154</f>
        <v>7</v>
      </c>
      <c r="H159">
        <f>Table3[[#This Row],[G_1]]-Table3[[#This Row],[G]]</f>
        <v>4</v>
      </c>
      <c r="I159">
        <f>HomeEdge+VLOOKUP(Table3[[#This Row],[Home]],$A$6:$B$38,2,FALSE)-VLOOKUP(Table3[[#This Row],[Visitor]],$A$6:$B$38,2,FALSE)</f>
        <v>0.40508054460368748</v>
      </c>
      <c r="J159">
        <f>(Table3[[#This Row],[HomeMargin]]-Table3[[#This Row],[HomeForecast]])^2</f>
        <v>12.923445890786921</v>
      </c>
    </row>
    <row r="160" spans="4:10" x14ac:dyDescent="0.2">
      <c r="D160" t="s">
        <v>24</v>
      </c>
      <c r="E160">
        <f>'NHL2025-26Results'!C155</f>
        <v>4</v>
      </c>
      <c r="F160" t="s">
        <v>12</v>
      </c>
      <c r="G160">
        <f>'NHL2025-26Results'!E155</f>
        <v>8</v>
      </c>
      <c r="H160">
        <f>Table3[[#This Row],[G_1]]-Table3[[#This Row],[G]]</f>
        <v>4</v>
      </c>
      <c r="I160">
        <f>HomeEdge+VLOOKUP(Table3[[#This Row],[Home]],$A$6:$B$38,2,FALSE)-VLOOKUP(Table3[[#This Row],[Visitor]],$A$6:$B$38,2,FALSE)</f>
        <v>1.6802741565855344</v>
      </c>
      <c r="J160">
        <f>(Table3[[#This Row],[HomeMargin]]-Table3[[#This Row],[HomeForecast]])^2</f>
        <v>5.3811279886049528</v>
      </c>
    </row>
    <row r="161" spans="4:10" x14ac:dyDescent="0.2">
      <c r="D161" t="s">
        <v>22</v>
      </c>
      <c r="E161">
        <f>'NHL2025-26Results'!C156</f>
        <v>0</v>
      </c>
      <c r="F161" t="s">
        <v>39</v>
      </c>
      <c r="G161">
        <f>'NHL2025-26Results'!E156</f>
        <v>1</v>
      </c>
      <c r="H161">
        <f>Table3[[#This Row],[G_1]]-Table3[[#This Row],[G]]</f>
        <v>1</v>
      </c>
      <c r="I161">
        <f>HomeEdge+VLOOKUP(Table3[[#This Row],[Home]],$A$6:$B$38,2,FALSE)-VLOOKUP(Table3[[#This Row],[Visitor]],$A$6:$B$38,2,FALSE)</f>
        <v>2.2636017924525353E-2</v>
      </c>
      <c r="J161">
        <f>(Table3[[#This Row],[HomeMargin]]-Table3[[#This Row],[HomeForecast]])^2</f>
        <v>0.95524035345842884</v>
      </c>
    </row>
    <row r="162" spans="4:10" x14ac:dyDescent="0.2">
      <c r="D162" t="s">
        <v>55</v>
      </c>
      <c r="E162">
        <f>'NHL2025-26Results'!C157</f>
        <v>3</v>
      </c>
      <c r="F162" t="s">
        <v>17</v>
      </c>
      <c r="G162">
        <f>'NHL2025-26Results'!E157</f>
        <v>6</v>
      </c>
      <c r="H162">
        <f>Table3[[#This Row],[G_1]]-Table3[[#This Row],[G]]</f>
        <v>3</v>
      </c>
      <c r="I162">
        <f>HomeEdge+VLOOKUP(Table3[[#This Row],[Home]],$A$6:$B$38,2,FALSE)-VLOOKUP(Table3[[#This Row],[Visitor]],$A$6:$B$38,2,FALSE)</f>
        <v>-0.36472262629317681</v>
      </c>
      <c r="J162">
        <f>(Table3[[#This Row],[HomeMargin]]-Table3[[#This Row],[HomeForecast]])^2</f>
        <v>11.321358351889254</v>
      </c>
    </row>
    <row r="163" spans="4:10" x14ac:dyDescent="0.2">
      <c r="D163" t="s">
        <v>31</v>
      </c>
      <c r="E163">
        <f>'NHL2025-26Results'!C158</f>
        <v>3</v>
      </c>
      <c r="F163" t="s">
        <v>11</v>
      </c>
      <c r="G163">
        <f>'NHL2025-26Results'!E158</f>
        <v>2</v>
      </c>
      <c r="H163">
        <f>Table3[[#This Row],[G_1]]-Table3[[#This Row],[G]]</f>
        <v>-1</v>
      </c>
      <c r="I163">
        <f>HomeEdge+VLOOKUP(Table3[[#This Row],[Home]],$A$6:$B$38,2,FALSE)-VLOOKUP(Table3[[#This Row],[Visitor]],$A$6:$B$38,2,FALSE)</f>
        <v>-0.52592056398021036</v>
      </c>
      <c r="J163">
        <f>(Table3[[#This Row],[HomeMargin]]-Table3[[#This Row],[HomeForecast]])^2</f>
        <v>0.22475131165684181</v>
      </c>
    </row>
    <row r="164" spans="4:10" x14ac:dyDescent="0.2">
      <c r="D164" t="s">
        <v>40</v>
      </c>
      <c r="E164">
        <f>'NHL2025-26Results'!C159</f>
        <v>4</v>
      </c>
      <c r="F164" t="s">
        <v>34</v>
      </c>
      <c r="G164">
        <f>'NHL2025-26Results'!E159</f>
        <v>3</v>
      </c>
      <c r="H164">
        <f>Table3[[#This Row],[G_1]]-Table3[[#This Row],[G]]</f>
        <v>-1</v>
      </c>
      <c r="I164">
        <f>HomeEdge+VLOOKUP(Table3[[#This Row],[Home]],$A$6:$B$38,2,FALSE)-VLOOKUP(Table3[[#This Row],[Visitor]],$A$6:$B$38,2,FALSE)</f>
        <v>0.30801778525647522</v>
      </c>
      <c r="J164">
        <f>(Table3[[#This Row],[HomeMargin]]-Table3[[#This Row],[HomeForecast]])^2</f>
        <v>1.7109105265472544</v>
      </c>
    </row>
    <row r="165" spans="4:10" x14ac:dyDescent="0.2">
      <c r="D165" t="s">
        <v>37</v>
      </c>
      <c r="E165">
        <f>'NHL2025-26Results'!C160</f>
        <v>5</v>
      </c>
      <c r="F165" t="s">
        <v>29</v>
      </c>
      <c r="G165">
        <f>'NHL2025-26Results'!E160</f>
        <v>2</v>
      </c>
      <c r="H165">
        <f>Table3[[#This Row],[G_1]]-Table3[[#This Row],[G]]</f>
        <v>-3</v>
      </c>
      <c r="I165">
        <f>HomeEdge+VLOOKUP(Table3[[#This Row],[Home]],$A$6:$B$38,2,FALSE)-VLOOKUP(Table3[[#This Row],[Visitor]],$A$6:$B$38,2,FALSE)</f>
        <v>-1.8455214816335028</v>
      </c>
      <c r="J165">
        <f>(Table3[[#This Row],[HomeMargin]]-Table3[[#This Row],[HomeForecast]])^2</f>
        <v>1.3328206493697026</v>
      </c>
    </row>
    <row r="166" spans="4:10" x14ac:dyDescent="0.2">
      <c r="D166" t="s">
        <v>14</v>
      </c>
      <c r="E166">
        <f>'NHL2025-26Results'!C161</f>
        <v>2</v>
      </c>
      <c r="F166" t="s">
        <v>27</v>
      </c>
      <c r="G166">
        <f>'NHL2025-26Results'!E161</f>
        <v>3</v>
      </c>
      <c r="H166">
        <f>Table3[[#This Row],[G_1]]-Table3[[#This Row],[G]]</f>
        <v>1</v>
      </c>
      <c r="I166">
        <f>HomeEdge+VLOOKUP(Table3[[#This Row],[Home]],$A$6:$B$38,2,FALSE)-VLOOKUP(Table3[[#This Row],[Visitor]],$A$6:$B$38,2,FALSE)</f>
        <v>-0.18807461301766351</v>
      </c>
      <c r="J166">
        <f>(Table3[[#This Row],[HomeMargin]]-Table3[[#This Row],[HomeForecast]])^2</f>
        <v>1.4115212860970712</v>
      </c>
    </row>
    <row r="167" spans="4:10" x14ac:dyDescent="0.2">
      <c r="D167" t="s">
        <v>18</v>
      </c>
      <c r="E167">
        <f>'NHL2025-26Results'!C162</f>
        <v>4</v>
      </c>
      <c r="F167" t="s">
        <v>32</v>
      </c>
      <c r="G167">
        <f>'NHL2025-26Results'!E162</f>
        <v>3</v>
      </c>
      <c r="H167">
        <f>Table3[[#This Row],[G_1]]-Table3[[#This Row],[G]]</f>
        <v>-1</v>
      </c>
      <c r="I167">
        <f>HomeEdge+VLOOKUP(Table3[[#This Row],[Home]],$A$6:$B$38,2,FALSE)-VLOOKUP(Table3[[#This Row],[Visitor]],$A$6:$B$38,2,FALSE)</f>
        <v>-6.5868580811023758E-3</v>
      </c>
      <c r="J167">
        <f>(Table3[[#This Row],[HomeMargin]]-Table3[[#This Row],[HomeForecast]])^2</f>
        <v>0.98686967053717578</v>
      </c>
    </row>
    <row r="168" spans="4:10" x14ac:dyDescent="0.2">
      <c r="D168" t="s">
        <v>13</v>
      </c>
      <c r="E168">
        <f>'NHL2025-26Results'!C163</f>
        <v>4</v>
      </c>
      <c r="F168" t="s">
        <v>33</v>
      </c>
      <c r="G168">
        <f>'NHL2025-26Results'!E163</f>
        <v>3</v>
      </c>
      <c r="H168">
        <f>Table3[[#This Row],[G_1]]-Table3[[#This Row],[G]]</f>
        <v>-1</v>
      </c>
      <c r="I168">
        <f>HomeEdge+VLOOKUP(Table3[[#This Row],[Home]],$A$6:$B$38,2,FALSE)-VLOOKUP(Table3[[#This Row],[Visitor]],$A$6:$B$38,2,FALSE)</f>
        <v>-6.3146644781867212E-2</v>
      </c>
      <c r="J168">
        <f>(Table3[[#This Row],[HomeMargin]]-Table3[[#This Row],[HomeForecast]])^2</f>
        <v>0.87769420918347296</v>
      </c>
    </row>
    <row r="169" spans="4:10" x14ac:dyDescent="0.2">
      <c r="D169" t="s">
        <v>26</v>
      </c>
      <c r="E169">
        <f>'NHL2025-26Results'!C164</f>
        <v>5</v>
      </c>
      <c r="F169" t="s">
        <v>35</v>
      </c>
      <c r="G169">
        <f>'NHL2025-26Results'!E164</f>
        <v>2</v>
      </c>
      <c r="H169">
        <f>Table3[[#This Row],[G_1]]-Table3[[#This Row],[G]]</f>
        <v>-3</v>
      </c>
      <c r="I169">
        <f>HomeEdge+VLOOKUP(Table3[[#This Row],[Home]],$A$6:$B$38,2,FALSE)-VLOOKUP(Table3[[#This Row],[Visitor]],$A$6:$B$38,2,FALSE)</f>
        <v>-0.4692380579922506</v>
      </c>
      <c r="J169">
        <f>(Table3[[#This Row],[HomeMargin]]-Table3[[#This Row],[HomeForecast]])^2</f>
        <v>6.4047560071148339</v>
      </c>
    </row>
    <row r="170" spans="4:10" x14ac:dyDescent="0.2">
      <c r="D170" t="s">
        <v>16</v>
      </c>
      <c r="E170">
        <f>'NHL2025-26Results'!C165</f>
        <v>3</v>
      </c>
      <c r="F170" t="s">
        <v>19</v>
      </c>
      <c r="G170">
        <f>'NHL2025-26Results'!E165</f>
        <v>4</v>
      </c>
      <c r="H170">
        <f>Table3[[#This Row],[G_1]]-Table3[[#This Row],[G]]</f>
        <v>1</v>
      </c>
      <c r="I170">
        <f>HomeEdge+VLOOKUP(Table3[[#This Row],[Home]],$A$6:$B$38,2,FALSE)-VLOOKUP(Table3[[#This Row],[Visitor]],$A$6:$B$38,2,FALSE)</f>
        <v>0.48120343664880272</v>
      </c>
      <c r="J170">
        <f>(Table3[[#This Row],[HomeMargin]]-Table3[[#This Row],[HomeForecast]])^2</f>
        <v>0.26914987414501285</v>
      </c>
    </row>
    <row r="171" spans="4:10" x14ac:dyDescent="0.2">
      <c r="D171" t="s">
        <v>15</v>
      </c>
      <c r="E171">
        <f>'NHL2025-26Results'!C166</f>
        <v>2</v>
      </c>
      <c r="F171" t="s">
        <v>38</v>
      </c>
      <c r="G171">
        <f>'NHL2025-26Results'!E166</f>
        <v>0</v>
      </c>
      <c r="H171">
        <f>Table3[[#This Row],[G_1]]-Table3[[#This Row],[G]]</f>
        <v>-2</v>
      </c>
      <c r="I171">
        <f>HomeEdge+VLOOKUP(Table3[[#This Row],[Home]],$A$6:$B$38,2,FALSE)-VLOOKUP(Table3[[#This Row],[Visitor]],$A$6:$B$38,2,FALSE)</f>
        <v>-0.60774302170369898</v>
      </c>
      <c r="J171">
        <f>(Table3[[#This Row],[HomeMargin]]-Table3[[#This Row],[HomeForecast]])^2</f>
        <v>1.9383794936147467</v>
      </c>
    </row>
    <row r="172" spans="4:10" x14ac:dyDescent="0.2">
      <c r="D172" t="s">
        <v>19</v>
      </c>
      <c r="E172">
        <f>'NHL2025-26Results'!C167</f>
        <v>3</v>
      </c>
      <c r="F172" t="s">
        <v>28</v>
      </c>
      <c r="G172">
        <f>'NHL2025-26Results'!E167</f>
        <v>6</v>
      </c>
      <c r="H172">
        <f>Table3[[#This Row],[G_1]]-Table3[[#This Row],[G]]</f>
        <v>3</v>
      </c>
      <c r="I172">
        <f>HomeEdge+VLOOKUP(Table3[[#This Row],[Home]],$A$6:$B$38,2,FALSE)-VLOOKUP(Table3[[#This Row],[Visitor]],$A$6:$B$38,2,FALSE)</f>
        <v>8.9389935891602712E-2</v>
      </c>
      <c r="J172">
        <f>(Table3[[#This Row],[HomeMargin]]-Table3[[#This Row],[HomeForecast]])^2</f>
        <v>8.47165094528909</v>
      </c>
    </row>
    <row r="173" spans="4:10" x14ac:dyDescent="0.2">
      <c r="D173" t="s">
        <v>23</v>
      </c>
      <c r="E173">
        <f>'NHL2025-26Results'!C168</f>
        <v>3</v>
      </c>
      <c r="F173" t="s">
        <v>21</v>
      </c>
      <c r="G173">
        <f>'NHL2025-26Results'!E168</f>
        <v>4</v>
      </c>
      <c r="H173">
        <f>Table3[[#This Row],[G_1]]-Table3[[#This Row],[G]]</f>
        <v>1</v>
      </c>
      <c r="I173">
        <f>HomeEdge+VLOOKUP(Table3[[#This Row],[Home]],$A$6:$B$38,2,FALSE)-VLOOKUP(Table3[[#This Row],[Visitor]],$A$6:$B$38,2,FALSE)</f>
        <v>0.30624142421602052</v>
      </c>
      <c r="J173">
        <f>(Table3[[#This Row],[HomeMargin]]-Table3[[#This Row],[HomeForecast]])^2</f>
        <v>0.48130096147381562</v>
      </c>
    </row>
    <row r="174" spans="4:10" x14ac:dyDescent="0.2">
      <c r="D174" t="s">
        <v>30</v>
      </c>
      <c r="E174">
        <f>'NHL2025-26Results'!C169</f>
        <v>2</v>
      </c>
      <c r="F174" t="s">
        <v>25</v>
      </c>
      <c r="G174">
        <f>'NHL2025-26Results'!E169</f>
        <v>6</v>
      </c>
      <c r="H174">
        <f>Table3[[#This Row],[G_1]]-Table3[[#This Row],[G]]</f>
        <v>4</v>
      </c>
      <c r="I174">
        <f>HomeEdge+VLOOKUP(Table3[[#This Row],[Home]],$A$6:$B$38,2,FALSE)-VLOOKUP(Table3[[#This Row],[Visitor]],$A$6:$B$38,2,FALSE)</f>
        <v>0.71650788369304785</v>
      </c>
      <c r="J174">
        <f>(Table3[[#This Row],[HomeMargin]]-Table3[[#This Row],[HomeForecast]])^2</f>
        <v>10.781320477849908</v>
      </c>
    </row>
    <row r="175" spans="4:10" x14ac:dyDescent="0.2">
      <c r="D175" t="s">
        <v>15</v>
      </c>
      <c r="E175">
        <f>'NHL2025-26Results'!C170</f>
        <v>4</v>
      </c>
      <c r="F175" t="s">
        <v>17</v>
      </c>
      <c r="G175">
        <f>'NHL2025-26Results'!E170</f>
        <v>3</v>
      </c>
      <c r="H175">
        <f>Table3[[#This Row],[G_1]]-Table3[[#This Row],[G]]</f>
        <v>-1</v>
      </c>
      <c r="I175">
        <f>HomeEdge+VLOOKUP(Table3[[#This Row],[Home]],$A$6:$B$38,2,FALSE)-VLOOKUP(Table3[[#This Row],[Visitor]],$A$6:$B$38,2,FALSE)</f>
        <v>-0.47781193083041668</v>
      </c>
      <c r="J175">
        <f>(Table3[[#This Row],[HomeMargin]]-Table3[[#This Row],[HomeForecast]])^2</f>
        <v>0.27268037958305746</v>
      </c>
    </row>
    <row r="176" spans="4:10" x14ac:dyDescent="0.2">
      <c r="D176" t="s">
        <v>26</v>
      </c>
      <c r="E176">
        <f>'NHL2025-26Results'!C171</f>
        <v>4</v>
      </c>
      <c r="F176" t="s">
        <v>13</v>
      </c>
      <c r="G176">
        <f>'NHL2025-26Results'!E171</f>
        <v>3</v>
      </c>
      <c r="H176">
        <f>Table3[[#This Row],[G_1]]-Table3[[#This Row],[G]]</f>
        <v>-1</v>
      </c>
      <c r="I176">
        <f>HomeEdge+VLOOKUP(Table3[[#This Row],[Home]],$A$6:$B$38,2,FALSE)-VLOOKUP(Table3[[#This Row],[Visitor]],$A$6:$B$38,2,FALSE)</f>
        <v>0.58695671527825821</v>
      </c>
      <c r="J176">
        <f>(Table3[[#This Row],[HomeMargin]]-Table3[[#This Row],[HomeForecast]])^2</f>
        <v>2.5184316161667586</v>
      </c>
    </row>
    <row r="177" spans="4:10" x14ac:dyDescent="0.2">
      <c r="D177" t="s">
        <v>14</v>
      </c>
      <c r="E177">
        <f>'NHL2025-26Results'!C172</f>
        <v>4</v>
      </c>
      <c r="F177" t="s">
        <v>34</v>
      </c>
      <c r="G177">
        <f>'NHL2025-26Results'!E172</f>
        <v>1</v>
      </c>
      <c r="H177">
        <f>Table3[[#This Row],[G_1]]-Table3[[#This Row],[G]]</f>
        <v>-3</v>
      </c>
      <c r="I177">
        <f>HomeEdge+VLOOKUP(Table3[[#This Row],[Home]],$A$6:$B$38,2,FALSE)-VLOOKUP(Table3[[#This Row],[Visitor]],$A$6:$B$38,2,FALSE)</f>
        <v>0.13704018303917365</v>
      </c>
      <c r="J177">
        <f>(Table3[[#This Row],[HomeMargin]]-Table3[[#This Row],[HomeForecast]])^2</f>
        <v>9.8410211100024529</v>
      </c>
    </row>
    <row r="178" spans="4:10" x14ac:dyDescent="0.2">
      <c r="D178" t="s">
        <v>16</v>
      </c>
      <c r="E178">
        <f>'NHL2025-26Results'!C173</f>
        <v>3</v>
      </c>
      <c r="F178" t="s">
        <v>36</v>
      </c>
      <c r="G178">
        <f>'NHL2025-26Results'!E173</f>
        <v>4</v>
      </c>
      <c r="H178">
        <f>Table3[[#This Row],[G_1]]-Table3[[#This Row],[G]]</f>
        <v>1</v>
      </c>
      <c r="I178">
        <f>HomeEdge+VLOOKUP(Table3[[#This Row],[Home]],$A$6:$B$38,2,FALSE)-VLOOKUP(Table3[[#This Row],[Visitor]],$A$6:$B$38,2,FALSE)</f>
        <v>0.58430597710294463</v>
      </c>
      <c r="J178">
        <f>(Table3[[#This Row],[HomeMargin]]-Table3[[#This Row],[HomeForecast]])^2</f>
        <v>0.17280152067233759</v>
      </c>
    </row>
    <row r="179" spans="4:10" x14ac:dyDescent="0.2">
      <c r="D179" t="s">
        <v>29</v>
      </c>
      <c r="E179">
        <f>'NHL2025-26Results'!C174</f>
        <v>1</v>
      </c>
      <c r="F179" t="s">
        <v>27</v>
      </c>
      <c r="G179">
        <f>'NHL2025-26Results'!E174</f>
        <v>4</v>
      </c>
      <c r="H179">
        <f>Table3[[#This Row],[G_1]]-Table3[[#This Row],[G]]</f>
        <v>3</v>
      </c>
      <c r="I179">
        <f>HomeEdge+VLOOKUP(Table3[[#This Row],[Home]],$A$6:$B$38,2,FALSE)-VLOOKUP(Table3[[#This Row],[Visitor]],$A$6:$B$38,2,FALSE)</f>
        <v>1.0545784492269075</v>
      </c>
      <c r="J179">
        <f>(Table3[[#This Row],[HomeMargin]]-Table3[[#This Row],[HomeForecast]])^2</f>
        <v>3.7846650102123842</v>
      </c>
    </row>
    <row r="180" spans="4:10" x14ac:dyDescent="0.2">
      <c r="D180" t="s">
        <v>24</v>
      </c>
      <c r="E180">
        <f>'NHL2025-26Results'!C175</f>
        <v>2</v>
      </c>
      <c r="F180" t="s">
        <v>33</v>
      </c>
      <c r="G180">
        <f>'NHL2025-26Results'!E175</f>
        <v>5</v>
      </c>
      <c r="H180">
        <f>Table3[[#This Row],[G_1]]-Table3[[#This Row],[G]]</f>
        <v>3</v>
      </c>
      <c r="I180">
        <f>HomeEdge+VLOOKUP(Table3[[#This Row],[Home]],$A$6:$B$38,2,FALSE)-VLOOKUP(Table3[[#This Row],[Visitor]],$A$6:$B$38,2,FALSE)</f>
        <v>-0.40296049422368518</v>
      </c>
      <c r="J180">
        <f>(Table3[[#This Row],[HomeMargin]]-Table3[[#This Row],[HomeForecast]])^2</f>
        <v>11.580140125247109</v>
      </c>
    </row>
    <row r="181" spans="4:10" x14ac:dyDescent="0.2">
      <c r="D181" t="s">
        <v>38</v>
      </c>
      <c r="E181">
        <f>'NHL2025-26Results'!C176</f>
        <v>4</v>
      </c>
      <c r="F181" t="s">
        <v>35</v>
      </c>
      <c r="G181">
        <f>'NHL2025-26Results'!E176</f>
        <v>3</v>
      </c>
      <c r="H181">
        <f>Table3[[#This Row],[G_1]]-Table3[[#This Row],[G]]</f>
        <v>-1</v>
      </c>
      <c r="I181">
        <f>HomeEdge+VLOOKUP(Table3[[#This Row],[Home]],$A$6:$B$38,2,FALSE)-VLOOKUP(Table3[[#This Row],[Visitor]],$A$6:$B$38,2,FALSE)</f>
        <v>-0.39689986791375598</v>
      </c>
      <c r="J181">
        <f>(Table3[[#This Row],[HomeMargin]]-Table3[[#This Row],[HomeForecast]])^2</f>
        <v>0.363729769322445</v>
      </c>
    </row>
    <row r="182" spans="4:10" x14ac:dyDescent="0.2">
      <c r="D182" t="s">
        <v>39</v>
      </c>
      <c r="E182">
        <f>'NHL2025-26Results'!C177</f>
        <v>1</v>
      </c>
      <c r="F182" t="s">
        <v>37</v>
      </c>
      <c r="G182">
        <f>'NHL2025-26Results'!E177</f>
        <v>2</v>
      </c>
      <c r="H182">
        <f>Table3[[#This Row],[G_1]]-Table3[[#This Row],[G]]</f>
        <v>1</v>
      </c>
      <c r="I182">
        <f>HomeEdge+VLOOKUP(Table3[[#This Row],[Home]],$A$6:$B$38,2,FALSE)-VLOOKUP(Table3[[#This Row],[Visitor]],$A$6:$B$38,2,FALSE)</f>
        <v>0.14696319381464695</v>
      </c>
      <c r="J182">
        <f>(Table3[[#This Row],[HomeMargin]]-Table3[[#This Row],[HomeForecast]])^2</f>
        <v>0.72767179270690763</v>
      </c>
    </row>
    <row r="183" spans="4:10" x14ac:dyDescent="0.2">
      <c r="D183" t="s">
        <v>10</v>
      </c>
      <c r="E183">
        <f>'NHL2025-26Results'!C178</f>
        <v>3</v>
      </c>
      <c r="F183" t="s">
        <v>40</v>
      </c>
      <c r="G183">
        <f>'NHL2025-26Results'!E178</f>
        <v>6</v>
      </c>
      <c r="H183">
        <f>Table3[[#This Row],[G_1]]-Table3[[#This Row],[G]]</f>
        <v>3</v>
      </c>
      <c r="I183">
        <f>HomeEdge+VLOOKUP(Table3[[#This Row],[Home]],$A$6:$B$38,2,FALSE)-VLOOKUP(Table3[[#This Row],[Visitor]],$A$6:$B$38,2,FALSE)</f>
        <v>-8.7144819675315455E-2</v>
      </c>
      <c r="J183">
        <f>(Table3[[#This Row],[HomeMargin]]-Table3[[#This Row],[HomeForecast]])^2</f>
        <v>9.5304631376481357</v>
      </c>
    </row>
    <row r="184" spans="4:10" x14ac:dyDescent="0.2">
      <c r="D184" t="s">
        <v>26</v>
      </c>
      <c r="E184">
        <f>'NHL2025-26Results'!C179</f>
        <v>2</v>
      </c>
      <c r="F184" t="s">
        <v>31</v>
      </c>
      <c r="G184">
        <f>'NHL2025-26Results'!E179</f>
        <v>5</v>
      </c>
      <c r="H184">
        <f>Table3[[#This Row],[G_1]]-Table3[[#This Row],[G]]</f>
        <v>3</v>
      </c>
      <c r="I184">
        <f>HomeEdge+VLOOKUP(Table3[[#This Row],[Home]],$A$6:$B$38,2,FALSE)-VLOOKUP(Table3[[#This Row],[Visitor]],$A$6:$B$38,2,FALSE)</f>
        <v>1.1039433357947381</v>
      </c>
      <c r="J184">
        <f>(Table3[[#This Row],[HomeMargin]]-Table3[[#This Row],[HomeForecast]])^2</f>
        <v>3.5950308738771852</v>
      </c>
    </row>
    <row r="185" spans="4:10" x14ac:dyDescent="0.2">
      <c r="D185" t="s">
        <v>12</v>
      </c>
      <c r="E185">
        <f>'NHL2025-26Results'!C180</f>
        <v>4</v>
      </c>
      <c r="F185" t="s">
        <v>20</v>
      </c>
      <c r="G185">
        <f>'NHL2025-26Results'!E180</f>
        <v>2</v>
      </c>
      <c r="H185">
        <f>Table3[[#This Row],[G_1]]-Table3[[#This Row],[G]]</f>
        <v>-2</v>
      </c>
      <c r="I185">
        <f>HomeEdge+VLOOKUP(Table3[[#This Row],[Home]],$A$6:$B$38,2,FALSE)-VLOOKUP(Table3[[#This Row],[Visitor]],$A$6:$B$38,2,FALSE)</f>
        <v>-1.8264437398244502</v>
      </c>
      <c r="J185">
        <f>(Table3[[#This Row],[HomeMargin]]-Table3[[#This Row],[HomeForecast]])^2</f>
        <v>3.0121775446123138E-2</v>
      </c>
    </row>
    <row r="186" spans="4:10" x14ac:dyDescent="0.2">
      <c r="D186" t="s">
        <v>30</v>
      </c>
      <c r="E186">
        <f>'NHL2025-26Results'!C181</f>
        <v>3</v>
      </c>
      <c r="F186" t="s">
        <v>22</v>
      </c>
      <c r="G186">
        <f>'NHL2025-26Results'!E181</f>
        <v>1</v>
      </c>
      <c r="H186">
        <f>Table3[[#This Row],[G_1]]-Table3[[#This Row],[G]]</f>
        <v>-2</v>
      </c>
      <c r="I186">
        <f>HomeEdge+VLOOKUP(Table3[[#This Row],[Home]],$A$6:$B$38,2,FALSE)-VLOOKUP(Table3[[#This Row],[Visitor]],$A$6:$B$38,2,FALSE)</f>
        <v>0.73153997921825198</v>
      </c>
      <c r="J186">
        <f>(Table3[[#This Row],[HomeMargin]]-Table3[[#This Row],[HomeForecast]])^2</f>
        <v>7.4613106580676485</v>
      </c>
    </row>
    <row r="187" spans="4:10" x14ac:dyDescent="0.2">
      <c r="D187" t="s">
        <v>25</v>
      </c>
      <c r="E187">
        <f>'NHL2025-26Results'!C182</f>
        <v>1</v>
      </c>
      <c r="F187" t="s">
        <v>21</v>
      </c>
      <c r="G187">
        <f>'NHL2025-26Results'!E182</f>
        <v>2</v>
      </c>
      <c r="H187">
        <f>Table3[[#This Row],[G_1]]-Table3[[#This Row],[G]]</f>
        <v>1</v>
      </c>
      <c r="I187">
        <f>HomeEdge+VLOOKUP(Table3[[#This Row],[Home]],$A$6:$B$38,2,FALSE)-VLOOKUP(Table3[[#This Row],[Visitor]],$A$6:$B$38,2,FALSE)</f>
        <v>-0.59554414885312179</v>
      </c>
      <c r="J187">
        <f>(Table3[[#This Row],[HomeMargin]]-Table3[[#This Row],[HomeForecast]])^2</f>
        <v>2.5457611309394323</v>
      </c>
    </row>
    <row r="188" spans="4:10" x14ac:dyDescent="0.2">
      <c r="D188" t="s">
        <v>22</v>
      </c>
      <c r="E188">
        <f>'NHL2025-26Results'!C183</f>
        <v>3</v>
      </c>
      <c r="F188" t="s">
        <v>23</v>
      </c>
      <c r="G188">
        <f>'NHL2025-26Results'!E183</f>
        <v>4</v>
      </c>
      <c r="H188">
        <f>Table3[[#This Row],[G_1]]-Table3[[#This Row],[G]]</f>
        <v>1</v>
      </c>
      <c r="I188">
        <f>HomeEdge+VLOOKUP(Table3[[#This Row],[Home]],$A$6:$B$38,2,FALSE)-VLOOKUP(Table3[[#This Row],[Visitor]],$A$6:$B$38,2,FALSE)</f>
        <v>-0.86691691967118412</v>
      </c>
      <c r="J188">
        <f>(Table3[[#This Row],[HomeMargin]]-Table3[[#This Row],[HomeForecast]])^2</f>
        <v>3.4853787849545426</v>
      </c>
    </row>
    <row r="189" spans="4:10" x14ac:dyDescent="0.2">
      <c r="D189" t="s">
        <v>35</v>
      </c>
      <c r="E189">
        <f>'NHL2025-26Results'!C184</f>
        <v>2</v>
      </c>
      <c r="F189" t="s">
        <v>28</v>
      </c>
      <c r="G189">
        <f>'NHL2025-26Results'!E184</f>
        <v>3</v>
      </c>
      <c r="H189">
        <f>Table3[[#This Row],[G_1]]-Table3[[#This Row],[G]]</f>
        <v>1</v>
      </c>
      <c r="I189">
        <f>HomeEdge+VLOOKUP(Table3[[#This Row],[Home]],$A$6:$B$38,2,FALSE)-VLOOKUP(Table3[[#This Row],[Visitor]],$A$6:$B$38,2,FALSE)</f>
        <v>0.84938971652034467</v>
      </c>
      <c r="J189">
        <f>(Table3[[#This Row],[HomeMargin]]-Table3[[#This Row],[HomeForecast]])^2</f>
        <v>2.2683457489822138E-2</v>
      </c>
    </row>
    <row r="190" spans="4:10" x14ac:dyDescent="0.2">
      <c r="D190" t="s">
        <v>10</v>
      </c>
      <c r="E190">
        <f>'NHL2025-26Results'!C185</f>
        <v>2</v>
      </c>
      <c r="F190" t="s">
        <v>17</v>
      </c>
      <c r="G190">
        <f>'NHL2025-26Results'!E185</f>
        <v>3</v>
      </c>
      <c r="H190">
        <f>Table3[[#This Row],[G_1]]-Table3[[#This Row],[G]]</f>
        <v>1</v>
      </c>
      <c r="I190">
        <f>HomeEdge+VLOOKUP(Table3[[#This Row],[Home]],$A$6:$B$38,2,FALSE)-VLOOKUP(Table3[[#This Row],[Visitor]],$A$6:$B$38,2,FALSE)</f>
        <v>-0.59164966013004561</v>
      </c>
      <c r="J190">
        <f>(Table3[[#This Row],[HomeMargin]]-Table3[[#This Row],[HomeForecast]])^2</f>
        <v>2.5333486405920898</v>
      </c>
    </row>
    <row r="191" spans="4:10" x14ac:dyDescent="0.2">
      <c r="D191" t="s">
        <v>39</v>
      </c>
      <c r="E191">
        <f>'NHL2025-26Results'!C186</f>
        <v>3</v>
      </c>
      <c r="F191" t="s">
        <v>11</v>
      </c>
      <c r="G191">
        <f>'NHL2025-26Results'!E186</f>
        <v>4</v>
      </c>
      <c r="H191">
        <f>Table3[[#This Row],[G_1]]-Table3[[#This Row],[G]]</f>
        <v>1</v>
      </c>
      <c r="I191">
        <f>HomeEdge+VLOOKUP(Table3[[#This Row],[Home]],$A$6:$B$38,2,FALSE)-VLOOKUP(Table3[[#This Row],[Visitor]],$A$6:$B$38,2,FALSE)</f>
        <v>-0.76066004399606379</v>
      </c>
      <c r="J191">
        <f>(Table3[[#This Row],[HomeMargin]]-Table3[[#This Row],[HomeForecast]])^2</f>
        <v>3.0999237905242212</v>
      </c>
    </row>
    <row r="192" spans="4:10" x14ac:dyDescent="0.2">
      <c r="D192" t="s">
        <v>24</v>
      </c>
      <c r="E192">
        <f>'NHL2025-26Results'!C187</f>
        <v>4</v>
      </c>
      <c r="F192" t="s">
        <v>13</v>
      </c>
      <c r="G192">
        <f>'NHL2025-26Results'!E187</f>
        <v>1</v>
      </c>
      <c r="H192">
        <f>Table3[[#This Row],[G_1]]-Table3[[#This Row],[G]]</f>
        <v>-3</v>
      </c>
      <c r="I192">
        <f>HomeEdge+VLOOKUP(Table3[[#This Row],[Home]],$A$6:$B$38,2,FALSE)-VLOOKUP(Table3[[#This Row],[Visitor]],$A$6:$B$38,2,FALSE)</f>
        <v>-0.28991310051865549</v>
      </c>
      <c r="J192">
        <f>(Table3[[#This Row],[HomeMargin]]-Table3[[#This Row],[HomeForecast]])^2</f>
        <v>7.3445710027404072</v>
      </c>
    </row>
    <row r="193" spans="4:10" x14ac:dyDescent="0.2">
      <c r="D193" t="s">
        <v>38</v>
      </c>
      <c r="E193">
        <f>'NHL2025-26Results'!C188</f>
        <v>2</v>
      </c>
      <c r="F193" t="s">
        <v>34</v>
      </c>
      <c r="G193">
        <f>'NHL2025-26Results'!E188</f>
        <v>5</v>
      </c>
      <c r="H193">
        <f>Table3[[#This Row],[G_1]]-Table3[[#This Row],[G]]</f>
        <v>3</v>
      </c>
      <c r="I193">
        <f>HomeEdge+VLOOKUP(Table3[[#This Row],[Home]],$A$6:$B$38,2,FALSE)-VLOOKUP(Table3[[#This Row],[Visitor]],$A$6:$B$38,2,FALSE)</f>
        <v>0.94245371658448773</v>
      </c>
      <c r="J193">
        <f>(Table3[[#This Row],[HomeMargin]]-Table3[[#This Row],[HomeForecast]])^2</f>
        <v>4.2334967083969879</v>
      </c>
    </row>
    <row r="194" spans="4:10" x14ac:dyDescent="0.2">
      <c r="D194" t="s">
        <v>36</v>
      </c>
      <c r="E194">
        <f>'NHL2025-26Results'!C189</f>
        <v>3</v>
      </c>
      <c r="F194" t="s">
        <v>18</v>
      </c>
      <c r="G194">
        <f>'NHL2025-26Results'!E189</f>
        <v>4</v>
      </c>
      <c r="H194">
        <f>Table3[[#This Row],[G_1]]-Table3[[#This Row],[G]]</f>
        <v>1</v>
      </c>
      <c r="I194">
        <f>HomeEdge+VLOOKUP(Table3[[#This Row],[Home]],$A$6:$B$38,2,FALSE)-VLOOKUP(Table3[[#This Row],[Visitor]],$A$6:$B$38,2,FALSE)</f>
        <v>-1.1612828485824123E-2</v>
      </c>
      <c r="J194">
        <f>(Table3[[#This Row],[HomeMargin]]-Table3[[#This Row],[HomeForecast]])^2</f>
        <v>1.0233605147570894</v>
      </c>
    </row>
    <row r="195" spans="4:10" x14ac:dyDescent="0.2">
      <c r="D195" t="s">
        <v>16</v>
      </c>
      <c r="E195">
        <f>'NHL2025-26Results'!C190</f>
        <v>2</v>
      </c>
      <c r="F195" t="s">
        <v>29</v>
      </c>
      <c r="G195">
        <f>'NHL2025-26Results'!E190</f>
        <v>4</v>
      </c>
      <c r="H195">
        <f>Table3[[#This Row],[G_1]]-Table3[[#This Row],[G]]</f>
        <v>2</v>
      </c>
      <c r="I195">
        <f>HomeEdge+VLOOKUP(Table3[[#This Row],[Home]],$A$6:$B$38,2,FALSE)-VLOOKUP(Table3[[#This Row],[Visitor]],$A$6:$B$38,2,FALSE)</f>
        <v>-0.2692352558422777</v>
      </c>
      <c r="J195">
        <f>(Table3[[#This Row],[HomeMargin]]-Table3[[#This Row],[HomeForecast]])^2</f>
        <v>5.1494286463575678</v>
      </c>
    </row>
    <row r="196" spans="4:10" x14ac:dyDescent="0.2">
      <c r="D196" t="s">
        <v>19</v>
      </c>
      <c r="E196">
        <f>'NHL2025-26Results'!C191</f>
        <v>5</v>
      </c>
      <c r="F196" t="s">
        <v>27</v>
      </c>
      <c r="G196">
        <f>'NHL2025-26Results'!E191</f>
        <v>2</v>
      </c>
      <c r="H196">
        <f>Table3[[#This Row],[G_1]]-Table3[[#This Row],[G]]</f>
        <v>-3</v>
      </c>
      <c r="I196">
        <f>HomeEdge+VLOOKUP(Table3[[#This Row],[Home]],$A$6:$B$38,2,FALSE)-VLOOKUP(Table3[[#This Row],[Visitor]],$A$6:$B$38,2,FALSE)</f>
        <v>0.30413975673582699</v>
      </c>
      <c r="J196">
        <f>(Table3[[#This Row],[HomeMargin]]-Table3[[#This Row],[HomeForecast]])^2</f>
        <v>10.917339532042289</v>
      </c>
    </row>
    <row r="197" spans="4:10" x14ac:dyDescent="0.2">
      <c r="D197" t="s">
        <v>15</v>
      </c>
      <c r="E197">
        <f>'NHL2025-26Results'!C192</f>
        <v>3</v>
      </c>
      <c r="F197" t="s">
        <v>32</v>
      </c>
      <c r="G197">
        <f>'NHL2025-26Results'!E192</f>
        <v>2</v>
      </c>
      <c r="H197">
        <f>Table3[[#This Row],[G_1]]-Table3[[#This Row],[G]]</f>
        <v>-1</v>
      </c>
      <c r="I197">
        <f>HomeEdge+VLOOKUP(Table3[[#This Row],[Home]],$A$6:$B$38,2,FALSE)-VLOOKUP(Table3[[#This Row],[Visitor]],$A$6:$B$38,2,FALSE)</f>
        <v>-0.30944250187098493</v>
      </c>
      <c r="J197">
        <f>(Table3[[#This Row],[HomeMargin]]-Table3[[#This Row],[HomeForecast]])^2</f>
        <v>0.47686965822220456</v>
      </c>
    </row>
    <row r="198" spans="4:10" x14ac:dyDescent="0.2">
      <c r="D198" t="s">
        <v>12</v>
      </c>
      <c r="E198">
        <f>'NHL2025-26Results'!C193</f>
        <v>2</v>
      </c>
      <c r="F198" t="s">
        <v>33</v>
      </c>
      <c r="G198">
        <f>'NHL2025-26Results'!E193</f>
        <v>3</v>
      </c>
      <c r="H198">
        <f>Table3[[#This Row],[G_1]]-Table3[[#This Row],[G]]</f>
        <v>1</v>
      </c>
      <c r="I198">
        <f>HomeEdge+VLOOKUP(Table3[[#This Row],[Home]],$A$6:$B$38,2,FALSE)-VLOOKUP(Table3[[#This Row],[Visitor]],$A$6:$B$38,2,FALSE)</f>
        <v>-2.0333339018860572</v>
      </c>
      <c r="J198">
        <f>(Table3[[#This Row],[HomeMargin]]-Table3[[#This Row],[HomeForecast]])^2</f>
        <v>9.2011145603312929</v>
      </c>
    </row>
    <row r="199" spans="4:10" x14ac:dyDescent="0.2">
      <c r="D199" t="s">
        <v>14</v>
      </c>
      <c r="E199">
        <f>'NHL2025-26Results'!C194</f>
        <v>2</v>
      </c>
      <c r="F199" t="s">
        <v>40</v>
      </c>
      <c r="G199">
        <f>'NHL2025-26Results'!E194</f>
        <v>5</v>
      </c>
      <c r="H199">
        <f>Table3[[#This Row],[G_1]]-Table3[[#This Row],[G]]</f>
        <v>3</v>
      </c>
      <c r="I199">
        <f>HomeEdge+VLOOKUP(Table3[[#This Row],[Home]],$A$6:$B$38,2,FALSE)-VLOOKUP(Table3[[#This Row],[Visitor]],$A$6:$B$38,2,FALSE)</f>
        <v>-0.12107685329413906</v>
      </c>
      <c r="J199">
        <f>(Table3[[#This Row],[HomeMargin]]-Table3[[#This Row],[HomeForecast]])^2</f>
        <v>9.741120724168443</v>
      </c>
    </row>
    <row r="200" spans="4:10" x14ac:dyDescent="0.2">
      <c r="D200" t="s">
        <v>24</v>
      </c>
      <c r="E200">
        <f>'NHL2025-26Results'!C195</f>
        <v>1</v>
      </c>
      <c r="F200" t="s">
        <v>31</v>
      </c>
      <c r="G200">
        <f>'NHL2025-26Results'!E195</f>
        <v>4</v>
      </c>
      <c r="H200">
        <f>Table3[[#This Row],[G_1]]-Table3[[#This Row],[G]]</f>
        <v>3</v>
      </c>
      <c r="I200">
        <f>HomeEdge+VLOOKUP(Table3[[#This Row],[Home]],$A$6:$B$38,2,FALSE)-VLOOKUP(Table3[[#This Row],[Visitor]],$A$6:$B$38,2,FALSE)</f>
        <v>0.22707351999782449</v>
      </c>
      <c r="J200">
        <f>(Table3[[#This Row],[HomeMargin]]-Table3[[#This Row],[HomeForecast]])^2</f>
        <v>7.6891212634972543</v>
      </c>
    </row>
    <row r="201" spans="4:10" x14ac:dyDescent="0.2">
      <c r="D201" t="s">
        <v>28</v>
      </c>
      <c r="E201">
        <f>'NHL2025-26Results'!C196</f>
        <v>2</v>
      </c>
      <c r="F201" t="s">
        <v>30</v>
      </c>
      <c r="G201">
        <f>'NHL2025-26Results'!E196</f>
        <v>3</v>
      </c>
      <c r="H201">
        <f>Table3[[#This Row],[G_1]]-Table3[[#This Row],[G]]</f>
        <v>1</v>
      </c>
      <c r="I201">
        <f>HomeEdge+VLOOKUP(Table3[[#This Row],[Home]],$A$6:$B$38,2,FALSE)-VLOOKUP(Table3[[#This Row],[Visitor]],$A$6:$B$38,2,FALSE)</f>
        <v>0.40395815583237005</v>
      </c>
      <c r="J201">
        <f>(Table3[[#This Row],[HomeMargin]]-Table3[[#This Row],[HomeForecast]])^2</f>
        <v>0.35526587999874926</v>
      </c>
    </row>
    <row r="202" spans="4:10" x14ac:dyDescent="0.2">
      <c r="D202" t="s">
        <v>16</v>
      </c>
      <c r="E202">
        <f>'NHL2025-26Results'!C197</f>
        <v>2</v>
      </c>
      <c r="F202" t="s">
        <v>27</v>
      </c>
      <c r="G202">
        <f>'NHL2025-26Results'!E197</f>
        <v>1</v>
      </c>
      <c r="H202">
        <f>Table3[[#This Row],[G_1]]-Table3[[#This Row],[G]]</f>
        <v>-1</v>
      </c>
      <c r="I202">
        <f>HomeEdge+VLOOKUP(Table3[[#This Row],[Home]],$A$6:$B$38,2,FALSE)-VLOOKUP(Table3[[#This Row],[Visitor]],$A$6:$B$38,2,FALSE)</f>
        <v>0.73544244446146734</v>
      </c>
      <c r="J202">
        <f>(Table3[[#This Row],[HomeMargin]]-Table3[[#This Row],[HomeForecast]])^2</f>
        <v>3.0117604780383931</v>
      </c>
    </row>
    <row r="203" spans="4:10" x14ac:dyDescent="0.2">
      <c r="D203" t="s">
        <v>26</v>
      </c>
      <c r="E203">
        <f>'NHL2025-26Results'!C198</f>
        <v>3</v>
      </c>
      <c r="F203" t="s">
        <v>33</v>
      </c>
      <c r="G203">
        <f>'NHL2025-26Results'!E198</f>
        <v>2</v>
      </c>
      <c r="H203">
        <f>Table3[[#This Row],[G_1]]-Table3[[#This Row],[G]]</f>
        <v>-1</v>
      </c>
      <c r="I203">
        <f>HomeEdge+VLOOKUP(Table3[[#This Row],[Home]],$A$6:$B$38,2,FALSE)-VLOOKUP(Table3[[#This Row],[Visitor]],$A$6:$B$38,2,FALSE)</f>
        <v>0.47390932157322857</v>
      </c>
      <c r="J203">
        <f>(Table3[[#This Row],[HomeMargin]]-Table3[[#This Row],[HomeForecast]])^2</f>
        <v>2.1724086882204552</v>
      </c>
    </row>
    <row r="204" spans="4:10" x14ac:dyDescent="0.2">
      <c r="D204" t="s">
        <v>37</v>
      </c>
      <c r="E204">
        <f>'NHL2025-26Results'!C199</f>
        <v>4</v>
      </c>
      <c r="F204" t="s">
        <v>55</v>
      </c>
      <c r="G204">
        <f>'NHL2025-26Results'!E199</f>
        <v>2</v>
      </c>
      <c r="H204">
        <f>Table3[[#This Row],[G_1]]-Table3[[#This Row],[G]]</f>
        <v>-2</v>
      </c>
      <c r="I204">
        <f>HomeEdge+VLOOKUP(Table3[[#This Row],[Home]],$A$6:$B$38,2,FALSE)-VLOOKUP(Table3[[#This Row],[Visitor]],$A$6:$B$38,2,FALSE)</f>
        <v>-0.8637274868446243</v>
      </c>
      <c r="J204">
        <f>(Table3[[#This Row],[HomeMargin]]-Table3[[#This Row],[HomeForecast]])^2</f>
        <v>1.2911152241524335</v>
      </c>
    </row>
    <row r="205" spans="4:10" x14ac:dyDescent="0.2">
      <c r="D205" t="s">
        <v>38</v>
      </c>
      <c r="E205">
        <f>'NHL2025-26Results'!C200</f>
        <v>5</v>
      </c>
      <c r="F205" t="s">
        <v>29</v>
      </c>
      <c r="G205">
        <f>'NHL2025-26Results'!E200</f>
        <v>4</v>
      </c>
      <c r="H205">
        <f>Table3[[#This Row],[G_1]]-Table3[[#This Row],[G]]</f>
        <v>-1</v>
      </c>
      <c r="I205">
        <f>HomeEdge+VLOOKUP(Table3[[#This Row],[Home]],$A$6:$B$38,2,FALSE)-VLOOKUP(Table3[[#This Row],[Visitor]],$A$6:$B$38,2,FALSE)</f>
        <v>-0.38733877977609443</v>
      </c>
      <c r="J205">
        <f>(Table3[[#This Row],[HomeMargin]]-Table3[[#This Row],[HomeForecast]])^2</f>
        <v>0.37535377076624493</v>
      </c>
    </row>
    <row r="206" spans="4:10" x14ac:dyDescent="0.2">
      <c r="D206" t="s">
        <v>10</v>
      </c>
      <c r="E206">
        <f>'NHL2025-26Results'!C201</f>
        <v>1</v>
      </c>
      <c r="F206" t="s">
        <v>32</v>
      </c>
      <c r="G206">
        <f>'NHL2025-26Results'!E201</f>
        <v>3</v>
      </c>
      <c r="H206">
        <f>Table3[[#This Row],[G_1]]-Table3[[#This Row],[G]]</f>
        <v>2</v>
      </c>
      <c r="I206">
        <f>HomeEdge+VLOOKUP(Table3[[#This Row],[Home]],$A$6:$B$38,2,FALSE)-VLOOKUP(Table3[[#This Row],[Visitor]],$A$6:$B$38,2,FALSE)</f>
        <v>-0.42328023117061392</v>
      </c>
      <c r="J206">
        <f>(Table3[[#This Row],[HomeMargin]]-Table3[[#This Row],[HomeForecast]])^2</f>
        <v>5.8722870787823034</v>
      </c>
    </row>
    <row r="207" spans="4:10" x14ac:dyDescent="0.2">
      <c r="D207" t="s">
        <v>17</v>
      </c>
      <c r="E207">
        <f>'NHL2025-26Results'!C202</f>
        <v>2</v>
      </c>
      <c r="F207" t="s">
        <v>35</v>
      </c>
      <c r="G207">
        <f>'NHL2025-26Results'!E202</f>
        <v>3</v>
      </c>
      <c r="H207">
        <f>Table3[[#This Row],[G_1]]-Table3[[#This Row],[G]]</f>
        <v>1</v>
      </c>
      <c r="I207">
        <f>HomeEdge+VLOOKUP(Table3[[#This Row],[Home]],$A$6:$B$38,2,FALSE)-VLOOKUP(Table3[[#This Row],[Visitor]],$A$6:$B$38,2,FALSE)</f>
        <v>-0.52683095878703834</v>
      </c>
      <c r="J207">
        <f>(Table3[[#This Row],[HomeMargin]]-Table3[[#This Row],[HomeForecast]])^2</f>
        <v>2.3312127767105468</v>
      </c>
    </row>
    <row r="208" spans="4:10" x14ac:dyDescent="0.2">
      <c r="D208" t="s">
        <v>14</v>
      </c>
      <c r="E208">
        <f>'NHL2025-26Results'!C203</f>
        <v>3</v>
      </c>
      <c r="F208" t="s">
        <v>19</v>
      </c>
      <c r="G208">
        <f>'NHL2025-26Results'!E203</f>
        <v>4</v>
      </c>
      <c r="H208">
        <f>Table3[[#This Row],[G_1]]-Table3[[#This Row],[G]]</f>
        <v>1</v>
      </c>
      <c r="I208">
        <f>HomeEdge+VLOOKUP(Table3[[#This Row],[Home]],$A$6:$B$38,2,FALSE)-VLOOKUP(Table3[[#This Row],[Visitor]],$A$6:$B$38,2,FALSE)</f>
        <v>-0.4423136208303281</v>
      </c>
      <c r="J208">
        <f>(Table3[[#This Row],[HomeMargin]]-Table3[[#This Row],[HomeForecast]])^2</f>
        <v>2.0802685808326911</v>
      </c>
    </row>
    <row r="209" spans="4:10" x14ac:dyDescent="0.2">
      <c r="D209" t="s">
        <v>11</v>
      </c>
      <c r="E209">
        <f>'NHL2025-26Results'!C204</f>
        <v>3</v>
      </c>
      <c r="F209" t="s">
        <v>31</v>
      </c>
      <c r="G209">
        <f>'NHL2025-26Results'!E204</f>
        <v>7</v>
      </c>
      <c r="H209">
        <f>Table3[[#This Row],[G_1]]-Table3[[#This Row],[G]]</f>
        <v>4</v>
      </c>
      <c r="I209">
        <f>HomeEdge+VLOOKUP(Table3[[#This Row],[Home]],$A$6:$B$38,2,FALSE)-VLOOKUP(Table3[[#This Row],[Visitor]],$A$6:$B$38,2,FALSE)</f>
        <v>0.62572206182653534</v>
      </c>
      <c r="J209">
        <f>(Table3[[#This Row],[HomeMargin]]-Table3[[#This Row],[HomeForecast]])^2</f>
        <v>11.385751604044167</v>
      </c>
    </row>
    <row r="210" spans="4:10" x14ac:dyDescent="0.2">
      <c r="D210" t="s">
        <v>55</v>
      </c>
      <c r="E210">
        <f>'NHL2025-26Results'!C205</f>
        <v>2</v>
      </c>
      <c r="F210" t="s">
        <v>23</v>
      </c>
      <c r="G210">
        <f>'NHL2025-26Results'!E205</f>
        <v>1</v>
      </c>
      <c r="H210">
        <f>Table3[[#This Row],[G_1]]-Table3[[#This Row],[G]]</f>
        <v>-1</v>
      </c>
      <c r="I210">
        <f>HomeEdge+VLOOKUP(Table3[[#This Row],[Home]],$A$6:$B$38,2,FALSE)-VLOOKUP(Table3[[#This Row],[Visitor]],$A$6:$B$38,2,FALSE)</f>
        <v>-2.3086397796244718E-2</v>
      </c>
      <c r="J210">
        <f>(Table3[[#This Row],[HomeMargin]]-Table3[[#This Row],[HomeForecast]])^2</f>
        <v>0.95436018617071694</v>
      </c>
    </row>
    <row r="211" spans="4:10" x14ac:dyDescent="0.2">
      <c r="D211" t="s">
        <v>37</v>
      </c>
      <c r="E211">
        <f>'NHL2025-26Results'!C206</f>
        <v>2</v>
      </c>
      <c r="F211" t="s">
        <v>12</v>
      </c>
      <c r="G211">
        <f>'NHL2025-26Results'!E206</f>
        <v>3</v>
      </c>
      <c r="H211">
        <f>Table3[[#This Row],[G_1]]-Table3[[#This Row],[G]]</f>
        <v>1</v>
      </c>
      <c r="I211">
        <f>HomeEdge+VLOOKUP(Table3[[#This Row],[Home]],$A$6:$B$38,2,FALSE)-VLOOKUP(Table3[[#This Row],[Visitor]],$A$6:$B$38,2,FALSE)</f>
        <v>1.1712994606035343</v>
      </c>
      <c r="J211">
        <f>(Table3[[#This Row],[HomeMargin]]-Table3[[#This Row],[HomeForecast]])^2</f>
        <v>2.9343505203061799E-2</v>
      </c>
    </row>
    <row r="212" spans="4:10" x14ac:dyDescent="0.2">
      <c r="D212" t="s">
        <v>17</v>
      </c>
      <c r="E212">
        <f>'NHL2025-26Results'!C207</f>
        <v>3</v>
      </c>
      <c r="F212" t="s">
        <v>39</v>
      </c>
      <c r="G212">
        <f>'NHL2025-26Results'!E207</f>
        <v>4</v>
      </c>
      <c r="H212">
        <f>Table3[[#This Row],[G_1]]-Table3[[#This Row],[G]]</f>
        <v>1</v>
      </c>
      <c r="I212">
        <f>HomeEdge+VLOOKUP(Table3[[#This Row],[Home]],$A$6:$B$38,2,FALSE)-VLOOKUP(Table3[[#This Row],[Visitor]],$A$6:$B$38,2,FALSE)</f>
        <v>1.2810899150158039</v>
      </c>
      <c r="J212">
        <f>(Table3[[#This Row],[HomeMargin]]-Table3[[#This Row],[HomeForecast]])^2</f>
        <v>7.9011540323591881E-2</v>
      </c>
    </row>
    <row r="213" spans="4:10" x14ac:dyDescent="0.2">
      <c r="D213" t="s">
        <v>40</v>
      </c>
      <c r="E213">
        <f>'NHL2025-26Results'!C208</f>
        <v>0</v>
      </c>
      <c r="F213" t="s">
        <v>13</v>
      </c>
      <c r="G213">
        <f>'NHL2025-26Results'!E208</f>
        <v>3</v>
      </c>
      <c r="H213">
        <f>Table3[[#This Row],[G_1]]-Table3[[#This Row],[G]]</f>
        <v>3</v>
      </c>
      <c r="I213">
        <f>HomeEdge+VLOOKUP(Table3[[#This Row],[Home]],$A$6:$B$38,2,FALSE)-VLOOKUP(Table3[[#This Row],[Visitor]],$A$6:$B$38,2,FALSE)</f>
        <v>2.4858974028740377E-2</v>
      </c>
      <c r="J213">
        <f>(Table3[[#This Row],[HomeMargin]]-Table3[[#This Row],[HomeForecast]])^2</f>
        <v>8.8514641244173191</v>
      </c>
    </row>
    <row r="214" spans="4:10" x14ac:dyDescent="0.2">
      <c r="D214" t="s">
        <v>29</v>
      </c>
      <c r="E214">
        <f>'NHL2025-26Results'!C209</f>
        <v>2</v>
      </c>
      <c r="F214" t="s">
        <v>34</v>
      </c>
      <c r="G214">
        <f>'NHL2025-26Results'!E209</f>
        <v>3</v>
      </c>
      <c r="H214">
        <f>Table3[[#This Row],[G_1]]-Table3[[#This Row],[G]]</f>
        <v>1</v>
      </c>
      <c r="I214">
        <f>HomeEdge+VLOOKUP(Table3[[#This Row],[Home]],$A$6:$B$38,2,FALSE)-VLOOKUP(Table3[[#This Row],[Visitor]],$A$6:$B$38,2,FALSE)</f>
        <v>1.3796932452837445</v>
      </c>
      <c r="J214">
        <f>(Table3[[#This Row],[HomeMargin]]-Table3[[#This Row],[HomeForecast]])^2</f>
        <v>0.14416696051410174</v>
      </c>
    </row>
    <row r="215" spans="4:10" x14ac:dyDescent="0.2">
      <c r="D215" t="s">
        <v>27</v>
      </c>
      <c r="E215">
        <f>'NHL2025-26Results'!C210</f>
        <v>5</v>
      </c>
      <c r="F215" t="s">
        <v>18</v>
      </c>
      <c r="G215">
        <f>'NHL2025-26Results'!E210</f>
        <v>4</v>
      </c>
      <c r="H215">
        <f>Table3[[#This Row],[G_1]]-Table3[[#This Row],[G]]</f>
        <v>-1</v>
      </c>
      <c r="I215">
        <f>HomeEdge+VLOOKUP(Table3[[#This Row],[Home]],$A$6:$B$38,2,FALSE)-VLOOKUP(Table3[[#This Row],[Visitor]],$A$6:$B$38,2,FALSE)</f>
        <v>-0.16274929584434672</v>
      </c>
      <c r="J215">
        <f>(Table3[[#This Row],[HomeMargin]]-Table3[[#This Row],[HomeForecast]])^2</f>
        <v>0.70098874160913727</v>
      </c>
    </row>
    <row r="216" spans="4:10" x14ac:dyDescent="0.2">
      <c r="D216" t="s">
        <v>21</v>
      </c>
      <c r="E216">
        <f>'NHL2025-26Results'!C211</f>
        <v>4</v>
      </c>
      <c r="F216" t="s">
        <v>30</v>
      </c>
      <c r="G216">
        <f>'NHL2025-26Results'!E211</f>
        <v>3</v>
      </c>
      <c r="H216">
        <f>Table3[[#This Row],[G_1]]-Table3[[#This Row],[G]]</f>
        <v>-1</v>
      </c>
      <c r="I216">
        <f>HomeEdge+VLOOKUP(Table3[[#This Row],[Home]],$A$6:$B$38,2,FALSE)-VLOOKUP(Table3[[#This Row],[Visitor]],$A$6:$B$38,2,FALSE)</f>
        <v>2.8738511929561422E-2</v>
      </c>
      <c r="J216">
        <f>(Table3[[#This Row],[HomeMargin]]-Table3[[#This Row],[HomeForecast]])^2</f>
        <v>1.0583029259270482</v>
      </c>
    </row>
    <row r="217" spans="4:10" x14ac:dyDescent="0.2">
      <c r="D217" t="s">
        <v>25</v>
      </c>
      <c r="E217">
        <f>'NHL2025-26Results'!C212</f>
        <v>3</v>
      </c>
      <c r="F217" t="s">
        <v>15</v>
      </c>
      <c r="G217">
        <f>'NHL2025-26Results'!E212</f>
        <v>0</v>
      </c>
      <c r="H217">
        <f>Table3[[#This Row],[G_1]]-Table3[[#This Row],[G]]</f>
        <v>-3</v>
      </c>
      <c r="I217">
        <f>HomeEdge+VLOOKUP(Table3[[#This Row],[Home]],$A$6:$B$38,2,FALSE)-VLOOKUP(Table3[[#This Row],[Visitor]],$A$6:$B$38,2,FALSE)</f>
        <v>-0.66580837288933281</v>
      </c>
      <c r="J217">
        <f>(Table3[[#This Row],[HomeMargin]]-Table3[[#This Row],[HomeForecast]])^2</f>
        <v>5.4484505520735436</v>
      </c>
    </row>
    <row r="218" spans="4:10" x14ac:dyDescent="0.2">
      <c r="D218" t="s">
        <v>26</v>
      </c>
      <c r="E218">
        <f>'NHL2025-26Results'!C213</f>
        <v>0</v>
      </c>
      <c r="F218" t="s">
        <v>20</v>
      </c>
      <c r="G218">
        <f>'NHL2025-26Results'!E213</f>
        <v>1</v>
      </c>
      <c r="H218">
        <f>Table3[[#This Row],[G_1]]-Table3[[#This Row],[G]]</f>
        <v>1</v>
      </c>
      <c r="I218">
        <f>HomeEdge+VLOOKUP(Table3[[#This Row],[Home]],$A$6:$B$38,2,FALSE)-VLOOKUP(Table3[[#This Row],[Visitor]],$A$6:$B$38,2,FALSE)</f>
        <v>0.68079948363483545</v>
      </c>
      <c r="J218">
        <f>(Table3[[#This Row],[HomeMargin]]-Table3[[#This Row],[HomeForecast]])^2</f>
        <v>0.10188896964778768</v>
      </c>
    </row>
    <row r="219" spans="4:10" x14ac:dyDescent="0.2">
      <c r="D219" t="s">
        <v>28</v>
      </c>
      <c r="E219">
        <f>'NHL2025-26Results'!C214</f>
        <v>1</v>
      </c>
      <c r="F219" t="s">
        <v>16</v>
      </c>
      <c r="G219">
        <f>'NHL2025-26Results'!E214</f>
        <v>5</v>
      </c>
      <c r="H219">
        <f>Table3[[#This Row],[G_1]]-Table3[[#This Row],[G]]</f>
        <v>4</v>
      </c>
      <c r="I219">
        <f>HomeEdge+VLOOKUP(Table3[[#This Row],[Home]],$A$6:$B$38,2,FALSE)-VLOOKUP(Table3[[#This Row],[Visitor]],$A$6:$B$38,2,FALSE)</f>
        <v>-0.42089112577091814</v>
      </c>
      <c r="J219">
        <f>(Table3[[#This Row],[HomeMargin]]-Table3[[#This Row],[HomeForecast]])^2</f>
        <v>19.544278345920056</v>
      </c>
    </row>
    <row r="220" spans="4:10" x14ac:dyDescent="0.2">
      <c r="D220" t="s">
        <v>33</v>
      </c>
      <c r="E220">
        <f>'NHL2025-26Results'!C215</f>
        <v>6</v>
      </c>
      <c r="F220" t="s">
        <v>32</v>
      </c>
      <c r="G220">
        <f>'NHL2025-26Results'!E215</f>
        <v>1</v>
      </c>
      <c r="H220">
        <f>Table3[[#This Row],[G_1]]-Table3[[#This Row],[G]]</f>
        <v>-5</v>
      </c>
      <c r="I220">
        <f>HomeEdge+VLOOKUP(Table3[[#This Row],[Home]],$A$6:$B$38,2,FALSE)-VLOOKUP(Table3[[#This Row],[Visitor]],$A$6:$B$38,2,FALSE)</f>
        <v>-0.14814549397268417</v>
      </c>
      <c r="J220">
        <f>(Table3[[#This Row],[HomeMargin]]-Table3[[#This Row],[HomeForecast]])^2</f>
        <v>23.540492147657567</v>
      </c>
    </row>
    <row r="221" spans="4:10" x14ac:dyDescent="0.2">
      <c r="D221" t="s">
        <v>55</v>
      </c>
      <c r="E221">
        <f>'NHL2025-26Results'!C216</f>
        <v>3</v>
      </c>
      <c r="F221" t="s">
        <v>19</v>
      </c>
      <c r="G221">
        <f>'NHL2025-26Results'!E216</f>
        <v>5</v>
      </c>
      <c r="H221">
        <f>Table3[[#This Row],[G_1]]-Table3[[#This Row],[G]]</f>
        <v>2</v>
      </c>
      <c r="I221">
        <f>HomeEdge+VLOOKUP(Table3[[#This Row],[Home]],$A$6:$B$38,2,FALSE)-VLOOKUP(Table3[[#This Row],[Visitor]],$A$6:$B$38,2,FALSE)</f>
        <v>-0.18145455337463562</v>
      </c>
      <c r="J221">
        <f>(Table3[[#This Row],[HomeMargin]]-Table3[[#This Row],[HomeForecast]])^2</f>
        <v>4.7587439684389299</v>
      </c>
    </row>
    <row r="222" spans="4:10" x14ac:dyDescent="0.2">
      <c r="D222" t="s">
        <v>10</v>
      </c>
      <c r="E222">
        <f>'NHL2025-26Results'!C217</f>
        <v>5</v>
      </c>
      <c r="F222" t="s">
        <v>38</v>
      </c>
      <c r="G222">
        <f>'NHL2025-26Results'!E217</f>
        <v>2</v>
      </c>
      <c r="H222">
        <f>Table3[[#This Row],[G_1]]-Table3[[#This Row],[G]]</f>
        <v>-3</v>
      </c>
      <c r="I222">
        <f>HomeEdge+VLOOKUP(Table3[[#This Row],[Home]],$A$6:$B$38,2,FALSE)-VLOOKUP(Table3[[#This Row],[Visitor]],$A$6:$B$38,2,FALSE)</f>
        <v>-0.72158075100332808</v>
      </c>
      <c r="J222">
        <f>(Table3[[#This Row],[HomeMargin]]-Table3[[#This Row],[HomeForecast]])^2</f>
        <v>5.1911942741985575</v>
      </c>
    </row>
    <row r="223" spans="4:10" x14ac:dyDescent="0.2">
      <c r="D223" t="s">
        <v>35</v>
      </c>
      <c r="E223">
        <f>'NHL2025-26Results'!C218</f>
        <v>1</v>
      </c>
      <c r="F223" t="s">
        <v>22</v>
      </c>
      <c r="G223">
        <f>'NHL2025-26Results'!E218</f>
        <v>6</v>
      </c>
      <c r="H223">
        <f>Table3[[#This Row],[G_1]]-Table3[[#This Row],[G]]</f>
        <v>5</v>
      </c>
      <c r="I223">
        <f>HomeEdge+VLOOKUP(Table3[[#This Row],[Home]],$A$6:$B$38,2,FALSE)-VLOOKUP(Table3[[#This Row],[Visitor]],$A$6:$B$38,2,FALSE)</f>
        <v>1.8850863537246418</v>
      </c>
      <c r="J223">
        <f>(Table3[[#This Row],[HomeMargin]]-Table3[[#This Row],[HomeForecast]])^2</f>
        <v>9.7026870237524463</v>
      </c>
    </row>
    <row r="224" spans="4:10" x14ac:dyDescent="0.2">
      <c r="D224" t="s">
        <v>36</v>
      </c>
      <c r="E224">
        <f>'NHL2025-26Results'!C219</f>
        <v>2</v>
      </c>
      <c r="F224" t="s">
        <v>21</v>
      </c>
      <c r="G224">
        <f>'NHL2025-26Results'!E219</f>
        <v>3</v>
      </c>
      <c r="H224">
        <f>Table3[[#This Row],[G_1]]-Table3[[#This Row],[G]]</f>
        <v>1</v>
      </c>
      <c r="I224">
        <f>HomeEdge+VLOOKUP(Table3[[#This Row],[Home]],$A$6:$B$38,2,FALSE)-VLOOKUP(Table3[[#This Row],[Visitor]],$A$6:$B$38,2,FALSE)</f>
        <v>0.36150703934026951</v>
      </c>
      <c r="J224">
        <f>(Table3[[#This Row],[HomeMargin]]-Table3[[#This Row],[HomeForecast]])^2</f>
        <v>0.40767326081202815</v>
      </c>
    </row>
    <row r="225" spans="4:10" x14ac:dyDescent="0.2">
      <c r="D225" t="s">
        <v>35</v>
      </c>
      <c r="E225">
        <f>'NHL2025-26Results'!C220</f>
        <v>3</v>
      </c>
      <c r="F225" t="s">
        <v>23</v>
      </c>
      <c r="G225">
        <f>'NHL2025-26Results'!E220</f>
        <v>0</v>
      </c>
      <c r="H225">
        <f>Table3[[#This Row],[G_1]]-Table3[[#This Row],[G]]</f>
        <v>-3</v>
      </c>
      <c r="I225">
        <f>HomeEdge+VLOOKUP(Table3[[#This Row],[Home]],$A$6:$B$38,2,FALSE)-VLOOKUP(Table3[[#This Row],[Visitor]],$A$6:$B$38,2,FALSE)</f>
        <v>0.96826868513029529</v>
      </c>
      <c r="J225">
        <f>(Table3[[#This Row],[HomeMargin]]-Table3[[#This Row],[HomeForecast]])^2</f>
        <v>15.747156357385723</v>
      </c>
    </row>
    <row r="226" spans="4:10" x14ac:dyDescent="0.2">
      <c r="D226" t="s">
        <v>34</v>
      </c>
      <c r="E226">
        <f>'NHL2025-26Results'!C221</f>
        <v>3</v>
      </c>
      <c r="F226" t="s">
        <v>25</v>
      </c>
      <c r="G226">
        <f>'NHL2025-26Results'!E221</f>
        <v>4</v>
      </c>
      <c r="H226">
        <f>Table3[[#This Row],[G_1]]-Table3[[#This Row],[G]]</f>
        <v>1</v>
      </c>
      <c r="I226">
        <f>HomeEdge+VLOOKUP(Table3[[#This Row],[Home]],$A$6:$B$38,2,FALSE)-VLOOKUP(Table3[[#This Row],[Visitor]],$A$6:$B$38,2,FALSE)</f>
        <v>0.530700673701194</v>
      </c>
      <c r="J226">
        <f>(Table3[[#This Row],[HomeMargin]]-Table3[[#This Row],[HomeForecast]])^2</f>
        <v>0.22024185766451318</v>
      </c>
    </row>
    <row r="227" spans="4:10" x14ac:dyDescent="0.2">
      <c r="D227" t="s">
        <v>31</v>
      </c>
      <c r="E227">
        <f>'NHL2025-26Results'!C222</f>
        <v>7</v>
      </c>
      <c r="F227" t="s">
        <v>39</v>
      </c>
      <c r="G227">
        <f>'NHL2025-26Results'!E222</f>
        <v>5</v>
      </c>
      <c r="H227">
        <f>Table3[[#This Row],[G_1]]-Table3[[#This Row],[G]]</f>
        <v>-2</v>
      </c>
      <c r="I227">
        <f>HomeEdge+VLOOKUP(Table3[[#This Row],[Home]],$A$6:$B$38,2,FALSE)-VLOOKUP(Table3[[#This Row],[Visitor]],$A$6:$B$38,2,FALSE)</f>
        <v>0.28464022893901597</v>
      </c>
      <c r="J227">
        <f>(Table3[[#This Row],[HomeMargin]]-Table3[[#This Row],[HomeForecast]])^2</f>
        <v>5.2195809756865179</v>
      </c>
    </row>
    <row r="228" spans="4:10" x14ac:dyDescent="0.2">
      <c r="D228" t="s">
        <v>11</v>
      </c>
      <c r="E228">
        <f>'NHL2025-26Results'!C223</f>
        <v>5</v>
      </c>
      <c r="F228" t="s">
        <v>13</v>
      </c>
      <c r="G228">
        <f>'NHL2025-26Results'!E223</f>
        <v>2</v>
      </c>
      <c r="H228">
        <f>Table3[[#This Row],[G_1]]-Table3[[#This Row],[G]]</f>
        <v>-3</v>
      </c>
      <c r="I228">
        <f>HomeEdge+VLOOKUP(Table3[[#This Row],[Home]],$A$6:$B$38,2,FALSE)-VLOOKUP(Table3[[#This Row],[Visitor]],$A$6:$B$38,2,FALSE)</f>
        <v>0.10873544131005536</v>
      </c>
      <c r="J228">
        <f>(Table3[[#This Row],[HomeMargin]]-Table3[[#This Row],[HomeForecast]])^2</f>
        <v>9.6642360440572244</v>
      </c>
    </row>
    <row r="229" spans="4:10" x14ac:dyDescent="0.2">
      <c r="D229" t="s">
        <v>18</v>
      </c>
      <c r="E229">
        <f>'NHL2025-26Results'!C224</f>
        <v>3</v>
      </c>
      <c r="F229" t="s">
        <v>24</v>
      </c>
      <c r="G229">
        <f>'NHL2025-26Results'!E224</f>
        <v>4</v>
      </c>
      <c r="H229">
        <f>Table3[[#This Row],[G_1]]-Table3[[#This Row],[G]]</f>
        <v>1</v>
      </c>
      <c r="I229">
        <f>HomeEdge+VLOOKUP(Table3[[#This Row],[Home]],$A$6:$B$38,2,FALSE)-VLOOKUP(Table3[[#This Row],[Visitor]],$A$6:$B$38,2,FALSE)</f>
        <v>0.64432062796159195</v>
      </c>
      <c r="J229">
        <f>(Table3[[#This Row],[HomeMargin]]-Table3[[#This Row],[HomeForecast]])^2</f>
        <v>0.12650781569363628</v>
      </c>
    </row>
    <row r="230" spans="4:10" x14ac:dyDescent="0.2">
      <c r="D230" t="s">
        <v>27</v>
      </c>
      <c r="E230">
        <f>'NHL2025-26Results'!C225</f>
        <v>3</v>
      </c>
      <c r="F230" t="s">
        <v>29</v>
      </c>
      <c r="G230">
        <f>'NHL2025-26Results'!E225</f>
        <v>1</v>
      </c>
      <c r="H230">
        <f>Table3[[#This Row],[G_1]]-Table3[[#This Row],[G]]</f>
        <v>-2</v>
      </c>
      <c r="I230">
        <f>HomeEdge+VLOOKUP(Table3[[#This Row],[Home]],$A$6:$B$38,2,FALSE)-VLOOKUP(Table3[[#This Row],[Visitor]],$A$6:$B$38,2,FALSE)</f>
        <v>-0.95477695138058249</v>
      </c>
      <c r="J230">
        <f>(Table3[[#This Row],[HomeMargin]]-Table3[[#This Row],[HomeForecast]])^2</f>
        <v>1.0924912213652689</v>
      </c>
    </row>
    <row r="231" spans="4:10" x14ac:dyDescent="0.2">
      <c r="D231" t="s">
        <v>22</v>
      </c>
      <c r="E231">
        <f>'NHL2025-26Results'!C226</f>
        <v>3</v>
      </c>
      <c r="F231" t="s">
        <v>14</v>
      </c>
      <c r="G231">
        <f>'NHL2025-26Results'!E226</f>
        <v>5</v>
      </c>
      <c r="H231">
        <f>Table3[[#This Row],[G_1]]-Table3[[#This Row],[G]]</f>
        <v>2</v>
      </c>
      <c r="I231">
        <f>HomeEdge+VLOOKUP(Table3[[#This Row],[Home]],$A$6:$B$38,2,FALSE)-VLOOKUP(Table3[[#This Row],[Visitor]],$A$6:$B$38,2,FALSE)</f>
        <v>-0.53307070549608448</v>
      </c>
      <c r="J231">
        <f>(Table3[[#This Row],[HomeMargin]]-Table3[[#This Row],[HomeForecast]])^2</f>
        <v>6.4164471990424321</v>
      </c>
    </row>
    <row r="232" spans="4:10" x14ac:dyDescent="0.2">
      <c r="D232" t="s">
        <v>37</v>
      </c>
      <c r="E232">
        <f>'NHL2025-26Results'!C227</f>
        <v>6</v>
      </c>
      <c r="F232" t="s">
        <v>20</v>
      </c>
      <c r="G232">
        <f>'NHL2025-26Results'!E227</f>
        <v>3</v>
      </c>
      <c r="H232">
        <f>Table3[[#This Row],[G_1]]-Table3[[#This Row],[G]]</f>
        <v>-3</v>
      </c>
      <c r="I232">
        <f>HomeEdge+VLOOKUP(Table3[[#This Row],[Home]],$A$6:$B$38,2,FALSE)-VLOOKUP(Table3[[#This Row],[Visitor]],$A$6:$B$38,2,FALSE)</f>
        <v>-0.70504502814407832</v>
      </c>
      <c r="J232">
        <f>(Table3[[#This Row],[HomeMargin]]-Table3[[#This Row],[HomeForecast]])^2</f>
        <v>5.2668183228462144</v>
      </c>
    </row>
    <row r="233" spans="4:10" x14ac:dyDescent="0.2">
      <c r="D233" t="s">
        <v>10</v>
      </c>
      <c r="E233">
        <f>'NHL2025-26Results'!C228</f>
        <v>4</v>
      </c>
      <c r="F233" t="s">
        <v>16</v>
      </c>
      <c r="G233">
        <f>'NHL2025-26Results'!E228</f>
        <v>0</v>
      </c>
      <c r="H233">
        <f>Table3[[#This Row],[G_1]]-Table3[[#This Row],[G]]</f>
        <v>-4</v>
      </c>
      <c r="I233">
        <f>HomeEdge+VLOOKUP(Table3[[#This Row],[Home]],$A$6:$B$38,2,FALSE)-VLOOKUP(Table3[[#This Row],[Visitor]],$A$6:$B$38,2,FALSE)</f>
        <v>-0.8396842749371447</v>
      </c>
      <c r="J233">
        <f>(Table3[[#This Row],[HomeMargin]]-Table3[[#This Row],[HomeForecast]])^2</f>
        <v>9.9875954820795609</v>
      </c>
    </row>
    <row r="234" spans="4:10" x14ac:dyDescent="0.2">
      <c r="D234" t="s">
        <v>15</v>
      </c>
      <c r="E234">
        <f>'NHL2025-26Results'!C229</f>
        <v>4</v>
      </c>
      <c r="F234" t="s">
        <v>26</v>
      </c>
      <c r="G234">
        <f>'NHL2025-26Results'!E229</f>
        <v>1</v>
      </c>
      <c r="H234">
        <f>Table3[[#This Row],[G_1]]-Table3[[#This Row],[G]]</f>
        <v>-3</v>
      </c>
      <c r="I234">
        <f>HomeEdge+VLOOKUP(Table3[[#This Row],[Home]],$A$6:$B$38,2,FALSE)-VLOOKUP(Table3[[#This Row],[Visitor]],$A$6:$B$38,2,FALSE)</f>
        <v>-0.53540483162520447</v>
      </c>
      <c r="J234">
        <f>(Table3[[#This Row],[HomeMargin]]-Table3[[#This Row],[HomeForecast]])^2</f>
        <v>6.0742293439763868</v>
      </c>
    </row>
    <row r="235" spans="4:10" x14ac:dyDescent="0.2">
      <c r="D235" t="s">
        <v>34</v>
      </c>
      <c r="E235">
        <f>'NHL2025-26Results'!C230</f>
        <v>5</v>
      </c>
      <c r="F235" t="s">
        <v>30</v>
      </c>
      <c r="G235">
        <f>'NHL2025-26Results'!E230</f>
        <v>2</v>
      </c>
      <c r="H235">
        <f>Table3[[#This Row],[G_1]]-Table3[[#This Row],[G]]</f>
        <v>-3</v>
      </c>
      <c r="I235">
        <f>HomeEdge+VLOOKUP(Table3[[#This Row],[Home]],$A$6:$B$38,2,FALSE)-VLOOKUP(Table3[[#This Row],[Visitor]],$A$6:$B$38,2,FALSE)</f>
        <v>-0.13590646106869134</v>
      </c>
      <c r="J235">
        <f>(Table3[[#This Row],[HomeMargin]]-Table3[[#This Row],[HomeForecast]])^2</f>
        <v>8.2030317997480662</v>
      </c>
    </row>
    <row r="236" spans="4:10" x14ac:dyDescent="0.2">
      <c r="D236" t="s">
        <v>40</v>
      </c>
      <c r="E236">
        <f>'NHL2025-26Results'!C231</f>
        <v>1</v>
      </c>
      <c r="F236" t="s">
        <v>33</v>
      </c>
      <c r="G236">
        <f>'NHL2025-26Results'!E231</f>
        <v>2</v>
      </c>
      <c r="H236">
        <f>Table3[[#This Row],[G_1]]-Table3[[#This Row],[G]]</f>
        <v>1</v>
      </c>
      <c r="I236">
        <f>HomeEdge+VLOOKUP(Table3[[#This Row],[Home]],$A$6:$B$38,2,FALSE)-VLOOKUP(Table3[[#This Row],[Visitor]],$A$6:$B$38,2,FALSE)</f>
        <v>-8.818841967628932E-2</v>
      </c>
      <c r="J236">
        <f>(Table3[[#This Row],[HomeMargin]]-Table3[[#This Row],[HomeForecast]])^2</f>
        <v>1.1841540367175802</v>
      </c>
    </row>
    <row r="237" spans="4:10" x14ac:dyDescent="0.2">
      <c r="D237" t="s">
        <v>23</v>
      </c>
      <c r="E237">
        <f>'NHL2025-26Results'!C232</f>
        <v>3</v>
      </c>
      <c r="F237" t="s">
        <v>25</v>
      </c>
      <c r="G237">
        <f>'NHL2025-26Results'!E232</f>
        <v>6</v>
      </c>
      <c r="H237">
        <f>Table3[[#This Row],[G_1]]-Table3[[#This Row],[G]]</f>
        <v>3</v>
      </c>
      <c r="I237">
        <f>HomeEdge+VLOOKUP(Table3[[#This Row],[Home]],$A$6:$B$38,2,FALSE)-VLOOKUP(Table3[[#This Row],[Visitor]],$A$6:$B$38,2,FALSE)</f>
        <v>0.95168632199230485</v>
      </c>
      <c r="J237">
        <f>(Table3[[#This Row],[HomeMargin]]-Table3[[#This Row],[HomeForecast]])^2</f>
        <v>4.1955889235134123</v>
      </c>
    </row>
    <row r="238" spans="4:10" x14ac:dyDescent="0.2">
      <c r="D238" t="s">
        <v>12</v>
      </c>
      <c r="E238">
        <f>'NHL2025-26Results'!C233</f>
        <v>9</v>
      </c>
      <c r="F238" t="s">
        <v>17</v>
      </c>
      <c r="G238">
        <f>'NHL2025-26Results'!E233</f>
        <v>1</v>
      </c>
      <c r="H238">
        <f>Table3[[#This Row],[G_1]]-Table3[[#This Row],[G]]</f>
        <v>-8</v>
      </c>
      <c r="I238">
        <f>HomeEdge+VLOOKUP(Table3[[#This Row],[Home]],$A$6:$B$38,2,FALSE)-VLOOKUP(Table3[[#This Row],[Visitor]],$A$6:$B$38,2,FALSE)</f>
        <v>-2.3997495737413352</v>
      </c>
      <c r="J238">
        <f>(Table3[[#This Row],[HomeMargin]]-Table3[[#This Row],[HomeForecast]])^2</f>
        <v>31.362804836810355</v>
      </c>
    </row>
    <row r="239" spans="4:10" x14ac:dyDescent="0.2">
      <c r="D239" t="s">
        <v>55</v>
      </c>
      <c r="E239">
        <f>'NHL2025-26Results'!C234</f>
        <v>2</v>
      </c>
      <c r="F239" t="s">
        <v>18</v>
      </c>
      <c r="G239">
        <f>'NHL2025-26Results'!E234</f>
        <v>6</v>
      </c>
      <c r="H239">
        <f>Table3[[#This Row],[G_1]]-Table3[[#This Row],[G]]</f>
        <v>4</v>
      </c>
      <c r="I239">
        <f>HomeEdge+VLOOKUP(Table3[[#This Row],[Home]],$A$6:$B$38,2,FALSE)-VLOOKUP(Table3[[#This Row],[Visitor]],$A$6:$B$38,2,FALSE)</f>
        <v>-0.13986559032948026</v>
      </c>
      <c r="J239">
        <f>(Table3[[#This Row],[HomeMargin]]-Table3[[#This Row],[HomeForecast]])^2</f>
        <v>17.138487105994052</v>
      </c>
    </row>
    <row r="240" spans="4:10" x14ac:dyDescent="0.2">
      <c r="D240" t="s">
        <v>14</v>
      </c>
      <c r="E240">
        <f>'NHL2025-26Results'!C235</f>
        <v>1</v>
      </c>
      <c r="F240" t="s">
        <v>24</v>
      </c>
      <c r="G240">
        <f>'NHL2025-26Results'!E235</f>
        <v>2</v>
      </c>
      <c r="H240">
        <f>Table3[[#This Row],[G_1]]-Table3[[#This Row],[G]]</f>
        <v>1</v>
      </c>
      <c r="I240">
        <f>HomeEdge+VLOOKUP(Table3[[#This Row],[Home]],$A$6:$B$38,2,FALSE)-VLOOKUP(Table3[[#This Row],[Visitor]],$A$6:$B$38,2,FALSE)</f>
        <v>0.19369522125325678</v>
      </c>
      <c r="J240">
        <f>(Table3[[#This Row],[HomeMargin]]-Table3[[#This Row],[HomeForecast]])^2</f>
        <v>0.65012739622983451</v>
      </c>
    </row>
    <row r="241" spans="4:10" x14ac:dyDescent="0.2">
      <c r="D241" t="s">
        <v>39</v>
      </c>
      <c r="E241">
        <f>'NHL2025-26Results'!C236</f>
        <v>5</v>
      </c>
      <c r="F241" t="s">
        <v>29</v>
      </c>
      <c r="G241">
        <f>'NHL2025-26Results'!E236</f>
        <v>4</v>
      </c>
      <c r="H241">
        <f>Table3[[#This Row],[G_1]]-Table3[[#This Row],[G]]</f>
        <v>-1</v>
      </c>
      <c r="I241">
        <f>HomeEdge+VLOOKUP(Table3[[#This Row],[Home]],$A$6:$B$38,2,FALSE)-VLOOKUP(Table3[[#This Row],[Visitor]],$A$6:$B$38,2,FALSE)</f>
        <v>-1.7484590367420183</v>
      </c>
      <c r="J241">
        <f>(Table3[[#This Row],[HomeMargin]]-Table3[[#This Row],[HomeForecast]])^2</f>
        <v>0.56019092968078987</v>
      </c>
    </row>
    <row r="242" spans="4:10" x14ac:dyDescent="0.2">
      <c r="D242" t="s">
        <v>30</v>
      </c>
      <c r="E242">
        <f>'NHL2025-26Results'!C237</f>
        <v>5</v>
      </c>
      <c r="F242" t="s">
        <v>15</v>
      </c>
      <c r="G242">
        <f>'NHL2025-26Results'!E237</f>
        <v>0</v>
      </c>
      <c r="H242">
        <f>Table3[[#This Row],[G_1]]-Table3[[#This Row],[G]]</f>
        <v>-5</v>
      </c>
      <c r="I242">
        <f>HomeEdge+VLOOKUP(Table3[[#This Row],[Home]],$A$6:$B$38,2,FALSE)-VLOOKUP(Table3[[#This Row],[Visitor]],$A$6:$B$38,2,FALSE)</f>
        <v>7.9876188055247321E-4</v>
      </c>
      <c r="J242">
        <f>(Table3[[#This Row],[HomeMargin]]-Table3[[#This Row],[HomeForecast]])^2</f>
        <v>25.007988256826064</v>
      </c>
    </row>
    <row r="243" spans="4:10" x14ac:dyDescent="0.2">
      <c r="D243" t="s">
        <v>36</v>
      </c>
      <c r="E243">
        <f>'NHL2025-26Results'!C238</f>
        <v>3</v>
      </c>
      <c r="F243" t="s">
        <v>27</v>
      </c>
      <c r="G243">
        <f>'NHL2025-26Results'!E238</f>
        <v>2</v>
      </c>
      <c r="H243">
        <f>Table3[[#This Row],[G_1]]-Table3[[#This Row],[G]]</f>
        <v>-1</v>
      </c>
      <c r="I243">
        <f>HomeEdge+VLOOKUP(Table3[[#This Row],[Home]],$A$6:$B$38,2,FALSE)-VLOOKUP(Table3[[#This Row],[Visitor]],$A$6:$B$38,2,FALSE)</f>
        <v>0.20103721628168508</v>
      </c>
      <c r="J243">
        <f>(Table3[[#This Row],[HomeMargin]]-Table3[[#This Row],[HomeForecast]])^2</f>
        <v>1.4424903948936594</v>
      </c>
    </row>
    <row r="244" spans="4:10" x14ac:dyDescent="0.2">
      <c r="D244" t="s">
        <v>11</v>
      </c>
      <c r="E244">
        <f>'NHL2025-26Results'!C239</f>
        <v>1</v>
      </c>
      <c r="F244" t="s">
        <v>33</v>
      </c>
      <c r="G244">
        <f>'NHL2025-26Results'!E239</f>
        <v>3</v>
      </c>
      <c r="H244">
        <f>Table3[[#This Row],[G_1]]-Table3[[#This Row],[G]]</f>
        <v>2</v>
      </c>
      <c r="I244">
        <f>HomeEdge+VLOOKUP(Table3[[#This Row],[Home]],$A$6:$B$38,2,FALSE)-VLOOKUP(Table3[[#This Row],[Visitor]],$A$6:$B$38,2,FALSE)</f>
        <v>-4.3119523949743388E-3</v>
      </c>
      <c r="J244">
        <f>(Table3[[#This Row],[HomeMargin]]-Table3[[#This Row],[HomeForecast]])^2</f>
        <v>4.0172664025133544</v>
      </c>
    </row>
    <row r="245" spans="4:10" x14ac:dyDescent="0.2">
      <c r="D245" t="s">
        <v>32</v>
      </c>
      <c r="E245">
        <f>'NHL2025-26Results'!C240</f>
        <v>4</v>
      </c>
      <c r="F245" t="s">
        <v>35</v>
      </c>
      <c r="G245">
        <f>'NHL2025-26Results'!E240</f>
        <v>3</v>
      </c>
      <c r="H245">
        <f>Table3[[#This Row],[G_1]]-Table3[[#This Row],[G]]</f>
        <v>-1</v>
      </c>
      <c r="I245">
        <f>HomeEdge+VLOOKUP(Table3[[#This Row],[Home]],$A$6:$B$38,2,FALSE)-VLOOKUP(Table3[[#This Row],[Visitor]],$A$6:$B$38,2,FALSE)</f>
        <v>-0.69520038774647008</v>
      </c>
      <c r="J245">
        <f>(Table3[[#This Row],[HomeMargin]]-Table3[[#This Row],[HomeForecast]])^2</f>
        <v>9.2902803629902178E-2</v>
      </c>
    </row>
    <row r="246" spans="4:10" x14ac:dyDescent="0.2">
      <c r="D246" t="s">
        <v>22</v>
      </c>
      <c r="E246">
        <f>'NHL2025-26Results'!C241</f>
        <v>2</v>
      </c>
      <c r="F246" t="s">
        <v>37</v>
      </c>
      <c r="G246">
        <f>'NHL2025-26Results'!E241</f>
        <v>3</v>
      </c>
      <c r="H246">
        <f>Table3[[#This Row],[G_1]]-Table3[[#This Row],[G]]</f>
        <v>1</v>
      </c>
      <c r="I246">
        <f>HomeEdge+VLOOKUP(Table3[[#This Row],[Home]],$A$6:$B$38,2,FALSE)-VLOOKUP(Table3[[#This Row],[Visitor]],$A$6:$B$38,2,FALSE)</f>
        <v>0.11969846281600982</v>
      </c>
      <c r="J246">
        <f>(Table3[[#This Row],[HomeMargin]]-Table3[[#This Row],[HomeForecast]])^2</f>
        <v>0.77493079636849604</v>
      </c>
    </row>
    <row r="247" spans="4:10" x14ac:dyDescent="0.2">
      <c r="D247" t="s">
        <v>21</v>
      </c>
      <c r="E247">
        <f>'NHL2025-26Results'!C242</f>
        <v>5</v>
      </c>
      <c r="F247" t="s">
        <v>19</v>
      </c>
      <c r="G247">
        <f>'NHL2025-26Results'!E242</f>
        <v>3</v>
      </c>
      <c r="H247">
        <f>Table3[[#This Row],[G_1]]-Table3[[#This Row],[G]]</f>
        <v>-2</v>
      </c>
      <c r="I247">
        <f>HomeEdge+VLOOKUP(Table3[[#This Row],[Home]],$A$6:$B$38,2,FALSE)-VLOOKUP(Table3[[#This Row],[Visitor]],$A$6:$B$38,2,FALSE)</f>
        <v>-0.3648080819480865</v>
      </c>
      <c r="J247">
        <f>(Table3[[#This Row],[HomeMargin]]-Table3[[#This Row],[HomeForecast]])^2</f>
        <v>2.6738526088622958</v>
      </c>
    </row>
    <row r="248" spans="4:10" x14ac:dyDescent="0.2">
      <c r="D248" t="s">
        <v>28</v>
      </c>
      <c r="E248">
        <f>'NHL2025-26Results'!C243</f>
        <v>3</v>
      </c>
      <c r="F248" t="s">
        <v>38</v>
      </c>
      <c r="G248">
        <f>'NHL2025-26Results'!E243</f>
        <v>4</v>
      </c>
      <c r="H248">
        <f>Table3[[#This Row],[G_1]]-Table3[[#This Row],[G]]</f>
        <v>1</v>
      </c>
      <c r="I248">
        <f>HomeEdge+VLOOKUP(Table3[[#This Row],[Home]],$A$6:$B$38,2,FALSE)-VLOOKUP(Table3[[#This Row],[Visitor]],$A$6:$B$38,2,FALSE)</f>
        <v>-0.30278760183710141</v>
      </c>
      <c r="J248">
        <f>(Table3[[#This Row],[HomeMargin]]-Table3[[#This Row],[HomeForecast]])^2</f>
        <v>1.6972555355004659</v>
      </c>
    </row>
    <row r="249" spans="4:10" x14ac:dyDescent="0.2">
      <c r="D249" t="s">
        <v>31</v>
      </c>
      <c r="E249">
        <f>'NHL2025-26Results'!C244</f>
        <v>4</v>
      </c>
      <c r="F249" t="s">
        <v>20</v>
      </c>
      <c r="G249">
        <f>'NHL2025-26Results'!E244</f>
        <v>3</v>
      </c>
      <c r="H249">
        <f>Table3[[#This Row],[G_1]]-Table3[[#This Row],[G]]</f>
        <v>-1</v>
      </c>
      <c r="I249">
        <f>HomeEdge+VLOOKUP(Table3[[#This Row],[Home]],$A$6:$B$38,2,FALSE)-VLOOKUP(Table3[[#This Row],[Visitor]],$A$6:$B$38,2,FALSE)</f>
        <v>-0.37324310323674026</v>
      </c>
      <c r="J249">
        <f>(Table3[[#This Row],[HomeMargin]]-Table3[[#This Row],[HomeForecast]])^2</f>
        <v>0.39282420764031145</v>
      </c>
    </row>
    <row r="250" spans="4:10" x14ac:dyDescent="0.2">
      <c r="D250" t="s">
        <v>40</v>
      </c>
      <c r="E250">
        <f>'NHL2025-26Results'!C245</f>
        <v>1</v>
      </c>
      <c r="F250" t="s">
        <v>31</v>
      </c>
      <c r="G250">
        <f>'NHL2025-26Results'!E245</f>
        <v>4</v>
      </c>
      <c r="H250">
        <f>Table3[[#This Row],[G_1]]-Table3[[#This Row],[G]]</f>
        <v>3</v>
      </c>
      <c r="I250">
        <f>HomeEdge+VLOOKUP(Table3[[#This Row],[Home]],$A$6:$B$38,2,FALSE)-VLOOKUP(Table3[[#This Row],[Visitor]],$A$6:$B$38,2,FALSE)</f>
        <v>0.5418455945452203</v>
      </c>
      <c r="J250">
        <f>(Table3[[#This Row],[HomeMargin]]-Table3[[#This Row],[HomeForecast]])^2</f>
        <v>6.0425230810567401</v>
      </c>
    </row>
    <row r="251" spans="4:10" x14ac:dyDescent="0.2">
      <c r="D251" t="s">
        <v>32</v>
      </c>
      <c r="E251">
        <f>'NHL2025-26Results'!C246</f>
        <v>1</v>
      </c>
      <c r="F251" t="s">
        <v>39</v>
      </c>
      <c r="G251">
        <f>'NHL2025-26Results'!E246</f>
        <v>2</v>
      </c>
      <c r="H251">
        <f>Table3[[#This Row],[G_1]]-Table3[[#This Row],[G]]</f>
        <v>1</v>
      </c>
      <c r="I251">
        <f>HomeEdge+VLOOKUP(Table3[[#This Row],[Home]],$A$6:$B$38,2,FALSE)-VLOOKUP(Table3[[#This Row],[Visitor]],$A$6:$B$38,2,FALSE)</f>
        <v>1.1127204860563722</v>
      </c>
      <c r="J251">
        <f>(Table3[[#This Row],[HomeMargin]]-Table3[[#This Row],[HomeForecast]])^2</f>
        <v>1.2705907976784798E-2</v>
      </c>
    </row>
    <row r="252" spans="4:10" x14ac:dyDescent="0.2">
      <c r="D252" t="s">
        <v>10</v>
      </c>
      <c r="E252">
        <f>'NHL2025-26Results'!C247</f>
        <v>5</v>
      </c>
      <c r="F252" t="s">
        <v>26</v>
      </c>
      <c r="G252">
        <f>'NHL2025-26Results'!E247</f>
        <v>1</v>
      </c>
      <c r="H252">
        <f>Table3[[#This Row],[G_1]]-Table3[[#This Row],[G]]</f>
        <v>-4</v>
      </c>
      <c r="I252">
        <f>HomeEdge+VLOOKUP(Table3[[#This Row],[Home]],$A$6:$B$38,2,FALSE)-VLOOKUP(Table3[[#This Row],[Visitor]],$A$6:$B$38,2,FALSE)</f>
        <v>-0.64924256092483335</v>
      </c>
      <c r="J252">
        <f>(Table3[[#This Row],[HomeMargin]]-Table3[[#This Row],[HomeForecast]])^2</f>
        <v>11.227575415517569</v>
      </c>
    </row>
    <row r="253" spans="4:10" x14ac:dyDescent="0.2">
      <c r="D253" t="s">
        <v>16</v>
      </c>
      <c r="E253">
        <f>'NHL2025-26Results'!C248</f>
        <v>0</v>
      </c>
      <c r="F253" t="s">
        <v>34</v>
      </c>
      <c r="G253">
        <f>'NHL2025-26Results'!E248</f>
        <v>2</v>
      </c>
      <c r="H253">
        <f>Table3[[#This Row],[G_1]]-Table3[[#This Row],[G]]</f>
        <v>2</v>
      </c>
      <c r="I253">
        <f>HomeEdge+VLOOKUP(Table3[[#This Row],[Home]],$A$6:$B$38,2,FALSE)-VLOOKUP(Table3[[#This Row],[Visitor]],$A$6:$B$38,2,FALSE)</f>
        <v>1.0605572405183044</v>
      </c>
      <c r="J253">
        <f>(Table3[[#This Row],[HomeMargin]]-Table3[[#This Row],[HomeForecast]])^2</f>
        <v>0.8825526983425831</v>
      </c>
    </row>
    <row r="254" spans="4:10" x14ac:dyDescent="0.2">
      <c r="D254" t="s">
        <v>55</v>
      </c>
      <c r="E254">
        <f>'NHL2025-26Results'!C249</f>
        <v>2</v>
      </c>
      <c r="F254" t="s">
        <v>36</v>
      </c>
      <c r="G254">
        <f>'NHL2025-26Results'!E249</f>
        <v>4</v>
      </c>
      <c r="H254">
        <f>Table3[[#This Row],[G_1]]-Table3[[#This Row],[G]]</f>
        <v>2</v>
      </c>
      <c r="I254">
        <f>HomeEdge+VLOOKUP(Table3[[#This Row],[Home]],$A$6:$B$38,2,FALSE)-VLOOKUP(Table3[[#This Row],[Visitor]],$A$6:$B$38,2,FALSE)</f>
        <v>-7.8352012920493652E-2</v>
      </c>
      <c r="J254">
        <f>(Table3[[#This Row],[HomeMargin]]-Table3[[#This Row],[HomeForecast]])^2</f>
        <v>4.3195470896106682</v>
      </c>
    </row>
    <row r="255" spans="4:10" x14ac:dyDescent="0.2">
      <c r="D255" t="s">
        <v>13</v>
      </c>
      <c r="E255">
        <f>'NHL2025-26Results'!C250</f>
        <v>3</v>
      </c>
      <c r="F255" t="s">
        <v>14</v>
      </c>
      <c r="G255">
        <f>'NHL2025-26Results'!E250</f>
        <v>2</v>
      </c>
      <c r="H255">
        <f>Table3[[#This Row],[G_1]]-Table3[[#This Row],[G]]</f>
        <v>-1</v>
      </c>
      <c r="I255">
        <f>HomeEdge+VLOOKUP(Table3[[#This Row],[Home]],$A$6:$B$38,2,FALSE)-VLOOKUP(Table3[[#This Row],[Visitor]],$A$6:$B$38,2,FALSE)</f>
        <v>0.24592012603488611</v>
      </c>
      <c r="J255">
        <f>(Table3[[#This Row],[HomeMargin]]-Table3[[#This Row],[HomeForecast]])^2</f>
        <v>1.5523169604587863</v>
      </c>
    </row>
    <row r="256" spans="4:10" x14ac:dyDescent="0.2">
      <c r="D256" t="s">
        <v>25</v>
      </c>
      <c r="E256">
        <f>'NHL2025-26Results'!C251</f>
        <v>5</v>
      </c>
      <c r="F256" t="s">
        <v>19</v>
      </c>
      <c r="G256">
        <f>'NHL2025-26Results'!E251</f>
        <v>4</v>
      </c>
      <c r="H256">
        <f>Table3[[#This Row],[G_1]]-Table3[[#This Row],[G]]</f>
        <v>-1</v>
      </c>
      <c r="I256">
        <f>HomeEdge+VLOOKUP(Table3[[#This Row],[Home]],$A$6:$B$38,2,FALSE)-VLOOKUP(Table3[[#This Row],[Visitor]],$A$6:$B$38,2,FALSE)</f>
        <v>-1.0102529797243709</v>
      </c>
      <c r="J256">
        <f>(Table3[[#This Row],[HomeMargin]]-Table3[[#This Row],[HomeForecast]])^2</f>
        <v>1.0512359322836062E-4</v>
      </c>
    </row>
    <row r="257" spans="4:10" x14ac:dyDescent="0.2">
      <c r="D257" t="s">
        <v>12</v>
      </c>
      <c r="E257">
        <f>'NHL2025-26Results'!C252</f>
        <v>5</v>
      </c>
      <c r="F257" t="s">
        <v>38</v>
      </c>
      <c r="G257">
        <f>'NHL2025-26Results'!E252</f>
        <v>4</v>
      </c>
      <c r="H257">
        <f>Table3[[#This Row],[G_1]]-Table3[[#This Row],[G]]</f>
        <v>-1</v>
      </c>
      <c r="I257">
        <f>HomeEdge+VLOOKUP(Table3[[#This Row],[Home]],$A$6:$B$38,2,FALSE)-VLOOKUP(Table3[[#This Row],[Visitor]],$A$6:$B$38,2,FALSE)</f>
        <v>-2.5296806646146179</v>
      </c>
      <c r="J257">
        <f>(Table3[[#This Row],[HomeMargin]]-Table3[[#This Row],[HomeForecast]])^2</f>
        <v>2.3399229356958191</v>
      </c>
    </row>
    <row r="258" spans="4:10" x14ac:dyDescent="0.2">
      <c r="D258" t="s">
        <v>28</v>
      </c>
      <c r="E258">
        <f>'NHL2025-26Results'!C253</f>
        <v>4</v>
      </c>
      <c r="F258" t="s">
        <v>17</v>
      </c>
      <c r="G258">
        <f>'NHL2025-26Results'!E253</f>
        <v>5</v>
      </c>
      <c r="H258">
        <f>Table3[[#This Row],[G_1]]-Table3[[#This Row],[G]]</f>
        <v>1</v>
      </c>
      <c r="I258">
        <f>HomeEdge+VLOOKUP(Table3[[#This Row],[Home]],$A$6:$B$38,2,FALSE)-VLOOKUP(Table3[[#This Row],[Visitor]],$A$6:$B$38,2,FALSE)</f>
        <v>-0.17285651096381904</v>
      </c>
      <c r="J258">
        <f>(Table3[[#This Row],[HomeMargin]]-Table3[[#This Row],[HomeForecast]])^2</f>
        <v>1.3755923953102231</v>
      </c>
    </row>
    <row r="259" spans="4:10" x14ac:dyDescent="0.2">
      <c r="D259" t="s">
        <v>30</v>
      </c>
      <c r="E259">
        <f>'NHL2025-26Results'!C254</f>
        <v>3</v>
      </c>
      <c r="F259" t="s">
        <v>24</v>
      </c>
      <c r="G259">
        <f>'NHL2025-26Results'!E254</f>
        <v>2</v>
      </c>
      <c r="H259">
        <f>Table3[[#This Row],[G_1]]-Table3[[#This Row],[G]]</f>
        <v>-1</v>
      </c>
      <c r="I259">
        <f>HomeEdge+VLOOKUP(Table3[[#This Row],[Home]],$A$6:$B$38,2,FALSE)-VLOOKUP(Table3[[#This Row],[Visitor]],$A$6:$B$38,2,FALSE)</f>
        <v>0.29236299712909936</v>
      </c>
      <c r="J259">
        <f>(Table3[[#This Row],[HomeMargin]]-Table3[[#This Row],[HomeForecast]])^2</f>
        <v>1.6702021163485083</v>
      </c>
    </row>
    <row r="260" spans="4:10" x14ac:dyDescent="0.2">
      <c r="D260" t="s">
        <v>29</v>
      </c>
      <c r="E260">
        <f>'NHL2025-26Results'!C255</f>
        <v>3</v>
      </c>
      <c r="F260" t="s">
        <v>15</v>
      </c>
      <c r="G260">
        <f>'NHL2025-26Results'!E255</f>
        <v>6</v>
      </c>
      <c r="H260">
        <f>Table3[[#This Row],[G_1]]-Table3[[#This Row],[G]]</f>
        <v>3</v>
      </c>
      <c r="I260">
        <f>HomeEdge+VLOOKUP(Table3[[#This Row],[Home]],$A$6:$B$38,2,FALSE)-VLOOKUP(Table3[[#This Row],[Visitor]],$A$6:$B$38,2,FALSE)</f>
        <v>1.1447840482492808</v>
      </c>
      <c r="J260">
        <f>(Table3[[#This Row],[HomeMargin]]-Table3[[#This Row],[HomeForecast]])^2</f>
        <v>3.4418262276303269</v>
      </c>
    </row>
    <row r="261" spans="4:10" x14ac:dyDescent="0.2">
      <c r="D261" t="s">
        <v>11</v>
      </c>
      <c r="E261">
        <f>'NHL2025-26Results'!C256</f>
        <v>3</v>
      </c>
      <c r="F261" t="s">
        <v>20</v>
      </c>
      <c r="G261">
        <f>'NHL2025-26Results'!E256</f>
        <v>2</v>
      </c>
      <c r="H261">
        <f>Table3[[#This Row],[G_1]]-Table3[[#This Row],[G]]</f>
        <v>-1</v>
      </c>
      <c r="I261">
        <f>HomeEdge+VLOOKUP(Table3[[#This Row],[Home]],$A$6:$B$38,2,FALSE)-VLOOKUP(Table3[[#This Row],[Visitor]],$A$6:$B$38,2,FALSE)</f>
        <v>0.20257820966663259</v>
      </c>
      <c r="J261">
        <f>(Table3[[#This Row],[HomeMargin]]-Table3[[#This Row],[HomeForecast]])^2</f>
        <v>1.4461943503650034</v>
      </c>
    </row>
    <row r="262" spans="4:10" x14ac:dyDescent="0.2">
      <c r="D262" t="s">
        <v>19</v>
      </c>
      <c r="E262">
        <f>'NHL2025-26Results'!C257</f>
        <v>3</v>
      </c>
      <c r="F262" t="s">
        <v>21</v>
      </c>
      <c r="G262">
        <f>'NHL2025-26Results'!E257</f>
        <v>5</v>
      </c>
      <c r="H262">
        <f>Table3[[#This Row],[G_1]]-Table3[[#This Row],[G]]</f>
        <v>2</v>
      </c>
      <c r="I262">
        <f>HomeEdge+VLOOKUP(Table3[[#This Row],[Home]],$A$6:$B$38,2,FALSE)-VLOOKUP(Table3[[#This Row],[Visitor]],$A$6:$B$38,2,FALSE)</f>
        <v>0.46460957979441142</v>
      </c>
      <c r="J262">
        <f>(Table3[[#This Row],[HomeMargin]]-Table3[[#This Row],[HomeForecast]])^2</f>
        <v>2.357423742459094</v>
      </c>
    </row>
    <row r="263" spans="4:10" x14ac:dyDescent="0.2">
      <c r="D263" t="s">
        <v>22</v>
      </c>
      <c r="E263">
        <f>'NHL2025-26Results'!C258</f>
        <v>4</v>
      </c>
      <c r="F263" t="s">
        <v>25</v>
      </c>
      <c r="G263">
        <f>'NHL2025-26Results'!E258</f>
        <v>1</v>
      </c>
      <c r="H263">
        <f>Table3[[#This Row],[G_1]]-Table3[[#This Row],[G]]</f>
        <v>-3</v>
      </c>
      <c r="I263">
        <f>HomeEdge+VLOOKUP(Table3[[#This Row],[Home]],$A$6:$B$38,2,FALSE)-VLOOKUP(Table3[[#This Row],[Visitor]],$A$6:$B$38,2,FALSE)</f>
        <v>3.4868653397958249E-2</v>
      </c>
      <c r="J263">
        <f>(Table3[[#This Row],[HomeMargin]]-Table3[[#This Row],[HomeForecast]])^2</f>
        <v>9.2104277433775366</v>
      </c>
    </row>
    <row r="264" spans="4:10" x14ac:dyDescent="0.2">
      <c r="D264" t="s">
        <v>31</v>
      </c>
      <c r="E264">
        <f>'NHL2025-26Results'!C259</f>
        <v>1</v>
      </c>
      <c r="F264" t="s">
        <v>12</v>
      </c>
      <c r="G264">
        <f>'NHL2025-26Results'!E259</f>
        <v>4</v>
      </c>
      <c r="H264">
        <f>Table3[[#This Row],[G_1]]-Table3[[#This Row],[G]]</f>
        <v>3</v>
      </c>
      <c r="I264">
        <f>HomeEdge+VLOOKUP(Table3[[#This Row],[Home]],$A$6:$B$38,2,FALSE)-VLOOKUP(Table3[[#This Row],[Visitor]],$A$6:$B$38,2,FALSE)</f>
        <v>1.5031013855108724</v>
      </c>
      <c r="J264">
        <f>(Table3[[#This Row],[HomeMargin]]-Table3[[#This Row],[HomeForecast]])^2</f>
        <v>2.24070546205947</v>
      </c>
    </row>
    <row r="265" spans="4:10" x14ac:dyDescent="0.2">
      <c r="D265" t="s">
        <v>33</v>
      </c>
      <c r="E265">
        <f>'NHL2025-26Results'!C260</f>
        <v>2</v>
      </c>
      <c r="F265" t="s">
        <v>34</v>
      </c>
      <c r="G265">
        <f>'NHL2025-26Results'!E260</f>
        <v>1</v>
      </c>
      <c r="H265">
        <f>Table3[[#This Row],[G_1]]-Table3[[#This Row],[G]]</f>
        <v>-1</v>
      </c>
      <c r="I265">
        <f>HomeEdge+VLOOKUP(Table3[[#This Row],[Home]],$A$6:$B$38,2,FALSE)-VLOOKUP(Table3[[#This Row],[Visitor]],$A$6:$B$38,2,FALSE)</f>
        <v>0.44610695385592702</v>
      </c>
      <c r="J265">
        <f>(Table3[[#This Row],[HomeMargin]]-Table3[[#This Row],[HomeForecast]])^2</f>
        <v>2.0912253219904682</v>
      </c>
    </row>
    <row r="266" spans="4:10" x14ac:dyDescent="0.2">
      <c r="D266" t="s">
        <v>13</v>
      </c>
      <c r="E266">
        <f>'NHL2025-26Results'!C261</f>
        <v>5</v>
      </c>
      <c r="F266" t="s">
        <v>18</v>
      </c>
      <c r="G266">
        <f>'NHL2025-26Results'!E261</f>
        <v>1</v>
      </c>
      <c r="H266">
        <f>Table3[[#This Row],[G_1]]-Table3[[#This Row],[G]]</f>
        <v>-4</v>
      </c>
      <c r="I266">
        <f>HomeEdge+VLOOKUP(Table3[[#This Row],[Home]],$A$6:$B$38,2,FALSE)-VLOOKUP(Table3[[#This Row],[Visitor]],$A$6:$B$38,2,FALSE)</f>
        <v>-0.20470528067344906</v>
      </c>
      <c r="J266">
        <f>(Table3[[#This Row],[HomeMargin]]-Table3[[#This Row],[HomeForecast]])^2</f>
        <v>14.404262006548002</v>
      </c>
    </row>
    <row r="267" spans="4:10" x14ac:dyDescent="0.2">
      <c r="D267" t="s">
        <v>39</v>
      </c>
      <c r="E267">
        <f>'NHL2025-26Results'!C262</f>
        <v>3</v>
      </c>
      <c r="F267" t="s">
        <v>36</v>
      </c>
      <c r="G267">
        <f>'NHL2025-26Results'!E262</f>
        <v>2</v>
      </c>
      <c r="H267">
        <f>Table3[[#This Row],[G_1]]-Table3[[#This Row],[G]]</f>
        <v>-1</v>
      </c>
      <c r="I267">
        <f>HomeEdge+VLOOKUP(Table3[[#This Row],[Home]],$A$6:$B$38,2,FALSE)-VLOOKUP(Table3[[#This Row],[Visitor]],$A$6:$B$38,2,FALSE)</f>
        <v>-0.89491780379679597</v>
      </c>
      <c r="J267">
        <f>(Table3[[#This Row],[HomeMargin]]-Table3[[#This Row],[HomeForecast]])^2</f>
        <v>1.1042267958888666E-2</v>
      </c>
    </row>
    <row r="268" spans="4:10" x14ac:dyDescent="0.2">
      <c r="D268" t="s">
        <v>28</v>
      </c>
      <c r="E268">
        <f>'NHL2025-26Results'!C263</f>
        <v>2</v>
      </c>
      <c r="F268" t="s">
        <v>32</v>
      </c>
      <c r="G268">
        <f>'NHL2025-26Results'!E263</f>
        <v>1</v>
      </c>
      <c r="H268">
        <f>Table3[[#This Row],[G_1]]-Table3[[#This Row],[G]]</f>
        <v>-1</v>
      </c>
      <c r="I268">
        <f>HomeEdge+VLOOKUP(Table3[[#This Row],[Home]],$A$6:$B$38,2,FALSE)-VLOOKUP(Table3[[#This Row],[Visitor]],$A$6:$B$38,2,FALSE)</f>
        <v>-4.4870820043872994E-3</v>
      </c>
      <c r="J268">
        <f>(Table3[[#This Row],[HomeMargin]]-Table3[[#This Row],[HomeForecast]])^2</f>
        <v>0.99104596989613947</v>
      </c>
    </row>
    <row r="269" spans="4:10" x14ac:dyDescent="0.2">
      <c r="D269" t="s">
        <v>16</v>
      </c>
      <c r="E269">
        <f>'NHL2025-26Results'!C264</f>
        <v>2</v>
      </c>
      <c r="F269" t="s">
        <v>35</v>
      </c>
      <c r="G269">
        <f>'NHL2025-26Results'!E264</f>
        <v>3</v>
      </c>
      <c r="H269">
        <f>Table3[[#This Row],[G_1]]-Table3[[#This Row],[G]]</f>
        <v>1</v>
      </c>
      <c r="I269">
        <f>HomeEdge+VLOOKUP(Table3[[#This Row],[Home]],$A$6:$B$38,2,FALSE)-VLOOKUP(Table3[[#This Row],[Visitor]],$A$6:$B$38,2,FALSE)</f>
        <v>-0.27879634397993924</v>
      </c>
      <c r="J269">
        <f>(Table3[[#This Row],[HomeMargin]]-Table3[[#This Row],[HomeForecast]])^2</f>
        <v>1.635320089376459</v>
      </c>
    </row>
    <row r="270" spans="4:10" x14ac:dyDescent="0.2">
      <c r="D270" t="s">
        <v>40</v>
      </c>
      <c r="E270">
        <f>'NHL2025-26Results'!C265</f>
        <v>5</v>
      </c>
      <c r="F270" t="s">
        <v>38</v>
      </c>
      <c r="G270">
        <f>'NHL2025-26Results'!E265</f>
        <v>3</v>
      </c>
      <c r="H270">
        <f>Table3[[#This Row],[G_1]]-Table3[[#This Row],[G]]</f>
        <v>-2</v>
      </c>
      <c r="I270">
        <f>HomeEdge+VLOOKUP(Table3[[#This Row],[Home]],$A$6:$B$38,2,FALSE)-VLOOKUP(Table3[[#This Row],[Visitor]],$A$6:$B$38,2,FALSE)</f>
        <v>-0.58453518240485014</v>
      </c>
      <c r="J270">
        <f>(Table3[[#This Row],[HomeMargin]]-Table3[[#This Row],[HomeForecast]])^2</f>
        <v>2.0035406498496711</v>
      </c>
    </row>
    <row r="271" spans="4:10" x14ac:dyDescent="0.2">
      <c r="D271" t="s">
        <v>24</v>
      </c>
      <c r="E271">
        <f>'NHL2025-26Results'!C266</f>
        <v>4</v>
      </c>
      <c r="F271" t="s">
        <v>10</v>
      </c>
      <c r="G271">
        <f>'NHL2025-26Results'!E266</f>
        <v>3</v>
      </c>
      <c r="H271">
        <f>Table3[[#This Row],[G_1]]-Table3[[#This Row],[G]]</f>
        <v>-1</v>
      </c>
      <c r="I271">
        <f>HomeEdge+VLOOKUP(Table3[[#This Row],[Home]],$A$6:$B$38,2,FALSE)-VLOOKUP(Table3[[#This Row],[Visitor]],$A$6:$B$38,2,FALSE)</f>
        <v>-0.12782575702575544</v>
      </c>
      <c r="J271">
        <f>(Table3[[#This Row],[HomeMargin]]-Table3[[#This Row],[HomeForecast]])^2</f>
        <v>0.76068791010769654</v>
      </c>
    </row>
    <row r="272" spans="4:10" x14ac:dyDescent="0.2">
      <c r="D272" t="s">
        <v>17</v>
      </c>
      <c r="E272">
        <f>'NHL2025-26Results'!C267</f>
        <v>2</v>
      </c>
      <c r="F272" t="s">
        <v>27</v>
      </c>
      <c r="G272">
        <f>'NHL2025-26Results'!E267</f>
        <v>1</v>
      </c>
      <c r="H272">
        <f>Table3[[#This Row],[G_1]]-Table3[[#This Row],[G]]</f>
        <v>-1</v>
      </c>
      <c r="I272">
        <f>HomeEdge+VLOOKUP(Table3[[#This Row],[Home]],$A$6:$B$38,2,FALSE)-VLOOKUP(Table3[[#This Row],[Visitor]],$A$6:$B$38,2,FALSE)</f>
        <v>0.48740782965436819</v>
      </c>
      <c r="J272">
        <f>(Table3[[#This Row],[HomeMargin]]-Table3[[#This Row],[HomeForecast]])^2</f>
        <v>2.212382051717118</v>
      </c>
    </row>
    <row r="273" spans="4:10" x14ac:dyDescent="0.2">
      <c r="D273" t="s">
        <v>15</v>
      </c>
      <c r="E273">
        <f>'NHL2025-26Results'!C268</f>
        <v>7</v>
      </c>
      <c r="F273" t="s">
        <v>37</v>
      </c>
      <c r="G273">
        <f>'NHL2025-26Results'!E268</f>
        <v>3</v>
      </c>
      <c r="H273">
        <f>Table3[[#This Row],[G_1]]-Table3[[#This Row],[G]]</f>
        <v>-4</v>
      </c>
      <c r="I273">
        <f>HomeEdge+VLOOKUP(Table3[[#This Row],[Home]],$A$6:$B$38,2,FALSE)-VLOOKUP(Table3[[#This Row],[Visitor]],$A$6:$B$38,2,FALSE)</f>
        <v>0.8504396801537093</v>
      </c>
      <c r="J273">
        <f>(Table3[[#This Row],[HomeMargin]]-Table3[[#This Row],[HomeForecast]])^2</f>
        <v>23.526765090809615</v>
      </c>
    </row>
    <row r="274" spans="4:10" x14ac:dyDescent="0.2">
      <c r="D274" t="s">
        <v>23</v>
      </c>
      <c r="E274">
        <f>'NHL2025-26Results'!C269</f>
        <v>2</v>
      </c>
      <c r="F274" t="s">
        <v>55</v>
      </c>
      <c r="G274">
        <f>'NHL2025-26Results'!E269</f>
        <v>5</v>
      </c>
      <c r="H274">
        <f>Table3[[#This Row],[G_1]]-Table3[[#This Row],[G]]</f>
        <v>3</v>
      </c>
      <c r="I274">
        <f>HomeEdge+VLOOKUP(Table3[[#This Row],[Home]],$A$6:$B$38,2,FALSE)-VLOOKUP(Table3[[#This Row],[Visitor]],$A$6:$B$38,2,FALSE)</f>
        <v>0.12288789564256969</v>
      </c>
      <c r="J274">
        <f>(Table3[[#This Row],[HomeMargin]]-Table3[[#This Row],[HomeForecast]])^2</f>
        <v>8.2777740610400397</v>
      </c>
    </row>
    <row r="275" spans="4:10" x14ac:dyDescent="0.2">
      <c r="D275" t="s">
        <v>17</v>
      </c>
      <c r="E275">
        <f>'NHL2025-26Results'!C270</f>
        <v>4</v>
      </c>
      <c r="F275" t="s">
        <v>28</v>
      </c>
      <c r="G275">
        <f>'NHL2025-26Results'!E270</f>
        <v>5</v>
      </c>
      <c r="H275">
        <f>Table3[[#This Row],[G_1]]-Table3[[#This Row],[G]]</f>
        <v>1</v>
      </c>
      <c r="I275">
        <f>HomeEdge+VLOOKUP(Table3[[#This Row],[Home]],$A$6:$B$38,2,FALSE)-VLOOKUP(Table3[[#This Row],[Visitor]],$A$6:$B$38,2,FALSE)</f>
        <v>0.2726580088101439</v>
      </c>
      <c r="J275">
        <f>(Table3[[#This Row],[HomeMargin]]-Table3[[#This Row],[HomeForecast]])^2</f>
        <v>0.52902637214802473</v>
      </c>
    </row>
    <row r="276" spans="4:10" x14ac:dyDescent="0.2">
      <c r="D276" t="s">
        <v>33</v>
      </c>
      <c r="E276">
        <f>'NHL2025-26Results'!C271</f>
        <v>0</v>
      </c>
      <c r="F276" t="s">
        <v>16</v>
      </c>
      <c r="G276">
        <f>'NHL2025-26Results'!E271</f>
        <v>2</v>
      </c>
      <c r="H276">
        <f>Table3[[#This Row],[G_1]]-Table3[[#This Row],[G]]</f>
        <v>2</v>
      </c>
      <c r="I276">
        <f>HomeEdge+VLOOKUP(Table3[[#This Row],[Home]],$A$6:$B$38,2,FALSE)-VLOOKUP(Table3[[#This Row],[Visitor]],$A$6:$B$38,2,FALSE)</f>
        <v>-0.56454953773921501</v>
      </c>
      <c r="J276">
        <f>(Table3[[#This Row],[HomeMargin]]-Table3[[#This Row],[HomeForecast]])^2</f>
        <v>6.5769143315184211</v>
      </c>
    </row>
    <row r="277" spans="4:10" x14ac:dyDescent="0.2">
      <c r="D277" t="s">
        <v>23</v>
      </c>
      <c r="E277">
        <f>'NHL2025-26Results'!C272</f>
        <v>3</v>
      </c>
      <c r="F277" t="s">
        <v>12</v>
      </c>
      <c r="G277">
        <f>'NHL2025-26Results'!E272</f>
        <v>6</v>
      </c>
      <c r="H277">
        <f>Table3[[#This Row],[G_1]]-Table3[[#This Row],[G]]</f>
        <v>3</v>
      </c>
      <c r="I277">
        <f>HomeEdge+VLOOKUP(Table3[[#This Row],[Home]],$A$6:$B$38,2,FALSE)-VLOOKUP(Table3[[#This Row],[Visitor]],$A$6:$B$38,2,FALSE)</f>
        <v>2.1579148430907282</v>
      </c>
      <c r="J277">
        <f>(Table3[[#This Row],[HomeMargin]]-Table3[[#This Row],[HomeForecast]])^2</f>
        <v>0.70910741148691281</v>
      </c>
    </row>
    <row r="278" spans="4:10" x14ac:dyDescent="0.2">
      <c r="D278" t="s">
        <v>31</v>
      </c>
      <c r="E278">
        <f>'NHL2025-26Results'!C273</f>
        <v>3</v>
      </c>
      <c r="F278" t="s">
        <v>26</v>
      </c>
      <c r="G278">
        <f>'NHL2025-26Results'!E273</f>
        <v>6</v>
      </c>
      <c r="H278">
        <f>Table3[[#This Row],[G_1]]-Table3[[#This Row],[G]]</f>
        <v>3</v>
      </c>
      <c r="I278">
        <f>HomeEdge+VLOOKUP(Table3[[#This Row],[Home]],$A$6:$B$38,2,FALSE)-VLOOKUP(Table3[[#This Row],[Visitor]],$A$6:$B$38,2,FALSE)</f>
        <v>-1.0041418379484133</v>
      </c>
      <c r="J278">
        <f>(Table3[[#This Row],[HomeMargin]]-Table3[[#This Row],[HomeForecast]])^2</f>
        <v>16.0331518584089</v>
      </c>
    </row>
    <row r="279" spans="4:10" x14ac:dyDescent="0.2">
      <c r="D279" t="s">
        <v>22</v>
      </c>
      <c r="E279">
        <f>'NHL2025-26Results'!C274</f>
        <v>3</v>
      </c>
      <c r="F279" t="s">
        <v>11</v>
      </c>
      <c r="G279">
        <f>'NHL2025-26Results'!E274</f>
        <v>6</v>
      </c>
      <c r="H279">
        <f>Table3[[#This Row],[G_1]]-Table3[[#This Row],[G]]</f>
        <v>3</v>
      </c>
      <c r="I279">
        <f>HomeEdge+VLOOKUP(Table3[[#This Row],[Home]],$A$6:$B$38,2,FALSE)-VLOOKUP(Table3[[#This Row],[Visitor]],$A$6:$B$38,2,FALSE)</f>
        <v>-0.78792477499470093</v>
      </c>
      <c r="J279">
        <f>(Table3[[#This Row],[HomeMargin]]-Table3[[#This Row],[HomeForecast]])^2</f>
        <v>14.348374101018655</v>
      </c>
    </row>
    <row r="280" spans="4:10" x14ac:dyDescent="0.2">
      <c r="D280" t="s">
        <v>39</v>
      </c>
      <c r="E280">
        <f>'NHL2025-26Results'!C275</f>
        <v>7</v>
      </c>
      <c r="F280" t="s">
        <v>18</v>
      </c>
      <c r="G280">
        <f>'NHL2025-26Results'!E275</f>
        <v>0</v>
      </c>
      <c r="H280">
        <f>Table3[[#This Row],[G_1]]-Table3[[#This Row],[G]]</f>
        <v>-7</v>
      </c>
      <c r="I280">
        <f>HomeEdge+VLOOKUP(Table3[[#This Row],[Home]],$A$6:$B$38,2,FALSE)-VLOOKUP(Table3[[#This Row],[Visitor]],$A$6:$B$38,2,FALSE)</f>
        <v>-0.95643138120578253</v>
      </c>
      <c r="J280">
        <f>(Table3[[#This Row],[HomeMargin]]-Table3[[#This Row],[HomeForecast]])^2</f>
        <v>36.524721650074241</v>
      </c>
    </row>
    <row r="281" spans="4:10" x14ac:dyDescent="0.2">
      <c r="D281" t="s">
        <v>21</v>
      </c>
      <c r="E281">
        <f>'NHL2025-26Results'!C276</f>
        <v>3</v>
      </c>
      <c r="F281" t="s">
        <v>36</v>
      </c>
      <c r="G281">
        <f>'NHL2025-26Results'!E276</f>
        <v>5</v>
      </c>
      <c r="H281">
        <f>Table3[[#This Row],[G_1]]-Table3[[#This Row],[G]]</f>
        <v>2</v>
      </c>
      <c r="I281">
        <f>HomeEdge+VLOOKUP(Table3[[#This Row],[Home]],$A$6:$B$38,2,FALSE)-VLOOKUP(Table3[[#This Row],[Visitor]],$A$6:$B$38,2,FALSE)</f>
        <v>-0.26170554149394454</v>
      </c>
      <c r="J281">
        <f>(Table3[[#This Row],[HomeMargin]]-Table3[[#This Row],[HomeForecast]])^2</f>
        <v>5.1153119564244163</v>
      </c>
    </row>
    <row r="282" spans="4:10" x14ac:dyDescent="0.2">
      <c r="D282" t="s">
        <v>40</v>
      </c>
      <c r="E282">
        <f>'NHL2025-26Results'!C277</f>
        <v>3</v>
      </c>
      <c r="F282" t="s">
        <v>32</v>
      </c>
      <c r="G282">
        <f>'NHL2025-26Results'!E277</f>
        <v>5</v>
      </c>
      <c r="H282">
        <f>Table3[[#This Row],[G_1]]-Table3[[#This Row],[G]]</f>
        <v>2</v>
      </c>
      <c r="I282">
        <f>HomeEdge+VLOOKUP(Table3[[#This Row],[Home]],$A$6:$B$38,2,FALSE)-VLOOKUP(Table3[[#This Row],[Visitor]],$A$6:$B$38,2,FALSE)</f>
        <v>-0.28623466257213598</v>
      </c>
      <c r="J282">
        <f>(Table3[[#This Row],[HomeMargin]]-Table3[[#This Row],[HomeForecast]])^2</f>
        <v>5.2268689323463295</v>
      </c>
    </row>
    <row r="283" spans="4:10" x14ac:dyDescent="0.2">
      <c r="D283" t="s">
        <v>13</v>
      </c>
      <c r="E283">
        <f>'NHL2025-26Results'!C278</f>
        <v>4</v>
      </c>
      <c r="F283" t="s">
        <v>19</v>
      </c>
      <c r="G283">
        <f>'NHL2025-26Results'!E278</f>
        <v>3</v>
      </c>
      <c r="H283">
        <f>Table3[[#This Row],[G_1]]-Table3[[#This Row],[G]]</f>
        <v>-1</v>
      </c>
      <c r="I283">
        <f>HomeEdge+VLOOKUP(Table3[[#This Row],[Home]],$A$6:$B$38,2,FALSE)-VLOOKUP(Table3[[#This Row],[Visitor]],$A$6:$B$38,2,FALSE)</f>
        <v>-0.24629424371860442</v>
      </c>
      <c r="J283">
        <f>(Table3[[#This Row],[HomeMargin]]-Table3[[#This Row],[HomeForecast]])^2</f>
        <v>0.56807236705171049</v>
      </c>
    </row>
    <row r="284" spans="4:10" x14ac:dyDescent="0.2">
      <c r="D284" t="s">
        <v>30</v>
      </c>
      <c r="E284">
        <f>'NHL2025-26Results'!C279</f>
        <v>4</v>
      </c>
      <c r="F284" t="s">
        <v>20</v>
      </c>
      <c r="G284">
        <f>'NHL2025-26Results'!E279</f>
        <v>3</v>
      </c>
      <c r="H284">
        <f>Table3[[#This Row],[G_1]]-Table3[[#This Row],[G]]</f>
        <v>-1</v>
      </c>
      <c r="I284">
        <f>HomeEdge+VLOOKUP(Table3[[#This Row],[Home]],$A$6:$B$38,2,FALSE)-VLOOKUP(Table3[[#This Row],[Visitor]],$A$6:$B$38,2,FALSE)</f>
        <v>4.6391916043858672E-2</v>
      </c>
      <c r="J284">
        <f>(Table3[[#This Row],[HomeMargin]]-Table3[[#This Row],[HomeForecast]])^2</f>
        <v>1.0949360419619376</v>
      </c>
    </row>
    <row r="285" spans="4:10" x14ac:dyDescent="0.2">
      <c r="D285" t="s">
        <v>38</v>
      </c>
      <c r="E285">
        <f>'NHL2025-26Results'!C280</f>
        <v>3</v>
      </c>
      <c r="F285" t="s">
        <v>25</v>
      </c>
      <c r="G285">
        <f>'NHL2025-26Results'!E280</f>
        <v>4</v>
      </c>
      <c r="H285">
        <f>Table3[[#This Row],[G_1]]-Table3[[#This Row],[G]]</f>
        <v>1</v>
      </c>
      <c r="I285">
        <f>HomeEdge+VLOOKUP(Table3[[#This Row],[Home]],$A$6:$B$38,2,FALSE)-VLOOKUP(Table3[[#This Row],[Visitor]],$A$6:$B$38,2,FALSE)</f>
        <v>1.4232536413625192</v>
      </c>
      <c r="J285">
        <f>(Table3[[#This Row],[HomeMargin]]-Table3[[#This Row],[HomeForecast]])^2</f>
        <v>0.17914364492663201</v>
      </c>
    </row>
    <row r="286" spans="4:10" x14ac:dyDescent="0.2">
      <c r="D286" t="s">
        <v>14</v>
      </c>
      <c r="E286">
        <f>'NHL2025-26Results'!C281</f>
        <v>1</v>
      </c>
      <c r="F286" t="s">
        <v>29</v>
      </c>
      <c r="G286">
        <f>'NHL2025-26Results'!E281</f>
        <v>2</v>
      </c>
      <c r="H286">
        <f>Table3[[#This Row],[G_1]]-Table3[[#This Row],[G]]</f>
        <v>1</v>
      </c>
      <c r="I286">
        <f>HomeEdge+VLOOKUP(Table3[[#This Row],[Home]],$A$6:$B$38,2,FALSE)-VLOOKUP(Table3[[#This Row],[Visitor]],$A$6:$B$38,2,FALSE)</f>
        <v>-1.1927523133214084</v>
      </c>
      <c r="J286">
        <f>(Table3[[#This Row],[HomeMargin]]-Table3[[#This Row],[HomeForecast]])^2</f>
        <v>4.808162707576388</v>
      </c>
    </row>
    <row r="287" spans="4:10" x14ac:dyDescent="0.2">
      <c r="D287" t="s">
        <v>27</v>
      </c>
      <c r="E287">
        <f>'NHL2025-26Results'!C282</f>
        <v>6</v>
      </c>
      <c r="F287" t="s">
        <v>35</v>
      </c>
      <c r="G287">
        <f>'NHL2025-26Results'!E282</f>
        <v>5</v>
      </c>
      <c r="H287">
        <f>Table3[[#This Row],[G_1]]-Table3[[#This Row],[G]]</f>
        <v>-1</v>
      </c>
      <c r="I287">
        <f>HomeEdge+VLOOKUP(Table3[[#This Row],[Home]],$A$6:$B$38,2,FALSE)-VLOOKUP(Table3[[#This Row],[Visitor]],$A$6:$B$38,2,FALSE)</f>
        <v>-0.96433803951824404</v>
      </c>
      <c r="J287">
        <f>(Table3[[#This Row],[HomeMargin]]-Table3[[#This Row],[HomeForecast]])^2</f>
        <v>1.2717754254023238E-3</v>
      </c>
    </row>
    <row r="288" spans="4:10" x14ac:dyDescent="0.2">
      <c r="D288" t="s">
        <v>30</v>
      </c>
      <c r="E288">
        <f>'NHL2025-26Results'!C283</f>
        <v>3</v>
      </c>
      <c r="F288" t="s">
        <v>55</v>
      </c>
      <c r="G288">
        <f>'NHL2025-26Results'!E283</f>
        <v>2</v>
      </c>
      <c r="H288">
        <f>Table3[[#This Row],[G_1]]-Table3[[#This Row],[G]]</f>
        <v>-1</v>
      </c>
      <c r="I288">
        <f>HomeEdge+VLOOKUP(Table3[[#This Row],[Home]],$A$6:$B$38,2,FALSE)-VLOOKUP(Table3[[#This Row],[Visitor]],$A$6:$B$38,2,FALSE)</f>
        <v>-0.11229054265668736</v>
      </c>
      <c r="J288">
        <f>(Table3[[#This Row],[HomeMargin]]-Table3[[#This Row],[HomeForecast]])^2</f>
        <v>0.78802808065675856</v>
      </c>
    </row>
    <row r="289" spans="4:10" x14ac:dyDescent="0.2">
      <c r="D289" t="s">
        <v>17</v>
      </c>
      <c r="E289">
        <f>'NHL2025-26Results'!C284</f>
        <v>4</v>
      </c>
      <c r="F289" t="s">
        <v>25</v>
      </c>
      <c r="G289">
        <f>'NHL2025-26Results'!E284</f>
        <v>3</v>
      </c>
      <c r="H289">
        <f>Table3[[#This Row],[G_1]]-Table3[[#This Row],[G]]</f>
        <v>-1</v>
      </c>
      <c r="I289">
        <f>HomeEdge+VLOOKUP(Table3[[#This Row],[Home]],$A$6:$B$38,2,FALSE)-VLOOKUP(Table3[[#This Row],[Visitor]],$A$6:$B$38,2,FALSE)</f>
        <v>1.2933225504892369</v>
      </c>
      <c r="J289">
        <f>(Table3[[#This Row],[HomeMargin]]-Table3[[#This Row],[HomeForecast]])^2</f>
        <v>5.2593283205824601</v>
      </c>
    </row>
    <row r="290" spans="4:10" x14ac:dyDescent="0.2">
      <c r="D290" t="s">
        <v>15</v>
      </c>
      <c r="E290">
        <f>'NHL2025-26Results'!C285</f>
        <v>2</v>
      </c>
      <c r="F290" t="s">
        <v>28</v>
      </c>
      <c r="G290">
        <f>'NHL2025-26Results'!E285</f>
        <v>1</v>
      </c>
      <c r="H290">
        <f>Table3[[#This Row],[G_1]]-Table3[[#This Row],[G]]</f>
        <v>-1</v>
      </c>
      <c r="I290">
        <f>HomeEdge+VLOOKUP(Table3[[#This Row],[Home]],$A$6:$B$38,2,FALSE)-VLOOKUP(Table3[[#This Row],[Visitor]],$A$6:$B$38,2,FALSE)</f>
        <v>-0.2550546709434352</v>
      </c>
      <c r="J290">
        <f>(Table3[[#This Row],[HomeMargin]]-Table3[[#This Row],[HomeForecast]])^2</f>
        <v>0.55494354328319373</v>
      </c>
    </row>
    <row r="291" spans="4:10" x14ac:dyDescent="0.2">
      <c r="D291" t="s">
        <v>40</v>
      </c>
      <c r="E291">
        <f>'NHL2025-26Results'!C286</f>
        <v>4</v>
      </c>
      <c r="F291" t="s">
        <v>16</v>
      </c>
      <c r="G291">
        <f>'NHL2025-26Results'!E286</f>
        <v>3</v>
      </c>
      <c r="H291">
        <f>Table3[[#This Row],[G_1]]-Table3[[#This Row],[G]]</f>
        <v>-1</v>
      </c>
      <c r="I291">
        <f>HomeEdge+VLOOKUP(Table3[[#This Row],[Home]],$A$6:$B$38,2,FALSE)-VLOOKUP(Table3[[#This Row],[Visitor]],$A$6:$B$38,2,FALSE)</f>
        <v>-0.70263870633866676</v>
      </c>
      <c r="J291">
        <f>(Table3[[#This Row],[HomeMargin]]-Table3[[#This Row],[HomeForecast]])^2</f>
        <v>8.8423738967941659E-2</v>
      </c>
    </row>
    <row r="292" spans="4:10" x14ac:dyDescent="0.2">
      <c r="D292" t="s">
        <v>19</v>
      </c>
      <c r="E292">
        <f>'NHL2025-26Results'!C287</f>
        <v>2</v>
      </c>
      <c r="F292" t="s">
        <v>10</v>
      </c>
      <c r="G292">
        <f>'NHL2025-26Results'!E287</f>
        <v>3</v>
      </c>
      <c r="H292">
        <f>Table3[[#This Row],[G_1]]-Table3[[#This Row],[G]]</f>
        <v>1</v>
      </c>
      <c r="I292">
        <f>HomeEdge+VLOOKUP(Table3[[#This Row],[Home]],$A$6:$B$38,2,FALSE)-VLOOKUP(Table3[[#This Row],[Visitor]],$A$6:$B$38,2,FALSE)</f>
        <v>0.50818308505782939</v>
      </c>
      <c r="J292">
        <f>(Table3[[#This Row],[HomeMargin]]-Table3[[#This Row],[HomeForecast]])^2</f>
        <v>0.24188387782323428</v>
      </c>
    </row>
    <row r="293" spans="4:10" x14ac:dyDescent="0.2">
      <c r="D293" t="s">
        <v>27</v>
      </c>
      <c r="E293">
        <f>'NHL2025-26Results'!C288</f>
        <v>1</v>
      </c>
      <c r="F293" t="s">
        <v>39</v>
      </c>
      <c r="G293">
        <f>'NHL2025-26Results'!E288</f>
        <v>5</v>
      </c>
      <c r="H293">
        <f>Table3[[#This Row],[G_1]]-Table3[[#This Row],[G]]</f>
        <v>4</v>
      </c>
      <c r="I293">
        <f>HomeEdge+VLOOKUP(Table3[[#This Row],[Home]],$A$6:$B$38,2,FALSE)-VLOOKUP(Table3[[#This Row],[Visitor]],$A$6:$B$38,2,FALSE)</f>
        <v>0.84358283428459835</v>
      </c>
      <c r="J293">
        <f>(Table3[[#This Row],[HomeMargin]]-Table3[[#This Row],[HomeForecast]])^2</f>
        <v>9.9629693240228487</v>
      </c>
    </row>
    <row r="294" spans="4:10" x14ac:dyDescent="0.2">
      <c r="D294" t="s">
        <v>23</v>
      </c>
      <c r="E294">
        <f>'NHL2025-26Results'!C289</f>
        <v>5</v>
      </c>
      <c r="F294" t="s">
        <v>26</v>
      </c>
      <c r="G294">
        <f>'NHL2025-26Results'!E289</f>
        <v>4</v>
      </c>
      <c r="H294">
        <f>Table3[[#This Row],[G_1]]-Table3[[#This Row],[G]]</f>
        <v>-1</v>
      </c>
      <c r="I294">
        <f>HomeEdge+VLOOKUP(Table3[[#This Row],[Home]],$A$6:$B$38,2,FALSE)-VLOOKUP(Table3[[#This Row],[Visitor]],$A$6:$B$38,2,FALSE)</f>
        <v>-0.34932838036855735</v>
      </c>
      <c r="J294">
        <f>(Table3[[#This Row],[HomeMargin]]-Table3[[#This Row],[HomeForecast]])^2</f>
        <v>0.42337355659380471</v>
      </c>
    </row>
    <row r="295" spans="4:10" x14ac:dyDescent="0.2">
      <c r="D295" t="s">
        <v>37</v>
      </c>
      <c r="E295">
        <f>'NHL2025-26Results'!C290</f>
        <v>3</v>
      </c>
      <c r="F295" t="s">
        <v>11</v>
      </c>
      <c r="G295">
        <f>'NHL2025-26Results'!E290</f>
        <v>1</v>
      </c>
      <c r="H295">
        <f>Table3[[#This Row],[G_1]]-Table3[[#This Row],[G]]</f>
        <v>-2</v>
      </c>
      <c r="I295">
        <f>HomeEdge+VLOOKUP(Table3[[#This Row],[Home]],$A$6:$B$38,2,FALSE)-VLOOKUP(Table3[[#This Row],[Visitor]],$A$6:$B$38,2,FALSE)</f>
        <v>-0.85772248888754832</v>
      </c>
      <c r="J295">
        <f>(Table3[[#This Row],[HomeMargin]]-Table3[[#This Row],[HomeForecast]])^2</f>
        <v>1.3047979123932572</v>
      </c>
    </row>
    <row r="296" spans="4:10" x14ac:dyDescent="0.2">
      <c r="D296" t="s">
        <v>31</v>
      </c>
      <c r="E296">
        <f>'NHL2025-26Results'!C291</f>
        <v>0</v>
      </c>
      <c r="F296" t="s">
        <v>34</v>
      </c>
      <c r="G296">
        <f>'NHL2025-26Results'!E291</f>
        <v>2</v>
      </c>
      <c r="H296">
        <f>Table3[[#This Row],[G_1]]-Table3[[#This Row],[G]]</f>
        <v>2</v>
      </c>
      <c r="I296">
        <f>HomeEdge+VLOOKUP(Table3[[#This Row],[Home]],$A$6:$B$38,2,FALSE)-VLOOKUP(Table3[[#This Row],[Visitor]],$A$6:$B$38,2,FALSE)</f>
        <v>-0.18392706036558265</v>
      </c>
      <c r="J296">
        <f>(Table3[[#This Row],[HomeMargin]]-Table3[[#This Row],[HomeForecast]])^2</f>
        <v>4.7695374049970543</v>
      </c>
    </row>
    <row r="297" spans="4:10" x14ac:dyDescent="0.2">
      <c r="D297" t="s">
        <v>21</v>
      </c>
      <c r="E297">
        <f>'NHL2025-26Results'!C292</f>
        <v>3</v>
      </c>
      <c r="F297" t="s">
        <v>18</v>
      </c>
      <c r="G297">
        <f>'NHL2025-26Results'!E292</f>
        <v>2</v>
      </c>
      <c r="H297">
        <f>Table3[[#This Row],[G_1]]-Table3[[#This Row],[G]]</f>
        <v>-1</v>
      </c>
      <c r="I297">
        <f>HomeEdge+VLOOKUP(Table3[[#This Row],[Home]],$A$6:$B$38,2,FALSE)-VLOOKUP(Table3[[#This Row],[Visitor]],$A$6:$B$38,2,FALSE)</f>
        <v>-0.32321911890293115</v>
      </c>
      <c r="J297">
        <f>(Table3[[#This Row],[HomeMargin]]-Table3[[#This Row],[HomeForecast]])^2</f>
        <v>0.45803236101852479</v>
      </c>
    </row>
    <row r="298" spans="4:10" x14ac:dyDescent="0.2">
      <c r="D298" t="s">
        <v>13</v>
      </c>
      <c r="E298">
        <f>'NHL2025-26Results'!C293</f>
        <v>1</v>
      </c>
      <c r="F298" t="s">
        <v>36</v>
      </c>
      <c r="G298">
        <f>'NHL2025-26Results'!E293</f>
        <v>0</v>
      </c>
      <c r="H298">
        <f>Table3[[#This Row],[G_1]]-Table3[[#This Row],[G]]</f>
        <v>-1</v>
      </c>
      <c r="I298">
        <f>HomeEdge+VLOOKUP(Table3[[#This Row],[Home]],$A$6:$B$38,2,FALSE)-VLOOKUP(Table3[[#This Row],[Visitor]],$A$6:$B$38,2,FALSE)</f>
        <v>-0.14319170326446246</v>
      </c>
      <c r="J298">
        <f>(Table3[[#This Row],[HomeMargin]]-Table3[[#This Row],[HomeForecast]])^2</f>
        <v>0.73412045735485287</v>
      </c>
    </row>
    <row r="299" spans="4:10" x14ac:dyDescent="0.2">
      <c r="D299" t="s">
        <v>33</v>
      </c>
      <c r="E299">
        <f>'NHL2025-26Results'!C294</f>
        <v>1</v>
      </c>
      <c r="F299" t="s">
        <v>32</v>
      </c>
      <c r="G299">
        <f>'NHL2025-26Results'!E294</f>
        <v>4</v>
      </c>
      <c r="H299">
        <f>Table3[[#This Row],[G_1]]-Table3[[#This Row],[G]]</f>
        <v>3</v>
      </c>
      <c r="I299">
        <f>HomeEdge+VLOOKUP(Table3[[#This Row],[Home]],$A$6:$B$38,2,FALSE)-VLOOKUP(Table3[[#This Row],[Visitor]],$A$6:$B$38,2,FALSE)</f>
        <v>-0.14814549397268417</v>
      </c>
      <c r="J299">
        <f>(Table3[[#This Row],[HomeMargin]]-Table3[[#This Row],[HomeForecast]])^2</f>
        <v>9.9108200512205151</v>
      </c>
    </row>
    <row r="300" spans="4:10" x14ac:dyDescent="0.2">
      <c r="D300" t="s">
        <v>20</v>
      </c>
      <c r="E300">
        <f>'NHL2025-26Results'!C295</f>
        <v>4</v>
      </c>
      <c r="F300" t="s">
        <v>35</v>
      </c>
      <c r="G300">
        <f>'NHL2025-26Results'!E295</f>
        <v>1</v>
      </c>
      <c r="H300">
        <f>Table3[[#This Row],[G_1]]-Table3[[#This Row],[G]]</f>
        <v>-3</v>
      </c>
      <c r="I300">
        <f>HomeEdge+VLOOKUP(Table3[[#This Row],[Home]],$A$6:$B$38,2,FALSE)-VLOOKUP(Table3[[#This Row],[Visitor]],$A$6:$B$38,2,FALSE)</f>
        <v>-1.1001367927039236</v>
      </c>
      <c r="J300">
        <f>(Table3[[#This Row],[HomeMargin]]-Table3[[#This Row],[HomeForecast]])^2</f>
        <v>3.6094802064373339</v>
      </c>
    </row>
    <row r="301" spans="4:10" x14ac:dyDescent="0.2">
      <c r="D301" t="s">
        <v>24</v>
      </c>
      <c r="E301">
        <f>'NHL2025-26Results'!C296</f>
        <v>3</v>
      </c>
      <c r="F301" t="s">
        <v>22</v>
      </c>
      <c r="G301">
        <f>'NHL2025-26Results'!E296</f>
        <v>2</v>
      </c>
      <c r="H301">
        <f>Table3[[#This Row],[G_1]]-Table3[[#This Row],[G]]</f>
        <v>-1</v>
      </c>
      <c r="I301">
        <f>HomeEdge+VLOOKUP(Table3[[#This Row],[Home]],$A$6:$B$38,2,FALSE)-VLOOKUP(Table3[[#This Row],[Visitor]],$A$6:$B$38,2,FALSE)</f>
        <v>0.48907773101231511</v>
      </c>
      <c r="J301">
        <f>(Table3[[#This Row],[HomeMargin]]-Table3[[#This Row],[HomeForecast]])^2</f>
        <v>2.2173524889967848</v>
      </c>
    </row>
    <row r="302" spans="4:10" x14ac:dyDescent="0.2">
      <c r="D302" t="s">
        <v>30</v>
      </c>
      <c r="E302">
        <f>'NHL2025-26Results'!C297</f>
        <v>1</v>
      </c>
      <c r="F302" t="s">
        <v>12</v>
      </c>
      <c r="G302">
        <f>'NHL2025-26Results'!E297</f>
        <v>4</v>
      </c>
      <c r="H302">
        <f>Table3[[#This Row],[G_1]]-Table3[[#This Row],[G]]</f>
        <v>3</v>
      </c>
      <c r="I302">
        <f>HomeEdge+VLOOKUP(Table3[[#This Row],[Home]],$A$6:$B$38,2,FALSE)-VLOOKUP(Table3[[#This Row],[Visitor]],$A$6:$B$38,2,FALSE)</f>
        <v>1.9227364047914712</v>
      </c>
      <c r="J302">
        <f>(Table3[[#This Row],[HomeMargin]]-Table3[[#This Row],[HomeForecast]])^2</f>
        <v>1.1604968535616049</v>
      </c>
    </row>
    <row r="303" spans="4:10" x14ac:dyDescent="0.2">
      <c r="D303" t="s">
        <v>20</v>
      </c>
      <c r="E303">
        <f>'NHL2025-26Results'!C298</f>
        <v>2</v>
      </c>
      <c r="F303" t="s">
        <v>34</v>
      </c>
      <c r="G303">
        <f>'NHL2025-26Results'!E298</f>
        <v>3</v>
      </c>
      <c r="H303">
        <f>Table3[[#This Row],[G_1]]-Table3[[#This Row],[G]]</f>
        <v>1</v>
      </c>
      <c r="I303">
        <f>HomeEdge+VLOOKUP(Table3[[#This Row],[Home]],$A$6:$B$38,2,FALSE)-VLOOKUP(Table3[[#This Row],[Visitor]],$A$6:$B$38,2,FALSE)</f>
        <v>0.23921679179432004</v>
      </c>
      <c r="J303">
        <f>(Table3[[#This Row],[HomeMargin]]-Table3[[#This Row],[HomeForecast]])^2</f>
        <v>0.57879108988772709</v>
      </c>
    </row>
    <row r="304" spans="4:10" x14ac:dyDescent="0.2">
      <c r="D304" t="s">
        <v>26</v>
      </c>
      <c r="E304">
        <f>'NHL2025-26Results'!C299</f>
        <v>2</v>
      </c>
      <c r="F304" t="s">
        <v>15</v>
      </c>
      <c r="G304">
        <f>'NHL2025-26Results'!E299</f>
        <v>1</v>
      </c>
      <c r="H304">
        <f>Table3[[#This Row],[G_1]]-Table3[[#This Row],[G]]</f>
        <v>-1</v>
      </c>
      <c r="I304">
        <f>HomeEdge+VLOOKUP(Table3[[#This Row],[Home]],$A$6:$B$38,2,FALSE)-VLOOKUP(Table3[[#This Row],[Visitor]],$A$6:$B$38,2,FALSE)</f>
        <v>0.63520632947152933</v>
      </c>
      <c r="J304">
        <f>(Table3[[#This Row],[HomeMargin]]-Table3[[#This Row],[HomeForecast]])^2</f>
        <v>2.6738997399437516</v>
      </c>
    </row>
    <row r="305" spans="4:10" x14ac:dyDescent="0.2">
      <c r="D305" t="s">
        <v>29</v>
      </c>
      <c r="E305">
        <f>'NHL2025-26Results'!C300</f>
        <v>0</v>
      </c>
      <c r="F305" t="s">
        <v>14</v>
      </c>
      <c r="G305">
        <f>'NHL2025-26Results'!E300</f>
        <v>4</v>
      </c>
      <c r="H305">
        <f>Table3[[#This Row],[G_1]]-Table3[[#This Row],[G]]</f>
        <v>4</v>
      </c>
      <c r="I305">
        <f>HomeEdge+VLOOKUP(Table3[[#This Row],[Home]],$A$6:$B$38,2,FALSE)-VLOOKUP(Table3[[#This Row],[Visitor]],$A$6:$B$38,2,FALSE)</f>
        <v>1.2925538111677333</v>
      </c>
      <c r="J305">
        <f>(Table3[[#This Row],[HomeMargin]]-Table3[[#This Row],[HomeForecast]])^2</f>
        <v>7.3302648654223663</v>
      </c>
    </row>
    <row r="306" spans="4:10" x14ac:dyDescent="0.2">
      <c r="D306" t="s">
        <v>38</v>
      </c>
      <c r="E306">
        <f>'NHL2025-26Results'!C301</f>
        <v>6</v>
      </c>
      <c r="F306" t="s">
        <v>37</v>
      </c>
      <c r="G306">
        <f>'NHL2025-26Results'!E301</f>
        <v>2</v>
      </c>
      <c r="H306">
        <f>Table3[[#This Row],[G_1]]-Table3[[#This Row],[G]]</f>
        <v>-4</v>
      </c>
      <c r="I306">
        <f>HomeEdge+VLOOKUP(Table3[[#This Row],[Home]],$A$6:$B$38,2,FALSE)-VLOOKUP(Table3[[#This Row],[Visitor]],$A$6:$B$38,2,FALSE)</f>
        <v>1.5080834507805707</v>
      </c>
      <c r="J306">
        <f>(Table3[[#This Row],[HomeMargin]]-Table3[[#This Row],[HomeForecast]])^2</f>
        <v>30.338983300762806</v>
      </c>
    </row>
    <row r="307" spans="4:10" x14ac:dyDescent="0.2">
      <c r="D307" t="s">
        <v>55</v>
      </c>
      <c r="E307">
        <f>'NHL2025-26Results'!C302</f>
        <v>2</v>
      </c>
      <c r="F307" t="s">
        <v>31</v>
      </c>
      <c r="G307">
        <f>'NHL2025-26Results'!E302</f>
        <v>3</v>
      </c>
      <c r="H307">
        <f>Table3[[#This Row],[G_1]]-Table3[[#This Row],[G]]</f>
        <v>1</v>
      </c>
      <c r="I307">
        <f>HomeEdge+VLOOKUP(Table3[[#This Row],[Home]],$A$6:$B$38,2,FALSE)-VLOOKUP(Table3[[#This Row],[Visitor]],$A$6:$B$38,2,FALSE)</f>
        <v>0.63172705978361121</v>
      </c>
      <c r="J307">
        <f>(Table3[[#This Row],[HomeMargin]]-Table3[[#This Row],[HomeForecast]])^2</f>
        <v>0.13562495849562387</v>
      </c>
    </row>
    <row r="308" spans="4:10" x14ac:dyDescent="0.2">
      <c r="D308" t="s">
        <v>25</v>
      </c>
      <c r="E308">
        <f>'NHL2025-26Results'!C303</f>
        <v>3</v>
      </c>
      <c r="F308" t="s">
        <v>21</v>
      </c>
      <c r="G308">
        <f>'NHL2025-26Results'!E303</f>
        <v>1</v>
      </c>
      <c r="H308">
        <f>Table3[[#This Row],[G_1]]-Table3[[#This Row],[G]]</f>
        <v>-2</v>
      </c>
      <c r="I308">
        <f>HomeEdge+VLOOKUP(Table3[[#This Row],[Home]],$A$6:$B$38,2,FALSE)-VLOOKUP(Table3[[#This Row],[Visitor]],$A$6:$B$38,2,FALSE)</f>
        <v>-0.59554414885312179</v>
      </c>
      <c r="J308">
        <f>(Table3[[#This Row],[HomeMargin]]-Table3[[#This Row],[HomeForecast]])^2</f>
        <v>1.9724962378207025</v>
      </c>
    </row>
    <row r="309" spans="4:10" x14ac:dyDescent="0.2">
      <c r="D309" t="s">
        <v>17</v>
      </c>
      <c r="E309">
        <f>'NHL2025-26Results'!C304</f>
        <v>1</v>
      </c>
      <c r="F309" t="s">
        <v>23</v>
      </c>
      <c r="G309">
        <f>'NHL2025-26Results'!E304</f>
        <v>5</v>
      </c>
      <c r="H309">
        <f>Table3[[#This Row],[G_1]]-Table3[[#This Row],[G]]</f>
        <v>4</v>
      </c>
      <c r="I309">
        <f>HomeEdge+VLOOKUP(Table3[[#This Row],[Home]],$A$6:$B$38,2,FALSE)-VLOOKUP(Table3[[#This Row],[Visitor]],$A$6:$B$38,2,FALSE)</f>
        <v>0.39153697742009452</v>
      </c>
      <c r="J309">
        <f>(Table3[[#This Row],[HomeMargin]]-Table3[[#This Row],[HomeForecast]])^2</f>
        <v>13.021005385326507</v>
      </c>
    </row>
    <row r="310" spans="4:10" x14ac:dyDescent="0.2">
      <c r="D310" t="s">
        <v>18</v>
      </c>
      <c r="E310">
        <f>'NHL2025-26Results'!C305</f>
        <v>3</v>
      </c>
      <c r="F310" t="s">
        <v>28</v>
      </c>
      <c r="G310">
        <f>'NHL2025-26Results'!E305</f>
        <v>4</v>
      </c>
      <c r="H310">
        <f>Table3[[#This Row],[G_1]]-Table3[[#This Row],[G]]</f>
        <v>1</v>
      </c>
      <c r="I310">
        <f>HomeEdge+VLOOKUP(Table3[[#This Row],[Home]],$A$6:$B$38,2,FALSE)-VLOOKUP(Table3[[#This Row],[Visitor]],$A$6:$B$38,2,FALSE)</f>
        <v>4.7800972846447354E-2</v>
      </c>
      <c r="J310">
        <f>(Table3[[#This Row],[HomeMargin]]-Table3[[#This Row],[HomeForecast]])^2</f>
        <v>0.90668298731217212</v>
      </c>
    </row>
    <row r="311" spans="4:10" x14ac:dyDescent="0.2">
      <c r="D311" t="s">
        <v>38</v>
      </c>
      <c r="E311">
        <f>'NHL2025-26Results'!C306</f>
        <v>5</v>
      </c>
      <c r="F311" t="s">
        <v>11</v>
      </c>
      <c r="G311">
        <f>'NHL2025-26Results'!E306</f>
        <v>8</v>
      </c>
      <c r="H311">
        <f>Table3[[#This Row],[G_1]]-Table3[[#This Row],[G]]</f>
        <v>3</v>
      </c>
      <c r="I311">
        <f>HomeEdge+VLOOKUP(Table3[[#This Row],[Home]],$A$6:$B$38,2,FALSE)-VLOOKUP(Table3[[#This Row],[Visitor]],$A$6:$B$38,2,FALSE)</f>
        <v>0.60046021296985996</v>
      </c>
      <c r="J311">
        <f>(Table3[[#This Row],[HomeMargin]]-Table3[[#This Row],[HomeForecast]])^2</f>
        <v>5.7577911895406499</v>
      </c>
    </row>
    <row r="312" spans="4:10" x14ac:dyDescent="0.2">
      <c r="D312" t="s">
        <v>13</v>
      </c>
      <c r="E312">
        <f>'NHL2025-26Results'!C307</f>
        <v>1</v>
      </c>
      <c r="F312" t="s">
        <v>22</v>
      </c>
      <c r="G312">
        <f>'NHL2025-26Results'!E307</f>
        <v>2</v>
      </c>
      <c r="H312">
        <f>Table3[[#This Row],[G_1]]-Table3[[#This Row],[G]]</f>
        <v>1</v>
      </c>
      <c r="I312">
        <f>HomeEdge+VLOOKUP(Table3[[#This Row],[Home]],$A$6:$B$38,2,FALSE)-VLOOKUP(Table3[[#This Row],[Visitor]],$A$6:$B$38,2,FALSE)</f>
        <v>0.82889158045413303</v>
      </c>
      <c r="J312">
        <f>(Table3[[#This Row],[HomeMargin]]-Table3[[#This Row],[HomeForecast]])^2</f>
        <v>2.9278091239484431E-2</v>
      </c>
    </row>
    <row r="313" spans="4:10" x14ac:dyDescent="0.2">
      <c r="D313" t="s">
        <v>16</v>
      </c>
      <c r="E313">
        <f>'NHL2025-26Results'!C308</f>
        <v>2</v>
      </c>
      <c r="F313" t="s">
        <v>10</v>
      </c>
      <c r="G313">
        <f>'NHL2025-26Results'!E308</f>
        <v>5</v>
      </c>
      <c r="H313">
        <f>Table3[[#This Row],[G_1]]-Table3[[#This Row],[G]]</f>
        <v>3</v>
      </c>
      <c r="I313">
        <f>HomeEdge+VLOOKUP(Table3[[#This Row],[Home]],$A$6:$B$38,2,FALSE)-VLOOKUP(Table3[[#This Row],[Visitor]],$A$6:$B$38,2,FALSE)</f>
        <v>0.93948577278346967</v>
      </c>
      <c r="J313">
        <f>(Table3[[#This Row],[HomeMargin]]-Table3[[#This Row],[HomeForecast]])^2</f>
        <v>4.2457188805617356</v>
      </c>
    </row>
    <row r="314" spans="4:10" x14ac:dyDescent="0.2">
      <c r="D314" t="s">
        <v>30</v>
      </c>
      <c r="E314">
        <f>'NHL2025-26Results'!C309</f>
        <v>3</v>
      </c>
      <c r="F314" t="s">
        <v>39</v>
      </c>
      <c r="G314">
        <f>'NHL2025-26Results'!E309</f>
        <v>2</v>
      </c>
      <c r="H314">
        <f>Table3[[#This Row],[G_1]]-Table3[[#This Row],[G]]</f>
        <v>-1</v>
      </c>
      <c r="I314">
        <f>HomeEdge+VLOOKUP(Table3[[#This Row],[Home]],$A$6:$B$38,2,FALSE)-VLOOKUP(Table3[[#This Row],[Visitor]],$A$6:$B$38,2,FALSE)</f>
        <v>0.70427524821961485</v>
      </c>
      <c r="J314">
        <f>(Table3[[#This Row],[HomeMargin]]-Table3[[#This Row],[HomeForecast]])^2</f>
        <v>2.9045541216940296</v>
      </c>
    </row>
    <row r="315" spans="4:10" x14ac:dyDescent="0.2">
      <c r="D315" t="s">
        <v>32</v>
      </c>
      <c r="E315">
        <f>'NHL2025-26Results'!C310</f>
        <v>2</v>
      </c>
      <c r="F315" t="s">
        <v>26</v>
      </c>
      <c r="G315">
        <f>'NHL2025-26Results'!E310</f>
        <v>4</v>
      </c>
      <c r="H315">
        <f>Table3[[#This Row],[G_1]]-Table3[[#This Row],[G]]</f>
        <v>2</v>
      </c>
      <c r="I315">
        <f>HomeEdge+VLOOKUP(Table3[[#This Row],[Home]],$A$6:$B$38,2,FALSE)-VLOOKUP(Table3[[#This Row],[Visitor]],$A$6:$B$38,2,FALSE)</f>
        <v>-0.17606158083105705</v>
      </c>
      <c r="J315">
        <f>(Table3[[#This Row],[HomeMargin]]-Table3[[#This Row],[HomeForecast]])^2</f>
        <v>4.7352440035689582</v>
      </c>
    </row>
    <row r="316" spans="4:10" x14ac:dyDescent="0.2">
      <c r="D316" t="s">
        <v>55</v>
      </c>
      <c r="E316">
        <f>'NHL2025-26Results'!C311</f>
        <v>2</v>
      </c>
      <c r="F316" t="s">
        <v>33</v>
      </c>
      <c r="G316">
        <f>'NHL2025-26Results'!E311</f>
        <v>3</v>
      </c>
      <c r="H316">
        <f>Table3[[#This Row],[G_1]]-Table3[[#This Row],[G]]</f>
        <v>1</v>
      </c>
      <c r="I316">
        <f>HomeEdge+VLOOKUP(Table3[[#This Row],[Home]],$A$6:$B$38,2,FALSE)-VLOOKUP(Table3[[#This Row],[Visitor]],$A$6:$B$38,2,FALSE)</f>
        <v>1.6930455621015916E-3</v>
      </c>
      <c r="J316">
        <f>(Table3[[#This Row],[HomeMargin]]-Table3[[#This Row],[HomeForecast]])^2</f>
        <v>0.99661677527907222</v>
      </c>
    </row>
    <row r="317" spans="4:10" x14ac:dyDescent="0.2">
      <c r="D317" t="s">
        <v>24</v>
      </c>
      <c r="E317">
        <f>'NHL2025-26Results'!C312</f>
        <v>1</v>
      </c>
      <c r="F317" t="s">
        <v>37</v>
      </c>
      <c r="G317">
        <f>'NHL2025-26Results'!E312</f>
        <v>5</v>
      </c>
      <c r="H317">
        <f>Table3[[#This Row],[G_1]]-Table3[[#This Row],[G]]</f>
        <v>4</v>
      </c>
      <c r="I317">
        <f>HomeEdge+VLOOKUP(Table3[[#This Row],[Home]],$A$6:$B$38,2,FALSE)-VLOOKUP(Table3[[#This Row],[Visitor]],$A$6:$B$38,2,FALSE)</f>
        <v>0.5588754449051625</v>
      </c>
      <c r="J317">
        <f>(Table3[[#This Row],[HomeMargin]]-Table3[[#This Row],[HomeForecast]])^2</f>
        <v>11.841338203676644</v>
      </c>
    </row>
    <row r="318" spans="4:10" x14ac:dyDescent="0.2">
      <c r="D318" t="s">
        <v>35</v>
      </c>
      <c r="E318">
        <f>'NHL2025-26Results'!C313</f>
        <v>2</v>
      </c>
      <c r="F318" t="s">
        <v>19</v>
      </c>
      <c r="G318">
        <f>'NHL2025-26Results'!E313</f>
        <v>3</v>
      </c>
      <c r="H318">
        <f>Table3[[#This Row],[G_1]]-Table3[[#This Row],[G]]</f>
        <v>1</v>
      </c>
      <c r="I318">
        <f>HomeEdge+VLOOKUP(Table3[[#This Row],[Home]],$A$6:$B$38,2,FALSE)-VLOOKUP(Table3[[#This Row],[Visitor]],$A$6:$B$38,2,FALSE)</f>
        <v>0.80990052955190439</v>
      </c>
      <c r="J318">
        <f>(Table3[[#This Row],[HomeMargin]]-Table3[[#This Row],[HomeForecast]])^2</f>
        <v>3.6137808664646373E-2</v>
      </c>
    </row>
    <row r="319" spans="4:10" x14ac:dyDescent="0.2">
      <c r="D319" t="s">
        <v>15</v>
      </c>
      <c r="E319">
        <f>'NHL2025-26Results'!C314</f>
        <v>2</v>
      </c>
      <c r="F319" t="s">
        <v>20</v>
      </c>
      <c r="G319">
        <f>'NHL2025-26Results'!E314</f>
        <v>3</v>
      </c>
      <c r="H319">
        <f>Table3[[#This Row],[G_1]]-Table3[[#This Row],[G]]</f>
        <v>1</v>
      </c>
      <c r="I319">
        <f>HomeEdge+VLOOKUP(Table3[[#This Row],[Home]],$A$6:$B$38,2,FALSE)-VLOOKUP(Table3[[#This Row],[Visitor]],$A$6:$B$38,2,FALSE)</f>
        <v>9.5493903086468657E-2</v>
      </c>
      <c r="J319">
        <f>(Table3[[#This Row],[HomeMargin]]-Table3[[#This Row],[HomeForecast]])^2</f>
        <v>0.81813127935375052</v>
      </c>
    </row>
    <row r="320" spans="4:10" x14ac:dyDescent="0.2">
      <c r="D320" t="s">
        <v>28</v>
      </c>
      <c r="E320">
        <f>'NHL2025-26Results'!C315</f>
        <v>2</v>
      </c>
      <c r="F320" t="s">
        <v>40</v>
      </c>
      <c r="G320">
        <f>'NHL2025-26Results'!E315</f>
        <v>5</v>
      </c>
      <c r="H320">
        <f>Table3[[#This Row],[G_1]]-Table3[[#This Row],[G]]</f>
        <v>3</v>
      </c>
      <c r="I320">
        <f>HomeEdge+VLOOKUP(Table3[[#This Row],[Home]],$A$6:$B$38,2,FALSE)-VLOOKUP(Table3[[#This Row],[Visitor]],$A$6:$B$38,2,FALSE)</f>
        <v>0.33164832949091116</v>
      </c>
      <c r="J320">
        <f>(Table3[[#This Row],[HomeMargin]]-Table3[[#This Row],[HomeForecast]])^2</f>
        <v>7.120100637508644</v>
      </c>
    </row>
    <row r="321" spans="4:10" x14ac:dyDescent="0.2">
      <c r="D321" t="s">
        <v>21</v>
      </c>
      <c r="E321">
        <f>'NHL2025-26Results'!C316</f>
        <v>3</v>
      </c>
      <c r="F321" t="s">
        <v>31</v>
      </c>
      <c r="G321">
        <f>'NHL2025-26Results'!E316</f>
        <v>4</v>
      </c>
      <c r="H321">
        <f>Table3[[#This Row],[G_1]]-Table3[[#This Row],[G]]</f>
        <v>1</v>
      </c>
      <c r="I321">
        <f>HomeEdge+VLOOKUP(Table3[[#This Row],[Home]],$A$6:$B$38,2,FALSE)-VLOOKUP(Table3[[#This Row],[Visitor]],$A$6:$B$38,2,FALSE)</f>
        <v>0.44837353121016033</v>
      </c>
      <c r="J321">
        <f>(Table3[[#This Row],[HomeMargin]]-Table3[[#This Row],[HomeForecast]])^2</f>
        <v>0.30429176106954797</v>
      </c>
    </row>
    <row r="322" spans="4:10" x14ac:dyDescent="0.2">
      <c r="D322" t="s">
        <v>16</v>
      </c>
      <c r="E322">
        <f>'NHL2025-26Results'!C317</f>
        <v>6</v>
      </c>
      <c r="F322" t="s">
        <v>23</v>
      </c>
      <c r="G322">
        <f>'NHL2025-26Results'!E317</f>
        <v>2</v>
      </c>
      <c r="H322">
        <f>Table3[[#This Row],[G_1]]-Table3[[#This Row],[G]]</f>
        <v>-4</v>
      </c>
      <c r="I322">
        <f>HomeEdge+VLOOKUP(Table3[[#This Row],[Home]],$A$6:$B$38,2,FALSE)-VLOOKUP(Table3[[#This Row],[Visitor]],$A$6:$B$38,2,FALSE)</f>
        <v>0.63957159222719362</v>
      </c>
      <c r="J322">
        <f>(Table3[[#This Row],[HomeMargin]]-Table3[[#This Row],[HomeForecast]])^2</f>
        <v>21.525624559401578</v>
      </c>
    </row>
    <row r="323" spans="4:10" x14ac:dyDescent="0.2">
      <c r="D323" t="s">
        <v>25</v>
      </c>
      <c r="E323">
        <f>'NHL2025-26Results'!C318</f>
        <v>3</v>
      </c>
      <c r="F323" t="s">
        <v>34</v>
      </c>
      <c r="G323">
        <f>'NHL2025-26Results'!E318</f>
        <v>4</v>
      </c>
      <c r="H323">
        <f>Table3[[#This Row],[G_1]]-Table3[[#This Row],[G]]</f>
        <v>1</v>
      </c>
      <c r="I323">
        <f>HomeEdge+VLOOKUP(Table3[[#This Row],[Home]],$A$6:$B$38,2,FALSE)-VLOOKUP(Table3[[#This Row],[Visitor]],$A$6:$B$38,2,FALSE)</f>
        <v>-0.43089917585486903</v>
      </c>
      <c r="J323">
        <f>(Table3[[#This Row],[HomeMargin]]-Table3[[#This Row],[HomeForecast]])^2</f>
        <v>2.0474724514621436</v>
      </c>
    </row>
    <row r="324" spans="4:10" x14ac:dyDescent="0.2">
      <c r="D324" t="s">
        <v>17</v>
      </c>
      <c r="E324">
        <f>'NHL2025-26Results'!C319</f>
        <v>4</v>
      </c>
      <c r="F324" t="s">
        <v>22</v>
      </c>
      <c r="G324">
        <f>'NHL2025-26Results'!E319</f>
        <v>7</v>
      </c>
      <c r="H324">
        <f>Table3[[#This Row],[G_1]]-Table3[[#This Row],[G]]</f>
        <v>3</v>
      </c>
      <c r="I324">
        <f>HomeEdge+VLOOKUP(Table3[[#This Row],[Home]],$A$6:$B$38,2,FALSE)-VLOOKUP(Table3[[#This Row],[Visitor]],$A$6:$B$38,2,FALSE)</f>
        <v>1.3083546460144411</v>
      </c>
      <c r="J324">
        <f>(Table3[[#This Row],[HomeMargin]]-Table3[[#This Row],[HomeForecast]])^2</f>
        <v>2.8616640036609269</v>
      </c>
    </row>
    <row r="325" spans="4:10" x14ac:dyDescent="0.2">
      <c r="D325" t="s">
        <v>36</v>
      </c>
      <c r="E325">
        <f>'NHL2025-26Results'!C320</f>
        <v>3</v>
      </c>
      <c r="F325" t="s">
        <v>31</v>
      </c>
      <c r="G325">
        <f>'NHL2025-26Results'!E320</f>
        <v>2</v>
      </c>
      <c r="H325">
        <f>Table3[[#This Row],[G_1]]-Table3[[#This Row],[G]]</f>
        <v>-1</v>
      </c>
      <c r="I325">
        <f>HomeEdge+VLOOKUP(Table3[[#This Row],[Home]],$A$6:$B$38,2,FALSE)-VLOOKUP(Table3[[#This Row],[Visitor]],$A$6:$B$38,2,FALSE)</f>
        <v>0.7599798216272674</v>
      </c>
      <c r="J325">
        <f>(Table3[[#This Row],[HomeMargin]]-Table3[[#This Row],[HomeForecast]])^2</f>
        <v>3.0975289725351485</v>
      </c>
    </row>
    <row r="326" spans="4:10" x14ac:dyDescent="0.2">
      <c r="D326" t="s">
        <v>32</v>
      </c>
      <c r="E326">
        <f>'NHL2025-26Results'!C321</f>
        <v>3</v>
      </c>
      <c r="F326" t="s">
        <v>10</v>
      </c>
      <c r="G326">
        <f>'NHL2025-26Results'!E321</f>
        <v>2</v>
      </c>
      <c r="H326">
        <f>Table3[[#This Row],[G_1]]-Table3[[#This Row],[G]]</f>
        <v>-1</v>
      </c>
      <c r="I326">
        <f>HomeEdge+VLOOKUP(Table3[[#This Row],[Home]],$A$6:$B$38,2,FALSE)-VLOOKUP(Table3[[#This Row],[Visitor]],$A$6:$B$38,2,FALSE)</f>
        <v>0.52308172901693883</v>
      </c>
      <c r="J326">
        <f>(Table3[[#This Row],[HomeMargin]]-Table3[[#This Row],[HomeForecast]])^2</f>
        <v>2.3197779532652274</v>
      </c>
    </row>
    <row r="327" spans="4:10" x14ac:dyDescent="0.2">
      <c r="D327" t="s">
        <v>15</v>
      </c>
      <c r="E327">
        <f>'NHL2025-26Results'!C322</f>
        <v>3</v>
      </c>
      <c r="F327" t="s">
        <v>12</v>
      </c>
      <c r="G327">
        <f>'NHL2025-26Results'!E322</f>
        <v>6</v>
      </c>
      <c r="H327">
        <f>Table3[[#This Row],[G_1]]-Table3[[#This Row],[G]]</f>
        <v>3</v>
      </c>
      <c r="I327">
        <f>HomeEdge+VLOOKUP(Table3[[#This Row],[Home]],$A$6:$B$38,2,FALSE)-VLOOKUP(Table3[[#This Row],[Visitor]],$A$6:$B$38,2,FALSE)</f>
        <v>1.9718383918340812</v>
      </c>
      <c r="J327">
        <f>(Table3[[#This Row],[HomeMargin]]-Table3[[#This Row],[HomeForecast]])^2</f>
        <v>1.0571162925063284</v>
      </c>
    </row>
    <row r="328" spans="4:10" x14ac:dyDescent="0.2">
      <c r="D328" t="s">
        <v>30</v>
      </c>
      <c r="E328">
        <f>'NHL2025-26Results'!C323</f>
        <v>5</v>
      </c>
      <c r="F328" t="s">
        <v>26</v>
      </c>
      <c r="G328">
        <f>'NHL2025-26Results'!E323</f>
        <v>0</v>
      </c>
      <c r="H328">
        <f>Table3[[#This Row],[G_1]]-Table3[[#This Row],[G]]</f>
        <v>-5</v>
      </c>
      <c r="I328">
        <f>HomeEdge+VLOOKUP(Table3[[#This Row],[Home]],$A$6:$B$38,2,FALSE)-VLOOKUP(Table3[[#This Row],[Visitor]],$A$6:$B$38,2,FALSE)</f>
        <v>-0.5845068186678144</v>
      </c>
      <c r="J328">
        <f>(Table3[[#This Row],[HomeMargin]]-Table3[[#This Row],[HomeForecast]])^2</f>
        <v>19.496580034391023</v>
      </c>
    </row>
    <row r="329" spans="4:10" x14ac:dyDescent="0.2">
      <c r="D329" t="s">
        <v>24</v>
      </c>
      <c r="E329">
        <f>'NHL2025-26Results'!C324</f>
        <v>0</v>
      </c>
      <c r="F329" t="s">
        <v>11</v>
      </c>
      <c r="G329">
        <f>'NHL2025-26Results'!E324</f>
        <v>1</v>
      </c>
      <c r="H329">
        <f>Table3[[#This Row],[G_1]]-Table3[[#This Row],[G]]</f>
        <v>1</v>
      </c>
      <c r="I329">
        <f>HomeEdge+VLOOKUP(Table3[[#This Row],[Home]],$A$6:$B$38,2,FALSE)-VLOOKUP(Table3[[#This Row],[Visitor]],$A$6:$B$38,2,FALSE)</f>
        <v>-0.34874779290554836</v>
      </c>
      <c r="J329">
        <f>(Table3[[#This Row],[HomeMargin]]-Table3[[#This Row],[HomeForecast]])^2</f>
        <v>1.8191206088675878</v>
      </c>
    </row>
    <row r="330" spans="4:10" x14ac:dyDescent="0.2">
      <c r="D330" t="s">
        <v>22</v>
      </c>
      <c r="E330">
        <f>'NHL2025-26Results'!C325</f>
        <v>8</v>
      </c>
      <c r="F330" t="s">
        <v>18</v>
      </c>
      <c r="G330">
        <f>'NHL2025-26Results'!E325</f>
        <v>4</v>
      </c>
      <c r="H330">
        <f>Table3[[#This Row],[G_1]]-Table3[[#This Row],[G]]</f>
        <v>-4</v>
      </c>
      <c r="I330">
        <f>HomeEdge+VLOOKUP(Table3[[#This Row],[Home]],$A$6:$B$38,2,FALSE)-VLOOKUP(Table3[[#This Row],[Visitor]],$A$6:$B$38,2,FALSE)</f>
        <v>-0.98369611220441966</v>
      </c>
      <c r="J330">
        <f>(Table3[[#This Row],[HomeMargin]]-Table3[[#This Row],[HomeForecast]])^2</f>
        <v>9.0980891435307321</v>
      </c>
    </row>
    <row r="331" spans="4:10" x14ac:dyDescent="0.2">
      <c r="D331" t="s">
        <v>35</v>
      </c>
      <c r="E331">
        <f>'NHL2025-26Results'!C326</f>
        <v>2</v>
      </c>
      <c r="F331" t="s">
        <v>27</v>
      </c>
      <c r="G331">
        <f>'NHL2025-26Results'!E326</f>
        <v>3</v>
      </c>
      <c r="H331">
        <f>Table3[[#This Row],[G_1]]-Table3[[#This Row],[G]]</f>
        <v>1</v>
      </c>
      <c r="I331">
        <f>HomeEdge+VLOOKUP(Table3[[#This Row],[Home]],$A$6:$B$38,2,FALSE)-VLOOKUP(Table3[[#This Row],[Visitor]],$A$6:$B$38,2,FALSE)</f>
        <v>1.064139537364569</v>
      </c>
      <c r="J331">
        <f>(Table3[[#This Row],[HomeMargin]]-Table3[[#This Row],[HomeForecast]])^2</f>
        <v>4.113880253340944E-3</v>
      </c>
    </row>
    <row r="332" spans="4:10" x14ac:dyDescent="0.2">
      <c r="D332" t="s">
        <v>13</v>
      </c>
      <c r="E332">
        <f>'NHL2025-26Results'!C327</f>
        <v>3</v>
      </c>
      <c r="F332" t="s">
        <v>33</v>
      </c>
      <c r="G332">
        <f>'NHL2025-26Results'!E327</f>
        <v>4</v>
      </c>
      <c r="H332">
        <f>Table3[[#This Row],[G_1]]-Table3[[#This Row],[G]]</f>
        <v>1</v>
      </c>
      <c r="I332">
        <f>HomeEdge+VLOOKUP(Table3[[#This Row],[Home]],$A$6:$B$38,2,FALSE)-VLOOKUP(Table3[[#This Row],[Visitor]],$A$6:$B$38,2,FALSE)</f>
        <v>-6.3146644781867212E-2</v>
      </c>
      <c r="J332">
        <f>(Table3[[#This Row],[HomeMargin]]-Table3[[#This Row],[HomeForecast]])^2</f>
        <v>1.1302807883109416</v>
      </c>
    </row>
    <row r="333" spans="4:10" x14ac:dyDescent="0.2">
      <c r="D333" t="s">
        <v>17</v>
      </c>
      <c r="E333">
        <f>'NHL2025-26Results'!C328</f>
        <v>1</v>
      </c>
      <c r="F333" t="s">
        <v>37</v>
      </c>
      <c r="G333">
        <f>'NHL2025-26Results'!E328</f>
        <v>2</v>
      </c>
      <c r="H333">
        <f>Table3[[#This Row],[G_1]]-Table3[[#This Row],[G]]</f>
        <v>1</v>
      </c>
      <c r="I333">
        <f>HomeEdge+VLOOKUP(Table3[[#This Row],[Home]],$A$6:$B$38,2,FALSE)-VLOOKUP(Table3[[#This Row],[Visitor]],$A$6:$B$38,2,FALSE)</f>
        <v>1.3781523599072885</v>
      </c>
      <c r="J333">
        <f>(Table3[[#This Row],[HomeMargin]]-Table3[[#This Row],[HomeForecast]])^2</f>
        <v>0.14299920730345142</v>
      </c>
    </row>
    <row r="334" spans="4:10" x14ac:dyDescent="0.2">
      <c r="D334" t="s">
        <v>28</v>
      </c>
      <c r="E334">
        <f>'NHL2025-26Results'!C329</f>
        <v>3</v>
      </c>
      <c r="F334" t="s">
        <v>19</v>
      </c>
      <c r="G334">
        <f>'NHL2025-26Results'!E329</f>
        <v>2</v>
      </c>
      <c r="H334">
        <f>Table3[[#This Row],[G_1]]-Table3[[#This Row],[G]]</f>
        <v>-1</v>
      </c>
      <c r="I334">
        <f>HomeEdge+VLOOKUP(Table3[[#This Row],[Home]],$A$6:$B$38,2,FALSE)-VLOOKUP(Table3[[#This Row],[Visitor]],$A$6:$B$38,2,FALSE)</f>
        <v>1.0411561954722148E-2</v>
      </c>
      <c r="J334">
        <f>(Table3[[#This Row],[HomeMargin]]-Table3[[#This Row],[HomeForecast]])^2</f>
        <v>1.0209315245317816</v>
      </c>
    </row>
    <row r="335" spans="4:10" x14ac:dyDescent="0.2">
      <c r="D335" t="s">
        <v>20</v>
      </c>
      <c r="E335">
        <f>'NHL2025-26Results'!C330</f>
        <v>4</v>
      </c>
      <c r="F335" t="s">
        <v>55</v>
      </c>
      <c r="G335">
        <f>'NHL2025-26Results'!E330</f>
        <v>1</v>
      </c>
      <c r="H335">
        <f>Table3[[#This Row],[G_1]]-Table3[[#This Row],[G]]</f>
        <v>-3</v>
      </c>
      <c r="I335">
        <f>HomeEdge+VLOOKUP(Table3[[#This Row],[Home]],$A$6:$B$38,2,FALSE)-VLOOKUP(Table3[[#This Row],[Visitor]],$A$6:$B$38,2,FALSE)</f>
        <v>-0.10878170977738358</v>
      </c>
      <c r="J335">
        <f>(Table3[[#This Row],[HomeMargin]]-Table3[[#This Row],[HomeForecast]])^2</f>
        <v>8.3591432017177905</v>
      </c>
    </row>
    <row r="336" spans="4:10" x14ac:dyDescent="0.2">
      <c r="D336" t="s">
        <v>39</v>
      </c>
      <c r="E336">
        <f>'NHL2025-26Results'!C331</f>
        <v>4</v>
      </c>
      <c r="F336" t="s">
        <v>38</v>
      </c>
      <c r="G336">
        <f>'NHL2025-26Results'!E331</f>
        <v>2</v>
      </c>
      <c r="H336">
        <f>Table3[[#This Row],[G_1]]-Table3[[#This Row],[G]]</f>
        <v>-2</v>
      </c>
      <c r="I336">
        <f>HomeEdge+VLOOKUP(Table3[[#This Row],[Home]],$A$6:$B$38,2,FALSE)-VLOOKUP(Table3[[#This Row],[Visitor]],$A$6:$B$38,2,FALSE)</f>
        <v>-1.3112195080427616</v>
      </c>
      <c r="J336">
        <f>(Table3[[#This Row],[HomeMargin]]-Table3[[#This Row],[HomeForecast]])^2</f>
        <v>0.47441856610085542</v>
      </c>
    </row>
    <row r="337" spans="4:10" x14ac:dyDescent="0.2">
      <c r="D337" t="s">
        <v>10</v>
      </c>
      <c r="E337">
        <f>'NHL2025-26Results'!C332</f>
        <v>3</v>
      </c>
      <c r="F337" t="s">
        <v>23</v>
      </c>
      <c r="G337">
        <f>'NHL2025-26Results'!E332</f>
        <v>9</v>
      </c>
      <c r="H337">
        <f>Table3[[#This Row],[G_1]]-Table3[[#This Row],[G]]</f>
        <v>6</v>
      </c>
      <c r="I337">
        <f>HomeEdge+VLOOKUP(Table3[[#This Row],[Home]],$A$6:$B$38,2,FALSE)-VLOOKUP(Table3[[#This Row],[Visitor]],$A$6:$B$38,2,FALSE)</f>
        <v>-0.25001343163311357</v>
      </c>
      <c r="J337">
        <f>(Table3[[#This Row],[HomeMargin]]-Table3[[#This Row],[HomeForecast]])^2</f>
        <v>39.062667895594323</v>
      </c>
    </row>
    <row r="338" spans="4:10" x14ac:dyDescent="0.2">
      <c r="D338" t="s">
        <v>21</v>
      </c>
      <c r="E338">
        <f>'NHL2025-26Results'!C333</f>
        <v>2</v>
      </c>
      <c r="F338" t="s">
        <v>13</v>
      </c>
      <c r="G338">
        <f>'NHL2025-26Results'!E333</f>
        <v>1</v>
      </c>
      <c r="H338">
        <f>Table3[[#This Row],[G_1]]-Table3[[#This Row],[G]]</f>
        <v>-1</v>
      </c>
      <c r="I338">
        <f>HomeEdge+VLOOKUP(Table3[[#This Row],[Home]],$A$6:$B$38,2,FALSE)-VLOOKUP(Table3[[#This Row],[Visitor]],$A$6:$B$38,2,FALSE)</f>
        <v>-6.8613089306319597E-2</v>
      </c>
      <c r="J338">
        <f>(Table3[[#This Row],[HomeMargin]]-Table3[[#This Row],[HomeForecast]])^2</f>
        <v>0.86748157741151777</v>
      </c>
    </row>
    <row r="339" spans="4:10" x14ac:dyDescent="0.2">
      <c r="D339" t="s">
        <v>34</v>
      </c>
      <c r="E339">
        <f>'NHL2025-26Results'!C334</f>
        <v>5</v>
      </c>
      <c r="F339" t="s">
        <v>14</v>
      </c>
      <c r="G339">
        <f>'NHL2025-26Results'!E334</f>
        <v>0</v>
      </c>
      <c r="H339">
        <f>Table3[[#This Row],[G_1]]-Table3[[#This Row],[G]]</f>
        <v>-5</v>
      </c>
      <c r="I339">
        <f>HomeEdge+VLOOKUP(Table3[[#This Row],[Home]],$A$6:$B$38,2,FALSE)-VLOOKUP(Table3[[#This Row],[Visitor]],$A$6:$B$38,2,FALSE)</f>
        <v>-3.7238685192848738E-2</v>
      </c>
      <c r="J339">
        <f>(Table3[[#This Row],[HomeMargin]]-Table3[[#This Row],[HomeForecast]])^2</f>
        <v>24.628999867746405</v>
      </c>
    </row>
    <row r="340" spans="4:10" x14ac:dyDescent="0.2">
      <c r="D340" t="s">
        <v>25</v>
      </c>
      <c r="E340">
        <f>'NHL2025-26Results'!C335</f>
        <v>4</v>
      </c>
      <c r="F340" t="s">
        <v>40</v>
      </c>
      <c r="G340">
        <f>'NHL2025-26Results'!E335</f>
        <v>3</v>
      </c>
      <c r="H340">
        <f>Table3[[#This Row],[G_1]]-Table3[[#This Row],[G]]</f>
        <v>-1</v>
      </c>
      <c r="I340">
        <f>HomeEdge+VLOOKUP(Table3[[#This Row],[Home]],$A$6:$B$38,2,FALSE)-VLOOKUP(Table3[[#This Row],[Visitor]],$A$6:$B$38,2,FALSE)</f>
        <v>-0.68901621218818176</v>
      </c>
      <c r="J340">
        <f>(Table3[[#This Row],[HomeMargin]]-Table3[[#This Row],[HomeForecast]])^2</f>
        <v>9.6710916281785991E-2</v>
      </c>
    </row>
    <row r="341" spans="4:10" x14ac:dyDescent="0.2">
      <c r="D341" t="s">
        <v>20</v>
      </c>
      <c r="E341">
        <f>'NHL2025-26Results'!C336</f>
        <v>3</v>
      </c>
      <c r="F341" t="s">
        <v>31</v>
      </c>
      <c r="G341">
        <f>'NHL2025-26Results'!E336</f>
        <v>4</v>
      </c>
      <c r="H341">
        <f>Table3[[#This Row],[G_1]]-Table3[[#This Row],[G]]</f>
        <v>1</v>
      </c>
      <c r="I341">
        <f>HomeEdge+VLOOKUP(Table3[[#This Row],[Home]],$A$6:$B$38,2,FALSE)-VLOOKUP(Table3[[#This Row],[Visitor]],$A$6:$B$38,2,FALSE)</f>
        <v>0.47304460108306517</v>
      </c>
      <c r="J341">
        <f>(Table3[[#This Row],[HomeMargin]]-Table3[[#This Row],[HomeForecast]])^2</f>
        <v>0.27768199244770597</v>
      </c>
    </row>
    <row r="342" spans="4:10" x14ac:dyDescent="0.2">
      <c r="D342" t="s">
        <v>39</v>
      </c>
      <c r="E342">
        <f>'NHL2025-26Results'!C337</f>
        <v>2</v>
      </c>
      <c r="F342" t="s">
        <v>16</v>
      </c>
      <c r="G342">
        <f>'NHL2025-26Results'!E337</f>
        <v>3</v>
      </c>
      <c r="H342">
        <f>Table3[[#This Row],[G_1]]-Table3[[#This Row],[G]]</f>
        <v>1</v>
      </c>
      <c r="I342">
        <f>HomeEdge+VLOOKUP(Table3[[#This Row],[Home]],$A$6:$B$38,2,FALSE)-VLOOKUP(Table3[[#This Row],[Visitor]],$A$6:$B$38,2,FALSE)</f>
        <v>-1.4293230319765782</v>
      </c>
      <c r="J342">
        <f>(Table3[[#This Row],[HomeMargin]]-Table3[[#This Row],[HomeForecast]])^2</f>
        <v>5.9016103936918736</v>
      </c>
    </row>
    <row r="343" spans="4:10" x14ac:dyDescent="0.2">
      <c r="D343" t="s">
        <v>28</v>
      </c>
      <c r="E343">
        <f>'NHL2025-26Results'!C338</f>
        <v>3</v>
      </c>
      <c r="F343" t="s">
        <v>26</v>
      </c>
      <c r="G343">
        <f>'NHL2025-26Results'!E338</f>
        <v>4</v>
      </c>
      <c r="H343">
        <f>Table3[[#This Row],[G_1]]-Table3[[#This Row],[G]]</f>
        <v>1</v>
      </c>
      <c r="I343">
        <f>HomeEdge+VLOOKUP(Table3[[#This Row],[Home]],$A$6:$B$38,2,FALSE)-VLOOKUP(Table3[[#This Row],[Visitor]],$A$6:$B$38,2,FALSE)</f>
        <v>-0.23044941175860678</v>
      </c>
      <c r="J343">
        <f>(Table3[[#This Row],[HomeMargin]]-Table3[[#This Row],[HomeForecast]])^2</f>
        <v>1.5140057548971018</v>
      </c>
    </row>
    <row r="344" spans="4:10" x14ac:dyDescent="0.2">
      <c r="D344" t="s">
        <v>17</v>
      </c>
      <c r="E344">
        <f>'NHL2025-26Results'!C339</f>
        <v>6</v>
      </c>
      <c r="F344" t="s">
        <v>11</v>
      </c>
      <c r="G344">
        <f>'NHL2025-26Results'!E339</f>
        <v>3</v>
      </c>
      <c r="H344">
        <f>Table3[[#This Row],[G_1]]-Table3[[#This Row],[G]]</f>
        <v>-3</v>
      </c>
      <c r="I344">
        <f>HomeEdge+VLOOKUP(Table3[[#This Row],[Home]],$A$6:$B$38,2,FALSE)-VLOOKUP(Table3[[#This Row],[Visitor]],$A$6:$B$38,2,FALSE)</f>
        <v>0.47052912209657766</v>
      </c>
      <c r="J344">
        <f>(Table3[[#This Row],[HomeMargin]]-Table3[[#This Row],[HomeForecast]])^2</f>
        <v>12.044572387320443</v>
      </c>
    </row>
    <row r="345" spans="4:10" x14ac:dyDescent="0.2">
      <c r="D345" t="s">
        <v>19</v>
      </c>
      <c r="E345">
        <f>'NHL2025-26Results'!C340</f>
        <v>2</v>
      </c>
      <c r="F345" t="s">
        <v>18</v>
      </c>
      <c r="G345">
        <f>'NHL2025-26Results'!E340</f>
        <v>5</v>
      </c>
      <c r="H345">
        <f>Table3[[#This Row],[G_1]]-Table3[[#This Row],[G]]</f>
        <v>3</v>
      </c>
      <c r="I345">
        <f>HomeEdge+VLOOKUP(Table3[[#This Row],[Home]],$A$6:$B$38,2,FALSE)-VLOOKUP(Table3[[#This Row],[Visitor]],$A$6:$B$38,2,FALSE)</f>
        <v>9.1489711968317788E-2</v>
      </c>
      <c r="J345">
        <f>(Table3[[#This Row],[HomeMargin]]-Table3[[#This Row],[HomeForecast]])^2</f>
        <v>8.4594320955861395</v>
      </c>
    </row>
    <row r="346" spans="4:10" x14ac:dyDescent="0.2">
      <c r="D346" t="s">
        <v>12</v>
      </c>
      <c r="E346">
        <f>'NHL2025-26Results'!C341</f>
        <v>3</v>
      </c>
      <c r="F346" t="s">
        <v>29</v>
      </c>
      <c r="G346">
        <f>'NHL2025-26Results'!E341</f>
        <v>0</v>
      </c>
      <c r="H346">
        <f>Table3[[#This Row],[G_1]]-Table3[[#This Row],[G]]</f>
        <v>-3</v>
      </c>
      <c r="I346">
        <f>HomeEdge+VLOOKUP(Table3[[#This Row],[Home]],$A$6:$B$38,2,FALSE)-VLOOKUP(Table3[[#This Row],[Visitor]],$A$6:$B$38,2,FALSE)</f>
        <v>-2.9669201933138747</v>
      </c>
      <c r="J346">
        <f>(Table3[[#This Row],[HomeMargin]]-Table3[[#This Row],[HomeForecast]])^2</f>
        <v>1.094273610391421E-3</v>
      </c>
    </row>
    <row r="347" spans="4:10" x14ac:dyDescent="0.2">
      <c r="D347" t="s">
        <v>35</v>
      </c>
      <c r="E347">
        <f>'NHL2025-26Results'!C342</f>
        <v>2</v>
      </c>
      <c r="F347" t="s">
        <v>30</v>
      </c>
      <c r="G347">
        <f>'NHL2025-26Results'!E342</f>
        <v>1</v>
      </c>
      <c r="H347">
        <f>Table3[[#This Row],[G_1]]-Table3[[#This Row],[G]]</f>
        <v>-1</v>
      </c>
      <c r="I347">
        <f>HomeEdge+VLOOKUP(Table3[[#This Row],[Home]],$A$6:$B$38,2,FALSE)-VLOOKUP(Table3[[#This Row],[Visitor]],$A$6:$B$38,2,FALSE)</f>
        <v>1.2034471234295523</v>
      </c>
      <c r="J347">
        <f>(Table3[[#This Row],[HomeMargin]]-Table3[[#This Row],[HomeForecast]])^2</f>
        <v>4.8551792257499695</v>
      </c>
    </row>
    <row r="348" spans="4:10" x14ac:dyDescent="0.2">
      <c r="D348" t="s">
        <v>24</v>
      </c>
      <c r="E348">
        <f>'NHL2025-26Results'!C343</f>
        <v>3</v>
      </c>
      <c r="F348" t="s">
        <v>27</v>
      </c>
      <c r="G348">
        <f>'NHL2025-26Results'!E343</f>
        <v>6</v>
      </c>
      <c r="H348">
        <f>Table3[[#This Row],[G_1]]-Table3[[#This Row],[G]]</f>
        <v>3</v>
      </c>
      <c r="I348">
        <f>HomeEdge+VLOOKUP(Table3[[#This Row],[Home]],$A$6:$B$38,2,FALSE)-VLOOKUP(Table3[[#This Row],[Visitor]],$A$6:$B$38,2,FALSE)</f>
        <v>-0.33186908534775783</v>
      </c>
      <c r="J348">
        <f>(Table3[[#This Row],[HomeMargin]]-Table3[[#This Row],[HomeForecast]])^2</f>
        <v>11.101351601896106</v>
      </c>
    </row>
    <row r="349" spans="4:10" x14ac:dyDescent="0.2">
      <c r="D349" t="s">
        <v>32</v>
      </c>
      <c r="E349">
        <f>'NHL2025-26Results'!C344</f>
        <v>3</v>
      </c>
      <c r="F349" t="s">
        <v>14</v>
      </c>
      <c r="G349">
        <f>'NHL2025-26Results'!E344</f>
        <v>2</v>
      </c>
      <c r="H349">
        <f>Table3[[#This Row],[G_1]]-Table3[[#This Row],[G]]</f>
        <v>-1</v>
      </c>
      <c r="I349">
        <f>HomeEdge+VLOOKUP(Table3[[#This Row],[Home]],$A$6:$B$38,2,FALSE)-VLOOKUP(Table3[[#This Row],[Visitor]],$A$6:$B$38,2,FALSE)</f>
        <v>0.55701376263576241</v>
      </c>
      <c r="J349">
        <f>(Table3[[#This Row],[HomeMargin]]-Table3[[#This Row],[HomeForecast]])^2</f>
        <v>2.4242918570371748</v>
      </c>
    </row>
    <row r="350" spans="4:10" x14ac:dyDescent="0.2">
      <c r="D350" t="s">
        <v>36</v>
      </c>
      <c r="E350">
        <f>'NHL2025-26Results'!C345</f>
        <v>3</v>
      </c>
      <c r="F350" t="s">
        <v>33</v>
      </c>
      <c r="G350">
        <f>'NHL2025-26Results'!E345</f>
        <v>2</v>
      </c>
      <c r="H350">
        <f>Table3[[#This Row],[G_1]]-Table3[[#This Row],[G]]</f>
        <v>-1</v>
      </c>
      <c r="I350">
        <f>HomeEdge+VLOOKUP(Table3[[#This Row],[Home]],$A$6:$B$38,2,FALSE)-VLOOKUP(Table3[[#This Row],[Visitor]],$A$6:$B$38,2,FALSE)</f>
        <v>0.12994580740575773</v>
      </c>
      <c r="J350">
        <f>(Table3[[#This Row],[HomeMargin]]-Table3[[#This Row],[HomeForecast]])^2</f>
        <v>1.2767775276738498</v>
      </c>
    </row>
    <row r="351" spans="4:10" x14ac:dyDescent="0.2">
      <c r="D351" t="s">
        <v>15</v>
      </c>
      <c r="E351">
        <f>'NHL2025-26Results'!C346</f>
        <v>2</v>
      </c>
      <c r="F351" t="s">
        <v>55</v>
      </c>
      <c r="G351">
        <f>'NHL2025-26Results'!E346</f>
        <v>3</v>
      </c>
      <c r="H351">
        <f>Table3[[#This Row],[G_1]]-Table3[[#This Row],[G]]</f>
        <v>1</v>
      </c>
      <c r="I351">
        <f>HomeEdge+VLOOKUP(Table3[[#This Row],[Home]],$A$6:$B$38,2,FALSE)-VLOOKUP(Table3[[#This Row],[Visitor]],$A$6:$B$38,2,FALSE)</f>
        <v>-6.318855561407738E-2</v>
      </c>
      <c r="J351">
        <f>(Table3[[#This Row],[HomeMargin]]-Table3[[#This Row],[HomeForecast]])^2</f>
        <v>1.1303699047887483</v>
      </c>
    </row>
    <row r="352" spans="4:10" x14ac:dyDescent="0.2">
      <c r="D352" t="s">
        <v>37</v>
      </c>
      <c r="E352">
        <f>'NHL2025-26Results'!C347</f>
        <v>5</v>
      </c>
      <c r="F352" t="s">
        <v>22</v>
      </c>
      <c r="G352">
        <f>'NHL2025-26Results'!E347</f>
        <v>3</v>
      </c>
      <c r="H352">
        <f>Table3[[#This Row],[G_1]]-Table3[[#This Row],[G]]</f>
        <v>-2</v>
      </c>
      <c r="I352">
        <f>HomeEdge+VLOOKUP(Table3[[#This Row],[Home]],$A$6:$B$38,2,FALSE)-VLOOKUP(Table3[[#This Row],[Visitor]],$A$6:$B$38,2,FALSE)</f>
        <v>-1.9896964969684905E-2</v>
      </c>
      <c r="J352">
        <f>(Table3[[#This Row],[HomeMargin]]-Table3[[#This Row],[HomeForecast]])^2</f>
        <v>3.920808029336265</v>
      </c>
    </row>
    <row r="353" spans="4:10" x14ac:dyDescent="0.2">
      <c r="D353" t="s">
        <v>25</v>
      </c>
      <c r="E353">
        <f>'NHL2025-26Results'!C348</f>
        <v>1</v>
      </c>
      <c r="F353" t="s">
        <v>23</v>
      </c>
      <c r="G353">
        <f>'NHL2025-26Results'!E348</f>
        <v>4</v>
      </c>
      <c r="H353">
        <f>Table3[[#This Row],[G_1]]-Table3[[#This Row],[G]]</f>
        <v>3</v>
      </c>
      <c r="I353">
        <f>HomeEdge+VLOOKUP(Table3[[#This Row],[Home]],$A$6:$B$38,2,FALSE)-VLOOKUP(Table3[[#This Row],[Visitor]],$A$6:$B$38,2,FALSE)</f>
        <v>-0.85188482414597988</v>
      </c>
      <c r="J353">
        <f>(Table3[[#This Row],[HomeMargin]]-Table3[[#This Row],[HomeForecast]])^2</f>
        <v>14.837016698486106</v>
      </c>
    </row>
    <row r="354" spans="4:10" x14ac:dyDescent="0.2">
      <c r="D354" t="s">
        <v>12</v>
      </c>
      <c r="E354">
        <f>'NHL2025-26Results'!C349</f>
        <v>1</v>
      </c>
      <c r="F354" t="s">
        <v>10</v>
      </c>
      <c r="G354">
        <f>'NHL2025-26Results'!E349</f>
        <v>0</v>
      </c>
      <c r="H354">
        <f>Table3[[#This Row],[G_1]]-Table3[[#This Row],[G]]</f>
        <v>-1</v>
      </c>
      <c r="I354">
        <f>HomeEdge+VLOOKUP(Table3[[#This Row],[Home]],$A$6:$B$38,2,FALSE)-VLOOKUP(Table3[[#This Row],[Visitor]],$A$6:$B$38,2,FALSE)</f>
        <v>-1.7581991646881274</v>
      </c>
      <c r="J354">
        <f>(Table3[[#This Row],[HomeMargin]]-Table3[[#This Row],[HomeForecast]])^2</f>
        <v>0.57486597333377421</v>
      </c>
    </row>
    <row r="355" spans="4:10" x14ac:dyDescent="0.2">
      <c r="D355" t="s">
        <v>32</v>
      </c>
      <c r="E355">
        <f>'NHL2025-26Results'!C350</f>
        <v>0</v>
      </c>
      <c r="F355" t="s">
        <v>30</v>
      </c>
      <c r="G355">
        <f>'NHL2025-26Results'!E350</f>
        <v>1</v>
      </c>
      <c r="H355">
        <f>Table3[[#This Row],[G_1]]-Table3[[#This Row],[G]]</f>
        <v>1</v>
      </c>
      <c r="I355">
        <f>HomeEdge+VLOOKUP(Table3[[#This Row],[Home]],$A$6:$B$38,2,FALSE)-VLOOKUP(Table3[[#This Row],[Visitor]],$A$6:$B$38,2,FALSE)</f>
        <v>0.45834598675991978</v>
      </c>
      <c r="J355">
        <f>(Table3[[#This Row],[HomeMargin]]-Table3[[#This Row],[HomeForecast]])^2</f>
        <v>0.29338907005908499</v>
      </c>
    </row>
    <row r="356" spans="4:10" x14ac:dyDescent="0.2">
      <c r="D356" t="s">
        <v>21</v>
      </c>
      <c r="E356">
        <f>'NHL2025-26Results'!C351</f>
        <v>1</v>
      </c>
      <c r="F356" t="s">
        <v>33</v>
      </c>
      <c r="G356">
        <f>'NHL2025-26Results'!E351</f>
        <v>3</v>
      </c>
      <c r="H356">
        <f>Table3[[#This Row],[G_1]]-Table3[[#This Row],[G]]</f>
        <v>2</v>
      </c>
      <c r="I356">
        <f>HomeEdge+VLOOKUP(Table3[[#This Row],[Home]],$A$6:$B$38,2,FALSE)-VLOOKUP(Table3[[#This Row],[Visitor]],$A$6:$B$38,2,FALSE)</f>
        <v>-0.18166048301134929</v>
      </c>
      <c r="J356">
        <f>(Table3[[#This Row],[HomeMargin]]-Table3[[#This Row],[HomeForecast]])^2</f>
        <v>4.7596424631333125</v>
      </c>
    </row>
    <row r="357" spans="4:10" x14ac:dyDescent="0.2">
      <c r="D357" t="s">
        <v>16</v>
      </c>
      <c r="E357">
        <f>'NHL2025-26Results'!C352</f>
        <v>5</v>
      </c>
      <c r="F357" t="s">
        <v>38</v>
      </c>
      <c r="G357">
        <f>'NHL2025-26Results'!E352</f>
        <v>2</v>
      </c>
      <c r="H357">
        <f>Table3[[#This Row],[G_1]]-Table3[[#This Row],[G]]</f>
        <v>-3</v>
      </c>
      <c r="I357">
        <f>HomeEdge+VLOOKUP(Table3[[#This Row],[Home]],$A$6:$B$38,2,FALSE)-VLOOKUP(Table3[[#This Row],[Visitor]],$A$6:$B$38,2,FALSE)</f>
        <v>0.16800427285697916</v>
      </c>
      <c r="J357">
        <f>(Table3[[#This Row],[HomeMargin]]-Table3[[#This Row],[HomeForecast]])^2</f>
        <v>10.036251072840077</v>
      </c>
    </row>
    <row r="358" spans="4:10" x14ac:dyDescent="0.2">
      <c r="D358" t="s">
        <v>34</v>
      </c>
      <c r="E358">
        <f>'NHL2025-26Results'!C353</f>
        <v>3</v>
      </c>
      <c r="F358" t="s">
        <v>40</v>
      </c>
      <c r="G358">
        <f>'NHL2025-26Results'!E353</f>
        <v>0</v>
      </c>
      <c r="H358">
        <f>Table3[[#This Row],[G_1]]-Table3[[#This Row],[G]]</f>
        <v>-3</v>
      </c>
      <c r="I358">
        <f>HomeEdge+VLOOKUP(Table3[[#This Row],[Home]],$A$6:$B$38,2,FALSE)-VLOOKUP(Table3[[#This Row],[Visitor]],$A$6:$B$38,2,FALSE)</f>
        <v>-0.20821628741015025</v>
      </c>
      <c r="J358">
        <f>(Table3[[#This Row],[HomeMargin]]-Table3[[#This Row],[HomeForecast]])^2</f>
        <v>7.7940562978819656</v>
      </c>
    </row>
    <row r="359" spans="4:10" x14ac:dyDescent="0.2">
      <c r="D359" t="s">
        <v>36</v>
      </c>
      <c r="E359">
        <f>'NHL2025-26Results'!C354</f>
        <v>1</v>
      </c>
      <c r="F359" t="s">
        <v>13</v>
      </c>
      <c r="G359">
        <f>'NHL2025-26Results'!E354</f>
        <v>2</v>
      </c>
      <c r="H359">
        <f>Table3[[#This Row],[G_1]]-Table3[[#This Row],[G]]</f>
        <v>1</v>
      </c>
      <c r="I359">
        <f>HomeEdge+VLOOKUP(Table3[[#This Row],[Home]],$A$6:$B$38,2,FALSE)-VLOOKUP(Table3[[#This Row],[Visitor]],$A$6:$B$38,2,FALSE)</f>
        <v>0.24299320111078743</v>
      </c>
      <c r="J359">
        <f>(Table3[[#This Row],[HomeMargin]]-Table3[[#This Row],[HomeForecast]])^2</f>
        <v>0.57305929356449281</v>
      </c>
    </row>
    <row r="360" spans="4:10" x14ac:dyDescent="0.2">
      <c r="D360" t="s">
        <v>26</v>
      </c>
      <c r="E360">
        <f>'NHL2025-26Results'!C355</f>
        <v>3</v>
      </c>
      <c r="F360" t="s">
        <v>24</v>
      </c>
      <c r="G360">
        <f>'NHL2025-26Results'!E355</f>
        <v>4</v>
      </c>
      <c r="H360">
        <f>Table3[[#This Row],[G_1]]-Table3[[#This Row],[G]]</f>
        <v>1</v>
      </c>
      <c r="I360">
        <f>HomeEdge+VLOOKUP(Table3[[#This Row],[Home]],$A$6:$B$38,2,FALSE)-VLOOKUP(Table3[[#This Row],[Visitor]],$A$6:$B$38,2,FALSE)</f>
        <v>0.92677056472007624</v>
      </c>
      <c r="J360">
        <f>(Table3[[#This Row],[HomeMargin]]-Table3[[#This Row],[HomeForecast]])^2</f>
        <v>5.362550191416543E-3</v>
      </c>
    </row>
    <row r="361" spans="4:10" x14ac:dyDescent="0.2">
      <c r="D361" t="s">
        <v>11</v>
      </c>
      <c r="E361">
        <f>'NHL2025-26Results'!C356</f>
        <v>8</v>
      </c>
      <c r="F361" t="s">
        <v>29</v>
      </c>
      <c r="G361">
        <f>'NHL2025-26Results'!E356</f>
        <v>3</v>
      </c>
      <c r="H361">
        <f>Table3[[#This Row],[G_1]]-Table3[[#This Row],[G]]</f>
        <v>-5</v>
      </c>
      <c r="I361">
        <f>HomeEdge+VLOOKUP(Table3[[#This Row],[Home]],$A$6:$B$38,2,FALSE)-VLOOKUP(Table3[[#This Row],[Visitor]],$A$6:$B$38,2,FALSE)</f>
        <v>-0.93789824382279197</v>
      </c>
      <c r="J361">
        <f>(Table3[[#This Row],[HomeMargin]]-Table3[[#This Row],[HomeForecast]])^2</f>
        <v>16.500670677537958</v>
      </c>
    </row>
    <row r="362" spans="4:10" x14ac:dyDescent="0.2">
      <c r="D362" t="s">
        <v>35</v>
      </c>
      <c r="E362">
        <f>'NHL2025-26Results'!C357</f>
        <v>2</v>
      </c>
      <c r="F362" t="s">
        <v>15</v>
      </c>
      <c r="G362">
        <f>'NHL2025-26Results'!E357</f>
        <v>3</v>
      </c>
      <c r="H362">
        <f>Table3[[#This Row],[G_1]]-Table3[[#This Row],[G]]</f>
        <v>1</v>
      </c>
      <c r="I362">
        <f>HomeEdge+VLOOKUP(Table3[[#This Row],[Home]],$A$6:$B$38,2,FALSE)-VLOOKUP(Table3[[#This Row],[Visitor]],$A$6:$B$38,2,FALSE)</f>
        <v>1.1543451363869424</v>
      </c>
      <c r="J362">
        <f>(Table3[[#This Row],[HomeMargin]]-Table3[[#This Row],[HomeForecast]])^2</f>
        <v>2.3822421126303839E-2</v>
      </c>
    </row>
    <row r="363" spans="4:10" x14ac:dyDescent="0.2">
      <c r="D363" t="s">
        <v>27</v>
      </c>
      <c r="E363">
        <f>'NHL2025-26Results'!C358</f>
        <v>0</v>
      </c>
      <c r="F363" t="s">
        <v>37</v>
      </c>
      <c r="G363">
        <f>'NHL2025-26Results'!E358</f>
        <v>3</v>
      </c>
      <c r="H363">
        <f>Table3[[#This Row],[G_1]]-Table3[[#This Row],[G]]</f>
        <v>3</v>
      </c>
      <c r="I363">
        <f>HomeEdge+VLOOKUP(Table3[[#This Row],[Home]],$A$6:$B$38,2,FALSE)-VLOOKUP(Table3[[#This Row],[Visitor]],$A$6:$B$38,2,FALSE)</f>
        <v>0.94064527917608276</v>
      </c>
      <c r="J363">
        <f>(Table3[[#This Row],[HomeMargin]]-Table3[[#This Row],[HomeForecast]])^2</f>
        <v>4.2409418661797549</v>
      </c>
    </row>
    <row r="364" spans="4:10" x14ac:dyDescent="0.2">
      <c r="D364" t="s">
        <v>20</v>
      </c>
      <c r="E364">
        <f>'NHL2025-26Results'!C359</f>
        <v>1</v>
      </c>
      <c r="F364" t="s">
        <v>55</v>
      </c>
      <c r="G364">
        <f>'NHL2025-26Results'!E359</f>
        <v>5</v>
      </c>
      <c r="H364">
        <f>Table3[[#This Row],[G_1]]-Table3[[#This Row],[G]]</f>
        <v>4</v>
      </c>
      <c r="I364">
        <f>HomeEdge+VLOOKUP(Table3[[#This Row],[Home]],$A$6:$B$38,2,FALSE)-VLOOKUP(Table3[[#This Row],[Visitor]],$A$6:$B$38,2,FALSE)</f>
        <v>-0.10878170977738358</v>
      </c>
      <c r="J364">
        <f>(Table3[[#This Row],[HomeMargin]]-Table3[[#This Row],[HomeForecast]])^2</f>
        <v>16.882087138601165</v>
      </c>
    </row>
    <row r="365" spans="4:10" x14ac:dyDescent="0.2">
      <c r="D365" t="s">
        <v>28</v>
      </c>
      <c r="E365">
        <f>'NHL2025-26Results'!C360</f>
        <v>1</v>
      </c>
      <c r="F365" t="s">
        <v>22</v>
      </c>
      <c r="G365">
        <f>'NHL2025-26Results'!E360</f>
        <v>5</v>
      </c>
      <c r="H365">
        <f>Table3[[#This Row],[G_1]]-Table3[[#This Row],[G]]</f>
        <v>4</v>
      </c>
      <c r="I365">
        <f>HomeEdge+VLOOKUP(Table3[[#This Row],[Home]],$A$6:$B$38,2,FALSE)-VLOOKUP(Table3[[#This Row],[Visitor]],$A$6:$B$38,2,FALSE)</f>
        <v>1.0855973861274597</v>
      </c>
      <c r="J365">
        <f>(Table3[[#This Row],[HomeMargin]]-Table3[[#This Row],[HomeForecast]])^2</f>
        <v>8.4937425957470953</v>
      </c>
    </row>
    <row r="366" spans="4:10" x14ac:dyDescent="0.2">
      <c r="D366" t="s">
        <v>39</v>
      </c>
      <c r="E366">
        <f>'NHL2025-26Results'!C361</f>
        <v>8</v>
      </c>
      <c r="F366" t="s">
        <v>17</v>
      </c>
      <c r="G366">
        <f>'NHL2025-26Results'!E361</f>
        <v>3</v>
      </c>
      <c r="H366">
        <f>Table3[[#This Row],[G_1]]-Table3[[#This Row],[G]]</f>
        <v>-5</v>
      </c>
      <c r="I366">
        <f>HomeEdge+VLOOKUP(Table3[[#This Row],[Home]],$A$6:$B$38,2,FALSE)-VLOOKUP(Table3[[#This Row],[Visitor]],$A$6:$B$38,2,FALSE)</f>
        <v>-1.1812884171694791</v>
      </c>
      <c r="J366">
        <f>(Table3[[#This Row],[HomeMargin]]-Table3[[#This Row],[HomeForecast]])^2</f>
        <v>14.582558152843983</v>
      </c>
    </row>
    <row r="367" spans="4:10" x14ac:dyDescent="0.2">
      <c r="D367" t="s">
        <v>38</v>
      </c>
      <c r="E367">
        <f>'NHL2025-26Results'!C362</f>
        <v>5</v>
      </c>
      <c r="F367" t="s">
        <v>31</v>
      </c>
      <c r="G367">
        <f>'NHL2025-26Results'!E362</f>
        <v>4</v>
      </c>
      <c r="H367">
        <f>Table3[[#This Row],[G_1]]-Table3[[#This Row],[G]]</f>
        <v>-1</v>
      </c>
      <c r="I367">
        <f>HomeEdge+VLOOKUP(Table3[[#This Row],[Home]],$A$6:$B$38,2,FALSE)-VLOOKUP(Table3[[#This Row],[Visitor]],$A$6:$B$38,2,FALSE)</f>
        <v>1.1762815258732329</v>
      </c>
      <c r="J367">
        <f>(Table3[[#This Row],[HomeMargin]]-Table3[[#This Row],[HomeForecast]])^2</f>
        <v>4.7362012798571271</v>
      </c>
    </row>
    <row r="368" spans="4:10" x14ac:dyDescent="0.2">
      <c r="D368" t="s">
        <v>15</v>
      </c>
      <c r="E368">
        <f>'NHL2025-26Results'!C363</f>
        <v>4</v>
      </c>
      <c r="F368" t="s">
        <v>25</v>
      </c>
      <c r="G368">
        <f>'NHL2025-26Results'!E363</f>
        <v>2</v>
      </c>
      <c r="H368">
        <f>Table3[[#This Row],[G_1]]-Table3[[#This Row],[G]]</f>
        <v>-2</v>
      </c>
      <c r="I368">
        <f>HomeEdge+VLOOKUP(Table3[[#This Row],[Home]],$A$6:$B$38,2,FALSE)-VLOOKUP(Table3[[#This Row],[Visitor]],$A$6:$B$38,2,FALSE)</f>
        <v>0.76560987073565778</v>
      </c>
      <c r="J368">
        <f>(Table3[[#This Row],[HomeMargin]]-Table3[[#This Row],[HomeForecast]])^2</f>
        <v>7.6485979571105016</v>
      </c>
    </row>
    <row r="369" spans="4:10" x14ac:dyDescent="0.2">
      <c r="D369" t="s">
        <v>19</v>
      </c>
      <c r="E369">
        <f>'NHL2025-26Results'!C364</f>
        <v>2</v>
      </c>
      <c r="F369" t="s">
        <v>28</v>
      </c>
      <c r="G369">
        <f>'NHL2025-26Results'!E364</f>
        <v>1</v>
      </c>
      <c r="H369">
        <f>Table3[[#This Row],[G_1]]-Table3[[#This Row],[G]]</f>
        <v>-1</v>
      </c>
      <c r="I369">
        <f>HomeEdge+VLOOKUP(Table3[[#This Row],[Home]],$A$6:$B$38,2,FALSE)-VLOOKUP(Table3[[#This Row],[Visitor]],$A$6:$B$38,2,FALSE)</f>
        <v>8.9389935891602712E-2</v>
      </c>
      <c r="J369">
        <f>(Table3[[#This Row],[HomeMargin]]-Table3[[#This Row],[HomeForecast]])^2</f>
        <v>1.1867704324219099</v>
      </c>
    </row>
    <row r="370" spans="4:10" x14ac:dyDescent="0.2">
      <c r="D370" t="s">
        <v>34</v>
      </c>
      <c r="E370">
        <f>'NHL2025-26Results'!C365</f>
        <v>4</v>
      </c>
      <c r="F370" t="s">
        <v>10</v>
      </c>
      <c r="G370">
        <f>'NHL2025-26Results'!E365</f>
        <v>3</v>
      </c>
      <c r="H370">
        <f>Table3[[#This Row],[G_1]]-Table3[[#This Row],[G]]</f>
        <v>-1</v>
      </c>
      <c r="I370">
        <f>HomeEdge+VLOOKUP(Table3[[#This Row],[Home]],$A$6:$B$38,2,FALSE)-VLOOKUP(Table3[[#This Row],[Visitor]],$A$6:$B$38,2,FALSE)</f>
        <v>-7.1170718811672334E-2</v>
      </c>
      <c r="J370">
        <f>(Table3[[#This Row],[HomeMargin]]-Table3[[#This Row],[HomeForecast]])^2</f>
        <v>0.86272383359282545</v>
      </c>
    </row>
    <row r="371" spans="4:10" x14ac:dyDescent="0.2">
      <c r="D371" t="s">
        <v>33</v>
      </c>
      <c r="E371">
        <f>'NHL2025-26Results'!C366</f>
        <v>0</v>
      </c>
      <c r="F371" t="s">
        <v>12</v>
      </c>
      <c r="G371">
        <f>'NHL2025-26Results'!E366</f>
        <v>6</v>
      </c>
      <c r="H371">
        <f>Table3[[#This Row],[G_1]]-Table3[[#This Row],[G]]</f>
        <v>6</v>
      </c>
      <c r="I371">
        <f>HomeEdge+VLOOKUP(Table3[[#This Row],[Home]],$A$6:$B$38,2,FALSE)-VLOOKUP(Table3[[#This Row],[Visitor]],$A$6:$B$38,2,FALSE)</f>
        <v>2.1331353997323821</v>
      </c>
      <c r="J371">
        <f>(Table3[[#This Row],[HomeMargin]]-Table3[[#This Row],[HomeForecast]])^2</f>
        <v>14.952641836802844</v>
      </c>
    </row>
    <row r="372" spans="4:10" x14ac:dyDescent="0.2">
      <c r="D372" t="s">
        <v>29</v>
      </c>
      <c r="E372">
        <f>'NHL2025-26Results'!C367</f>
        <v>6</v>
      </c>
      <c r="F372" t="s">
        <v>26</v>
      </c>
      <c r="G372">
        <f>'NHL2025-26Results'!E367</f>
        <v>3</v>
      </c>
      <c r="H372">
        <f>Table3[[#This Row],[G_1]]-Table3[[#This Row],[G]]</f>
        <v>-3</v>
      </c>
      <c r="I372">
        <f>HomeEdge+VLOOKUP(Table3[[#This Row],[Home]],$A$6:$B$38,2,FALSE)-VLOOKUP(Table3[[#This Row],[Visitor]],$A$6:$B$38,2,FALSE)</f>
        <v>0.55947846770091392</v>
      </c>
      <c r="J372">
        <f>(Table3[[#This Row],[HomeMargin]]-Table3[[#This Row],[HomeForecast]])^2</f>
        <v>12.669886962026446</v>
      </c>
    </row>
    <row r="373" spans="4:10" x14ac:dyDescent="0.2">
      <c r="D373" t="s">
        <v>27</v>
      </c>
      <c r="E373">
        <f>'NHL2025-26Results'!C368</f>
        <v>4</v>
      </c>
      <c r="F373" t="s">
        <v>11</v>
      </c>
      <c r="G373">
        <f>'NHL2025-26Results'!E368</f>
        <v>2</v>
      </c>
      <c r="H373">
        <f>Table3[[#This Row],[G_1]]-Table3[[#This Row],[G]]</f>
        <v>-2</v>
      </c>
      <c r="I373">
        <f>HomeEdge+VLOOKUP(Table3[[#This Row],[Home]],$A$6:$B$38,2,FALSE)-VLOOKUP(Table3[[#This Row],[Visitor]],$A$6:$B$38,2,FALSE)</f>
        <v>3.3022041365371957E-2</v>
      </c>
      <c r="J373">
        <f>(Table3[[#This Row],[HomeMargin]]-Table3[[#This Row],[HomeForecast]])^2</f>
        <v>4.1331786206774241</v>
      </c>
    </row>
    <row r="374" spans="4:10" x14ac:dyDescent="0.2">
      <c r="D374" t="s">
        <v>35</v>
      </c>
      <c r="E374">
        <f>'NHL2025-26Results'!C369</f>
        <v>2</v>
      </c>
      <c r="F374" t="s">
        <v>24</v>
      </c>
      <c r="G374">
        <f>'NHL2025-26Results'!E369</f>
        <v>3</v>
      </c>
      <c r="H374">
        <f>Table3[[#This Row],[G_1]]-Table3[[#This Row],[G]]</f>
        <v>1</v>
      </c>
      <c r="I374">
        <f>HomeEdge+VLOOKUP(Table3[[#This Row],[Home]],$A$6:$B$38,2,FALSE)-VLOOKUP(Table3[[#This Row],[Visitor]],$A$6:$B$38,2,FALSE)</f>
        <v>1.4459093716354892</v>
      </c>
      <c r="J374">
        <f>(Table3[[#This Row],[HomeMargin]]-Table3[[#This Row],[HomeForecast]])^2</f>
        <v>0.19883516771235679</v>
      </c>
    </row>
    <row r="375" spans="4:10" x14ac:dyDescent="0.2">
      <c r="D375" t="s">
        <v>21</v>
      </c>
      <c r="E375">
        <f>'NHL2025-26Results'!C370</f>
        <v>3</v>
      </c>
      <c r="F375" t="s">
        <v>30</v>
      </c>
      <c r="G375">
        <f>'NHL2025-26Results'!E370</f>
        <v>1</v>
      </c>
      <c r="H375">
        <f>Table3[[#This Row],[G_1]]-Table3[[#This Row],[G]]</f>
        <v>-2</v>
      </c>
      <c r="I375">
        <f>HomeEdge+VLOOKUP(Table3[[#This Row],[Home]],$A$6:$B$38,2,FALSE)-VLOOKUP(Table3[[#This Row],[Visitor]],$A$6:$B$38,2,FALSE)</f>
        <v>2.8738511929561422E-2</v>
      </c>
      <c r="J375">
        <f>(Table3[[#This Row],[HomeMargin]]-Table3[[#This Row],[HomeForecast]])^2</f>
        <v>4.1157799497861722</v>
      </c>
    </row>
    <row r="376" spans="4:10" x14ac:dyDescent="0.2">
      <c r="D376" t="s">
        <v>23</v>
      </c>
      <c r="E376">
        <f>'NHL2025-26Results'!C371</f>
        <v>2</v>
      </c>
      <c r="F376" t="s">
        <v>14</v>
      </c>
      <c r="G376">
        <f>'NHL2025-26Results'!E371</f>
        <v>4</v>
      </c>
      <c r="H376">
        <f>Table3[[#This Row],[G_1]]-Table3[[#This Row],[G]]</f>
        <v>2</v>
      </c>
      <c r="I376">
        <f>HomeEdge+VLOOKUP(Table3[[#This Row],[Home]],$A$6:$B$38,2,FALSE)-VLOOKUP(Table3[[#This Row],[Visitor]],$A$6:$B$38,2,FALSE)</f>
        <v>0.38374696309826212</v>
      </c>
      <c r="J376">
        <f>(Table3[[#This Row],[HomeMargin]]-Table3[[#This Row],[HomeForecast]])^2</f>
        <v>2.6122738792940905</v>
      </c>
    </row>
    <row r="377" spans="4:10" x14ac:dyDescent="0.2">
      <c r="D377" t="s">
        <v>39</v>
      </c>
      <c r="E377">
        <f>'NHL2025-26Results'!C372</f>
        <v>3</v>
      </c>
      <c r="F377" t="s">
        <v>32</v>
      </c>
      <c r="G377">
        <f>'NHL2025-26Results'!E372</f>
        <v>2</v>
      </c>
      <c r="H377">
        <f>Table3[[#This Row],[G_1]]-Table3[[#This Row],[G]]</f>
        <v>-1</v>
      </c>
      <c r="I377">
        <f>HomeEdge+VLOOKUP(Table3[[#This Row],[Home]],$A$6:$B$38,2,FALSE)-VLOOKUP(Table3[[#This Row],[Visitor]],$A$6:$B$38,2,FALSE)</f>
        <v>-1.0129189882100473</v>
      </c>
      <c r="J377">
        <f>(Table3[[#This Row],[HomeMargin]]-Table3[[#This Row],[HomeForecast]])^2</f>
        <v>1.6690025637134198E-4</v>
      </c>
    </row>
    <row r="378" spans="4:10" x14ac:dyDescent="0.2">
      <c r="D378" t="s">
        <v>16</v>
      </c>
      <c r="E378">
        <f>'NHL2025-26Results'!C373</f>
        <v>1</v>
      </c>
      <c r="F378" t="s">
        <v>37</v>
      </c>
      <c r="G378">
        <f>'NHL2025-26Results'!E373</f>
        <v>5</v>
      </c>
      <c r="H378">
        <f>Table3[[#This Row],[G_1]]-Table3[[#This Row],[G]]</f>
        <v>4</v>
      </c>
      <c r="I378">
        <f>HomeEdge+VLOOKUP(Table3[[#This Row],[Home]],$A$6:$B$38,2,FALSE)-VLOOKUP(Table3[[#This Row],[Visitor]],$A$6:$B$38,2,FALSE)</f>
        <v>1.6261869747143876</v>
      </c>
      <c r="J378">
        <f>(Table3[[#This Row],[HomeMargin]]-Table3[[#This Row],[HomeForecast]])^2</f>
        <v>5.6349882790156318</v>
      </c>
    </row>
    <row r="379" spans="4:10" x14ac:dyDescent="0.2">
      <c r="D379" t="s">
        <v>18</v>
      </c>
      <c r="E379">
        <f>'NHL2025-26Results'!C374</f>
        <v>4</v>
      </c>
      <c r="F379" t="s">
        <v>55</v>
      </c>
      <c r="G379">
        <f>'NHL2025-26Results'!E374</f>
        <v>3</v>
      </c>
      <c r="H379">
        <f>Table3[[#This Row],[G_1]]-Table3[[#This Row],[G]]</f>
        <v>-1</v>
      </c>
      <c r="I379">
        <f>HomeEdge+VLOOKUP(Table3[[#This Row],[Home]],$A$6:$B$38,2,FALSE)-VLOOKUP(Table3[[#This Row],[Visitor]],$A$6:$B$38,2,FALSE)</f>
        <v>0.23966708817580518</v>
      </c>
      <c r="J379">
        <f>(Table3[[#This Row],[HomeMargin]]-Table3[[#This Row],[HomeForecast]])^2</f>
        <v>1.5367744895062796</v>
      </c>
    </row>
    <row r="380" spans="4:10" x14ac:dyDescent="0.2">
      <c r="D380" t="s">
        <v>36</v>
      </c>
      <c r="E380">
        <f>'NHL2025-26Results'!C375</f>
        <v>4</v>
      </c>
      <c r="F380" t="s">
        <v>20</v>
      </c>
      <c r="G380">
        <f>'NHL2025-26Results'!E375</f>
        <v>3</v>
      </c>
      <c r="H380">
        <f>Table3[[#This Row],[G_1]]-Table3[[#This Row],[G]]</f>
        <v>-1</v>
      </c>
      <c r="I380">
        <f>HomeEdge+VLOOKUP(Table3[[#This Row],[Home]],$A$6:$B$38,2,FALSE)-VLOOKUP(Table3[[#This Row],[Visitor]],$A$6:$B$38,2,FALSE)</f>
        <v>0.33683596946736466</v>
      </c>
      <c r="J380">
        <f>(Table3[[#This Row],[HomeMargin]]-Table3[[#This Row],[HomeForecast]])^2</f>
        <v>1.7871304092617486</v>
      </c>
    </row>
    <row r="381" spans="4:10" x14ac:dyDescent="0.2">
      <c r="D381" t="s">
        <v>40</v>
      </c>
      <c r="E381">
        <f>'NHL2025-26Results'!C376</f>
        <v>3</v>
      </c>
      <c r="F381" t="s">
        <v>22</v>
      </c>
      <c r="G381">
        <f>'NHL2025-26Results'!E376</f>
        <v>4</v>
      </c>
      <c r="H381">
        <f>Table3[[#This Row],[G_1]]-Table3[[#This Row],[G]]</f>
        <v>1</v>
      </c>
      <c r="I381">
        <f>HomeEdge+VLOOKUP(Table3[[#This Row],[Home]],$A$6:$B$38,2,FALSE)-VLOOKUP(Table3[[#This Row],[Visitor]],$A$6:$B$38,2,FALSE)</f>
        <v>0.80384980555971097</v>
      </c>
      <c r="J381">
        <f>(Table3[[#This Row],[HomeMargin]]-Table3[[#This Row],[HomeForecast]])^2</f>
        <v>3.8474898778963193E-2</v>
      </c>
    </row>
    <row r="382" spans="4:10" x14ac:dyDescent="0.2">
      <c r="D382" t="s">
        <v>13</v>
      </c>
      <c r="E382">
        <f>'NHL2025-26Results'!C377</f>
        <v>4</v>
      </c>
      <c r="F382" t="s">
        <v>31</v>
      </c>
      <c r="G382">
        <f>'NHL2025-26Results'!E377</f>
        <v>5</v>
      </c>
      <c r="H382">
        <f>Table3[[#This Row],[G_1]]-Table3[[#This Row],[G]]</f>
        <v>1</v>
      </c>
      <c r="I382">
        <f>HomeEdge+VLOOKUP(Table3[[#This Row],[Home]],$A$6:$B$38,2,FALSE)-VLOOKUP(Table3[[#This Row],[Visitor]],$A$6:$B$38,2,FALSE)</f>
        <v>0.56688736943964246</v>
      </c>
      <c r="J382">
        <f>(Table3[[#This Row],[HomeMargin]]-Table3[[#This Row],[HomeForecast]])^2</f>
        <v>0.18758655075091274</v>
      </c>
    </row>
    <row r="383" spans="4:10" x14ac:dyDescent="0.2">
      <c r="D383" t="s">
        <v>15</v>
      </c>
      <c r="E383">
        <f>'NHL2025-26Results'!C378</f>
        <v>6</v>
      </c>
      <c r="F383" t="s">
        <v>21</v>
      </c>
      <c r="G383">
        <f>'NHL2025-26Results'!E378</f>
        <v>2</v>
      </c>
      <c r="H383">
        <f>Table3[[#This Row],[G_1]]-Table3[[#This Row],[G]]</f>
        <v>-4</v>
      </c>
      <c r="I383">
        <f>HomeEdge+VLOOKUP(Table3[[#This Row],[Home]],$A$6:$B$38,2,FALSE)-VLOOKUP(Table3[[#This Row],[Visitor]],$A$6:$B$38,2,FALSE)</f>
        <v>0.12016497295937348</v>
      </c>
      <c r="J383">
        <f>(Table3[[#This Row],[HomeMargin]]-Table3[[#This Row],[HomeForecast]])^2</f>
        <v>16.975759404401316</v>
      </c>
    </row>
    <row r="384" spans="4:10" x14ac:dyDescent="0.2">
      <c r="D384" t="s">
        <v>24</v>
      </c>
      <c r="E384">
        <f>'NHL2025-26Results'!C379</f>
        <v>5</v>
      </c>
      <c r="F384" t="s">
        <v>23</v>
      </c>
      <c r="G384">
        <f>'NHL2025-26Results'!E379</f>
        <v>0</v>
      </c>
      <c r="H384">
        <f>Table3[[#This Row],[G_1]]-Table3[[#This Row],[G]]</f>
        <v>-5</v>
      </c>
      <c r="I384">
        <f>HomeEdge+VLOOKUP(Table3[[#This Row],[Home]],$A$6:$B$38,2,FALSE)-VLOOKUP(Table3[[#This Row],[Visitor]],$A$6:$B$38,2,FALSE)</f>
        <v>-0.42773993758203149</v>
      </c>
      <c r="J384">
        <f>(Table3[[#This Row],[HomeMargin]]-Table3[[#This Row],[HomeForecast]])^2</f>
        <v>20.905562078382367</v>
      </c>
    </row>
    <row r="385" spans="4:10" x14ac:dyDescent="0.2">
      <c r="D385" t="s">
        <v>40</v>
      </c>
      <c r="E385">
        <f>'NHL2025-26Results'!C380</f>
        <v>1</v>
      </c>
      <c r="F385" t="s">
        <v>25</v>
      </c>
      <c r="G385">
        <f>'NHL2025-26Results'!E380</f>
        <v>5</v>
      </c>
      <c r="H385">
        <f>Table3[[#This Row],[G_1]]-Table3[[#This Row],[G]]</f>
        <v>4</v>
      </c>
      <c r="I385">
        <f>HomeEdge+VLOOKUP(Table3[[#This Row],[Home]],$A$6:$B$38,2,FALSE)-VLOOKUP(Table3[[#This Row],[Visitor]],$A$6:$B$38,2,FALSE)</f>
        <v>0.78881771003450674</v>
      </c>
      <c r="J385">
        <f>(Table3[[#This Row],[HomeMargin]]-Table3[[#This Row],[HomeForecast]])^2</f>
        <v>10.31169169938803</v>
      </c>
    </row>
    <row r="386" spans="4:10" x14ac:dyDescent="0.2">
      <c r="D386" t="s">
        <v>14</v>
      </c>
      <c r="E386">
        <f>'NHL2025-26Results'!C381</f>
        <v>4</v>
      </c>
      <c r="F386" t="s">
        <v>28</v>
      </c>
      <c r="G386">
        <f>'NHL2025-26Results'!E381</f>
        <v>3</v>
      </c>
      <c r="H386">
        <f>Table3[[#This Row],[G_1]]-Table3[[#This Row],[G]]</f>
        <v>-1</v>
      </c>
      <c r="I386">
        <f>HomeEdge+VLOOKUP(Table3[[#This Row],[Home]],$A$6:$B$38,2,FALSE)-VLOOKUP(Table3[[#This Row],[Visitor]],$A$6:$B$38,2,FALSE)</f>
        <v>-0.40282443386188782</v>
      </c>
      <c r="J386">
        <f>(Table3[[#This Row],[HomeMargin]]-Table3[[#This Row],[HomeForecast]])^2</f>
        <v>0.35661865679237481</v>
      </c>
    </row>
    <row r="387" spans="4:10" x14ac:dyDescent="0.2">
      <c r="D387" t="s">
        <v>29</v>
      </c>
      <c r="E387">
        <f>'NHL2025-26Results'!C382</f>
        <v>4</v>
      </c>
      <c r="F387" t="s">
        <v>10</v>
      </c>
      <c r="G387">
        <f>'NHL2025-26Results'!E382</f>
        <v>3</v>
      </c>
      <c r="H387">
        <f>Table3[[#This Row],[G_1]]-Table3[[#This Row],[G]]</f>
        <v>-1</v>
      </c>
      <c r="I387">
        <f>HomeEdge+VLOOKUP(Table3[[#This Row],[Home]],$A$6:$B$38,2,FALSE)-VLOOKUP(Table3[[#This Row],[Visitor]],$A$6:$B$38,2,FALSE)</f>
        <v>1.2586217775489097</v>
      </c>
      <c r="J387">
        <f>(Table3[[#This Row],[HomeMargin]]-Table3[[#This Row],[HomeForecast]])^2</f>
        <v>5.1013723340181958</v>
      </c>
    </row>
    <row r="388" spans="4:10" x14ac:dyDescent="0.2">
      <c r="D388" t="s">
        <v>55</v>
      </c>
      <c r="E388">
        <f>'NHL2025-26Results'!C383</f>
        <v>3</v>
      </c>
      <c r="F388" t="s">
        <v>39</v>
      </c>
      <c r="G388">
        <f>'NHL2025-26Results'!E383</f>
        <v>4</v>
      </c>
      <c r="H388">
        <f>Table3[[#This Row],[G_1]]-Table3[[#This Row],[G]]</f>
        <v>1</v>
      </c>
      <c r="I388">
        <f>HomeEdge+VLOOKUP(Table3[[#This Row],[Home]],$A$6:$B$38,2,FALSE)-VLOOKUP(Table3[[#This Row],[Visitor]],$A$6:$B$38,2,FALSE)</f>
        <v>0.86646653979946475</v>
      </c>
      <c r="J388">
        <f>(Table3[[#This Row],[HomeMargin]]-Table3[[#This Row],[HomeForecast]])^2</f>
        <v>1.7831184993127931E-2</v>
      </c>
    </row>
    <row r="389" spans="4:10" x14ac:dyDescent="0.2">
      <c r="D389" t="s">
        <v>37</v>
      </c>
      <c r="E389">
        <f>'NHL2025-26Results'!C384</f>
        <v>6</v>
      </c>
      <c r="F389" t="s">
        <v>26</v>
      </c>
      <c r="G389">
        <f>'NHL2025-26Results'!E384</f>
        <v>3</v>
      </c>
      <c r="H389">
        <f>Table3[[#This Row],[G_1]]-Table3[[#This Row],[G]]</f>
        <v>-3</v>
      </c>
      <c r="I389">
        <f>HomeEdge+VLOOKUP(Table3[[#This Row],[Home]],$A$6:$B$38,2,FALSE)-VLOOKUP(Table3[[#This Row],[Visitor]],$A$6:$B$38,2,FALSE)</f>
        <v>-1.3359437628557513</v>
      </c>
      <c r="J389">
        <f>(Table3[[#This Row],[HomeMargin]]-Table3[[#This Row],[HomeForecast]])^2</f>
        <v>2.7690831603786759</v>
      </c>
    </row>
    <row r="390" spans="4:10" x14ac:dyDescent="0.2">
      <c r="D390" t="s">
        <v>16</v>
      </c>
      <c r="E390">
        <f>'NHL2025-26Results'!C385</f>
        <v>5</v>
      </c>
      <c r="F390" t="s">
        <v>11</v>
      </c>
      <c r="G390">
        <f>'NHL2025-26Results'!E385</f>
        <v>3</v>
      </c>
      <c r="H390">
        <f>Table3[[#This Row],[G_1]]-Table3[[#This Row],[G]]</f>
        <v>-2</v>
      </c>
      <c r="I390">
        <f>HomeEdge+VLOOKUP(Table3[[#This Row],[Home]],$A$6:$B$38,2,FALSE)-VLOOKUP(Table3[[#This Row],[Visitor]],$A$6:$B$38,2,FALSE)</f>
        <v>0.71856373690367681</v>
      </c>
      <c r="J390">
        <f>(Table3[[#This Row],[HomeMargin]]-Table3[[#This Row],[HomeForecast]])^2</f>
        <v>7.3905887916076836</v>
      </c>
    </row>
    <row r="391" spans="4:10" x14ac:dyDescent="0.2">
      <c r="D391" t="s">
        <v>12</v>
      </c>
      <c r="E391">
        <f>'NHL2025-26Results'!C386</f>
        <v>2</v>
      </c>
      <c r="F391" t="s">
        <v>34</v>
      </c>
      <c r="G391">
        <f>'NHL2025-26Results'!E386</f>
        <v>3</v>
      </c>
      <c r="H391">
        <f>Table3[[#This Row],[G_1]]-Table3[[#This Row],[G]]</f>
        <v>1</v>
      </c>
      <c r="I391">
        <f>HomeEdge+VLOOKUP(Table3[[#This Row],[Home]],$A$6:$B$38,2,FALSE)-VLOOKUP(Table3[[#This Row],[Visitor]],$A$6:$B$38,2,FALSE)</f>
        <v>-1.6371276969532926</v>
      </c>
      <c r="J391">
        <f>(Table3[[#This Row],[HomeMargin]]-Table3[[#This Row],[HomeForecast]])^2</f>
        <v>6.9544424900381783</v>
      </c>
    </row>
    <row r="392" spans="4:10" x14ac:dyDescent="0.2">
      <c r="D392" t="s">
        <v>27</v>
      </c>
      <c r="E392">
        <f>'NHL2025-26Results'!C387</f>
        <v>4</v>
      </c>
      <c r="F392" t="s">
        <v>30</v>
      </c>
      <c r="G392">
        <f>'NHL2025-26Results'!E387</f>
        <v>3</v>
      </c>
      <c r="H392">
        <f>Table3[[#This Row],[G_1]]-Table3[[#This Row],[G]]</f>
        <v>-1</v>
      </c>
      <c r="I392">
        <f>HomeEdge+VLOOKUP(Table3[[#This Row],[Home]],$A$6:$B$38,2,FALSE)-VLOOKUP(Table3[[#This Row],[Visitor]],$A$6:$B$38,2,FALSE)</f>
        <v>0.18920833498814585</v>
      </c>
      <c r="J392">
        <f>(Table3[[#This Row],[HomeMargin]]-Table3[[#This Row],[HomeForecast]])^2</f>
        <v>1.4142164640052783</v>
      </c>
    </row>
    <row r="393" spans="4:10" x14ac:dyDescent="0.2">
      <c r="D393" t="s">
        <v>38</v>
      </c>
      <c r="E393">
        <f>'NHL2025-26Results'!C388</f>
        <v>2</v>
      </c>
      <c r="F393" t="s">
        <v>33</v>
      </c>
      <c r="G393">
        <f>'NHL2025-26Results'!E388</f>
        <v>3</v>
      </c>
      <c r="H393">
        <f>Table3[[#This Row],[G_1]]-Table3[[#This Row],[G]]</f>
        <v>1</v>
      </c>
      <c r="I393">
        <f>HomeEdge+VLOOKUP(Table3[[#This Row],[Home]],$A$6:$B$38,2,FALSE)-VLOOKUP(Table3[[#This Row],[Visitor]],$A$6:$B$38,2,FALSE)</f>
        <v>0.54624751165172314</v>
      </c>
      <c r="J393">
        <f>(Table3[[#This Row],[HomeMargin]]-Table3[[#This Row],[HomeForecast]])^2</f>
        <v>0.20589132068225313</v>
      </c>
    </row>
    <row r="394" spans="4:10" x14ac:dyDescent="0.2">
      <c r="D394" t="s">
        <v>36</v>
      </c>
      <c r="E394">
        <f>'NHL2025-26Results'!C389</f>
        <v>3</v>
      </c>
      <c r="F394" t="s">
        <v>35</v>
      </c>
      <c r="G394">
        <f>'NHL2025-26Results'!E389</f>
        <v>4</v>
      </c>
      <c r="H394">
        <f>Table3[[#This Row],[G_1]]-Table3[[#This Row],[G]]</f>
        <v>1</v>
      </c>
      <c r="I394">
        <f>HomeEdge+VLOOKUP(Table3[[#This Row],[Home]],$A$6:$B$38,2,FALSE)-VLOOKUP(Table3[[#This Row],[Visitor]],$A$6:$B$38,2,FALSE)</f>
        <v>-0.81320157215972144</v>
      </c>
      <c r="J394">
        <f>(Table3[[#This Row],[HomeMargin]]-Table3[[#This Row],[HomeForecast]])^2</f>
        <v>3.2876999412824857</v>
      </c>
    </row>
    <row r="395" spans="4:10" x14ac:dyDescent="0.2">
      <c r="D395" t="s">
        <v>18</v>
      </c>
      <c r="E395">
        <f>'NHL2025-26Results'!C390</f>
        <v>4</v>
      </c>
      <c r="F395" t="s">
        <v>20</v>
      </c>
      <c r="G395">
        <f>'NHL2025-26Results'!E390</f>
        <v>1</v>
      </c>
      <c r="H395">
        <f>Table3[[#This Row],[G_1]]-Table3[[#This Row],[G]]</f>
        <v>-3</v>
      </c>
      <c r="I395">
        <f>HomeEdge+VLOOKUP(Table3[[#This Row],[Home]],$A$6:$B$38,2,FALSE)-VLOOKUP(Table3[[#This Row],[Visitor]],$A$6:$B$38,2,FALSE)</f>
        <v>0.39834954687635121</v>
      </c>
      <c r="J395">
        <f>(Table3[[#This Row],[HomeMargin]]-Table3[[#This Row],[HomeForecast]])^2</f>
        <v>11.548779642754702</v>
      </c>
    </row>
    <row r="396" spans="4:10" x14ac:dyDescent="0.2">
      <c r="D396" t="s">
        <v>19</v>
      </c>
      <c r="E396">
        <f>'NHL2025-26Results'!C391</f>
        <v>2</v>
      </c>
      <c r="F396" t="s">
        <v>22</v>
      </c>
      <c r="G396">
        <f>'NHL2025-26Results'!E391</f>
        <v>4</v>
      </c>
      <c r="H396">
        <f>Table3[[#This Row],[G_1]]-Table3[[#This Row],[G]]</f>
        <v>2</v>
      </c>
      <c r="I396">
        <f>HomeEdge+VLOOKUP(Table3[[#This Row],[Home]],$A$6:$B$38,2,FALSE)-VLOOKUP(Table3[[#This Row],[Visitor]],$A$6:$B$38,2,FALSE)</f>
        <v>1.1250865730958999</v>
      </c>
      <c r="J396">
        <f>(Table3[[#This Row],[HomeMargin]]-Table3[[#This Row],[HomeForecast]])^2</f>
        <v>0.76547350457707619</v>
      </c>
    </row>
    <row r="397" spans="4:10" x14ac:dyDescent="0.2">
      <c r="D397" t="s">
        <v>26</v>
      </c>
      <c r="E397">
        <f>'NHL2025-26Results'!C392</f>
        <v>2</v>
      </c>
      <c r="F397" t="s">
        <v>21</v>
      </c>
      <c r="G397">
        <f>'NHL2025-26Results'!E392</f>
        <v>3</v>
      </c>
      <c r="H397">
        <f>Table3[[#This Row],[G_1]]-Table3[[#This Row],[G]]</f>
        <v>1</v>
      </c>
      <c r="I397">
        <f>HomeEdge+VLOOKUP(Table3[[#This Row],[Home]],$A$6:$B$38,2,FALSE)-VLOOKUP(Table3[[#This Row],[Visitor]],$A$6:$B$38,2,FALSE)</f>
        <v>0.70547055350774035</v>
      </c>
      <c r="J397">
        <f>(Table3[[#This Row],[HomeMargin]]-Table3[[#This Row],[HomeForecast]])^2</f>
        <v>8.6747594851036836E-2</v>
      </c>
    </row>
    <row r="398" spans="4:10" x14ac:dyDescent="0.2">
      <c r="D398" t="s">
        <v>18</v>
      </c>
      <c r="E398">
        <f>'NHL2025-26Results'!C393</f>
        <v>2</v>
      </c>
      <c r="F398" t="s">
        <v>12</v>
      </c>
      <c r="G398">
        <f>'NHL2025-26Results'!E393</f>
        <v>7</v>
      </c>
      <c r="H398">
        <f>Table3[[#This Row],[G_1]]-Table3[[#This Row],[G]]</f>
        <v>5</v>
      </c>
      <c r="I398">
        <f>HomeEdge+VLOOKUP(Table3[[#This Row],[Home]],$A$6:$B$38,2,FALSE)-VLOOKUP(Table3[[#This Row],[Visitor]],$A$6:$B$38,2,FALSE)</f>
        <v>2.2746940356239636</v>
      </c>
      <c r="J398">
        <f>(Table3[[#This Row],[HomeMargin]]-Table3[[#This Row],[HomeForecast]])^2</f>
        <v>7.4272925994635983</v>
      </c>
    </row>
    <row r="399" spans="4:10" x14ac:dyDescent="0.2">
      <c r="D399" t="s">
        <v>38</v>
      </c>
      <c r="E399">
        <f>'NHL2025-26Results'!C394</f>
        <v>1</v>
      </c>
      <c r="F399" t="s">
        <v>13</v>
      </c>
      <c r="G399">
        <f>'NHL2025-26Results'!E394</f>
        <v>2</v>
      </c>
      <c r="H399">
        <f>Table3[[#This Row],[G_1]]-Table3[[#This Row],[G]]</f>
        <v>1</v>
      </c>
      <c r="I399">
        <f>HomeEdge+VLOOKUP(Table3[[#This Row],[Home]],$A$6:$B$38,2,FALSE)-VLOOKUP(Table3[[#This Row],[Visitor]],$A$6:$B$38,2,FALSE)</f>
        <v>0.65929490535675295</v>
      </c>
      <c r="J399">
        <f>(Table3[[#This Row],[HomeMargin]]-Table3[[#This Row],[HomeForecast]])^2</f>
        <v>0.11607996151586393</v>
      </c>
    </row>
    <row r="400" spans="4:10" x14ac:dyDescent="0.2">
      <c r="D400" t="s">
        <v>23</v>
      </c>
      <c r="E400">
        <f>'NHL2025-26Results'!C395</f>
        <v>3</v>
      </c>
      <c r="F400" t="s">
        <v>34</v>
      </c>
      <c r="G400">
        <f>'NHL2025-26Results'!E395</f>
        <v>2</v>
      </c>
      <c r="H400">
        <f>Table3[[#This Row],[G_1]]-Table3[[#This Row],[G]]</f>
        <v>-1</v>
      </c>
      <c r="I400">
        <f>HomeEdge+VLOOKUP(Table3[[#This Row],[Home]],$A$6:$B$38,2,FALSE)-VLOOKUP(Table3[[#This Row],[Visitor]],$A$6:$B$38,2,FALSE)</f>
        <v>0.47088639721427333</v>
      </c>
      <c r="J400">
        <f>(Table3[[#This Row],[HomeMargin]]-Table3[[#This Row],[HomeForecast]])^2</f>
        <v>2.1635067935099852</v>
      </c>
    </row>
    <row r="401" spans="4:10" x14ac:dyDescent="0.2">
      <c r="D401" t="s">
        <v>27</v>
      </c>
      <c r="E401">
        <f>'NHL2025-26Results'!C396</f>
        <v>5</v>
      </c>
      <c r="F401" t="s">
        <v>24</v>
      </c>
      <c r="G401">
        <f>'NHL2025-26Results'!E396</f>
        <v>3</v>
      </c>
      <c r="H401">
        <f>Table3[[#This Row],[G_1]]-Table3[[#This Row],[G]]</f>
        <v>-2</v>
      </c>
      <c r="I401">
        <f>HomeEdge+VLOOKUP(Table3[[#This Row],[Home]],$A$6:$B$38,2,FALSE)-VLOOKUP(Table3[[#This Row],[Visitor]],$A$6:$B$38,2,FALSE)</f>
        <v>0.43167058319408275</v>
      </c>
      <c r="J401">
        <f>(Table3[[#This Row],[HomeMargin]]-Table3[[#This Row],[HomeForecast]])^2</f>
        <v>5.9130218251714508</v>
      </c>
    </row>
    <row r="402" spans="4:10" x14ac:dyDescent="0.2">
      <c r="D402" t="s">
        <v>40</v>
      </c>
      <c r="E402">
        <f>'NHL2025-26Results'!C397</f>
        <v>5</v>
      </c>
      <c r="F402" t="s">
        <v>29</v>
      </c>
      <c r="G402">
        <f>'NHL2025-26Results'!E397</f>
        <v>2</v>
      </c>
      <c r="H402">
        <f>Table3[[#This Row],[G_1]]-Table3[[#This Row],[G]]</f>
        <v>-3</v>
      </c>
      <c r="I402">
        <f>HomeEdge+VLOOKUP(Table3[[#This Row],[Home]],$A$6:$B$38,2,FALSE)-VLOOKUP(Table3[[#This Row],[Visitor]],$A$6:$B$38,2,FALSE)</f>
        <v>-1.0217747111041069</v>
      </c>
      <c r="J402">
        <f>(Table3[[#This Row],[HomeMargin]]-Table3[[#This Row],[HomeForecast]])^2</f>
        <v>3.9133752936272397</v>
      </c>
    </row>
    <row r="403" spans="4:10" x14ac:dyDescent="0.2">
      <c r="D403" t="s">
        <v>37</v>
      </c>
      <c r="E403">
        <f>'NHL2025-26Results'!C398</f>
        <v>4</v>
      </c>
      <c r="F403" t="s">
        <v>15</v>
      </c>
      <c r="G403">
        <f>'NHL2025-26Results'!E398</f>
        <v>1</v>
      </c>
      <c r="H403">
        <f>Table3[[#This Row],[G_1]]-Table3[[#This Row],[G]]</f>
        <v>-3</v>
      </c>
      <c r="I403">
        <f>HomeEdge+VLOOKUP(Table3[[#This Row],[Home]],$A$6:$B$38,2,FALSE)-VLOOKUP(Table3[[#This Row],[Visitor]],$A$6:$B$38,2,FALSE)</f>
        <v>-0.75063818230738444</v>
      </c>
      <c r="J403">
        <f>(Table3[[#This Row],[HomeMargin]]-Table3[[#This Row],[HomeForecast]])^2</f>
        <v>5.0596285868934263</v>
      </c>
    </row>
    <row r="404" spans="4:10" x14ac:dyDescent="0.2">
      <c r="D404" t="s">
        <v>19</v>
      </c>
      <c r="E404">
        <f>'NHL2025-26Results'!C399</f>
        <v>7</v>
      </c>
      <c r="F404" t="s">
        <v>14</v>
      </c>
      <c r="G404">
        <f>'NHL2025-26Results'!E399</f>
        <v>2</v>
      </c>
      <c r="H404">
        <f>Table3[[#This Row],[G_1]]-Table3[[#This Row],[G]]</f>
        <v>-5</v>
      </c>
      <c r="I404">
        <f>HomeEdge+VLOOKUP(Table3[[#This Row],[Home]],$A$6:$B$38,2,FALSE)-VLOOKUP(Table3[[#This Row],[Visitor]],$A$6:$B$38,2,FALSE)</f>
        <v>0.54211511867665296</v>
      </c>
      <c r="J404">
        <f>(Table3[[#This Row],[HomeMargin]]-Table3[[#This Row],[HomeForecast]])^2</f>
        <v>30.715039988664333</v>
      </c>
    </row>
    <row r="405" spans="4:10" x14ac:dyDescent="0.2">
      <c r="D405" t="s">
        <v>17</v>
      </c>
      <c r="E405">
        <f>'NHL2025-26Results'!C400</f>
        <v>4</v>
      </c>
      <c r="F405" t="s">
        <v>32</v>
      </c>
      <c r="G405">
        <f>'NHL2025-26Results'!E400</f>
        <v>0</v>
      </c>
      <c r="H405">
        <f>Table3[[#This Row],[G_1]]-Table3[[#This Row],[G]]</f>
        <v>-4</v>
      </c>
      <c r="I405">
        <f>HomeEdge+VLOOKUP(Table3[[#This Row],[Home]],$A$6:$B$38,2,FALSE)-VLOOKUP(Table3[[#This Row],[Visitor]],$A$6:$B$38,2,FALSE)</f>
        <v>0.21827017788259417</v>
      </c>
      <c r="J405">
        <f>(Table3[[#This Row],[HomeMargin]]-Table3[[#This Row],[HomeForecast]])^2</f>
        <v>17.793803293613653</v>
      </c>
    </row>
    <row r="406" spans="4:10" x14ac:dyDescent="0.2">
      <c r="D406" t="s">
        <v>55</v>
      </c>
      <c r="E406">
        <f>'NHL2025-26Results'!C401</f>
        <v>0</v>
      </c>
      <c r="F406" t="s">
        <v>35</v>
      </c>
      <c r="G406">
        <f>'NHL2025-26Results'!E401</f>
        <v>1</v>
      </c>
      <c r="H406">
        <f>Table3[[#This Row],[G_1]]-Table3[[#This Row],[G]]</f>
        <v>1</v>
      </c>
      <c r="I406">
        <f>HomeEdge+VLOOKUP(Table3[[#This Row],[Home]],$A$6:$B$38,2,FALSE)-VLOOKUP(Table3[[#This Row],[Visitor]],$A$6:$B$38,2,FALSE)</f>
        <v>-0.94145433400337764</v>
      </c>
      <c r="J406">
        <f>(Table3[[#This Row],[HomeMargin]]-Table3[[#This Row],[HomeForecast]])^2</f>
        <v>3.7692449310204985</v>
      </c>
    </row>
    <row r="407" spans="4:10" x14ac:dyDescent="0.2">
      <c r="D407" t="s">
        <v>33</v>
      </c>
      <c r="E407">
        <f>'NHL2025-26Results'!C402</f>
        <v>3</v>
      </c>
      <c r="F407" t="s">
        <v>20</v>
      </c>
      <c r="G407">
        <f>'NHL2025-26Results'!E402</f>
        <v>4</v>
      </c>
      <c r="H407">
        <f>Table3[[#This Row],[G_1]]-Table3[[#This Row],[G]]</f>
        <v>1</v>
      </c>
      <c r="I407">
        <f>HomeEdge+VLOOKUP(Table3[[#This Row],[Home]],$A$6:$B$38,2,FALSE)-VLOOKUP(Table3[[#This Row],[Visitor]],$A$6:$B$38,2,FALSE)</f>
        <v>0.25679091098476942</v>
      </c>
      <c r="J407">
        <f>(Table3[[#This Row],[HomeMargin]]-Table3[[#This Row],[HomeForecast]])^2</f>
        <v>0.55235974999484883</v>
      </c>
    </row>
    <row r="408" spans="4:10" x14ac:dyDescent="0.2">
      <c r="D408" t="s">
        <v>16</v>
      </c>
      <c r="E408">
        <f>'NHL2025-26Results'!C403</f>
        <v>0</v>
      </c>
      <c r="F408" t="s">
        <v>25</v>
      </c>
      <c r="G408">
        <f>'NHL2025-26Results'!E403</f>
        <v>1</v>
      </c>
      <c r="H408">
        <f>Table3[[#This Row],[G_1]]-Table3[[#This Row],[G]]</f>
        <v>1</v>
      </c>
      <c r="I408">
        <f>HomeEdge+VLOOKUP(Table3[[#This Row],[Home]],$A$6:$B$38,2,FALSE)-VLOOKUP(Table3[[#This Row],[Visitor]],$A$6:$B$38,2,FALSE)</f>
        <v>1.541357165296336</v>
      </c>
      <c r="J408">
        <f>(Table3[[#This Row],[HomeMargin]]-Table3[[#This Row],[HomeForecast]])^2</f>
        <v>0.29306758041768449</v>
      </c>
    </row>
    <row r="409" spans="4:10" x14ac:dyDescent="0.2">
      <c r="D409" t="s">
        <v>31</v>
      </c>
      <c r="E409">
        <f>'NHL2025-26Results'!C404</f>
        <v>3</v>
      </c>
      <c r="F409" t="s">
        <v>10</v>
      </c>
      <c r="G409">
        <f>'NHL2025-26Results'!E404</f>
        <v>5</v>
      </c>
      <c r="H409">
        <f>Table3[[#This Row],[G_1]]-Table3[[#This Row],[G]]</f>
        <v>2</v>
      </c>
      <c r="I409">
        <f>HomeEdge+VLOOKUP(Table3[[#This Row],[Home]],$A$6:$B$38,2,FALSE)-VLOOKUP(Table3[[#This Row],[Visitor]],$A$6:$B$38,2,FALSE)</f>
        <v>-0.3049985281004175</v>
      </c>
      <c r="J409">
        <f>(Table3[[#This Row],[HomeMargin]]-Table3[[#This Row],[HomeForecast]])^2</f>
        <v>5.3130182145450915</v>
      </c>
    </row>
    <row r="410" spans="4:10" x14ac:dyDescent="0.2">
      <c r="D410" t="s">
        <v>36</v>
      </c>
      <c r="E410">
        <f>'NHL2025-26Results'!C405</f>
        <v>1</v>
      </c>
      <c r="F410" t="s">
        <v>39</v>
      </c>
      <c r="G410">
        <f>'NHL2025-26Results'!E405</f>
        <v>6</v>
      </c>
      <c r="H410">
        <f>Table3[[#This Row],[G_1]]-Table3[[#This Row],[G]]</f>
        <v>5</v>
      </c>
      <c r="I410">
        <f>HomeEdge+VLOOKUP(Table3[[#This Row],[Home]],$A$6:$B$38,2,FALSE)-VLOOKUP(Table3[[#This Row],[Visitor]],$A$6:$B$38,2,FALSE)</f>
        <v>0.99471930164312083</v>
      </c>
      <c r="J410">
        <f>(Table3[[#This Row],[HomeMargin]]-Table3[[#This Row],[HomeForecast]])^2</f>
        <v>16.042273472630168</v>
      </c>
    </row>
    <row r="411" spans="4:10" x14ac:dyDescent="0.2">
      <c r="D411" t="s">
        <v>22</v>
      </c>
      <c r="E411">
        <f>'NHL2025-26Results'!C406</f>
        <v>4</v>
      </c>
      <c r="F411" t="s">
        <v>30</v>
      </c>
      <c r="G411">
        <f>'NHL2025-26Results'!E406</f>
        <v>1</v>
      </c>
      <c r="H411">
        <f>Table3[[#This Row],[G_1]]-Table3[[#This Row],[G]]</f>
        <v>-3</v>
      </c>
      <c r="I411">
        <f>HomeEdge+VLOOKUP(Table3[[#This Row],[Home]],$A$6:$B$38,2,FALSE)-VLOOKUP(Table3[[#This Row],[Visitor]],$A$6:$B$38,2,FALSE)</f>
        <v>-0.63173848137192712</v>
      </c>
      <c r="J411">
        <f>(Table3[[#This Row],[HomeMargin]]-Table3[[#This Row],[HomeForecast]])^2</f>
        <v>5.6086626206145462</v>
      </c>
    </row>
    <row r="412" spans="4:10" x14ac:dyDescent="0.2">
      <c r="D412" t="s">
        <v>40</v>
      </c>
      <c r="E412">
        <f>'NHL2025-26Results'!C407</f>
        <v>1</v>
      </c>
      <c r="F412" t="s">
        <v>23</v>
      </c>
      <c r="G412">
        <f>'NHL2025-26Results'!E407</f>
        <v>5</v>
      </c>
      <c r="H412">
        <f>Table3[[#This Row],[G_1]]-Table3[[#This Row],[G]]</f>
        <v>4</v>
      </c>
      <c r="I412">
        <f>HomeEdge+VLOOKUP(Table3[[#This Row],[Home]],$A$6:$B$38,2,FALSE)-VLOOKUP(Table3[[#This Row],[Visitor]],$A$6:$B$38,2,FALSE)</f>
        <v>-0.11296786303463563</v>
      </c>
      <c r="J412">
        <f>(Table3[[#This Row],[HomeMargin]]-Table3[[#This Row],[HomeForecast]])^2</f>
        <v>16.916504642355701</v>
      </c>
    </row>
    <row r="413" spans="4:10" x14ac:dyDescent="0.2">
      <c r="D413" t="s">
        <v>28</v>
      </c>
      <c r="E413">
        <f>'NHL2025-26Results'!C408</f>
        <v>5</v>
      </c>
      <c r="F413" t="s">
        <v>24</v>
      </c>
      <c r="G413">
        <f>'NHL2025-26Results'!E408</f>
        <v>3</v>
      </c>
      <c r="H413">
        <f>Table3[[#This Row],[G_1]]-Table3[[#This Row],[G]]</f>
        <v>-2</v>
      </c>
      <c r="I413">
        <f>HomeEdge+VLOOKUP(Table3[[#This Row],[Home]],$A$6:$B$38,2,FALSE)-VLOOKUP(Table3[[#This Row],[Visitor]],$A$6:$B$38,2,FALSE)</f>
        <v>0.64642040403830703</v>
      </c>
      <c r="J413">
        <f>(Table3[[#This Row],[HomeMargin]]-Table3[[#This Row],[HomeForecast]])^2</f>
        <v>7.0035409549102754</v>
      </c>
    </row>
    <row r="414" spans="4:10" x14ac:dyDescent="0.2">
      <c r="D414" t="s">
        <v>14</v>
      </c>
      <c r="E414">
        <f>'NHL2025-26Results'!C409</f>
        <v>5</v>
      </c>
      <c r="F414" t="s">
        <v>27</v>
      </c>
      <c r="G414">
        <f>'NHL2025-26Results'!E409</f>
        <v>1</v>
      </c>
      <c r="H414">
        <f>Table3[[#This Row],[G_1]]-Table3[[#This Row],[G]]</f>
        <v>-4</v>
      </c>
      <c r="I414">
        <f>HomeEdge+VLOOKUP(Table3[[#This Row],[Home]],$A$6:$B$38,2,FALSE)-VLOOKUP(Table3[[#This Row],[Visitor]],$A$6:$B$38,2,FALSE)</f>
        <v>-0.18807461301766351</v>
      </c>
      <c r="J414">
        <f>(Table3[[#This Row],[HomeMargin]]-Table3[[#This Row],[HomeForecast]])^2</f>
        <v>14.530775155920436</v>
      </c>
    </row>
    <row r="415" spans="4:10" x14ac:dyDescent="0.2">
      <c r="D415" t="s">
        <v>55</v>
      </c>
      <c r="E415">
        <f>'NHL2025-26Results'!C410</f>
        <v>3</v>
      </c>
      <c r="F415" t="s">
        <v>33</v>
      </c>
      <c r="G415">
        <f>'NHL2025-26Results'!E410</f>
        <v>6</v>
      </c>
      <c r="H415">
        <f>Table3[[#This Row],[G_1]]-Table3[[#This Row],[G]]</f>
        <v>3</v>
      </c>
      <c r="I415">
        <f>HomeEdge+VLOOKUP(Table3[[#This Row],[Home]],$A$6:$B$38,2,FALSE)-VLOOKUP(Table3[[#This Row],[Visitor]],$A$6:$B$38,2,FALSE)</f>
        <v>1.6930455621015916E-3</v>
      </c>
      <c r="J415">
        <f>(Table3[[#This Row],[HomeMargin]]-Table3[[#This Row],[HomeForecast]])^2</f>
        <v>8.9898445930306661</v>
      </c>
    </row>
    <row r="416" spans="4:10" x14ac:dyDescent="0.2">
      <c r="D416" t="s">
        <v>31</v>
      </c>
      <c r="E416">
        <f>'NHL2025-26Results'!C411</f>
        <v>4</v>
      </c>
      <c r="F416" t="s">
        <v>35</v>
      </c>
      <c r="G416">
        <f>'NHL2025-26Results'!E411</f>
        <v>1</v>
      </c>
      <c r="H416">
        <f>Table3[[#This Row],[G_1]]-Table3[[#This Row],[G]]</f>
        <v>-3</v>
      </c>
      <c r="I416">
        <f>HomeEdge+VLOOKUP(Table3[[#This Row],[Home]],$A$6:$B$38,2,FALSE)-VLOOKUP(Table3[[#This Row],[Visitor]],$A$6:$B$38,2,FALSE)</f>
        <v>-1.5232806448638263</v>
      </c>
      <c r="J416">
        <f>(Table3[[#This Row],[HomeMargin]]-Table3[[#This Row],[HomeForecast]])^2</f>
        <v>2.1807000538337968</v>
      </c>
    </row>
    <row r="417" spans="4:6" x14ac:dyDescent="0.2">
      <c r="D417" t="s">
        <v>38</v>
      </c>
      <c r="F417" t="s">
        <v>12</v>
      </c>
    </row>
    <row r="418" spans="4:6" x14ac:dyDescent="0.2">
      <c r="D418" t="s">
        <v>21</v>
      </c>
      <c r="F418" t="s">
        <v>26</v>
      </c>
    </row>
    <row r="419" spans="4:6" x14ac:dyDescent="0.2">
      <c r="D419" t="s">
        <v>34</v>
      </c>
      <c r="F419" t="s">
        <v>17</v>
      </c>
    </row>
    <row r="420" spans="4:6" x14ac:dyDescent="0.2">
      <c r="D420" t="s">
        <v>19</v>
      </c>
      <c r="F420" t="s">
        <v>11</v>
      </c>
    </row>
    <row r="421" spans="4:6" x14ac:dyDescent="0.2">
      <c r="D421" t="s">
        <v>22</v>
      </c>
      <c r="F421" t="s">
        <v>13</v>
      </c>
    </row>
    <row r="422" spans="4:6" x14ac:dyDescent="0.2">
      <c r="D422" t="s">
        <v>36</v>
      </c>
      <c r="F422" t="s">
        <v>18</v>
      </c>
    </row>
    <row r="423" spans="4:6" x14ac:dyDescent="0.2">
      <c r="D423" t="s">
        <v>16</v>
      </c>
      <c r="F423" t="s">
        <v>29</v>
      </c>
    </row>
    <row r="424" spans="4:6" x14ac:dyDescent="0.2">
      <c r="D424" t="s">
        <v>37</v>
      </c>
      <c r="F424" t="s">
        <v>30</v>
      </c>
    </row>
    <row r="425" spans="4:6" x14ac:dyDescent="0.2">
      <c r="D425" t="s">
        <v>39</v>
      </c>
      <c r="F425" t="s">
        <v>15</v>
      </c>
    </row>
    <row r="426" spans="4:6" x14ac:dyDescent="0.2">
      <c r="D426" t="s">
        <v>10</v>
      </c>
      <c r="F426" t="s">
        <v>20</v>
      </c>
    </row>
    <row r="427" spans="4:6" x14ac:dyDescent="0.2">
      <c r="D427" t="s">
        <v>55</v>
      </c>
      <c r="F427" t="s">
        <v>31</v>
      </c>
    </row>
    <row r="428" spans="4:6" x14ac:dyDescent="0.2">
      <c r="D428" t="s">
        <v>40</v>
      </c>
      <c r="F428" t="s">
        <v>18</v>
      </c>
    </row>
    <row r="429" spans="4:6" x14ac:dyDescent="0.2">
      <c r="D429" t="s">
        <v>39</v>
      </c>
      <c r="F429" t="s">
        <v>24</v>
      </c>
    </row>
    <row r="430" spans="4:6" x14ac:dyDescent="0.2">
      <c r="D430" t="s">
        <v>23</v>
      </c>
      <c r="F430" t="s">
        <v>27</v>
      </c>
    </row>
    <row r="431" spans="4:6" x14ac:dyDescent="0.2">
      <c r="D431" t="s">
        <v>22</v>
      </c>
      <c r="F431" t="s">
        <v>33</v>
      </c>
    </row>
    <row r="432" spans="4:6" x14ac:dyDescent="0.2">
      <c r="D432" t="s">
        <v>35</v>
      </c>
      <c r="F432" t="s">
        <v>21</v>
      </c>
    </row>
    <row r="433" spans="4:6" x14ac:dyDescent="0.2">
      <c r="D433" t="s">
        <v>19</v>
      </c>
      <c r="F433" t="s">
        <v>25</v>
      </c>
    </row>
    <row r="434" spans="4:6" x14ac:dyDescent="0.2">
      <c r="D434" t="s">
        <v>26</v>
      </c>
      <c r="F434" t="s">
        <v>28</v>
      </c>
    </row>
    <row r="435" spans="4:6" x14ac:dyDescent="0.2">
      <c r="D435" t="s">
        <v>34</v>
      </c>
      <c r="F435" t="s">
        <v>16</v>
      </c>
    </row>
    <row r="436" spans="4:6" x14ac:dyDescent="0.2">
      <c r="D436" t="s">
        <v>32</v>
      </c>
      <c r="F436" t="s">
        <v>17</v>
      </c>
    </row>
    <row r="437" spans="4:6" x14ac:dyDescent="0.2">
      <c r="D437" t="s">
        <v>29</v>
      </c>
      <c r="F437" t="s">
        <v>11</v>
      </c>
    </row>
    <row r="438" spans="4:6" x14ac:dyDescent="0.2">
      <c r="D438" t="s">
        <v>10</v>
      </c>
      <c r="F438" t="s">
        <v>13</v>
      </c>
    </row>
    <row r="439" spans="4:6" x14ac:dyDescent="0.2">
      <c r="D439" t="s">
        <v>12</v>
      </c>
      <c r="F439" t="s">
        <v>30</v>
      </c>
    </row>
    <row r="440" spans="4:6" x14ac:dyDescent="0.2">
      <c r="D440" t="s">
        <v>15</v>
      </c>
      <c r="F440" t="s">
        <v>36</v>
      </c>
    </row>
    <row r="441" spans="4:6" x14ac:dyDescent="0.2">
      <c r="D441" t="s">
        <v>14</v>
      </c>
      <c r="F441" t="s">
        <v>37</v>
      </c>
    </row>
    <row r="442" spans="4:6" x14ac:dyDescent="0.2">
      <c r="D442" t="s">
        <v>22</v>
      </c>
      <c r="F442" t="s">
        <v>31</v>
      </c>
    </row>
    <row r="443" spans="4:6" x14ac:dyDescent="0.2">
      <c r="D443" t="s">
        <v>33</v>
      </c>
      <c r="F443" t="s">
        <v>39</v>
      </c>
    </row>
    <row r="444" spans="4:6" x14ac:dyDescent="0.2">
      <c r="D444" t="s">
        <v>20</v>
      </c>
      <c r="F444" t="s">
        <v>24</v>
      </c>
    </row>
    <row r="445" spans="4:6" x14ac:dyDescent="0.2">
      <c r="D445" t="s">
        <v>55</v>
      </c>
      <c r="F445" t="s">
        <v>38</v>
      </c>
    </row>
    <row r="446" spans="4:6" x14ac:dyDescent="0.2">
      <c r="D446" t="s">
        <v>23</v>
      </c>
      <c r="F446" t="s">
        <v>40</v>
      </c>
    </row>
    <row r="447" spans="4:6" x14ac:dyDescent="0.2">
      <c r="D447" t="s">
        <v>24</v>
      </c>
      <c r="F447" t="s">
        <v>21</v>
      </c>
    </row>
    <row r="448" spans="4:6" x14ac:dyDescent="0.2">
      <c r="D448" t="s">
        <v>29</v>
      </c>
      <c r="F448" t="s">
        <v>25</v>
      </c>
    </row>
    <row r="449" spans="4:6" x14ac:dyDescent="0.2">
      <c r="D449" t="s">
        <v>55</v>
      </c>
      <c r="F449" t="s">
        <v>16</v>
      </c>
    </row>
    <row r="450" spans="4:6" x14ac:dyDescent="0.2">
      <c r="D450" t="s">
        <v>40</v>
      </c>
      <c r="F450" t="s">
        <v>17</v>
      </c>
    </row>
    <row r="451" spans="4:6" x14ac:dyDescent="0.2">
      <c r="D451" t="s">
        <v>28</v>
      </c>
      <c r="F451" t="s">
        <v>11</v>
      </c>
    </row>
    <row r="452" spans="4:6" x14ac:dyDescent="0.2">
      <c r="D452" t="s">
        <v>10</v>
      </c>
      <c r="F452" t="s">
        <v>13</v>
      </c>
    </row>
    <row r="453" spans="4:6" x14ac:dyDescent="0.2">
      <c r="D453" t="s">
        <v>12</v>
      </c>
      <c r="F453" t="s">
        <v>15</v>
      </c>
    </row>
    <row r="454" spans="4:6" x14ac:dyDescent="0.2">
      <c r="D454" t="s">
        <v>35</v>
      </c>
      <c r="F454" t="s">
        <v>36</v>
      </c>
    </row>
    <row r="455" spans="4:6" x14ac:dyDescent="0.2">
      <c r="D455" t="s">
        <v>26</v>
      </c>
      <c r="F455" t="s">
        <v>32</v>
      </c>
    </row>
    <row r="456" spans="4:6" x14ac:dyDescent="0.2">
      <c r="D456" t="s">
        <v>30</v>
      </c>
      <c r="F456" t="s">
        <v>37</v>
      </c>
    </row>
    <row r="457" spans="4:6" x14ac:dyDescent="0.2">
      <c r="D457" t="s">
        <v>18</v>
      </c>
      <c r="F457" t="s">
        <v>19</v>
      </c>
    </row>
    <row r="458" spans="4:6" x14ac:dyDescent="0.2">
      <c r="D458" t="s">
        <v>34</v>
      </c>
      <c r="F458" t="s">
        <v>38</v>
      </c>
    </row>
    <row r="459" spans="4:6" x14ac:dyDescent="0.2">
      <c r="D459" t="s">
        <v>10</v>
      </c>
      <c r="F459" t="s">
        <v>31</v>
      </c>
    </row>
    <row r="460" spans="4:6" x14ac:dyDescent="0.2">
      <c r="D460" t="s">
        <v>33</v>
      </c>
      <c r="F460" t="s">
        <v>25</v>
      </c>
    </row>
    <row r="461" spans="4:6" x14ac:dyDescent="0.2">
      <c r="D461" t="s">
        <v>14</v>
      </c>
      <c r="F461" t="s">
        <v>39</v>
      </c>
    </row>
    <row r="462" spans="4:6" x14ac:dyDescent="0.2">
      <c r="D462" t="s">
        <v>30</v>
      </c>
      <c r="F462" t="s">
        <v>11</v>
      </c>
    </row>
    <row r="463" spans="4:6" x14ac:dyDescent="0.2">
      <c r="D463" t="s">
        <v>35</v>
      </c>
      <c r="F463" t="s">
        <v>18</v>
      </c>
    </row>
    <row r="464" spans="4:6" x14ac:dyDescent="0.2">
      <c r="D464" t="s">
        <v>20</v>
      </c>
      <c r="F464" t="s">
        <v>15</v>
      </c>
    </row>
    <row r="465" spans="4:6" x14ac:dyDescent="0.2">
      <c r="D465" t="s">
        <v>12</v>
      </c>
      <c r="F465" t="s">
        <v>27</v>
      </c>
    </row>
    <row r="466" spans="4:6" x14ac:dyDescent="0.2">
      <c r="D466" t="s">
        <v>28</v>
      </c>
      <c r="F466" t="s">
        <v>22</v>
      </c>
    </row>
    <row r="467" spans="4:6" x14ac:dyDescent="0.2">
      <c r="D467" t="s">
        <v>23</v>
      </c>
      <c r="F467" t="s">
        <v>16</v>
      </c>
    </row>
    <row r="468" spans="4:6" x14ac:dyDescent="0.2">
      <c r="D468" t="s">
        <v>34</v>
      </c>
      <c r="F468" t="s">
        <v>32</v>
      </c>
    </row>
    <row r="469" spans="4:6" x14ac:dyDescent="0.2">
      <c r="D469" t="s">
        <v>37</v>
      </c>
      <c r="F469" t="s">
        <v>19</v>
      </c>
    </row>
    <row r="470" spans="4:6" x14ac:dyDescent="0.2">
      <c r="D470" t="s">
        <v>13</v>
      </c>
      <c r="F470" t="s">
        <v>55</v>
      </c>
    </row>
    <row r="471" spans="4:6" x14ac:dyDescent="0.2">
      <c r="D471" t="s">
        <v>26</v>
      </c>
      <c r="F471" t="s">
        <v>38</v>
      </c>
    </row>
    <row r="472" spans="4:6" x14ac:dyDescent="0.2">
      <c r="D472" t="s">
        <v>28</v>
      </c>
      <c r="F472" t="s">
        <v>25</v>
      </c>
    </row>
    <row r="473" spans="4:6" x14ac:dyDescent="0.2">
      <c r="D473" t="s">
        <v>23</v>
      </c>
      <c r="F473" t="s">
        <v>17</v>
      </c>
    </row>
    <row r="474" spans="4:6" x14ac:dyDescent="0.2">
      <c r="D474" t="s">
        <v>37</v>
      </c>
      <c r="F474" t="s">
        <v>18</v>
      </c>
    </row>
    <row r="475" spans="4:6" x14ac:dyDescent="0.2">
      <c r="D475" t="s">
        <v>12</v>
      </c>
      <c r="F475" t="s">
        <v>29</v>
      </c>
    </row>
    <row r="476" spans="4:6" x14ac:dyDescent="0.2">
      <c r="D476" t="s">
        <v>20</v>
      </c>
      <c r="F476" t="s">
        <v>30</v>
      </c>
    </row>
    <row r="477" spans="4:6" x14ac:dyDescent="0.2">
      <c r="D477" t="s">
        <v>24</v>
      </c>
      <c r="F477" t="s">
        <v>36</v>
      </c>
    </row>
    <row r="478" spans="4:6" x14ac:dyDescent="0.2">
      <c r="D478" t="s">
        <v>33</v>
      </c>
      <c r="F478" t="s">
        <v>27</v>
      </c>
    </row>
    <row r="479" spans="4:6" x14ac:dyDescent="0.2">
      <c r="D479" t="s">
        <v>31</v>
      </c>
      <c r="F479" t="s">
        <v>14</v>
      </c>
    </row>
    <row r="480" spans="4:6" x14ac:dyDescent="0.2">
      <c r="D480" t="s">
        <v>21</v>
      </c>
      <c r="F480" t="s">
        <v>35</v>
      </c>
    </row>
    <row r="481" spans="4:6" x14ac:dyDescent="0.2">
      <c r="D481" t="s">
        <v>39</v>
      </c>
      <c r="F481" t="s">
        <v>40</v>
      </c>
    </row>
    <row r="482" spans="4:6" x14ac:dyDescent="0.2">
      <c r="D482" t="s">
        <v>26</v>
      </c>
      <c r="F482" t="s">
        <v>16</v>
      </c>
    </row>
    <row r="483" spans="4:6" x14ac:dyDescent="0.2">
      <c r="D483" t="s">
        <v>15</v>
      </c>
      <c r="F483" t="s">
        <v>10</v>
      </c>
    </row>
    <row r="484" spans="4:6" x14ac:dyDescent="0.2">
      <c r="D484" t="s">
        <v>13</v>
      </c>
      <c r="F484" t="s">
        <v>32</v>
      </c>
    </row>
    <row r="485" spans="4:6" x14ac:dyDescent="0.2">
      <c r="D485" t="s">
        <v>11</v>
      </c>
      <c r="F485" t="s">
        <v>55</v>
      </c>
    </row>
    <row r="486" spans="4:6" x14ac:dyDescent="0.2">
      <c r="D486" t="s">
        <v>36</v>
      </c>
      <c r="F486" t="s">
        <v>28</v>
      </c>
    </row>
    <row r="487" spans="4:6" x14ac:dyDescent="0.2">
      <c r="D487" t="s">
        <v>11</v>
      </c>
      <c r="F487" t="s">
        <v>12</v>
      </c>
    </row>
    <row r="488" spans="4:6" x14ac:dyDescent="0.2">
      <c r="D488" t="s">
        <v>26</v>
      </c>
      <c r="F488" t="s">
        <v>17</v>
      </c>
    </row>
    <row r="489" spans="4:6" x14ac:dyDescent="0.2">
      <c r="D489" t="s">
        <v>39</v>
      </c>
      <c r="F489" t="s">
        <v>34</v>
      </c>
    </row>
    <row r="490" spans="4:6" x14ac:dyDescent="0.2">
      <c r="D490" t="s">
        <v>37</v>
      </c>
      <c r="F490" t="s">
        <v>24</v>
      </c>
    </row>
    <row r="491" spans="4:6" x14ac:dyDescent="0.2">
      <c r="D491" t="s">
        <v>35</v>
      </c>
      <c r="F491" t="s">
        <v>29</v>
      </c>
    </row>
    <row r="492" spans="4:6" x14ac:dyDescent="0.2">
      <c r="D492" t="s">
        <v>31</v>
      </c>
      <c r="F492" t="s">
        <v>30</v>
      </c>
    </row>
    <row r="493" spans="4:6" x14ac:dyDescent="0.2">
      <c r="D493" t="s">
        <v>20</v>
      </c>
      <c r="F493" t="s">
        <v>27</v>
      </c>
    </row>
    <row r="494" spans="4:6" x14ac:dyDescent="0.2">
      <c r="D494" t="s">
        <v>18</v>
      </c>
      <c r="F494" t="s">
        <v>14</v>
      </c>
    </row>
    <row r="495" spans="4:6" x14ac:dyDescent="0.2">
      <c r="D495" t="s">
        <v>33</v>
      </c>
      <c r="F495" t="s">
        <v>19</v>
      </c>
    </row>
    <row r="496" spans="4:6" x14ac:dyDescent="0.2">
      <c r="D496" t="s">
        <v>23</v>
      </c>
      <c r="F496" t="s">
        <v>38</v>
      </c>
    </row>
    <row r="497" spans="4:6" x14ac:dyDescent="0.2">
      <c r="D497" t="s">
        <v>21</v>
      </c>
      <c r="F497" t="s">
        <v>40</v>
      </c>
    </row>
    <row r="498" spans="4:6" x14ac:dyDescent="0.2">
      <c r="D498" t="s">
        <v>25</v>
      </c>
      <c r="F498" t="s">
        <v>22</v>
      </c>
    </row>
    <row r="499" spans="4:6" x14ac:dyDescent="0.2">
      <c r="D499" t="s">
        <v>10</v>
      </c>
      <c r="F499" t="s">
        <v>35</v>
      </c>
    </row>
    <row r="500" spans="4:6" x14ac:dyDescent="0.2">
      <c r="D500" t="s">
        <v>32</v>
      </c>
      <c r="F500" t="s">
        <v>55</v>
      </c>
    </row>
    <row r="501" spans="4:6" x14ac:dyDescent="0.2">
      <c r="D501" t="s">
        <v>20</v>
      </c>
      <c r="F501" t="s">
        <v>28</v>
      </c>
    </row>
    <row r="502" spans="4:6" x14ac:dyDescent="0.2">
      <c r="D502" t="s">
        <v>26</v>
      </c>
      <c r="F502" t="s">
        <v>10</v>
      </c>
    </row>
    <row r="503" spans="4:6" x14ac:dyDescent="0.2">
      <c r="D503" t="s">
        <v>29</v>
      </c>
      <c r="F503" t="s">
        <v>12</v>
      </c>
    </row>
    <row r="504" spans="4:6" x14ac:dyDescent="0.2">
      <c r="D504" t="s">
        <v>11</v>
      </c>
      <c r="F504" t="s">
        <v>39</v>
      </c>
    </row>
    <row r="505" spans="4:6" x14ac:dyDescent="0.2">
      <c r="D505" t="s">
        <v>16</v>
      </c>
      <c r="F505" t="s">
        <v>13</v>
      </c>
    </row>
    <row r="506" spans="4:6" x14ac:dyDescent="0.2">
      <c r="D506" t="s">
        <v>36</v>
      </c>
      <c r="F506" t="s">
        <v>34</v>
      </c>
    </row>
    <row r="507" spans="4:6" x14ac:dyDescent="0.2">
      <c r="D507" t="s">
        <v>31</v>
      </c>
      <c r="F507" t="s">
        <v>24</v>
      </c>
    </row>
    <row r="508" spans="4:6" x14ac:dyDescent="0.2">
      <c r="D508" t="s">
        <v>37</v>
      </c>
      <c r="F508" t="s">
        <v>30</v>
      </c>
    </row>
    <row r="509" spans="4:6" x14ac:dyDescent="0.2">
      <c r="D509" t="s">
        <v>18</v>
      </c>
      <c r="F509" t="s">
        <v>15</v>
      </c>
    </row>
    <row r="510" spans="4:6" x14ac:dyDescent="0.2">
      <c r="D510" t="s">
        <v>25</v>
      </c>
      <c r="F510" t="s">
        <v>27</v>
      </c>
    </row>
    <row r="511" spans="4:6" x14ac:dyDescent="0.2">
      <c r="D511" t="s">
        <v>33</v>
      </c>
      <c r="F511" t="s">
        <v>14</v>
      </c>
    </row>
    <row r="512" spans="4:6" x14ac:dyDescent="0.2">
      <c r="D512" t="s">
        <v>17</v>
      </c>
      <c r="F512" t="s">
        <v>19</v>
      </c>
    </row>
    <row r="513" spans="4:6" x14ac:dyDescent="0.2">
      <c r="D513" t="s">
        <v>22</v>
      </c>
      <c r="F513" t="s">
        <v>40</v>
      </c>
    </row>
    <row r="514" spans="4:6" x14ac:dyDescent="0.2">
      <c r="D514" t="s">
        <v>27</v>
      </c>
      <c r="F514" t="s">
        <v>25</v>
      </c>
    </row>
    <row r="515" spans="4:6" x14ac:dyDescent="0.2">
      <c r="D515" t="s">
        <v>21</v>
      </c>
      <c r="F515" t="s">
        <v>34</v>
      </c>
    </row>
    <row r="516" spans="4:6" x14ac:dyDescent="0.2">
      <c r="D516" t="s">
        <v>17</v>
      </c>
      <c r="F516" t="s">
        <v>18</v>
      </c>
    </row>
    <row r="517" spans="4:6" x14ac:dyDescent="0.2">
      <c r="D517" t="s">
        <v>38</v>
      </c>
      <c r="F517" t="s">
        <v>24</v>
      </c>
    </row>
    <row r="518" spans="4:6" x14ac:dyDescent="0.2">
      <c r="D518" t="s">
        <v>55</v>
      </c>
      <c r="F518" t="s">
        <v>14</v>
      </c>
    </row>
    <row r="519" spans="4:6" x14ac:dyDescent="0.2">
      <c r="D519" t="s">
        <v>23</v>
      </c>
      <c r="F519" t="s">
        <v>32</v>
      </c>
    </row>
    <row r="520" spans="4:6" x14ac:dyDescent="0.2">
      <c r="D520" t="s">
        <v>13</v>
      </c>
      <c r="F520" t="s">
        <v>39</v>
      </c>
    </row>
    <row r="521" spans="4:6" x14ac:dyDescent="0.2">
      <c r="D521" t="s">
        <v>31</v>
      </c>
      <c r="F521" t="s">
        <v>15</v>
      </c>
    </row>
    <row r="522" spans="4:6" x14ac:dyDescent="0.2">
      <c r="D522" t="s">
        <v>29</v>
      </c>
      <c r="F522" t="s">
        <v>35</v>
      </c>
    </row>
    <row r="523" spans="4:6" x14ac:dyDescent="0.2">
      <c r="D523" t="s">
        <v>11</v>
      </c>
      <c r="F523" t="s">
        <v>37</v>
      </c>
    </row>
    <row r="524" spans="4:6" x14ac:dyDescent="0.2">
      <c r="D524" t="s">
        <v>36</v>
      </c>
      <c r="F524" t="s">
        <v>40</v>
      </c>
    </row>
    <row r="525" spans="4:6" x14ac:dyDescent="0.2">
      <c r="D525" t="s">
        <v>55</v>
      </c>
      <c r="F525" t="s">
        <v>21</v>
      </c>
    </row>
    <row r="526" spans="4:6" x14ac:dyDescent="0.2">
      <c r="D526" t="s">
        <v>31</v>
      </c>
      <c r="F526" t="s">
        <v>28</v>
      </c>
    </row>
    <row r="527" spans="4:6" x14ac:dyDescent="0.2">
      <c r="D527" t="s">
        <v>30</v>
      </c>
      <c r="F527" t="s">
        <v>26</v>
      </c>
    </row>
    <row r="528" spans="4:6" x14ac:dyDescent="0.2">
      <c r="D528" t="s">
        <v>22</v>
      </c>
      <c r="F528" t="s">
        <v>34</v>
      </c>
    </row>
    <row r="529" spans="4:6" x14ac:dyDescent="0.2">
      <c r="D529" t="s">
        <v>27</v>
      </c>
      <c r="F529" t="s">
        <v>18</v>
      </c>
    </row>
    <row r="530" spans="4:6" x14ac:dyDescent="0.2">
      <c r="D530" t="s">
        <v>38</v>
      </c>
      <c r="F530" t="s">
        <v>15</v>
      </c>
    </row>
    <row r="531" spans="4:6" x14ac:dyDescent="0.2">
      <c r="D531" t="s">
        <v>17</v>
      </c>
      <c r="F531" t="s">
        <v>14</v>
      </c>
    </row>
    <row r="532" spans="4:6" x14ac:dyDescent="0.2">
      <c r="D532" t="s">
        <v>12</v>
      </c>
      <c r="F532" t="s">
        <v>32</v>
      </c>
    </row>
    <row r="533" spans="4:6" x14ac:dyDescent="0.2">
      <c r="D533" t="s">
        <v>16</v>
      </c>
      <c r="F533" t="s">
        <v>33</v>
      </c>
    </row>
    <row r="534" spans="4:6" x14ac:dyDescent="0.2">
      <c r="D534" t="s">
        <v>10</v>
      </c>
      <c r="F534" t="s">
        <v>19</v>
      </c>
    </row>
    <row r="535" spans="4:6" x14ac:dyDescent="0.2">
      <c r="D535" t="s">
        <v>55</v>
      </c>
      <c r="F535" t="s">
        <v>26</v>
      </c>
    </row>
    <row r="536" spans="4:6" x14ac:dyDescent="0.2">
      <c r="D536" t="s">
        <v>13</v>
      </c>
      <c r="F536" t="s">
        <v>11</v>
      </c>
    </row>
    <row r="537" spans="4:6" x14ac:dyDescent="0.2">
      <c r="D537" t="s">
        <v>25</v>
      </c>
      <c r="F537" t="s">
        <v>29</v>
      </c>
    </row>
    <row r="538" spans="4:6" x14ac:dyDescent="0.2">
      <c r="D538" t="s">
        <v>40</v>
      </c>
      <c r="F538" t="s">
        <v>35</v>
      </c>
    </row>
    <row r="539" spans="4:6" x14ac:dyDescent="0.2">
      <c r="D539" t="s">
        <v>24</v>
      </c>
      <c r="F539" t="s">
        <v>20</v>
      </c>
    </row>
    <row r="540" spans="4:6" x14ac:dyDescent="0.2">
      <c r="D540" t="s">
        <v>17</v>
      </c>
      <c r="F540" t="s">
        <v>21</v>
      </c>
    </row>
    <row r="541" spans="4:6" x14ac:dyDescent="0.2">
      <c r="D541" t="s">
        <v>27</v>
      </c>
      <c r="F541" t="s">
        <v>23</v>
      </c>
    </row>
    <row r="542" spans="4:6" x14ac:dyDescent="0.2">
      <c r="D542" t="s">
        <v>34</v>
      </c>
      <c r="F542" t="s">
        <v>28</v>
      </c>
    </row>
    <row r="543" spans="4:6" x14ac:dyDescent="0.2">
      <c r="D543" t="s">
        <v>32</v>
      </c>
      <c r="F543" t="s">
        <v>16</v>
      </c>
    </row>
    <row r="544" spans="4:6" x14ac:dyDescent="0.2">
      <c r="D544" t="s">
        <v>10</v>
      </c>
      <c r="F544" t="s">
        <v>18</v>
      </c>
    </row>
    <row r="545" spans="4:6" x14ac:dyDescent="0.2">
      <c r="D545" t="s">
        <v>14</v>
      </c>
      <c r="F545" t="s">
        <v>36</v>
      </c>
    </row>
    <row r="546" spans="4:6" x14ac:dyDescent="0.2">
      <c r="D546" t="s">
        <v>39</v>
      </c>
      <c r="F546" t="s">
        <v>33</v>
      </c>
    </row>
    <row r="547" spans="4:6" x14ac:dyDescent="0.2">
      <c r="D547" t="s">
        <v>15</v>
      </c>
      <c r="F547" t="s">
        <v>35</v>
      </c>
    </row>
    <row r="548" spans="4:6" x14ac:dyDescent="0.2">
      <c r="D548" t="s">
        <v>13</v>
      </c>
      <c r="F548" t="s">
        <v>37</v>
      </c>
    </row>
    <row r="549" spans="4:6" x14ac:dyDescent="0.2">
      <c r="D549" t="s">
        <v>19</v>
      </c>
      <c r="F549" t="s">
        <v>22</v>
      </c>
    </row>
    <row r="550" spans="4:6" x14ac:dyDescent="0.2">
      <c r="D550" t="s">
        <v>39</v>
      </c>
      <c r="F550" t="s">
        <v>31</v>
      </c>
    </row>
    <row r="551" spans="4:6" x14ac:dyDescent="0.2">
      <c r="D551" t="s">
        <v>40</v>
      </c>
      <c r="F551" t="s">
        <v>12</v>
      </c>
    </row>
    <row r="552" spans="4:6" x14ac:dyDescent="0.2">
      <c r="D552" t="s">
        <v>25</v>
      </c>
      <c r="F552" t="s">
        <v>11</v>
      </c>
    </row>
    <row r="553" spans="4:6" x14ac:dyDescent="0.2">
      <c r="D553" t="s">
        <v>38</v>
      </c>
      <c r="F553" t="s">
        <v>30</v>
      </c>
    </row>
    <row r="554" spans="4:6" x14ac:dyDescent="0.2">
      <c r="D554" t="s">
        <v>24</v>
      </c>
      <c r="F554" t="s">
        <v>55</v>
      </c>
    </row>
    <row r="555" spans="4:6" x14ac:dyDescent="0.2">
      <c r="D555" t="s">
        <v>28</v>
      </c>
      <c r="F555" t="s">
        <v>31</v>
      </c>
    </row>
    <row r="556" spans="4:6" x14ac:dyDescent="0.2">
      <c r="D556" t="s">
        <v>38</v>
      </c>
      <c r="F556" t="s">
        <v>21</v>
      </c>
    </row>
    <row r="557" spans="4:6" x14ac:dyDescent="0.2">
      <c r="D557" t="s">
        <v>30</v>
      </c>
      <c r="F557" t="s">
        <v>23</v>
      </c>
    </row>
    <row r="558" spans="4:6" x14ac:dyDescent="0.2">
      <c r="D558" t="s">
        <v>20</v>
      </c>
      <c r="F558" t="s">
        <v>16</v>
      </c>
    </row>
    <row r="559" spans="4:6" x14ac:dyDescent="0.2">
      <c r="D559" t="s">
        <v>35</v>
      </c>
      <c r="F559" t="s">
        <v>11</v>
      </c>
    </row>
    <row r="560" spans="4:6" x14ac:dyDescent="0.2">
      <c r="D560" t="s">
        <v>17</v>
      </c>
      <c r="F560" t="s">
        <v>34</v>
      </c>
    </row>
    <row r="561" spans="4:6" x14ac:dyDescent="0.2">
      <c r="D561" t="s">
        <v>14</v>
      </c>
      <c r="F561" t="s">
        <v>18</v>
      </c>
    </row>
    <row r="562" spans="4:6" x14ac:dyDescent="0.2">
      <c r="D562" t="s">
        <v>19</v>
      </c>
      <c r="F562" t="s">
        <v>29</v>
      </c>
    </row>
    <row r="563" spans="4:6" x14ac:dyDescent="0.2">
      <c r="D563" t="s">
        <v>27</v>
      </c>
      <c r="F563" t="s">
        <v>15</v>
      </c>
    </row>
    <row r="564" spans="4:6" x14ac:dyDescent="0.2">
      <c r="D564" t="s">
        <v>10</v>
      </c>
      <c r="F564" t="s">
        <v>36</v>
      </c>
    </row>
    <row r="565" spans="4:6" x14ac:dyDescent="0.2">
      <c r="D565" t="s">
        <v>32</v>
      </c>
      <c r="F565" t="s">
        <v>33</v>
      </c>
    </row>
    <row r="566" spans="4:6" x14ac:dyDescent="0.2">
      <c r="D566" t="s">
        <v>25</v>
      </c>
      <c r="F566" t="s">
        <v>37</v>
      </c>
    </row>
    <row r="567" spans="4:6" x14ac:dyDescent="0.2">
      <c r="D567" t="s">
        <v>26</v>
      </c>
      <c r="F567" t="s">
        <v>22</v>
      </c>
    </row>
    <row r="568" spans="4:6" x14ac:dyDescent="0.2">
      <c r="D568" t="s">
        <v>36</v>
      </c>
      <c r="F568" t="s">
        <v>21</v>
      </c>
    </row>
    <row r="569" spans="4:6" x14ac:dyDescent="0.2">
      <c r="D569" t="s">
        <v>19</v>
      </c>
      <c r="F569" t="s">
        <v>39</v>
      </c>
    </row>
    <row r="570" spans="4:6" x14ac:dyDescent="0.2">
      <c r="D570" t="s">
        <v>22</v>
      </c>
      <c r="F570" t="s">
        <v>26</v>
      </c>
    </row>
    <row r="571" spans="4:6" x14ac:dyDescent="0.2">
      <c r="D571" t="s">
        <v>20</v>
      </c>
      <c r="F571" t="s">
        <v>17</v>
      </c>
    </row>
    <row r="572" spans="4:6" x14ac:dyDescent="0.2">
      <c r="D572" t="s">
        <v>12</v>
      </c>
      <c r="F572" t="s">
        <v>34</v>
      </c>
    </row>
    <row r="573" spans="4:6" x14ac:dyDescent="0.2">
      <c r="D573" t="s">
        <v>23</v>
      </c>
      <c r="F573" t="s">
        <v>24</v>
      </c>
    </row>
    <row r="574" spans="4:6" x14ac:dyDescent="0.2">
      <c r="D574" t="s">
        <v>15</v>
      </c>
      <c r="F574" t="s">
        <v>29</v>
      </c>
    </row>
    <row r="575" spans="4:6" x14ac:dyDescent="0.2">
      <c r="D575" t="s">
        <v>18</v>
      </c>
      <c r="F575" t="s">
        <v>14</v>
      </c>
    </row>
    <row r="576" spans="4:6" x14ac:dyDescent="0.2">
      <c r="D576" t="s">
        <v>40</v>
      </c>
      <c r="F576" t="s">
        <v>55</v>
      </c>
    </row>
    <row r="577" spans="4:6" x14ac:dyDescent="0.2">
      <c r="D577" t="s">
        <v>32</v>
      </c>
      <c r="F577" t="s">
        <v>31</v>
      </c>
    </row>
    <row r="578" spans="4:6" x14ac:dyDescent="0.2">
      <c r="D578" t="s">
        <v>28</v>
      </c>
      <c r="F578" t="s">
        <v>13</v>
      </c>
    </row>
    <row r="579" spans="4:6" x14ac:dyDescent="0.2">
      <c r="D579" t="s">
        <v>38</v>
      </c>
      <c r="F579" t="s">
        <v>27</v>
      </c>
    </row>
    <row r="580" spans="4:6" x14ac:dyDescent="0.2">
      <c r="D580" t="s">
        <v>35</v>
      </c>
      <c r="F580" t="s">
        <v>37</v>
      </c>
    </row>
    <row r="581" spans="4:6" x14ac:dyDescent="0.2">
      <c r="D581" t="s">
        <v>18</v>
      </c>
      <c r="F581" t="s">
        <v>21</v>
      </c>
    </row>
    <row r="582" spans="4:6" x14ac:dyDescent="0.2">
      <c r="D582" t="s">
        <v>11</v>
      </c>
      <c r="F582" t="s">
        <v>25</v>
      </c>
    </row>
    <row r="583" spans="4:6" x14ac:dyDescent="0.2">
      <c r="D583" t="s">
        <v>27</v>
      </c>
      <c r="F583" t="s">
        <v>10</v>
      </c>
    </row>
    <row r="584" spans="4:6" x14ac:dyDescent="0.2">
      <c r="D584" t="s">
        <v>55</v>
      </c>
      <c r="F584" t="s">
        <v>12</v>
      </c>
    </row>
    <row r="585" spans="4:6" x14ac:dyDescent="0.2">
      <c r="D585" t="s">
        <v>39</v>
      </c>
      <c r="F585" t="s">
        <v>26</v>
      </c>
    </row>
    <row r="586" spans="4:6" x14ac:dyDescent="0.2">
      <c r="D586" t="s">
        <v>16</v>
      </c>
      <c r="F586" t="s">
        <v>17</v>
      </c>
    </row>
    <row r="587" spans="4:6" x14ac:dyDescent="0.2">
      <c r="D587" t="s">
        <v>32</v>
      </c>
      <c r="F587" t="s">
        <v>13</v>
      </c>
    </row>
    <row r="588" spans="4:6" x14ac:dyDescent="0.2">
      <c r="D588" t="s">
        <v>29</v>
      </c>
      <c r="F588" t="s">
        <v>34</v>
      </c>
    </row>
    <row r="589" spans="4:6" x14ac:dyDescent="0.2">
      <c r="D589" t="s">
        <v>24</v>
      </c>
      <c r="F589" t="s">
        <v>30</v>
      </c>
    </row>
    <row r="590" spans="4:6" x14ac:dyDescent="0.2">
      <c r="D590" t="s">
        <v>23</v>
      </c>
      <c r="F590" t="s">
        <v>36</v>
      </c>
    </row>
    <row r="591" spans="4:6" x14ac:dyDescent="0.2">
      <c r="D591" t="s">
        <v>14</v>
      </c>
      <c r="F591" t="s">
        <v>19</v>
      </c>
    </row>
    <row r="592" spans="4:6" x14ac:dyDescent="0.2">
      <c r="D592" t="s">
        <v>33</v>
      </c>
      <c r="F592" t="s">
        <v>20</v>
      </c>
    </row>
    <row r="593" spans="4:6" x14ac:dyDescent="0.2">
      <c r="D593" t="s">
        <v>15</v>
      </c>
      <c r="F593" t="s">
        <v>22</v>
      </c>
    </row>
    <row r="594" spans="4:6" x14ac:dyDescent="0.2">
      <c r="D594" t="s">
        <v>21</v>
      </c>
      <c r="F594" t="s">
        <v>23</v>
      </c>
    </row>
    <row r="595" spans="4:6" x14ac:dyDescent="0.2">
      <c r="D595" t="s">
        <v>26</v>
      </c>
      <c r="F595" t="s">
        <v>25</v>
      </c>
    </row>
    <row r="596" spans="4:6" x14ac:dyDescent="0.2">
      <c r="D596" t="s">
        <v>17</v>
      </c>
      <c r="F596" t="s">
        <v>16</v>
      </c>
    </row>
    <row r="597" spans="4:6" x14ac:dyDescent="0.2">
      <c r="D597" t="s">
        <v>10</v>
      </c>
      <c r="F597" t="s">
        <v>39</v>
      </c>
    </row>
    <row r="598" spans="4:6" x14ac:dyDescent="0.2">
      <c r="D598" t="s">
        <v>37</v>
      </c>
      <c r="F598" t="s">
        <v>11</v>
      </c>
    </row>
    <row r="599" spans="4:6" x14ac:dyDescent="0.2">
      <c r="D599" t="s">
        <v>31</v>
      </c>
      <c r="F599" t="s">
        <v>13</v>
      </c>
    </row>
    <row r="600" spans="4:6" x14ac:dyDescent="0.2">
      <c r="D600" t="s">
        <v>22</v>
      </c>
      <c r="F600" t="s">
        <v>24</v>
      </c>
    </row>
    <row r="601" spans="4:6" x14ac:dyDescent="0.2">
      <c r="D601" t="s">
        <v>15</v>
      </c>
      <c r="F601" t="s">
        <v>30</v>
      </c>
    </row>
    <row r="602" spans="4:6" x14ac:dyDescent="0.2">
      <c r="D602" t="s">
        <v>29</v>
      </c>
      <c r="F602" t="s">
        <v>35</v>
      </c>
    </row>
    <row r="603" spans="4:6" x14ac:dyDescent="0.2">
      <c r="D603" t="s">
        <v>36</v>
      </c>
      <c r="F603" t="s">
        <v>19</v>
      </c>
    </row>
    <row r="604" spans="4:6" x14ac:dyDescent="0.2">
      <c r="D604" t="s">
        <v>33</v>
      </c>
      <c r="F604" t="s">
        <v>38</v>
      </c>
    </row>
    <row r="605" spans="4:6" x14ac:dyDescent="0.2">
      <c r="D605" t="s">
        <v>12</v>
      </c>
      <c r="F605" t="s">
        <v>20</v>
      </c>
    </row>
    <row r="606" spans="4:6" x14ac:dyDescent="0.2">
      <c r="D606" t="s">
        <v>34</v>
      </c>
      <c r="F606" t="s">
        <v>40</v>
      </c>
    </row>
    <row r="607" spans="4:6" x14ac:dyDescent="0.2">
      <c r="D607" t="s">
        <v>30</v>
      </c>
      <c r="F607" t="s">
        <v>28</v>
      </c>
    </row>
    <row r="608" spans="4:6" x14ac:dyDescent="0.2">
      <c r="D608" t="s">
        <v>14</v>
      </c>
      <c r="F608" t="s">
        <v>10</v>
      </c>
    </row>
    <row r="609" spans="4:6" x14ac:dyDescent="0.2">
      <c r="D609" t="s">
        <v>19</v>
      </c>
      <c r="F609" t="s">
        <v>26</v>
      </c>
    </row>
    <row r="610" spans="4:6" x14ac:dyDescent="0.2">
      <c r="D610" t="s">
        <v>27</v>
      </c>
      <c r="F610" t="s">
        <v>32</v>
      </c>
    </row>
    <row r="611" spans="4:6" x14ac:dyDescent="0.2">
      <c r="D611" t="s">
        <v>18</v>
      </c>
      <c r="F611" t="s">
        <v>37</v>
      </c>
    </row>
    <row r="612" spans="4:6" x14ac:dyDescent="0.2">
      <c r="D612" t="s">
        <v>33</v>
      </c>
      <c r="F612" t="s">
        <v>31</v>
      </c>
    </row>
    <row r="613" spans="4:6" x14ac:dyDescent="0.2">
      <c r="D613" t="s">
        <v>15</v>
      </c>
      <c r="F613" t="s">
        <v>25</v>
      </c>
    </row>
    <row r="614" spans="4:6" x14ac:dyDescent="0.2">
      <c r="D614" t="s">
        <v>21</v>
      </c>
      <c r="F614" t="s">
        <v>16</v>
      </c>
    </row>
    <row r="615" spans="4:6" x14ac:dyDescent="0.2">
      <c r="D615" t="s">
        <v>13</v>
      </c>
      <c r="F615" t="s">
        <v>12</v>
      </c>
    </row>
    <row r="616" spans="4:6" x14ac:dyDescent="0.2">
      <c r="D616" t="s">
        <v>22</v>
      </c>
      <c r="F616" t="s">
        <v>11</v>
      </c>
    </row>
    <row r="617" spans="4:6" x14ac:dyDescent="0.2">
      <c r="D617" t="s">
        <v>28</v>
      </c>
      <c r="F617" t="s">
        <v>36</v>
      </c>
    </row>
    <row r="618" spans="4:6" x14ac:dyDescent="0.2">
      <c r="D618" t="s">
        <v>38</v>
      </c>
      <c r="F618" t="s">
        <v>32</v>
      </c>
    </row>
    <row r="619" spans="4:6" x14ac:dyDescent="0.2">
      <c r="D619" t="s">
        <v>23</v>
      </c>
      <c r="F619" t="s">
        <v>35</v>
      </c>
    </row>
    <row r="620" spans="4:6" x14ac:dyDescent="0.2">
      <c r="D620" t="s">
        <v>29</v>
      </c>
      <c r="F620" t="s">
        <v>55</v>
      </c>
    </row>
    <row r="621" spans="4:6" x14ac:dyDescent="0.2">
      <c r="D621" t="s">
        <v>34</v>
      </c>
      <c r="F621" t="s">
        <v>20</v>
      </c>
    </row>
    <row r="622" spans="4:6" x14ac:dyDescent="0.2">
      <c r="D622" t="s">
        <v>17</v>
      </c>
      <c r="F622" t="s">
        <v>40</v>
      </c>
    </row>
    <row r="623" spans="4:6" x14ac:dyDescent="0.2">
      <c r="D623" t="s">
        <v>30</v>
      </c>
      <c r="F623" t="s">
        <v>10</v>
      </c>
    </row>
    <row r="624" spans="4:6" x14ac:dyDescent="0.2">
      <c r="D624" t="s">
        <v>18</v>
      </c>
      <c r="F624" t="s">
        <v>11</v>
      </c>
    </row>
    <row r="625" spans="4:6" x14ac:dyDescent="0.2">
      <c r="D625" t="s">
        <v>25</v>
      </c>
      <c r="F625" t="s">
        <v>14</v>
      </c>
    </row>
    <row r="626" spans="4:6" x14ac:dyDescent="0.2">
      <c r="D626" t="s">
        <v>24</v>
      </c>
      <c r="F626" t="s">
        <v>19</v>
      </c>
    </row>
    <row r="627" spans="4:6" x14ac:dyDescent="0.2">
      <c r="D627" t="s">
        <v>27</v>
      </c>
      <c r="F627" t="s">
        <v>38</v>
      </c>
    </row>
    <row r="628" spans="4:6" x14ac:dyDescent="0.2">
      <c r="D628" t="s">
        <v>37</v>
      </c>
      <c r="F628" t="s">
        <v>31</v>
      </c>
    </row>
    <row r="629" spans="4:6" x14ac:dyDescent="0.2">
      <c r="D629" t="s">
        <v>24</v>
      </c>
      <c r="F629" t="s">
        <v>28</v>
      </c>
    </row>
    <row r="630" spans="4:6" x14ac:dyDescent="0.2">
      <c r="D630" t="s">
        <v>27</v>
      </c>
      <c r="F630" t="s">
        <v>16</v>
      </c>
    </row>
    <row r="631" spans="4:6" x14ac:dyDescent="0.2">
      <c r="D631" t="s">
        <v>35</v>
      </c>
      <c r="F631" t="s">
        <v>12</v>
      </c>
    </row>
    <row r="632" spans="4:6" x14ac:dyDescent="0.2">
      <c r="D632" t="s">
        <v>23</v>
      </c>
      <c r="F632" t="s">
        <v>39</v>
      </c>
    </row>
    <row r="633" spans="4:6" x14ac:dyDescent="0.2">
      <c r="D633" t="s">
        <v>40</v>
      </c>
      <c r="F633" t="s">
        <v>26</v>
      </c>
    </row>
    <row r="634" spans="4:6" x14ac:dyDescent="0.2">
      <c r="D634" t="s">
        <v>21</v>
      </c>
      <c r="F634" t="s">
        <v>17</v>
      </c>
    </row>
    <row r="635" spans="4:6" x14ac:dyDescent="0.2">
      <c r="D635" t="s">
        <v>34</v>
      </c>
      <c r="F635" t="s">
        <v>33</v>
      </c>
    </row>
    <row r="636" spans="4:6" x14ac:dyDescent="0.2">
      <c r="D636" t="s">
        <v>29</v>
      </c>
      <c r="F636" t="s">
        <v>20</v>
      </c>
    </row>
    <row r="637" spans="4:6" x14ac:dyDescent="0.2">
      <c r="D637" t="s">
        <v>15</v>
      </c>
      <c r="F637" t="s">
        <v>22</v>
      </c>
    </row>
    <row r="638" spans="4:6" x14ac:dyDescent="0.2">
      <c r="D638" t="s">
        <v>18</v>
      </c>
      <c r="F638" t="s">
        <v>25</v>
      </c>
    </row>
    <row r="639" spans="4:6" x14ac:dyDescent="0.2">
      <c r="D639" t="s">
        <v>39</v>
      </c>
      <c r="F639" t="s">
        <v>10</v>
      </c>
    </row>
    <row r="640" spans="4:6" x14ac:dyDescent="0.2">
      <c r="D640" t="s">
        <v>37</v>
      </c>
      <c r="F640" t="s">
        <v>13</v>
      </c>
    </row>
    <row r="641" spans="4:6" x14ac:dyDescent="0.2">
      <c r="D641" t="s">
        <v>55</v>
      </c>
      <c r="F641" t="s">
        <v>30</v>
      </c>
    </row>
    <row r="642" spans="4:6" x14ac:dyDescent="0.2">
      <c r="D642" t="s">
        <v>22</v>
      </c>
      <c r="F642" t="s">
        <v>36</v>
      </c>
    </row>
    <row r="643" spans="4:6" x14ac:dyDescent="0.2">
      <c r="D643" t="s">
        <v>26</v>
      </c>
      <c r="F643" t="s">
        <v>14</v>
      </c>
    </row>
    <row r="644" spans="4:6" x14ac:dyDescent="0.2">
      <c r="D644" t="s">
        <v>29</v>
      </c>
      <c r="F644" t="s">
        <v>32</v>
      </c>
    </row>
    <row r="645" spans="4:6" x14ac:dyDescent="0.2">
      <c r="D645" t="s">
        <v>40</v>
      </c>
      <c r="F645" t="s">
        <v>19</v>
      </c>
    </row>
    <row r="646" spans="4:6" x14ac:dyDescent="0.2">
      <c r="D646" t="s">
        <v>34</v>
      </c>
      <c r="F646" t="s">
        <v>31</v>
      </c>
    </row>
    <row r="647" spans="4:6" x14ac:dyDescent="0.2">
      <c r="D647" t="s">
        <v>15</v>
      </c>
      <c r="F647" t="s">
        <v>11</v>
      </c>
    </row>
    <row r="648" spans="4:6" x14ac:dyDescent="0.2">
      <c r="D648" t="s">
        <v>20</v>
      </c>
      <c r="F648" t="s">
        <v>35</v>
      </c>
    </row>
    <row r="649" spans="4:6" x14ac:dyDescent="0.2">
      <c r="D649" t="s">
        <v>32</v>
      </c>
      <c r="F649" t="s">
        <v>38</v>
      </c>
    </row>
    <row r="650" spans="4:6" x14ac:dyDescent="0.2">
      <c r="D650" t="s">
        <v>12</v>
      </c>
      <c r="F650" t="s">
        <v>25</v>
      </c>
    </row>
    <row r="651" spans="4:6" x14ac:dyDescent="0.2">
      <c r="D651" t="s">
        <v>23</v>
      </c>
      <c r="F651" t="s">
        <v>28</v>
      </c>
    </row>
    <row r="652" spans="4:6" x14ac:dyDescent="0.2">
      <c r="D652" t="s">
        <v>29</v>
      </c>
      <c r="F652" t="s">
        <v>16</v>
      </c>
    </row>
    <row r="653" spans="4:6" x14ac:dyDescent="0.2">
      <c r="D653" t="s">
        <v>14</v>
      </c>
      <c r="F653" t="s">
        <v>26</v>
      </c>
    </row>
    <row r="654" spans="4:6" x14ac:dyDescent="0.2">
      <c r="D654" t="s">
        <v>27</v>
      </c>
      <c r="F654" t="s">
        <v>17</v>
      </c>
    </row>
    <row r="655" spans="4:6" x14ac:dyDescent="0.2">
      <c r="D655" t="s">
        <v>34</v>
      </c>
      <c r="F655" t="s">
        <v>13</v>
      </c>
    </row>
    <row r="656" spans="4:6" x14ac:dyDescent="0.2">
      <c r="D656" t="s">
        <v>55</v>
      </c>
      <c r="F656" t="s">
        <v>24</v>
      </c>
    </row>
    <row r="657" spans="4:6" x14ac:dyDescent="0.2">
      <c r="D657" t="s">
        <v>19</v>
      </c>
      <c r="F657" t="s">
        <v>30</v>
      </c>
    </row>
    <row r="658" spans="4:6" x14ac:dyDescent="0.2">
      <c r="D658" t="s">
        <v>40</v>
      </c>
      <c r="F658" t="s">
        <v>36</v>
      </c>
    </row>
    <row r="659" spans="4:6" x14ac:dyDescent="0.2">
      <c r="D659" t="s">
        <v>37</v>
      </c>
      <c r="F659" t="s">
        <v>33</v>
      </c>
    </row>
    <row r="660" spans="4:6" x14ac:dyDescent="0.2">
      <c r="D660" t="s">
        <v>18</v>
      </c>
      <c r="F660" t="s">
        <v>35</v>
      </c>
    </row>
    <row r="661" spans="4:6" x14ac:dyDescent="0.2">
      <c r="D661" t="s">
        <v>21</v>
      </c>
      <c r="F661" t="s">
        <v>38</v>
      </c>
    </row>
    <row r="662" spans="4:6" x14ac:dyDescent="0.2">
      <c r="D662" t="s">
        <v>10</v>
      </c>
      <c r="F662" t="s">
        <v>22</v>
      </c>
    </row>
    <row r="663" spans="4:6" x14ac:dyDescent="0.2">
      <c r="D663" t="s">
        <v>14</v>
      </c>
      <c r="F663" t="s">
        <v>28</v>
      </c>
    </row>
    <row r="664" spans="4:6" x14ac:dyDescent="0.2">
      <c r="D664" t="s">
        <v>20</v>
      </c>
      <c r="F664" t="s">
        <v>10</v>
      </c>
    </row>
    <row r="665" spans="4:6" x14ac:dyDescent="0.2">
      <c r="D665" t="s">
        <v>18</v>
      </c>
      <c r="F665" t="s">
        <v>39</v>
      </c>
    </row>
    <row r="666" spans="4:6" x14ac:dyDescent="0.2">
      <c r="D666" t="s">
        <v>12</v>
      </c>
      <c r="F666" t="s">
        <v>11</v>
      </c>
    </row>
    <row r="667" spans="4:6" x14ac:dyDescent="0.2">
      <c r="D667" t="s">
        <v>25</v>
      </c>
      <c r="F667" t="s">
        <v>24</v>
      </c>
    </row>
    <row r="668" spans="4:6" x14ac:dyDescent="0.2">
      <c r="D668" t="s">
        <v>32</v>
      </c>
      <c r="F668" t="s">
        <v>16</v>
      </c>
    </row>
    <row r="669" spans="4:6" x14ac:dyDescent="0.2">
      <c r="D669" t="s">
        <v>34</v>
      </c>
      <c r="F669" t="s">
        <v>13</v>
      </c>
    </row>
    <row r="670" spans="4:6" x14ac:dyDescent="0.2">
      <c r="D670" t="s">
        <v>55</v>
      </c>
      <c r="F670" t="s">
        <v>15</v>
      </c>
    </row>
    <row r="671" spans="4:6" x14ac:dyDescent="0.2">
      <c r="D671" t="s">
        <v>26</v>
      </c>
      <c r="F671" t="s">
        <v>36</v>
      </c>
    </row>
    <row r="672" spans="4:6" x14ac:dyDescent="0.2">
      <c r="D672" t="s">
        <v>31</v>
      </c>
      <c r="F672" t="s">
        <v>22</v>
      </c>
    </row>
    <row r="673" spans="4:6" x14ac:dyDescent="0.2">
      <c r="D673" t="s">
        <v>38</v>
      </c>
      <c r="F673" t="s">
        <v>23</v>
      </c>
    </row>
    <row r="674" spans="4:6" x14ac:dyDescent="0.2">
      <c r="D674" t="s">
        <v>39</v>
      </c>
      <c r="F674" t="s">
        <v>25</v>
      </c>
    </row>
    <row r="675" spans="4:6" x14ac:dyDescent="0.2">
      <c r="D675" t="s">
        <v>29</v>
      </c>
      <c r="F675" t="s">
        <v>17</v>
      </c>
    </row>
    <row r="676" spans="4:6" x14ac:dyDescent="0.2">
      <c r="D676" t="s">
        <v>24</v>
      </c>
      <c r="F676" t="s">
        <v>30</v>
      </c>
    </row>
    <row r="677" spans="4:6" x14ac:dyDescent="0.2">
      <c r="D677" t="s">
        <v>31</v>
      </c>
      <c r="F677" t="s">
        <v>27</v>
      </c>
    </row>
    <row r="678" spans="4:6" x14ac:dyDescent="0.2">
      <c r="D678" t="s">
        <v>21</v>
      </c>
      <c r="F678" t="s">
        <v>32</v>
      </c>
    </row>
    <row r="679" spans="4:6" x14ac:dyDescent="0.2">
      <c r="D679" t="s">
        <v>28</v>
      </c>
      <c r="F679" t="s">
        <v>33</v>
      </c>
    </row>
    <row r="680" spans="4:6" x14ac:dyDescent="0.2">
      <c r="D680" t="s">
        <v>12</v>
      </c>
      <c r="F680" t="s">
        <v>37</v>
      </c>
    </row>
    <row r="681" spans="4:6" x14ac:dyDescent="0.2">
      <c r="D681" t="s">
        <v>11</v>
      </c>
      <c r="F681" t="s">
        <v>19</v>
      </c>
    </row>
    <row r="682" spans="4:6" x14ac:dyDescent="0.2">
      <c r="D682" t="s">
        <v>20</v>
      </c>
      <c r="F682" t="s">
        <v>40</v>
      </c>
    </row>
    <row r="683" spans="4:6" x14ac:dyDescent="0.2">
      <c r="D683" t="s">
        <v>35</v>
      </c>
      <c r="F683" t="s">
        <v>10</v>
      </c>
    </row>
    <row r="684" spans="4:6" x14ac:dyDescent="0.2">
      <c r="D684" t="s">
        <v>33</v>
      </c>
      <c r="F684" t="s">
        <v>13</v>
      </c>
    </row>
    <row r="685" spans="4:6" x14ac:dyDescent="0.2">
      <c r="D685" t="s">
        <v>16</v>
      </c>
      <c r="F685" t="s">
        <v>18</v>
      </c>
    </row>
    <row r="686" spans="4:6" x14ac:dyDescent="0.2">
      <c r="D686" t="s">
        <v>36</v>
      </c>
      <c r="F686" t="s">
        <v>55</v>
      </c>
    </row>
    <row r="687" spans="4:6" x14ac:dyDescent="0.2">
      <c r="D687" t="s">
        <v>39</v>
      </c>
      <c r="F687" t="s">
        <v>22</v>
      </c>
    </row>
    <row r="688" spans="4:6" x14ac:dyDescent="0.2">
      <c r="D688" t="s">
        <v>16</v>
      </c>
      <c r="F688" t="s">
        <v>21</v>
      </c>
    </row>
    <row r="689" spans="4:6" x14ac:dyDescent="0.2">
      <c r="D689" t="s">
        <v>31</v>
      </c>
      <c r="F689" t="s">
        <v>25</v>
      </c>
    </row>
    <row r="690" spans="4:6" x14ac:dyDescent="0.2">
      <c r="D690" t="s">
        <v>36</v>
      </c>
      <c r="F690" t="s">
        <v>12</v>
      </c>
    </row>
    <row r="691" spans="4:6" x14ac:dyDescent="0.2">
      <c r="D691" t="s">
        <v>38</v>
      </c>
      <c r="F691" t="s">
        <v>26</v>
      </c>
    </row>
    <row r="692" spans="4:6" x14ac:dyDescent="0.2">
      <c r="D692" t="s">
        <v>11</v>
      </c>
      <c r="F692" t="s">
        <v>18</v>
      </c>
    </row>
    <row r="693" spans="4:6" x14ac:dyDescent="0.2">
      <c r="D693" t="s">
        <v>30</v>
      </c>
      <c r="F693" t="s">
        <v>29</v>
      </c>
    </row>
    <row r="694" spans="4:6" x14ac:dyDescent="0.2">
      <c r="D694" t="s">
        <v>23</v>
      </c>
      <c r="F694" t="s">
        <v>15</v>
      </c>
    </row>
    <row r="695" spans="4:6" x14ac:dyDescent="0.2">
      <c r="D695" t="s">
        <v>19</v>
      </c>
      <c r="F695" t="s">
        <v>27</v>
      </c>
    </row>
    <row r="696" spans="4:6" x14ac:dyDescent="0.2">
      <c r="D696" t="s">
        <v>24</v>
      </c>
      <c r="F696" t="s">
        <v>14</v>
      </c>
    </row>
    <row r="697" spans="4:6" x14ac:dyDescent="0.2">
      <c r="D697" t="s">
        <v>34</v>
      </c>
      <c r="F697" t="s">
        <v>32</v>
      </c>
    </row>
    <row r="698" spans="4:6" x14ac:dyDescent="0.2">
      <c r="D698" t="s">
        <v>28</v>
      </c>
      <c r="F698" t="s">
        <v>20</v>
      </c>
    </row>
    <row r="699" spans="4:6" x14ac:dyDescent="0.2">
      <c r="D699" t="s">
        <v>17</v>
      </c>
      <c r="F699" t="s">
        <v>40</v>
      </c>
    </row>
    <row r="700" spans="4:6" x14ac:dyDescent="0.2">
      <c r="D700" t="s">
        <v>22</v>
      </c>
      <c r="F700" t="s">
        <v>10</v>
      </c>
    </row>
    <row r="701" spans="4:6" x14ac:dyDescent="0.2">
      <c r="D701" t="s">
        <v>35</v>
      </c>
      <c r="F701" t="s">
        <v>55</v>
      </c>
    </row>
    <row r="702" spans="4:6" x14ac:dyDescent="0.2">
      <c r="D702" t="s">
        <v>13</v>
      </c>
      <c r="F702" t="s">
        <v>40</v>
      </c>
    </row>
    <row r="703" spans="4:6" x14ac:dyDescent="0.2">
      <c r="D703" t="s">
        <v>15</v>
      </c>
      <c r="F703" t="s">
        <v>21</v>
      </c>
    </row>
    <row r="704" spans="4:6" x14ac:dyDescent="0.2">
      <c r="D704" t="s">
        <v>31</v>
      </c>
      <c r="F704" t="s">
        <v>23</v>
      </c>
    </row>
    <row r="705" spans="4:6" x14ac:dyDescent="0.2">
      <c r="D705" t="s">
        <v>32</v>
      </c>
      <c r="F705" t="s">
        <v>25</v>
      </c>
    </row>
    <row r="706" spans="4:6" x14ac:dyDescent="0.2">
      <c r="D706" t="s">
        <v>28</v>
      </c>
      <c r="F706" t="s">
        <v>12</v>
      </c>
    </row>
    <row r="707" spans="4:6" x14ac:dyDescent="0.2">
      <c r="D707" t="s">
        <v>13</v>
      </c>
      <c r="F707" t="s">
        <v>17</v>
      </c>
    </row>
    <row r="708" spans="4:6" x14ac:dyDescent="0.2">
      <c r="D708" t="s">
        <v>30</v>
      </c>
      <c r="F708" t="s">
        <v>34</v>
      </c>
    </row>
    <row r="709" spans="4:6" x14ac:dyDescent="0.2">
      <c r="D709" t="s">
        <v>26</v>
      </c>
      <c r="F709" t="s">
        <v>18</v>
      </c>
    </row>
    <row r="710" spans="4:6" x14ac:dyDescent="0.2">
      <c r="D710" t="s">
        <v>10</v>
      </c>
      <c r="F710" t="s">
        <v>29</v>
      </c>
    </row>
    <row r="711" spans="4:6" x14ac:dyDescent="0.2">
      <c r="D711" t="s">
        <v>11</v>
      </c>
      <c r="F711" t="s">
        <v>36</v>
      </c>
    </row>
    <row r="712" spans="4:6" x14ac:dyDescent="0.2">
      <c r="D712" t="s">
        <v>37</v>
      </c>
      <c r="F712" t="s">
        <v>27</v>
      </c>
    </row>
    <row r="713" spans="4:6" x14ac:dyDescent="0.2">
      <c r="D713" t="s">
        <v>16</v>
      </c>
      <c r="F713" t="s">
        <v>14</v>
      </c>
    </row>
    <row r="714" spans="4:6" x14ac:dyDescent="0.2">
      <c r="D714" t="s">
        <v>39</v>
      </c>
      <c r="F714" t="s">
        <v>33</v>
      </c>
    </row>
    <row r="715" spans="4:6" x14ac:dyDescent="0.2">
      <c r="D715" t="s">
        <v>38</v>
      </c>
      <c r="F715" t="s">
        <v>19</v>
      </c>
    </row>
    <row r="716" spans="4:6" x14ac:dyDescent="0.2">
      <c r="D716" t="s">
        <v>35</v>
      </c>
      <c r="F716" t="s">
        <v>20</v>
      </c>
    </row>
    <row r="717" spans="4:6" x14ac:dyDescent="0.2">
      <c r="D717" t="s">
        <v>14</v>
      </c>
      <c r="F717" t="s">
        <v>21</v>
      </c>
    </row>
    <row r="718" spans="4:6" x14ac:dyDescent="0.2">
      <c r="D718" t="s">
        <v>22</v>
      </c>
      <c r="F718" t="s">
        <v>29</v>
      </c>
    </row>
    <row r="719" spans="4:6" x14ac:dyDescent="0.2">
      <c r="D719" t="s">
        <v>20</v>
      </c>
      <c r="F719" t="s">
        <v>33</v>
      </c>
    </row>
    <row r="720" spans="4:6" x14ac:dyDescent="0.2">
      <c r="D720" t="s">
        <v>28</v>
      </c>
      <c r="F720" t="s">
        <v>55</v>
      </c>
    </row>
    <row r="721" spans="4:6" x14ac:dyDescent="0.2">
      <c r="D721" t="s">
        <v>24</v>
      </c>
      <c r="F721" t="s">
        <v>40</v>
      </c>
    </row>
    <row r="722" spans="4:6" x14ac:dyDescent="0.2">
      <c r="D722" t="s">
        <v>11</v>
      </c>
      <c r="F722" t="s">
        <v>23</v>
      </c>
    </row>
    <row r="723" spans="4:6" x14ac:dyDescent="0.2">
      <c r="D723" t="s">
        <v>17</v>
      </c>
      <c r="F723" t="s">
        <v>10</v>
      </c>
    </row>
    <row r="724" spans="4:6" x14ac:dyDescent="0.2">
      <c r="D724" t="s">
        <v>19</v>
      </c>
      <c r="F724" t="s">
        <v>12</v>
      </c>
    </row>
    <row r="725" spans="4:6" x14ac:dyDescent="0.2">
      <c r="D725" t="s">
        <v>25</v>
      </c>
      <c r="F725" t="s">
        <v>26</v>
      </c>
    </row>
    <row r="726" spans="4:6" x14ac:dyDescent="0.2">
      <c r="D726" t="s">
        <v>39</v>
      </c>
      <c r="F726" t="s">
        <v>13</v>
      </c>
    </row>
    <row r="727" spans="4:6" x14ac:dyDescent="0.2">
      <c r="D727" t="s">
        <v>24</v>
      </c>
      <c r="F727" t="s">
        <v>34</v>
      </c>
    </row>
    <row r="728" spans="4:6" x14ac:dyDescent="0.2">
      <c r="D728" t="s">
        <v>38</v>
      </c>
      <c r="F728" t="s">
        <v>18</v>
      </c>
    </row>
    <row r="729" spans="4:6" x14ac:dyDescent="0.2">
      <c r="D729" t="s">
        <v>32</v>
      </c>
      <c r="F729" t="s">
        <v>15</v>
      </c>
    </row>
    <row r="730" spans="4:6" x14ac:dyDescent="0.2">
      <c r="D730" t="s">
        <v>37</v>
      </c>
      <c r="F730" t="s">
        <v>27</v>
      </c>
    </row>
    <row r="731" spans="4:6" x14ac:dyDescent="0.2">
      <c r="D731" t="s">
        <v>39</v>
      </c>
      <c r="F731" t="s">
        <v>31</v>
      </c>
    </row>
    <row r="732" spans="4:6" x14ac:dyDescent="0.2">
      <c r="D732" t="s">
        <v>26</v>
      </c>
      <c r="F732" t="s">
        <v>21</v>
      </c>
    </row>
    <row r="733" spans="4:6" x14ac:dyDescent="0.2">
      <c r="D733" t="s">
        <v>16</v>
      </c>
      <c r="F733" t="s">
        <v>28</v>
      </c>
    </row>
    <row r="734" spans="4:6" x14ac:dyDescent="0.2">
      <c r="D734" t="s">
        <v>17</v>
      </c>
      <c r="F734" t="s">
        <v>29</v>
      </c>
    </row>
    <row r="735" spans="4:6" x14ac:dyDescent="0.2">
      <c r="D735" t="s">
        <v>38</v>
      </c>
      <c r="F735" t="s">
        <v>36</v>
      </c>
    </row>
    <row r="736" spans="4:6" x14ac:dyDescent="0.2">
      <c r="D736" t="s">
        <v>37</v>
      </c>
      <c r="F736" t="s">
        <v>14</v>
      </c>
    </row>
    <row r="737" spans="4:6" x14ac:dyDescent="0.2">
      <c r="D737" t="s">
        <v>25</v>
      </c>
      <c r="F737" t="s">
        <v>35</v>
      </c>
    </row>
    <row r="738" spans="4:6" x14ac:dyDescent="0.2">
      <c r="D738" t="s">
        <v>19</v>
      </c>
      <c r="F738" t="s">
        <v>55</v>
      </c>
    </row>
    <row r="739" spans="4:6" x14ac:dyDescent="0.2">
      <c r="D739" t="s">
        <v>30</v>
      </c>
      <c r="F739" t="s">
        <v>40</v>
      </c>
    </row>
    <row r="740" spans="4:6" x14ac:dyDescent="0.2">
      <c r="D740" t="s">
        <v>18</v>
      </c>
      <c r="F740" t="s">
        <v>22</v>
      </c>
    </row>
    <row r="741" spans="4:6" x14ac:dyDescent="0.2">
      <c r="D741" t="s">
        <v>27</v>
      </c>
      <c r="F741" t="s">
        <v>23</v>
      </c>
    </row>
    <row r="742" spans="4:6" x14ac:dyDescent="0.2">
      <c r="D742" t="s">
        <v>20</v>
      </c>
      <c r="F742" t="s">
        <v>13</v>
      </c>
    </row>
    <row r="743" spans="4:6" x14ac:dyDescent="0.2">
      <c r="D743" t="s">
        <v>32</v>
      </c>
      <c r="F743" t="s">
        <v>24</v>
      </c>
    </row>
    <row r="744" spans="4:6" x14ac:dyDescent="0.2">
      <c r="D744" t="s">
        <v>36</v>
      </c>
      <c r="F744" t="s">
        <v>15</v>
      </c>
    </row>
    <row r="745" spans="4:6" x14ac:dyDescent="0.2">
      <c r="D745" t="s">
        <v>32</v>
      </c>
      <c r="F745" t="s">
        <v>21</v>
      </c>
    </row>
    <row r="746" spans="4:6" x14ac:dyDescent="0.2">
      <c r="D746" t="s">
        <v>18</v>
      </c>
      <c r="F746" t="s">
        <v>23</v>
      </c>
    </row>
    <row r="747" spans="4:6" x14ac:dyDescent="0.2">
      <c r="D747" t="s">
        <v>38</v>
      </c>
      <c r="F747" t="s">
        <v>28</v>
      </c>
    </row>
    <row r="748" spans="4:6" x14ac:dyDescent="0.2">
      <c r="D748" t="s">
        <v>16</v>
      </c>
      <c r="F748" t="s">
        <v>10</v>
      </c>
    </row>
    <row r="749" spans="4:6" x14ac:dyDescent="0.2">
      <c r="D749" t="s">
        <v>30</v>
      </c>
      <c r="F749" t="s">
        <v>17</v>
      </c>
    </row>
    <row r="750" spans="4:6" x14ac:dyDescent="0.2">
      <c r="D750" t="s">
        <v>40</v>
      </c>
      <c r="F750" t="s">
        <v>34</v>
      </c>
    </row>
    <row r="751" spans="4:6" x14ac:dyDescent="0.2">
      <c r="D751" t="s">
        <v>27</v>
      </c>
      <c r="F751" t="s">
        <v>14</v>
      </c>
    </row>
    <row r="752" spans="4:6" x14ac:dyDescent="0.2">
      <c r="D752" t="s">
        <v>39</v>
      </c>
      <c r="F752" t="s">
        <v>55</v>
      </c>
    </row>
    <row r="753" spans="4:6" x14ac:dyDescent="0.2">
      <c r="D753" t="s">
        <v>19</v>
      </c>
      <c r="F753" t="s">
        <v>20</v>
      </c>
    </row>
    <row r="754" spans="4:6" x14ac:dyDescent="0.2">
      <c r="D754" t="s">
        <v>33</v>
      </c>
      <c r="F754" t="s">
        <v>22</v>
      </c>
    </row>
    <row r="755" spans="4:6" x14ac:dyDescent="0.2">
      <c r="D755" t="s">
        <v>11</v>
      </c>
      <c r="F755" t="s">
        <v>25</v>
      </c>
    </row>
    <row r="756" spans="4:6" x14ac:dyDescent="0.2">
      <c r="D756" t="s">
        <v>29</v>
      </c>
      <c r="F756" t="s">
        <v>12</v>
      </c>
    </row>
    <row r="757" spans="4:6" x14ac:dyDescent="0.2">
      <c r="D757" t="s">
        <v>33</v>
      </c>
      <c r="F757" t="s">
        <v>26</v>
      </c>
    </row>
    <row r="758" spans="4:6" x14ac:dyDescent="0.2">
      <c r="D758" t="s">
        <v>31</v>
      </c>
      <c r="F758" t="s">
        <v>13</v>
      </c>
    </row>
    <row r="759" spans="4:6" x14ac:dyDescent="0.2">
      <c r="D759" t="s">
        <v>37</v>
      </c>
      <c r="F759" t="s">
        <v>35</v>
      </c>
    </row>
    <row r="760" spans="4:6" x14ac:dyDescent="0.2">
      <c r="D760" t="s">
        <v>13</v>
      </c>
      <c r="F760" t="s">
        <v>31</v>
      </c>
    </row>
    <row r="761" spans="4:6" x14ac:dyDescent="0.2">
      <c r="D761" t="s">
        <v>34</v>
      </c>
      <c r="F761" t="s">
        <v>23</v>
      </c>
    </row>
    <row r="762" spans="4:6" x14ac:dyDescent="0.2">
      <c r="D762" t="s">
        <v>30</v>
      </c>
      <c r="F762" t="s">
        <v>16</v>
      </c>
    </row>
    <row r="763" spans="4:6" x14ac:dyDescent="0.2">
      <c r="D763" t="s">
        <v>21</v>
      </c>
      <c r="F763" t="s">
        <v>10</v>
      </c>
    </row>
    <row r="764" spans="4:6" x14ac:dyDescent="0.2">
      <c r="D764" t="s">
        <v>25</v>
      </c>
      <c r="F764" t="s">
        <v>24</v>
      </c>
    </row>
    <row r="765" spans="4:6" x14ac:dyDescent="0.2">
      <c r="D765" t="s">
        <v>18</v>
      </c>
      <c r="F765" t="s">
        <v>36</v>
      </c>
    </row>
    <row r="766" spans="4:6" x14ac:dyDescent="0.2">
      <c r="D766" t="s">
        <v>15</v>
      </c>
      <c r="F766" t="s">
        <v>27</v>
      </c>
    </row>
    <row r="767" spans="4:6" x14ac:dyDescent="0.2">
      <c r="D767" t="s">
        <v>28</v>
      </c>
      <c r="F767" t="s">
        <v>14</v>
      </c>
    </row>
    <row r="768" spans="4:6" x14ac:dyDescent="0.2">
      <c r="D768" t="s">
        <v>32</v>
      </c>
      <c r="F768" t="s">
        <v>55</v>
      </c>
    </row>
    <row r="769" spans="4:6" x14ac:dyDescent="0.2">
      <c r="D769" t="s">
        <v>17</v>
      </c>
      <c r="F769" t="s">
        <v>38</v>
      </c>
    </row>
    <row r="770" spans="4:6" x14ac:dyDescent="0.2">
      <c r="D770" t="s">
        <v>29</v>
      </c>
      <c r="F770" t="s">
        <v>20</v>
      </c>
    </row>
    <row r="771" spans="4:6" x14ac:dyDescent="0.2">
      <c r="D771" t="s">
        <v>19</v>
      </c>
      <c r="F771" t="s">
        <v>40</v>
      </c>
    </row>
    <row r="772" spans="4:6" x14ac:dyDescent="0.2">
      <c r="D772" t="s">
        <v>11</v>
      </c>
      <c r="F772" t="s">
        <v>22</v>
      </c>
    </row>
    <row r="773" spans="4:6" x14ac:dyDescent="0.2">
      <c r="D773" t="s">
        <v>37</v>
      </c>
      <c r="F773" t="s">
        <v>39</v>
      </c>
    </row>
    <row r="774" spans="4:6" x14ac:dyDescent="0.2">
      <c r="D774" t="s">
        <v>36</v>
      </c>
      <c r="F774" t="s">
        <v>26</v>
      </c>
    </row>
    <row r="775" spans="4:6" x14ac:dyDescent="0.2">
      <c r="D775" t="s">
        <v>35</v>
      </c>
      <c r="F775" t="s">
        <v>17</v>
      </c>
    </row>
    <row r="776" spans="4:6" x14ac:dyDescent="0.2">
      <c r="D776" t="s">
        <v>15</v>
      </c>
      <c r="F776" t="s">
        <v>31</v>
      </c>
    </row>
    <row r="777" spans="4:6" x14ac:dyDescent="0.2">
      <c r="D777" t="s">
        <v>23</v>
      </c>
      <c r="F777" t="s">
        <v>25</v>
      </c>
    </row>
    <row r="778" spans="4:6" x14ac:dyDescent="0.2">
      <c r="D778" t="s">
        <v>24</v>
      </c>
      <c r="F778" t="s">
        <v>16</v>
      </c>
    </row>
    <row r="779" spans="4:6" x14ac:dyDescent="0.2">
      <c r="D779" t="s">
        <v>40</v>
      </c>
      <c r="F779" t="s">
        <v>10</v>
      </c>
    </row>
    <row r="780" spans="4:6" x14ac:dyDescent="0.2">
      <c r="D780" t="s">
        <v>22</v>
      </c>
      <c r="F780" t="s">
        <v>12</v>
      </c>
    </row>
    <row r="781" spans="4:6" x14ac:dyDescent="0.2">
      <c r="D781" t="s">
        <v>33</v>
      </c>
      <c r="F781" t="s">
        <v>11</v>
      </c>
    </row>
    <row r="782" spans="4:6" x14ac:dyDescent="0.2">
      <c r="D782" t="s">
        <v>14</v>
      </c>
      <c r="F782" t="s">
        <v>32</v>
      </c>
    </row>
    <row r="783" spans="4:6" x14ac:dyDescent="0.2">
      <c r="D783" t="s">
        <v>34</v>
      </c>
      <c r="F783" t="s">
        <v>19</v>
      </c>
    </row>
    <row r="784" spans="4:6" x14ac:dyDescent="0.2">
      <c r="D784" t="s">
        <v>30</v>
      </c>
      <c r="F784" t="s">
        <v>38</v>
      </c>
    </row>
    <row r="785" spans="4:6" x14ac:dyDescent="0.2">
      <c r="D785" t="s">
        <v>27</v>
      </c>
      <c r="F785" t="s">
        <v>20</v>
      </c>
    </row>
    <row r="786" spans="4:6" x14ac:dyDescent="0.2">
      <c r="D786" t="s">
        <v>36</v>
      </c>
      <c r="F786" t="s">
        <v>28</v>
      </c>
    </row>
    <row r="787" spans="4:6" x14ac:dyDescent="0.2">
      <c r="D787" t="s">
        <v>21</v>
      </c>
      <c r="F787" t="s">
        <v>39</v>
      </c>
    </row>
    <row r="788" spans="4:6" x14ac:dyDescent="0.2">
      <c r="D788" t="s">
        <v>24</v>
      </c>
      <c r="F788" t="s">
        <v>17</v>
      </c>
    </row>
    <row r="789" spans="4:6" x14ac:dyDescent="0.2">
      <c r="D789" t="s">
        <v>15</v>
      </c>
      <c r="F789" t="s">
        <v>13</v>
      </c>
    </row>
    <row r="790" spans="4:6" x14ac:dyDescent="0.2">
      <c r="D790" t="s">
        <v>34</v>
      </c>
      <c r="F790" t="s">
        <v>18</v>
      </c>
    </row>
    <row r="791" spans="4:6" x14ac:dyDescent="0.2">
      <c r="D791" t="s">
        <v>23</v>
      </c>
      <c r="F791" t="s">
        <v>29</v>
      </c>
    </row>
    <row r="792" spans="4:6" x14ac:dyDescent="0.2">
      <c r="D792" t="s">
        <v>33</v>
      </c>
      <c r="F792" t="s">
        <v>37</v>
      </c>
    </row>
    <row r="793" spans="4:6" x14ac:dyDescent="0.2">
      <c r="D793" t="s">
        <v>35</v>
      </c>
      <c r="F793" t="s">
        <v>40</v>
      </c>
    </row>
    <row r="794" spans="4:6" x14ac:dyDescent="0.2">
      <c r="D794" t="s">
        <v>14</v>
      </c>
      <c r="F794" t="s">
        <v>16</v>
      </c>
    </row>
    <row r="795" spans="4:6" x14ac:dyDescent="0.2">
      <c r="D795" t="s">
        <v>31</v>
      </c>
      <c r="F795" t="s">
        <v>12</v>
      </c>
    </row>
    <row r="796" spans="4:6" x14ac:dyDescent="0.2">
      <c r="D796" t="s">
        <v>30</v>
      </c>
      <c r="F796" t="s">
        <v>32</v>
      </c>
    </row>
    <row r="797" spans="4:6" x14ac:dyDescent="0.2">
      <c r="D797" t="s">
        <v>26</v>
      </c>
      <c r="F797" t="s">
        <v>19</v>
      </c>
    </row>
    <row r="798" spans="4:6" x14ac:dyDescent="0.2">
      <c r="D798" t="s">
        <v>27</v>
      </c>
      <c r="F798" t="s">
        <v>55</v>
      </c>
    </row>
    <row r="799" spans="4:6" x14ac:dyDescent="0.2">
      <c r="D799" t="s">
        <v>22</v>
      </c>
      <c r="F799" t="s">
        <v>38</v>
      </c>
    </row>
    <row r="800" spans="4:6" x14ac:dyDescent="0.2">
      <c r="D800" t="s">
        <v>20</v>
      </c>
      <c r="F800" t="s">
        <v>21</v>
      </c>
    </row>
    <row r="801" spans="4:6" x14ac:dyDescent="0.2">
      <c r="D801" t="s">
        <v>10</v>
      </c>
      <c r="F801" t="s">
        <v>25</v>
      </c>
    </row>
    <row r="802" spans="4:6" x14ac:dyDescent="0.2">
      <c r="D802" t="s">
        <v>39</v>
      </c>
      <c r="F802" t="s">
        <v>28</v>
      </c>
    </row>
    <row r="803" spans="4:6" x14ac:dyDescent="0.2">
      <c r="D803" t="s">
        <v>14</v>
      </c>
      <c r="F803" t="s">
        <v>17</v>
      </c>
    </row>
    <row r="804" spans="4:6" x14ac:dyDescent="0.2">
      <c r="D804" t="s">
        <v>26</v>
      </c>
      <c r="F804" t="s">
        <v>34</v>
      </c>
    </row>
    <row r="805" spans="4:6" x14ac:dyDescent="0.2">
      <c r="D805" t="s">
        <v>23</v>
      </c>
      <c r="F805" t="s">
        <v>18</v>
      </c>
    </row>
    <row r="806" spans="4:6" x14ac:dyDescent="0.2">
      <c r="D806" t="s">
        <v>36</v>
      </c>
      <c r="F806" t="s">
        <v>29</v>
      </c>
    </row>
    <row r="807" spans="4:6" x14ac:dyDescent="0.2">
      <c r="D807" t="s">
        <v>11</v>
      </c>
      <c r="F807" t="s">
        <v>40</v>
      </c>
    </row>
    <row r="808" spans="4:6" x14ac:dyDescent="0.2">
      <c r="D808" t="s">
        <v>22</v>
      </c>
      <c r="F808" t="s">
        <v>16</v>
      </c>
    </row>
    <row r="809" spans="4:6" x14ac:dyDescent="0.2">
      <c r="D809" t="s">
        <v>37</v>
      </c>
      <c r="F809" t="s">
        <v>10</v>
      </c>
    </row>
    <row r="810" spans="4:6" x14ac:dyDescent="0.2">
      <c r="D810" t="s">
        <v>27</v>
      </c>
      <c r="F810" t="s">
        <v>12</v>
      </c>
    </row>
    <row r="811" spans="4:6" x14ac:dyDescent="0.2">
      <c r="D811" t="s">
        <v>35</v>
      </c>
      <c r="F811" t="s">
        <v>39</v>
      </c>
    </row>
    <row r="812" spans="4:6" x14ac:dyDescent="0.2">
      <c r="D812" t="s">
        <v>31</v>
      </c>
      <c r="F812" t="s">
        <v>32</v>
      </c>
    </row>
    <row r="813" spans="4:6" x14ac:dyDescent="0.2">
      <c r="D813" t="s">
        <v>15</v>
      </c>
      <c r="F813" t="s">
        <v>33</v>
      </c>
    </row>
    <row r="814" spans="4:6" x14ac:dyDescent="0.2">
      <c r="D814" t="s">
        <v>20</v>
      </c>
      <c r="F814" t="s">
        <v>19</v>
      </c>
    </row>
    <row r="815" spans="4:6" x14ac:dyDescent="0.2">
      <c r="D815" t="s">
        <v>24</v>
      </c>
      <c r="F815" t="s">
        <v>38</v>
      </c>
    </row>
    <row r="816" spans="4:6" x14ac:dyDescent="0.2">
      <c r="D816" t="s">
        <v>18</v>
      </c>
      <c r="F816" t="s">
        <v>21</v>
      </c>
    </row>
    <row r="817" spans="4:6" x14ac:dyDescent="0.2">
      <c r="D817" t="s">
        <v>37</v>
      </c>
      <c r="F817" t="s">
        <v>28</v>
      </c>
    </row>
    <row r="818" spans="4:6" x14ac:dyDescent="0.2">
      <c r="D818" t="s">
        <v>22</v>
      </c>
      <c r="F818" t="s">
        <v>17</v>
      </c>
    </row>
    <row r="819" spans="4:6" x14ac:dyDescent="0.2">
      <c r="D819" t="s">
        <v>11</v>
      </c>
      <c r="F819" t="s">
        <v>34</v>
      </c>
    </row>
    <row r="820" spans="4:6" x14ac:dyDescent="0.2">
      <c r="D820" t="s">
        <v>55</v>
      </c>
      <c r="F820" t="s">
        <v>29</v>
      </c>
    </row>
    <row r="821" spans="4:6" x14ac:dyDescent="0.2">
      <c r="D821" t="s">
        <v>23</v>
      </c>
      <c r="F821" t="s">
        <v>30</v>
      </c>
    </row>
    <row r="822" spans="4:6" x14ac:dyDescent="0.2">
      <c r="D822" t="s">
        <v>25</v>
      </c>
      <c r="F822" t="s">
        <v>36</v>
      </c>
    </row>
    <row r="823" spans="4:6" x14ac:dyDescent="0.2">
      <c r="D823" t="s">
        <v>13</v>
      </c>
      <c r="F823" t="s">
        <v>35</v>
      </c>
    </row>
    <row r="824" spans="4:6" x14ac:dyDescent="0.2">
      <c r="D824" t="s">
        <v>26</v>
      </c>
      <c r="F824" t="s">
        <v>40</v>
      </c>
    </row>
    <row r="825" spans="4:6" x14ac:dyDescent="0.2">
      <c r="D825" t="s">
        <v>31</v>
      </c>
      <c r="F825" t="s">
        <v>16</v>
      </c>
    </row>
    <row r="826" spans="4:6" x14ac:dyDescent="0.2">
      <c r="D826" t="s">
        <v>11</v>
      </c>
      <c r="F826" t="s">
        <v>10</v>
      </c>
    </row>
    <row r="827" spans="4:6" x14ac:dyDescent="0.2">
      <c r="D827" t="s">
        <v>20</v>
      </c>
      <c r="F827" t="s">
        <v>36</v>
      </c>
    </row>
    <row r="828" spans="4:6" x14ac:dyDescent="0.2">
      <c r="D828" t="s">
        <v>24</v>
      </c>
      <c r="F828" t="s">
        <v>32</v>
      </c>
    </row>
    <row r="829" spans="4:6" x14ac:dyDescent="0.2">
      <c r="D829" t="s">
        <v>12</v>
      </c>
      <c r="F829" t="s">
        <v>19</v>
      </c>
    </row>
    <row r="830" spans="4:6" x14ac:dyDescent="0.2">
      <c r="D830" t="s">
        <v>14</v>
      </c>
      <c r="F830" t="s">
        <v>38</v>
      </c>
    </row>
    <row r="831" spans="4:6" x14ac:dyDescent="0.2">
      <c r="D831" t="s">
        <v>13</v>
      </c>
      <c r="F831" t="s">
        <v>28</v>
      </c>
    </row>
    <row r="832" spans="4:6" x14ac:dyDescent="0.2">
      <c r="D832" t="s">
        <v>31</v>
      </c>
      <c r="F832" t="s">
        <v>17</v>
      </c>
    </row>
    <row r="833" spans="4:6" x14ac:dyDescent="0.2">
      <c r="D833" t="s">
        <v>21</v>
      </c>
      <c r="F833" t="s">
        <v>15</v>
      </c>
    </row>
    <row r="834" spans="4:6" x14ac:dyDescent="0.2">
      <c r="D834" t="s">
        <v>30</v>
      </c>
      <c r="F834" t="s">
        <v>27</v>
      </c>
    </row>
    <row r="835" spans="4:6" x14ac:dyDescent="0.2">
      <c r="D835" t="s">
        <v>55</v>
      </c>
      <c r="F835" t="s">
        <v>37</v>
      </c>
    </row>
    <row r="836" spans="4:6" x14ac:dyDescent="0.2">
      <c r="D836" t="s">
        <v>29</v>
      </c>
      <c r="F836" t="s">
        <v>21</v>
      </c>
    </row>
    <row r="837" spans="4:6" x14ac:dyDescent="0.2">
      <c r="D837" t="s">
        <v>13</v>
      </c>
      <c r="F837" t="s">
        <v>26</v>
      </c>
    </row>
    <row r="838" spans="4:6" x14ac:dyDescent="0.2">
      <c r="D838" t="s">
        <v>55</v>
      </c>
      <c r="F838" t="s">
        <v>11</v>
      </c>
    </row>
    <row r="839" spans="4:6" x14ac:dyDescent="0.2">
      <c r="D839" t="s">
        <v>10</v>
      </c>
      <c r="F839" t="s">
        <v>34</v>
      </c>
    </row>
    <row r="840" spans="4:6" x14ac:dyDescent="0.2">
      <c r="D840" t="s">
        <v>20</v>
      </c>
      <c r="F840" t="s">
        <v>18</v>
      </c>
    </row>
    <row r="841" spans="4:6" x14ac:dyDescent="0.2">
      <c r="D841" t="s">
        <v>40</v>
      </c>
      <c r="F841" t="s">
        <v>24</v>
      </c>
    </row>
    <row r="842" spans="4:6" x14ac:dyDescent="0.2">
      <c r="D842" t="s">
        <v>22</v>
      </c>
      <c r="F842" t="s">
        <v>32</v>
      </c>
    </row>
    <row r="843" spans="4:6" x14ac:dyDescent="0.2">
      <c r="D843" t="s">
        <v>39</v>
      </c>
      <c r="F843" t="s">
        <v>35</v>
      </c>
    </row>
    <row r="844" spans="4:6" x14ac:dyDescent="0.2">
      <c r="D844" t="s">
        <v>23</v>
      </c>
      <c r="F844" t="s">
        <v>19</v>
      </c>
    </row>
    <row r="845" spans="4:6" x14ac:dyDescent="0.2">
      <c r="D845" t="s">
        <v>33</v>
      </c>
      <c r="F845" t="s">
        <v>38</v>
      </c>
    </row>
    <row r="846" spans="4:6" x14ac:dyDescent="0.2">
      <c r="D846" t="s">
        <v>27</v>
      </c>
      <c r="F846" t="s">
        <v>28</v>
      </c>
    </row>
    <row r="847" spans="4:6" x14ac:dyDescent="0.2">
      <c r="D847" t="s">
        <v>15</v>
      </c>
      <c r="F847" t="s">
        <v>30</v>
      </c>
    </row>
    <row r="848" spans="4:6" x14ac:dyDescent="0.2">
      <c r="D848" t="s">
        <v>12</v>
      </c>
      <c r="F848" t="s">
        <v>36</v>
      </c>
    </row>
    <row r="849" spans="4:6" x14ac:dyDescent="0.2">
      <c r="D849" t="s">
        <v>27</v>
      </c>
      <c r="F849" t="s">
        <v>21</v>
      </c>
    </row>
    <row r="850" spans="4:6" x14ac:dyDescent="0.2">
      <c r="D850" t="s">
        <v>13</v>
      </c>
      <c r="F850" t="s">
        <v>23</v>
      </c>
    </row>
    <row r="851" spans="4:6" x14ac:dyDescent="0.2">
      <c r="D851" t="s">
        <v>55</v>
      </c>
      <c r="F851" t="s">
        <v>25</v>
      </c>
    </row>
    <row r="852" spans="4:6" x14ac:dyDescent="0.2">
      <c r="D852" t="s">
        <v>22</v>
      </c>
      <c r="F852" t="s">
        <v>26</v>
      </c>
    </row>
    <row r="853" spans="4:6" x14ac:dyDescent="0.2">
      <c r="D853" t="s">
        <v>33</v>
      </c>
      <c r="F853" t="s">
        <v>17</v>
      </c>
    </row>
    <row r="854" spans="4:6" x14ac:dyDescent="0.2">
      <c r="D854" t="s">
        <v>16</v>
      </c>
      <c r="F854" t="s">
        <v>34</v>
      </c>
    </row>
    <row r="855" spans="4:6" x14ac:dyDescent="0.2">
      <c r="D855" t="s">
        <v>12</v>
      </c>
      <c r="F855" t="s">
        <v>18</v>
      </c>
    </row>
    <row r="856" spans="4:6" x14ac:dyDescent="0.2">
      <c r="D856" t="s">
        <v>29</v>
      </c>
      <c r="F856" t="s">
        <v>24</v>
      </c>
    </row>
    <row r="857" spans="4:6" x14ac:dyDescent="0.2">
      <c r="D857" t="s">
        <v>30</v>
      </c>
      <c r="F857" t="s">
        <v>15</v>
      </c>
    </row>
    <row r="858" spans="4:6" x14ac:dyDescent="0.2">
      <c r="D858" t="s">
        <v>10</v>
      </c>
      <c r="F858" t="s">
        <v>14</v>
      </c>
    </row>
    <row r="859" spans="4:6" x14ac:dyDescent="0.2">
      <c r="D859" t="s">
        <v>19</v>
      </c>
      <c r="F859" t="s">
        <v>32</v>
      </c>
    </row>
    <row r="860" spans="4:6" x14ac:dyDescent="0.2">
      <c r="D860" t="s">
        <v>11</v>
      </c>
      <c r="F860" t="s">
        <v>35</v>
      </c>
    </row>
    <row r="861" spans="4:6" x14ac:dyDescent="0.2">
      <c r="D861" t="s">
        <v>40</v>
      </c>
      <c r="F861" t="s">
        <v>37</v>
      </c>
    </row>
    <row r="862" spans="4:6" x14ac:dyDescent="0.2">
      <c r="D862" t="s">
        <v>31</v>
      </c>
      <c r="F862" t="s">
        <v>38</v>
      </c>
    </row>
    <row r="863" spans="4:6" x14ac:dyDescent="0.2">
      <c r="D863" t="s">
        <v>39</v>
      </c>
      <c r="F863" t="s">
        <v>20</v>
      </c>
    </row>
    <row r="864" spans="4:6" x14ac:dyDescent="0.2">
      <c r="D864" t="s">
        <v>28</v>
      </c>
      <c r="F864" t="s">
        <v>10</v>
      </c>
    </row>
    <row r="865" spans="4:6" x14ac:dyDescent="0.2">
      <c r="D865" t="s">
        <v>18</v>
      </c>
      <c r="F865" t="s">
        <v>23</v>
      </c>
    </row>
    <row r="866" spans="4:6" x14ac:dyDescent="0.2">
      <c r="D866" t="s">
        <v>33</v>
      </c>
      <c r="F866" t="s">
        <v>16</v>
      </c>
    </row>
    <row r="867" spans="4:6" x14ac:dyDescent="0.2">
      <c r="D867" t="s">
        <v>12</v>
      </c>
      <c r="F867" t="s">
        <v>26</v>
      </c>
    </row>
    <row r="868" spans="4:6" x14ac:dyDescent="0.2">
      <c r="D868" t="s">
        <v>34</v>
      </c>
      <c r="F868" t="s">
        <v>17</v>
      </c>
    </row>
    <row r="869" spans="4:6" x14ac:dyDescent="0.2">
      <c r="D869" t="s">
        <v>40</v>
      </c>
      <c r="F869" t="s">
        <v>11</v>
      </c>
    </row>
    <row r="870" spans="4:6" x14ac:dyDescent="0.2">
      <c r="D870" t="s">
        <v>29</v>
      </c>
      <c r="F870" t="s">
        <v>30</v>
      </c>
    </row>
    <row r="871" spans="4:6" x14ac:dyDescent="0.2">
      <c r="D871" t="s">
        <v>24</v>
      </c>
      <c r="F871" t="s">
        <v>36</v>
      </c>
    </row>
    <row r="872" spans="4:6" x14ac:dyDescent="0.2">
      <c r="D872" t="s">
        <v>13</v>
      </c>
      <c r="F872" t="s">
        <v>27</v>
      </c>
    </row>
    <row r="873" spans="4:6" x14ac:dyDescent="0.2">
      <c r="D873" t="s">
        <v>15</v>
      </c>
      <c r="F873" t="s">
        <v>14</v>
      </c>
    </row>
    <row r="874" spans="4:6" x14ac:dyDescent="0.2">
      <c r="D874" t="s">
        <v>28</v>
      </c>
      <c r="F874" t="s">
        <v>35</v>
      </c>
    </row>
    <row r="875" spans="4:6" x14ac:dyDescent="0.2">
      <c r="D875" t="s">
        <v>39</v>
      </c>
      <c r="F875" t="s">
        <v>55</v>
      </c>
    </row>
    <row r="876" spans="4:6" x14ac:dyDescent="0.2">
      <c r="D876" t="s">
        <v>19</v>
      </c>
      <c r="F876" t="s">
        <v>38</v>
      </c>
    </row>
    <row r="877" spans="4:6" x14ac:dyDescent="0.2">
      <c r="D877" t="s">
        <v>32</v>
      </c>
      <c r="F877" t="s">
        <v>20</v>
      </c>
    </row>
    <row r="878" spans="4:6" x14ac:dyDescent="0.2">
      <c r="D878" t="s">
        <v>25</v>
      </c>
      <c r="F878" t="s">
        <v>22</v>
      </c>
    </row>
    <row r="879" spans="4:6" x14ac:dyDescent="0.2">
      <c r="D879" t="s">
        <v>20</v>
      </c>
      <c r="F879" t="s">
        <v>31</v>
      </c>
    </row>
    <row r="880" spans="4:6" x14ac:dyDescent="0.2">
      <c r="D880" t="s">
        <v>13</v>
      </c>
      <c r="F880" t="s">
        <v>25</v>
      </c>
    </row>
    <row r="881" spans="4:6" x14ac:dyDescent="0.2">
      <c r="D881" t="s">
        <v>21</v>
      </c>
      <c r="F881" t="s">
        <v>37</v>
      </c>
    </row>
    <row r="882" spans="4:6" x14ac:dyDescent="0.2">
      <c r="D882" t="s">
        <v>19</v>
      </c>
      <c r="F882" t="s">
        <v>16</v>
      </c>
    </row>
    <row r="883" spans="4:6" x14ac:dyDescent="0.2">
      <c r="D883" t="s">
        <v>33</v>
      </c>
      <c r="F883" t="s">
        <v>10</v>
      </c>
    </row>
    <row r="884" spans="4:6" x14ac:dyDescent="0.2">
      <c r="D884" t="s">
        <v>26</v>
      </c>
      <c r="F884" t="s">
        <v>12</v>
      </c>
    </row>
    <row r="885" spans="4:6" x14ac:dyDescent="0.2">
      <c r="D885" t="s">
        <v>40</v>
      </c>
      <c r="F885" t="s">
        <v>39</v>
      </c>
    </row>
    <row r="886" spans="4:6" x14ac:dyDescent="0.2">
      <c r="D886" t="s">
        <v>23</v>
      </c>
      <c r="F886" t="s">
        <v>11</v>
      </c>
    </row>
    <row r="887" spans="4:6" x14ac:dyDescent="0.2">
      <c r="D887" t="s">
        <v>18</v>
      </c>
      <c r="F887" t="s">
        <v>34</v>
      </c>
    </row>
    <row r="888" spans="4:6" x14ac:dyDescent="0.2">
      <c r="D888" t="s">
        <v>35</v>
      </c>
      <c r="F888" t="s">
        <v>29</v>
      </c>
    </row>
    <row r="889" spans="4:6" x14ac:dyDescent="0.2">
      <c r="D889" t="s">
        <v>36</v>
      </c>
      <c r="F889" t="s">
        <v>14</v>
      </c>
    </row>
    <row r="890" spans="4:6" x14ac:dyDescent="0.2">
      <c r="D890" t="s">
        <v>38</v>
      </c>
      <c r="F890" t="s">
        <v>55</v>
      </c>
    </row>
    <row r="891" spans="4:6" x14ac:dyDescent="0.2">
      <c r="D891" t="s">
        <v>30</v>
      </c>
      <c r="F891" t="s">
        <v>22</v>
      </c>
    </row>
    <row r="892" spans="4:6" x14ac:dyDescent="0.2">
      <c r="D892" t="s">
        <v>32</v>
      </c>
      <c r="F892" t="s">
        <v>31</v>
      </c>
    </row>
    <row r="893" spans="4:6" x14ac:dyDescent="0.2">
      <c r="D893" t="s">
        <v>36</v>
      </c>
      <c r="F893" t="s">
        <v>25</v>
      </c>
    </row>
    <row r="894" spans="4:6" x14ac:dyDescent="0.2">
      <c r="D894" t="s">
        <v>19</v>
      </c>
      <c r="F894" t="s">
        <v>17</v>
      </c>
    </row>
    <row r="895" spans="4:6" x14ac:dyDescent="0.2">
      <c r="D895" t="s">
        <v>28</v>
      </c>
      <c r="F895" t="s">
        <v>24</v>
      </c>
    </row>
    <row r="896" spans="4:6" x14ac:dyDescent="0.2">
      <c r="D896" t="s">
        <v>14</v>
      </c>
      <c r="F896" t="s">
        <v>30</v>
      </c>
    </row>
    <row r="897" spans="4:6" x14ac:dyDescent="0.2">
      <c r="D897" t="s">
        <v>22</v>
      </c>
      <c r="F897" t="s">
        <v>27</v>
      </c>
    </row>
    <row r="898" spans="4:6" x14ac:dyDescent="0.2">
      <c r="D898" t="s">
        <v>23</v>
      </c>
      <c r="F898" t="s">
        <v>37</v>
      </c>
    </row>
    <row r="899" spans="4:6" x14ac:dyDescent="0.2">
      <c r="D899" t="s">
        <v>10</v>
      </c>
      <c r="F899" t="s">
        <v>28</v>
      </c>
    </row>
    <row r="900" spans="4:6" x14ac:dyDescent="0.2">
      <c r="D900" t="s">
        <v>17</v>
      </c>
      <c r="F900" t="s">
        <v>16</v>
      </c>
    </row>
    <row r="901" spans="4:6" x14ac:dyDescent="0.2">
      <c r="D901" t="s">
        <v>33</v>
      </c>
      <c r="F901" t="s">
        <v>12</v>
      </c>
    </row>
    <row r="902" spans="4:6" x14ac:dyDescent="0.2">
      <c r="D902" t="s">
        <v>35</v>
      </c>
      <c r="F902" t="s">
        <v>39</v>
      </c>
    </row>
    <row r="903" spans="4:6" x14ac:dyDescent="0.2">
      <c r="D903" t="s">
        <v>21</v>
      </c>
      <c r="F903" t="s">
        <v>11</v>
      </c>
    </row>
    <row r="904" spans="4:6" x14ac:dyDescent="0.2">
      <c r="D904" t="s">
        <v>32</v>
      </c>
      <c r="F904" t="s">
        <v>13</v>
      </c>
    </row>
    <row r="905" spans="4:6" x14ac:dyDescent="0.2">
      <c r="D905" t="s">
        <v>34</v>
      </c>
      <c r="F905" t="s">
        <v>29</v>
      </c>
    </row>
    <row r="906" spans="4:6" x14ac:dyDescent="0.2">
      <c r="D906" t="s">
        <v>26</v>
      </c>
      <c r="F906" t="s">
        <v>55</v>
      </c>
    </row>
    <row r="907" spans="4:6" x14ac:dyDescent="0.2">
      <c r="D907" t="s">
        <v>38</v>
      </c>
      <c r="F907" t="s">
        <v>20</v>
      </c>
    </row>
    <row r="908" spans="4:6" x14ac:dyDescent="0.2">
      <c r="D908" t="s">
        <v>18</v>
      </c>
      <c r="F908" t="s">
        <v>40</v>
      </c>
    </row>
    <row r="909" spans="4:6" x14ac:dyDescent="0.2">
      <c r="D909" t="s">
        <v>14</v>
      </c>
      <c r="F909" t="s">
        <v>23</v>
      </c>
    </row>
    <row r="910" spans="4:6" x14ac:dyDescent="0.2">
      <c r="D910" t="s">
        <v>30</v>
      </c>
      <c r="F910" t="s">
        <v>24</v>
      </c>
    </row>
    <row r="911" spans="4:6" x14ac:dyDescent="0.2">
      <c r="D911" t="s">
        <v>25</v>
      </c>
      <c r="F911" t="s">
        <v>15</v>
      </c>
    </row>
    <row r="912" spans="4:6" x14ac:dyDescent="0.2">
      <c r="D912" t="s">
        <v>36</v>
      </c>
      <c r="F912" t="s">
        <v>27</v>
      </c>
    </row>
    <row r="913" spans="4:6" x14ac:dyDescent="0.2">
      <c r="D913" t="s">
        <v>11</v>
      </c>
      <c r="F913" t="s">
        <v>37</v>
      </c>
    </row>
    <row r="914" spans="4:6" x14ac:dyDescent="0.2">
      <c r="D914" t="s">
        <v>13</v>
      </c>
      <c r="F914" t="s">
        <v>20</v>
      </c>
    </row>
    <row r="915" spans="4:6" x14ac:dyDescent="0.2">
      <c r="D915" t="s">
        <v>29</v>
      </c>
      <c r="F915" t="s">
        <v>22</v>
      </c>
    </row>
    <row r="916" spans="4:6" x14ac:dyDescent="0.2">
      <c r="D916" t="s">
        <v>17</v>
      </c>
      <c r="F916" t="s">
        <v>31</v>
      </c>
    </row>
    <row r="917" spans="4:6" x14ac:dyDescent="0.2">
      <c r="D917" t="s">
        <v>32</v>
      </c>
      <c r="F917" t="s">
        <v>39</v>
      </c>
    </row>
    <row r="918" spans="4:6" x14ac:dyDescent="0.2">
      <c r="D918" t="s">
        <v>20</v>
      </c>
      <c r="F918" t="s">
        <v>13</v>
      </c>
    </row>
    <row r="919" spans="4:6" x14ac:dyDescent="0.2">
      <c r="D919" t="s">
        <v>23</v>
      </c>
      <c r="F919" t="s">
        <v>24</v>
      </c>
    </row>
    <row r="920" spans="4:6" x14ac:dyDescent="0.2">
      <c r="D920" t="s">
        <v>19</v>
      </c>
      <c r="F920" t="s">
        <v>37</v>
      </c>
    </row>
    <row r="921" spans="4:6" x14ac:dyDescent="0.2">
      <c r="D921" t="s">
        <v>12</v>
      </c>
      <c r="F921" t="s">
        <v>55</v>
      </c>
    </row>
    <row r="922" spans="4:6" x14ac:dyDescent="0.2">
      <c r="D922" t="s">
        <v>40</v>
      </c>
      <c r="F922" t="s">
        <v>38</v>
      </c>
    </row>
    <row r="923" spans="4:6" x14ac:dyDescent="0.2">
      <c r="D923" t="s">
        <v>27</v>
      </c>
      <c r="F923" t="s">
        <v>22</v>
      </c>
    </row>
    <row r="924" spans="4:6" x14ac:dyDescent="0.2">
      <c r="D924" t="s">
        <v>28</v>
      </c>
      <c r="F924" t="s">
        <v>21</v>
      </c>
    </row>
    <row r="925" spans="4:6" x14ac:dyDescent="0.2">
      <c r="D925" t="s">
        <v>37</v>
      </c>
      <c r="F925" t="s">
        <v>25</v>
      </c>
    </row>
    <row r="926" spans="4:6" x14ac:dyDescent="0.2">
      <c r="D926" t="s">
        <v>34</v>
      </c>
      <c r="F926" t="s">
        <v>12</v>
      </c>
    </row>
    <row r="927" spans="4:6" x14ac:dyDescent="0.2">
      <c r="D927" t="s">
        <v>19</v>
      </c>
      <c r="F927" t="s">
        <v>11</v>
      </c>
    </row>
    <row r="928" spans="4:6" x14ac:dyDescent="0.2">
      <c r="D928" t="s">
        <v>17</v>
      </c>
      <c r="F928" t="s">
        <v>13</v>
      </c>
    </row>
    <row r="929" spans="4:6" x14ac:dyDescent="0.2">
      <c r="D929" t="s">
        <v>30</v>
      </c>
      <c r="F929" t="s">
        <v>18</v>
      </c>
    </row>
    <row r="930" spans="4:6" x14ac:dyDescent="0.2">
      <c r="D930" t="s">
        <v>10</v>
      </c>
      <c r="F930" t="s">
        <v>29</v>
      </c>
    </row>
    <row r="931" spans="4:6" x14ac:dyDescent="0.2">
      <c r="D931" t="s">
        <v>27</v>
      </c>
      <c r="F931" t="s">
        <v>15</v>
      </c>
    </row>
    <row r="932" spans="4:6" x14ac:dyDescent="0.2">
      <c r="D932" t="s">
        <v>26</v>
      </c>
      <c r="F932" t="s">
        <v>36</v>
      </c>
    </row>
    <row r="933" spans="4:6" x14ac:dyDescent="0.2">
      <c r="D933" t="s">
        <v>24</v>
      </c>
      <c r="F933" t="s">
        <v>14</v>
      </c>
    </row>
    <row r="934" spans="4:6" x14ac:dyDescent="0.2">
      <c r="D934" t="s">
        <v>16</v>
      </c>
      <c r="F934" t="s">
        <v>33</v>
      </c>
    </row>
    <row r="935" spans="4:6" x14ac:dyDescent="0.2">
      <c r="D935" t="s">
        <v>32</v>
      </c>
      <c r="F935" t="s">
        <v>35</v>
      </c>
    </row>
    <row r="936" spans="4:6" x14ac:dyDescent="0.2">
      <c r="D936" t="s">
        <v>40</v>
      </c>
      <c r="F936" t="s">
        <v>31</v>
      </c>
    </row>
    <row r="937" spans="4:6" x14ac:dyDescent="0.2">
      <c r="D937" t="s">
        <v>23</v>
      </c>
      <c r="F937" t="s">
        <v>11</v>
      </c>
    </row>
    <row r="938" spans="4:6" x14ac:dyDescent="0.2">
      <c r="D938" t="s">
        <v>34</v>
      </c>
      <c r="F938" t="s">
        <v>55</v>
      </c>
    </row>
    <row r="939" spans="4:6" x14ac:dyDescent="0.2">
      <c r="D939" t="s">
        <v>20</v>
      </c>
      <c r="F939" t="s">
        <v>22</v>
      </c>
    </row>
    <row r="940" spans="4:6" x14ac:dyDescent="0.2">
      <c r="D940" t="s">
        <v>26</v>
      </c>
      <c r="F940" t="s">
        <v>25</v>
      </c>
    </row>
    <row r="941" spans="4:6" x14ac:dyDescent="0.2">
      <c r="D941" t="s">
        <v>30</v>
      </c>
      <c r="F941" t="s">
        <v>28</v>
      </c>
    </row>
    <row r="942" spans="4:6" x14ac:dyDescent="0.2">
      <c r="D942" t="s">
        <v>10</v>
      </c>
      <c r="F942" t="s">
        <v>12</v>
      </c>
    </row>
    <row r="943" spans="4:6" x14ac:dyDescent="0.2">
      <c r="D943" t="s">
        <v>29</v>
      </c>
      <c r="F943" t="s">
        <v>39</v>
      </c>
    </row>
    <row r="944" spans="4:6" x14ac:dyDescent="0.2">
      <c r="D944" t="s">
        <v>16</v>
      </c>
      <c r="F944" t="s">
        <v>13</v>
      </c>
    </row>
    <row r="945" spans="4:6" x14ac:dyDescent="0.2">
      <c r="D945" t="s">
        <v>22</v>
      </c>
      <c r="F945" t="s">
        <v>18</v>
      </c>
    </row>
    <row r="946" spans="4:6" x14ac:dyDescent="0.2">
      <c r="D946" t="s">
        <v>14</v>
      </c>
      <c r="F946" t="s">
        <v>15</v>
      </c>
    </row>
    <row r="947" spans="4:6" x14ac:dyDescent="0.2">
      <c r="D947" t="s">
        <v>21</v>
      </c>
      <c r="F947" t="s">
        <v>27</v>
      </c>
    </row>
    <row r="948" spans="4:6" x14ac:dyDescent="0.2">
      <c r="D948" t="s">
        <v>38</v>
      </c>
      <c r="F948" t="s">
        <v>32</v>
      </c>
    </row>
    <row r="949" spans="4:6" x14ac:dyDescent="0.2">
      <c r="D949" t="s">
        <v>17</v>
      </c>
      <c r="F949" t="s">
        <v>33</v>
      </c>
    </row>
    <row r="950" spans="4:6" x14ac:dyDescent="0.2">
      <c r="D950" t="s">
        <v>24</v>
      </c>
      <c r="F950" t="s">
        <v>35</v>
      </c>
    </row>
    <row r="951" spans="4:6" x14ac:dyDescent="0.2">
      <c r="D951" t="s">
        <v>23</v>
      </c>
      <c r="F951" t="s">
        <v>37</v>
      </c>
    </row>
    <row r="952" spans="4:6" x14ac:dyDescent="0.2">
      <c r="D952" t="s">
        <v>36</v>
      </c>
      <c r="F952" t="s">
        <v>19</v>
      </c>
    </row>
    <row r="953" spans="4:6" x14ac:dyDescent="0.2">
      <c r="D953" t="s">
        <v>16</v>
      </c>
      <c r="F953" t="s">
        <v>31</v>
      </c>
    </row>
    <row r="954" spans="4:6" x14ac:dyDescent="0.2">
      <c r="D954" t="s">
        <v>35</v>
      </c>
      <c r="F954" t="s">
        <v>34</v>
      </c>
    </row>
    <row r="955" spans="4:6" x14ac:dyDescent="0.2">
      <c r="D955" t="s">
        <v>11</v>
      </c>
      <c r="F955" t="s">
        <v>30</v>
      </c>
    </row>
    <row r="956" spans="4:6" x14ac:dyDescent="0.2">
      <c r="D956" t="s">
        <v>20</v>
      </c>
      <c r="F956" t="s">
        <v>14</v>
      </c>
    </row>
    <row r="957" spans="4:6" x14ac:dyDescent="0.2">
      <c r="D957" t="s">
        <v>40</v>
      </c>
      <c r="F957" t="s">
        <v>33</v>
      </c>
    </row>
    <row r="958" spans="4:6" x14ac:dyDescent="0.2">
      <c r="D958" t="s">
        <v>10</v>
      </c>
      <c r="F958" t="s">
        <v>55</v>
      </c>
    </row>
    <row r="959" spans="4:6" x14ac:dyDescent="0.2">
      <c r="D959" t="s">
        <v>12</v>
      </c>
      <c r="F959" t="s">
        <v>13</v>
      </c>
    </row>
    <row r="960" spans="4:6" x14ac:dyDescent="0.2">
      <c r="D960" t="s">
        <v>26</v>
      </c>
      <c r="F960" t="s">
        <v>29</v>
      </c>
    </row>
    <row r="961" spans="4:6" x14ac:dyDescent="0.2">
      <c r="D961" t="s">
        <v>28</v>
      </c>
      <c r="F961" t="s">
        <v>15</v>
      </c>
    </row>
    <row r="962" spans="4:6" x14ac:dyDescent="0.2">
      <c r="D962" t="s">
        <v>25</v>
      </c>
      <c r="F962" t="s">
        <v>32</v>
      </c>
    </row>
    <row r="963" spans="4:6" x14ac:dyDescent="0.2">
      <c r="D963" t="s">
        <v>27</v>
      </c>
      <c r="F963" t="s">
        <v>19</v>
      </c>
    </row>
    <row r="964" spans="4:6" x14ac:dyDescent="0.2">
      <c r="D964" t="s">
        <v>39</v>
      </c>
      <c r="F964" t="s">
        <v>38</v>
      </c>
    </row>
    <row r="965" spans="4:6" x14ac:dyDescent="0.2">
      <c r="D965" t="s">
        <v>12</v>
      </c>
      <c r="F965" t="s">
        <v>31</v>
      </c>
    </row>
    <row r="966" spans="4:6" x14ac:dyDescent="0.2">
      <c r="D966" t="s">
        <v>14</v>
      </c>
      <c r="F966" t="s">
        <v>21</v>
      </c>
    </row>
    <row r="967" spans="4:6" x14ac:dyDescent="0.2">
      <c r="D967" t="s">
        <v>20</v>
      </c>
      <c r="F967" t="s">
        <v>23</v>
      </c>
    </row>
    <row r="968" spans="4:6" x14ac:dyDescent="0.2">
      <c r="D968" t="s">
        <v>29</v>
      </c>
      <c r="F968" t="s">
        <v>28</v>
      </c>
    </row>
    <row r="969" spans="4:6" x14ac:dyDescent="0.2">
      <c r="D969" t="s">
        <v>39</v>
      </c>
      <c r="F969" t="s">
        <v>16</v>
      </c>
    </row>
    <row r="970" spans="4:6" x14ac:dyDescent="0.2">
      <c r="D970" t="s">
        <v>36</v>
      </c>
      <c r="F970" t="s">
        <v>17</v>
      </c>
    </row>
    <row r="971" spans="4:6" x14ac:dyDescent="0.2">
      <c r="D971" t="s">
        <v>37</v>
      </c>
      <c r="F971" t="s">
        <v>34</v>
      </c>
    </row>
    <row r="972" spans="4:6" x14ac:dyDescent="0.2">
      <c r="D972" t="s">
        <v>11</v>
      </c>
      <c r="F972" t="s">
        <v>24</v>
      </c>
    </row>
    <row r="973" spans="4:6" x14ac:dyDescent="0.2">
      <c r="D973" t="s">
        <v>18</v>
      </c>
      <c r="F973" t="s">
        <v>33</v>
      </c>
    </row>
    <row r="974" spans="4:6" x14ac:dyDescent="0.2">
      <c r="D974" t="s">
        <v>10</v>
      </c>
      <c r="F974" t="s">
        <v>40</v>
      </c>
    </row>
    <row r="975" spans="4:6" x14ac:dyDescent="0.2">
      <c r="D975" t="s">
        <v>55</v>
      </c>
      <c r="F975" t="s">
        <v>22</v>
      </c>
    </row>
    <row r="976" spans="4:6" x14ac:dyDescent="0.2">
      <c r="D976" t="s">
        <v>30</v>
      </c>
      <c r="F976" t="s">
        <v>31</v>
      </c>
    </row>
    <row r="977" spans="4:6" x14ac:dyDescent="0.2">
      <c r="D977" t="s">
        <v>20</v>
      </c>
      <c r="F977" t="s">
        <v>26</v>
      </c>
    </row>
    <row r="978" spans="4:6" x14ac:dyDescent="0.2">
      <c r="D978" t="s">
        <v>19</v>
      </c>
      <c r="F978" t="s">
        <v>24</v>
      </c>
    </row>
    <row r="979" spans="4:6" x14ac:dyDescent="0.2">
      <c r="D979" t="s">
        <v>35</v>
      </c>
      <c r="F979" t="s">
        <v>32</v>
      </c>
    </row>
    <row r="980" spans="4:6" x14ac:dyDescent="0.2">
      <c r="D980" t="s">
        <v>25</v>
      </c>
      <c r="F980" t="s">
        <v>38</v>
      </c>
    </row>
    <row r="981" spans="4:6" x14ac:dyDescent="0.2">
      <c r="D981" t="s">
        <v>11</v>
      </c>
      <c r="F981" t="s">
        <v>28</v>
      </c>
    </row>
    <row r="982" spans="4:6" x14ac:dyDescent="0.2">
      <c r="D982" t="s">
        <v>36</v>
      </c>
      <c r="F982" t="s">
        <v>16</v>
      </c>
    </row>
    <row r="983" spans="4:6" x14ac:dyDescent="0.2">
      <c r="D983" t="s">
        <v>30</v>
      </c>
      <c r="F983" t="s">
        <v>13</v>
      </c>
    </row>
    <row r="984" spans="4:6" x14ac:dyDescent="0.2">
      <c r="D984" t="s">
        <v>21</v>
      </c>
      <c r="F984" t="s">
        <v>29</v>
      </c>
    </row>
    <row r="985" spans="4:6" x14ac:dyDescent="0.2">
      <c r="D985" t="s">
        <v>19</v>
      </c>
      <c r="F985" t="s">
        <v>15</v>
      </c>
    </row>
    <row r="986" spans="4:6" x14ac:dyDescent="0.2">
      <c r="D986" t="s">
        <v>55</v>
      </c>
      <c r="F986" t="s">
        <v>27</v>
      </c>
    </row>
    <row r="987" spans="4:6" x14ac:dyDescent="0.2">
      <c r="D987" t="s">
        <v>23</v>
      </c>
      <c r="F987" t="s">
        <v>14</v>
      </c>
    </row>
    <row r="988" spans="4:6" x14ac:dyDescent="0.2">
      <c r="D988" t="s">
        <v>37</v>
      </c>
      <c r="F988" t="s">
        <v>40</v>
      </c>
    </row>
    <row r="989" spans="4:6" x14ac:dyDescent="0.2">
      <c r="D989" t="s">
        <v>18</v>
      </c>
      <c r="F989" t="s">
        <v>31</v>
      </c>
    </row>
    <row r="990" spans="4:6" x14ac:dyDescent="0.2">
      <c r="D990" t="s">
        <v>38</v>
      </c>
      <c r="F990" t="s">
        <v>10</v>
      </c>
    </row>
    <row r="991" spans="4:6" x14ac:dyDescent="0.2">
      <c r="D991" t="s">
        <v>12</v>
      </c>
      <c r="F991" t="s">
        <v>39</v>
      </c>
    </row>
    <row r="992" spans="4:6" x14ac:dyDescent="0.2">
      <c r="D992" t="s">
        <v>11</v>
      </c>
      <c r="F992" t="s">
        <v>26</v>
      </c>
    </row>
    <row r="993" spans="4:6" x14ac:dyDescent="0.2">
      <c r="D993" t="s">
        <v>25</v>
      </c>
      <c r="F993" t="s">
        <v>17</v>
      </c>
    </row>
    <row r="994" spans="4:6" x14ac:dyDescent="0.2">
      <c r="D994" t="s">
        <v>35</v>
      </c>
      <c r="F994" t="s">
        <v>33</v>
      </c>
    </row>
    <row r="995" spans="4:6" x14ac:dyDescent="0.2">
      <c r="D995" t="s">
        <v>34</v>
      </c>
      <c r="F995" t="s">
        <v>20</v>
      </c>
    </row>
    <row r="996" spans="4:6" x14ac:dyDescent="0.2">
      <c r="D996" t="s">
        <v>22</v>
      </c>
      <c r="F996" t="s">
        <v>21</v>
      </c>
    </row>
    <row r="997" spans="4:6" x14ac:dyDescent="0.2">
      <c r="D997" t="s">
        <v>29</v>
      </c>
      <c r="F997" t="s">
        <v>23</v>
      </c>
    </row>
    <row r="998" spans="4:6" x14ac:dyDescent="0.2">
      <c r="D998" t="s">
        <v>55</v>
      </c>
      <c r="F998" t="s">
        <v>28</v>
      </c>
    </row>
    <row r="999" spans="4:6" x14ac:dyDescent="0.2">
      <c r="D999" t="s">
        <v>25</v>
      </c>
      <c r="F999" t="s">
        <v>16</v>
      </c>
    </row>
    <row r="1000" spans="4:6" x14ac:dyDescent="0.2">
      <c r="D1000" t="s">
        <v>18</v>
      </c>
      <c r="F1000" t="s">
        <v>13</v>
      </c>
    </row>
    <row r="1001" spans="4:6" x14ac:dyDescent="0.2">
      <c r="D1001" t="s">
        <v>15</v>
      </c>
      <c r="F1001" t="s">
        <v>24</v>
      </c>
    </row>
    <row r="1002" spans="4:6" x14ac:dyDescent="0.2">
      <c r="D1002" t="s">
        <v>27</v>
      </c>
      <c r="F1002" t="s">
        <v>14</v>
      </c>
    </row>
    <row r="1003" spans="4:6" x14ac:dyDescent="0.2">
      <c r="D1003" t="s">
        <v>36</v>
      </c>
      <c r="F1003" t="s">
        <v>32</v>
      </c>
    </row>
    <row r="1004" spans="4:6" x14ac:dyDescent="0.2">
      <c r="D1004" t="s">
        <v>30</v>
      </c>
      <c r="F1004" t="s">
        <v>33</v>
      </c>
    </row>
    <row r="1005" spans="4:6" x14ac:dyDescent="0.2">
      <c r="D1005" t="s">
        <v>37</v>
      </c>
      <c r="F1005" t="s">
        <v>19</v>
      </c>
    </row>
    <row r="1006" spans="4:6" x14ac:dyDescent="0.2">
      <c r="D1006" t="s">
        <v>38</v>
      </c>
      <c r="F1006" t="s">
        <v>40</v>
      </c>
    </row>
    <row r="1007" spans="4:6" x14ac:dyDescent="0.2">
      <c r="D1007" t="s">
        <v>35</v>
      </c>
      <c r="F1007" t="s">
        <v>31</v>
      </c>
    </row>
    <row r="1008" spans="4:6" x14ac:dyDescent="0.2">
      <c r="D1008" t="s">
        <v>37</v>
      </c>
      <c r="F1008" t="s">
        <v>23</v>
      </c>
    </row>
    <row r="1009" spans="4:6" x14ac:dyDescent="0.2">
      <c r="D1009" t="s">
        <v>34</v>
      </c>
      <c r="F1009" t="s">
        <v>12</v>
      </c>
    </row>
    <row r="1010" spans="4:6" x14ac:dyDescent="0.2">
      <c r="D1010" t="s">
        <v>10</v>
      </c>
      <c r="F1010" t="s">
        <v>39</v>
      </c>
    </row>
    <row r="1011" spans="4:6" x14ac:dyDescent="0.2">
      <c r="D1011" t="s">
        <v>26</v>
      </c>
      <c r="F1011" t="s">
        <v>24</v>
      </c>
    </row>
    <row r="1012" spans="4:6" x14ac:dyDescent="0.2">
      <c r="D1012" t="s">
        <v>21</v>
      </c>
      <c r="F1012" t="s">
        <v>14</v>
      </c>
    </row>
    <row r="1013" spans="4:6" x14ac:dyDescent="0.2">
      <c r="D1013" t="s">
        <v>17</v>
      </c>
      <c r="F1013" t="s">
        <v>20</v>
      </c>
    </row>
    <row r="1014" spans="4:6" x14ac:dyDescent="0.2">
      <c r="D1014" t="s">
        <v>55</v>
      </c>
      <c r="F1014" t="s">
        <v>10</v>
      </c>
    </row>
    <row r="1015" spans="4:6" x14ac:dyDescent="0.2">
      <c r="D1015" t="s">
        <v>15</v>
      </c>
      <c r="F1015" t="s">
        <v>27</v>
      </c>
    </row>
    <row r="1016" spans="4:6" x14ac:dyDescent="0.2">
      <c r="D1016" t="s">
        <v>36</v>
      </c>
      <c r="F1016" t="s">
        <v>38</v>
      </c>
    </row>
    <row r="1017" spans="4:6" x14ac:dyDescent="0.2">
      <c r="D1017" t="s">
        <v>16</v>
      </c>
      <c r="F1017" t="s">
        <v>22</v>
      </c>
    </row>
    <row r="1018" spans="4:6" x14ac:dyDescent="0.2">
      <c r="D1018" t="s">
        <v>13</v>
      </c>
      <c r="F1018" t="s">
        <v>21</v>
      </c>
    </row>
    <row r="1019" spans="4:6" x14ac:dyDescent="0.2">
      <c r="D1019" t="s">
        <v>33</v>
      </c>
      <c r="F1019" t="s">
        <v>23</v>
      </c>
    </row>
    <row r="1020" spans="4:6" x14ac:dyDescent="0.2">
      <c r="D1020" t="s">
        <v>14</v>
      </c>
      <c r="F1020" t="s">
        <v>25</v>
      </c>
    </row>
    <row r="1021" spans="4:6" x14ac:dyDescent="0.2">
      <c r="D1021" t="s">
        <v>17</v>
      </c>
      <c r="F1021" t="s">
        <v>12</v>
      </c>
    </row>
    <row r="1022" spans="4:6" x14ac:dyDescent="0.2">
      <c r="D1022" t="s">
        <v>20</v>
      </c>
      <c r="F1022" t="s">
        <v>39</v>
      </c>
    </row>
    <row r="1023" spans="4:6" x14ac:dyDescent="0.2">
      <c r="D1023" t="s">
        <v>26</v>
      </c>
      <c r="F1023" t="s">
        <v>11</v>
      </c>
    </row>
    <row r="1024" spans="4:6" x14ac:dyDescent="0.2">
      <c r="D1024" t="s">
        <v>55</v>
      </c>
      <c r="F1024" t="s">
        <v>34</v>
      </c>
    </row>
    <row r="1025" spans="4:6" x14ac:dyDescent="0.2">
      <c r="D1025" t="s">
        <v>19</v>
      </c>
      <c r="F1025" t="s">
        <v>18</v>
      </c>
    </row>
    <row r="1026" spans="4:6" x14ac:dyDescent="0.2">
      <c r="D1026" t="s">
        <v>16</v>
      </c>
      <c r="F1026" t="s">
        <v>15</v>
      </c>
    </row>
    <row r="1027" spans="4:6" x14ac:dyDescent="0.2">
      <c r="D1027" t="s">
        <v>29</v>
      </c>
      <c r="F1027" t="s">
        <v>32</v>
      </c>
    </row>
    <row r="1028" spans="4:6" x14ac:dyDescent="0.2">
      <c r="D1028" t="s">
        <v>30</v>
      </c>
      <c r="F1028" t="s">
        <v>35</v>
      </c>
    </row>
    <row r="1029" spans="4:6" x14ac:dyDescent="0.2">
      <c r="D1029" t="s">
        <v>28</v>
      </c>
      <c r="F1029" t="s">
        <v>37</v>
      </c>
    </row>
    <row r="1030" spans="4:6" x14ac:dyDescent="0.2">
      <c r="D1030" t="s">
        <v>31</v>
      </c>
      <c r="F1030" t="s">
        <v>40</v>
      </c>
    </row>
    <row r="1031" spans="4:6" x14ac:dyDescent="0.2">
      <c r="D1031" t="s">
        <v>18</v>
      </c>
      <c r="F1031" t="s">
        <v>36</v>
      </c>
    </row>
    <row r="1032" spans="4:6" x14ac:dyDescent="0.2">
      <c r="D1032" t="s">
        <v>22</v>
      </c>
      <c r="F1032" t="s">
        <v>27</v>
      </c>
    </row>
    <row r="1033" spans="4:6" x14ac:dyDescent="0.2">
      <c r="D1033" t="s">
        <v>33</v>
      </c>
      <c r="F1033" t="s">
        <v>21</v>
      </c>
    </row>
    <row r="1034" spans="4:6" x14ac:dyDescent="0.2">
      <c r="D1034" t="s">
        <v>22</v>
      </c>
      <c r="F1034" t="s">
        <v>23</v>
      </c>
    </row>
    <row r="1035" spans="4:6" x14ac:dyDescent="0.2">
      <c r="D1035" t="s">
        <v>35</v>
      </c>
      <c r="F1035" t="s">
        <v>25</v>
      </c>
    </row>
    <row r="1036" spans="4:6" x14ac:dyDescent="0.2">
      <c r="D1036" t="s">
        <v>17</v>
      </c>
      <c r="F1036" t="s">
        <v>39</v>
      </c>
    </row>
    <row r="1037" spans="4:6" x14ac:dyDescent="0.2">
      <c r="D1037" t="s">
        <v>28</v>
      </c>
      <c r="F1037" t="s">
        <v>11</v>
      </c>
    </row>
    <row r="1038" spans="4:6" x14ac:dyDescent="0.2">
      <c r="D1038" t="s">
        <v>27</v>
      </c>
      <c r="F1038" t="s">
        <v>34</v>
      </c>
    </row>
    <row r="1039" spans="4:6" x14ac:dyDescent="0.2">
      <c r="D1039" t="s">
        <v>16</v>
      </c>
      <c r="F1039" t="s">
        <v>24</v>
      </c>
    </row>
    <row r="1040" spans="4:6" x14ac:dyDescent="0.2">
      <c r="D1040" t="s">
        <v>12</v>
      </c>
      <c r="F1040" t="s">
        <v>32</v>
      </c>
    </row>
    <row r="1041" spans="4:6" x14ac:dyDescent="0.2">
      <c r="D1041" t="s">
        <v>26</v>
      </c>
      <c r="F1041" t="s">
        <v>37</v>
      </c>
    </row>
    <row r="1042" spans="4:6" x14ac:dyDescent="0.2">
      <c r="D1042" t="s">
        <v>31</v>
      </c>
      <c r="F1042" t="s">
        <v>19</v>
      </c>
    </row>
    <row r="1043" spans="4:6" x14ac:dyDescent="0.2">
      <c r="D1043" t="s">
        <v>10</v>
      </c>
      <c r="F1043" t="s">
        <v>55</v>
      </c>
    </row>
    <row r="1044" spans="4:6" x14ac:dyDescent="0.2">
      <c r="D1044" t="s">
        <v>29</v>
      </c>
      <c r="F1044" t="s">
        <v>38</v>
      </c>
    </row>
    <row r="1045" spans="4:6" x14ac:dyDescent="0.2">
      <c r="D1045" t="s">
        <v>14</v>
      </c>
      <c r="F1045" t="s">
        <v>20</v>
      </c>
    </row>
    <row r="1046" spans="4:6" x14ac:dyDescent="0.2">
      <c r="D1046" t="s">
        <v>15</v>
      </c>
      <c r="F1046" t="s">
        <v>40</v>
      </c>
    </row>
    <row r="1047" spans="4:6" x14ac:dyDescent="0.2">
      <c r="D1047" t="s">
        <v>13</v>
      </c>
      <c r="F1047" t="s">
        <v>30</v>
      </c>
    </row>
    <row r="1048" spans="4:6" x14ac:dyDescent="0.2">
      <c r="D1048" t="s">
        <v>17</v>
      </c>
      <c r="F1048" t="s">
        <v>35</v>
      </c>
    </row>
    <row r="1049" spans="4:6" x14ac:dyDescent="0.2">
      <c r="D1049" t="s">
        <v>19</v>
      </c>
      <c r="F1049" t="s">
        <v>23</v>
      </c>
    </row>
    <row r="1050" spans="4:6" x14ac:dyDescent="0.2">
      <c r="D1050" t="s">
        <v>26</v>
      </c>
      <c r="F1050" t="s">
        <v>39</v>
      </c>
    </row>
    <row r="1051" spans="4:6" x14ac:dyDescent="0.2">
      <c r="D1051" t="s">
        <v>15</v>
      </c>
      <c r="F1051" t="s">
        <v>34</v>
      </c>
    </row>
    <row r="1052" spans="4:6" x14ac:dyDescent="0.2">
      <c r="D1052" t="s">
        <v>33</v>
      </c>
      <c r="F1052" t="s">
        <v>18</v>
      </c>
    </row>
    <row r="1053" spans="4:6" x14ac:dyDescent="0.2">
      <c r="D1053" t="s">
        <v>13</v>
      </c>
      <c r="F1053" t="s">
        <v>24</v>
      </c>
    </row>
    <row r="1054" spans="4:6" x14ac:dyDescent="0.2">
      <c r="D1054" t="s">
        <v>16</v>
      </c>
      <c r="F1054" t="s">
        <v>30</v>
      </c>
    </row>
    <row r="1055" spans="4:6" x14ac:dyDescent="0.2">
      <c r="D1055" t="s">
        <v>31</v>
      </c>
      <c r="F1055" t="s">
        <v>36</v>
      </c>
    </row>
    <row r="1056" spans="4:6" x14ac:dyDescent="0.2">
      <c r="D1056" t="s">
        <v>28</v>
      </c>
      <c r="F1056" t="s">
        <v>27</v>
      </c>
    </row>
    <row r="1057" spans="4:6" x14ac:dyDescent="0.2">
      <c r="D1057" t="s">
        <v>25</v>
      </c>
      <c r="F1057" t="s">
        <v>37</v>
      </c>
    </row>
    <row r="1058" spans="4:6" x14ac:dyDescent="0.2">
      <c r="D1058" t="s">
        <v>14</v>
      </c>
      <c r="F1058" t="s">
        <v>55</v>
      </c>
    </row>
    <row r="1059" spans="4:6" x14ac:dyDescent="0.2">
      <c r="D1059" t="s">
        <v>32</v>
      </c>
      <c r="F1059" t="s">
        <v>38</v>
      </c>
    </row>
    <row r="1060" spans="4:6" x14ac:dyDescent="0.2">
      <c r="D1060" t="s">
        <v>10</v>
      </c>
      <c r="F1060" t="s">
        <v>20</v>
      </c>
    </row>
    <row r="1061" spans="4:6" x14ac:dyDescent="0.2">
      <c r="D1061" t="s">
        <v>12</v>
      </c>
      <c r="F1061" t="s">
        <v>40</v>
      </c>
    </row>
    <row r="1062" spans="4:6" x14ac:dyDescent="0.2">
      <c r="D1062" t="s">
        <v>21</v>
      </c>
      <c r="F1062" t="s">
        <v>22</v>
      </c>
    </row>
    <row r="1063" spans="4:6" x14ac:dyDescent="0.2">
      <c r="D1063" t="s">
        <v>29</v>
      </c>
      <c r="F1063" t="s">
        <v>17</v>
      </c>
    </row>
    <row r="1064" spans="4:6" x14ac:dyDescent="0.2">
      <c r="D1064" t="s">
        <v>19</v>
      </c>
      <c r="F1064" t="s">
        <v>34</v>
      </c>
    </row>
    <row r="1065" spans="4:6" x14ac:dyDescent="0.2">
      <c r="D1065" t="s">
        <v>31</v>
      </c>
      <c r="F1065" t="s">
        <v>18</v>
      </c>
    </row>
    <row r="1066" spans="4:6" x14ac:dyDescent="0.2">
      <c r="D1066" t="s">
        <v>33</v>
      </c>
      <c r="F1066" t="s">
        <v>36</v>
      </c>
    </row>
    <row r="1067" spans="4:6" x14ac:dyDescent="0.2">
      <c r="D1067" t="s">
        <v>11</v>
      </c>
      <c r="F1067" t="s">
        <v>32</v>
      </c>
    </row>
    <row r="1068" spans="4:6" x14ac:dyDescent="0.2">
      <c r="D1068" t="s">
        <v>35</v>
      </c>
      <c r="F1068" t="s">
        <v>40</v>
      </c>
    </row>
    <row r="1069" spans="4:6" x14ac:dyDescent="0.2">
      <c r="D1069" t="s">
        <v>14</v>
      </c>
      <c r="F1069" t="s">
        <v>12</v>
      </c>
    </row>
    <row r="1070" spans="4:6" x14ac:dyDescent="0.2">
      <c r="D1070" t="s">
        <v>55</v>
      </c>
      <c r="F1070" t="s">
        <v>39</v>
      </c>
    </row>
    <row r="1071" spans="4:6" x14ac:dyDescent="0.2">
      <c r="D1071" t="s">
        <v>16</v>
      </c>
      <c r="F1071" t="s">
        <v>26</v>
      </c>
    </row>
    <row r="1072" spans="4:6" x14ac:dyDescent="0.2">
      <c r="D1072" t="s">
        <v>21</v>
      </c>
      <c r="F1072" t="s">
        <v>24</v>
      </c>
    </row>
    <row r="1073" spans="4:6" x14ac:dyDescent="0.2">
      <c r="D1073" t="s">
        <v>13</v>
      </c>
      <c r="F1073" t="s">
        <v>15</v>
      </c>
    </row>
    <row r="1074" spans="4:6" x14ac:dyDescent="0.2">
      <c r="D1074" t="s">
        <v>25</v>
      </c>
      <c r="F1074" t="s">
        <v>28</v>
      </c>
    </row>
    <row r="1075" spans="4:6" x14ac:dyDescent="0.2">
      <c r="D1075" t="s">
        <v>34</v>
      </c>
      <c r="F1075" t="s">
        <v>10</v>
      </c>
    </row>
    <row r="1076" spans="4:6" x14ac:dyDescent="0.2">
      <c r="D1076" t="s">
        <v>33</v>
      </c>
      <c r="F1076" t="s">
        <v>17</v>
      </c>
    </row>
    <row r="1077" spans="4:6" x14ac:dyDescent="0.2">
      <c r="D1077" t="s">
        <v>21</v>
      </c>
      <c r="F1077" t="s">
        <v>18</v>
      </c>
    </row>
    <row r="1078" spans="4:6" x14ac:dyDescent="0.2">
      <c r="D1078" t="s">
        <v>37</v>
      </c>
      <c r="F1078" t="s">
        <v>32</v>
      </c>
    </row>
    <row r="1079" spans="4:6" x14ac:dyDescent="0.2">
      <c r="D1079" t="s">
        <v>30</v>
      </c>
      <c r="F1079" t="s">
        <v>19</v>
      </c>
    </row>
    <row r="1080" spans="4:6" x14ac:dyDescent="0.2">
      <c r="D1080" t="s">
        <v>11</v>
      </c>
      <c r="F1080" t="s">
        <v>38</v>
      </c>
    </row>
    <row r="1081" spans="4:6" x14ac:dyDescent="0.2">
      <c r="D1081" t="s">
        <v>23</v>
      </c>
      <c r="F1081" t="s">
        <v>20</v>
      </c>
    </row>
    <row r="1082" spans="4:6" x14ac:dyDescent="0.2">
      <c r="D1082" t="s">
        <v>29</v>
      </c>
      <c r="F1082" t="s">
        <v>40</v>
      </c>
    </row>
    <row r="1083" spans="4:6" x14ac:dyDescent="0.2">
      <c r="D1083" t="s">
        <v>27</v>
      </c>
      <c r="F1083" t="s">
        <v>31</v>
      </c>
    </row>
    <row r="1084" spans="4:6" x14ac:dyDescent="0.2">
      <c r="D1084" t="s">
        <v>14</v>
      </c>
      <c r="F1084" t="s">
        <v>25</v>
      </c>
    </row>
    <row r="1085" spans="4:6" x14ac:dyDescent="0.2">
      <c r="D1085" t="s">
        <v>35</v>
      </c>
      <c r="F1085" t="s">
        <v>16</v>
      </c>
    </row>
    <row r="1086" spans="4:6" x14ac:dyDescent="0.2">
      <c r="D1086" t="s">
        <v>39</v>
      </c>
      <c r="F1086" t="s">
        <v>12</v>
      </c>
    </row>
    <row r="1087" spans="4:6" x14ac:dyDescent="0.2">
      <c r="D1087" t="s">
        <v>24</v>
      </c>
      <c r="F1087" t="s">
        <v>15</v>
      </c>
    </row>
    <row r="1088" spans="4:6" x14ac:dyDescent="0.2">
      <c r="D1088" t="s">
        <v>36</v>
      </c>
      <c r="F1088" t="s">
        <v>22</v>
      </c>
    </row>
    <row r="1089" spans="4:6" x14ac:dyDescent="0.2">
      <c r="D1089" t="s">
        <v>40</v>
      </c>
      <c r="F1089" t="s">
        <v>21</v>
      </c>
    </row>
    <row r="1090" spans="4:6" x14ac:dyDescent="0.2">
      <c r="D1090" t="s">
        <v>15</v>
      </c>
      <c r="F1090" t="s">
        <v>28</v>
      </c>
    </row>
    <row r="1091" spans="4:6" x14ac:dyDescent="0.2">
      <c r="D1091" t="s">
        <v>18</v>
      </c>
      <c r="F1091" t="s">
        <v>26</v>
      </c>
    </row>
    <row r="1092" spans="4:6" x14ac:dyDescent="0.2">
      <c r="D1092" t="s">
        <v>11</v>
      </c>
      <c r="F1092" t="s">
        <v>17</v>
      </c>
    </row>
    <row r="1093" spans="4:6" x14ac:dyDescent="0.2">
      <c r="D1093" t="s">
        <v>27</v>
      </c>
      <c r="F1093" t="s">
        <v>13</v>
      </c>
    </row>
    <row r="1094" spans="4:6" x14ac:dyDescent="0.2">
      <c r="D1094" t="s">
        <v>10</v>
      </c>
      <c r="F1094" t="s">
        <v>34</v>
      </c>
    </row>
    <row r="1095" spans="4:6" x14ac:dyDescent="0.2">
      <c r="D1095" t="s">
        <v>32</v>
      </c>
      <c r="F1095" t="s">
        <v>29</v>
      </c>
    </row>
    <row r="1096" spans="4:6" x14ac:dyDescent="0.2">
      <c r="D1096" t="s">
        <v>30</v>
      </c>
      <c r="F1096" t="s">
        <v>36</v>
      </c>
    </row>
    <row r="1097" spans="4:6" x14ac:dyDescent="0.2">
      <c r="D1097" t="s">
        <v>23</v>
      </c>
      <c r="F1097" t="s">
        <v>33</v>
      </c>
    </row>
    <row r="1098" spans="4:6" x14ac:dyDescent="0.2">
      <c r="D1098" t="s">
        <v>37</v>
      </c>
      <c r="F1098" t="s">
        <v>38</v>
      </c>
    </row>
    <row r="1099" spans="4:6" x14ac:dyDescent="0.2">
      <c r="D1099" t="s">
        <v>55</v>
      </c>
      <c r="F1099" t="s">
        <v>20</v>
      </c>
    </row>
    <row r="1100" spans="4:6" x14ac:dyDescent="0.2">
      <c r="D1100" t="s">
        <v>11</v>
      </c>
      <c r="F1100" t="s">
        <v>16</v>
      </c>
    </row>
    <row r="1101" spans="4:6" x14ac:dyDescent="0.2">
      <c r="D1101" t="s">
        <v>12</v>
      </c>
      <c r="F1101" t="s">
        <v>10</v>
      </c>
    </row>
    <row r="1102" spans="4:6" x14ac:dyDescent="0.2">
      <c r="D1102" t="s">
        <v>25</v>
      </c>
      <c r="F1102" t="s">
        <v>19</v>
      </c>
    </row>
    <row r="1103" spans="4:6" x14ac:dyDescent="0.2">
      <c r="D1103" t="s">
        <v>31</v>
      </c>
      <c r="F1103" t="s">
        <v>55</v>
      </c>
    </row>
    <row r="1104" spans="4:6" x14ac:dyDescent="0.2">
      <c r="D1104" t="s">
        <v>24</v>
      </c>
      <c r="F1104" t="s">
        <v>22</v>
      </c>
    </row>
    <row r="1105" spans="4:6" x14ac:dyDescent="0.2">
      <c r="D1105" t="s">
        <v>32</v>
      </c>
      <c r="F1105" t="s">
        <v>28</v>
      </c>
    </row>
    <row r="1106" spans="4:6" x14ac:dyDescent="0.2">
      <c r="D1106" t="s">
        <v>21</v>
      </c>
      <c r="F1106" t="s">
        <v>26</v>
      </c>
    </row>
    <row r="1107" spans="4:6" x14ac:dyDescent="0.2">
      <c r="D1107" t="s">
        <v>37</v>
      </c>
      <c r="F1107" t="s">
        <v>17</v>
      </c>
    </row>
    <row r="1108" spans="4:6" x14ac:dyDescent="0.2">
      <c r="D1108" t="s">
        <v>23</v>
      </c>
      <c r="F1108" t="s">
        <v>13</v>
      </c>
    </row>
    <row r="1109" spans="4:6" x14ac:dyDescent="0.2">
      <c r="D1109" t="s">
        <v>39</v>
      </c>
      <c r="F1109" t="s">
        <v>34</v>
      </c>
    </row>
    <row r="1110" spans="4:6" x14ac:dyDescent="0.2">
      <c r="D1110" t="s">
        <v>30</v>
      </c>
      <c r="F1110" t="s">
        <v>18</v>
      </c>
    </row>
    <row r="1111" spans="4:6" x14ac:dyDescent="0.2">
      <c r="D1111" t="s">
        <v>20</v>
      </c>
      <c r="F1111" t="s">
        <v>29</v>
      </c>
    </row>
    <row r="1112" spans="4:6" x14ac:dyDescent="0.2">
      <c r="D1112" t="s">
        <v>19</v>
      </c>
      <c r="F1112" t="s">
        <v>36</v>
      </c>
    </row>
    <row r="1113" spans="4:6" x14ac:dyDescent="0.2">
      <c r="D1113" t="s">
        <v>40</v>
      </c>
      <c r="F1113" t="s">
        <v>14</v>
      </c>
    </row>
    <row r="1114" spans="4:6" x14ac:dyDescent="0.2">
      <c r="D1114" t="s">
        <v>27</v>
      </c>
      <c r="F1114" t="s">
        <v>33</v>
      </c>
    </row>
    <row r="1115" spans="4:6" x14ac:dyDescent="0.2">
      <c r="D1115" t="s">
        <v>35</v>
      </c>
      <c r="F1115" t="s">
        <v>38</v>
      </c>
    </row>
    <row r="1116" spans="4:6" x14ac:dyDescent="0.2">
      <c r="D1116" t="s">
        <v>23</v>
      </c>
      <c r="F1116" t="s">
        <v>31</v>
      </c>
    </row>
    <row r="1117" spans="4:6" x14ac:dyDescent="0.2">
      <c r="D1117" t="s">
        <v>37</v>
      </c>
      <c r="F1117" t="s">
        <v>16</v>
      </c>
    </row>
    <row r="1118" spans="4:6" x14ac:dyDescent="0.2">
      <c r="D1118" t="s">
        <v>29</v>
      </c>
      <c r="F1118" t="s">
        <v>10</v>
      </c>
    </row>
    <row r="1119" spans="4:6" x14ac:dyDescent="0.2">
      <c r="D1119" t="s">
        <v>20</v>
      </c>
      <c r="F1119" t="s">
        <v>39</v>
      </c>
    </row>
    <row r="1120" spans="4:6" x14ac:dyDescent="0.2">
      <c r="D1120" t="s">
        <v>28</v>
      </c>
      <c r="F1120" t="s">
        <v>30</v>
      </c>
    </row>
    <row r="1121" spans="4:6" x14ac:dyDescent="0.2">
      <c r="D1121" t="s">
        <v>40</v>
      </c>
      <c r="F1121" t="s">
        <v>15</v>
      </c>
    </row>
    <row r="1122" spans="4:6" x14ac:dyDescent="0.2">
      <c r="D1122" t="s">
        <v>25</v>
      </c>
      <c r="F1122" t="s">
        <v>14</v>
      </c>
    </row>
    <row r="1123" spans="4:6" x14ac:dyDescent="0.2">
      <c r="D1123" t="s">
        <v>13</v>
      </c>
      <c r="F1123" t="s">
        <v>55</v>
      </c>
    </row>
    <row r="1124" spans="4:6" x14ac:dyDescent="0.2">
      <c r="D1124" t="s">
        <v>12</v>
      </c>
      <c r="F1124" t="s">
        <v>22</v>
      </c>
    </row>
    <row r="1125" spans="4:6" x14ac:dyDescent="0.2">
      <c r="D1125" t="s">
        <v>36</v>
      </c>
      <c r="F1125" t="s">
        <v>15</v>
      </c>
    </row>
    <row r="1126" spans="4:6" x14ac:dyDescent="0.2">
      <c r="D1126" t="s">
        <v>19</v>
      </c>
      <c r="F1126" t="s">
        <v>21</v>
      </c>
    </row>
    <row r="1127" spans="4:6" x14ac:dyDescent="0.2">
      <c r="D1127" t="s">
        <v>13</v>
      </c>
      <c r="F1127" t="s">
        <v>16</v>
      </c>
    </row>
    <row r="1128" spans="4:6" x14ac:dyDescent="0.2">
      <c r="D1128" t="s">
        <v>24</v>
      </c>
      <c r="F1128" t="s">
        <v>39</v>
      </c>
    </row>
    <row r="1129" spans="4:6" x14ac:dyDescent="0.2">
      <c r="D1129" t="s">
        <v>36</v>
      </c>
      <c r="F1129" t="s">
        <v>26</v>
      </c>
    </row>
    <row r="1130" spans="4:6" x14ac:dyDescent="0.2">
      <c r="D1130" t="s">
        <v>32</v>
      </c>
      <c r="F1130" t="s">
        <v>11</v>
      </c>
    </row>
    <row r="1131" spans="4:6" x14ac:dyDescent="0.2">
      <c r="D1131" t="s">
        <v>25</v>
      </c>
      <c r="F1131" t="s">
        <v>18</v>
      </c>
    </row>
    <row r="1132" spans="4:6" x14ac:dyDescent="0.2">
      <c r="D1132" t="s">
        <v>33</v>
      </c>
      <c r="F1132" t="s">
        <v>29</v>
      </c>
    </row>
    <row r="1133" spans="4:6" x14ac:dyDescent="0.2">
      <c r="D1133" t="s">
        <v>10</v>
      </c>
      <c r="F1133" t="s">
        <v>30</v>
      </c>
    </row>
    <row r="1134" spans="4:6" x14ac:dyDescent="0.2">
      <c r="D1134" t="s">
        <v>28</v>
      </c>
      <c r="F1134" t="s">
        <v>27</v>
      </c>
    </row>
    <row r="1135" spans="4:6" x14ac:dyDescent="0.2">
      <c r="D1135" t="s">
        <v>12</v>
      </c>
      <c r="F1135" t="s">
        <v>14</v>
      </c>
    </row>
    <row r="1136" spans="4:6" x14ac:dyDescent="0.2">
      <c r="D1136" t="s">
        <v>22</v>
      </c>
      <c r="F1136" t="s">
        <v>35</v>
      </c>
    </row>
    <row r="1137" spans="4:6" x14ac:dyDescent="0.2">
      <c r="D1137" t="s">
        <v>34</v>
      </c>
      <c r="F1137" t="s">
        <v>37</v>
      </c>
    </row>
    <row r="1138" spans="4:6" x14ac:dyDescent="0.2">
      <c r="D1138" t="s">
        <v>17</v>
      </c>
      <c r="F1138" t="s">
        <v>55</v>
      </c>
    </row>
    <row r="1139" spans="4:6" x14ac:dyDescent="0.2">
      <c r="D1139" t="s">
        <v>31</v>
      </c>
      <c r="F1139" t="s">
        <v>38</v>
      </c>
    </row>
    <row r="1140" spans="4:6" x14ac:dyDescent="0.2">
      <c r="D1140" t="s">
        <v>20</v>
      </c>
      <c r="F1140" t="s">
        <v>40</v>
      </c>
    </row>
    <row r="1141" spans="4:6" x14ac:dyDescent="0.2">
      <c r="D1141" t="s">
        <v>21</v>
      </c>
      <c r="F1141" t="s">
        <v>23</v>
      </c>
    </row>
    <row r="1142" spans="4:6" x14ac:dyDescent="0.2">
      <c r="D1142" t="s">
        <v>15</v>
      </c>
      <c r="F1142" t="s">
        <v>19</v>
      </c>
    </row>
    <row r="1143" spans="4:6" x14ac:dyDescent="0.2">
      <c r="D1143" t="s">
        <v>31</v>
      </c>
      <c r="F1143" t="s">
        <v>16</v>
      </c>
    </row>
    <row r="1144" spans="4:6" x14ac:dyDescent="0.2">
      <c r="D1144" t="s">
        <v>34</v>
      </c>
      <c r="F1144" t="s">
        <v>11</v>
      </c>
    </row>
    <row r="1145" spans="4:6" x14ac:dyDescent="0.2">
      <c r="D1145" t="s">
        <v>28</v>
      </c>
      <c r="F1145" t="s">
        <v>18</v>
      </c>
    </row>
    <row r="1146" spans="4:6" x14ac:dyDescent="0.2">
      <c r="D1146" t="s">
        <v>24</v>
      </c>
      <c r="F1146" t="s">
        <v>29</v>
      </c>
    </row>
    <row r="1147" spans="4:6" x14ac:dyDescent="0.2">
      <c r="D1147" t="s">
        <v>39</v>
      </c>
      <c r="F1147" t="s">
        <v>30</v>
      </c>
    </row>
    <row r="1148" spans="4:6" x14ac:dyDescent="0.2">
      <c r="D1148" t="s">
        <v>14</v>
      </c>
      <c r="F1148" t="s">
        <v>36</v>
      </c>
    </row>
    <row r="1149" spans="4:6" x14ac:dyDescent="0.2">
      <c r="D1149" t="s">
        <v>10</v>
      </c>
      <c r="F1149" t="s">
        <v>27</v>
      </c>
    </row>
    <row r="1150" spans="4:6" x14ac:dyDescent="0.2">
      <c r="D1150" t="s">
        <v>33</v>
      </c>
      <c r="F1150" t="s">
        <v>35</v>
      </c>
    </row>
    <row r="1151" spans="4:6" x14ac:dyDescent="0.2">
      <c r="D1151" t="s">
        <v>32</v>
      </c>
      <c r="F1151" t="s">
        <v>37</v>
      </c>
    </row>
    <row r="1152" spans="4:6" x14ac:dyDescent="0.2">
      <c r="D1152" t="s">
        <v>22</v>
      </c>
      <c r="F1152" t="s">
        <v>55</v>
      </c>
    </row>
    <row r="1153" spans="4:6" x14ac:dyDescent="0.2">
      <c r="D1153" t="s">
        <v>13</v>
      </c>
      <c r="F1153" t="s">
        <v>38</v>
      </c>
    </row>
    <row r="1154" spans="4:6" x14ac:dyDescent="0.2">
      <c r="D1154" t="s">
        <v>17</v>
      </c>
      <c r="F1154" t="s">
        <v>20</v>
      </c>
    </row>
    <row r="1155" spans="4:6" x14ac:dyDescent="0.2">
      <c r="D1155" t="s">
        <v>12</v>
      </c>
      <c r="F1155" t="s">
        <v>40</v>
      </c>
    </row>
    <row r="1156" spans="4:6" x14ac:dyDescent="0.2">
      <c r="D1156" t="s">
        <v>26</v>
      </c>
      <c r="F1156" t="s">
        <v>23</v>
      </c>
    </row>
    <row r="1157" spans="4:6" x14ac:dyDescent="0.2">
      <c r="D1157" t="s">
        <v>10</v>
      </c>
      <c r="F1157" t="s">
        <v>15</v>
      </c>
    </row>
    <row r="1158" spans="4:6" x14ac:dyDescent="0.2">
      <c r="D1158" t="s">
        <v>34</v>
      </c>
      <c r="F1158" t="s">
        <v>21</v>
      </c>
    </row>
    <row r="1159" spans="4:6" x14ac:dyDescent="0.2">
      <c r="D1159" t="s">
        <v>32</v>
      </c>
      <c r="F1159" t="s">
        <v>23</v>
      </c>
    </row>
    <row r="1160" spans="4:6" x14ac:dyDescent="0.2">
      <c r="D1160" t="s">
        <v>24</v>
      </c>
      <c r="F1160" t="s">
        <v>25</v>
      </c>
    </row>
    <row r="1161" spans="4:6" x14ac:dyDescent="0.2">
      <c r="D1161" t="s">
        <v>33</v>
      </c>
      <c r="F1161" t="s">
        <v>28</v>
      </c>
    </row>
    <row r="1162" spans="4:6" x14ac:dyDescent="0.2">
      <c r="D1162" t="s">
        <v>38</v>
      </c>
      <c r="F1162" t="s">
        <v>16</v>
      </c>
    </row>
    <row r="1163" spans="4:6" x14ac:dyDescent="0.2">
      <c r="D1163" t="s">
        <v>40</v>
      </c>
      <c r="F1163" t="s">
        <v>12</v>
      </c>
    </row>
    <row r="1164" spans="4:6" x14ac:dyDescent="0.2">
      <c r="D1164" t="s">
        <v>27</v>
      </c>
      <c r="F1164" t="s">
        <v>26</v>
      </c>
    </row>
    <row r="1165" spans="4:6" x14ac:dyDescent="0.2">
      <c r="D1165" t="s">
        <v>31</v>
      </c>
      <c r="F1165" t="s">
        <v>17</v>
      </c>
    </row>
    <row r="1166" spans="4:6" x14ac:dyDescent="0.2">
      <c r="D1166" t="s">
        <v>55</v>
      </c>
      <c r="F1166" t="s">
        <v>13</v>
      </c>
    </row>
    <row r="1167" spans="4:6" x14ac:dyDescent="0.2">
      <c r="D1167" t="s">
        <v>18</v>
      </c>
      <c r="F1167" t="s">
        <v>29</v>
      </c>
    </row>
    <row r="1168" spans="4:6" x14ac:dyDescent="0.2">
      <c r="D1168" t="s">
        <v>11</v>
      </c>
      <c r="F1168" t="s">
        <v>30</v>
      </c>
    </row>
    <row r="1169" spans="4:6" x14ac:dyDescent="0.2">
      <c r="D1169" t="s">
        <v>39</v>
      </c>
      <c r="F1169" t="s">
        <v>14</v>
      </c>
    </row>
    <row r="1170" spans="4:6" x14ac:dyDescent="0.2">
      <c r="D1170" t="s">
        <v>19</v>
      </c>
      <c r="F1170" t="s">
        <v>35</v>
      </c>
    </row>
    <row r="1171" spans="4:6" x14ac:dyDescent="0.2">
      <c r="D1171" t="s">
        <v>36</v>
      </c>
      <c r="F1171" t="s">
        <v>37</v>
      </c>
    </row>
    <row r="1172" spans="4:6" x14ac:dyDescent="0.2">
      <c r="D1172" t="s">
        <v>22</v>
      </c>
      <c r="F1172" t="s">
        <v>20</v>
      </c>
    </row>
    <row r="1173" spans="4:6" x14ac:dyDescent="0.2">
      <c r="D1173" t="s">
        <v>18</v>
      </c>
      <c r="F1173" t="s">
        <v>25</v>
      </c>
    </row>
    <row r="1174" spans="4:6" x14ac:dyDescent="0.2">
      <c r="D1174" t="s">
        <v>21</v>
      </c>
      <c r="F1174" t="s">
        <v>28</v>
      </c>
    </row>
    <row r="1175" spans="4:6" x14ac:dyDescent="0.2">
      <c r="D1175" t="s">
        <v>10</v>
      </c>
      <c r="F1175" t="s">
        <v>24</v>
      </c>
    </row>
    <row r="1176" spans="4:6" x14ac:dyDescent="0.2">
      <c r="D1176" t="s">
        <v>11</v>
      </c>
      <c r="F1176" t="s">
        <v>15</v>
      </c>
    </row>
    <row r="1177" spans="4:6" x14ac:dyDescent="0.2">
      <c r="D1177" t="s">
        <v>39</v>
      </c>
      <c r="F1177" t="s">
        <v>27</v>
      </c>
    </row>
    <row r="1178" spans="4:6" x14ac:dyDescent="0.2">
      <c r="D1178" t="s">
        <v>29</v>
      </c>
      <c r="F1178" t="s">
        <v>37</v>
      </c>
    </row>
    <row r="1179" spans="4:6" x14ac:dyDescent="0.2">
      <c r="D1179" t="s">
        <v>19</v>
      </c>
      <c r="F1179" t="s">
        <v>31</v>
      </c>
    </row>
    <row r="1180" spans="4:6" x14ac:dyDescent="0.2">
      <c r="D1180" t="s">
        <v>16</v>
      </c>
      <c r="F1180" t="s">
        <v>12</v>
      </c>
    </row>
    <row r="1181" spans="4:6" x14ac:dyDescent="0.2">
      <c r="D1181" t="s">
        <v>14</v>
      </c>
      <c r="F1181" t="s">
        <v>30</v>
      </c>
    </row>
    <row r="1182" spans="4:6" x14ac:dyDescent="0.2">
      <c r="D1182" t="s">
        <v>35</v>
      </c>
      <c r="F1182" t="s">
        <v>33</v>
      </c>
    </row>
    <row r="1183" spans="4:6" x14ac:dyDescent="0.2">
      <c r="D1183" t="s">
        <v>38</v>
      </c>
      <c r="F1183" t="s">
        <v>20</v>
      </c>
    </row>
    <row r="1184" spans="4:6" x14ac:dyDescent="0.2">
      <c r="D1184" t="s">
        <v>39</v>
      </c>
      <c r="F1184" t="s">
        <v>21</v>
      </c>
    </row>
    <row r="1185" spans="4:6" x14ac:dyDescent="0.2">
      <c r="D1185" t="s">
        <v>30</v>
      </c>
      <c r="F1185" t="s">
        <v>23</v>
      </c>
    </row>
    <row r="1186" spans="4:6" x14ac:dyDescent="0.2">
      <c r="D1186" t="s">
        <v>25</v>
      </c>
      <c r="F1186" t="s">
        <v>28</v>
      </c>
    </row>
    <row r="1187" spans="4:6" x14ac:dyDescent="0.2">
      <c r="D1187" t="s">
        <v>40</v>
      </c>
      <c r="F1187" t="s">
        <v>10</v>
      </c>
    </row>
    <row r="1188" spans="4:6" x14ac:dyDescent="0.2">
      <c r="D1188" t="s">
        <v>32</v>
      </c>
      <c r="F1188" t="s">
        <v>17</v>
      </c>
    </row>
    <row r="1189" spans="4:6" x14ac:dyDescent="0.2">
      <c r="D1189" t="s">
        <v>36</v>
      </c>
      <c r="F1189" t="s">
        <v>11</v>
      </c>
    </row>
    <row r="1190" spans="4:6" x14ac:dyDescent="0.2">
      <c r="D1190" t="s">
        <v>24</v>
      </c>
      <c r="F1190" t="s">
        <v>15</v>
      </c>
    </row>
    <row r="1191" spans="4:6" x14ac:dyDescent="0.2">
      <c r="D1191" t="s">
        <v>26</v>
      </c>
      <c r="F1191" t="s">
        <v>14</v>
      </c>
    </row>
    <row r="1192" spans="4:6" x14ac:dyDescent="0.2">
      <c r="D1192" t="s">
        <v>18</v>
      </c>
      <c r="F1192" t="s">
        <v>37</v>
      </c>
    </row>
    <row r="1193" spans="4:6" x14ac:dyDescent="0.2">
      <c r="D1193" t="s">
        <v>27</v>
      </c>
      <c r="F1193" t="s">
        <v>22</v>
      </c>
    </row>
    <row r="1194" spans="4:6" x14ac:dyDescent="0.2">
      <c r="D1194" t="s">
        <v>38</v>
      </c>
      <c r="F1194" t="s">
        <v>12</v>
      </c>
    </row>
    <row r="1195" spans="4:6" x14ac:dyDescent="0.2">
      <c r="D1195" t="s">
        <v>35</v>
      </c>
      <c r="F1195" t="s">
        <v>13</v>
      </c>
    </row>
    <row r="1196" spans="4:6" x14ac:dyDescent="0.2">
      <c r="D1196" t="s">
        <v>31</v>
      </c>
      <c r="F1196" t="s">
        <v>33</v>
      </c>
    </row>
    <row r="1197" spans="4:6" x14ac:dyDescent="0.2">
      <c r="D1197" t="s">
        <v>28</v>
      </c>
      <c r="F1197" t="s">
        <v>25</v>
      </c>
    </row>
    <row r="1198" spans="4:6" x14ac:dyDescent="0.2">
      <c r="D1198" t="s">
        <v>40</v>
      </c>
      <c r="F1198" t="s">
        <v>39</v>
      </c>
    </row>
    <row r="1199" spans="4:6" x14ac:dyDescent="0.2">
      <c r="D1199" t="s">
        <v>10</v>
      </c>
      <c r="F1199" t="s">
        <v>17</v>
      </c>
    </row>
    <row r="1200" spans="4:6" x14ac:dyDescent="0.2">
      <c r="D1200" t="s">
        <v>21</v>
      </c>
      <c r="F1200" t="s">
        <v>11</v>
      </c>
    </row>
    <row r="1201" spans="4:6" x14ac:dyDescent="0.2">
      <c r="D1201" t="s">
        <v>29</v>
      </c>
      <c r="F1201" t="s">
        <v>13</v>
      </c>
    </row>
    <row r="1202" spans="4:6" x14ac:dyDescent="0.2">
      <c r="D1202" t="s">
        <v>38</v>
      </c>
      <c r="F1202" t="s">
        <v>34</v>
      </c>
    </row>
    <row r="1203" spans="4:6" x14ac:dyDescent="0.2">
      <c r="D1203" t="s">
        <v>22</v>
      </c>
      <c r="F1203" t="s">
        <v>24</v>
      </c>
    </row>
    <row r="1204" spans="4:6" x14ac:dyDescent="0.2">
      <c r="D1204" t="s">
        <v>18</v>
      </c>
      <c r="F1204" t="s">
        <v>15</v>
      </c>
    </row>
    <row r="1205" spans="4:6" x14ac:dyDescent="0.2">
      <c r="D1205" t="s">
        <v>23</v>
      </c>
      <c r="F1205" t="s">
        <v>36</v>
      </c>
    </row>
    <row r="1206" spans="4:6" x14ac:dyDescent="0.2">
      <c r="D1206" t="s">
        <v>26</v>
      </c>
      <c r="F1206" t="s">
        <v>27</v>
      </c>
    </row>
    <row r="1207" spans="4:6" x14ac:dyDescent="0.2">
      <c r="D1207" t="s">
        <v>55</v>
      </c>
      <c r="F1207" t="s">
        <v>32</v>
      </c>
    </row>
    <row r="1208" spans="4:6" x14ac:dyDescent="0.2">
      <c r="D1208" t="s">
        <v>19</v>
      </c>
      <c r="F1208" t="s">
        <v>33</v>
      </c>
    </row>
    <row r="1209" spans="4:6" x14ac:dyDescent="0.2">
      <c r="D1209" t="s">
        <v>14</v>
      </c>
      <c r="F1209" t="s">
        <v>37</v>
      </c>
    </row>
    <row r="1210" spans="4:6" x14ac:dyDescent="0.2">
      <c r="D1210" t="s">
        <v>16</v>
      </c>
      <c r="F1210" t="s">
        <v>20</v>
      </c>
    </row>
    <row r="1211" spans="4:6" x14ac:dyDescent="0.2">
      <c r="D1211" t="s">
        <v>35</v>
      </c>
      <c r="F1211" t="s">
        <v>31</v>
      </c>
    </row>
    <row r="1212" spans="4:6" x14ac:dyDescent="0.2">
      <c r="D1212" t="s">
        <v>27</v>
      </c>
      <c r="F1212" t="s">
        <v>30</v>
      </c>
    </row>
    <row r="1213" spans="4:6" x14ac:dyDescent="0.2">
      <c r="D1213" t="s">
        <v>16</v>
      </c>
      <c r="F1213" t="s">
        <v>31</v>
      </c>
    </row>
    <row r="1214" spans="4:6" x14ac:dyDescent="0.2">
      <c r="D1214" t="s">
        <v>30</v>
      </c>
      <c r="F1214" t="s">
        <v>25</v>
      </c>
    </row>
    <row r="1215" spans="4:6" x14ac:dyDescent="0.2">
      <c r="D1215" t="s">
        <v>40</v>
      </c>
      <c r="F1215" t="s">
        <v>28</v>
      </c>
    </row>
    <row r="1216" spans="4:6" x14ac:dyDescent="0.2">
      <c r="D1216" t="s">
        <v>12</v>
      </c>
      <c r="F1216" t="s">
        <v>39</v>
      </c>
    </row>
    <row r="1217" spans="4:6" x14ac:dyDescent="0.2">
      <c r="D1217" t="s">
        <v>20</v>
      </c>
      <c r="F1217" t="s">
        <v>17</v>
      </c>
    </row>
    <row r="1218" spans="4:6" x14ac:dyDescent="0.2">
      <c r="D1218" t="s">
        <v>19</v>
      </c>
      <c r="F1218" t="s">
        <v>13</v>
      </c>
    </row>
    <row r="1219" spans="4:6" x14ac:dyDescent="0.2">
      <c r="D1219" t="s">
        <v>18</v>
      </c>
      <c r="F1219" t="s">
        <v>24</v>
      </c>
    </row>
    <row r="1220" spans="4:6" x14ac:dyDescent="0.2">
      <c r="D1220" t="s">
        <v>26</v>
      </c>
      <c r="F1220" t="s">
        <v>15</v>
      </c>
    </row>
    <row r="1221" spans="4:6" x14ac:dyDescent="0.2">
      <c r="D1221" t="s">
        <v>34</v>
      </c>
      <c r="F1221" t="s">
        <v>36</v>
      </c>
    </row>
    <row r="1222" spans="4:6" x14ac:dyDescent="0.2">
      <c r="D1222" t="s">
        <v>11</v>
      </c>
      <c r="F1222" t="s">
        <v>14</v>
      </c>
    </row>
    <row r="1223" spans="4:6" x14ac:dyDescent="0.2">
      <c r="D1223" t="s">
        <v>10</v>
      </c>
      <c r="F1223" t="s">
        <v>32</v>
      </c>
    </row>
    <row r="1224" spans="4:6" x14ac:dyDescent="0.2">
      <c r="D1224" t="s">
        <v>29</v>
      </c>
      <c r="F1224" t="s">
        <v>33</v>
      </c>
    </row>
    <row r="1225" spans="4:6" x14ac:dyDescent="0.2">
      <c r="D1225" t="s">
        <v>21</v>
      </c>
      <c r="F1225" t="s">
        <v>37</v>
      </c>
    </row>
    <row r="1226" spans="4:6" x14ac:dyDescent="0.2">
      <c r="D1226" t="s">
        <v>55</v>
      </c>
      <c r="F1226" t="s">
        <v>38</v>
      </c>
    </row>
    <row r="1227" spans="4:6" x14ac:dyDescent="0.2">
      <c r="D1227" t="s">
        <v>23</v>
      </c>
      <c r="F1227" t="s">
        <v>22</v>
      </c>
    </row>
    <row r="1228" spans="4:6" x14ac:dyDescent="0.2">
      <c r="D1228" t="s">
        <v>35</v>
      </c>
      <c r="F1228" t="s">
        <v>12</v>
      </c>
    </row>
    <row r="1229" spans="4:6" x14ac:dyDescent="0.2">
      <c r="D1229" t="s">
        <v>34</v>
      </c>
      <c r="F1229" t="s">
        <v>26</v>
      </c>
    </row>
    <row r="1230" spans="4:6" x14ac:dyDescent="0.2">
      <c r="D1230" t="s">
        <v>24</v>
      </c>
      <c r="F1230" t="s">
        <v>18</v>
      </c>
    </row>
    <row r="1231" spans="4:6" x14ac:dyDescent="0.2">
      <c r="D1231" t="s">
        <v>22</v>
      </c>
      <c r="F1231" t="s">
        <v>15</v>
      </c>
    </row>
    <row r="1232" spans="4:6" x14ac:dyDescent="0.2">
      <c r="D1232" t="s">
        <v>25</v>
      </c>
      <c r="F1232" t="s">
        <v>36</v>
      </c>
    </row>
    <row r="1233" spans="4:6" x14ac:dyDescent="0.2">
      <c r="D1233" t="s">
        <v>21</v>
      </c>
      <c r="F1233" t="s">
        <v>27</v>
      </c>
    </row>
    <row r="1234" spans="4:6" x14ac:dyDescent="0.2">
      <c r="D1234" t="s">
        <v>11</v>
      </c>
      <c r="F1234" t="s">
        <v>14</v>
      </c>
    </row>
    <row r="1235" spans="4:6" x14ac:dyDescent="0.2">
      <c r="D1235" t="s">
        <v>37</v>
      </c>
      <c r="F1235" t="s">
        <v>23</v>
      </c>
    </row>
    <row r="1236" spans="4:6" x14ac:dyDescent="0.2">
      <c r="D1236" t="s">
        <v>29</v>
      </c>
      <c r="F1236" t="s">
        <v>13</v>
      </c>
    </row>
    <row r="1237" spans="4:6" x14ac:dyDescent="0.2">
      <c r="D1237" t="s">
        <v>10</v>
      </c>
      <c r="F1237" t="s">
        <v>33</v>
      </c>
    </row>
    <row r="1238" spans="4:6" x14ac:dyDescent="0.2">
      <c r="D1238" t="s">
        <v>32</v>
      </c>
      <c r="F1238" t="s">
        <v>40</v>
      </c>
    </row>
    <row r="1239" spans="4:6" x14ac:dyDescent="0.2">
      <c r="D1239" t="s">
        <v>29</v>
      </c>
      <c r="F1239" t="s">
        <v>31</v>
      </c>
    </row>
    <row r="1240" spans="4:6" x14ac:dyDescent="0.2">
      <c r="D1240" t="s">
        <v>21</v>
      </c>
      <c r="F1240" t="s">
        <v>25</v>
      </c>
    </row>
    <row r="1241" spans="4:6" x14ac:dyDescent="0.2">
      <c r="D1241" t="s">
        <v>16</v>
      </c>
      <c r="F1241" t="s">
        <v>39</v>
      </c>
    </row>
    <row r="1242" spans="4:6" x14ac:dyDescent="0.2">
      <c r="D1242" t="s">
        <v>28</v>
      </c>
      <c r="F1242" t="s">
        <v>26</v>
      </c>
    </row>
    <row r="1243" spans="4:6" x14ac:dyDescent="0.2">
      <c r="D1243" t="s">
        <v>32</v>
      </c>
      <c r="F1243" t="s">
        <v>34</v>
      </c>
    </row>
    <row r="1244" spans="4:6" x14ac:dyDescent="0.2">
      <c r="D1244" t="s">
        <v>11</v>
      </c>
      <c r="F1244" t="s">
        <v>18</v>
      </c>
    </row>
    <row r="1245" spans="4:6" x14ac:dyDescent="0.2">
      <c r="D1245" t="s">
        <v>27</v>
      </c>
      <c r="F1245" t="s">
        <v>24</v>
      </c>
    </row>
    <row r="1246" spans="4:6" x14ac:dyDescent="0.2">
      <c r="D1246" t="s">
        <v>37</v>
      </c>
      <c r="F1246" t="s">
        <v>36</v>
      </c>
    </row>
    <row r="1247" spans="4:6" x14ac:dyDescent="0.2">
      <c r="D1247" t="s">
        <v>12</v>
      </c>
      <c r="F1247" t="s">
        <v>35</v>
      </c>
    </row>
    <row r="1248" spans="4:6" x14ac:dyDescent="0.2">
      <c r="D1248" t="s">
        <v>17</v>
      </c>
      <c r="F1248" t="s">
        <v>55</v>
      </c>
    </row>
    <row r="1249" spans="4:6" x14ac:dyDescent="0.2">
      <c r="D1249" t="s">
        <v>20</v>
      </c>
      <c r="F1249" t="s">
        <v>38</v>
      </c>
    </row>
    <row r="1250" spans="4:6" x14ac:dyDescent="0.2">
      <c r="D1250" t="s">
        <v>23</v>
      </c>
      <c r="F1250" t="s">
        <v>15</v>
      </c>
    </row>
    <row r="1251" spans="4:6" x14ac:dyDescent="0.2">
      <c r="D1251" t="s">
        <v>17</v>
      </c>
      <c r="F1251" t="s">
        <v>33</v>
      </c>
    </row>
    <row r="1252" spans="4:6" x14ac:dyDescent="0.2">
      <c r="D1252" t="s">
        <v>22</v>
      </c>
      <c r="F1252" t="s">
        <v>19</v>
      </c>
    </row>
    <row r="1253" spans="4:6" x14ac:dyDescent="0.2">
      <c r="D1253" t="s">
        <v>33</v>
      </c>
      <c r="F1253" t="s">
        <v>31</v>
      </c>
    </row>
    <row r="1254" spans="4:6" x14ac:dyDescent="0.2">
      <c r="D1254" t="s">
        <v>28</v>
      </c>
      <c r="F1254" t="s">
        <v>23</v>
      </c>
    </row>
    <row r="1255" spans="4:6" x14ac:dyDescent="0.2">
      <c r="D1255" t="s">
        <v>25</v>
      </c>
      <c r="F1255" t="s">
        <v>10</v>
      </c>
    </row>
    <row r="1256" spans="4:6" x14ac:dyDescent="0.2">
      <c r="D1256" t="s">
        <v>16</v>
      </c>
      <c r="F1256" t="s">
        <v>12</v>
      </c>
    </row>
    <row r="1257" spans="4:6" x14ac:dyDescent="0.2">
      <c r="D1257" t="s">
        <v>34</v>
      </c>
      <c r="F1257" t="s">
        <v>39</v>
      </c>
    </row>
    <row r="1258" spans="4:6" x14ac:dyDescent="0.2">
      <c r="D1258" t="s">
        <v>27</v>
      </c>
      <c r="F1258" t="s">
        <v>26</v>
      </c>
    </row>
    <row r="1259" spans="4:6" x14ac:dyDescent="0.2">
      <c r="D1259" t="s">
        <v>38</v>
      </c>
      <c r="F1259" t="s">
        <v>13</v>
      </c>
    </row>
    <row r="1260" spans="4:6" x14ac:dyDescent="0.2">
      <c r="D1260" t="s">
        <v>37</v>
      </c>
      <c r="F1260" t="s">
        <v>18</v>
      </c>
    </row>
    <row r="1261" spans="4:6" x14ac:dyDescent="0.2">
      <c r="D1261" t="s">
        <v>14</v>
      </c>
      <c r="F1261" t="s">
        <v>24</v>
      </c>
    </row>
    <row r="1262" spans="4:6" x14ac:dyDescent="0.2">
      <c r="D1262" t="s">
        <v>19</v>
      </c>
      <c r="F1262" t="s">
        <v>30</v>
      </c>
    </row>
    <row r="1263" spans="4:6" x14ac:dyDescent="0.2">
      <c r="D1263" t="s">
        <v>11</v>
      </c>
      <c r="F1263" t="s">
        <v>36</v>
      </c>
    </row>
    <row r="1264" spans="4:6" x14ac:dyDescent="0.2">
      <c r="D1264" t="s">
        <v>20</v>
      </c>
      <c r="F1264" t="s">
        <v>32</v>
      </c>
    </row>
    <row r="1265" spans="4:6" x14ac:dyDescent="0.2">
      <c r="D1265" t="s">
        <v>40</v>
      </c>
      <c r="F1265" t="s">
        <v>35</v>
      </c>
    </row>
    <row r="1266" spans="4:6" x14ac:dyDescent="0.2">
      <c r="D1266" t="s">
        <v>29</v>
      </c>
      <c r="F1266" t="s">
        <v>55</v>
      </c>
    </row>
    <row r="1267" spans="4:6" x14ac:dyDescent="0.2">
      <c r="D1267" t="s">
        <v>37</v>
      </c>
      <c r="F1267" t="s">
        <v>21</v>
      </c>
    </row>
    <row r="1268" spans="4:6" x14ac:dyDescent="0.2">
      <c r="D1268" t="s">
        <v>35</v>
      </c>
      <c r="F1268" t="s">
        <v>10</v>
      </c>
    </row>
    <row r="1269" spans="4:6" x14ac:dyDescent="0.2">
      <c r="D1269" t="s">
        <v>20</v>
      </c>
      <c r="F1269" t="s">
        <v>12</v>
      </c>
    </row>
    <row r="1270" spans="4:6" x14ac:dyDescent="0.2">
      <c r="D1270" t="s">
        <v>15</v>
      </c>
      <c r="F1270" t="s">
        <v>39</v>
      </c>
    </row>
    <row r="1271" spans="4:6" x14ac:dyDescent="0.2">
      <c r="D1271" t="s">
        <v>24</v>
      </c>
      <c r="F1271" t="s">
        <v>26</v>
      </c>
    </row>
    <row r="1272" spans="4:6" x14ac:dyDescent="0.2">
      <c r="D1272" t="s">
        <v>17</v>
      </c>
      <c r="F1272" t="s">
        <v>13</v>
      </c>
    </row>
    <row r="1273" spans="4:6" x14ac:dyDescent="0.2">
      <c r="D1273" t="s">
        <v>28</v>
      </c>
      <c r="F1273" t="s">
        <v>18</v>
      </c>
    </row>
    <row r="1274" spans="4:6" x14ac:dyDescent="0.2">
      <c r="D1274" t="s">
        <v>34</v>
      </c>
      <c r="F1274" t="s">
        <v>29</v>
      </c>
    </row>
    <row r="1275" spans="4:6" x14ac:dyDescent="0.2">
      <c r="D1275" t="s">
        <v>36</v>
      </c>
      <c r="F1275" t="s">
        <v>30</v>
      </c>
    </row>
    <row r="1276" spans="4:6" x14ac:dyDescent="0.2">
      <c r="D1276" t="s">
        <v>22</v>
      </c>
      <c r="F1276" t="s">
        <v>14</v>
      </c>
    </row>
    <row r="1277" spans="4:6" x14ac:dyDescent="0.2">
      <c r="D1277" t="s">
        <v>16</v>
      </c>
      <c r="F1277" t="s">
        <v>32</v>
      </c>
    </row>
    <row r="1278" spans="4:6" x14ac:dyDescent="0.2">
      <c r="D1278" t="s">
        <v>38</v>
      </c>
      <c r="F1278" t="s">
        <v>33</v>
      </c>
    </row>
    <row r="1279" spans="4:6" x14ac:dyDescent="0.2">
      <c r="D1279" t="s">
        <v>11</v>
      </c>
      <c r="F1279" t="s">
        <v>19</v>
      </c>
    </row>
    <row r="1280" spans="4:6" x14ac:dyDescent="0.2">
      <c r="D1280" t="s">
        <v>25</v>
      </c>
      <c r="F1280" t="s">
        <v>55</v>
      </c>
    </row>
    <row r="1281" spans="4:6" x14ac:dyDescent="0.2">
      <c r="D1281" t="s">
        <v>27</v>
      </c>
      <c r="F1281" t="s">
        <v>40</v>
      </c>
    </row>
    <row r="1282" spans="4:6" x14ac:dyDescent="0.2">
      <c r="D1282" t="s">
        <v>38</v>
      </c>
      <c r="F1282" t="s">
        <v>31</v>
      </c>
    </row>
    <row r="1283" spans="4:6" x14ac:dyDescent="0.2">
      <c r="D1283" t="s">
        <v>21</v>
      </c>
      <c r="F1283" t="s">
        <v>28</v>
      </c>
    </row>
    <row r="1284" spans="4:6" x14ac:dyDescent="0.2">
      <c r="D1284" t="s">
        <v>55</v>
      </c>
      <c r="F1284" t="s">
        <v>16</v>
      </c>
    </row>
    <row r="1285" spans="4:6" x14ac:dyDescent="0.2">
      <c r="D1285" t="s">
        <v>36</v>
      </c>
      <c r="F1285" t="s">
        <v>24</v>
      </c>
    </row>
    <row r="1286" spans="4:6" x14ac:dyDescent="0.2">
      <c r="D1286" t="s">
        <v>18</v>
      </c>
      <c r="F1286" t="s">
        <v>30</v>
      </c>
    </row>
    <row r="1287" spans="4:6" x14ac:dyDescent="0.2">
      <c r="D1287" t="s">
        <v>14</v>
      </c>
      <c r="F1287" t="s">
        <v>22</v>
      </c>
    </row>
    <row r="1288" spans="4:6" x14ac:dyDescent="0.2">
      <c r="D1288" t="s">
        <v>23</v>
      </c>
      <c r="F1288" t="s">
        <v>10</v>
      </c>
    </row>
    <row r="1289" spans="4:6" x14ac:dyDescent="0.2">
      <c r="D1289" t="s">
        <v>12</v>
      </c>
      <c r="F1289" t="s">
        <v>17</v>
      </c>
    </row>
    <row r="1290" spans="4:6" x14ac:dyDescent="0.2">
      <c r="D1290" t="s">
        <v>15</v>
      </c>
      <c r="F1290" t="s">
        <v>11</v>
      </c>
    </row>
    <row r="1291" spans="4:6" x14ac:dyDescent="0.2">
      <c r="D1291" t="s">
        <v>33</v>
      </c>
      <c r="F1291" t="s">
        <v>29</v>
      </c>
    </row>
    <row r="1292" spans="4:6" x14ac:dyDescent="0.2">
      <c r="D1292" t="s">
        <v>25</v>
      </c>
      <c r="F1292" t="s">
        <v>27</v>
      </c>
    </row>
    <row r="1293" spans="4:6" x14ac:dyDescent="0.2">
      <c r="D1293" t="s">
        <v>13</v>
      </c>
      <c r="F1293" t="s">
        <v>32</v>
      </c>
    </row>
    <row r="1294" spans="4:6" x14ac:dyDescent="0.2">
      <c r="D1294" t="s">
        <v>34</v>
      </c>
      <c r="F1294" t="s">
        <v>35</v>
      </c>
    </row>
    <row r="1295" spans="4:6" x14ac:dyDescent="0.2">
      <c r="D1295" t="s">
        <v>26</v>
      </c>
      <c r="F1295" t="s">
        <v>37</v>
      </c>
    </row>
    <row r="1296" spans="4:6" x14ac:dyDescent="0.2">
      <c r="D1296" t="s">
        <v>39</v>
      </c>
      <c r="F1296" t="s">
        <v>19</v>
      </c>
    </row>
    <row r="1297" spans="4:6" x14ac:dyDescent="0.2">
      <c r="D1297" t="s">
        <v>40</v>
      </c>
      <c r="F1297" t="s">
        <v>20</v>
      </c>
    </row>
    <row r="1298" spans="4:6" x14ac:dyDescent="0.2">
      <c r="D1298" t="s">
        <v>24</v>
      </c>
      <c r="F1298" t="s">
        <v>21</v>
      </c>
    </row>
    <row r="1299" spans="4:6" x14ac:dyDescent="0.2">
      <c r="D1299" t="s">
        <v>22</v>
      </c>
      <c r="F1299" t="s">
        <v>28</v>
      </c>
    </row>
    <row r="1300" spans="4:6" x14ac:dyDescent="0.2">
      <c r="D1300" t="s">
        <v>12</v>
      </c>
      <c r="F1300" t="s">
        <v>16</v>
      </c>
    </row>
    <row r="1301" spans="4:6" x14ac:dyDescent="0.2">
      <c r="D1301" t="s">
        <v>31</v>
      </c>
      <c r="F1301" t="s">
        <v>34</v>
      </c>
    </row>
    <row r="1302" spans="4:6" x14ac:dyDescent="0.2">
      <c r="D1302" t="s">
        <v>25</v>
      </c>
      <c r="F1302" t="s">
        <v>30</v>
      </c>
    </row>
    <row r="1303" spans="4:6" x14ac:dyDescent="0.2">
      <c r="D1303" t="s">
        <v>18</v>
      </c>
      <c r="F1303" t="s">
        <v>27</v>
      </c>
    </row>
    <row r="1304" spans="4:6" x14ac:dyDescent="0.2">
      <c r="D1304" t="s">
        <v>14</v>
      </c>
      <c r="F1304" t="s">
        <v>35</v>
      </c>
    </row>
    <row r="1305" spans="4:6" x14ac:dyDescent="0.2">
      <c r="D1305" t="s">
        <v>40</v>
      </c>
      <c r="F1305" t="s">
        <v>55</v>
      </c>
    </row>
    <row r="1306" spans="4:6" x14ac:dyDescent="0.2">
      <c r="D1306" t="s">
        <v>13</v>
      </c>
      <c r="F1306" t="s">
        <v>38</v>
      </c>
    </row>
    <row r="1307" spans="4:6" x14ac:dyDescent="0.2">
      <c r="D1307" t="s">
        <v>39</v>
      </c>
      <c r="F1307" t="s">
        <v>23</v>
      </c>
    </row>
    <row r="1308" spans="4:6" x14ac:dyDescent="0.2">
      <c r="D1308" t="s">
        <v>33</v>
      </c>
      <c r="F1308" t="s">
        <v>10</v>
      </c>
    </row>
    <row r="1309" spans="4:6" x14ac:dyDescent="0.2">
      <c r="D1309" t="s">
        <v>26</v>
      </c>
      <c r="F1309" t="s">
        <v>11</v>
      </c>
    </row>
    <row r="1310" spans="4:6" x14ac:dyDescent="0.2">
      <c r="D1310" t="s">
        <v>19</v>
      </c>
      <c r="F1310" t="s">
        <v>36</v>
      </c>
    </row>
    <row r="1311" spans="4:6" x14ac:dyDescent="0.2">
      <c r="D1311" t="s">
        <v>15</v>
      </c>
      <c r="F1311" t="s">
        <v>37</v>
      </c>
    </row>
    <row r="1312" spans="4:6" x14ac:dyDescent="0.2">
      <c r="D1312" t="s">
        <v>32</v>
      </c>
      <c r="F1312" t="s">
        <v>20</v>
      </c>
    </row>
    <row r="1313" spans="4:6" x14ac:dyDescent="0.2">
      <c r="D1313" t="s">
        <v>13</v>
      </c>
      <c r="F1313" t="s">
        <v>16</v>
      </c>
    </row>
    <row r="1314" spans="4:6" x14ac:dyDescent="0.2">
      <c r="D1314" t="s">
        <v>32</v>
      </c>
      <c r="F1314" t="s">
        <v>12</v>
      </c>
    </row>
    <row r="1315" spans="4:6" x14ac:dyDescent="0.2">
      <c r="D1315" t="s">
        <v>38</v>
      </c>
      <c r="F1315" t="s">
        <v>17</v>
      </c>
    </row>
    <row r="1316" spans="4:6" x14ac:dyDescent="0.2">
      <c r="D1316" t="s">
        <v>31</v>
      </c>
      <c r="F1316" t="s">
        <v>29</v>
      </c>
    </row>
    <row r="1317" spans="4:6" x14ac:dyDescent="0.2">
      <c r="D1317" t="s">
        <v>35</v>
      </c>
      <c r="F1317" t="s">
        <v>55</v>
      </c>
    </row>
    <row r="1318" spans="4:6" x14ac:dyDescent="0.2">
      <c r="D1318" t="s">
        <v>33</v>
      </c>
      <c r="F1318" t="s">
        <v>40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D0243A-F1F5-2D4F-AB55-6B8489BFE00D}">
  <sheetPr codeName="Sheet3"/>
  <dimension ref="A1:V1313"/>
  <sheetViews>
    <sheetView topLeftCell="C1" zoomScale="85" zoomScaleNormal="70" workbookViewId="0">
      <pane ySplit="1" topLeftCell="A403" activePane="bottomLeft" state="frozen"/>
      <selection activeCell="I1" sqref="I1"/>
      <selection pane="bottomLeft" activeCell="O426" sqref="O426"/>
    </sheetView>
  </sheetViews>
  <sheetFormatPr baseColWidth="10" defaultColWidth="10.83203125" defaultRowHeight="16" x14ac:dyDescent="0.2"/>
  <cols>
    <col min="1" max="1" width="19.83203125" bestFit="1" customWidth="1"/>
    <col min="2" max="2" width="12.83203125" bestFit="1" customWidth="1"/>
    <col min="5" max="5" width="12.1640625" bestFit="1" customWidth="1"/>
    <col min="6" max="6" width="19.83203125" bestFit="1" customWidth="1"/>
    <col min="7" max="7" width="18.33203125" customWidth="1"/>
    <col min="8" max="8" width="19.83203125" bestFit="1" customWidth="1"/>
    <col min="9" max="9" width="17.6640625" customWidth="1"/>
    <col min="10" max="10" width="20.83203125" customWidth="1"/>
    <col min="11" max="11" width="19.83203125" bestFit="1" customWidth="1"/>
    <col min="12" max="12" width="19.83203125" customWidth="1"/>
    <col min="13" max="13" width="19.33203125" bestFit="1" customWidth="1"/>
    <col min="15" max="15" width="29.1640625" bestFit="1" customWidth="1"/>
    <col min="16" max="16" width="29.1640625" customWidth="1"/>
    <col min="17" max="17" width="19.83203125" bestFit="1" customWidth="1"/>
    <col min="18" max="18" width="17.33203125" bestFit="1" customWidth="1"/>
    <col min="20" max="20" width="13.6640625" bestFit="1" customWidth="1"/>
    <col min="22" max="22" width="15.33203125" bestFit="1" customWidth="1"/>
  </cols>
  <sheetData>
    <row r="1" spans="1:22" x14ac:dyDescent="0.2">
      <c r="A1" s="3" t="s">
        <v>41</v>
      </c>
      <c r="B1">
        <f>HomeEdge</f>
        <v>4.9900748923162465E-2</v>
      </c>
      <c r="D1" s="9" t="s">
        <v>0</v>
      </c>
      <c r="E1" s="9" t="s">
        <v>1</v>
      </c>
      <c r="F1" s="9" t="s">
        <v>4</v>
      </c>
      <c r="G1" s="9" t="s">
        <v>50</v>
      </c>
      <c r="H1" s="9" t="s">
        <v>2</v>
      </c>
      <c r="I1" s="9" t="s">
        <v>51</v>
      </c>
      <c r="J1" s="9" t="s">
        <v>52</v>
      </c>
      <c r="K1" s="9" t="s">
        <v>53</v>
      </c>
      <c r="L1" s="9" t="s">
        <v>244</v>
      </c>
      <c r="M1" s="9" t="s">
        <v>251</v>
      </c>
      <c r="N1" s="9" t="s">
        <v>242</v>
      </c>
      <c r="O1" s="9" t="s">
        <v>247</v>
      </c>
      <c r="P1" s="9" t="s">
        <v>255</v>
      </c>
      <c r="Q1" s="9" t="s">
        <v>245</v>
      </c>
      <c r="R1" s="9" t="s">
        <v>246</v>
      </c>
    </row>
    <row r="2" spans="1:22" x14ac:dyDescent="0.2">
      <c r="D2" s="1">
        <v>45937</v>
      </c>
      <c r="E2" s="2">
        <v>0.70833333333333337</v>
      </c>
      <c r="F2" t="s">
        <v>11</v>
      </c>
      <c r="G2">
        <f>VLOOKUP(Table4[[#This Row],[Home]],'NHL Model'!$A$6:$B$38,2,FALSE)</f>
        <v>-0.39711829106410657</v>
      </c>
      <c r="H2" t="s">
        <v>10</v>
      </c>
      <c r="I2">
        <f>VLOOKUP(Table4[[#This Row],[Visitor]],'NHL Model'!$A$6:$B$38,2,FALSE)</f>
        <v>-0.17619625518431364</v>
      </c>
      <c r="J2">
        <f>($B$1+Table4[[#This Row],[Home Differential]])-Table4[[#This Row],[Away Differential]]</f>
        <v>-0.17102128695663044</v>
      </c>
      <c r="K2" t="str">
        <f>IF(Table4[[#This Row],[HomeIce Differential]]&gt;0,Table4[[#This Row],[Home]],Table4[[#This Row],[Visitor]])</f>
        <v>Chicago Blackhawks</v>
      </c>
      <c r="L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0.46595263884762023</v>
      </c>
      <c r="M2" t="str">
        <f>IF(OR((NHL2025_26Results[[#This Row],[Winning Team]]="")),"-",IF(Table4[[#This Row],[Predicted Winner]]=NHL2025_26Results[[#This Row],[Winning Team]],"YES","NO"))</f>
        <v>NO</v>
      </c>
      <c r="N2">
        <f>IF(Table4[[#This Row],[Adjusted Correct]]="-", "",IF(Table4[[#This Row],[Adjusted Correct]]="YES",(Table4[[#This Row],[Strength of Win]]-1)^2,(Table4[[#This Row],[Strength of Win]]-0)^2))</f>
        <v>0.21711186164906079</v>
      </c>
      <c r="O2">
        <v>2.0105266887074272E-2</v>
      </c>
      <c r="P2" s="11"/>
      <c r="Q2" t="s">
        <v>11</v>
      </c>
      <c r="R2" t="s">
        <v>248</v>
      </c>
      <c r="T2" s="3" t="s">
        <v>252</v>
      </c>
      <c r="V2" s="3" t="s">
        <v>253</v>
      </c>
    </row>
    <row r="3" spans="1:22" x14ac:dyDescent="0.2">
      <c r="A3" s="5" t="s">
        <v>44</v>
      </c>
      <c r="B3" t="s">
        <v>54</v>
      </c>
      <c r="D3" s="1">
        <v>45937</v>
      </c>
      <c r="E3" s="2">
        <v>0.9375</v>
      </c>
      <c r="F3" t="s">
        <v>13</v>
      </c>
      <c r="G3">
        <f>VLOOKUP(Table4[[#This Row],[Home]],'NHL Model'!$A$6:$B$38,2,FALSE)</f>
        <v>-0.33828359867721369</v>
      </c>
      <c r="H3" t="s">
        <v>12</v>
      </c>
      <c r="I3">
        <f>VLOOKUP(Table4[[#This Row],[Visitor]],'NHL Model'!$A$6:$B$38,2,FALSE)</f>
        <v>1.6319036584269762</v>
      </c>
      <c r="J3">
        <f>($B$1+Table4[[#This Row],[Home Differential]])-Table4[[#This Row],[Away Differential]]</f>
        <v>-1.9202865081810274</v>
      </c>
      <c r="K3" t="str">
        <f>IF(Table4[[#This Row],[HomeIce Differential]]&gt;0,Table4[[#This Row],[Home]],Table4[[#This Row],[Visitor]])</f>
        <v>Colorado Avalanche</v>
      </c>
      <c r="L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0.7568449603440992</v>
      </c>
      <c r="M3" t="str">
        <f>IF(OR((NHL2025_26Results[[#This Row],[Winning Team]]="")),"-",IF(Table4[[#This Row],[Predicted Winner]]=NHL2025_26Results[[#This Row],[Winning Team]],"YES","NO"))</f>
        <v>YES</v>
      </c>
      <c r="N3">
        <f>IF(Table4[[#This Row],[Adjusted Correct]]="-", "",IF(Table4[[#This Row],[Adjusted Correct]]="YES",(Table4[[#This Row],[Strength of Win]]-1)^2,(Table4[[#This Row],[Strength of Win]]-0)^2))</f>
        <v>5.9124373310062692E-2</v>
      </c>
      <c r="O3">
        <v>-7.4443026939693735E-2</v>
      </c>
      <c r="P3" s="11"/>
      <c r="Q3" t="s">
        <v>12</v>
      </c>
      <c r="R3" t="s">
        <v>248</v>
      </c>
      <c r="T3">
        <f>COUNTIF(Table4[Adjusted Correct],"YES")</f>
        <v>241</v>
      </c>
      <c r="V3">
        <f>COUNTIF(Table4[Locked Correct],"YES")</f>
        <v>245</v>
      </c>
    </row>
    <row r="4" spans="1:22" x14ac:dyDescent="0.2">
      <c r="A4" s="4" t="s">
        <v>31</v>
      </c>
      <c r="B4">
        <v>0.51775546328552802</v>
      </c>
      <c r="D4" s="1">
        <v>45937</v>
      </c>
      <c r="E4" s="2">
        <v>0.83333333333333337</v>
      </c>
      <c r="F4" t="s">
        <v>15</v>
      </c>
      <c r="G4">
        <f>VLOOKUP(Table4[[#This Row],[Home]],'NHL Model'!$A$6:$B$38,2,FALSE)</f>
        <v>-0.29003398448394263</v>
      </c>
      <c r="H4" t="s">
        <v>14</v>
      </c>
      <c r="I4">
        <f>VLOOKUP(Table4[[#This Row],[Visitor]],'NHL Model'!$A$6:$B$38,2,FALSE)</f>
        <v>-0.14226422156549004</v>
      </c>
      <c r="J4">
        <f>($B$1+Table4[[#This Row],[Home Differential]])-Table4[[#This Row],[Away Differential]]</f>
        <v>-9.7869013995290133E-2</v>
      </c>
      <c r="K4" t="str">
        <f>IF(Table4[[#This Row],[HomeIce Differential]]&gt;0,Table4[[#This Row],[Home]],Table4[[#This Row],[Visitor]])</f>
        <v>Pittsburgh Penguins</v>
      </c>
      <c r="L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0.51071438506573652</v>
      </c>
      <c r="M4" t="str">
        <f>IF(OR((NHL2025_26Results[[#This Row],[Winning Team]]="")),"-",IF(Table4[[#This Row],[Predicted Winner]]=NHL2025_26Results[[#This Row],[Winning Team]],"YES","NO"))</f>
        <v>YES</v>
      </c>
      <c r="N4">
        <f>IF(Table4[[#This Row],[Adjusted Correct]]="-", "",IF(Table4[[#This Row],[Adjusted Correct]]="YES",(Table4[[#This Row],[Strength of Win]]-1)^2,(Table4[[#This Row],[Strength of Win]]-0)^2))</f>
        <v>0.23940041298160036</v>
      </c>
      <c r="O4">
        <v>-7.3597467237512884E-2</v>
      </c>
      <c r="P4" s="11"/>
      <c r="Q4" t="s">
        <v>14</v>
      </c>
      <c r="R4" t="s">
        <v>248</v>
      </c>
      <c r="T4">
        <f>COUNTIF(Table4[Adjusted Correct],"NO")</f>
        <v>169</v>
      </c>
      <c r="V4">
        <f>COUNTIF(Table4[Locked Correct],"NO")</f>
        <v>165</v>
      </c>
    </row>
    <row r="5" spans="1:22" x14ac:dyDescent="0.2">
      <c r="A5" s="4" t="s">
        <v>21</v>
      </c>
      <c r="B5">
        <v>4.029141914856392E-2</v>
      </c>
      <c r="D5" s="1">
        <v>45938</v>
      </c>
      <c r="E5" s="2">
        <v>0.91666666666666663</v>
      </c>
      <c r="F5" t="s">
        <v>17</v>
      </c>
      <c r="G5">
        <f>VLOOKUP(Table4[[#This Row],[Home]],'NHL Model'!$A$6:$B$38,2,FALSE)</f>
        <v>-0.81774666423752174</v>
      </c>
      <c r="H5" t="s">
        <v>16</v>
      </c>
      <c r="I5">
        <f>VLOOKUP(Table4[[#This Row],[Visitor]],'NHL Model'!$A$6:$B$38,2,FALSE)</f>
        <v>-1.0657812790446208</v>
      </c>
      <c r="J5">
        <f>($B$1+Table4[[#This Row],[Home Differential]])-Table4[[#This Row],[Away Differential]]</f>
        <v>0.29793536373026153</v>
      </c>
      <c r="K5" t="str">
        <f>IF(Table4[[#This Row],[HomeIce Differential]]&gt;0,Table4[[#This Row],[Home]],Table4[[#This Row],[Visitor]])</f>
        <v>Edmonton Oilers</v>
      </c>
      <c r="L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0.58183430278759984</v>
      </c>
      <c r="M5" t="str">
        <f>IF(OR((NHL2025_26Results[[#This Row],[Winning Team]]="")),"-",IF(Table4[[#This Row],[Predicted Winner]]=NHL2025_26Results[[#This Row],[Winning Team]],"YES","NO"))</f>
        <v>NO</v>
      </c>
      <c r="N5">
        <f>IF(Table4[[#This Row],[Adjusted Correct]]="-", "",IF(Table4[[#This Row],[Adjusted Correct]]="YES",(Table4[[#This Row],[Strength of Win]]-1)^2,(Table4[[#This Row],[Strength of Win]]-0)^2))</f>
        <v>0.33853115590033239</v>
      </c>
      <c r="O5">
        <v>-4.1674767740132361E-3</v>
      </c>
      <c r="P5" s="11"/>
      <c r="Q5" t="s">
        <v>16</v>
      </c>
      <c r="R5" t="s">
        <v>248</v>
      </c>
      <c r="T5">
        <f>SUM(T3:T4)</f>
        <v>410</v>
      </c>
      <c r="V5">
        <f>SUM(V3:V4)</f>
        <v>410</v>
      </c>
    </row>
    <row r="6" spans="1:22" x14ac:dyDescent="0.2">
      <c r="A6" s="4" t="s">
        <v>23</v>
      </c>
      <c r="B6">
        <v>-0.8683412362501769</v>
      </c>
      <c r="D6" s="1">
        <v>45938</v>
      </c>
      <c r="E6" s="2">
        <v>0.79166666666666663</v>
      </c>
      <c r="F6" t="s">
        <v>19</v>
      </c>
      <c r="G6">
        <f>VLOOKUP(Table4[[#This Row],[Home]],'NHL Model'!$A$6:$B$38,2,FALSE)</f>
        <v>-0.63447859131898054</v>
      </c>
      <c r="H6" t="s">
        <v>18</v>
      </c>
      <c r="I6">
        <f>VLOOKUP(Table4[[#This Row],[Visitor]],'NHL Model'!$A$6:$B$38,2,FALSE)</f>
        <v>-0.59288962827382519</v>
      </c>
      <c r="J6">
        <f>($B$1+Table4[[#This Row],[Home Differential]])-Table4[[#This Row],[Away Differential]]</f>
        <v>8.3117858780070719E-3</v>
      </c>
      <c r="K6" t="str">
        <f>IF(Table4[[#This Row],[HomeIce Differential]]&gt;0,Table4[[#This Row],[Home]],Table4[[#This Row],[Visitor]])</f>
        <v>Toronto Maple Leafs</v>
      </c>
      <c r="L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0.48168268984656837</v>
      </c>
      <c r="M6" t="str">
        <f>IF(OR((NHL2025_26Results[[#This Row],[Winning Team]]="")),"-",IF(Table4[[#This Row],[Predicted Winner]]=NHL2025_26Results[[#This Row],[Winning Team]],"YES","NO"))</f>
        <v>YES</v>
      </c>
      <c r="N6">
        <f>IF(Table4[[#This Row],[Adjusted Correct]]="-", "",IF(Table4[[#This Row],[Adjusted Correct]]="YES",(Table4[[#This Row],[Strength of Win]]-1)^2,(Table4[[#This Row],[Strength of Win]]-0)^2))</f>
        <v>0.26865283400468865</v>
      </c>
      <c r="O6">
        <v>-4.4363714293103977E-3</v>
      </c>
      <c r="P6" s="11"/>
      <c r="Q6" t="s">
        <v>18</v>
      </c>
      <c r="R6" t="s">
        <v>249</v>
      </c>
      <c r="T6" s="13">
        <f>T3/T5</f>
        <v>0.58780487804878045</v>
      </c>
      <c r="V6" s="13">
        <f>V3/V5</f>
        <v>0.59756097560975607</v>
      </c>
    </row>
    <row r="7" spans="1:22" x14ac:dyDescent="0.2">
      <c r="A7" s="4" t="s">
        <v>16</v>
      </c>
      <c r="B7">
        <v>-1.3903684122795328</v>
      </c>
      <c r="D7" s="1">
        <v>45938</v>
      </c>
      <c r="E7" s="2">
        <v>0.91666666666666663</v>
      </c>
      <c r="F7" t="s">
        <v>20</v>
      </c>
      <c r="G7">
        <f>VLOOKUP(Table4[[#This Row],[Home]],'NHL Model'!$A$6:$B$38,2,FALSE)</f>
        <v>-0.24444083032063643</v>
      </c>
      <c r="H7" t="s">
        <v>13</v>
      </c>
      <c r="I7">
        <f>VLOOKUP(Table4[[#This Row],[Visitor]],'NHL Model'!$A$6:$B$38,2,FALSE)</f>
        <v>-0.33828359867721369</v>
      </c>
      <c r="J7">
        <f>($B$1+Table4[[#This Row],[Home Differential]])-Table4[[#This Row],[Away Differential]]</f>
        <v>0.14374351727973972</v>
      </c>
      <c r="K7" t="str">
        <f>IF(Table4[[#This Row],[HomeIce Differential]]&gt;0,Table4[[#This Row],[Home]],Table4[[#This Row],[Visitor]])</f>
        <v>Vegas Golden Knights</v>
      </c>
      <c r="L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0.49046838767162676</v>
      </c>
      <c r="M7" t="str">
        <f>IF(OR((NHL2025_26Results[[#This Row],[Winning Team]]="")),"-",IF(Table4[[#This Row],[Predicted Winner]]=NHL2025_26Results[[#This Row],[Winning Team]],"YES","NO"))</f>
        <v>NO</v>
      </c>
      <c r="N7">
        <f>IF(Table4[[#This Row],[Adjusted Correct]]="-", "",IF(Table4[[#This Row],[Adjusted Correct]]="YES",(Table4[[#This Row],[Strength of Win]]-1)^2,(Table4[[#This Row],[Strength of Win]]-0)^2))</f>
        <v>0.24055923930520515</v>
      </c>
      <c r="O7">
        <v>3.0320065545480886E-2</v>
      </c>
      <c r="P7" s="11"/>
      <c r="Q7" t="s">
        <v>20</v>
      </c>
      <c r="R7" t="s">
        <v>249</v>
      </c>
      <c r="T7" s="3" t="s">
        <v>49</v>
      </c>
    </row>
    <row r="8" spans="1:22" x14ac:dyDescent="0.2">
      <c r="A8" s="4" t="s">
        <v>25</v>
      </c>
      <c r="B8">
        <v>0.67193921242367816</v>
      </c>
      <c r="D8" s="1">
        <v>45938</v>
      </c>
      <c r="E8" s="2">
        <v>0.8125</v>
      </c>
      <c r="F8" t="s">
        <v>22</v>
      </c>
      <c r="G8">
        <f>VLOOKUP(Table4[[#This Row],[Home]],'NHL Model'!$A$6:$B$38,2,FALSE)</f>
        <v>0.4407072328537569</v>
      </c>
      <c r="H8" t="s">
        <v>21</v>
      </c>
      <c r="I8">
        <f>VLOOKUP(Table4[[#This Row],[Visitor]],'NHL Model'!$A$6:$B$38,2,FALSE)</f>
        <v>-0.21976976044773161</v>
      </c>
      <c r="J8">
        <f>($B$1+Table4[[#This Row],[Home Differential]])-Table4[[#This Row],[Away Differential]]</f>
        <v>0.710377742224651</v>
      </c>
      <c r="K8" t="str">
        <f>IF(Table4[[#This Row],[HomeIce Differential]]&gt;0,Table4[[#This Row],[Home]],Table4[[#This Row],[Visitor]])</f>
        <v>Washington Capitals</v>
      </c>
      <c r="L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0.64816447713626768</v>
      </c>
      <c r="M8" t="str">
        <f>IF(OR((NHL2025_26Results[[#This Row],[Winning Team]]="")),"-",IF(Table4[[#This Row],[Predicted Winner]]=NHL2025_26Results[[#This Row],[Winning Team]],"YES","NO"))</f>
        <v>NO</v>
      </c>
      <c r="N8">
        <f>IF(Table4[[#This Row],[Adjusted Correct]]="-", "",IF(Table4[[#This Row],[Adjusted Correct]]="YES",(Table4[[#This Row],[Strength of Win]]-1)^2,(Table4[[#This Row],[Strength of Win]]-0)^2))</f>
        <v>0.42011718942133125</v>
      </c>
      <c r="O8">
        <v>-4.9858230986448791E-3</v>
      </c>
      <c r="P8" s="11"/>
      <c r="Q8" t="s">
        <v>21</v>
      </c>
      <c r="R8" t="s">
        <v>248</v>
      </c>
      <c r="T8">
        <f>SUM(Table4[Error])</f>
        <v>93.893696092886202</v>
      </c>
      <c r="V8">
        <f>COUNTIF(Table4[Locked Correct],"")</f>
        <v>902</v>
      </c>
    </row>
    <row r="9" spans="1:22" x14ac:dyDescent="0.2">
      <c r="A9" s="4" t="s">
        <v>10</v>
      </c>
      <c r="B9">
        <v>0.30570968833820172</v>
      </c>
      <c r="D9" s="1">
        <v>45939</v>
      </c>
      <c r="E9" s="2">
        <v>0.79166666666666663</v>
      </c>
      <c r="F9" t="s">
        <v>21</v>
      </c>
      <c r="G9">
        <f>VLOOKUP(Table4[[#This Row],[Home]],'NHL Model'!$A$6:$B$38,2,FALSE)</f>
        <v>-0.21976976044773161</v>
      </c>
      <c r="H9" t="s">
        <v>10</v>
      </c>
      <c r="I9">
        <f>VLOOKUP(Table4[[#This Row],[Visitor]],'NHL Model'!$A$6:$B$38,2,FALSE)</f>
        <v>-0.17619625518431364</v>
      </c>
      <c r="J9">
        <f>($B$1+Table4[[#This Row],[Home Differential]])-Table4[[#This Row],[Away Differential]]</f>
        <v>6.3272436597444914E-3</v>
      </c>
      <c r="K9" t="str">
        <f>IF(Table4[[#This Row],[HomeIce Differential]]&gt;0,Table4[[#This Row],[Home]],Table4[[#This Row],[Visitor]])</f>
        <v>Boston Bruins</v>
      </c>
      <c r="L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0.58364035348487175</v>
      </c>
      <c r="M9" t="str">
        <f>IF(OR((NHL2025_26Results[[#This Row],[Winning Team]]="")),"-",IF(Table4[[#This Row],[Predicted Winner]]=NHL2025_26Results[[#This Row],[Winning Team]],"YES","NO"))</f>
        <v>YES</v>
      </c>
      <c r="N9">
        <f>IF(Table4[[#This Row],[Adjusted Correct]]="-", "",IF(Table4[[#This Row],[Adjusted Correct]]="YES",(Table4[[#This Row],[Strength of Win]]-1)^2,(Table4[[#This Row],[Strength of Win]]-0)^2))</f>
        <v>0.17335535524620255</v>
      </c>
      <c r="O9">
        <v>6.0525584604573038E-3</v>
      </c>
      <c r="P9" s="11"/>
      <c r="Q9" t="s">
        <v>21</v>
      </c>
      <c r="R9" t="s">
        <v>248</v>
      </c>
      <c r="T9" s="3" t="s">
        <v>243</v>
      </c>
    </row>
    <row r="10" spans="1:22" x14ac:dyDescent="0.2">
      <c r="A10" s="4" t="s">
        <v>12</v>
      </c>
      <c r="B10">
        <v>1.5475013591489768</v>
      </c>
      <c r="D10" s="1">
        <v>45939</v>
      </c>
      <c r="E10" s="2">
        <v>0.79166666666666663</v>
      </c>
      <c r="F10" t="s">
        <v>23</v>
      </c>
      <c r="G10">
        <f>VLOOKUP(Table4[[#This Row],[Home]],'NHL Model'!$A$6:$B$38,2,FALSE)</f>
        <v>-0.4761104357405897</v>
      </c>
      <c r="H10" t="s">
        <v>15</v>
      </c>
      <c r="I10">
        <f>VLOOKUP(Table4[[#This Row],[Visitor]],'NHL Model'!$A$6:$B$38,2,FALSE)</f>
        <v>-0.29003398448394263</v>
      </c>
      <c r="J10">
        <f>($B$1+Table4[[#This Row],[Home Differential]])-Table4[[#This Row],[Away Differential]]</f>
        <v>-0.13617570233348458</v>
      </c>
      <c r="K10" t="str">
        <f>IF(Table4[[#This Row],[HomeIce Differential]]&gt;0,Table4[[#This Row],[Home]],Table4[[#This Row],[Visitor]])</f>
        <v>New York Rangers</v>
      </c>
      <c r="L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0.56590052305735883</v>
      </c>
      <c r="M10" t="str">
        <f>IF(OR((NHL2025_26Results[[#This Row],[Winning Team]]="")),"-",IF(Table4[[#This Row],[Predicted Winner]]=NHL2025_26Results[[#This Row],[Winning Team]],"YES","NO"))</f>
        <v>YES</v>
      </c>
      <c r="N10">
        <f>IF(Table4[[#This Row],[Adjusted Correct]]="-", "",IF(Table4[[#This Row],[Adjusted Correct]]="YES",(Table4[[#This Row],[Strength of Win]]-1)^2,(Table4[[#This Row],[Strength of Win]]-0)^2))</f>
        <v>0.18844235588187466</v>
      </c>
      <c r="O10">
        <v>2.893763878885032E-2</v>
      </c>
      <c r="P10" s="11"/>
      <c r="Q10" t="s">
        <v>23</v>
      </c>
      <c r="R10" t="s">
        <v>249</v>
      </c>
      <c r="T10">
        <v>0.11676475894664017</v>
      </c>
    </row>
    <row r="11" spans="1:22" x14ac:dyDescent="0.2">
      <c r="A11" s="4" t="s">
        <v>28</v>
      </c>
      <c r="B11">
        <v>-0.40822279081308277</v>
      </c>
      <c r="D11" s="1">
        <v>45939</v>
      </c>
      <c r="E11" s="2">
        <v>0.8125</v>
      </c>
      <c r="F11" t="s">
        <v>25</v>
      </c>
      <c r="G11">
        <f>VLOOKUP(Table4[[#This Row],[Home]],'NHL Model'!$A$6:$B$38,2,FALSE)</f>
        <v>0.42567513732855267</v>
      </c>
      <c r="H11" t="s">
        <v>24</v>
      </c>
      <c r="I11">
        <f>VLOOKUP(Table4[[#This Row],[Visitor]],'NHL Model'!$A$6:$B$38,2,FALSE)</f>
        <v>1.5302507646042616E-3</v>
      </c>
      <c r="J11">
        <f>($B$1+Table4[[#This Row],[Home Differential]])-Table4[[#This Row],[Away Differential]]</f>
        <v>0.47404563548711087</v>
      </c>
      <c r="K11" t="str">
        <f>IF(Table4[[#This Row],[HomeIce Differential]]&gt;0,Table4[[#This Row],[Home]],Table4[[#This Row],[Visitor]])</f>
        <v>Carolina Hurricanes</v>
      </c>
      <c r="L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0.62678039578593081</v>
      </c>
      <c r="M11" t="str">
        <f>IF(OR((NHL2025_26Results[[#This Row],[Winning Team]]="")),"-",IF(Table4[[#This Row],[Predicted Winner]]=NHL2025_26Results[[#This Row],[Winning Team]],"YES","NO"))</f>
        <v>YES</v>
      </c>
      <c r="N11">
        <f>IF(Table4[[#This Row],[Adjusted Correct]]="-", "",IF(Table4[[#This Row],[Adjusted Correct]]="YES",(Table4[[#This Row],[Strength of Win]]-1)^2,(Table4[[#This Row],[Strength of Win]]-0)^2))</f>
        <v>0.13929287296970647</v>
      </c>
      <c r="O11">
        <v>-6.4941247330767612E-3</v>
      </c>
      <c r="P11" s="11"/>
      <c r="Q11" t="s">
        <v>24</v>
      </c>
      <c r="R11" t="s">
        <v>249</v>
      </c>
    </row>
    <row r="12" spans="1:22" x14ac:dyDescent="0.2">
      <c r="A12" s="4" t="s">
        <v>39</v>
      </c>
      <c r="B12">
        <v>0.19809534061227302</v>
      </c>
      <c r="D12" s="1">
        <v>45939</v>
      </c>
      <c r="E12" s="2">
        <v>0.875</v>
      </c>
      <c r="F12" t="s">
        <v>12</v>
      </c>
      <c r="G12">
        <f>VLOOKUP(Table4[[#This Row],[Home]],'NHL Model'!$A$6:$B$38,2,FALSE)</f>
        <v>1.6319036584269762</v>
      </c>
      <c r="H12" t="s">
        <v>55</v>
      </c>
      <c r="I12">
        <f>VLOOKUP(Table4[[#This Row],[Visitor]],'NHL Model'!$A$6:$B$38,2,FALSE)</f>
        <v>-0.4031232890211825</v>
      </c>
      <c r="J12">
        <f>($B$1+Table4[[#This Row],[Home Differential]])-Table4[[#This Row],[Away Differential]]</f>
        <v>2.084927696371321</v>
      </c>
      <c r="K12" t="str">
        <f>IF(Table4[[#This Row],[HomeIce Differential]]&gt;0,Table4[[#This Row],[Home]],Table4[[#This Row],[Visitor]])</f>
        <v>Colorado Avalanche</v>
      </c>
      <c r="L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0.88777597679518749</v>
      </c>
      <c r="M12" t="str">
        <f>IF(OR((NHL2025_26Results[[#This Row],[Winning Team]]="")),"-",IF(Table4[[#This Row],[Predicted Winner]]=NHL2025_26Results[[#This Row],[Winning Team]],"YES","NO"))</f>
        <v>YES</v>
      </c>
      <c r="N12">
        <f>IF(Table4[[#This Row],[Adjusted Correct]]="-", "",IF(Table4[[#This Row],[Adjusted Correct]]="YES",(Table4[[#This Row],[Strength of Win]]-1)^2,(Table4[[#This Row],[Strength of Win]]-0)^2))</f>
        <v>1.2594231384274296E-2</v>
      </c>
      <c r="O12">
        <v>2.8930897748292054E-2</v>
      </c>
      <c r="P12" s="11"/>
      <c r="Q12" t="s">
        <v>12</v>
      </c>
      <c r="R12" t="s">
        <v>248</v>
      </c>
    </row>
    <row r="13" spans="1:22" x14ac:dyDescent="0.2">
      <c r="A13" s="4" t="s">
        <v>26</v>
      </c>
      <c r="B13">
        <v>-0.513643833119658</v>
      </c>
      <c r="D13" s="1">
        <v>45939</v>
      </c>
      <c r="E13" s="2">
        <v>0.79166666666666663</v>
      </c>
      <c r="F13" t="s">
        <v>26</v>
      </c>
      <c r="G13">
        <f>VLOOKUP(Table4[[#This Row],[Home]],'NHL Model'!$A$6:$B$38,2,FALSE)</f>
        <v>-0.87533956503230947</v>
      </c>
      <c r="H13" t="s">
        <v>18</v>
      </c>
      <c r="I13">
        <f>VLOOKUP(Table4[[#This Row],[Visitor]],'NHL Model'!$A$6:$B$38,2,FALSE)</f>
        <v>-0.59288962827382519</v>
      </c>
      <c r="J13">
        <f>($B$1+Table4[[#This Row],[Home Differential]])-Table4[[#This Row],[Away Differential]]</f>
        <v>-0.23254918783532186</v>
      </c>
      <c r="K13" t="str">
        <f>IF(Table4[[#This Row],[HomeIce Differential]]&gt;0,Table4[[#This Row],[Home]],Table4[[#This Row],[Visitor]])</f>
        <v>Montreal Canadiens</v>
      </c>
      <c r="L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0.54644138368872142</v>
      </c>
      <c r="M13" t="str">
        <f>IF(OR((NHL2025_26Results[[#This Row],[Winning Team]]="")),"-",IF(Table4[[#This Row],[Predicted Winner]]=NHL2025_26Results[[#This Row],[Winning Team]],"YES","NO"))</f>
        <v>YES</v>
      </c>
      <c r="N13">
        <f>IF(Table4[[#This Row],[Adjusted Correct]]="-", "",IF(Table4[[#This Row],[Adjusted Correct]]="YES",(Table4[[#This Row],[Strength of Win]]-1)^2,(Table4[[#This Row],[Strength of Win]]-0)^2))</f>
        <v>0.20571541843020164</v>
      </c>
      <c r="O13">
        <v>-5.9607629045580939E-3</v>
      </c>
      <c r="P13" s="11"/>
      <c r="Q13" t="s">
        <v>18</v>
      </c>
      <c r="R13" t="s">
        <v>248</v>
      </c>
    </row>
    <row r="14" spans="1:22" x14ac:dyDescent="0.2">
      <c r="A14" s="4" t="s">
        <v>17</v>
      </c>
      <c r="B14">
        <v>-0.61980804137564283</v>
      </c>
      <c r="D14" s="1">
        <v>45939</v>
      </c>
      <c r="E14" s="2">
        <v>0.79166666666666663</v>
      </c>
      <c r="F14" t="s">
        <v>11</v>
      </c>
      <c r="G14">
        <f>VLOOKUP(Table4[[#This Row],[Home]],'NHL Model'!$A$6:$B$38,2,FALSE)</f>
        <v>-0.39711829106410657</v>
      </c>
      <c r="H14" t="s">
        <v>27</v>
      </c>
      <c r="I14">
        <f>VLOOKUP(Table4[[#This Row],[Visitor]],'NHL Model'!$A$6:$B$38,2,FALSE)</f>
        <v>-0.38023958350631604</v>
      </c>
      <c r="J14">
        <f>($B$1+Table4[[#This Row],[Home Differential]])-Table4[[#This Row],[Away Differential]]</f>
        <v>3.3022041365371957E-2</v>
      </c>
      <c r="K14" t="str">
        <f>IF(Table4[[#This Row],[HomeIce Differential]]&gt;0,Table4[[#This Row],[Home]],Table4[[#This Row],[Visitor]])</f>
        <v>Florida Panthers</v>
      </c>
      <c r="L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0.51548371767669787</v>
      </c>
      <c r="M14" t="str">
        <f>IF(OR((NHL2025_26Results[[#This Row],[Winning Team]]="")),"-",IF(Table4[[#This Row],[Predicted Winner]]=NHL2025_26Results[[#This Row],[Winning Team]],"YES","NO"))</f>
        <v>YES</v>
      </c>
      <c r="N14">
        <f>IF(Table4[[#This Row],[Adjusted Correct]]="-", "",IF(Table4[[#This Row],[Adjusted Correct]]="YES",(Table4[[#This Row],[Strength of Win]]-1)^2,(Table4[[#This Row],[Strength of Win]]-0)^2))</f>
        <v>0.23475602783639382</v>
      </c>
      <c r="O14">
        <v>5.6848248641608633E-3</v>
      </c>
      <c r="P14" s="11"/>
      <c r="Q14" t="s">
        <v>11</v>
      </c>
      <c r="R14" t="s">
        <v>248</v>
      </c>
    </row>
    <row r="15" spans="1:22" x14ac:dyDescent="0.2">
      <c r="A15" s="4" t="s">
        <v>11</v>
      </c>
      <c r="B15">
        <v>-0.28105923893144158</v>
      </c>
      <c r="D15" s="1">
        <v>45939</v>
      </c>
      <c r="E15" s="2">
        <v>0.83333333333333337</v>
      </c>
      <c r="F15" t="s">
        <v>29</v>
      </c>
      <c r="G15">
        <f>VLOOKUP(Table4[[#This Row],[Home]],'NHL Model'!$A$6:$B$38,2,FALSE)</f>
        <v>-1.384917283810061</v>
      </c>
      <c r="H15" t="s">
        <v>28</v>
      </c>
      <c r="I15">
        <f>VLOOKUP(Table4[[#This Row],[Visitor]],'NHL Model'!$A$6:$B$38,2,FALSE)</f>
        <v>-0.59498940435054026</v>
      </c>
      <c r="J15">
        <f>($B$1+Table4[[#This Row],[Home Differential]])-Table4[[#This Row],[Away Differential]]</f>
        <v>-0.74002713053635827</v>
      </c>
      <c r="K15" t="str">
        <f>IF(Table4[[#This Row],[HomeIce Differential]]&gt;0,Table4[[#This Row],[Home]],Table4[[#This Row],[Visitor]])</f>
        <v>Columbus Blue Jackets</v>
      </c>
      <c r="L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0.54998524845144892</v>
      </c>
      <c r="M15" t="str">
        <f>IF(OR((NHL2025_26Results[[#This Row],[Winning Team]]="")),"-",IF(Table4[[#This Row],[Predicted Winner]]=NHL2025_26Results[[#This Row],[Winning Team]],"YES","NO"))</f>
        <v>NO</v>
      </c>
      <c r="N15">
        <f>IF(Table4[[#This Row],[Adjusted Correct]]="-", "",IF(Table4[[#This Row],[Adjusted Correct]]="YES",(Table4[[#This Row],[Strength of Win]]-1)^2,(Table4[[#This Row],[Strength of Win]]-0)^2))</f>
        <v>0.30248377351420197</v>
      </c>
      <c r="O15">
        <v>-6.6115255590244596E-3</v>
      </c>
      <c r="P15" s="11"/>
      <c r="Q15" t="s">
        <v>28</v>
      </c>
      <c r="R15" t="s">
        <v>249</v>
      </c>
    </row>
    <row r="16" spans="1:22" x14ac:dyDescent="0.2">
      <c r="A16" s="4" t="s">
        <v>13</v>
      </c>
      <c r="B16">
        <v>-7.5459708298993802E-2</v>
      </c>
      <c r="D16" s="1">
        <v>45939</v>
      </c>
      <c r="E16" s="2">
        <v>0.79166666666666663</v>
      </c>
      <c r="F16" t="s">
        <v>14</v>
      </c>
      <c r="G16">
        <f>VLOOKUP(Table4[[#This Row],[Home]],'NHL Model'!$A$6:$B$38,2,FALSE)</f>
        <v>-0.14226422156549004</v>
      </c>
      <c r="H16" t="s">
        <v>30</v>
      </c>
      <c r="I16">
        <f>VLOOKUP(Table4[[#This Row],[Visitor]],'NHL Model'!$A$6:$B$38,2,FALSE)</f>
        <v>-0.24093199744133265</v>
      </c>
      <c r="J16">
        <f>($B$1+Table4[[#This Row],[Home Differential]])-Table4[[#This Row],[Away Differential]]</f>
        <v>0.14856852479900506</v>
      </c>
      <c r="K16" t="str">
        <f>IF(Table4[[#This Row],[HomeIce Differential]]&gt;0,Table4[[#This Row],[Home]],Table4[[#This Row],[Visitor]])</f>
        <v>Pittsburgh Penguins</v>
      </c>
      <c r="L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0.48472439887735758</v>
      </c>
      <c r="M16" t="str">
        <f>IF(OR((NHL2025_26Results[[#This Row],[Winning Team]]="")),"-",IF(Table4[[#This Row],[Predicted Winner]]=NHL2025_26Results[[#This Row],[Winning Team]],"YES","NO"))</f>
        <v>YES</v>
      </c>
      <c r="N16">
        <f>IF(Table4[[#This Row],[Adjusted Correct]]="-", "",IF(Table4[[#This Row],[Adjusted Correct]]="YES",(Table4[[#This Row],[Strength of Win]]-1)^2,(Table4[[#This Row],[Strength of Win]]-0)^2))</f>
        <v>0.26550894511230055</v>
      </c>
      <c r="O16">
        <v>2.9201411927810918E-2</v>
      </c>
      <c r="P16" s="11"/>
      <c r="Q16" t="s">
        <v>14</v>
      </c>
      <c r="R16" t="s">
        <v>248</v>
      </c>
    </row>
    <row r="17" spans="1:18" x14ac:dyDescent="0.2">
      <c r="A17" s="4" t="s">
        <v>34</v>
      </c>
      <c r="B17">
        <v>-0.53650300840565446</v>
      </c>
      <c r="D17" s="1">
        <v>45939</v>
      </c>
      <c r="E17" s="2">
        <v>0.91666666666666663</v>
      </c>
      <c r="F17" t="s">
        <v>32</v>
      </c>
      <c r="G17">
        <f>VLOOKUP(Table4[[#This Row],[Home]],'NHL Model'!$A$6:$B$38,2,FALSE)</f>
        <v>-0.64937723527808999</v>
      </c>
      <c r="H17" t="s">
        <v>31</v>
      </c>
      <c r="I17">
        <f>VLOOKUP(Table4[[#This Row],[Visitor]],'NHL Model'!$A$6:$B$38,2,FALSE)</f>
        <v>0.17870302183926629</v>
      </c>
      <c r="J17">
        <f>($B$1+Table4[[#This Row],[Home Differential]])-Table4[[#This Row],[Away Differential]]</f>
        <v>-0.77817950819419379</v>
      </c>
      <c r="K17" t="str">
        <f>IF(Table4[[#This Row],[HomeIce Differential]]&gt;0,Table4[[#This Row],[Home]],Table4[[#This Row],[Visitor]])</f>
        <v>Anaheim Ducks</v>
      </c>
      <c r="L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0.57163317346074072</v>
      </c>
      <c r="M17" t="str">
        <f>IF(OR((NHL2025_26Results[[#This Row],[Winning Team]]="")),"-",IF(Table4[[#This Row],[Predicted Winner]]=NHL2025_26Results[[#This Row],[Winning Team]],"YES","NO"))</f>
        <v>NO</v>
      </c>
      <c r="N17">
        <f>IF(Table4[[#This Row],[Adjusted Correct]]="-", "",IF(Table4[[#This Row],[Adjusted Correct]]="YES",(Table4[[#This Row],[Strength of Win]]-1)^2,(Table4[[#This Row],[Strength of Win]]-0)^2))</f>
        <v>0.3267644850007973</v>
      </c>
      <c r="O17">
        <v>-6.0975676813695015E-3</v>
      </c>
      <c r="P17" s="11"/>
      <c r="Q17" t="s">
        <v>31</v>
      </c>
      <c r="R17" t="s">
        <v>249</v>
      </c>
    </row>
    <row r="18" spans="1:18" x14ac:dyDescent="0.2">
      <c r="A18" s="4" t="s">
        <v>18</v>
      </c>
      <c r="B18">
        <v>-0.52437726201848234</v>
      </c>
      <c r="D18" s="1">
        <v>45939</v>
      </c>
      <c r="E18" s="2">
        <v>0.91666666666666663</v>
      </c>
      <c r="F18" t="s">
        <v>33</v>
      </c>
      <c r="G18">
        <f>VLOOKUP(Table4[[#This Row],[Home]],'NHL Model'!$A$6:$B$38,2,FALSE)</f>
        <v>-0.45133099238224339</v>
      </c>
      <c r="H18" t="s">
        <v>20</v>
      </c>
      <c r="I18">
        <f>VLOOKUP(Table4[[#This Row],[Visitor]],'NHL Model'!$A$6:$B$38,2,FALSE)</f>
        <v>-0.24444083032063643</v>
      </c>
      <c r="J18">
        <f>($B$1+Table4[[#This Row],[Home Differential]])-Table4[[#This Row],[Away Differential]]</f>
        <v>-0.15698941313844447</v>
      </c>
      <c r="K18" t="str">
        <f>IF(Table4[[#This Row],[HomeIce Differential]]&gt;0,Table4[[#This Row],[Home]],Table4[[#This Row],[Visitor]])</f>
        <v>Vegas Golden Knights</v>
      </c>
      <c r="L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0.46820858159353196</v>
      </c>
      <c r="M18" t="str">
        <f>IF(OR((NHL2025_26Results[[#This Row],[Winning Team]]="")),"-",IF(Table4[[#This Row],[Predicted Winner]]=NHL2025_26Results[[#This Row],[Winning Team]],"YES","NO"))</f>
        <v>YES</v>
      </c>
      <c r="N18">
        <f>IF(Table4[[#This Row],[Adjusted Correct]]="-", "",IF(Table4[[#This Row],[Adjusted Correct]]="YES",(Table4[[#This Row],[Strength of Win]]-1)^2,(Table4[[#This Row],[Strength of Win]]-0)^2))</f>
        <v>0.28280211269076316</v>
      </c>
      <c r="O18">
        <v>-5.6918684069913695E-3</v>
      </c>
      <c r="P18" s="11"/>
      <c r="Q18" t="s">
        <v>20</v>
      </c>
      <c r="R18" t="s">
        <v>248</v>
      </c>
    </row>
    <row r="19" spans="1:18" x14ac:dyDescent="0.2">
      <c r="A19" s="4" t="s">
        <v>29</v>
      </c>
      <c r="B19">
        <v>-1.3516250707060606</v>
      </c>
      <c r="D19" s="1">
        <v>45939</v>
      </c>
      <c r="E19" s="2">
        <v>0.83333333333333337</v>
      </c>
      <c r="F19" t="s">
        <v>35</v>
      </c>
      <c r="G19">
        <f>VLOOKUP(Table4[[#This Row],[Home]],'NHL Model'!$A$6:$B$38,2,FALSE)</f>
        <v>-1.3944783719477225</v>
      </c>
      <c r="H19" t="s">
        <v>34</v>
      </c>
      <c r="I19">
        <f>VLOOKUP(Table4[[#This Row],[Visitor]],'NHL Model'!$A$6:$B$38,2,FALSE)</f>
        <v>-5.5124787449478845E-2</v>
      </c>
      <c r="J19">
        <f>($B$1+Table4[[#This Row],[Home Differential]])-Table4[[#This Row],[Away Differential]]</f>
        <v>-1.2894528355750812</v>
      </c>
      <c r="K19" t="str">
        <f>IF(Table4[[#This Row],[HomeIce Differential]]&gt;0,Table4[[#This Row],[Home]],Table4[[#This Row],[Visitor]])</f>
        <v>Minnesota Wild</v>
      </c>
      <c r="L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0.65307521233305632</v>
      </c>
      <c r="M19" t="str">
        <f>IF(OR((NHL2025_26Results[[#This Row],[Winning Team]]="")),"-",IF(Table4[[#This Row],[Predicted Winner]]=NHL2025_26Results[[#This Row],[Winning Team]],"YES","NO"))</f>
        <v>YES</v>
      </c>
      <c r="N19">
        <f>IF(Table4[[#This Row],[Adjusted Correct]]="-", "",IF(Table4[[#This Row],[Adjusted Correct]]="YES",(Table4[[#This Row],[Strength of Win]]-1)^2,(Table4[[#This Row],[Strength of Win]]-0)^2))</f>
        <v>0.12035680829775396</v>
      </c>
      <c r="O19">
        <v>-6.50955344648943E-3</v>
      </c>
      <c r="P19" s="11"/>
      <c r="Q19" t="s">
        <v>34</v>
      </c>
      <c r="R19" t="s">
        <v>248</v>
      </c>
    </row>
    <row r="20" spans="1:18" x14ac:dyDescent="0.2">
      <c r="A20" s="4" t="s">
        <v>24</v>
      </c>
      <c r="B20">
        <v>0.559441163373953</v>
      </c>
      <c r="D20" s="1">
        <v>45939</v>
      </c>
      <c r="E20" s="2">
        <v>0.79166666666666663</v>
      </c>
      <c r="F20" t="s">
        <v>37</v>
      </c>
      <c r="G20">
        <f>VLOOKUP(Table4[[#This Row],[Home]],'NHL Model'!$A$6:$B$38,2,FALSE)</f>
        <v>0.51050494674660429</v>
      </c>
      <c r="H20" t="s">
        <v>36</v>
      </c>
      <c r="I20">
        <f>VLOOKUP(Table4[[#This Row],[Visitor]],'NHL Model'!$A$6:$B$38,2,FALSE)</f>
        <v>-0.53137605086483863</v>
      </c>
      <c r="J20">
        <f>($B$1+Table4[[#This Row],[Home Differential]])-Table4[[#This Row],[Away Differential]]</f>
        <v>1.0917817465346054</v>
      </c>
      <c r="K20" t="str">
        <f>IF(Table4[[#This Row],[HomeIce Differential]]&gt;0,Table4[[#This Row],[Home]],Table4[[#This Row],[Visitor]])</f>
        <v>Tampa Bay Lightning</v>
      </c>
      <c r="L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0.69972769826475267</v>
      </c>
      <c r="M20" t="str">
        <f>IF(OR((NHL2025_26Results[[#This Row],[Winning Team]]="")),"-",IF(Table4[[#This Row],[Predicted Winner]]=NHL2025_26Results[[#This Row],[Winning Team]],"YES","NO"))</f>
        <v>NO</v>
      </c>
      <c r="N20">
        <f>IF(Table4[[#This Row],[Adjusted Correct]]="-", "",IF(Table4[[#This Row],[Adjusted Correct]]="YES",(Table4[[#This Row],[Strength of Win]]-1)^2,(Table4[[#This Row],[Strength of Win]]-0)^2))</f>
        <v>0.48961885171888875</v>
      </c>
      <c r="O20">
        <v>-6.0975919278263326E-3</v>
      </c>
      <c r="P20" s="11"/>
      <c r="Q20" t="s">
        <v>36</v>
      </c>
      <c r="R20" t="s">
        <v>248</v>
      </c>
    </row>
    <row r="21" spans="1:18" x14ac:dyDescent="0.2">
      <c r="A21" s="4" t="s">
        <v>30</v>
      </c>
      <c r="B21">
        <v>-6.4729560818359025E-2</v>
      </c>
      <c r="D21" s="1">
        <v>45939</v>
      </c>
      <c r="E21" s="2">
        <v>0.91666666666666663</v>
      </c>
      <c r="F21" t="s">
        <v>38</v>
      </c>
      <c r="G21">
        <f>VLOOKUP(Table4[[#This Row],[Home]],'NHL Model'!$A$6:$B$38,2,FALSE)</f>
        <v>-0.9476777551108041</v>
      </c>
      <c r="H21" t="s">
        <v>16</v>
      </c>
      <c r="I21">
        <f>VLOOKUP(Table4[[#This Row],[Visitor]],'NHL Model'!$A$6:$B$38,2,FALSE)</f>
        <v>-1.0657812790446208</v>
      </c>
      <c r="J21">
        <f>($B$1+Table4[[#This Row],[Home Differential]])-Table4[[#This Row],[Away Differential]]</f>
        <v>0.16800427285697916</v>
      </c>
      <c r="K21" t="str">
        <f>IF(Table4[[#This Row],[HomeIce Differential]]&gt;0,Table4[[#This Row],[Home]],Table4[[#This Row],[Visitor]])</f>
        <v>Vancouver Canucks</v>
      </c>
      <c r="L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0.55961697842215075</v>
      </c>
      <c r="M21" t="str">
        <f>IF(OR((NHL2025_26Results[[#This Row],[Winning Team]]="")),"-",IF(Table4[[#This Row],[Predicted Winner]]=NHL2025_26Results[[#This Row],[Winning Team]],"YES","NO"))</f>
        <v>YES</v>
      </c>
      <c r="N21">
        <f>IF(Table4[[#This Row],[Adjusted Correct]]="-", "",IF(Table4[[#This Row],[Adjusted Correct]]="YES",(Table4[[#This Row],[Strength of Win]]-1)^2,(Table4[[#This Row],[Strength of Win]]-0)^2))</f>
        <v>0.19393720569403644</v>
      </c>
      <c r="O21">
        <v>-6.0976402465102745E-3</v>
      </c>
      <c r="P21" s="11"/>
      <c r="Q21" t="s">
        <v>16</v>
      </c>
      <c r="R21" t="s">
        <v>249</v>
      </c>
    </row>
    <row r="22" spans="1:18" x14ac:dyDescent="0.2">
      <c r="A22" s="4" t="s">
        <v>15</v>
      </c>
      <c r="B22">
        <v>-0.30719665303039001</v>
      </c>
      <c r="D22" s="1">
        <v>45939</v>
      </c>
      <c r="E22" s="2">
        <v>0.83333333333333337</v>
      </c>
      <c r="F22" t="s">
        <v>40</v>
      </c>
      <c r="G22">
        <f>VLOOKUP(Table4[[#This Row],[Home]],'NHL Model'!$A$6:$B$38,2,FALSE)</f>
        <v>-0.31324182378279158</v>
      </c>
      <c r="H22" t="s">
        <v>39</v>
      </c>
      <c r="I22">
        <f>VLOOKUP(Table4[[#This Row],[Visitor]],'NHL Model'!$A$6:$B$38,2,FALSE)</f>
        <v>0.41344250185511977</v>
      </c>
      <c r="J22">
        <f>($B$1+Table4[[#This Row],[Home Differential]])-Table4[[#This Row],[Away Differential]]</f>
        <v>-0.67678357671474887</v>
      </c>
      <c r="K22" t="str">
        <f>IF(Table4[[#This Row],[HomeIce Differential]]&gt;0,Table4[[#This Row],[Home]],Table4[[#This Row],[Visitor]])</f>
        <v>Dallas Stars</v>
      </c>
      <c r="L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0.63834650509244772</v>
      </c>
      <c r="M22" t="str">
        <f>IF(OR((NHL2025_26Results[[#This Row],[Winning Team]]="")),"-",IF(Table4[[#This Row],[Predicted Winner]]=NHL2025_26Results[[#This Row],[Winning Team]],"YES","NO"))</f>
        <v>YES</v>
      </c>
      <c r="N22">
        <f>IF(Table4[[#This Row],[Adjusted Correct]]="-", "",IF(Table4[[#This Row],[Adjusted Correct]]="YES",(Table4[[#This Row],[Strength of Win]]-1)^2,(Table4[[#This Row],[Strength of Win]]-0)^2))</f>
        <v>0.13079325037884693</v>
      </c>
      <c r="O22">
        <v>-6.2374432430158909E-3</v>
      </c>
      <c r="P22" s="11"/>
      <c r="Q22" t="s">
        <v>39</v>
      </c>
      <c r="R22" t="s">
        <v>248</v>
      </c>
    </row>
    <row r="23" spans="1:18" x14ac:dyDescent="0.2">
      <c r="A23" s="4" t="s">
        <v>36</v>
      </c>
      <c r="B23">
        <v>-0.40651947573390851</v>
      </c>
      <c r="D23" s="1">
        <v>45941</v>
      </c>
      <c r="E23" s="2">
        <v>0.79166666666666663</v>
      </c>
      <c r="F23" t="s">
        <v>21</v>
      </c>
      <c r="G23">
        <f>VLOOKUP(Table4[[#This Row],[Home]],'NHL Model'!$A$6:$B$38,2,FALSE)</f>
        <v>-0.21976976044773161</v>
      </c>
      <c r="H23" t="s">
        <v>23</v>
      </c>
      <c r="I23">
        <f>VLOOKUP(Table4[[#This Row],[Visitor]],'NHL Model'!$A$6:$B$38,2,FALSE)</f>
        <v>-0.4761104357405897</v>
      </c>
      <c r="J23">
        <f>($B$1+Table4[[#This Row],[Home Differential]])-Table4[[#This Row],[Away Differential]]</f>
        <v>0.30624142421602052</v>
      </c>
      <c r="K23" t="str">
        <f>IF(Table4[[#This Row],[HomeIce Differential]]&gt;0,Table4[[#This Row],[Home]],Table4[[#This Row],[Visitor]])</f>
        <v>Boston Bruins</v>
      </c>
      <c r="L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0.61865976048220439</v>
      </c>
      <c r="M23" t="str">
        <f>IF(OR((NHL2025_26Results[[#This Row],[Winning Team]]="")),"-",IF(Table4[[#This Row],[Predicted Winner]]=NHL2025_26Results[[#This Row],[Winning Team]],"YES","NO"))</f>
        <v>YES</v>
      </c>
      <c r="N23">
        <f>IF(Table4[[#This Row],[Adjusted Correct]]="-", "",IF(Table4[[#This Row],[Adjusted Correct]]="YES",(Table4[[#This Row],[Strength of Win]]-1)^2,(Table4[[#This Row],[Strength of Win]]-0)^2))</f>
        <v>0.14542037827548973</v>
      </c>
      <c r="O23">
        <v>-9.3426966771708291E-3</v>
      </c>
      <c r="P23" s="11"/>
      <c r="Q23" t="s">
        <v>23</v>
      </c>
      <c r="R23" t="s">
        <v>249</v>
      </c>
    </row>
    <row r="24" spans="1:18" x14ac:dyDescent="0.2">
      <c r="A24" s="4" t="s">
        <v>27</v>
      </c>
      <c r="B24">
        <v>-0.51358590497437617</v>
      </c>
      <c r="D24" s="1">
        <v>45941</v>
      </c>
      <c r="E24" s="2">
        <v>0.79166666666666663</v>
      </c>
      <c r="F24" t="s">
        <v>25</v>
      </c>
      <c r="G24">
        <f>VLOOKUP(Table4[[#This Row],[Home]],'NHL Model'!$A$6:$B$38,2,FALSE)</f>
        <v>0.42567513732855267</v>
      </c>
      <c r="H24" t="s">
        <v>27</v>
      </c>
      <c r="I24">
        <f>VLOOKUP(Table4[[#This Row],[Visitor]],'NHL Model'!$A$6:$B$38,2,FALSE)</f>
        <v>-0.38023958350631604</v>
      </c>
      <c r="J24">
        <f>($B$1+Table4[[#This Row],[Home Differential]])-Table4[[#This Row],[Away Differential]]</f>
        <v>0.85581546975803113</v>
      </c>
      <c r="K24" t="str">
        <f>IF(Table4[[#This Row],[HomeIce Differential]]&gt;0,Table4[[#This Row],[Home]],Table4[[#This Row],[Visitor]])</f>
        <v>Carolina Hurricanes</v>
      </c>
      <c r="L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0.64992908702910213</v>
      </c>
      <c r="M24" t="str">
        <f>IF(OR((NHL2025_26Results[[#This Row],[Winning Team]]="")),"-",IF(Table4[[#This Row],[Predicted Winner]]=NHL2025_26Results[[#This Row],[Winning Team]],"YES","NO"))</f>
        <v>YES</v>
      </c>
      <c r="N24">
        <f>IF(Table4[[#This Row],[Adjusted Correct]]="-", "",IF(Table4[[#This Row],[Adjusted Correct]]="YES",(Table4[[#This Row],[Strength of Win]]-1)^2,(Table4[[#This Row],[Strength of Win]]-0)^2))</f>
        <v>0.12254964410827796</v>
      </c>
      <c r="O24">
        <v>-9.1888913892817486E-3</v>
      </c>
      <c r="P24" s="11"/>
      <c r="Q24" t="s">
        <v>27</v>
      </c>
      <c r="R24" t="s">
        <v>249</v>
      </c>
    </row>
    <row r="25" spans="1:18" x14ac:dyDescent="0.2">
      <c r="A25" s="4" t="s">
        <v>14</v>
      </c>
      <c r="B25">
        <v>0.26289091192875702</v>
      </c>
      <c r="D25" s="1">
        <v>45941</v>
      </c>
      <c r="E25" s="2">
        <v>0.66666666666666663</v>
      </c>
      <c r="F25" t="s">
        <v>16</v>
      </c>
      <c r="G25">
        <f>VLOOKUP(Table4[[#This Row],[Home]],'NHL Model'!$A$6:$B$38,2,FALSE)</f>
        <v>-1.0657812790446208</v>
      </c>
      <c r="H25" t="s">
        <v>35</v>
      </c>
      <c r="I25">
        <f>VLOOKUP(Table4[[#This Row],[Visitor]],'NHL Model'!$A$6:$B$38,2,FALSE)</f>
        <v>-1.3944783719477225</v>
      </c>
      <c r="J25">
        <f>($B$1+Table4[[#This Row],[Home Differential]])-Table4[[#This Row],[Away Differential]]</f>
        <v>0.3785978418262641</v>
      </c>
      <c r="K25" t="str">
        <f>IF(Table4[[#This Row],[HomeIce Differential]]&gt;0,Table4[[#This Row],[Home]],Table4[[#This Row],[Visitor]])</f>
        <v>Calgary Flames</v>
      </c>
      <c r="L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0.58420688573856194</v>
      </c>
      <c r="M25" t="str">
        <f>IF(OR((NHL2025_26Results[[#This Row],[Winning Team]]="")),"-",IF(Table4[[#This Row],[Predicted Winner]]=NHL2025_26Results[[#This Row],[Winning Team]],"YES","NO"))</f>
        <v>NO</v>
      </c>
      <c r="N25">
        <f>IF(Table4[[#This Row],[Adjusted Correct]]="-", "",IF(Table4[[#This Row],[Adjusted Correct]]="YES",(Table4[[#This Row],[Strength of Win]]-1)^2,(Table4[[#This Row],[Strength of Win]]-0)^2))</f>
        <v>0.34129768534434918</v>
      </c>
      <c r="O25">
        <v>-9.5103763466094973E-3</v>
      </c>
      <c r="P25" s="11"/>
      <c r="Q25" t="s">
        <v>35</v>
      </c>
      <c r="R25" t="s">
        <v>248</v>
      </c>
    </row>
    <row r="26" spans="1:18" x14ac:dyDescent="0.2">
      <c r="A26" s="4" t="s">
        <v>33</v>
      </c>
      <c r="B26">
        <v>-0.39418177254008485</v>
      </c>
      <c r="D26" s="1">
        <v>45941</v>
      </c>
      <c r="E26" s="2">
        <v>0.79166666666666663</v>
      </c>
      <c r="F26" t="s">
        <v>10</v>
      </c>
      <c r="G26">
        <f>VLOOKUP(Table4[[#This Row],[Home]],'NHL Model'!$A$6:$B$38,2,FALSE)</f>
        <v>-0.17619625518431364</v>
      </c>
      <c r="H26" t="s">
        <v>18</v>
      </c>
      <c r="I26">
        <f>VLOOKUP(Table4[[#This Row],[Visitor]],'NHL Model'!$A$6:$B$38,2,FALSE)</f>
        <v>-0.59288962827382519</v>
      </c>
      <c r="J26">
        <f>($B$1+Table4[[#This Row],[Home Differential]])-Table4[[#This Row],[Away Differential]]</f>
        <v>0.46659412201267403</v>
      </c>
      <c r="K26" t="str">
        <f>IF(Table4[[#This Row],[HomeIce Differential]]&gt;0,Table4[[#This Row],[Home]],Table4[[#This Row],[Visitor]])</f>
        <v>Chicago Blackhawks</v>
      </c>
      <c r="L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0.53519391635483582</v>
      </c>
      <c r="M26" t="str">
        <f>IF(OR((NHL2025_26Results[[#This Row],[Winning Team]]="")),"-",IF(Table4[[#This Row],[Predicted Winner]]=NHL2025_26Results[[#This Row],[Winning Team]],"YES","NO"))</f>
        <v>NO</v>
      </c>
      <c r="N26">
        <f>IF(Table4[[#This Row],[Adjusted Correct]]="-", "",IF(Table4[[#This Row],[Adjusted Correct]]="YES",(Table4[[#This Row],[Strength of Win]]-1)^2,(Table4[[#This Row],[Strength of Win]]-0)^2))</f>
        <v>0.286432528103227</v>
      </c>
      <c r="O26">
        <v>-2.1357589868893485E-2</v>
      </c>
      <c r="P26" s="11"/>
      <c r="Q26" t="s">
        <v>18</v>
      </c>
      <c r="R26" t="s">
        <v>248</v>
      </c>
    </row>
    <row r="27" spans="1:18" x14ac:dyDescent="0.2">
      <c r="A27" s="4" t="s">
        <v>32</v>
      </c>
      <c r="B27">
        <v>-0.361361309178443</v>
      </c>
      <c r="D27" s="1">
        <v>45941</v>
      </c>
      <c r="E27" s="2">
        <v>0.875</v>
      </c>
      <c r="F27" t="s">
        <v>12</v>
      </c>
      <c r="G27">
        <f>VLOOKUP(Table4[[#This Row],[Home]],'NHL Model'!$A$6:$B$38,2,FALSE)</f>
        <v>1.6319036584269762</v>
      </c>
      <c r="H27" t="s">
        <v>39</v>
      </c>
      <c r="I27">
        <f>VLOOKUP(Table4[[#This Row],[Visitor]],'NHL Model'!$A$6:$B$38,2,FALSE)</f>
        <v>0.41344250185511977</v>
      </c>
      <c r="J27">
        <f>($B$1+Table4[[#This Row],[Home Differential]])-Table4[[#This Row],[Away Differential]]</f>
        <v>1.2683619054950188</v>
      </c>
      <c r="K27" t="str">
        <f>IF(Table4[[#This Row],[HomeIce Differential]]&gt;0,Table4[[#This Row],[Home]],Table4[[#This Row],[Visitor]])</f>
        <v>Colorado Avalanche</v>
      </c>
      <c r="L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0.69431845954718507</v>
      </c>
      <c r="M27" t="str">
        <f>IF(OR((NHL2025_26Results[[#This Row],[Winning Team]]="")),"-",IF(Table4[[#This Row],[Predicted Winner]]=NHL2025_26Results[[#This Row],[Winning Team]],"YES","NO"))</f>
        <v>NO</v>
      </c>
      <c r="N27">
        <f>IF(Table4[[#This Row],[Adjusted Correct]]="-", "",IF(Table4[[#This Row],[Adjusted Correct]]="YES",(Table4[[#This Row],[Strength of Win]]-1)^2,(Table4[[#This Row],[Strength of Win]]-0)^2))</f>
        <v>0.48207812326797606</v>
      </c>
      <c r="O27">
        <v>2.5681029019048729E-2</v>
      </c>
      <c r="P27" s="11"/>
      <c r="Q27" t="s">
        <v>12</v>
      </c>
      <c r="R27" t="s">
        <v>249</v>
      </c>
    </row>
    <row r="28" spans="1:18" x14ac:dyDescent="0.2">
      <c r="A28" s="4" t="s">
        <v>35</v>
      </c>
      <c r="B28">
        <v>-1.6211574240381006</v>
      </c>
      <c r="D28" s="1">
        <v>45941</v>
      </c>
      <c r="E28" s="2">
        <v>0.79166666666666663</v>
      </c>
      <c r="F28" t="s">
        <v>26</v>
      </c>
      <c r="G28">
        <f>VLOOKUP(Table4[[#This Row],[Home]],'NHL Model'!$A$6:$B$38,2,FALSE)</f>
        <v>-0.87533956503230947</v>
      </c>
      <c r="H28" t="s">
        <v>19</v>
      </c>
      <c r="I28">
        <f>VLOOKUP(Table4[[#This Row],[Visitor]],'NHL Model'!$A$6:$B$38,2,FALSE)</f>
        <v>-0.63447859131898054</v>
      </c>
      <c r="J28">
        <f>($B$1+Table4[[#This Row],[Home Differential]])-Table4[[#This Row],[Away Differential]]</f>
        <v>-0.1909602247901665</v>
      </c>
      <c r="K28" t="str">
        <f>IF(Table4[[#This Row],[HomeIce Differential]]&gt;0,Table4[[#This Row],[Home]],Table4[[#This Row],[Visitor]])</f>
        <v>Toronto Maple Leafs</v>
      </c>
      <c r="L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0.48229742461602004</v>
      </c>
      <c r="M28" t="str">
        <f>IF(OR((NHL2025_26Results[[#This Row],[Winning Team]]="")),"-",IF(Table4[[#This Row],[Predicted Winner]]=NHL2025_26Results[[#This Row],[Winning Team]],"YES","NO"))</f>
        <v>NO</v>
      </c>
      <c r="N28">
        <f>IF(Table4[[#This Row],[Adjusted Correct]]="-", "",IF(Table4[[#This Row],[Adjusted Correct]]="YES",(Table4[[#This Row],[Strength of Win]]-1)^2,(Table4[[#This Row],[Strength of Win]]-0)^2))</f>
        <v>0.23261080579124555</v>
      </c>
      <c r="O28">
        <v>-9.2074635980839616E-3</v>
      </c>
      <c r="P28" s="11"/>
      <c r="Q28" t="s">
        <v>19</v>
      </c>
      <c r="R28" t="s">
        <v>249</v>
      </c>
    </row>
    <row r="29" spans="1:18" x14ac:dyDescent="0.2">
      <c r="A29" s="4" t="s">
        <v>37</v>
      </c>
      <c r="B29">
        <v>-0.11309445867623392</v>
      </c>
      <c r="D29" s="1">
        <v>45941</v>
      </c>
      <c r="E29" s="2">
        <v>0.91666666666666663</v>
      </c>
      <c r="F29" t="s">
        <v>17</v>
      </c>
      <c r="G29">
        <f>VLOOKUP(Table4[[#This Row],[Home]],'NHL Model'!$A$6:$B$38,2,FALSE)</f>
        <v>-0.81774666423752174</v>
      </c>
      <c r="H29" t="s">
        <v>38</v>
      </c>
      <c r="I29">
        <f>VLOOKUP(Table4[[#This Row],[Visitor]],'NHL Model'!$A$6:$B$38,2,FALSE)</f>
        <v>-0.9476777551108041</v>
      </c>
      <c r="J29">
        <f>($B$1+Table4[[#This Row],[Home Differential]])-Table4[[#This Row],[Away Differential]]</f>
        <v>0.17983183979644479</v>
      </c>
      <c r="K29" t="str">
        <f>IF(Table4[[#This Row],[HomeIce Differential]]&gt;0,Table4[[#This Row],[Home]],Table4[[#This Row],[Visitor]])</f>
        <v>Edmonton Oilers</v>
      </c>
      <c r="L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0.564476282294328</v>
      </c>
      <c r="M29" t="str">
        <f>IF(OR((NHL2025_26Results[[#This Row],[Winning Team]]="")),"-",IF(Table4[[#This Row],[Predicted Winner]]=NHL2025_26Results[[#This Row],[Winning Team]],"YES","NO"))</f>
        <v>YES</v>
      </c>
      <c r="N29">
        <f>IF(Table4[[#This Row],[Adjusted Correct]]="-", "",IF(Table4[[#This Row],[Adjusted Correct]]="YES",(Table4[[#This Row],[Strength of Win]]-1)^2,(Table4[[#This Row],[Strength of Win]]-0)^2))</f>
        <v>0.18968090868416987</v>
      </c>
      <c r="O29">
        <v>-8.8016920868381129E-3</v>
      </c>
      <c r="P29" s="11"/>
      <c r="Q29" t="s">
        <v>38</v>
      </c>
      <c r="R29" t="s">
        <v>249</v>
      </c>
    </row>
    <row r="30" spans="1:18" x14ac:dyDescent="0.2">
      <c r="A30" s="4" t="s">
        <v>19</v>
      </c>
      <c r="B30">
        <v>-0.635565543477981</v>
      </c>
      <c r="D30" s="1">
        <v>45941</v>
      </c>
      <c r="E30" s="2">
        <v>0.79166666666666663</v>
      </c>
      <c r="F30" t="s">
        <v>11</v>
      </c>
      <c r="G30">
        <f>VLOOKUP(Table4[[#This Row],[Home]],'NHL Model'!$A$6:$B$38,2,FALSE)</f>
        <v>-0.39711829106410657</v>
      </c>
      <c r="H30" t="s">
        <v>36</v>
      </c>
      <c r="I30">
        <f>VLOOKUP(Table4[[#This Row],[Visitor]],'NHL Model'!$A$6:$B$38,2,FALSE)</f>
        <v>-0.53137605086483863</v>
      </c>
      <c r="J30">
        <f>($B$1+Table4[[#This Row],[Home Differential]])-Table4[[#This Row],[Away Differential]]</f>
        <v>0.18415850872389455</v>
      </c>
      <c r="K30" t="str">
        <f>IF(Table4[[#This Row],[HomeIce Differential]]&gt;0,Table4[[#This Row],[Home]],Table4[[#This Row],[Visitor]])</f>
        <v>Florida Panthers</v>
      </c>
      <c r="L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0.57551984437773329</v>
      </c>
      <c r="M30" t="str">
        <f>IF(OR((NHL2025_26Results[[#This Row],[Winning Team]]="")),"-",IF(Table4[[#This Row],[Predicted Winner]]=NHL2025_26Results[[#This Row],[Winning Team]],"YES","NO"))</f>
        <v>YES</v>
      </c>
      <c r="N30">
        <f>IF(Table4[[#This Row],[Adjusted Correct]]="-", "",IF(Table4[[#This Row],[Adjusted Correct]]="YES",(Table4[[#This Row],[Strength of Win]]-1)^2,(Table4[[#This Row],[Strength of Win]]-0)^2))</f>
        <v>0.18018340251710377</v>
      </c>
      <c r="O30">
        <v>2.423581240189359E-3</v>
      </c>
      <c r="P30" s="11"/>
      <c r="Q30" t="s">
        <v>11</v>
      </c>
      <c r="R30" t="s">
        <v>248</v>
      </c>
    </row>
    <row r="31" spans="1:18" x14ac:dyDescent="0.2">
      <c r="A31" s="4" t="s">
        <v>55</v>
      </c>
      <c r="B31">
        <v>-0.12212311954851815</v>
      </c>
      <c r="D31" s="1">
        <v>45941</v>
      </c>
      <c r="E31" s="2">
        <v>0.83333333333333337</v>
      </c>
      <c r="F31" t="s">
        <v>34</v>
      </c>
      <c r="G31">
        <f>VLOOKUP(Table4[[#This Row],[Home]],'NHL Model'!$A$6:$B$38,2,FALSE)</f>
        <v>-5.5124787449478845E-2</v>
      </c>
      <c r="H31" t="s">
        <v>28</v>
      </c>
      <c r="I31">
        <f>VLOOKUP(Table4[[#This Row],[Visitor]],'NHL Model'!$A$6:$B$38,2,FALSE)</f>
        <v>-0.59498940435054026</v>
      </c>
      <c r="J31">
        <f>($B$1+Table4[[#This Row],[Home Differential]])-Table4[[#This Row],[Away Differential]]</f>
        <v>0.5897653658242239</v>
      </c>
      <c r="K31" t="str">
        <f>IF(Table4[[#This Row],[HomeIce Differential]]&gt;0,Table4[[#This Row],[Home]],Table4[[#This Row],[Visitor]])</f>
        <v>Minnesota Wild</v>
      </c>
      <c r="L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0.60528765183514521</v>
      </c>
      <c r="M31" t="str">
        <f>IF(OR((NHL2025_26Results[[#This Row],[Winning Team]]="")),"-",IF(Table4[[#This Row],[Predicted Winner]]=NHL2025_26Results[[#This Row],[Winning Team]],"YES","NO"))</f>
        <v>NO</v>
      </c>
      <c r="N31">
        <f>IF(Table4[[#This Row],[Adjusted Correct]]="-", "",IF(Table4[[#This Row],[Adjusted Correct]]="YES",(Table4[[#This Row],[Strength of Win]]-1)^2,(Table4[[#This Row],[Strength of Win]]-0)^2))</f>
        <v>0.36637314146410399</v>
      </c>
      <c r="O31">
        <v>-9.7151346375800168E-3</v>
      </c>
      <c r="P31" s="11"/>
      <c r="Q31" t="s">
        <v>28</v>
      </c>
      <c r="R31" t="s">
        <v>248</v>
      </c>
    </row>
    <row r="32" spans="1:18" x14ac:dyDescent="0.2">
      <c r="A32" s="4" t="s">
        <v>38</v>
      </c>
      <c r="B32">
        <v>-0.6902088310934803</v>
      </c>
      <c r="D32" s="1">
        <v>45941</v>
      </c>
      <c r="E32" s="2">
        <v>0.83333333333333337</v>
      </c>
      <c r="F32" t="s">
        <v>29</v>
      </c>
      <c r="G32">
        <f>VLOOKUP(Table4[[#This Row],[Home]],'NHL Model'!$A$6:$B$38,2,FALSE)</f>
        <v>-1.384917283810061</v>
      </c>
      <c r="H32" t="s">
        <v>55</v>
      </c>
      <c r="I32">
        <f>VLOOKUP(Table4[[#This Row],[Visitor]],'NHL Model'!$A$6:$B$38,2,FALSE)</f>
        <v>-0.4031232890211825</v>
      </c>
      <c r="J32">
        <f>($B$1+Table4[[#This Row],[Home Differential]])-Table4[[#This Row],[Away Differential]]</f>
        <v>-0.93189324586571609</v>
      </c>
      <c r="K32" t="str">
        <f>IF(Table4[[#This Row],[HomeIce Differential]]&gt;0,Table4[[#This Row],[Home]],Table4[[#This Row],[Visitor]])</f>
        <v>Utah Mammoth</v>
      </c>
      <c r="L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0.56881229021751245</v>
      </c>
      <c r="M32" t="str">
        <f>IF(OR((NHL2025_26Results[[#This Row],[Winning Team]]="")),"-",IF(Table4[[#This Row],[Predicted Winner]]=NHL2025_26Results[[#This Row],[Winning Team]],"YES","NO"))</f>
        <v>YES</v>
      </c>
      <c r="N32">
        <f>IF(Table4[[#This Row],[Adjusted Correct]]="-", "",IF(Table4[[#This Row],[Adjusted Correct]]="YES",(Table4[[#This Row],[Strength of Win]]-1)^2,(Table4[[#This Row],[Strength of Win]]-0)^2))</f>
        <v>0.1859228410674667</v>
      </c>
      <c r="O32">
        <v>-9.2090114557647589E-3</v>
      </c>
      <c r="P32" s="11"/>
      <c r="Q32" t="s">
        <v>250</v>
      </c>
      <c r="R32" t="s">
        <v>249</v>
      </c>
    </row>
    <row r="33" spans="1:18" x14ac:dyDescent="0.2">
      <c r="A33" s="4" t="s">
        <v>20</v>
      </c>
      <c r="B33">
        <v>-6.3745791019188943E-4</v>
      </c>
      <c r="D33" s="1">
        <v>45941</v>
      </c>
      <c r="E33" s="2">
        <v>0.79166666666666663</v>
      </c>
      <c r="F33" t="s">
        <v>30</v>
      </c>
      <c r="G33">
        <f>VLOOKUP(Table4[[#This Row],[Home]],'NHL Model'!$A$6:$B$38,2,FALSE)</f>
        <v>-0.24093199744133265</v>
      </c>
      <c r="H33" t="s">
        <v>22</v>
      </c>
      <c r="I33">
        <f>VLOOKUP(Table4[[#This Row],[Visitor]],'NHL Model'!$A$6:$B$38,2,FALSE)</f>
        <v>0.4407072328537569</v>
      </c>
      <c r="J33">
        <f>($B$1+Table4[[#This Row],[Home Differential]])-Table4[[#This Row],[Away Differential]]</f>
        <v>-0.63173848137192712</v>
      </c>
      <c r="K33" t="str">
        <f>IF(Table4[[#This Row],[HomeIce Differential]]&gt;0,Table4[[#This Row],[Home]],Table4[[#This Row],[Visitor]])</f>
        <v>Washington Capitals</v>
      </c>
      <c r="L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0.57627735430877991</v>
      </c>
      <c r="M33" t="str">
        <f>IF(OR((NHL2025_26Results[[#This Row],[Winning Team]]="")),"-",IF(Table4[[#This Row],[Predicted Winner]]=NHL2025_26Results[[#This Row],[Winning Team]],"YES","NO"))</f>
        <v>YES</v>
      </c>
      <c r="N33">
        <f>IF(Table4[[#This Row],[Adjusted Correct]]="-", "",IF(Table4[[#This Row],[Adjusted Correct]]="YES",(Table4[[#This Row],[Strength of Win]]-1)^2,(Table4[[#This Row],[Strength of Win]]-0)^2))</f>
        <v>0.17954088047156724</v>
      </c>
      <c r="O33">
        <v>-9.207463858015923E-3</v>
      </c>
      <c r="P33" s="11"/>
      <c r="Q33" t="s">
        <v>22</v>
      </c>
      <c r="R33" t="s">
        <v>248</v>
      </c>
    </row>
    <row r="34" spans="1:18" x14ac:dyDescent="0.2">
      <c r="A34" s="4" t="s">
        <v>22</v>
      </c>
      <c r="B34">
        <v>-6.1308839486784707E-2</v>
      </c>
      <c r="D34" s="1">
        <v>45941</v>
      </c>
      <c r="E34" s="2">
        <v>0.79166666666666663</v>
      </c>
      <c r="F34" t="s">
        <v>14</v>
      </c>
      <c r="G34">
        <f>VLOOKUP(Table4[[#This Row],[Home]],'NHL Model'!$A$6:$B$38,2,FALSE)</f>
        <v>-0.14226422156549004</v>
      </c>
      <c r="H34" t="s">
        <v>15</v>
      </c>
      <c r="I34">
        <f>VLOOKUP(Table4[[#This Row],[Visitor]],'NHL Model'!$A$6:$B$38,2,FALSE)</f>
        <v>-0.29003398448394263</v>
      </c>
      <c r="J34">
        <f>($B$1+Table4[[#This Row],[Home Differential]])-Table4[[#This Row],[Away Differential]]</f>
        <v>0.19767051184161505</v>
      </c>
      <c r="K34" t="str">
        <f>IF(Table4[[#This Row],[HomeIce Differential]]&gt;0,Table4[[#This Row],[Home]],Table4[[#This Row],[Visitor]])</f>
        <v>Pittsburgh Penguins</v>
      </c>
      <c r="L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0.46299948327093315</v>
      </c>
      <c r="M34" t="str">
        <f>IF(OR((NHL2025_26Results[[#This Row],[Winning Team]]="")),"-",IF(Table4[[#This Row],[Predicted Winner]]=NHL2025_26Results[[#This Row],[Winning Team]],"YES","NO"))</f>
        <v>NO</v>
      </c>
      <c r="N34">
        <f>IF(Table4[[#This Row],[Adjusted Correct]]="-", "",IF(Table4[[#This Row],[Adjusted Correct]]="YES",(Table4[[#This Row],[Strength of Win]]-1)^2,(Table4[[#This Row],[Strength of Win]]-0)^2))</f>
        <v>0.21436852150915112</v>
      </c>
      <c r="O34">
        <v>6.057884203130582E-2</v>
      </c>
      <c r="P34" s="11"/>
      <c r="Q34" t="s">
        <v>14</v>
      </c>
      <c r="R34" t="s">
        <v>249</v>
      </c>
    </row>
    <row r="35" spans="1:18" x14ac:dyDescent="0.2">
      <c r="A35" s="4" t="s">
        <v>40</v>
      </c>
      <c r="B35">
        <v>0.105105258369765</v>
      </c>
      <c r="D35" s="1">
        <v>45941</v>
      </c>
      <c r="E35" s="2">
        <v>0.91666666666666663</v>
      </c>
      <c r="F35" t="s">
        <v>32</v>
      </c>
      <c r="G35">
        <f>VLOOKUP(Table4[[#This Row],[Home]],'NHL Model'!$A$6:$B$38,2,FALSE)</f>
        <v>-0.64937723527808999</v>
      </c>
      <c r="H35" t="s">
        <v>20</v>
      </c>
      <c r="I35">
        <f>VLOOKUP(Table4[[#This Row],[Visitor]],'NHL Model'!$A$6:$B$38,2,FALSE)</f>
        <v>-0.24444083032063643</v>
      </c>
      <c r="J35">
        <f>($B$1+Table4[[#This Row],[Home Differential]])-Table4[[#This Row],[Away Differential]]</f>
        <v>-0.3550356560342911</v>
      </c>
      <c r="K35" t="str">
        <f>IF(Table4[[#This Row],[HomeIce Differential]]&gt;0,Table4[[#This Row],[Home]],Table4[[#This Row],[Visitor]])</f>
        <v>Vegas Golden Knights</v>
      </c>
      <c r="L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0.50145565279430626</v>
      </c>
      <c r="M35" t="str">
        <f>IF(OR((NHL2025_26Results[[#This Row],[Winning Team]]="")),"-",IF(Table4[[#This Row],[Predicted Winner]]=NHL2025_26Results[[#This Row],[Winning Team]],"YES","NO"))</f>
        <v>NO</v>
      </c>
      <c r="N35">
        <f>IF(Table4[[#This Row],[Adjusted Correct]]="-", "",IF(Table4[[#This Row],[Adjusted Correct]]="YES",(Table4[[#This Row],[Strength of Win]]-1)^2,(Table4[[#This Row],[Strength of Win]]-0)^2))</f>
        <v>0.25145777171936384</v>
      </c>
      <c r="O35">
        <v>-9.2121793041826973E-3</v>
      </c>
      <c r="P35" s="11"/>
      <c r="Q35" t="s">
        <v>20</v>
      </c>
      <c r="R35" t="s">
        <v>249</v>
      </c>
    </row>
    <row r="36" spans="1:18" x14ac:dyDescent="0.2">
      <c r="A36" s="4" t="s">
        <v>45</v>
      </c>
      <c r="B36">
        <v>-7.6523491360758822</v>
      </c>
      <c r="D36" s="1">
        <v>45941</v>
      </c>
      <c r="E36" s="2">
        <v>0.91666666666666663</v>
      </c>
      <c r="F36" t="s">
        <v>33</v>
      </c>
      <c r="G36">
        <f>VLOOKUP(Table4[[#This Row],[Home]],'NHL Model'!$A$6:$B$38,2,FALSE)</f>
        <v>-0.45133099238224339</v>
      </c>
      <c r="H36" t="s">
        <v>31</v>
      </c>
      <c r="I36">
        <f>VLOOKUP(Table4[[#This Row],[Visitor]],'NHL Model'!$A$6:$B$38,2,FALSE)</f>
        <v>0.17870302183926629</v>
      </c>
      <c r="J36">
        <f>($B$1+Table4[[#This Row],[Home Differential]])-Table4[[#This Row],[Away Differential]]</f>
        <v>-0.58013326529834719</v>
      </c>
      <c r="K36" t="str">
        <f>IF(Table4[[#This Row],[HomeIce Differential]]&gt;0,Table4[[#This Row],[Home]],Table4[[#This Row],[Visitor]])</f>
        <v>Anaheim Ducks</v>
      </c>
      <c r="L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0.53832735617360639</v>
      </c>
      <c r="M36" t="str">
        <f>IF(OR((NHL2025_26Results[[#This Row],[Winning Team]]="")),"-",IF(Table4[[#This Row],[Predicted Winner]]=NHL2025_26Results[[#This Row],[Winning Team]],"YES","NO"))</f>
        <v>YES</v>
      </c>
      <c r="N36">
        <f>IF(Table4[[#This Row],[Adjusted Correct]]="-", "",IF(Table4[[#This Row],[Adjusted Correct]]="YES",(Table4[[#This Row],[Strength of Win]]-1)^2,(Table4[[#This Row],[Strength of Win]]-0)^2))</f>
        <v>0.2131416300576521</v>
      </c>
      <c r="O36">
        <v>-8.7970492492562904E-3</v>
      </c>
      <c r="P36" s="11"/>
      <c r="Q36" t="s">
        <v>31</v>
      </c>
      <c r="R36" t="s">
        <v>248</v>
      </c>
    </row>
    <row r="37" spans="1:18" x14ac:dyDescent="0.2">
      <c r="D37" s="1">
        <v>45941</v>
      </c>
      <c r="E37" s="2">
        <v>0.79166666666666663</v>
      </c>
      <c r="F37" t="s">
        <v>37</v>
      </c>
      <c r="G37">
        <f>VLOOKUP(Table4[[#This Row],[Home]],'NHL Model'!$A$6:$B$38,2,FALSE)</f>
        <v>0.51050494674660429</v>
      </c>
      <c r="H37" t="s">
        <v>24</v>
      </c>
      <c r="I37">
        <f>VLOOKUP(Table4[[#This Row],[Visitor]],'NHL Model'!$A$6:$B$38,2,FALSE)</f>
        <v>1.5302507646042616E-3</v>
      </c>
      <c r="J37">
        <f>($B$1+Table4[[#This Row],[Home Differential]])-Table4[[#This Row],[Away Differential]]</f>
        <v>0.5588754449051625</v>
      </c>
      <c r="K37" t="str">
        <f>IF(Table4[[#This Row],[HomeIce Differential]]&gt;0,Table4[[#This Row],[Home]],Table4[[#This Row],[Visitor]])</f>
        <v>Tampa Bay Lightning</v>
      </c>
      <c r="L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0.61698109453658201</v>
      </c>
      <c r="M37" t="str">
        <f>IF(OR((NHL2025_26Results[[#This Row],[Winning Team]]="")),"-",IF(Table4[[#This Row],[Predicted Winner]]=NHL2025_26Results[[#This Row],[Winning Team]],"YES","NO"))</f>
        <v>NO</v>
      </c>
      <c r="N37">
        <f>IF(Table4[[#This Row],[Adjusted Correct]]="-", "",IF(Table4[[#This Row],[Adjusted Correct]]="YES",(Table4[[#This Row],[Strength of Win]]-1)^2,(Table4[[#This Row],[Strength of Win]]-0)^2))</f>
        <v>0.38066567101555876</v>
      </c>
      <c r="O37">
        <v>-9.4712703452670185E-3</v>
      </c>
      <c r="P37" s="11"/>
      <c r="Q37" t="s">
        <v>24</v>
      </c>
      <c r="R37" t="s">
        <v>248</v>
      </c>
    </row>
    <row r="38" spans="1:18" x14ac:dyDescent="0.2">
      <c r="A38" s="5" t="s">
        <v>44</v>
      </c>
      <c r="B38" t="s">
        <v>241</v>
      </c>
      <c r="D38" s="1">
        <v>45941</v>
      </c>
      <c r="E38" s="2">
        <v>0.5625</v>
      </c>
      <c r="F38" t="s">
        <v>40</v>
      </c>
      <c r="G38">
        <f>VLOOKUP(Table4[[#This Row],[Home]],'NHL Model'!$A$6:$B$38,2,FALSE)</f>
        <v>-0.31324182378279158</v>
      </c>
      <c r="H38" t="s">
        <v>13</v>
      </c>
      <c r="I38">
        <f>VLOOKUP(Table4[[#This Row],[Visitor]],'NHL Model'!$A$6:$B$38,2,FALSE)</f>
        <v>-0.33828359867721369</v>
      </c>
      <c r="J38">
        <f>($B$1+Table4[[#This Row],[Home Differential]])-Table4[[#This Row],[Away Differential]]</f>
        <v>7.4942523817584594E-2</v>
      </c>
      <c r="K38" t="str">
        <f>IF(Table4[[#This Row],[HomeIce Differential]]&gt;0,Table4[[#This Row],[Home]],Table4[[#This Row],[Visitor]])</f>
        <v>Winnipeg Jets</v>
      </c>
      <c r="L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0.48494112191888922</v>
      </c>
      <c r="M38" t="str">
        <f>IF(OR((NHL2025_26Results[[#This Row],[Winning Team]]="")),"-",IF(Table4[[#This Row],[Predicted Winner]]=NHL2025_26Results[[#This Row],[Winning Team]],"YES","NO"))</f>
        <v>YES</v>
      </c>
      <c r="N38">
        <f>IF(Table4[[#This Row],[Adjusted Correct]]="-", "",IF(Table4[[#This Row],[Adjusted Correct]]="YES",(Table4[[#This Row],[Strength of Win]]-1)^2,(Table4[[#This Row],[Strength of Win]]-0)^2))</f>
        <v>0.2652856478901725</v>
      </c>
      <c r="O38">
        <v>2.6396033238882982E-2</v>
      </c>
      <c r="P38" s="11"/>
      <c r="Q38" t="s">
        <v>40</v>
      </c>
      <c r="R38" t="s">
        <v>248</v>
      </c>
    </row>
    <row r="39" spans="1:18" x14ac:dyDescent="0.2">
      <c r="A39" s="4" t="s">
        <v>31</v>
      </c>
      <c r="B39" s="12">
        <v>0.8</v>
      </c>
      <c r="D39" s="1">
        <v>45942</v>
      </c>
      <c r="E39" s="2">
        <v>0.79166666666666663</v>
      </c>
      <c r="F39" t="s">
        <v>15</v>
      </c>
      <c r="G39">
        <f>VLOOKUP(Table4[[#This Row],[Home]],'NHL Model'!$A$6:$B$38,2,FALSE)</f>
        <v>-0.29003398448394263</v>
      </c>
      <c r="H39" t="s">
        <v>22</v>
      </c>
      <c r="I39">
        <f>VLOOKUP(Table4[[#This Row],[Visitor]],'NHL Model'!$A$6:$B$38,2,FALSE)</f>
        <v>0.4407072328537569</v>
      </c>
      <c r="J39">
        <f>($B$1+Table4[[#This Row],[Home Differential]])-Table4[[#This Row],[Away Differential]]</f>
        <v>-0.68084046841453705</v>
      </c>
      <c r="K39" t="str">
        <f>IF(Table4[[#This Row],[HomeIce Differential]]&gt;0,Table4[[#This Row],[Home]],Table4[[#This Row],[Visitor]])</f>
        <v>Washington Capitals</v>
      </c>
      <c r="L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0.58201073598961128</v>
      </c>
      <c r="M39" t="str">
        <f>IF(OR((NHL2025_26Results[[#This Row],[Winning Team]]="")),"-",IF(Table4[[#This Row],[Predicted Winner]]=NHL2025_26Results[[#This Row],[Winning Team]],"YES","NO"))</f>
        <v>YES</v>
      </c>
      <c r="N39">
        <f>IF(Table4[[#This Row],[Adjusted Correct]]="-", "",IF(Table4[[#This Row],[Adjusted Correct]]="YES",(Table4[[#This Row],[Strength of Win]]-1)^2,(Table4[[#This Row],[Strength of Win]]-0)^2))</f>
        <v>0.17471502482794643</v>
      </c>
      <c r="O39">
        <v>-0.8829558401088724</v>
      </c>
      <c r="P39" s="11"/>
      <c r="Q39" t="s">
        <v>22</v>
      </c>
      <c r="R39" t="s">
        <v>248</v>
      </c>
    </row>
    <row r="40" spans="1:18" x14ac:dyDescent="0.2">
      <c r="A40" s="4" t="s">
        <v>21</v>
      </c>
      <c r="B40" s="12">
        <v>0.7</v>
      </c>
      <c r="D40" s="1">
        <v>45943</v>
      </c>
      <c r="E40" s="2">
        <v>0.54166666666666663</v>
      </c>
      <c r="F40" t="s">
        <v>21</v>
      </c>
      <c r="G40">
        <f>VLOOKUP(Table4[[#This Row],[Home]],'NHL Model'!$A$6:$B$38,2,FALSE)</f>
        <v>-0.21976976044773161</v>
      </c>
      <c r="H40" t="s">
        <v>37</v>
      </c>
      <c r="I40">
        <f>VLOOKUP(Table4[[#This Row],[Visitor]],'NHL Model'!$A$6:$B$38,2,FALSE)</f>
        <v>0.51050494674660429</v>
      </c>
      <c r="J40">
        <f>($B$1+Table4[[#This Row],[Home Differential]])-Table4[[#This Row],[Away Differential]]</f>
        <v>-0.68037395827117342</v>
      </c>
      <c r="K40" t="str">
        <f>IF(Table4[[#This Row],[HomeIce Differential]]&gt;0,Table4[[#This Row],[Home]],Table4[[#This Row],[Visitor]])</f>
        <v>Tampa Bay Lightning</v>
      </c>
      <c r="L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0.58853461032201404</v>
      </c>
      <c r="M40" t="str">
        <f>IF(OR((NHL2025_26Results[[#This Row],[Winning Team]]="")),"-",IF(Table4[[#This Row],[Predicted Winner]]=NHL2025_26Results[[#This Row],[Winning Team]],"YES","NO"))</f>
        <v>YES</v>
      </c>
      <c r="N40">
        <f>IF(Table4[[#This Row],[Adjusted Correct]]="-", "",IF(Table4[[#This Row],[Adjusted Correct]]="YES",(Table4[[#This Row],[Strength of Win]]-1)^2,(Table4[[#This Row],[Strength of Win]]-0)^2))</f>
        <v>0.16930376690285684</v>
      </c>
      <c r="O40">
        <v>-0.37995028146814053</v>
      </c>
      <c r="P40" s="11"/>
      <c r="Q40" t="s">
        <v>37</v>
      </c>
      <c r="R40" t="s">
        <v>248</v>
      </c>
    </row>
    <row r="41" spans="1:18" x14ac:dyDescent="0.2">
      <c r="A41" s="4" t="s">
        <v>23</v>
      </c>
      <c r="B41" s="12">
        <v>0.5</v>
      </c>
      <c r="D41" s="1">
        <v>45943</v>
      </c>
      <c r="E41" s="2">
        <v>0.52083333333333337</v>
      </c>
      <c r="F41" t="s">
        <v>23</v>
      </c>
      <c r="G41">
        <f>VLOOKUP(Table4[[#This Row],[Home]],'NHL Model'!$A$6:$B$38,2,FALSE)</f>
        <v>-0.4761104357405897</v>
      </c>
      <c r="H41" t="s">
        <v>12</v>
      </c>
      <c r="I41">
        <f>VLOOKUP(Table4[[#This Row],[Visitor]],'NHL Model'!$A$6:$B$38,2,FALSE)</f>
        <v>1.6319036584269762</v>
      </c>
      <c r="J41">
        <f>($B$1+Table4[[#This Row],[Home Differential]])-Table4[[#This Row],[Away Differential]]</f>
        <v>-2.0581133452444034</v>
      </c>
      <c r="K41" t="str">
        <f>IF(Table4[[#This Row],[HomeIce Differential]]&gt;0,Table4[[#This Row],[Home]],Table4[[#This Row],[Visitor]])</f>
        <v>Colorado Avalanche</v>
      </c>
      <c r="L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0.76276408823416275</v>
      </c>
      <c r="M41" t="str">
        <f>IF(OR((NHL2025_26Results[[#This Row],[Winning Team]]="")),"-",IF(Table4[[#This Row],[Predicted Winner]]=NHL2025_26Results[[#This Row],[Winning Team]],"YES","NO"))</f>
        <v>YES</v>
      </c>
      <c r="N41">
        <f>IF(Table4[[#This Row],[Adjusted Correct]]="-", "",IF(Table4[[#This Row],[Adjusted Correct]]="YES",(Table4[[#This Row],[Strength of Win]]-1)^2,(Table4[[#This Row],[Strength of Win]]-0)^2))</f>
        <v>5.6280877831368113E-2</v>
      </c>
      <c r="O41">
        <v>-0.5751720838197506</v>
      </c>
      <c r="P41" s="11"/>
      <c r="Q41" t="s">
        <v>12</v>
      </c>
      <c r="R41" t="s">
        <v>248</v>
      </c>
    </row>
    <row r="42" spans="1:18" x14ac:dyDescent="0.2">
      <c r="A42" s="4" t="s">
        <v>16</v>
      </c>
      <c r="B42" s="12">
        <v>0.2857142857142857</v>
      </c>
      <c r="D42" s="1">
        <v>45943</v>
      </c>
      <c r="E42" s="2">
        <v>0.79166666666666663</v>
      </c>
      <c r="F42" t="s">
        <v>28</v>
      </c>
      <c r="G42">
        <f>VLOOKUP(Table4[[#This Row],[Home]],'NHL Model'!$A$6:$B$38,2,FALSE)</f>
        <v>-0.59498940435054026</v>
      </c>
      <c r="H42" t="s">
        <v>24</v>
      </c>
      <c r="I42">
        <f>VLOOKUP(Table4[[#This Row],[Visitor]],'NHL Model'!$A$6:$B$38,2,FALSE)</f>
        <v>1.5302507646042616E-3</v>
      </c>
      <c r="J42">
        <f>($B$1+Table4[[#This Row],[Home Differential]])-Table4[[#This Row],[Away Differential]]</f>
        <v>-0.54661890619198206</v>
      </c>
      <c r="K42" t="str">
        <f>IF(Table4[[#This Row],[HomeIce Differential]]&gt;0,Table4[[#This Row],[Home]],Table4[[#This Row],[Visitor]])</f>
        <v>New Jersey Devils</v>
      </c>
      <c r="L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0.54459505558641363</v>
      </c>
      <c r="M42" t="str">
        <f>IF(OR((NHL2025_26Results[[#This Row],[Winning Team]]="")),"-",IF(Table4[[#This Row],[Predicted Winner]]=NHL2025_26Results[[#This Row],[Winning Team]],"YES","NO"))</f>
        <v>YES</v>
      </c>
      <c r="N42">
        <f>IF(Table4[[#This Row],[Adjusted Correct]]="-", "",IF(Table4[[#This Row],[Adjusted Correct]]="YES",(Table4[[#This Row],[Strength of Win]]-1)^2,(Table4[[#This Row],[Strength of Win]]-0)^2))</f>
        <v>0.20739366339634169</v>
      </c>
      <c r="O42">
        <v>-0.43763260116194724</v>
      </c>
      <c r="P42" s="11"/>
      <c r="Q42" t="s">
        <v>24</v>
      </c>
      <c r="R42" t="s">
        <v>248</v>
      </c>
    </row>
    <row r="43" spans="1:18" x14ac:dyDescent="0.2">
      <c r="A43" s="4" t="s">
        <v>25</v>
      </c>
      <c r="B43" s="12">
        <v>0.8</v>
      </c>
      <c r="D43" s="1">
        <v>45943</v>
      </c>
      <c r="E43" s="2">
        <v>0.85416666666666663</v>
      </c>
      <c r="F43" t="s">
        <v>10</v>
      </c>
      <c r="G43">
        <f>VLOOKUP(Table4[[#This Row],[Home]],'NHL Model'!$A$6:$B$38,2,FALSE)</f>
        <v>-0.17619625518431364</v>
      </c>
      <c r="H43" t="s">
        <v>55</v>
      </c>
      <c r="I43">
        <f>VLOOKUP(Table4[[#This Row],[Visitor]],'NHL Model'!$A$6:$B$38,2,FALSE)</f>
        <v>-0.4031232890211825</v>
      </c>
      <c r="J43">
        <f>($B$1+Table4[[#This Row],[Home Differential]])-Table4[[#This Row],[Away Differential]]</f>
        <v>0.27682778276003128</v>
      </c>
      <c r="K43" t="str">
        <f>IF(Table4[[#This Row],[HomeIce Differential]]&gt;0,Table4[[#This Row],[Home]],Table4[[#This Row],[Visitor]])</f>
        <v>Chicago Blackhawks</v>
      </c>
      <c r="L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0.57232372932370801</v>
      </c>
      <c r="M43" t="str">
        <f>IF(OR((NHL2025_26Results[[#This Row],[Winning Team]]="")),"-",IF(Table4[[#This Row],[Predicted Winner]]=NHL2025_26Results[[#This Row],[Winning Team]],"YES","NO"))</f>
        <v>YES</v>
      </c>
      <c r="N43">
        <f>IF(Table4[[#This Row],[Adjusted Correct]]="-", "",IF(Table4[[#This Row],[Adjusted Correct]]="YES",(Table4[[#This Row],[Strength of Win]]-1)^2,(Table4[[#This Row],[Strength of Win]]-0)^2))</f>
        <v>0.18290699249958098</v>
      </c>
      <c r="O43">
        <v>-0.50738766212517128</v>
      </c>
      <c r="P43" s="11"/>
      <c r="Q43" t="s">
        <v>250</v>
      </c>
      <c r="R43" t="s">
        <v>249</v>
      </c>
    </row>
    <row r="44" spans="1:18" x14ac:dyDescent="0.2">
      <c r="A44" s="4" t="s">
        <v>10</v>
      </c>
      <c r="B44" s="12">
        <v>0.5</v>
      </c>
      <c r="D44" s="1">
        <v>45943</v>
      </c>
      <c r="E44" s="2">
        <v>0.83333333333333337</v>
      </c>
      <c r="F44" t="s">
        <v>34</v>
      </c>
      <c r="G44">
        <f>VLOOKUP(Table4[[#This Row],[Home]],'NHL Model'!$A$6:$B$38,2,FALSE)</f>
        <v>-5.5124787449478845E-2</v>
      </c>
      <c r="H44" t="s">
        <v>13</v>
      </c>
      <c r="I44">
        <f>VLOOKUP(Table4[[#This Row],[Visitor]],'NHL Model'!$A$6:$B$38,2,FALSE)</f>
        <v>-0.33828359867721369</v>
      </c>
      <c r="J44">
        <f>($B$1+Table4[[#This Row],[Home Differential]])-Table4[[#This Row],[Away Differential]]</f>
        <v>0.33305956015089733</v>
      </c>
      <c r="K44" t="str">
        <f>IF(Table4[[#This Row],[HomeIce Differential]]&gt;0,Table4[[#This Row],[Home]],Table4[[#This Row],[Visitor]])</f>
        <v>Minnesota Wild</v>
      </c>
      <c r="L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0.51257382978220933</v>
      </c>
      <c r="M44" t="str">
        <f>IF(OR((NHL2025_26Results[[#This Row],[Winning Team]]="")),"-",IF(Table4[[#This Row],[Predicted Winner]]=NHL2025_26Results[[#This Row],[Winning Team]],"YES","NO"))</f>
        <v>YES</v>
      </c>
      <c r="N44">
        <f>IF(Table4[[#This Row],[Adjusted Correct]]="-", "",IF(Table4[[#This Row],[Adjusted Correct]]="YES",(Table4[[#This Row],[Strength of Win]]-1)^2,(Table4[[#This Row],[Strength of Win]]-0)^2))</f>
        <v>0.23758427141318264</v>
      </c>
      <c r="O44">
        <v>-0.41264949281827218</v>
      </c>
      <c r="P44" s="11"/>
      <c r="Q44" t="s">
        <v>13</v>
      </c>
      <c r="R44" t="s">
        <v>249</v>
      </c>
    </row>
    <row r="45" spans="1:18" x14ac:dyDescent="0.2">
      <c r="A45" s="4" t="s">
        <v>12</v>
      </c>
      <c r="B45" s="12">
        <v>0.66666666666666663</v>
      </c>
      <c r="D45" s="1">
        <v>45943</v>
      </c>
      <c r="E45" s="2">
        <v>0.54166666666666663</v>
      </c>
      <c r="F45" t="s">
        <v>30</v>
      </c>
      <c r="G45">
        <f>VLOOKUP(Table4[[#This Row],[Home]],'NHL Model'!$A$6:$B$38,2,FALSE)</f>
        <v>-0.24093199744133265</v>
      </c>
      <c r="H45" t="s">
        <v>40</v>
      </c>
      <c r="I45">
        <f>VLOOKUP(Table4[[#This Row],[Visitor]],'NHL Model'!$A$6:$B$38,2,FALSE)</f>
        <v>-0.31324182378279158</v>
      </c>
      <c r="J45">
        <f>($B$1+Table4[[#This Row],[Home Differential]])-Table4[[#This Row],[Away Differential]]</f>
        <v>0.1222105752646214</v>
      </c>
      <c r="K45" t="str">
        <f>IF(Table4[[#This Row],[HomeIce Differential]]&gt;0,Table4[[#This Row],[Home]],Table4[[#This Row],[Visitor]])</f>
        <v>New York Islanders</v>
      </c>
      <c r="L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0.53350065759227305</v>
      </c>
      <c r="M45" t="str">
        <f>IF(OR((NHL2025_26Results[[#This Row],[Winning Team]]="")),"-",IF(Table4[[#This Row],[Predicted Winner]]=NHL2025_26Results[[#This Row],[Winning Team]],"YES","NO"))</f>
        <v>NO</v>
      </c>
      <c r="N45">
        <f>IF(Table4[[#This Row],[Adjusted Correct]]="-", "",IF(Table4[[#This Row],[Adjusted Correct]]="YES",(Table4[[#This Row],[Strength of Win]]-1)^2,(Table4[[#This Row],[Strength of Win]]-0)^2))</f>
        <v>0.28462295165138779</v>
      </c>
      <c r="O45">
        <v>-0.50491654693414467</v>
      </c>
      <c r="P45" s="11"/>
      <c r="Q45" t="s">
        <v>40</v>
      </c>
      <c r="R45" t="s">
        <v>248</v>
      </c>
    </row>
    <row r="46" spans="1:18" x14ac:dyDescent="0.2">
      <c r="A46" s="4" t="s">
        <v>28</v>
      </c>
      <c r="B46" s="12">
        <v>0.5</v>
      </c>
      <c r="D46" s="1">
        <v>45943</v>
      </c>
      <c r="E46" s="2">
        <v>0.54166666666666663</v>
      </c>
      <c r="F46" t="s">
        <v>36</v>
      </c>
      <c r="G46">
        <f>VLOOKUP(Table4[[#This Row],[Home]],'NHL Model'!$A$6:$B$38,2,FALSE)</f>
        <v>-0.53137605086483863</v>
      </c>
      <c r="H46" t="s">
        <v>29</v>
      </c>
      <c r="I46">
        <f>VLOOKUP(Table4[[#This Row],[Visitor]],'NHL Model'!$A$6:$B$38,2,FALSE)</f>
        <v>-1.384917283810061</v>
      </c>
      <c r="J46">
        <f>($B$1+Table4[[#This Row],[Home Differential]])-Table4[[#This Row],[Away Differential]]</f>
        <v>0.90344198186838476</v>
      </c>
      <c r="K46" t="str">
        <f>IF(Table4[[#This Row],[HomeIce Differential]]&gt;0,Table4[[#This Row],[Home]],Table4[[#This Row],[Visitor]])</f>
        <v>Ottawa Senators</v>
      </c>
      <c r="L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0.64798566443947669</v>
      </c>
      <c r="M46" t="str">
        <f>IF(OR((NHL2025_26Results[[#This Row],[Winning Team]]="")),"-",IF(Table4[[#This Row],[Predicted Winner]]=NHL2025_26Results[[#This Row],[Winning Team]],"YES","NO"))</f>
        <v>NO</v>
      </c>
      <c r="N46">
        <f>IF(Table4[[#This Row],[Adjusted Correct]]="-", "",IF(Table4[[#This Row],[Adjusted Correct]]="YES",(Table4[[#This Row],[Strength of Win]]-1)^2,(Table4[[#This Row],[Strength of Win]]-0)^2))</f>
        <v>0.41988542131907008</v>
      </c>
      <c r="O46">
        <v>-0.50375844504465972</v>
      </c>
      <c r="P46" s="11"/>
      <c r="Q46" t="s">
        <v>29</v>
      </c>
      <c r="R46" t="s">
        <v>248</v>
      </c>
    </row>
    <row r="47" spans="1:18" x14ac:dyDescent="0.2">
      <c r="A47" s="4" t="s">
        <v>39</v>
      </c>
      <c r="B47" s="12">
        <v>0.5</v>
      </c>
      <c r="D47" s="1">
        <v>45943</v>
      </c>
      <c r="E47" s="2">
        <v>0.79166666666666663</v>
      </c>
      <c r="F47" t="s">
        <v>27</v>
      </c>
      <c r="G47">
        <f>VLOOKUP(Table4[[#This Row],[Home]],'NHL Model'!$A$6:$B$38,2,FALSE)</f>
        <v>-0.38023958350631604</v>
      </c>
      <c r="H47" t="s">
        <v>11</v>
      </c>
      <c r="I47">
        <f>VLOOKUP(Table4[[#This Row],[Visitor]],'NHL Model'!$A$6:$B$38,2,FALSE)</f>
        <v>-0.39711829106410657</v>
      </c>
      <c r="J47">
        <f>($B$1+Table4[[#This Row],[Home Differential]])-Table4[[#This Row],[Away Differential]]</f>
        <v>6.6779456480953014E-2</v>
      </c>
      <c r="K47" t="str">
        <f>IF(Table4[[#This Row],[HomeIce Differential]]&gt;0,Table4[[#This Row],[Home]],Table4[[#This Row],[Visitor]])</f>
        <v>Philadelphia Flyers</v>
      </c>
      <c r="L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0.56181410763720108</v>
      </c>
      <c r="M47" t="str">
        <f>IF(OR((NHL2025_26Results[[#This Row],[Winning Team]]="")),"-",IF(Table4[[#This Row],[Predicted Winner]]=NHL2025_26Results[[#This Row],[Winning Team]],"YES","NO"))</f>
        <v>YES</v>
      </c>
      <c r="N47">
        <f>IF(Table4[[#This Row],[Adjusted Correct]]="-", "",IF(Table4[[#This Row],[Adjusted Correct]]="YES",(Table4[[#This Row],[Strength of Win]]-1)^2,(Table4[[#This Row],[Strength of Win]]-0)^2))</f>
        <v>0.19200687626578242</v>
      </c>
      <c r="O47">
        <v>-0.56356457777219926</v>
      </c>
      <c r="P47" s="11"/>
      <c r="Q47" t="s">
        <v>11</v>
      </c>
      <c r="R47" t="s">
        <v>249</v>
      </c>
    </row>
    <row r="48" spans="1:18" x14ac:dyDescent="0.2">
      <c r="A48" s="4" t="s">
        <v>26</v>
      </c>
      <c r="B48" s="12">
        <v>0.7142857142857143</v>
      </c>
      <c r="D48" s="1">
        <v>45943</v>
      </c>
      <c r="E48" s="2">
        <v>0.66666666666666663</v>
      </c>
      <c r="F48" t="s">
        <v>19</v>
      </c>
      <c r="G48">
        <f>VLOOKUP(Table4[[#This Row],[Home]],'NHL Model'!$A$6:$B$38,2,FALSE)</f>
        <v>-0.63447859131898054</v>
      </c>
      <c r="H48" t="s">
        <v>26</v>
      </c>
      <c r="I48">
        <f>VLOOKUP(Table4[[#This Row],[Visitor]],'NHL Model'!$A$6:$B$38,2,FALSE)</f>
        <v>-0.87533956503230947</v>
      </c>
      <c r="J48">
        <f>($B$1+Table4[[#This Row],[Home Differential]])-Table4[[#This Row],[Away Differential]]</f>
        <v>0.29076172263649136</v>
      </c>
      <c r="K48" t="str">
        <f>IF(Table4[[#This Row],[HomeIce Differential]]&gt;0,Table4[[#This Row],[Home]],Table4[[#This Row],[Visitor]])</f>
        <v>Toronto Maple Leafs</v>
      </c>
      <c r="L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0.5739507224545598</v>
      </c>
      <c r="M48" t="str">
        <f>IF(OR((NHL2025_26Results[[#This Row],[Winning Team]]="")),"-",IF(Table4[[#This Row],[Predicted Winner]]=NHL2025_26Results[[#This Row],[Winning Team]],"YES","NO"))</f>
        <v>NO</v>
      </c>
      <c r="N48">
        <f>IF(Table4[[#This Row],[Adjusted Correct]]="-", "",IF(Table4[[#This Row],[Adjusted Correct]]="YES",(Table4[[#This Row],[Strength of Win]]-1)^2,(Table4[[#This Row],[Strength of Win]]-0)^2))</f>
        <v>0.32941943180611116</v>
      </c>
      <c r="O48">
        <v>-0.46138269297271539</v>
      </c>
      <c r="P48" s="11"/>
      <c r="Q48" t="s">
        <v>26</v>
      </c>
      <c r="R48" t="s">
        <v>248</v>
      </c>
    </row>
    <row r="49" spans="1:18" x14ac:dyDescent="0.2">
      <c r="A49" s="4" t="s">
        <v>17</v>
      </c>
      <c r="B49" s="12">
        <v>0.66666666666666663</v>
      </c>
      <c r="D49" s="1">
        <v>45943</v>
      </c>
      <c r="E49" s="2">
        <v>0.8125</v>
      </c>
      <c r="F49" t="s">
        <v>38</v>
      </c>
      <c r="G49">
        <f>VLOOKUP(Table4[[#This Row],[Home]],'NHL Model'!$A$6:$B$38,2,FALSE)</f>
        <v>-0.9476777551108041</v>
      </c>
      <c r="H49" t="s">
        <v>35</v>
      </c>
      <c r="I49">
        <f>VLOOKUP(Table4[[#This Row],[Visitor]],'NHL Model'!$A$6:$B$38,2,FALSE)</f>
        <v>-1.3944783719477225</v>
      </c>
      <c r="J49">
        <f>($B$1+Table4[[#This Row],[Home Differential]])-Table4[[#This Row],[Away Differential]]</f>
        <v>0.49670136576008084</v>
      </c>
      <c r="K49" t="str">
        <f>IF(Table4[[#This Row],[HomeIce Differential]]&gt;0,Table4[[#This Row],[Home]],Table4[[#This Row],[Visitor]])</f>
        <v>Vancouver Canucks</v>
      </c>
      <c r="L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0.59799721524144278</v>
      </c>
      <c r="M49" t="str">
        <f>IF(OR((NHL2025_26Results[[#This Row],[Winning Team]]="")),"-",IF(Table4[[#This Row],[Predicted Winner]]=NHL2025_26Results[[#This Row],[Winning Team]],"YES","NO"))</f>
        <v>NO</v>
      </c>
      <c r="N49">
        <f>IF(Table4[[#This Row],[Adjusted Correct]]="-", "",IF(Table4[[#This Row],[Adjusted Correct]]="YES",(Table4[[#This Row],[Strength of Win]]-1)^2,(Table4[[#This Row],[Strength of Win]]-0)^2))</f>
        <v>0.35760066943652047</v>
      </c>
      <c r="O49">
        <v>-0.41348669663993171</v>
      </c>
      <c r="P49" s="11"/>
      <c r="Q49" t="s">
        <v>35</v>
      </c>
      <c r="R49" t="s">
        <v>248</v>
      </c>
    </row>
    <row r="50" spans="1:18" x14ac:dyDescent="0.2">
      <c r="A50" s="4" t="s">
        <v>11</v>
      </c>
      <c r="B50" s="12">
        <v>0.7142857142857143</v>
      </c>
      <c r="D50" s="1">
        <v>45944</v>
      </c>
      <c r="E50" s="2">
        <v>0.9375</v>
      </c>
      <c r="F50" t="s">
        <v>31</v>
      </c>
      <c r="G50">
        <f>VLOOKUP(Table4[[#This Row],[Home]],'NHL Model'!$A$6:$B$38,2,FALSE)</f>
        <v>0.17870302183926629</v>
      </c>
      <c r="H50" t="s">
        <v>14</v>
      </c>
      <c r="I50">
        <f>VLOOKUP(Table4[[#This Row],[Visitor]],'NHL Model'!$A$6:$B$38,2,FALSE)</f>
        <v>-0.14226422156549004</v>
      </c>
      <c r="J50">
        <f>($B$1+Table4[[#This Row],[Home Differential]])-Table4[[#This Row],[Away Differential]]</f>
        <v>0.37086799232791878</v>
      </c>
      <c r="K50" t="str">
        <f>IF(Table4[[#This Row],[HomeIce Differential]]&gt;0,Table4[[#This Row],[Home]],Table4[[#This Row],[Visitor]])</f>
        <v>Anaheim Ducks</v>
      </c>
      <c r="L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0.62539386396399976</v>
      </c>
      <c r="M50" t="str">
        <f>IF(OR((NHL2025_26Results[[#This Row],[Winning Team]]="")),"-",IF(Table4[[#This Row],[Predicted Winner]]=NHL2025_26Results[[#This Row],[Winning Team]],"YES","NO"))</f>
        <v>YES</v>
      </c>
      <c r="N50">
        <f>IF(Table4[[#This Row],[Adjusted Correct]]="-", "",IF(Table4[[#This Row],[Adjusted Correct]]="YES",(Table4[[#This Row],[Strength of Win]]-1)^2,(Table4[[#This Row],[Strength of Win]]-0)^2))</f>
        <v>0.14032975715582233</v>
      </c>
      <c r="O50">
        <v>0.41593738547769288</v>
      </c>
      <c r="P50" s="11"/>
      <c r="Q50" t="s">
        <v>31</v>
      </c>
      <c r="R50" t="s">
        <v>248</v>
      </c>
    </row>
    <row r="51" spans="1:18" x14ac:dyDescent="0.2">
      <c r="A51" s="4" t="s">
        <v>13</v>
      </c>
      <c r="B51" s="12">
        <v>0.14285714285714285</v>
      </c>
      <c r="D51" s="1">
        <v>45944</v>
      </c>
      <c r="E51" s="2">
        <v>0.875</v>
      </c>
      <c r="F51" t="s">
        <v>16</v>
      </c>
      <c r="G51">
        <f>VLOOKUP(Table4[[#This Row],[Home]],'NHL Model'!$A$6:$B$38,2,FALSE)</f>
        <v>-1.0657812790446208</v>
      </c>
      <c r="H51" t="s">
        <v>20</v>
      </c>
      <c r="I51">
        <f>VLOOKUP(Table4[[#This Row],[Visitor]],'NHL Model'!$A$6:$B$38,2,FALSE)</f>
        <v>-0.24444083032063643</v>
      </c>
      <c r="J51">
        <f>($B$1+Table4[[#This Row],[Home Differential]])-Table4[[#This Row],[Away Differential]]</f>
        <v>-0.77143969980082194</v>
      </c>
      <c r="K51" t="str">
        <f>IF(Table4[[#This Row],[HomeIce Differential]]&gt;0,Table4[[#This Row],[Home]],Table4[[#This Row],[Visitor]])</f>
        <v>Vegas Golden Knights</v>
      </c>
      <c r="L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0.55007697058911142</v>
      </c>
      <c r="M51" t="str">
        <f>IF(OR((NHL2025_26Results[[#This Row],[Winning Team]]="")),"-",IF(Table4[[#This Row],[Predicted Winner]]=NHL2025_26Results[[#This Row],[Winning Team]],"YES","NO"))</f>
        <v>YES</v>
      </c>
      <c r="N51">
        <f>IF(Table4[[#This Row],[Adjusted Correct]]="-", "",IF(Table4[[#This Row],[Adjusted Correct]]="YES",(Table4[[#This Row],[Strength of Win]]-1)^2,(Table4[[#This Row],[Strength of Win]]-0)^2))</f>
        <v>0.20243073239427131</v>
      </c>
      <c r="O51">
        <v>-2.7999232315021185</v>
      </c>
      <c r="P51" s="11"/>
      <c r="Q51" t="s">
        <v>20</v>
      </c>
      <c r="R51" t="s">
        <v>248</v>
      </c>
    </row>
    <row r="52" spans="1:18" x14ac:dyDescent="0.2">
      <c r="A52" s="4" t="s">
        <v>34</v>
      </c>
      <c r="B52" s="12">
        <v>0.375</v>
      </c>
      <c r="D52" s="1">
        <v>45944</v>
      </c>
      <c r="E52" s="2">
        <v>0.89583333333333337</v>
      </c>
      <c r="F52" t="s">
        <v>39</v>
      </c>
      <c r="G52">
        <f>VLOOKUP(Table4[[#This Row],[Home]],'NHL Model'!$A$6:$B$38,2,FALSE)</f>
        <v>0.41344250185511977</v>
      </c>
      <c r="H52" t="s">
        <v>34</v>
      </c>
      <c r="I52">
        <f>VLOOKUP(Table4[[#This Row],[Visitor]],'NHL Model'!$A$6:$B$38,2,FALSE)</f>
        <v>-5.5124787449478845E-2</v>
      </c>
      <c r="J52">
        <f>($B$1+Table4[[#This Row],[Home Differential]])-Table4[[#This Row],[Away Differential]]</f>
        <v>0.51846803822776111</v>
      </c>
      <c r="K52" t="str">
        <f>IF(Table4[[#This Row],[HomeIce Differential]]&gt;0,Table4[[#This Row],[Home]],Table4[[#This Row],[Visitor]])</f>
        <v>Dallas Stars</v>
      </c>
      <c r="L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0.5906592774329128</v>
      </c>
      <c r="M52" t="str">
        <f>IF(OR((NHL2025_26Results[[#This Row],[Winning Team]]="")),"-",IF(Table4[[#This Row],[Predicted Winner]]=NHL2025_26Results[[#This Row],[Winning Team]],"YES","NO"))</f>
        <v>YES</v>
      </c>
      <c r="N52">
        <f>IF(Table4[[#This Row],[Adjusted Correct]]="-", "",IF(Table4[[#This Row],[Adjusted Correct]]="YES",(Table4[[#This Row],[Strength of Win]]-1)^2,(Table4[[#This Row],[Strength of Win]]-0)^2))</f>
        <v>0.16755982715174506</v>
      </c>
      <c r="O52">
        <v>1.6430406835080806</v>
      </c>
      <c r="P52" s="11"/>
      <c r="Q52" t="s">
        <v>39</v>
      </c>
      <c r="R52" t="s">
        <v>248</v>
      </c>
    </row>
    <row r="53" spans="1:18" x14ac:dyDescent="0.2">
      <c r="A53" s="4" t="s">
        <v>18</v>
      </c>
      <c r="B53" s="12">
        <v>0.66666666666666663</v>
      </c>
      <c r="D53" s="1">
        <v>45944</v>
      </c>
      <c r="E53" s="2">
        <v>0.79166666666666663</v>
      </c>
      <c r="F53" t="s">
        <v>18</v>
      </c>
      <c r="G53">
        <f>VLOOKUP(Table4[[#This Row],[Home]],'NHL Model'!$A$6:$B$38,2,FALSE)</f>
        <v>-0.59288962827382519</v>
      </c>
      <c r="H53" t="s">
        <v>32</v>
      </c>
      <c r="I53">
        <f>VLOOKUP(Table4[[#This Row],[Visitor]],'NHL Model'!$A$6:$B$38,2,FALSE)</f>
        <v>-0.64937723527808999</v>
      </c>
      <c r="J53">
        <f>($B$1+Table4[[#This Row],[Home Differential]])-Table4[[#This Row],[Away Differential]]</f>
        <v>0.10638835592742724</v>
      </c>
      <c r="K53" t="str">
        <f>IF(Table4[[#This Row],[HomeIce Differential]]&gt;0,Table4[[#This Row],[Home]],Table4[[#This Row],[Visitor]])</f>
        <v>Montreal Canadiens</v>
      </c>
      <c r="L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0.55242241073459541</v>
      </c>
      <c r="M53" t="str">
        <f>IF(OR((NHL2025_26Results[[#This Row],[Winning Team]]="")),"-",IF(Table4[[#This Row],[Predicted Winner]]=NHL2025_26Results[[#This Row],[Winning Team]],"YES","NO"))</f>
        <v>YES</v>
      </c>
      <c r="N53">
        <f>IF(Table4[[#This Row],[Adjusted Correct]]="-", "",IF(Table4[[#This Row],[Adjusted Correct]]="YES",(Table4[[#This Row],[Strength of Win]]-1)^2,(Table4[[#This Row],[Strength of Win]]-0)^2))</f>
        <v>0.2003256984126312</v>
      </c>
      <c r="O53">
        <v>0.85958615494926893</v>
      </c>
      <c r="P53" s="11"/>
      <c r="Q53" t="s">
        <v>18</v>
      </c>
      <c r="R53" t="s">
        <v>248</v>
      </c>
    </row>
    <row r="54" spans="1:18" x14ac:dyDescent="0.2">
      <c r="A54" s="4" t="s">
        <v>29</v>
      </c>
      <c r="B54" s="12">
        <v>0.4</v>
      </c>
      <c r="D54" s="1">
        <v>45944</v>
      </c>
      <c r="E54" s="2">
        <v>0.79166666666666663</v>
      </c>
      <c r="F54" t="s">
        <v>15</v>
      </c>
      <c r="G54">
        <f>VLOOKUP(Table4[[#This Row],[Home]],'NHL Model'!$A$6:$B$38,2,FALSE)</f>
        <v>-0.29003398448394263</v>
      </c>
      <c r="H54" t="s">
        <v>17</v>
      </c>
      <c r="I54">
        <f>VLOOKUP(Table4[[#This Row],[Visitor]],'NHL Model'!$A$6:$B$38,2,FALSE)</f>
        <v>-0.81774666423752174</v>
      </c>
      <c r="J54">
        <f>($B$1+Table4[[#This Row],[Home Differential]])-Table4[[#This Row],[Away Differential]]</f>
        <v>0.57761342867674159</v>
      </c>
      <c r="K54" t="str">
        <f>IF(Table4[[#This Row],[HomeIce Differential]]&gt;0,Table4[[#This Row],[Home]],Table4[[#This Row],[Visitor]])</f>
        <v>New York Rangers</v>
      </c>
      <c r="L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0.60744489276378211</v>
      </c>
      <c r="M54" t="str">
        <f>IF(OR((NHL2025_26Results[[#This Row],[Winning Team]]="")),"-",IF(Table4[[#This Row],[Predicted Winner]]=NHL2025_26Results[[#This Row],[Winning Team]],"YES","NO"))</f>
        <v>NO</v>
      </c>
      <c r="N54">
        <f>IF(Table4[[#This Row],[Adjusted Correct]]="-", "",IF(Table4[[#This Row],[Adjusted Correct]]="YES",(Table4[[#This Row],[Strength of Win]]-1)^2,(Table4[[#This Row],[Strength of Win]]-0)^2))</f>
        <v>0.36898929774480277</v>
      </c>
      <c r="O54">
        <v>-0.16117643107239488</v>
      </c>
      <c r="P54" s="11"/>
      <c r="Q54" t="s">
        <v>17</v>
      </c>
      <c r="R54" t="s">
        <v>248</v>
      </c>
    </row>
    <row r="55" spans="1:18" x14ac:dyDescent="0.2">
      <c r="A55" s="4" t="s">
        <v>24</v>
      </c>
      <c r="B55" s="12">
        <v>1</v>
      </c>
      <c r="D55" s="1">
        <v>45944</v>
      </c>
      <c r="E55" s="2">
        <v>0.91666666666666663</v>
      </c>
      <c r="F55" t="s">
        <v>33</v>
      </c>
      <c r="G55">
        <f>VLOOKUP(Table4[[#This Row],[Home]],'NHL Model'!$A$6:$B$38,2,FALSE)</f>
        <v>-0.45133099238224339</v>
      </c>
      <c r="H55" t="s">
        <v>25</v>
      </c>
      <c r="I55">
        <f>VLOOKUP(Table4[[#This Row],[Visitor]],'NHL Model'!$A$6:$B$38,2,FALSE)</f>
        <v>0.42567513732855267</v>
      </c>
      <c r="J55">
        <f>($B$1+Table4[[#This Row],[Home Differential]])-Table4[[#This Row],[Away Differential]]</f>
        <v>-0.82710538078763363</v>
      </c>
      <c r="K55" t="str">
        <f>IF(Table4[[#This Row],[HomeIce Differential]]&gt;0,Table4[[#This Row],[Home]],Table4[[#This Row],[Visitor]])</f>
        <v>Carolina Hurricanes</v>
      </c>
      <c r="L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0.61902574000297383</v>
      </c>
      <c r="M55" t="str">
        <f>IF(OR((NHL2025_26Results[[#This Row],[Winning Team]]="")),"-",IF(Table4[[#This Row],[Predicted Winner]]=NHL2025_26Results[[#This Row],[Winning Team]],"YES","NO"))</f>
        <v>YES</v>
      </c>
      <c r="N55">
        <f>IF(Table4[[#This Row],[Adjusted Correct]]="-", "",IF(Table4[[#This Row],[Adjusted Correct]]="YES",(Table4[[#This Row],[Strength of Win]]-1)^2,(Table4[[#This Row],[Strength of Win]]-0)^2))</f>
        <v>0.14514138678028168</v>
      </c>
      <c r="O55">
        <v>-5.0405968411257467</v>
      </c>
      <c r="P55" s="11"/>
      <c r="Q55" t="s">
        <v>25</v>
      </c>
      <c r="R55" t="s">
        <v>248</v>
      </c>
    </row>
    <row r="56" spans="1:18" x14ac:dyDescent="0.2">
      <c r="A56" s="4" t="s">
        <v>30</v>
      </c>
      <c r="B56" s="12">
        <v>0.5</v>
      </c>
      <c r="D56" s="1">
        <v>45944</v>
      </c>
      <c r="E56" s="2">
        <v>0.79166666666666663</v>
      </c>
      <c r="F56" t="s">
        <v>19</v>
      </c>
      <c r="G56">
        <f>VLOOKUP(Table4[[#This Row],[Home]],'NHL Model'!$A$6:$B$38,2,FALSE)</f>
        <v>-0.63447859131898054</v>
      </c>
      <c r="H56" t="s">
        <v>29</v>
      </c>
      <c r="I56">
        <f>VLOOKUP(Table4[[#This Row],[Visitor]],'NHL Model'!$A$6:$B$38,2,FALSE)</f>
        <v>-1.384917283810061</v>
      </c>
      <c r="J56">
        <f>($B$1+Table4[[#This Row],[Home Differential]])-Table4[[#This Row],[Away Differential]]</f>
        <v>0.80033944141424285</v>
      </c>
      <c r="K56" t="str">
        <f>IF(Table4[[#This Row],[HomeIce Differential]]&gt;0,Table4[[#This Row],[Home]],Table4[[#This Row],[Visitor]])</f>
        <v>Toronto Maple Leafs</v>
      </c>
      <c r="L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0.63345144195222269</v>
      </c>
      <c r="M56" t="str">
        <f>IF(OR((NHL2025_26Results[[#This Row],[Winning Team]]="")),"-",IF(Table4[[#This Row],[Predicted Winner]]=NHL2025_26Results[[#This Row],[Winning Team]],"YES","NO"))</f>
        <v>YES</v>
      </c>
      <c r="N56">
        <f>IF(Table4[[#This Row],[Adjusted Correct]]="-", "",IF(Table4[[#This Row],[Adjusted Correct]]="YES",(Table4[[#This Row],[Strength of Win]]-1)^2,(Table4[[#This Row],[Strength of Win]]-0)^2))</f>
        <v>0.13435784540690476</v>
      </c>
      <c r="O56">
        <v>2.1298584308104078</v>
      </c>
      <c r="P56" s="11"/>
      <c r="Q56" t="s">
        <v>19</v>
      </c>
      <c r="R56" t="s">
        <v>248</v>
      </c>
    </row>
    <row r="57" spans="1:18" x14ac:dyDescent="0.2">
      <c r="A57" s="4" t="s">
        <v>15</v>
      </c>
      <c r="B57" s="12">
        <v>0</v>
      </c>
      <c r="D57" s="1">
        <v>45944</v>
      </c>
      <c r="E57" s="2">
        <v>0.79166666666666663</v>
      </c>
      <c r="F57" t="s">
        <v>22</v>
      </c>
      <c r="G57">
        <f>VLOOKUP(Table4[[#This Row],[Home]],'NHL Model'!$A$6:$B$38,2,FALSE)</f>
        <v>0.4407072328537569</v>
      </c>
      <c r="H57" t="s">
        <v>37</v>
      </c>
      <c r="I57">
        <f>VLOOKUP(Table4[[#This Row],[Visitor]],'NHL Model'!$A$6:$B$38,2,FALSE)</f>
        <v>0.51050494674660429</v>
      </c>
      <c r="J57">
        <f>($B$1+Table4[[#This Row],[Home Differential]])-Table4[[#This Row],[Away Differential]]</f>
        <v>-1.9896964969684905E-2</v>
      </c>
      <c r="K57" t="str">
        <f>IF(Table4[[#This Row],[HomeIce Differential]]&gt;0,Table4[[#This Row],[Home]],Table4[[#This Row],[Visitor]])</f>
        <v>Tampa Bay Lightning</v>
      </c>
      <c r="L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0.52863905379213916</v>
      </c>
      <c r="M57" t="str">
        <f>IF(OR((NHL2025_26Results[[#This Row],[Winning Team]]="")),"-",IF(Table4[[#This Row],[Predicted Winner]]=NHL2025_26Results[[#This Row],[Winning Team]],"YES","NO"))</f>
        <v>NO</v>
      </c>
      <c r="N57">
        <f>IF(Table4[[#This Row],[Adjusted Correct]]="-", "",IF(Table4[[#This Row],[Adjusted Correct]]="YES",(Table4[[#This Row],[Strength of Win]]-1)^2,(Table4[[#This Row],[Strength of Win]]-0)^2))</f>
        <v>0.27945924919424819</v>
      </c>
      <c r="O57">
        <v>0.14833899542151885</v>
      </c>
      <c r="P57" s="11"/>
      <c r="Q57" t="s">
        <v>22</v>
      </c>
      <c r="R57" t="s">
        <v>248</v>
      </c>
    </row>
    <row r="58" spans="1:18" x14ac:dyDescent="0.2">
      <c r="A58" s="4" t="s">
        <v>36</v>
      </c>
      <c r="B58" s="12">
        <v>0.5714285714285714</v>
      </c>
      <c r="D58" s="1">
        <v>45945</v>
      </c>
      <c r="E58" s="2">
        <v>0.79166666666666663</v>
      </c>
      <c r="F58" t="s">
        <v>23</v>
      </c>
      <c r="G58">
        <f>VLOOKUP(Table4[[#This Row],[Home]],'NHL Model'!$A$6:$B$38,2,FALSE)</f>
        <v>-0.4761104357405897</v>
      </c>
      <c r="H58" t="s">
        <v>36</v>
      </c>
      <c r="I58">
        <f>VLOOKUP(Table4[[#This Row],[Visitor]],'NHL Model'!$A$6:$B$38,2,FALSE)</f>
        <v>-0.53137605086483863</v>
      </c>
      <c r="J58">
        <f>($B$1+Table4[[#This Row],[Home Differential]])-Table4[[#This Row],[Away Differential]]</f>
        <v>0.10516636404741142</v>
      </c>
      <c r="K58" t="str">
        <f>IF(Table4[[#This Row],[HomeIce Differential]]&gt;0,Table4[[#This Row],[Home]],Table4[[#This Row],[Visitor]])</f>
        <v>Buffalo Sabres</v>
      </c>
      <c r="L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0.56240197453604368</v>
      </c>
      <c r="M58" t="str">
        <f>IF(OR((NHL2025_26Results[[#This Row],[Winning Team]]="")),"-",IF(Table4[[#This Row],[Predicted Winner]]=NHL2025_26Results[[#This Row],[Winning Team]],"YES","NO"))</f>
        <v>YES</v>
      </c>
      <c r="N58">
        <f>IF(Table4[[#This Row],[Adjusted Correct]]="-", "",IF(Table4[[#This Row],[Adjusted Correct]]="YES",(Table4[[#This Row],[Strength of Win]]-1)^2,(Table4[[#This Row],[Strength of Win]]-0)^2))</f>
        <v>0.19149203188995337</v>
      </c>
      <c r="O58">
        <v>1.4455201446216579</v>
      </c>
      <c r="P58" s="11"/>
      <c r="Q58" t="s">
        <v>23</v>
      </c>
      <c r="R58" t="s">
        <v>248</v>
      </c>
    </row>
    <row r="59" spans="1:18" x14ac:dyDescent="0.2">
      <c r="A59" s="4" t="s">
        <v>27</v>
      </c>
      <c r="B59" s="12">
        <v>0.66666666666666663</v>
      </c>
      <c r="D59" s="1">
        <v>45945</v>
      </c>
      <c r="E59" s="2">
        <v>0.79166666666666663</v>
      </c>
      <c r="F59" t="s">
        <v>26</v>
      </c>
      <c r="G59">
        <f>VLOOKUP(Table4[[#This Row],[Home]],'NHL Model'!$A$6:$B$38,2,FALSE)</f>
        <v>-0.87533956503230947</v>
      </c>
      <c r="H59" t="s">
        <v>11</v>
      </c>
      <c r="I59">
        <f>VLOOKUP(Table4[[#This Row],[Visitor]],'NHL Model'!$A$6:$B$38,2,FALSE)</f>
        <v>-0.39711829106410657</v>
      </c>
      <c r="J59">
        <f>($B$1+Table4[[#This Row],[Home Differential]])-Table4[[#This Row],[Away Differential]]</f>
        <v>-0.42832052504504048</v>
      </c>
      <c r="K59" t="str">
        <f>IF(Table4[[#This Row],[HomeIce Differential]]&gt;0,Table4[[#This Row],[Home]],Table4[[#This Row],[Visitor]])</f>
        <v>Florida Panthers</v>
      </c>
      <c r="L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0.51001274285878251</v>
      </c>
      <c r="M59" t="str">
        <f>IF(OR((NHL2025_26Results[[#This Row],[Winning Team]]="")),"-",IF(Table4[[#This Row],[Predicted Winner]]=NHL2025_26Results[[#This Row],[Winning Team]],"YES","NO"))</f>
        <v>NO</v>
      </c>
      <c r="N59">
        <f>IF(Table4[[#This Row],[Adjusted Correct]]="-", "",IF(Table4[[#This Row],[Adjusted Correct]]="YES",(Table4[[#This Row],[Strength of Win]]-1)^2,(Table4[[#This Row],[Strength of Win]]-0)^2))</f>
        <v>0.26011299787833858</v>
      </c>
      <c r="O59">
        <v>1.8633871095705374</v>
      </c>
      <c r="P59" s="11"/>
      <c r="Q59" t="s">
        <v>26</v>
      </c>
      <c r="R59" t="s">
        <v>248</v>
      </c>
    </row>
    <row r="60" spans="1:18" x14ac:dyDescent="0.2">
      <c r="A60" s="4" t="s">
        <v>14</v>
      </c>
      <c r="B60" s="12">
        <v>0.66666666666666663</v>
      </c>
      <c r="D60" s="1">
        <v>45945</v>
      </c>
      <c r="E60" s="2">
        <v>0.89583333333333337</v>
      </c>
      <c r="F60" t="s">
        <v>35</v>
      </c>
      <c r="G60">
        <f>VLOOKUP(Table4[[#This Row],[Home]],'NHL Model'!$A$6:$B$38,2,FALSE)</f>
        <v>-1.3944783719477225</v>
      </c>
      <c r="H60" t="s">
        <v>10</v>
      </c>
      <c r="I60">
        <f>VLOOKUP(Table4[[#This Row],[Visitor]],'NHL Model'!$A$6:$B$38,2,FALSE)</f>
        <v>-0.17619625518431364</v>
      </c>
      <c r="J60">
        <f>($B$1+Table4[[#This Row],[Home Differential]])-Table4[[#This Row],[Away Differential]]</f>
        <v>-1.1683813678402464</v>
      </c>
      <c r="K60" t="str">
        <f>IF(Table4[[#This Row],[HomeIce Differential]]&gt;0,Table4[[#This Row],[Home]],Table4[[#This Row],[Visitor]])</f>
        <v>Chicago Blackhawks</v>
      </c>
      <c r="L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0.59642576877361209</v>
      </c>
      <c r="M60" t="str">
        <f>IF(OR((NHL2025_26Results[[#This Row],[Winning Team]]="")),"-",IF(Table4[[#This Row],[Predicted Winner]]=NHL2025_26Results[[#This Row],[Winning Team]],"YES","NO"))</f>
        <v>YES</v>
      </c>
      <c r="N60">
        <f>IF(Table4[[#This Row],[Adjusted Correct]]="-", "",IF(Table4[[#This Row],[Adjusted Correct]]="YES",(Table4[[#This Row],[Strength of Win]]-1)^2,(Table4[[#This Row],[Strength of Win]]-0)^2))</f>
        <v>0.16287216010997002</v>
      </c>
      <c r="O60">
        <v>-4.2176854798538637</v>
      </c>
      <c r="P60" s="11"/>
      <c r="Q60" t="s">
        <v>10</v>
      </c>
      <c r="R60" t="s">
        <v>248</v>
      </c>
    </row>
    <row r="61" spans="1:18" x14ac:dyDescent="0.2">
      <c r="A61" s="4" t="s">
        <v>33</v>
      </c>
      <c r="B61" s="12">
        <v>0.33333333333333331</v>
      </c>
      <c r="D61" s="1">
        <v>45945</v>
      </c>
      <c r="E61" s="2">
        <v>0.89583333333333337</v>
      </c>
      <c r="F61" t="s">
        <v>55</v>
      </c>
      <c r="G61">
        <f>VLOOKUP(Table4[[#This Row],[Home]],'NHL Model'!$A$6:$B$38,2,FALSE)</f>
        <v>-0.4031232890211825</v>
      </c>
      <c r="H61" t="s">
        <v>16</v>
      </c>
      <c r="I61">
        <f>VLOOKUP(Table4[[#This Row],[Visitor]],'NHL Model'!$A$6:$B$38,2,FALSE)</f>
        <v>-1.0657812790446208</v>
      </c>
      <c r="J61">
        <f>($B$1+Table4[[#This Row],[Home Differential]])-Table4[[#This Row],[Away Differential]]</f>
        <v>0.71255873894660082</v>
      </c>
      <c r="K61" t="str">
        <f>IF(Table4[[#This Row],[HomeIce Differential]]&gt;0,Table4[[#This Row],[Home]],Table4[[#This Row],[Visitor]])</f>
        <v>Utah Mammoth</v>
      </c>
      <c r="L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0.66363292683452446</v>
      </c>
      <c r="M61" t="str">
        <f>IF(OR((NHL2025_26Results[[#This Row],[Winning Team]]="")),"-",IF(Table4[[#This Row],[Predicted Winner]]=NHL2025_26Results[[#This Row],[Winning Team]],"YES","NO"))</f>
        <v>YES</v>
      </c>
      <c r="N61">
        <f>IF(Table4[[#This Row],[Adjusted Correct]]="-", "",IF(Table4[[#This Row],[Adjusted Correct]]="YES",(Table4[[#This Row],[Strength of Win]]-1)^2,(Table4[[#This Row],[Strength of Win]]-0)^2))</f>
        <v>0.11314280790990837</v>
      </c>
      <c r="O61">
        <v>2.479038166774715</v>
      </c>
      <c r="P61" s="11"/>
      <c r="Q61" t="s">
        <v>55</v>
      </c>
      <c r="R61" t="s">
        <v>248</v>
      </c>
    </row>
    <row r="62" spans="1:18" x14ac:dyDescent="0.2">
      <c r="A62" s="4" t="s">
        <v>32</v>
      </c>
      <c r="B62" s="12">
        <v>0.5714285714285714</v>
      </c>
      <c r="D62" s="1">
        <v>45946</v>
      </c>
      <c r="E62" s="2">
        <v>0.91666666666666663</v>
      </c>
      <c r="F62" t="s">
        <v>31</v>
      </c>
      <c r="G62">
        <f>VLOOKUP(Table4[[#This Row],[Home]],'NHL Model'!$A$6:$B$38,2,FALSE)</f>
        <v>0.17870302183926629</v>
      </c>
      <c r="H62" t="s">
        <v>25</v>
      </c>
      <c r="I62">
        <f>VLOOKUP(Table4[[#This Row],[Visitor]],'NHL Model'!$A$6:$B$38,2,FALSE)</f>
        <v>0.42567513732855267</v>
      </c>
      <c r="J62">
        <f>($B$1+Table4[[#This Row],[Home Differential]])-Table4[[#This Row],[Away Differential]]</f>
        <v>-0.19707136656612392</v>
      </c>
      <c r="K62" t="str">
        <f>IF(Table4[[#This Row],[HomeIce Differential]]&gt;0,Table4[[#This Row],[Home]],Table4[[#This Row],[Visitor]])</f>
        <v>Carolina Hurricanes</v>
      </c>
      <c r="L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0.47371521596449112</v>
      </c>
      <c r="M62" t="str">
        <f>IF(OR((NHL2025_26Results[[#This Row],[Winning Team]]="")),"-",IF(Table4[[#This Row],[Predicted Winner]]=NHL2025_26Results[[#This Row],[Winning Team]],"YES","NO"))</f>
        <v>YES</v>
      </c>
      <c r="N62">
        <f>IF(Table4[[#This Row],[Adjusted Correct]]="-", "",IF(Table4[[#This Row],[Adjusted Correct]]="YES",(Table4[[#This Row],[Strength of Win]]-1)^2,(Table4[[#This Row],[Strength of Win]]-0)^2))</f>
        <v>0.27697567390730227</v>
      </c>
      <c r="O62">
        <v>-4.3084880924528859</v>
      </c>
      <c r="P62" s="11"/>
      <c r="Q62" t="s">
        <v>25</v>
      </c>
      <c r="R62" t="s">
        <v>248</v>
      </c>
    </row>
    <row r="63" spans="1:18" x14ac:dyDescent="0.2">
      <c r="A63" s="4" t="s">
        <v>35</v>
      </c>
      <c r="B63" s="12">
        <v>0.25</v>
      </c>
      <c r="D63" s="1">
        <v>45946</v>
      </c>
      <c r="E63" s="2">
        <v>0.79166666666666663</v>
      </c>
      <c r="F63" t="s">
        <v>28</v>
      </c>
      <c r="G63">
        <f>VLOOKUP(Table4[[#This Row],[Home]],'NHL Model'!$A$6:$B$38,2,FALSE)</f>
        <v>-0.59498940435054026</v>
      </c>
      <c r="H63" t="s">
        <v>12</v>
      </c>
      <c r="I63">
        <f>VLOOKUP(Table4[[#This Row],[Visitor]],'NHL Model'!$A$6:$B$38,2,FALSE)</f>
        <v>1.6319036584269762</v>
      </c>
      <c r="J63">
        <f>($B$1+Table4[[#This Row],[Home Differential]])-Table4[[#This Row],[Away Differential]]</f>
        <v>-2.1769923138543539</v>
      </c>
      <c r="K63" t="str">
        <f>IF(Table4[[#This Row],[HomeIce Differential]]&gt;0,Table4[[#This Row],[Home]],Table4[[#This Row],[Visitor]])</f>
        <v>Colorado Avalanche</v>
      </c>
      <c r="L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0.78681915186374829</v>
      </c>
      <c r="M63" t="str">
        <f>IF(OR((NHL2025_26Results[[#This Row],[Winning Team]]="")),"-",IF(Table4[[#This Row],[Predicted Winner]]=NHL2025_26Results[[#This Row],[Winning Team]],"YES","NO"))</f>
        <v>YES</v>
      </c>
      <c r="N63">
        <f>IF(Table4[[#This Row],[Adjusted Correct]]="-", "",IF(Table4[[#This Row],[Adjusted Correct]]="YES",(Table4[[#This Row],[Strength of Win]]-1)^2,(Table4[[#This Row],[Strength of Win]]-0)^2))</f>
        <v>4.5446074012091615E-2</v>
      </c>
      <c r="O63">
        <v>-1.5334194010980093</v>
      </c>
      <c r="P63" s="11"/>
      <c r="Q63" t="s">
        <v>12</v>
      </c>
      <c r="R63" t="s">
        <v>248</v>
      </c>
    </row>
    <row r="64" spans="1:18" x14ac:dyDescent="0.2">
      <c r="A64" s="4" t="s">
        <v>37</v>
      </c>
      <c r="B64" s="12">
        <v>0.5</v>
      </c>
      <c r="D64" s="1">
        <v>45946</v>
      </c>
      <c r="E64" s="2">
        <v>0.83333333333333337</v>
      </c>
      <c r="F64" t="s">
        <v>39</v>
      </c>
      <c r="G64">
        <f>VLOOKUP(Table4[[#This Row],[Home]],'NHL Model'!$A$6:$B$38,2,FALSE)</f>
        <v>0.41344250185511977</v>
      </c>
      <c r="H64" t="s">
        <v>38</v>
      </c>
      <c r="I64">
        <f>VLOOKUP(Table4[[#This Row],[Visitor]],'NHL Model'!$A$6:$B$38,2,FALSE)</f>
        <v>-0.9476777551108041</v>
      </c>
      <c r="J64">
        <f>($B$1+Table4[[#This Row],[Home Differential]])-Table4[[#This Row],[Away Differential]]</f>
        <v>1.4110210058890864</v>
      </c>
      <c r="K64" t="str">
        <f>IF(Table4[[#This Row],[HomeIce Differential]]&gt;0,Table4[[#This Row],[Home]],Table4[[#This Row],[Visitor]])</f>
        <v>Dallas Stars</v>
      </c>
      <c r="L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0.73347790676820435</v>
      </c>
      <c r="M64" t="str">
        <f>IF(OR((NHL2025_26Results[[#This Row],[Winning Team]]="")),"-",IF(Table4[[#This Row],[Predicted Winner]]=NHL2025_26Results[[#This Row],[Winning Team]],"YES","NO"))</f>
        <v>NO</v>
      </c>
      <c r="N64">
        <f>IF(Table4[[#This Row],[Adjusted Correct]]="-", "",IF(Table4[[#This Row],[Adjusted Correct]]="YES",(Table4[[#This Row],[Strength of Win]]-1)^2,(Table4[[#This Row],[Strength of Win]]-0)^2))</f>
        <v>0.53798983971706671</v>
      </c>
      <c r="O64">
        <v>3.8850895497282538</v>
      </c>
      <c r="P64" s="11"/>
      <c r="Q64" t="s">
        <v>39</v>
      </c>
      <c r="R64" t="s">
        <v>249</v>
      </c>
    </row>
    <row r="65" spans="1:18" x14ac:dyDescent="0.2">
      <c r="A65" s="4" t="s">
        <v>19</v>
      </c>
      <c r="B65" s="12">
        <v>0.7</v>
      </c>
      <c r="D65" s="1">
        <v>45946</v>
      </c>
      <c r="E65" s="2">
        <v>0.91666666666666663</v>
      </c>
      <c r="F65" t="s">
        <v>13</v>
      </c>
      <c r="G65">
        <f>VLOOKUP(Table4[[#This Row],[Home]],'NHL Model'!$A$6:$B$38,2,FALSE)</f>
        <v>-0.33828359867721369</v>
      </c>
      <c r="H65" t="s">
        <v>14</v>
      </c>
      <c r="I65">
        <f>VLOOKUP(Table4[[#This Row],[Visitor]],'NHL Model'!$A$6:$B$38,2,FALSE)</f>
        <v>-0.14226422156549004</v>
      </c>
      <c r="J65">
        <f>($B$1+Table4[[#This Row],[Home Differential]])-Table4[[#This Row],[Away Differential]]</f>
        <v>-0.14611862818856117</v>
      </c>
      <c r="K65" t="str">
        <f>IF(Table4[[#This Row],[HomeIce Differential]]&gt;0,Table4[[#This Row],[Home]],Table4[[#This Row],[Visitor]])</f>
        <v>Pittsburgh Penguins</v>
      </c>
      <c r="L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0.51634823963628218</v>
      </c>
      <c r="M65" t="str">
        <f>IF(OR((NHL2025_26Results[[#This Row],[Winning Team]]="")),"-",IF(Table4[[#This Row],[Predicted Winner]]=NHL2025_26Results[[#This Row],[Winning Team]],"YES","NO"))</f>
        <v>YES</v>
      </c>
      <c r="N65">
        <f>IF(Table4[[#This Row],[Adjusted Correct]]="-", "",IF(Table4[[#This Row],[Adjusted Correct]]="YES",(Table4[[#This Row],[Strength of Win]]-1)^2,(Table4[[#This Row],[Strength of Win]]-0)^2))</f>
        <v>0.23391902530292313</v>
      </c>
      <c r="O65">
        <v>-0.52754766201235714</v>
      </c>
      <c r="P65" s="11"/>
      <c r="Q65" t="s">
        <v>14</v>
      </c>
      <c r="R65" t="s">
        <v>248</v>
      </c>
    </row>
    <row r="66" spans="1:18" x14ac:dyDescent="0.2">
      <c r="A66" s="4" t="s">
        <v>55</v>
      </c>
      <c r="B66" s="12">
        <v>0.8</v>
      </c>
      <c r="D66" s="1">
        <v>45946</v>
      </c>
      <c r="E66" s="2">
        <v>0.79166666666666663</v>
      </c>
      <c r="F66" t="s">
        <v>18</v>
      </c>
      <c r="G66">
        <f>VLOOKUP(Table4[[#This Row],[Home]],'NHL Model'!$A$6:$B$38,2,FALSE)</f>
        <v>-0.59288962827382519</v>
      </c>
      <c r="H66" t="s">
        <v>29</v>
      </c>
      <c r="I66">
        <f>VLOOKUP(Table4[[#This Row],[Visitor]],'NHL Model'!$A$6:$B$38,2,FALSE)</f>
        <v>-1.384917283810061</v>
      </c>
      <c r="J66">
        <f>($B$1+Table4[[#This Row],[Home Differential]])-Table4[[#This Row],[Away Differential]]</f>
        <v>0.84192840445939821</v>
      </c>
      <c r="K66" t="str">
        <f>IF(Table4[[#This Row],[HomeIce Differential]]&gt;0,Table4[[#This Row],[Home]],Table4[[#This Row],[Visitor]])</f>
        <v>Montreal Canadiens</v>
      </c>
      <c r="L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0.63830756719703108</v>
      </c>
      <c r="M66" t="str">
        <f>IF(OR((NHL2025_26Results[[#This Row],[Winning Team]]="")),"-",IF(Table4[[#This Row],[Predicted Winner]]=NHL2025_26Results[[#This Row],[Winning Team]],"YES","NO"))</f>
        <v>YES</v>
      </c>
      <c r="N66">
        <f>IF(Table4[[#This Row],[Adjusted Correct]]="-", "",IF(Table4[[#This Row],[Adjusted Correct]]="YES",(Table4[[#This Row],[Strength of Win]]-1)^2,(Table4[[#This Row],[Strength of Win]]-0)^2))</f>
        <v>0.1308214159469302</v>
      </c>
      <c r="O66">
        <v>2.339648587475144</v>
      </c>
      <c r="P66" s="11"/>
      <c r="Q66" t="s">
        <v>18</v>
      </c>
      <c r="R66" t="s">
        <v>248</v>
      </c>
    </row>
    <row r="67" spans="1:18" x14ac:dyDescent="0.2">
      <c r="A67" s="4" t="s">
        <v>38</v>
      </c>
      <c r="B67" s="12">
        <v>0.33333333333333331</v>
      </c>
      <c r="D67" s="1">
        <v>45946</v>
      </c>
      <c r="E67" s="2">
        <v>0.79166666666666663</v>
      </c>
      <c r="F67" t="s">
        <v>24</v>
      </c>
      <c r="G67">
        <f>VLOOKUP(Table4[[#This Row],[Home]],'NHL Model'!$A$6:$B$38,2,FALSE)</f>
        <v>1.5302507646042616E-3</v>
      </c>
      <c r="H67" t="s">
        <v>11</v>
      </c>
      <c r="I67">
        <f>VLOOKUP(Table4[[#This Row],[Visitor]],'NHL Model'!$A$6:$B$38,2,FALSE)</f>
        <v>-0.39711829106410657</v>
      </c>
      <c r="J67">
        <f>($B$1+Table4[[#This Row],[Home Differential]])-Table4[[#This Row],[Away Differential]]</f>
        <v>0.44854929075187328</v>
      </c>
      <c r="K67" t="str">
        <f>IF(Table4[[#This Row],[HomeIce Differential]]&gt;0,Table4[[#This Row],[Home]],Table4[[#This Row],[Visitor]])</f>
        <v>New Jersey Devils</v>
      </c>
      <c r="L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0.67220946055413056</v>
      </c>
      <c r="M67" t="str">
        <f>IF(OR((NHL2025_26Results[[#This Row],[Winning Team]]="")),"-",IF(Table4[[#This Row],[Predicted Winner]]=NHL2025_26Results[[#This Row],[Winning Team]],"YES","NO"))</f>
        <v>YES</v>
      </c>
      <c r="N67">
        <f>IF(Table4[[#This Row],[Adjusted Correct]]="-", "",IF(Table4[[#This Row],[Adjusted Correct]]="YES",(Table4[[#This Row],[Strength of Win]]-1)^2,(Table4[[#This Row],[Strength of Win]]-0)^2))</f>
        <v>0.1074466377502141</v>
      </c>
      <c r="O67">
        <v>-1.6909131319341026</v>
      </c>
      <c r="P67" s="11"/>
      <c r="Q67" t="s">
        <v>11</v>
      </c>
      <c r="R67" t="s">
        <v>249</v>
      </c>
    </row>
    <row r="68" spans="1:18" x14ac:dyDescent="0.2">
      <c r="A68" s="4" t="s">
        <v>20</v>
      </c>
      <c r="B68" s="12">
        <v>0.5714285714285714</v>
      </c>
      <c r="D68" s="1">
        <v>45946</v>
      </c>
      <c r="E68" s="2">
        <v>0.8125</v>
      </c>
      <c r="F68" t="s">
        <v>30</v>
      </c>
      <c r="G68">
        <f>VLOOKUP(Table4[[#This Row],[Home]],'NHL Model'!$A$6:$B$38,2,FALSE)</f>
        <v>-0.24093199744133265</v>
      </c>
      <c r="H68" t="s">
        <v>17</v>
      </c>
      <c r="I68">
        <f>VLOOKUP(Table4[[#This Row],[Visitor]],'NHL Model'!$A$6:$B$38,2,FALSE)</f>
        <v>-0.81774666423752174</v>
      </c>
      <c r="J68">
        <f>($B$1+Table4[[#This Row],[Home Differential]])-Table4[[#This Row],[Away Differential]]</f>
        <v>0.62671541571935152</v>
      </c>
      <c r="K68" t="str">
        <f>IF(Table4[[#This Row],[HomeIce Differential]]&gt;0,Table4[[#This Row],[Home]],Table4[[#This Row],[Visitor]])</f>
        <v>New York Islanders</v>
      </c>
      <c r="L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0.61317827444461348</v>
      </c>
      <c r="M68" t="str">
        <f>IF(OR((NHL2025_26Results[[#This Row],[Winning Team]]="")),"-",IF(Table4[[#This Row],[Predicted Winner]]=NHL2025_26Results[[#This Row],[Winning Team]],"YES","NO"))</f>
        <v>YES</v>
      </c>
      <c r="N68">
        <f>IF(Table4[[#This Row],[Adjusted Correct]]="-", "",IF(Table4[[#This Row],[Adjusted Correct]]="YES",(Table4[[#This Row],[Strength of Win]]-1)^2,(Table4[[#This Row],[Strength of Win]]-0)^2))</f>
        <v>0.14963104736164676</v>
      </c>
      <c r="O68">
        <v>-1.6728852332952138</v>
      </c>
      <c r="P68" s="11"/>
      <c r="Q68" t="s">
        <v>17</v>
      </c>
      <c r="R68" t="s">
        <v>249</v>
      </c>
    </row>
    <row r="69" spans="1:18" x14ac:dyDescent="0.2">
      <c r="A69" s="4" t="s">
        <v>22</v>
      </c>
      <c r="B69" s="12">
        <v>0.5</v>
      </c>
      <c r="D69" s="1">
        <v>45946</v>
      </c>
      <c r="E69" s="2">
        <v>0.79166666666666663</v>
      </c>
      <c r="F69" t="s">
        <v>36</v>
      </c>
      <c r="G69">
        <f>VLOOKUP(Table4[[#This Row],[Home]],'NHL Model'!$A$6:$B$38,2,FALSE)</f>
        <v>-0.53137605086483863</v>
      </c>
      <c r="H69" t="s">
        <v>32</v>
      </c>
      <c r="I69">
        <f>VLOOKUP(Table4[[#This Row],[Visitor]],'NHL Model'!$A$6:$B$38,2,FALSE)</f>
        <v>-0.64937723527808999</v>
      </c>
      <c r="J69">
        <f>($B$1+Table4[[#This Row],[Home Differential]])-Table4[[#This Row],[Away Differential]]</f>
        <v>0.16790193333641384</v>
      </c>
      <c r="K69" t="str">
        <f>IF(Table4[[#This Row],[HomeIce Differential]]&gt;0,Table4[[#This Row],[Home]],Table4[[#This Row],[Visitor]])</f>
        <v>Ottawa Senators</v>
      </c>
      <c r="L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0.56210050797704114</v>
      </c>
      <c r="M69" t="str">
        <f>IF(OR((NHL2025_26Results[[#This Row],[Winning Team]]="")),"-",IF(Table4[[#This Row],[Predicted Winner]]=NHL2025_26Results[[#This Row],[Winning Team]],"YES","NO"))</f>
        <v>YES</v>
      </c>
      <c r="N69">
        <f>IF(Table4[[#This Row],[Adjusted Correct]]="-", "",IF(Table4[[#This Row],[Adjusted Correct]]="YES",(Table4[[#This Row],[Strength of Win]]-1)^2,(Table4[[#This Row],[Strength of Win]]-0)^2))</f>
        <v>0.19175596511396542</v>
      </c>
      <c r="O69">
        <v>-4.8332640228227977</v>
      </c>
      <c r="P69" s="11"/>
      <c r="Q69" t="s">
        <v>32</v>
      </c>
      <c r="R69" t="s">
        <v>249</v>
      </c>
    </row>
    <row r="70" spans="1:18" x14ac:dyDescent="0.2">
      <c r="A70" s="4" t="s">
        <v>40</v>
      </c>
      <c r="B70" s="12">
        <v>0.625</v>
      </c>
      <c r="D70" s="1">
        <v>45946</v>
      </c>
      <c r="E70" s="2">
        <v>0.79166666666666663</v>
      </c>
      <c r="F70" t="s">
        <v>27</v>
      </c>
      <c r="G70">
        <f>VLOOKUP(Table4[[#This Row],[Home]],'NHL Model'!$A$6:$B$38,2,FALSE)</f>
        <v>-0.38023958350631604</v>
      </c>
      <c r="H70" t="s">
        <v>40</v>
      </c>
      <c r="I70">
        <f>VLOOKUP(Table4[[#This Row],[Visitor]],'NHL Model'!$A$6:$B$38,2,FALSE)</f>
        <v>-0.31324182378279158</v>
      </c>
      <c r="J70">
        <f>($B$1+Table4[[#This Row],[Home Differential]])-Table4[[#This Row],[Away Differential]]</f>
        <v>-1.7097010800361967E-2</v>
      </c>
      <c r="K70" t="str">
        <f>IF(Table4[[#This Row],[HomeIce Differential]]&gt;0,Table4[[#This Row],[Home]],Table4[[#This Row],[Visitor]])</f>
        <v>Winnipeg Jets</v>
      </c>
      <c r="L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0.46866299501147907</v>
      </c>
      <c r="M70" t="str">
        <f>IF(OR((NHL2025_26Results[[#This Row],[Winning Team]]="")),"-",IF(Table4[[#This Row],[Predicted Winner]]=NHL2025_26Results[[#This Row],[Winning Team]],"YES","NO"))</f>
        <v>YES</v>
      </c>
      <c r="N70">
        <f>IF(Table4[[#This Row],[Adjusted Correct]]="-", "",IF(Table4[[#This Row],[Adjusted Correct]]="YES",(Table4[[#This Row],[Strength of Win]]-1)^2,(Table4[[#This Row],[Strength of Win]]-0)^2))</f>
        <v>0.28231901287017147</v>
      </c>
      <c r="O70">
        <v>0.86525103971963047</v>
      </c>
      <c r="P70" s="11"/>
      <c r="Q70" t="s">
        <v>27</v>
      </c>
      <c r="R70" t="s">
        <v>249</v>
      </c>
    </row>
    <row r="71" spans="1:18" x14ac:dyDescent="0.2">
      <c r="A71" s="4" t="s">
        <v>45</v>
      </c>
      <c r="B71" s="12">
        <v>17.521428571428572</v>
      </c>
      <c r="D71" s="1">
        <v>45946</v>
      </c>
      <c r="E71" s="2">
        <v>0.79166666666666663</v>
      </c>
      <c r="F71" t="s">
        <v>19</v>
      </c>
      <c r="G71">
        <f>VLOOKUP(Table4[[#This Row],[Home]],'NHL Model'!$A$6:$B$38,2,FALSE)</f>
        <v>-0.63447859131898054</v>
      </c>
      <c r="H71" t="s">
        <v>15</v>
      </c>
      <c r="I71">
        <f>VLOOKUP(Table4[[#This Row],[Visitor]],'NHL Model'!$A$6:$B$38,2,FALSE)</f>
        <v>-0.29003398448394263</v>
      </c>
      <c r="J71">
        <f>($B$1+Table4[[#This Row],[Home Differential]])-Table4[[#This Row],[Away Differential]]</f>
        <v>-0.29454385791187548</v>
      </c>
      <c r="K71" t="str">
        <f>IF(Table4[[#This Row],[HomeIce Differential]]&gt;0,Table4[[#This Row],[Home]],Table4[[#This Row],[Visitor]])</f>
        <v>New York Rangers</v>
      </c>
      <c r="L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0.59447380896340563</v>
      </c>
      <c r="M71" t="str">
        <f>IF(OR((NHL2025_26Results[[#This Row],[Winning Team]]="")),"-",IF(Table4[[#This Row],[Predicted Winner]]=NHL2025_26Results[[#This Row],[Winning Team]],"YES","NO"))</f>
        <v>NO</v>
      </c>
      <c r="N71">
        <f>IF(Table4[[#This Row],[Adjusted Correct]]="-", "",IF(Table4[[#This Row],[Adjusted Correct]]="YES",(Table4[[#This Row],[Strength of Win]]-1)^2,(Table4[[#This Row],[Strength of Win]]-0)^2))</f>
        <v>0.35339910954345971</v>
      </c>
      <c r="O71">
        <v>2.9856907520763394</v>
      </c>
      <c r="P71" s="11"/>
      <c r="Q71" t="s">
        <v>19</v>
      </c>
      <c r="R71" t="s">
        <v>248</v>
      </c>
    </row>
    <row r="72" spans="1:18" x14ac:dyDescent="0.2">
      <c r="D72" s="1">
        <v>45946</v>
      </c>
      <c r="E72" s="2">
        <v>0.91666666666666663</v>
      </c>
      <c r="F72" t="s">
        <v>20</v>
      </c>
      <c r="G72">
        <f>VLOOKUP(Table4[[#This Row],[Home]],'NHL Model'!$A$6:$B$38,2,FALSE)</f>
        <v>-0.24444083032063643</v>
      </c>
      <c r="H72" t="s">
        <v>21</v>
      </c>
      <c r="I72">
        <f>VLOOKUP(Table4[[#This Row],[Visitor]],'NHL Model'!$A$6:$B$38,2,FALSE)</f>
        <v>-0.21976976044773161</v>
      </c>
      <c r="J72">
        <f>($B$1+Table4[[#This Row],[Home Differential]])-Table4[[#This Row],[Away Differential]]</f>
        <v>2.5229679050257636E-2</v>
      </c>
      <c r="K72" t="str">
        <f>IF(Table4[[#This Row],[HomeIce Differential]]&gt;0,Table4[[#This Row],[Home]],Table4[[#This Row],[Visitor]])</f>
        <v>Vegas Golden Knights</v>
      </c>
      <c r="L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0.5421164443050468</v>
      </c>
      <c r="M72" t="str">
        <f>IF(OR((NHL2025_26Results[[#This Row],[Winning Team]]="")),"-",IF(Table4[[#This Row],[Predicted Winner]]=NHL2025_26Results[[#This Row],[Winning Team]],"YES","NO"))</f>
        <v>YES</v>
      </c>
      <c r="N72">
        <f>IF(Table4[[#This Row],[Adjusted Correct]]="-", "",IF(Table4[[#This Row],[Adjusted Correct]]="YES",(Table4[[#This Row],[Strength of Win]]-1)^2,(Table4[[#This Row],[Strength of Win]]-0)^2))</f>
        <v>0.2096573505758533</v>
      </c>
      <c r="O72">
        <v>-2.5601464660303166</v>
      </c>
      <c r="P72" s="11"/>
      <c r="Q72" t="s">
        <v>21</v>
      </c>
      <c r="R72" t="s">
        <v>249</v>
      </c>
    </row>
    <row r="73" spans="1:18" x14ac:dyDescent="0.2">
      <c r="D73" s="1">
        <v>45947</v>
      </c>
      <c r="E73" s="2">
        <v>0.85416666666666663</v>
      </c>
      <c r="F73" t="s">
        <v>10</v>
      </c>
      <c r="G73">
        <f>VLOOKUP(Table4[[#This Row],[Home]],'NHL Model'!$A$6:$B$38,2,FALSE)</f>
        <v>-0.17619625518431364</v>
      </c>
      <c r="H73" t="s">
        <v>38</v>
      </c>
      <c r="I73">
        <f>VLOOKUP(Table4[[#This Row],[Visitor]],'NHL Model'!$A$6:$B$38,2,FALSE)</f>
        <v>-0.9476777551108041</v>
      </c>
      <c r="J73">
        <f>($B$1+Table4[[#This Row],[Home Differential]])-Table4[[#This Row],[Away Differential]]</f>
        <v>0.82138224884965294</v>
      </c>
      <c r="K73" t="str">
        <f>IF(Table4[[#This Row],[HomeIce Differential]]&gt;0,Table4[[#This Row],[Home]],Table4[[#This Row],[Visitor]])</f>
        <v>Chicago Blackhawks</v>
      </c>
      <c r="L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0.63233234134958161</v>
      </c>
      <c r="M73" t="str">
        <f>IF(OR((NHL2025_26Results[[#This Row],[Winning Team]]="")),"-",IF(Table4[[#This Row],[Predicted Winner]]=NHL2025_26Results[[#This Row],[Winning Team]],"YES","NO"))</f>
        <v>NO</v>
      </c>
      <c r="N73">
        <f>IF(Table4[[#This Row],[Adjusted Correct]]="-", "",IF(Table4[[#This Row],[Adjusted Correct]]="YES",(Table4[[#This Row],[Strength of Win]]-1)^2,(Table4[[#This Row],[Strength of Win]]-0)^2))</f>
        <v>0.39984418991664378</v>
      </c>
      <c r="O73">
        <v>0.50461758683915225</v>
      </c>
      <c r="P73" s="11"/>
      <c r="Q73" t="s">
        <v>10</v>
      </c>
      <c r="R73" t="s">
        <v>249</v>
      </c>
    </row>
    <row r="74" spans="1:18" x14ac:dyDescent="0.2">
      <c r="D74" s="1">
        <v>45947</v>
      </c>
      <c r="E74" s="2">
        <v>0.79166666666666663</v>
      </c>
      <c r="F74" t="s">
        <v>26</v>
      </c>
      <c r="G74">
        <f>VLOOKUP(Table4[[#This Row],[Home]],'NHL Model'!$A$6:$B$38,2,FALSE)</f>
        <v>-0.87533956503230947</v>
      </c>
      <c r="H74" t="s">
        <v>37</v>
      </c>
      <c r="I74">
        <f>VLOOKUP(Table4[[#This Row],[Visitor]],'NHL Model'!$A$6:$B$38,2,FALSE)</f>
        <v>0.51050494674660429</v>
      </c>
      <c r="J74">
        <f>($B$1+Table4[[#This Row],[Home Differential]])-Table4[[#This Row],[Away Differential]]</f>
        <v>-1.3359437628557513</v>
      </c>
      <c r="K74" t="str">
        <f>IF(Table4[[#This Row],[HomeIce Differential]]&gt;0,Table4[[#This Row],[Home]],Table4[[#This Row],[Visitor]])</f>
        <v>Tampa Bay Lightning</v>
      </c>
      <c r="L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0.70847733928142309</v>
      </c>
      <c r="M74" t="str">
        <f>IF(OR((NHL2025_26Results[[#This Row],[Winning Team]]="")),"-",IF(Table4[[#This Row],[Predicted Winner]]=NHL2025_26Results[[#This Row],[Winning Team]],"YES","NO"))</f>
        <v>NO</v>
      </c>
      <c r="N74">
        <f>IF(Table4[[#This Row],[Adjusted Correct]]="-", "",IF(Table4[[#This Row],[Adjusted Correct]]="YES",(Table4[[#This Row],[Strength of Win]]-1)^2,(Table4[[#This Row],[Strength of Win]]-0)^2))</f>
        <v>0.50194014027528466</v>
      </c>
      <c r="O74">
        <v>2.1140058846338787</v>
      </c>
      <c r="P74" s="11"/>
      <c r="Q74" t="s">
        <v>26</v>
      </c>
      <c r="R74" t="s">
        <v>248</v>
      </c>
    </row>
    <row r="75" spans="1:18" x14ac:dyDescent="0.2">
      <c r="D75" s="1">
        <v>45947</v>
      </c>
      <c r="E75" s="2">
        <v>0.875</v>
      </c>
      <c r="F75" t="s">
        <v>55</v>
      </c>
      <c r="G75">
        <f>VLOOKUP(Table4[[#This Row],[Home]],'NHL Model'!$A$6:$B$38,2,FALSE)</f>
        <v>-0.4031232890211825</v>
      </c>
      <c r="H75" t="s">
        <v>33</v>
      </c>
      <c r="I75">
        <f>VLOOKUP(Table4[[#This Row],[Visitor]],'NHL Model'!$A$6:$B$38,2,FALSE)</f>
        <v>-0.45133099238224339</v>
      </c>
      <c r="J75">
        <f>($B$1+Table4[[#This Row],[Home Differential]])-Table4[[#This Row],[Away Differential]]</f>
        <v>9.810845228422338E-2</v>
      </c>
      <c r="K75" t="str">
        <f>IF(Table4[[#This Row],[HomeIce Differential]]&gt;0,Table4[[#This Row],[Home]],Table4[[#This Row],[Visitor]])</f>
        <v>Utah Mammoth</v>
      </c>
      <c r="L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0.59188678722769805</v>
      </c>
      <c r="M75" t="str">
        <f>IF(OR((NHL2025_26Results[[#This Row],[Winning Team]]="")),"-",IF(Table4[[#This Row],[Predicted Winner]]=NHL2025_26Results[[#This Row],[Winning Team]],"YES","NO"))</f>
        <v>YES</v>
      </c>
      <c r="N75">
        <f>IF(Table4[[#This Row],[Adjusted Correct]]="-", "",IF(Table4[[#This Row],[Adjusted Correct]]="YES",(Table4[[#This Row],[Strength of Win]]-1)^2,(Table4[[#This Row],[Strength of Win]]-0)^2))</f>
        <v>0.16655639443933021</v>
      </c>
      <c r="O75">
        <v>1.4498410342373456</v>
      </c>
      <c r="P75" s="11"/>
      <c r="Q75" t="s">
        <v>55</v>
      </c>
      <c r="R75" t="s">
        <v>248</v>
      </c>
    </row>
    <row r="76" spans="1:18" x14ac:dyDescent="0.2">
      <c r="D76" s="1">
        <v>45947</v>
      </c>
      <c r="E76" s="2">
        <v>0.79166666666666663</v>
      </c>
      <c r="F76" t="s">
        <v>22</v>
      </c>
      <c r="G76">
        <f>VLOOKUP(Table4[[#This Row],[Home]],'NHL Model'!$A$6:$B$38,2,FALSE)</f>
        <v>0.4407072328537569</v>
      </c>
      <c r="H76" t="s">
        <v>34</v>
      </c>
      <c r="I76">
        <f>VLOOKUP(Table4[[#This Row],[Visitor]],'NHL Model'!$A$6:$B$38,2,FALSE)</f>
        <v>-5.5124787449478845E-2</v>
      </c>
      <c r="J76">
        <f>($B$1+Table4[[#This Row],[Home Differential]])-Table4[[#This Row],[Away Differential]]</f>
        <v>0.54573276922639824</v>
      </c>
      <c r="K76" t="str">
        <f>IF(Table4[[#This Row],[HomeIce Differential]]&gt;0,Table4[[#This Row],[Home]],Table4[[#This Row],[Visitor]])</f>
        <v>Washington Capitals</v>
      </c>
      <c r="L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0.58753187905752657</v>
      </c>
      <c r="M76" t="str">
        <f>IF(OR((NHL2025_26Results[[#This Row],[Winning Team]]="")),"-",IF(Table4[[#This Row],[Predicted Winner]]=NHL2025_26Results[[#This Row],[Winning Team]],"YES","NO"))</f>
        <v>YES</v>
      </c>
      <c r="N76">
        <f>IF(Table4[[#This Row],[Adjusted Correct]]="-", "",IF(Table4[[#This Row],[Adjusted Correct]]="YES",(Table4[[#This Row],[Strength of Win]]-1)^2,(Table4[[#This Row],[Strength of Win]]-0)^2))</f>
        <v>0.17012995079381488</v>
      </c>
      <c r="O76">
        <v>1.932573010009293</v>
      </c>
      <c r="P76" s="11"/>
      <c r="Q76" t="s">
        <v>22</v>
      </c>
      <c r="R76" t="s">
        <v>248</v>
      </c>
    </row>
    <row r="77" spans="1:18" x14ac:dyDescent="0.2">
      <c r="D77" s="1">
        <v>45948</v>
      </c>
      <c r="E77" s="2">
        <v>0.54166666666666663</v>
      </c>
      <c r="F77" t="s">
        <v>23</v>
      </c>
      <c r="G77">
        <f>VLOOKUP(Table4[[#This Row],[Home]],'NHL Model'!$A$6:$B$38,2,FALSE)</f>
        <v>-0.4761104357405897</v>
      </c>
      <c r="H77" t="s">
        <v>11</v>
      </c>
      <c r="I77">
        <f>VLOOKUP(Table4[[#This Row],[Visitor]],'NHL Model'!$A$6:$B$38,2,FALSE)</f>
        <v>-0.39711829106410657</v>
      </c>
      <c r="J77">
        <f>($B$1+Table4[[#This Row],[Home Differential]])-Table4[[#This Row],[Away Differential]]</f>
        <v>-2.9091395753320648E-2</v>
      </c>
      <c r="K77" t="str">
        <f>IF(Table4[[#This Row],[HomeIce Differential]]&gt;0,Table4[[#This Row],[Home]],Table4[[#This Row],[Visitor]])</f>
        <v>Florida Panthers</v>
      </c>
      <c r="L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0.45327460042380474</v>
      </c>
      <c r="M77" t="str">
        <f>IF(OR((NHL2025_26Results[[#This Row],[Winning Team]]="")),"-",IF(Table4[[#This Row],[Predicted Winner]]=NHL2025_26Results[[#This Row],[Winning Team]],"YES","NO"))</f>
        <v>NO</v>
      </c>
      <c r="N77">
        <f>IF(Table4[[#This Row],[Adjusted Correct]]="-", "",IF(Table4[[#This Row],[Adjusted Correct]]="YES",(Table4[[#This Row],[Strength of Win]]-1)^2,(Table4[[#This Row],[Strength of Win]]-0)^2))</f>
        <v>0.20545786338935984</v>
      </c>
      <c r="O77">
        <v>0.49609379868750247</v>
      </c>
      <c r="P77" s="11"/>
      <c r="Q77" t="s">
        <v>23</v>
      </c>
      <c r="R77" t="s">
        <v>248</v>
      </c>
    </row>
    <row r="78" spans="1:18" x14ac:dyDescent="0.2">
      <c r="D78" s="1">
        <v>45948</v>
      </c>
      <c r="E78" s="2">
        <v>0.79166666666666663</v>
      </c>
      <c r="F78" t="s">
        <v>28</v>
      </c>
      <c r="G78">
        <f>VLOOKUP(Table4[[#This Row],[Home]],'NHL Model'!$A$6:$B$38,2,FALSE)</f>
        <v>-0.59498940435054026</v>
      </c>
      <c r="H78" t="s">
        <v>37</v>
      </c>
      <c r="I78">
        <f>VLOOKUP(Table4[[#This Row],[Visitor]],'NHL Model'!$A$6:$B$38,2,FALSE)</f>
        <v>0.51050494674660429</v>
      </c>
      <c r="J78">
        <f>($B$1+Table4[[#This Row],[Home Differential]])-Table4[[#This Row],[Away Differential]]</f>
        <v>-1.0555936021739822</v>
      </c>
      <c r="K78" t="str">
        <f>IF(Table4[[#This Row],[HomeIce Differential]]&gt;0,Table4[[#This Row],[Home]],Table4[[#This Row],[Visitor]])</f>
        <v>Tampa Bay Lightning</v>
      </c>
      <c r="L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0.67574232034876447</v>
      </c>
      <c r="M78" t="str">
        <f>IF(OR((NHL2025_26Results[[#This Row],[Winning Team]]="")),"-",IF(Table4[[#This Row],[Predicted Winner]]=NHL2025_26Results[[#This Row],[Winning Team]],"YES","NO"))</f>
        <v>NO</v>
      </c>
      <c r="N78">
        <f>IF(Table4[[#This Row],[Adjusted Correct]]="-", "",IF(Table4[[#This Row],[Adjusted Correct]]="YES",(Table4[[#This Row],[Strength of Win]]-1)^2,(Table4[[#This Row],[Strength of Win]]-0)^2))</f>
        <v>0.45662768351033223</v>
      </c>
      <c r="O78">
        <v>0.46611340656220523</v>
      </c>
      <c r="P78" s="11"/>
      <c r="Q78" t="s">
        <v>28</v>
      </c>
      <c r="R78" t="s">
        <v>248</v>
      </c>
    </row>
    <row r="79" spans="1:18" x14ac:dyDescent="0.2">
      <c r="D79" s="1">
        <v>45948</v>
      </c>
      <c r="E79" s="2">
        <v>0.875</v>
      </c>
      <c r="F79" t="s">
        <v>12</v>
      </c>
      <c r="G79">
        <f>VLOOKUP(Table4[[#This Row],[Home]],'NHL Model'!$A$6:$B$38,2,FALSE)</f>
        <v>1.6319036584269762</v>
      </c>
      <c r="H79" t="s">
        <v>21</v>
      </c>
      <c r="I79">
        <f>VLOOKUP(Table4[[#This Row],[Visitor]],'NHL Model'!$A$6:$B$38,2,FALSE)</f>
        <v>-0.21976976044773161</v>
      </c>
      <c r="J79">
        <f>($B$1+Table4[[#This Row],[Home Differential]])-Table4[[#This Row],[Away Differential]]</f>
        <v>1.9015741677978701</v>
      </c>
      <c r="K79" t="str">
        <f>IF(Table4[[#This Row],[HomeIce Differential]]&gt;0,Table4[[#This Row],[Home]],Table4[[#This Row],[Visitor]])</f>
        <v>Colorado Avalanche</v>
      </c>
      <c r="L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0.86560120575771982</v>
      </c>
      <c r="M79" t="str">
        <f>IF(OR((NHL2025_26Results[[#This Row],[Winning Team]]="")),"-",IF(Table4[[#This Row],[Predicted Winner]]=NHL2025_26Results[[#This Row],[Winning Team]],"YES","NO"))</f>
        <v>YES</v>
      </c>
      <c r="N79">
        <f>IF(Table4[[#This Row],[Adjusted Correct]]="-", "",IF(Table4[[#This Row],[Adjusted Correct]]="YES",(Table4[[#This Row],[Strength of Win]]-1)^2,(Table4[[#This Row],[Strength of Win]]-0)^2))</f>
        <v>1.8063035893778764E-2</v>
      </c>
      <c r="O79">
        <v>1.3275581364572637</v>
      </c>
      <c r="P79" s="11"/>
      <c r="Q79" t="s">
        <v>12</v>
      </c>
      <c r="R79" t="s">
        <v>248</v>
      </c>
    </row>
    <row r="80" spans="1:18" x14ac:dyDescent="0.2">
      <c r="D80" s="1">
        <v>45948</v>
      </c>
      <c r="E80" s="2">
        <v>0.875</v>
      </c>
      <c r="F80" t="s">
        <v>13</v>
      </c>
      <c r="G80">
        <f>VLOOKUP(Table4[[#This Row],[Home]],'NHL Model'!$A$6:$B$38,2,FALSE)</f>
        <v>-0.33828359867721369</v>
      </c>
      <c r="H80" t="s">
        <v>25</v>
      </c>
      <c r="I80">
        <f>VLOOKUP(Table4[[#This Row],[Visitor]],'NHL Model'!$A$6:$B$38,2,FALSE)</f>
        <v>0.42567513732855267</v>
      </c>
      <c r="J80">
        <f>($B$1+Table4[[#This Row],[Home Differential]])-Table4[[#This Row],[Away Differential]]</f>
        <v>-0.71405798708260382</v>
      </c>
      <c r="K80" t="str">
        <f>IF(Table4[[#This Row],[HomeIce Differential]]&gt;0,Table4[[#This Row],[Home]],Table4[[#This Row],[Visitor]])</f>
        <v>Carolina Hurricanes</v>
      </c>
      <c r="L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0.6159999778434796</v>
      </c>
      <c r="M80" t="str">
        <f>IF(OR((NHL2025_26Results[[#This Row],[Winning Team]]="")),"-",IF(Table4[[#This Row],[Predicted Winner]]=NHL2025_26Results[[#This Row],[Winning Team]],"YES","NO"))</f>
        <v>YES</v>
      </c>
      <c r="N80">
        <f>IF(Table4[[#This Row],[Adjusted Correct]]="-", "",IF(Table4[[#This Row],[Adjusted Correct]]="YES",(Table4[[#This Row],[Strength of Win]]-1)^2,(Table4[[#This Row],[Strength of Win]]-0)^2))</f>
        <v>0.14745601701620817</v>
      </c>
      <c r="O80">
        <v>-2.4361086420440561</v>
      </c>
      <c r="P80" s="11"/>
      <c r="Q80" t="s">
        <v>25</v>
      </c>
      <c r="R80" t="s">
        <v>248</v>
      </c>
    </row>
    <row r="81" spans="4:18" x14ac:dyDescent="0.2">
      <c r="D81" s="1">
        <v>45948</v>
      </c>
      <c r="E81" s="2">
        <v>0.79166666666666663</v>
      </c>
      <c r="F81" t="s">
        <v>18</v>
      </c>
      <c r="G81">
        <f>VLOOKUP(Table4[[#This Row],[Home]],'NHL Model'!$A$6:$B$38,2,FALSE)</f>
        <v>-0.59288962827382519</v>
      </c>
      <c r="H81" t="s">
        <v>15</v>
      </c>
      <c r="I81">
        <f>VLOOKUP(Table4[[#This Row],[Visitor]],'NHL Model'!$A$6:$B$38,2,FALSE)</f>
        <v>-0.29003398448394263</v>
      </c>
      <c r="J81">
        <f>($B$1+Table4[[#This Row],[Home Differential]])-Table4[[#This Row],[Away Differential]]</f>
        <v>-0.25295489486672013</v>
      </c>
      <c r="K81" t="str">
        <f>IF(Table4[[#This Row],[HomeIce Differential]]&gt;0,Table4[[#This Row],[Home]],Table4[[#This Row],[Visitor]])</f>
        <v>New York Rangers</v>
      </c>
      <c r="L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0.58961768371859735</v>
      </c>
      <c r="M81" t="str">
        <f>IF(OR((NHL2025_26Results[[#This Row],[Winning Team]]="")),"-",IF(Table4[[#This Row],[Predicted Winner]]=NHL2025_26Results[[#This Row],[Winning Team]],"YES","NO"))</f>
        <v>YES</v>
      </c>
      <c r="N81">
        <f>IF(Table4[[#This Row],[Adjusted Correct]]="-", "",IF(Table4[[#This Row],[Adjusted Correct]]="YES",(Table4[[#This Row],[Strength of Win]]-1)^2,(Table4[[#This Row],[Strength of Win]]-0)^2))</f>
        <v>0.16841364551648919</v>
      </c>
      <c r="O81">
        <v>0.14585649835472669</v>
      </c>
      <c r="P81" s="11"/>
      <c r="Q81" t="s">
        <v>18</v>
      </c>
      <c r="R81" t="s">
        <v>249</v>
      </c>
    </row>
    <row r="82" spans="4:18" x14ac:dyDescent="0.2">
      <c r="D82" s="1">
        <v>45948</v>
      </c>
      <c r="E82" s="2">
        <v>0.64583333333333337</v>
      </c>
      <c r="F82" t="s">
        <v>24</v>
      </c>
      <c r="G82">
        <f>VLOOKUP(Table4[[#This Row],[Home]],'NHL Model'!$A$6:$B$38,2,FALSE)</f>
        <v>1.5302507646042616E-3</v>
      </c>
      <c r="H82" t="s">
        <v>17</v>
      </c>
      <c r="I82">
        <f>VLOOKUP(Table4[[#This Row],[Visitor]],'NHL Model'!$A$6:$B$38,2,FALSE)</f>
        <v>-0.81774666423752174</v>
      </c>
      <c r="J82">
        <f>($B$1+Table4[[#This Row],[Home Differential]])-Table4[[#This Row],[Away Differential]]</f>
        <v>0.8691776639252885</v>
      </c>
      <c r="K82" t="str">
        <f>IF(Table4[[#This Row],[HomeIce Differential]]&gt;0,Table4[[#This Row],[Home]],Table4[[#This Row],[Visitor]])</f>
        <v>New Jersey Devils</v>
      </c>
      <c r="L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0.7213240311538418</v>
      </c>
      <c r="M82" t="str">
        <f>IF(OR((NHL2025_26Results[[#This Row],[Winning Team]]="")),"-",IF(Table4[[#This Row],[Predicted Winner]]=NHL2025_26Results[[#This Row],[Winning Team]],"YES","NO"))</f>
        <v>YES</v>
      </c>
      <c r="N82">
        <f>IF(Table4[[#This Row],[Adjusted Correct]]="-", "",IF(Table4[[#This Row],[Adjusted Correct]]="YES",(Table4[[#This Row],[Strength of Win]]-1)^2,(Table4[[#This Row],[Strength of Win]]-0)^2))</f>
        <v>7.7660295612344929E-2</v>
      </c>
      <c r="O82">
        <v>1.3001093292131507</v>
      </c>
      <c r="P82" s="11"/>
      <c r="Q82" t="s">
        <v>24</v>
      </c>
      <c r="R82" t="s">
        <v>248</v>
      </c>
    </row>
    <row r="83" spans="4:18" x14ac:dyDescent="0.2">
      <c r="D83" s="1">
        <v>45948</v>
      </c>
      <c r="E83" s="2">
        <v>0.625</v>
      </c>
      <c r="F83" t="s">
        <v>36</v>
      </c>
      <c r="G83">
        <f>VLOOKUP(Table4[[#This Row],[Home]],'NHL Model'!$A$6:$B$38,2,FALSE)</f>
        <v>-0.53137605086483863</v>
      </c>
      <c r="H83" t="s">
        <v>30</v>
      </c>
      <c r="I83">
        <f>VLOOKUP(Table4[[#This Row],[Visitor]],'NHL Model'!$A$6:$B$38,2,FALSE)</f>
        <v>-0.24093199744133265</v>
      </c>
      <c r="J83">
        <f>($B$1+Table4[[#This Row],[Home Differential]])-Table4[[#This Row],[Away Differential]]</f>
        <v>-0.2405433045003435</v>
      </c>
      <c r="K83" t="str">
        <f>IF(Table4[[#This Row],[HomeIce Differential]]&gt;0,Table4[[#This Row],[Home]],Table4[[#This Row],[Visitor]])</f>
        <v>New York Islanders</v>
      </c>
      <c r="L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0.55820746289392176</v>
      </c>
      <c r="M83" t="str">
        <f>IF(OR((NHL2025_26Results[[#This Row],[Winning Team]]="")),"-",IF(Table4[[#This Row],[Predicted Winner]]=NHL2025_26Results[[#This Row],[Winning Team]],"YES","NO"))</f>
        <v>YES</v>
      </c>
      <c r="N83">
        <f>IF(Table4[[#This Row],[Adjusted Correct]]="-", "",IF(Table4[[#This Row],[Adjusted Correct]]="YES",(Table4[[#This Row],[Strength of Win]]-1)^2,(Table4[[#This Row],[Strength of Win]]-0)^2))</f>
        <v>0.19518064584262551</v>
      </c>
      <c r="O83">
        <v>-1.5775627493950353</v>
      </c>
      <c r="P83" s="11"/>
      <c r="Q83" t="s">
        <v>30</v>
      </c>
      <c r="R83" t="s">
        <v>248</v>
      </c>
    </row>
    <row r="84" spans="4:18" x14ac:dyDescent="0.2">
      <c r="D84" s="1">
        <v>45948</v>
      </c>
      <c r="E84" s="2">
        <v>0.79166666666666663</v>
      </c>
      <c r="F84" t="s">
        <v>27</v>
      </c>
      <c r="G84">
        <f>VLOOKUP(Table4[[#This Row],[Home]],'NHL Model'!$A$6:$B$38,2,FALSE)</f>
        <v>-0.38023958350631604</v>
      </c>
      <c r="H84" t="s">
        <v>34</v>
      </c>
      <c r="I84">
        <f>VLOOKUP(Table4[[#This Row],[Visitor]],'NHL Model'!$A$6:$B$38,2,FALSE)</f>
        <v>-5.5124787449478845E-2</v>
      </c>
      <c r="J84">
        <f>($B$1+Table4[[#This Row],[Home Differential]])-Table4[[#This Row],[Away Differential]]</f>
        <v>-0.2752140471336747</v>
      </c>
      <c r="K84" t="str">
        <f>IF(Table4[[#This Row],[HomeIce Differential]]&gt;0,Table4[[#This Row],[Home]],Table4[[#This Row],[Visitor]])</f>
        <v>Minnesota Wild</v>
      </c>
      <c r="L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0.52050739489554854</v>
      </c>
      <c r="M84" t="str">
        <f>IF(OR((NHL2025_26Results[[#This Row],[Winning Team]]="")),"-",IF(Table4[[#This Row],[Predicted Winner]]=NHL2025_26Results[[#This Row],[Winning Team]],"YES","NO"))</f>
        <v>NO</v>
      </c>
      <c r="N84">
        <f>IF(Table4[[#This Row],[Adjusted Correct]]="-", "",IF(Table4[[#This Row],[Adjusted Correct]]="YES",(Table4[[#This Row],[Strength of Win]]-1)^2,(Table4[[#This Row],[Strength of Win]]-0)^2))</f>
        <v>0.2709279481409505</v>
      </c>
      <c r="O84">
        <v>0.87342927478910926</v>
      </c>
      <c r="P84" s="11"/>
      <c r="Q84" t="s">
        <v>27</v>
      </c>
      <c r="R84" t="s">
        <v>248</v>
      </c>
    </row>
    <row r="85" spans="4:18" x14ac:dyDescent="0.2">
      <c r="D85" s="1">
        <v>45948</v>
      </c>
      <c r="E85" s="2">
        <v>0.91666666666666663</v>
      </c>
      <c r="F85" t="s">
        <v>33</v>
      </c>
      <c r="G85">
        <f>VLOOKUP(Table4[[#This Row],[Home]],'NHL Model'!$A$6:$B$38,2,FALSE)</f>
        <v>-0.45133099238224339</v>
      </c>
      <c r="H85" t="s">
        <v>14</v>
      </c>
      <c r="I85">
        <f>VLOOKUP(Table4[[#This Row],[Visitor]],'NHL Model'!$A$6:$B$38,2,FALSE)</f>
        <v>-0.14226422156549004</v>
      </c>
      <c r="J85">
        <f>($B$1+Table4[[#This Row],[Home Differential]])-Table4[[#This Row],[Away Differential]]</f>
        <v>-0.25916602189359084</v>
      </c>
      <c r="K85" t="str">
        <f>IF(Table4[[#This Row],[HomeIce Differential]]&gt;0,Table4[[#This Row],[Home]],Table4[[#This Row],[Visitor]])</f>
        <v>Pittsburgh Penguins</v>
      </c>
      <c r="L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0.51934442750587928</v>
      </c>
      <c r="M85" t="str">
        <f>IF(OR((NHL2025_26Results[[#This Row],[Winning Team]]="")),"-",IF(Table4[[#This Row],[Predicted Winner]]=NHL2025_26Results[[#This Row],[Winning Team]],"YES","NO"))</f>
        <v>YES</v>
      </c>
      <c r="N85">
        <f>IF(Table4[[#This Row],[Adjusted Correct]]="-", "",IF(Table4[[#This Row],[Adjusted Correct]]="YES",(Table4[[#This Row],[Strength of Win]]-1)^2,(Table4[[#This Row],[Strength of Win]]-0)^2))</f>
        <v>0.23102977936965094</v>
      </c>
      <c r="O85">
        <v>-2.3124303956750296</v>
      </c>
      <c r="P85" s="11"/>
      <c r="Q85" t="s">
        <v>14</v>
      </c>
      <c r="R85" t="s">
        <v>248</v>
      </c>
    </row>
    <row r="86" spans="4:18" x14ac:dyDescent="0.2">
      <c r="D86" s="1">
        <v>45948</v>
      </c>
      <c r="E86" s="2">
        <v>0.79166666666666663</v>
      </c>
      <c r="F86" t="s">
        <v>35</v>
      </c>
      <c r="G86">
        <f>VLOOKUP(Table4[[#This Row],[Home]],'NHL Model'!$A$6:$B$38,2,FALSE)</f>
        <v>-1.3944783719477225</v>
      </c>
      <c r="H86" t="s">
        <v>39</v>
      </c>
      <c r="I86">
        <f>VLOOKUP(Table4[[#This Row],[Visitor]],'NHL Model'!$A$6:$B$38,2,FALSE)</f>
        <v>0.41344250185511977</v>
      </c>
      <c r="J86">
        <f>($B$1+Table4[[#This Row],[Home Differential]])-Table4[[#This Row],[Away Differential]]</f>
        <v>-1.7580201248796798</v>
      </c>
      <c r="K86" t="str">
        <f>IF(Table4[[#This Row],[HomeIce Differential]]&gt;0,Table4[[#This Row],[Home]],Table4[[#This Row],[Visitor]])</f>
        <v>Dallas Stars</v>
      </c>
      <c r="L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0.76707254891390675</v>
      </c>
      <c r="M86" t="str">
        <f>IF(OR((NHL2025_26Results[[#This Row],[Winning Team]]="")),"-",IF(Table4[[#This Row],[Predicted Winner]]=NHL2025_26Results[[#This Row],[Winning Team]],"YES","NO"))</f>
        <v>NO</v>
      </c>
      <c r="N86">
        <f>IF(Table4[[#This Row],[Adjusted Correct]]="-", "",IF(Table4[[#This Row],[Adjusted Correct]]="YES",(Table4[[#This Row],[Strength of Win]]-1)^2,(Table4[[#This Row],[Strength of Win]]-0)^2))</f>
        <v>0.58840029529727789</v>
      </c>
      <c r="O86">
        <v>-1.7422218213901475</v>
      </c>
      <c r="P86" s="11"/>
      <c r="Q86" t="s">
        <v>39</v>
      </c>
      <c r="R86" t="s">
        <v>249</v>
      </c>
    </row>
    <row r="87" spans="4:18" x14ac:dyDescent="0.2">
      <c r="D87" s="1">
        <v>45948</v>
      </c>
      <c r="E87" s="2">
        <v>0.79166666666666663</v>
      </c>
      <c r="F87" t="s">
        <v>19</v>
      </c>
      <c r="G87">
        <f>VLOOKUP(Table4[[#This Row],[Home]],'NHL Model'!$A$6:$B$38,2,FALSE)</f>
        <v>-0.63447859131898054</v>
      </c>
      <c r="H87" t="s">
        <v>32</v>
      </c>
      <c r="I87">
        <f>VLOOKUP(Table4[[#This Row],[Visitor]],'NHL Model'!$A$6:$B$38,2,FALSE)</f>
        <v>-0.64937723527808999</v>
      </c>
      <c r="J87">
        <f>($B$1+Table4[[#This Row],[Home Differential]])-Table4[[#This Row],[Away Differential]]</f>
        <v>6.4799392882271878E-2</v>
      </c>
      <c r="K87" t="str">
        <f>IF(Table4[[#This Row],[HomeIce Differential]]&gt;0,Table4[[#This Row],[Home]],Table4[[#This Row],[Visitor]])</f>
        <v>Toronto Maple Leafs</v>
      </c>
      <c r="L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0.54756628548978714</v>
      </c>
      <c r="M87" t="str">
        <f>IF(OR((NHL2025_26Results[[#This Row],[Winning Team]]="")),"-",IF(Table4[[#This Row],[Predicted Winner]]=NHL2025_26Results[[#This Row],[Winning Team]],"YES","NO"))</f>
        <v>NO</v>
      </c>
      <c r="N87">
        <f>IF(Table4[[#This Row],[Adjusted Correct]]="-", "",IF(Table4[[#This Row],[Adjusted Correct]]="YES",(Table4[[#This Row],[Strength of Win]]-1)^2,(Table4[[#This Row],[Strength of Win]]-0)^2))</f>
        <v>0.29982883700508306</v>
      </c>
      <c r="O87">
        <v>0.74601483428085158</v>
      </c>
      <c r="P87" s="11"/>
      <c r="Q87" t="s">
        <v>19</v>
      </c>
      <c r="R87" t="s">
        <v>249</v>
      </c>
    </row>
    <row r="88" spans="4:18" x14ac:dyDescent="0.2">
      <c r="D88" s="1">
        <v>45948</v>
      </c>
      <c r="E88" s="2">
        <v>0.91666666666666663</v>
      </c>
      <c r="F88" t="s">
        <v>20</v>
      </c>
      <c r="G88">
        <f>VLOOKUP(Table4[[#This Row],[Home]],'NHL Model'!$A$6:$B$38,2,FALSE)</f>
        <v>-0.24444083032063643</v>
      </c>
      <c r="H88" t="s">
        <v>16</v>
      </c>
      <c r="I88">
        <f>VLOOKUP(Table4[[#This Row],[Visitor]],'NHL Model'!$A$6:$B$38,2,FALSE)</f>
        <v>-1.0657812790446208</v>
      </c>
      <c r="J88">
        <f>($B$1+Table4[[#This Row],[Home Differential]])-Table4[[#This Row],[Away Differential]]</f>
        <v>0.8712411976471468</v>
      </c>
      <c r="K88" t="str">
        <f>IF(Table4[[#This Row],[HomeIce Differential]]&gt;0,Table4[[#This Row],[Home]],Table4[[#This Row],[Visitor]])</f>
        <v>Vegas Golden Knights</v>
      </c>
      <c r="L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0.64173026842765124</v>
      </c>
      <c r="M88" t="str">
        <f>IF(OR((NHL2025_26Results[[#This Row],[Winning Team]]="")),"-",IF(Table4[[#This Row],[Predicted Winner]]=NHL2025_26Results[[#This Row],[Winning Team]],"YES","NO"))</f>
        <v>YES</v>
      </c>
      <c r="N88">
        <f>IF(Table4[[#This Row],[Adjusted Correct]]="-", "",IF(Table4[[#This Row],[Adjusted Correct]]="YES",(Table4[[#This Row],[Strength of Win]]-1)^2,(Table4[[#This Row],[Strength of Win]]-0)^2))</f>
        <v>0.12835720056092284</v>
      </c>
      <c r="O88">
        <v>2.6044294042757858</v>
      </c>
      <c r="P88" s="11"/>
      <c r="Q88" t="s">
        <v>20</v>
      </c>
      <c r="R88" t="s">
        <v>248</v>
      </c>
    </row>
    <row r="89" spans="4:18" x14ac:dyDescent="0.2">
      <c r="D89" s="1">
        <v>45948</v>
      </c>
      <c r="E89" s="2">
        <v>0.79166666666666663</v>
      </c>
      <c r="F89" t="s">
        <v>40</v>
      </c>
      <c r="G89">
        <f>VLOOKUP(Table4[[#This Row],[Home]],'NHL Model'!$A$6:$B$38,2,FALSE)</f>
        <v>-0.31324182378279158</v>
      </c>
      <c r="H89" t="s">
        <v>29</v>
      </c>
      <c r="I89">
        <f>VLOOKUP(Table4[[#This Row],[Visitor]],'NHL Model'!$A$6:$B$38,2,FALSE)</f>
        <v>-1.384917283810061</v>
      </c>
      <c r="J89">
        <f>($B$1+Table4[[#This Row],[Home Differential]])-Table4[[#This Row],[Away Differential]]</f>
        <v>1.1215762089504318</v>
      </c>
      <c r="K89" t="str">
        <f>IF(Table4[[#This Row],[HomeIce Differential]]&gt;0,Table4[[#This Row],[Home]],Table4[[#This Row],[Visitor]])</f>
        <v>Winnipeg Jets</v>
      </c>
      <c r="L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0.67345605488272364</v>
      </c>
      <c r="M89" t="str">
        <f>IF(OR((NHL2025_26Results[[#This Row],[Winning Team]]="")),"-",IF(Table4[[#This Row],[Predicted Winner]]=NHL2025_26Results[[#This Row],[Winning Team]],"YES","NO"))</f>
        <v>YES</v>
      </c>
      <c r="N89">
        <f>IF(Table4[[#This Row],[Adjusted Correct]]="-", "",IF(Table4[[#This Row],[Adjusted Correct]]="YES",(Table4[[#This Row],[Strength of Win]]-1)^2,(Table4[[#This Row],[Strength of Win]]-0)^2))</f>
        <v>0.10663094809275479</v>
      </c>
      <c r="O89">
        <v>1.9282325309043316</v>
      </c>
      <c r="P89" s="11"/>
      <c r="Q89" t="s">
        <v>40</v>
      </c>
      <c r="R89" t="s">
        <v>248</v>
      </c>
    </row>
    <row r="90" spans="4:18" x14ac:dyDescent="0.2">
      <c r="D90" s="1">
        <v>45949</v>
      </c>
      <c r="E90" s="2">
        <v>0.79166666666666663</v>
      </c>
      <c r="F90" t="s">
        <v>10</v>
      </c>
      <c r="G90">
        <f>VLOOKUP(Table4[[#This Row],[Home]],'NHL Model'!$A$6:$B$38,2,FALSE)</f>
        <v>-0.17619625518431364</v>
      </c>
      <c r="H90" t="s">
        <v>31</v>
      </c>
      <c r="I90">
        <f>VLOOKUP(Table4[[#This Row],[Visitor]],'NHL Model'!$A$6:$B$38,2,FALSE)</f>
        <v>0.17870302183926629</v>
      </c>
      <c r="J90">
        <f>($B$1+Table4[[#This Row],[Home Differential]])-Table4[[#This Row],[Away Differential]]</f>
        <v>-0.3049985281004175</v>
      </c>
      <c r="K90" t="str">
        <f>IF(Table4[[#This Row],[HomeIce Differential]]&gt;0,Table4[[#This Row],[Home]],Table4[[#This Row],[Visitor]])</f>
        <v>Anaheim Ducks</v>
      </c>
      <c r="L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0.51638231038195603</v>
      </c>
      <c r="M90" t="str">
        <f>IF(OR((NHL2025_26Results[[#This Row],[Winning Team]]="")),"-",IF(Table4[[#This Row],[Predicted Winner]]=NHL2025_26Results[[#This Row],[Winning Team]],"YES","NO"))</f>
        <v>NO</v>
      </c>
      <c r="N90">
        <f>IF(Table4[[#This Row],[Adjusted Correct]]="-", "",IF(Table4[[#This Row],[Adjusted Correct]]="YES",(Table4[[#This Row],[Strength of Win]]-1)^2,(Table4[[#This Row],[Strength of Win]]-0)^2))</f>
        <v>0.26665069047540679</v>
      </c>
      <c r="O90">
        <v>1.0236082778054616</v>
      </c>
      <c r="P90" s="11"/>
      <c r="Q90" t="s">
        <v>10</v>
      </c>
      <c r="R90" t="s">
        <v>248</v>
      </c>
    </row>
    <row r="91" spans="4:18" x14ac:dyDescent="0.2">
      <c r="D91" s="1">
        <v>45949</v>
      </c>
      <c r="E91" s="2">
        <v>0.625</v>
      </c>
      <c r="F91" t="s">
        <v>26</v>
      </c>
      <c r="G91">
        <f>VLOOKUP(Table4[[#This Row],[Home]],'NHL Model'!$A$6:$B$38,2,FALSE)</f>
        <v>-0.87533956503230947</v>
      </c>
      <c r="H91" t="s">
        <v>17</v>
      </c>
      <c r="I91">
        <f>VLOOKUP(Table4[[#This Row],[Visitor]],'NHL Model'!$A$6:$B$38,2,FALSE)</f>
        <v>-0.81774666423752174</v>
      </c>
      <c r="J91">
        <f>($B$1+Table4[[#This Row],[Home Differential]])-Table4[[#This Row],[Away Differential]]</f>
        <v>-7.6921518716253079E-3</v>
      </c>
      <c r="K91" t="str">
        <f>IF(Table4[[#This Row],[HomeIce Differential]]&gt;0,Table4[[#This Row],[Home]],Table4[[#This Row],[Visitor]])</f>
        <v>Edmonton Oilers</v>
      </c>
      <c r="L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0.46089817225907131</v>
      </c>
      <c r="M91" t="str">
        <f>IF(OR((NHL2025_26Results[[#This Row],[Winning Team]]="")),"-",IF(Table4[[#This Row],[Predicted Winner]]=NHL2025_26Results[[#This Row],[Winning Team]],"YES","NO"))</f>
        <v>NO</v>
      </c>
      <c r="N91">
        <f>IF(Table4[[#This Row],[Adjusted Correct]]="-", "",IF(Table4[[#This Row],[Adjusted Correct]]="YES",(Table4[[#This Row],[Strength of Win]]-1)^2,(Table4[[#This Row],[Strength of Win]]-0)^2))</f>
        <v>0.21242712519175258</v>
      </c>
      <c r="O91">
        <v>1.8006704637232276</v>
      </c>
      <c r="P91" s="11"/>
      <c r="Q91" t="s">
        <v>26</v>
      </c>
      <c r="R91" t="s">
        <v>248</v>
      </c>
    </row>
    <row r="92" spans="4:18" x14ac:dyDescent="0.2">
      <c r="D92" s="1">
        <v>45949</v>
      </c>
      <c r="E92" s="2">
        <v>0.79166666666666663</v>
      </c>
      <c r="F92" t="s">
        <v>55</v>
      </c>
      <c r="G92">
        <f>VLOOKUP(Table4[[#This Row],[Home]],'NHL Model'!$A$6:$B$38,2,FALSE)</f>
        <v>-0.4031232890211825</v>
      </c>
      <c r="H92" t="s">
        <v>21</v>
      </c>
      <c r="I92">
        <f>VLOOKUP(Table4[[#This Row],[Visitor]],'NHL Model'!$A$6:$B$38,2,FALSE)</f>
        <v>-0.21976976044773161</v>
      </c>
      <c r="J92">
        <f>($B$1+Table4[[#This Row],[Home Differential]])-Table4[[#This Row],[Away Differential]]</f>
        <v>-0.1334527796502884</v>
      </c>
      <c r="K92" t="str">
        <f>IF(Table4[[#This Row],[HomeIce Differential]]&gt;0,Table4[[#This Row],[Home]],Table4[[#This Row],[Visitor]])</f>
        <v>Boston Bruins</v>
      </c>
      <c r="L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0.43596474725172057</v>
      </c>
      <c r="M92" t="str">
        <f>IF(OR((NHL2025_26Results[[#This Row],[Winning Team]]="")),"-",IF(Table4[[#This Row],[Predicted Winner]]=NHL2025_26Results[[#This Row],[Winning Team]],"YES","NO"))</f>
        <v>NO</v>
      </c>
      <c r="N92">
        <f>IF(Table4[[#This Row],[Adjusted Correct]]="-", "",IF(Table4[[#This Row],[Adjusted Correct]]="YES",(Table4[[#This Row],[Strength of Win]]-1)^2,(Table4[[#This Row],[Strength of Win]]-0)^2))</f>
        <v>0.19006526084625661</v>
      </c>
      <c r="O92">
        <v>-3.8498221269855248E-2</v>
      </c>
      <c r="P92" s="11"/>
      <c r="Q92" t="s">
        <v>21</v>
      </c>
      <c r="R92" t="s">
        <v>249</v>
      </c>
    </row>
    <row r="93" spans="4:18" x14ac:dyDescent="0.2">
      <c r="D93" s="1">
        <v>45949</v>
      </c>
      <c r="E93" s="2">
        <v>0.52083333333333337</v>
      </c>
      <c r="F93" t="s">
        <v>22</v>
      </c>
      <c r="G93">
        <f>VLOOKUP(Table4[[#This Row],[Home]],'NHL Model'!$A$6:$B$38,2,FALSE)</f>
        <v>0.4407072328537569</v>
      </c>
      <c r="H93" t="s">
        <v>38</v>
      </c>
      <c r="I93">
        <f>VLOOKUP(Table4[[#This Row],[Visitor]],'NHL Model'!$A$6:$B$38,2,FALSE)</f>
        <v>-0.9476777551108041</v>
      </c>
      <c r="J93">
        <f>($B$1+Table4[[#This Row],[Home Differential]])-Table4[[#This Row],[Away Differential]]</f>
        <v>1.4382857368877235</v>
      </c>
      <c r="K93" t="str">
        <f>IF(Table4[[#This Row],[HomeIce Differential]]&gt;0,Table4[[#This Row],[Home]],Table4[[#This Row],[Visitor]])</f>
        <v>Washington Capitals</v>
      </c>
      <c r="L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0.73044108736408575</v>
      </c>
      <c r="M93" t="str">
        <f>IF(OR((NHL2025_26Results[[#This Row],[Winning Team]]="")),"-",IF(Table4[[#This Row],[Predicted Winner]]=NHL2025_26Results[[#This Row],[Winning Team]],"YES","NO"))</f>
        <v>NO</v>
      </c>
      <c r="N93">
        <f>IF(Table4[[#This Row],[Adjusted Correct]]="-", "",IF(Table4[[#This Row],[Adjusted Correct]]="YES",(Table4[[#This Row],[Strength of Win]]-1)^2,(Table4[[#This Row],[Strength of Win]]-0)^2))</f>
        <v>0.53354418210962795</v>
      </c>
      <c r="O93">
        <v>0.52602722443981031</v>
      </c>
      <c r="P93" s="11"/>
      <c r="Q93" t="s">
        <v>22</v>
      </c>
      <c r="R93" t="s">
        <v>249</v>
      </c>
    </row>
    <row r="94" spans="4:18" x14ac:dyDescent="0.2">
      <c r="D94" s="1">
        <v>45950</v>
      </c>
      <c r="E94" s="2">
        <v>0.89583333333333337</v>
      </c>
      <c r="F94" t="s">
        <v>16</v>
      </c>
      <c r="G94">
        <f>VLOOKUP(Table4[[#This Row],[Home]],'NHL Model'!$A$6:$B$38,2,FALSE)</f>
        <v>-1.0657812790446208</v>
      </c>
      <c r="H94" t="s">
        <v>40</v>
      </c>
      <c r="I94">
        <f>VLOOKUP(Table4[[#This Row],[Visitor]],'NHL Model'!$A$6:$B$38,2,FALSE)</f>
        <v>-0.31324182378279158</v>
      </c>
      <c r="J94">
        <f>($B$1+Table4[[#This Row],[Home Differential]])-Table4[[#This Row],[Away Differential]]</f>
        <v>-0.70263870633866676</v>
      </c>
      <c r="K94" t="str">
        <f>IF(Table4[[#This Row],[HomeIce Differential]]&gt;0,Table4[[#This Row],[Home]],Table4[[#This Row],[Visitor]])</f>
        <v>Winnipeg Jets</v>
      </c>
      <c r="L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0.56281266994144419</v>
      </c>
      <c r="M94" t="str">
        <f>IF(OR((NHL2025_26Results[[#This Row],[Winning Team]]="")),"-",IF(Table4[[#This Row],[Predicted Winner]]=NHL2025_26Results[[#This Row],[Winning Team]],"YES","NO"))</f>
        <v>YES</v>
      </c>
      <c r="N94">
        <f>IF(Table4[[#This Row],[Adjusted Correct]]="-", "",IF(Table4[[#This Row],[Adjusted Correct]]="YES",(Table4[[#This Row],[Strength of Win]]-1)^2,(Table4[[#This Row],[Strength of Win]]-0)^2))</f>
        <v>0.19113276156372863</v>
      </c>
      <c r="O94">
        <v>-3.1150923655116651</v>
      </c>
      <c r="P94" s="11"/>
      <c r="Q94" t="s">
        <v>40</v>
      </c>
      <c r="R94" t="s">
        <v>248</v>
      </c>
    </row>
    <row r="95" spans="4:18" x14ac:dyDescent="0.2">
      <c r="D95" s="1">
        <v>45950</v>
      </c>
      <c r="E95" s="2">
        <v>0.8125</v>
      </c>
      <c r="F95" t="s">
        <v>18</v>
      </c>
      <c r="G95">
        <f>VLOOKUP(Table4[[#This Row],[Home]],'NHL Model'!$A$6:$B$38,2,FALSE)</f>
        <v>-0.59288962827382519</v>
      </c>
      <c r="H95" t="s">
        <v>23</v>
      </c>
      <c r="I95">
        <f>VLOOKUP(Table4[[#This Row],[Visitor]],'NHL Model'!$A$6:$B$38,2,FALSE)</f>
        <v>-0.4761104357405897</v>
      </c>
      <c r="J95">
        <f>($B$1+Table4[[#This Row],[Home Differential]])-Table4[[#This Row],[Away Differential]]</f>
        <v>-6.6878443610073057E-2</v>
      </c>
      <c r="K95" t="str">
        <f>IF(Table4[[#This Row],[HomeIce Differential]]&gt;0,Table4[[#This Row],[Home]],Table4[[#This Row],[Visitor]])</f>
        <v>Buffalo Sabres</v>
      </c>
      <c r="L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0.46780904534685669</v>
      </c>
      <c r="M95" t="str">
        <f>IF(OR((NHL2025_26Results[[#This Row],[Winning Team]]="")),"-",IF(Table4[[#This Row],[Predicted Winner]]=NHL2025_26Results[[#This Row],[Winning Team]],"YES","NO"))</f>
        <v>NO</v>
      </c>
      <c r="N95">
        <f>IF(Table4[[#This Row],[Adjusted Correct]]="-", "",IF(Table4[[#This Row],[Adjusted Correct]]="YES",(Table4[[#This Row],[Strength of Win]]-1)^2,(Table4[[#This Row],[Strength of Win]]-0)^2))</f>
        <v>0.21884530290833742</v>
      </c>
      <c r="O95">
        <v>1.3370911623551756</v>
      </c>
      <c r="P95" s="11"/>
      <c r="Q95" t="s">
        <v>18</v>
      </c>
      <c r="R95" t="s">
        <v>248</v>
      </c>
    </row>
    <row r="96" spans="4:18" x14ac:dyDescent="0.2">
      <c r="D96" s="1">
        <v>45950</v>
      </c>
      <c r="E96" s="2">
        <v>0.79166666666666663</v>
      </c>
      <c r="F96" t="s">
        <v>15</v>
      </c>
      <c r="G96">
        <f>VLOOKUP(Table4[[#This Row],[Home]],'NHL Model'!$A$6:$B$38,2,FALSE)</f>
        <v>-0.29003398448394263</v>
      </c>
      <c r="H96" t="s">
        <v>34</v>
      </c>
      <c r="I96">
        <f>VLOOKUP(Table4[[#This Row],[Visitor]],'NHL Model'!$A$6:$B$38,2,FALSE)</f>
        <v>-5.5124787449478845E-2</v>
      </c>
      <c r="J96">
        <f>($B$1+Table4[[#This Row],[Home Differential]])-Table4[[#This Row],[Away Differential]]</f>
        <v>-0.18500844811130132</v>
      </c>
      <c r="K96" t="str">
        <f>IF(Table4[[#This Row],[HomeIce Differential]]&gt;0,Table4[[#This Row],[Home]],Table4[[#This Row],[Visitor]])</f>
        <v>Minnesota Wild</v>
      </c>
      <c r="L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0.52411502966087842</v>
      </c>
      <c r="M96" t="str">
        <f>IF(OR((NHL2025_26Results[[#This Row],[Winning Team]]="")),"-",IF(Table4[[#This Row],[Predicted Winner]]=NHL2025_26Results[[#This Row],[Winning Team]],"YES","NO"))</f>
        <v>YES</v>
      </c>
      <c r="N96">
        <f>IF(Table4[[#This Row],[Adjusted Correct]]="-", "",IF(Table4[[#This Row],[Adjusted Correct]]="YES",(Table4[[#This Row],[Strength of Win]]-1)^2,(Table4[[#This Row],[Strength of Win]]-0)^2))</f>
        <v>0.22646650499466664</v>
      </c>
      <c r="O96">
        <v>0.5226306009326972</v>
      </c>
      <c r="P96" s="11"/>
      <c r="Q96" t="s">
        <v>15</v>
      </c>
      <c r="R96" t="s">
        <v>249</v>
      </c>
    </row>
    <row r="97" spans="4:18" x14ac:dyDescent="0.2">
      <c r="D97" s="1">
        <v>45950</v>
      </c>
      <c r="E97" s="2">
        <v>0.79166666666666663</v>
      </c>
      <c r="F97" t="s">
        <v>27</v>
      </c>
      <c r="G97">
        <f>VLOOKUP(Table4[[#This Row],[Home]],'NHL Model'!$A$6:$B$38,2,FALSE)</f>
        <v>-0.38023958350631604</v>
      </c>
      <c r="H97" t="s">
        <v>32</v>
      </c>
      <c r="I97">
        <f>VLOOKUP(Table4[[#This Row],[Visitor]],'NHL Model'!$A$6:$B$38,2,FALSE)</f>
        <v>-0.64937723527808999</v>
      </c>
      <c r="J97">
        <f>($B$1+Table4[[#This Row],[Home Differential]])-Table4[[#This Row],[Away Differential]]</f>
        <v>0.31903840069493644</v>
      </c>
      <c r="K97" t="str">
        <f>IF(Table4[[#This Row],[HomeIce Differential]]&gt;0,Table4[[#This Row],[Home]],Table4[[#This Row],[Visitor]])</f>
        <v>Philadelphia Flyers</v>
      </c>
      <c r="L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0.59126906245048083</v>
      </c>
      <c r="M97" t="str">
        <f>IF(OR((NHL2025_26Results[[#This Row],[Winning Team]]="")),"-",IF(Table4[[#This Row],[Predicted Winner]]=NHL2025_26Results[[#This Row],[Winning Team]],"YES","NO"))</f>
        <v>YES</v>
      </c>
      <c r="N97">
        <f>IF(Table4[[#This Row],[Adjusted Correct]]="-", "",IF(Table4[[#This Row],[Adjusted Correct]]="YES",(Table4[[#This Row],[Strength of Win]]-1)^2,(Table4[[#This Row],[Strength of Win]]-0)^2))</f>
        <v>0.16706097931010894</v>
      </c>
      <c r="O97">
        <v>0.66782260380233516</v>
      </c>
      <c r="P97" s="11"/>
      <c r="Q97" t="s">
        <v>27</v>
      </c>
      <c r="R97" t="s">
        <v>248</v>
      </c>
    </row>
    <row r="98" spans="4:18" x14ac:dyDescent="0.2">
      <c r="D98" s="1">
        <v>45950</v>
      </c>
      <c r="E98" s="2">
        <v>0.91666666666666663</v>
      </c>
      <c r="F98" t="s">
        <v>20</v>
      </c>
      <c r="G98">
        <f>VLOOKUP(Table4[[#This Row],[Home]],'NHL Model'!$A$6:$B$38,2,FALSE)</f>
        <v>-0.24444083032063643</v>
      </c>
      <c r="H98" t="s">
        <v>25</v>
      </c>
      <c r="I98">
        <f>VLOOKUP(Table4[[#This Row],[Visitor]],'NHL Model'!$A$6:$B$38,2,FALSE)</f>
        <v>0.42567513732855267</v>
      </c>
      <c r="J98">
        <f>($B$1+Table4[[#This Row],[Home Differential]])-Table4[[#This Row],[Away Differential]]</f>
        <v>-0.62021521872602658</v>
      </c>
      <c r="K98" t="str">
        <f>IF(Table4[[#This Row],[HomeIce Differential]]&gt;0,Table4[[#This Row],[Home]],Table4[[#This Row],[Visitor]])</f>
        <v>Carolina Hurricanes</v>
      </c>
      <c r="L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0.60504244961743847</v>
      </c>
      <c r="M98" t="str">
        <f>IF(OR((NHL2025_26Results[[#This Row],[Winning Team]]="")),"-",IF(Table4[[#This Row],[Predicted Winner]]=NHL2025_26Results[[#This Row],[Winning Team]],"YES","NO"))</f>
        <v>NO</v>
      </c>
      <c r="N98">
        <f>IF(Table4[[#This Row],[Adjusted Correct]]="-", "",IF(Table4[[#This Row],[Adjusted Correct]]="YES",(Table4[[#This Row],[Strength of Win]]-1)^2,(Table4[[#This Row],[Strength of Win]]-0)^2))</f>
        <v>0.36607636583907055</v>
      </c>
      <c r="O98">
        <v>-0.4989921219968072</v>
      </c>
      <c r="P98" s="11"/>
      <c r="Q98" t="s">
        <v>25</v>
      </c>
      <c r="R98" t="s">
        <v>249</v>
      </c>
    </row>
    <row r="99" spans="4:18" x14ac:dyDescent="0.2">
      <c r="D99" s="1">
        <v>45951</v>
      </c>
      <c r="E99" s="2">
        <v>0.8125</v>
      </c>
      <c r="F99" t="s">
        <v>21</v>
      </c>
      <c r="G99">
        <f>VLOOKUP(Table4[[#This Row],[Home]],'NHL Model'!$A$6:$B$38,2,FALSE)</f>
        <v>-0.21976976044773161</v>
      </c>
      <c r="H99" t="s">
        <v>11</v>
      </c>
      <c r="I99">
        <f>VLOOKUP(Table4[[#This Row],[Visitor]],'NHL Model'!$A$6:$B$38,2,FALSE)</f>
        <v>-0.39711829106410657</v>
      </c>
      <c r="J99">
        <f>($B$1+Table4[[#This Row],[Home Differential]])-Table4[[#This Row],[Away Differential]]</f>
        <v>0.22724927953953741</v>
      </c>
      <c r="K99" t="str">
        <f>IF(Table4[[#This Row],[HomeIce Differential]]&gt;0,Table4[[#This Row],[Home]],Table4[[#This Row],[Visitor]])</f>
        <v>Boston Bruins</v>
      </c>
      <c r="L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0.6094362617503768</v>
      </c>
      <c r="M99" t="str">
        <f>IF(OR((NHL2025_26Results[[#This Row],[Winning Team]]="")),"-",IF(Table4[[#This Row],[Predicted Winner]]=NHL2025_26Results[[#This Row],[Winning Team]],"YES","NO"))</f>
        <v>NO</v>
      </c>
      <c r="N99">
        <f>IF(Table4[[#This Row],[Adjusted Correct]]="-", "",IF(Table4[[#This Row],[Adjusted Correct]]="YES",(Table4[[#This Row],[Strength of Win]]-1)^2,(Table4[[#This Row],[Strength of Win]]-0)^2))</f>
        <v>0.3714125571362738</v>
      </c>
      <c r="O99">
        <v>0.44292105787578795</v>
      </c>
      <c r="P99" s="11"/>
      <c r="Q99" t="s">
        <v>21</v>
      </c>
      <c r="R99" t="s">
        <v>249</v>
      </c>
    </row>
    <row r="100" spans="4:18" x14ac:dyDescent="0.2">
      <c r="D100" s="1">
        <v>45951</v>
      </c>
      <c r="E100" s="2">
        <v>0.83333333333333337</v>
      </c>
      <c r="F100" t="s">
        <v>39</v>
      </c>
      <c r="G100">
        <f>VLOOKUP(Table4[[#This Row],[Home]],'NHL Model'!$A$6:$B$38,2,FALSE)</f>
        <v>0.41344250185511977</v>
      </c>
      <c r="H100" t="s">
        <v>28</v>
      </c>
      <c r="I100">
        <f>VLOOKUP(Table4[[#This Row],[Visitor]],'NHL Model'!$A$6:$B$38,2,FALSE)</f>
        <v>-0.59498940435054026</v>
      </c>
      <c r="J100">
        <f>($B$1+Table4[[#This Row],[Home Differential]])-Table4[[#This Row],[Away Differential]]</f>
        <v>1.0583326551288226</v>
      </c>
      <c r="K100" t="str">
        <f>IF(Table4[[#This Row],[HomeIce Differential]]&gt;0,Table4[[#This Row],[Home]],Table4[[#This Row],[Visitor]])</f>
        <v>Dallas Stars</v>
      </c>
      <c r="L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0.69229633650839406</v>
      </c>
      <c r="M100" t="str">
        <f>IF(OR((NHL2025_26Results[[#This Row],[Winning Team]]="")),"-",IF(Table4[[#This Row],[Predicted Winner]]=NHL2025_26Results[[#This Row],[Winning Team]],"YES","NO"))</f>
        <v>NO</v>
      </c>
      <c r="N100">
        <f>IF(Table4[[#This Row],[Adjusted Correct]]="-", "",IF(Table4[[#This Row],[Adjusted Correct]]="YES",(Table4[[#This Row],[Strength of Win]]-1)^2,(Table4[[#This Row],[Strength of Win]]-0)^2))</f>
        <v>0.47927421754294358</v>
      </c>
      <c r="O100">
        <v>-0.92191943902201234</v>
      </c>
      <c r="P100" s="11"/>
      <c r="Q100" t="s">
        <v>28</v>
      </c>
      <c r="R100" t="s">
        <v>248</v>
      </c>
    </row>
    <row r="101" spans="4:18" x14ac:dyDescent="0.2">
      <c r="D101" s="1">
        <v>45951</v>
      </c>
      <c r="E101" s="2">
        <v>0.83333333333333337</v>
      </c>
      <c r="F101" t="s">
        <v>29</v>
      </c>
      <c r="G101">
        <f>VLOOKUP(Table4[[#This Row],[Home]],'NHL Model'!$A$6:$B$38,2,FALSE)</f>
        <v>-1.384917283810061</v>
      </c>
      <c r="H101" t="s">
        <v>31</v>
      </c>
      <c r="I101">
        <f>VLOOKUP(Table4[[#This Row],[Visitor]],'NHL Model'!$A$6:$B$38,2,FALSE)</f>
        <v>0.17870302183926629</v>
      </c>
      <c r="J101">
        <f>($B$1+Table4[[#This Row],[Home Differential]])-Table4[[#This Row],[Away Differential]]</f>
        <v>-1.5137195567261648</v>
      </c>
      <c r="K101" t="str">
        <f>IF(Table4[[#This Row],[HomeIce Differential]]&gt;0,Table4[[#This Row],[Home]],Table4[[#This Row],[Visitor]])</f>
        <v>Anaheim Ducks</v>
      </c>
      <c r="L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0.65751832992317638</v>
      </c>
      <c r="M101" t="str">
        <f>IF(OR((NHL2025_26Results[[#This Row],[Winning Team]]="")),"-",IF(Table4[[#This Row],[Predicted Winner]]=NHL2025_26Results[[#This Row],[Winning Team]],"YES","NO"))</f>
        <v>YES</v>
      </c>
      <c r="N101">
        <f>IF(Table4[[#This Row],[Adjusted Correct]]="-", "",IF(Table4[[#This Row],[Adjusted Correct]]="YES",(Table4[[#This Row],[Strength of Win]]-1)^2,(Table4[[#This Row],[Strength of Win]]-0)^2))</f>
        <v>0.11729369433861027</v>
      </c>
      <c r="O101">
        <v>-0.62542389291989786</v>
      </c>
      <c r="P101" s="11"/>
      <c r="Q101" t="s">
        <v>31</v>
      </c>
      <c r="R101" t="s">
        <v>248</v>
      </c>
    </row>
    <row r="102" spans="4:18" x14ac:dyDescent="0.2">
      <c r="D102" s="1">
        <v>45951</v>
      </c>
      <c r="E102" s="2">
        <v>0.79166666666666663</v>
      </c>
      <c r="F102" t="s">
        <v>30</v>
      </c>
      <c r="G102">
        <f>VLOOKUP(Table4[[#This Row],[Home]],'NHL Model'!$A$6:$B$38,2,FALSE)</f>
        <v>-0.24093199744133265</v>
      </c>
      <c r="H102" t="s">
        <v>33</v>
      </c>
      <c r="I102">
        <f>VLOOKUP(Table4[[#This Row],[Visitor]],'NHL Model'!$A$6:$B$38,2,FALSE)</f>
        <v>-0.45133099238224339</v>
      </c>
      <c r="J102">
        <f>($B$1+Table4[[#This Row],[Home Differential]])-Table4[[#This Row],[Away Differential]]</f>
        <v>0.26029974386407317</v>
      </c>
      <c r="K102" t="str">
        <f>IF(Table4[[#This Row],[HomeIce Differential]]&gt;0,Table4[[#This Row],[Home]],Table4[[#This Row],[Visitor]])</f>
        <v>New York Islanders</v>
      </c>
      <c r="L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0.57039383684616074</v>
      </c>
      <c r="M102" t="str">
        <f>IF(OR((NHL2025_26Results[[#This Row],[Winning Team]]="")),"-",IF(Table4[[#This Row],[Predicted Winner]]=NHL2025_26Results[[#This Row],[Winning Team]],"YES","NO"))</f>
        <v>YES</v>
      </c>
      <c r="N102">
        <f>IF(Table4[[#This Row],[Adjusted Correct]]="-", "",IF(Table4[[#This Row],[Adjusted Correct]]="YES",(Table4[[#This Row],[Strength of Win]]-1)^2,(Table4[[#This Row],[Strength of Win]]-0)^2))</f>
        <v>0.18456145541976315</v>
      </c>
      <c r="O102">
        <v>1.0691126570687239</v>
      </c>
      <c r="P102" s="11"/>
      <c r="Q102" t="s">
        <v>30</v>
      </c>
      <c r="R102" t="s">
        <v>248</v>
      </c>
    </row>
    <row r="103" spans="4:18" x14ac:dyDescent="0.2">
      <c r="D103" s="1">
        <v>45951</v>
      </c>
      <c r="E103" s="2">
        <v>0.79166666666666663</v>
      </c>
      <c r="F103" t="s">
        <v>36</v>
      </c>
      <c r="G103">
        <f>VLOOKUP(Table4[[#This Row],[Home]],'NHL Model'!$A$6:$B$38,2,FALSE)</f>
        <v>-0.53137605086483863</v>
      </c>
      <c r="H103" t="s">
        <v>17</v>
      </c>
      <c r="I103">
        <f>VLOOKUP(Table4[[#This Row],[Visitor]],'NHL Model'!$A$6:$B$38,2,FALSE)</f>
        <v>-0.81774666423752174</v>
      </c>
      <c r="J103">
        <f>($B$1+Table4[[#This Row],[Home Differential]])-Table4[[#This Row],[Away Differential]]</f>
        <v>0.33627136229584559</v>
      </c>
      <c r="K103" t="str">
        <f>IF(Table4[[#This Row],[HomeIce Differential]]&gt;0,Table4[[#This Row],[Home]],Table4[[#This Row],[Visitor]])</f>
        <v>Ottawa Senators</v>
      </c>
      <c r="L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0.58176012376347264</v>
      </c>
      <c r="M103" t="str">
        <f>IF(OR((NHL2025_26Results[[#This Row],[Winning Team]]="")),"-",IF(Table4[[#This Row],[Predicted Winner]]=NHL2025_26Results[[#This Row],[Winning Team]],"YES","NO"))</f>
        <v>NO</v>
      </c>
      <c r="N103">
        <f>IF(Table4[[#This Row],[Adjusted Correct]]="-", "",IF(Table4[[#This Row],[Adjusted Correct]]="YES",(Table4[[#This Row],[Strength of Win]]-1)^2,(Table4[[#This Row],[Strength of Win]]-0)^2))</f>
        <v>0.33844484160129101</v>
      </c>
      <c r="O103">
        <v>-1.4748079518247106</v>
      </c>
      <c r="P103" s="11"/>
      <c r="Q103" t="s">
        <v>17</v>
      </c>
      <c r="R103" t="s">
        <v>248</v>
      </c>
    </row>
    <row r="104" spans="4:18" x14ac:dyDescent="0.2">
      <c r="D104" s="1">
        <v>45951</v>
      </c>
      <c r="E104" s="2">
        <v>0.79166666666666663</v>
      </c>
      <c r="F104" t="s">
        <v>14</v>
      </c>
      <c r="G104">
        <f>VLOOKUP(Table4[[#This Row],[Home]],'NHL Model'!$A$6:$B$38,2,FALSE)</f>
        <v>-0.14226422156549004</v>
      </c>
      <c r="H104" t="s">
        <v>38</v>
      </c>
      <c r="I104">
        <f>VLOOKUP(Table4[[#This Row],[Visitor]],'NHL Model'!$A$6:$B$38,2,FALSE)</f>
        <v>-0.9476777551108041</v>
      </c>
      <c r="J104">
        <f>($B$1+Table4[[#This Row],[Home Differential]])-Table4[[#This Row],[Away Differential]]</f>
        <v>0.85531428246847652</v>
      </c>
      <c r="K104" t="str">
        <f>IF(Table4[[#This Row],[HomeIce Differential]]&gt;0,Table4[[#This Row],[Home]],Table4[[#This Row],[Visitor]])</f>
        <v>Pittsburgh Penguins</v>
      </c>
      <c r="L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0.63629440707565277</v>
      </c>
      <c r="M104" t="str">
        <f>IF(OR((NHL2025_26Results[[#This Row],[Winning Team]]="")),"-",IF(Table4[[#This Row],[Predicted Winner]]=NHL2025_26Results[[#This Row],[Winning Team]],"YES","NO"))</f>
        <v>YES</v>
      </c>
      <c r="N104">
        <f>IF(Table4[[#This Row],[Adjusted Correct]]="-", "",IF(Table4[[#This Row],[Adjusted Correct]]="YES",(Table4[[#This Row],[Strength of Win]]-1)^2,(Table4[[#This Row],[Strength of Win]]-0)^2))</f>
        <v>0.13228175832445097</v>
      </c>
      <c r="O104">
        <v>1.0677563390447324</v>
      </c>
      <c r="P104" s="11"/>
      <c r="Q104" t="s">
        <v>14</v>
      </c>
      <c r="R104" t="s">
        <v>248</v>
      </c>
    </row>
    <row r="105" spans="4:18" x14ac:dyDescent="0.2">
      <c r="D105" s="1">
        <v>45951</v>
      </c>
      <c r="E105" s="2">
        <v>0.83333333333333337</v>
      </c>
      <c r="F105" t="s">
        <v>35</v>
      </c>
      <c r="G105">
        <f>VLOOKUP(Table4[[#This Row],[Home]],'NHL Model'!$A$6:$B$38,2,FALSE)</f>
        <v>-1.3944783719477225</v>
      </c>
      <c r="H105" t="s">
        <v>13</v>
      </c>
      <c r="I105">
        <f>VLOOKUP(Table4[[#This Row],[Visitor]],'NHL Model'!$A$6:$B$38,2,FALSE)</f>
        <v>-0.33828359867721369</v>
      </c>
      <c r="J105">
        <f>($B$1+Table4[[#This Row],[Home Differential]])-Table4[[#This Row],[Away Differential]]</f>
        <v>-1.0062940243473464</v>
      </c>
      <c r="K105" t="str">
        <f>IF(Table4[[#This Row],[HomeIce Differential]]&gt;0,Table4[[#This Row],[Home]],Table4[[#This Row],[Visitor]])</f>
        <v>Los Angeles Kings</v>
      </c>
      <c r="L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0.64381546865604655</v>
      </c>
      <c r="M105" t="str">
        <f>IF(OR((NHL2025_26Results[[#This Row],[Winning Team]]="")),"-",IF(Table4[[#This Row],[Predicted Winner]]=NHL2025_26Results[[#This Row],[Winning Team]],"YES","NO"))</f>
        <v>YES</v>
      </c>
      <c r="N105">
        <f>IF(Table4[[#This Row],[Adjusted Correct]]="-", "",IF(Table4[[#This Row],[Adjusted Correct]]="YES",(Table4[[#This Row],[Strength of Win]]-1)^2,(Table4[[#This Row],[Strength of Win]]-0)^2))</f>
        <v>0.12686742036871176</v>
      </c>
      <c r="O105">
        <v>-0.87093694319375814</v>
      </c>
      <c r="P105" s="11"/>
      <c r="Q105" t="s">
        <v>13</v>
      </c>
      <c r="R105" t="s">
        <v>248</v>
      </c>
    </row>
    <row r="106" spans="4:18" x14ac:dyDescent="0.2">
      <c r="D106" s="1">
        <v>45951</v>
      </c>
      <c r="E106" s="2">
        <v>0.79166666666666663</v>
      </c>
      <c r="F106" t="s">
        <v>19</v>
      </c>
      <c r="G106">
        <f>VLOOKUP(Table4[[#This Row],[Home]],'NHL Model'!$A$6:$B$38,2,FALSE)</f>
        <v>-0.63447859131898054</v>
      </c>
      <c r="H106" t="s">
        <v>24</v>
      </c>
      <c r="I106">
        <f>VLOOKUP(Table4[[#This Row],[Visitor]],'NHL Model'!$A$6:$B$38,2,FALSE)</f>
        <v>1.5302507646042616E-3</v>
      </c>
      <c r="J106">
        <f>($B$1+Table4[[#This Row],[Home Differential]])-Table4[[#This Row],[Away Differential]]</f>
        <v>-0.58610809316042234</v>
      </c>
      <c r="K106" t="str">
        <f>IF(Table4[[#This Row],[HomeIce Differential]]&gt;0,Table4[[#This Row],[Home]],Table4[[#This Row],[Visitor]])</f>
        <v>New Jersey Devils</v>
      </c>
      <c r="L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0.54920600098378236</v>
      </c>
      <c r="M106" t="str">
        <f>IF(OR((NHL2025_26Results[[#This Row],[Winning Team]]="")),"-",IF(Table4[[#This Row],[Predicted Winner]]=NHL2025_26Results[[#This Row],[Winning Team]],"YES","NO"))</f>
        <v>YES</v>
      </c>
      <c r="N106">
        <f>IF(Table4[[#This Row],[Adjusted Correct]]="-", "",IF(Table4[[#This Row],[Adjusted Correct]]="YES",(Table4[[#This Row],[Strength of Win]]-1)^2,(Table4[[#This Row],[Strength of Win]]-0)^2))</f>
        <v>0.20321522954903362</v>
      </c>
      <c r="O106">
        <v>-1.0367746954820527</v>
      </c>
      <c r="P106" s="11"/>
      <c r="Q106" t="s">
        <v>24</v>
      </c>
      <c r="R106" t="s">
        <v>248</v>
      </c>
    </row>
    <row r="107" spans="4:18" x14ac:dyDescent="0.2">
      <c r="D107" s="1">
        <v>45951</v>
      </c>
      <c r="E107" s="2">
        <v>0.91666666666666663</v>
      </c>
      <c r="F107" t="s">
        <v>55</v>
      </c>
      <c r="G107">
        <f>VLOOKUP(Table4[[#This Row],[Home]],'NHL Model'!$A$6:$B$38,2,FALSE)</f>
        <v>-0.4031232890211825</v>
      </c>
      <c r="H107" t="s">
        <v>12</v>
      </c>
      <c r="I107">
        <f>VLOOKUP(Table4[[#This Row],[Visitor]],'NHL Model'!$A$6:$B$38,2,FALSE)</f>
        <v>1.6319036584269762</v>
      </c>
      <c r="J107">
        <f>($B$1+Table4[[#This Row],[Home Differential]])-Table4[[#This Row],[Away Differential]]</f>
        <v>-1.9851261985249962</v>
      </c>
      <c r="K107" t="str">
        <f>IF(Table4[[#This Row],[HomeIce Differential]]&gt;0,Table4[[#This Row],[Home]],Table4[[#This Row],[Visitor]])</f>
        <v>Colorado Avalanche</v>
      </c>
      <c r="L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0.72341289378127493</v>
      </c>
      <c r="M107" t="str">
        <f>IF(OR((NHL2025_26Results[[#This Row],[Winning Team]]="")),"-",IF(Table4[[#This Row],[Predicted Winner]]=NHL2025_26Results[[#This Row],[Winning Team]],"YES","NO"))</f>
        <v>NO</v>
      </c>
      <c r="N107">
        <f>IF(Table4[[#This Row],[Adjusted Correct]]="-", "",IF(Table4[[#This Row],[Adjusted Correct]]="YES",(Table4[[#This Row],[Strength of Win]]-1)^2,(Table4[[#This Row],[Strength of Win]]-0)^2))</f>
        <v>0.52332621488899822</v>
      </c>
      <c r="O107">
        <v>-0.97626211840201049</v>
      </c>
      <c r="P107" s="11"/>
      <c r="Q107" t="s">
        <v>12</v>
      </c>
      <c r="R107" t="s">
        <v>249</v>
      </c>
    </row>
    <row r="108" spans="4:18" x14ac:dyDescent="0.2">
      <c r="D108" s="1">
        <v>45951</v>
      </c>
      <c r="E108" s="2">
        <v>0.79166666666666663</v>
      </c>
      <c r="F108" t="s">
        <v>22</v>
      </c>
      <c r="G108">
        <f>VLOOKUP(Table4[[#This Row],[Home]],'NHL Model'!$A$6:$B$38,2,FALSE)</f>
        <v>0.4407072328537569</v>
      </c>
      <c r="H108" t="s">
        <v>32</v>
      </c>
      <c r="I108">
        <f>VLOOKUP(Table4[[#This Row],[Visitor]],'NHL Model'!$A$6:$B$38,2,FALSE)</f>
        <v>-0.64937723527808999</v>
      </c>
      <c r="J108">
        <f>($B$1+Table4[[#This Row],[Home Differential]])-Table4[[#This Row],[Away Differential]]</f>
        <v>1.1399852170550093</v>
      </c>
      <c r="K108" t="str">
        <f>IF(Table4[[#This Row],[HomeIce Differential]]&gt;0,Table4[[#This Row],[Home]],Table4[[#This Row],[Visitor]])</f>
        <v>Washington Capitals</v>
      </c>
      <c r="L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0.69914783492121801</v>
      </c>
      <c r="M108" t="str">
        <f>IF(OR((NHL2025_26Results[[#This Row],[Winning Team]]="")),"-",IF(Table4[[#This Row],[Predicted Winner]]=NHL2025_26Results[[#This Row],[Winning Team]],"YES","NO"))</f>
        <v>YES</v>
      </c>
      <c r="N108">
        <f>IF(Table4[[#This Row],[Adjusted Correct]]="-", "",IF(Table4[[#This Row],[Adjusted Correct]]="YES",(Table4[[#This Row],[Strength of Win]]-1)^2,(Table4[[#This Row],[Strength of Win]]-0)^2))</f>
        <v>9.0512025232590693E-2</v>
      </c>
      <c r="O108">
        <v>1.3141203348853641</v>
      </c>
      <c r="P108" s="11"/>
      <c r="Q108" t="s">
        <v>22</v>
      </c>
      <c r="R108" t="s">
        <v>248</v>
      </c>
    </row>
    <row r="109" spans="4:18" x14ac:dyDescent="0.2">
      <c r="D109" s="1">
        <v>45952</v>
      </c>
      <c r="E109" s="2">
        <v>0.8125</v>
      </c>
      <c r="F109" t="s">
        <v>23</v>
      </c>
      <c r="G109">
        <f>VLOOKUP(Table4[[#This Row],[Home]],'NHL Model'!$A$6:$B$38,2,FALSE)</f>
        <v>-0.4761104357405897</v>
      </c>
      <c r="H109" t="s">
        <v>26</v>
      </c>
      <c r="I109">
        <f>VLOOKUP(Table4[[#This Row],[Visitor]],'NHL Model'!$A$6:$B$38,2,FALSE)</f>
        <v>-0.87533956503230947</v>
      </c>
      <c r="J109">
        <f>($B$1+Table4[[#This Row],[Home Differential]])-Table4[[#This Row],[Away Differential]]</f>
        <v>0.44912987821488226</v>
      </c>
      <c r="K109" t="str">
        <f>IF(Table4[[#This Row],[HomeIce Differential]]&gt;0,Table4[[#This Row],[Home]],Table4[[#This Row],[Visitor]])</f>
        <v>Buffalo Sabres</v>
      </c>
      <c r="L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0.60256479135424768</v>
      </c>
      <c r="M109" t="str">
        <f>IF(OR((NHL2025_26Results[[#This Row],[Winning Team]]="")),"-",IF(Table4[[#This Row],[Predicted Winner]]=NHL2025_26Results[[#This Row],[Winning Team]],"YES","NO"))</f>
        <v>YES</v>
      </c>
      <c r="N109">
        <f>IF(Table4[[#This Row],[Adjusted Correct]]="-", "",IF(Table4[[#This Row],[Adjusted Correct]]="YES",(Table4[[#This Row],[Strength of Win]]-1)^2,(Table4[[#This Row],[Strength of Win]]-0)^2))</f>
        <v>0.15795474507129267</v>
      </c>
      <c r="O109">
        <v>-0.41892772401668504</v>
      </c>
      <c r="P109" s="11"/>
      <c r="Q109" t="s">
        <v>26</v>
      </c>
      <c r="R109" t="s">
        <v>249</v>
      </c>
    </row>
    <row r="110" spans="4:18" x14ac:dyDescent="0.2">
      <c r="D110" s="1">
        <v>45952</v>
      </c>
      <c r="E110" s="2">
        <v>0.85416666666666663</v>
      </c>
      <c r="F110" t="s">
        <v>16</v>
      </c>
      <c r="G110">
        <f>VLOOKUP(Table4[[#This Row],[Home]],'NHL Model'!$A$6:$B$38,2,FALSE)</f>
        <v>-1.0657812790446208</v>
      </c>
      <c r="H110" t="s">
        <v>18</v>
      </c>
      <c r="I110">
        <f>VLOOKUP(Table4[[#This Row],[Visitor]],'NHL Model'!$A$6:$B$38,2,FALSE)</f>
        <v>-0.59288962827382519</v>
      </c>
      <c r="J110">
        <f>($B$1+Table4[[#This Row],[Home Differential]])-Table4[[#This Row],[Away Differential]]</f>
        <v>-0.42299090184763322</v>
      </c>
      <c r="K110" t="str">
        <f>IF(Table4[[#This Row],[HomeIce Differential]]&gt;0,Table4[[#This Row],[Home]],Table4[[#This Row],[Visitor]])</f>
        <v>Montreal Canadiens</v>
      </c>
      <c r="L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0.56867826451875392</v>
      </c>
      <c r="M110" t="str">
        <f>IF(OR((NHL2025_26Results[[#This Row],[Winning Team]]="")),"-",IF(Table4[[#This Row],[Predicted Winner]]=NHL2025_26Results[[#This Row],[Winning Team]],"YES","NO"))</f>
        <v>YES</v>
      </c>
      <c r="N110">
        <f>IF(Table4[[#This Row],[Adjusted Correct]]="-", "",IF(Table4[[#This Row],[Adjusted Correct]]="YES",(Table4[[#This Row],[Strength of Win]]-1)^2,(Table4[[#This Row],[Strength of Win]]-0)^2))</f>
        <v>0.186038439498554</v>
      </c>
      <c r="O110">
        <v>-2.2196818976878778</v>
      </c>
      <c r="P110" s="11"/>
      <c r="Q110" t="s">
        <v>18</v>
      </c>
      <c r="R110" t="s">
        <v>248</v>
      </c>
    </row>
    <row r="111" spans="4:18" x14ac:dyDescent="0.2">
      <c r="D111" s="1">
        <v>45952</v>
      </c>
      <c r="E111" s="2">
        <v>0.79166666666666663</v>
      </c>
      <c r="F111" t="s">
        <v>24</v>
      </c>
      <c r="G111">
        <f>VLOOKUP(Table4[[#This Row],[Home]],'NHL Model'!$A$6:$B$38,2,FALSE)</f>
        <v>1.5302507646042616E-3</v>
      </c>
      <c r="H111" t="s">
        <v>34</v>
      </c>
      <c r="I111">
        <f>VLOOKUP(Table4[[#This Row],[Visitor]],'NHL Model'!$A$6:$B$38,2,FALSE)</f>
        <v>-5.5124787449478845E-2</v>
      </c>
      <c r="J111">
        <f>($B$1+Table4[[#This Row],[Home Differential]])-Table4[[#This Row],[Away Differential]]</f>
        <v>0.10655578713724556</v>
      </c>
      <c r="K111" t="str">
        <f>IF(Table4[[#This Row],[HomeIce Differential]]&gt;0,Table4[[#This Row],[Home]],Table4[[#This Row],[Visitor]])</f>
        <v>New Jersey Devils</v>
      </c>
      <c r="L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0.59138932922050258</v>
      </c>
      <c r="M111" t="str">
        <f>IF(OR((NHL2025_26Results[[#This Row],[Winning Team]]="")),"-",IF(Table4[[#This Row],[Predicted Winner]]=NHL2025_26Results[[#This Row],[Winning Team]],"YES","NO"))</f>
        <v>YES</v>
      </c>
      <c r="N111">
        <f>IF(Table4[[#This Row],[Adjusted Correct]]="-", "",IF(Table4[[#This Row],[Adjusted Correct]]="YES",(Table4[[#This Row],[Strength of Win]]-1)^2,(Table4[[#This Row],[Strength of Win]]-0)^2))</f>
        <v>0.16696268027487082</v>
      </c>
      <c r="O111">
        <v>1.9998104208686476</v>
      </c>
      <c r="P111" s="11"/>
      <c r="Q111" t="s">
        <v>24</v>
      </c>
      <c r="R111" t="s">
        <v>248</v>
      </c>
    </row>
    <row r="112" spans="4:18" x14ac:dyDescent="0.2">
      <c r="D112" s="1">
        <v>45953</v>
      </c>
      <c r="E112" s="2">
        <v>0.79166666666666663</v>
      </c>
      <c r="F112" t="s">
        <v>21</v>
      </c>
      <c r="G112">
        <f>VLOOKUP(Table4[[#This Row],[Home]],'NHL Model'!$A$6:$B$38,2,FALSE)</f>
        <v>-0.21976976044773161</v>
      </c>
      <c r="H112" t="s">
        <v>31</v>
      </c>
      <c r="I112">
        <f>VLOOKUP(Table4[[#This Row],[Visitor]],'NHL Model'!$A$6:$B$38,2,FALSE)</f>
        <v>0.17870302183926629</v>
      </c>
      <c r="J112">
        <f>($B$1+Table4[[#This Row],[Home Differential]])-Table4[[#This Row],[Away Differential]]</f>
        <v>-0.34857203336383547</v>
      </c>
      <c r="K112" t="str">
        <f>IF(Table4[[#This Row],[HomeIce Differential]]&gt;0,Table4[[#This Row],[Home]],Table4[[#This Row],[Visitor]])</f>
        <v>Anaheim Ducks</v>
      </c>
      <c r="L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0.47820092945126846</v>
      </c>
      <c r="M112" t="str">
        <f>IF(OR((NHL2025_26Results[[#This Row],[Winning Team]]="")),"-",IF(Table4[[#This Row],[Predicted Winner]]=NHL2025_26Results[[#This Row],[Winning Team]],"YES","NO"))</f>
        <v>YES</v>
      </c>
      <c r="N112">
        <f>IF(Table4[[#This Row],[Adjusted Correct]]="-", "",IF(Table4[[#This Row],[Adjusted Correct]]="YES",(Table4[[#This Row],[Strength of Win]]-1)^2,(Table4[[#This Row],[Strength of Win]]-0)^2))</f>
        <v>0.27227427002552013</v>
      </c>
      <c r="O112">
        <v>-0.39773897735093061</v>
      </c>
      <c r="P112" s="11"/>
      <c r="Q112" t="s">
        <v>31</v>
      </c>
      <c r="R112" t="s">
        <v>248</v>
      </c>
    </row>
    <row r="113" spans="4:18" x14ac:dyDescent="0.2">
      <c r="D113" s="1">
        <v>45953</v>
      </c>
      <c r="E113" s="2">
        <v>0.875</v>
      </c>
      <c r="F113" t="s">
        <v>12</v>
      </c>
      <c r="G113">
        <f>VLOOKUP(Table4[[#This Row],[Home]],'NHL Model'!$A$6:$B$38,2,FALSE)</f>
        <v>1.6319036584269762</v>
      </c>
      <c r="H113" t="s">
        <v>25</v>
      </c>
      <c r="I113">
        <f>VLOOKUP(Table4[[#This Row],[Visitor]],'NHL Model'!$A$6:$B$38,2,FALSE)</f>
        <v>0.42567513732855267</v>
      </c>
      <c r="J113">
        <f>($B$1+Table4[[#This Row],[Home Differential]])-Table4[[#This Row],[Away Differential]]</f>
        <v>1.256129270021586</v>
      </c>
      <c r="K113" t="str">
        <f>IF(Table4[[#This Row],[HomeIce Differential]]&gt;0,Table4[[#This Row],[Home]],Table4[[#This Row],[Visitor]])</f>
        <v>Colorado Avalanche</v>
      </c>
      <c r="L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0.7218928703579427</v>
      </c>
      <c r="M113" t="str">
        <f>IF(OR((NHL2025_26Results[[#This Row],[Winning Team]]="")),"-",IF(Table4[[#This Row],[Predicted Winner]]=NHL2025_26Results[[#This Row],[Winning Team]],"YES","NO"))</f>
        <v>NO</v>
      </c>
      <c r="N113">
        <f>IF(Table4[[#This Row],[Adjusted Correct]]="-", "",IF(Table4[[#This Row],[Adjusted Correct]]="YES",(Table4[[#This Row],[Strength of Win]]-1)^2,(Table4[[#This Row],[Strength of Win]]-0)^2))</f>
        <v>0.52112931627362946</v>
      </c>
      <c r="O113">
        <v>-0.34965912817062916</v>
      </c>
      <c r="P113" s="11"/>
      <c r="Q113" t="s">
        <v>25</v>
      </c>
      <c r="R113" t="s">
        <v>248</v>
      </c>
    </row>
    <row r="114" spans="4:18" x14ac:dyDescent="0.2">
      <c r="D114" s="1">
        <v>45953</v>
      </c>
      <c r="E114" s="2">
        <v>0.875</v>
      </c>
      <c r="F114" t="s">
        <v>39</v>
      </c>
      <c r="G114">
        <f>VLOOKUP(Table4[[#This Row],[Home]],'NHL Model'!$A$6:$B$38,2,FALSE)</f>
        <v>0.41344250185511977</v>
      </c>
      <c r="H114" t="s">
        <v>13</v>
      </c>
      <c r="I114">
        <f>VLOOKUP(Table4[[#This Row],[Visitor]],'NHL Model'!$A$6:$B$38,2,FALSE)</f>
        <v>-0.33828359867721369</v>
      </c>
      <c r="J114">
        <f>($B$1+Table4[[#This Row],[Home Differential]])-Table4[[#This Row],[Away Differential]]</f>
        <v>0.80162684945549589</v>
      </c>
      <c r="K114" t="str">
        <f>IF(Table4[[#This Row],[HomeIce Differential]]&gt;0,Table4[[#This Row],[Home]],Table4[[#This Row],[Visitor]])</f>
        <v>Dallas Stars</v>
      </c>
      <c r="L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0.59993087976587611</v>
      </c>
      <c r="M114" t="str">
        <f>IF(OR((NHL2025_26Results[[#This Row],[Winning Team]]="")),"-",IF(Table4[[#This Row],[Predicted Winner]]=NHL2025_26Results[[#This Row],[Winning Team]],"YES","NO"))</f>
        <v>NO</v>
      </c>
      <c r="N114">
        <f>IF(Table4[[#This Row],[Adjusted Correct]]="-", "",IF(Table4[[#This Row],[Adjusted Correct]]="YES",(Table4[[#This Row],[Strength of Win]]-1)^2,(Table4[[#This Row],[Strength of Win]]-0)^2))</f>
        <v>0.35991706049665811</v>
      </c>
      <c r="O114">
        <v>-0.32576645692512685</v>
      </c>
      <c r="P114" s="11"/>
      <c r="Q114" t="s">
        <v>13</v>
      </c>
      <c r="R114" t="s">
        <v>248</v>
      </c>
    </row>
    <row r="115" spans="4:18" x14ac:dyDescent="0.2">
      <c r="D115" s="1">
        <v>45953</v>
      </c>
      <c r="E115" s="2">
        <v>0.875</v>
      </c>
      <c r="F115" t="s">
        <v>17</v>
      </c>
      <c r="G115">
        <f>VLOOKUP(Table4[[#This Row],[Home]],'NHL Model'!$A$6:$B$38,2,FALSE)</f>
        <v>-0.81774666423752174</v>
      </c>
      <c r="H115" t="s">
        <v>18</v>
      </c>
      <c r="I115">
        <f>VLOOKUP(Table4[[#This Row],[Visitor]],'NHL Model'!$A$6:$B$38,2,FALSE)</f>
        <v>-0.59288962827382519</v>
      </c>
      <c r="J115">
        <f>($B$1+Table4[[#This Row],[Home Differential]])-Table4[[#This Row],[Away Differential]]</f>
        <v>-0.17495628704053412</v>
      </c>
      <c r="K115" t="str">
        <f>IF(Table4[[#This Row],[HomeIce Differential]]&gt;0,Table4[[#This Row],[Home]],Table4[[#This Row],[Visitor]])</f>
        <v>Montreal Canadiens</v>
      </c>
      <c r="L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0.53262385063370665</v>
      </c>
      <c r="M115" t="str">
        <f>IF(OR((NHL2025_26Results[[#This Row],[Winning Team]]="")),"-",IF(Table4[[#This Row],[Predicted Winner]]=NHL2025_26Results[[#This Row],[Winning Team]],"YES","NO"))</f>
        <v>NO</v>
      </c>
      <c r="N115">
        <f>IF(Table4[[#This Row],[Adjusted Correct]]="-", "",IF(Table4[[#This Row],[Adjusted Correct]]="YES",(Table4[[#This Row],[Strength of Win]]-1)^2,(Table4[[#This Row],[Strength of Win]]-0)^2))</f>
        <v>0.28368816626387705</v>
      </c>
      <c r="O115">
        <v>-0.50670452281282297</v>
      </c>
      <c r="P115" s="11"/>
      <c r="Q115" t="s">
        <v>18</v>
      </c>
      <c r="R115" t="s">
        <v>249</v>
      </c>
    </row>
    <row r="116" spans="4:18" x14ac:dyDescent="0.2">
      <c r="D116" s="1">
        <v>45953</v>
      </c>
      <c r="E116" s="2">
        <v>0.79166666666666663</v>
      </c>
      <c r="F116" t="s">
        <v>11</v>
      </c>
      <c r="G116">
        <f>VLOOKUP(Table4[[#This Row],[Home]],'NHL Model'!$A$6:$B$38,2,FALSE)</f>
        <v>-0.39711829106410657</v>
      </c>
      <c r="H116" t="s">
        <v>14</v>
      </c>
      <c r="I116">
        <f>VLOOKUP(Table4[[#This Row],[Visitor]],'NHL Model'!$A$6:$B$38,2,FALSE)</f>
        <v>-0.14226422156549004</v>
      </c>
      <c r="J116">
        <f>($B$1+Table4[[#This Row],[Home Differential]])-Table4[[#This Row],[Away Differential]]</f>
        <v>-0.20495332057545404</v>
      </c>
      <c r="K116" t="str">
        <f>IF(Table4[[#This Row],[HomeIce Differential]]&gt;0,Table4[[#This Row],[Home]],Table4[[#This Row],[Visitor]])</f>
        <v>Pittsburgh Penguins</v>
      </c>
      <c r="L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0.50907983992379147</v>
      </c>
      <c r="M116" t="str">
        <f>IF(OR((NHL2025_26Results[[#This Row],[Winning Team]]="")),"-",IF(Table4[[#This Row],[Predicted Winner]]=NHL2025_26Results[[#This Row],[Winning Team]],"YES","NO"))</f>
        <v>YES</v>
      </c>
      <c r="N116">
        <f>IF(Table4[[#This Row],[Adjusted Correct]]="-", "",IF(Table4[[#This Row],[Adjusted Correct]]="YES",(Table4[[#This Row],[Strength of Win]]-1)^2,(Table4[[#This Row],[Strength of Win]]-0)^2))</f>
        <v>0.24100260356925021</v>
      </c>
      <c r="O116">
        <v>-1.4674283701132262</v>
      </c>
      <c r="P116" s="11"/>
      <c r="Q116" t="s">
        <v>14</v>
      </c>
      <c r="R116" t="s">
        <v>248</v>
      </c>
    </row>
    <row r="117" spans="4:18" x14ac:dyDescent="0.2">
      <c r="D117" s="1">
        <v>45953</v>
      </c>
      <c r="E117" s="2">
        <v>0.83333333333333337</v>
      </c>
      <c r="F117" t="s">
        <v>29</v>
      </c>
      <c r="G117">
        <f>VLOOKUP(Table4[[#This Row],[Home]],'NHL Model'!$A$6:$B$38,2,FALSE)</f>
        <v>-1.384917283810061</v>
      </c>
      <c r="H117" t="s">
        <v>38</v>
      </c>
      <c r="I117">
        <f>VLOOKUP(Table4[[#This Row],[Visitor]],'NHL Model'!$A$6:$B$38,2,FALSE)</f>
        <v>-0.9476777551108041</v>
      </c>
      <c r="J117">
        <f>($B$1+Table4[[#This Row],[Home Differential]])-Table4[[#This Row],[Away Differential]]</f>
        <v>-0.38733877977609443</v>
      </c>
      <c r="K117" t="str">
        <f>IF(Table4[[#This Row],[HomeIce Differential]]&gt;0,Table4[[#This Row],[Home]],Table4[[#This Row],[Visitor]])</f>
        <v>Vancouver Canucks</v>
      </c>
      <c r="L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0.50880367819163874</v>
      </c>
      <c r="M117" t="str">
        <f>IF(OR((NHL2025_26Results[[#This Row],[Winning Team]]="")),"-",IF(Table4[[#This Row],[Predicted Winner]]=NHL2025_26Results[[#This Row],[Winning Team]],"YES","NO"))</f>
        <v>NO</v>
      </c>
      <c r="N117">
        <f>IF(Table4[[#This Row],[Adjusted Correct]]="-", "",IF(Table4[[#This Row],[Adjusted Correct]]="YES",(Table4[[#This Row],[Strength of Win]]-1)^2,(Table4[[#This Row],[Strength of Win]]-0)^2))</f>
        <v>0.25888118294134066</v>
      </c>
      <c r="O117">
        <v>-7.8624778851855703E-2</v>
      </c>
      <c r="P117" s="11"/>
      <c r="Q117" t="s">
        <v>38</v>
      </c>
      <c r="R117" t="s">
        <v>249</v>
      </c>
    </row>
    <row r="118" spans="4:18" x14ac:dyDescent="0.2">
      <c r="D118" s="1">
        <v>45953</v>
      </c>
      <c r="E118" s="2">
        <v>0.79166666666666663</v>
      </c>
      <c r="F118" t="s">
        <v>30</v>
      </c>
      <c r="G118">
        <f>VLOOKUP(Table4[[#This Row],[Home]],'NHL Model'!$A$6:$B$38,2,FALSE)</f>
        <v>-0.24093199744133265</v>
      </c>
      <c r="H118" t="s">
        <v>26</v>
      </c>
      <c r="I118">
        <f>VLOOKUP(Table4[[#This Row],[Visitor]],'NHL Model'!$A$6:$B$38,2,FALSE)</f>
        <v>-0.87533956503230947</v>
      </c>
      <c r="J118">
        <f>($B$1+Table4[[#This Row],[Home Differential]])-Table4[[#This Row],[Away Differential]]</f>
        <v>0.68430831651413926</v>
      </c>
      <c r="K118" t="str">
        <f>IF(Table4[[#This Row],[HomeIce Differential]]&gt;0,Table4[[#This Row],[Home]],Table4[[#This Row],[Visitor]])</f>
        <v>New York Islanders</v>
      </c>
      <c r="L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0.61990309562295465</v>
      </c>
      <c r="M118" t="str">
        <f>IF(OR((NHL2025_26Results[[#This Row],[Winning Team]]="")),"-",IF(Table4[[#This Row],[Predicted Winner]]=NHL2025_26Results[[#This Row],[Winning Team]],"YES","NO"))</f>
        <v>YES</v>
      </c>
      <c r="N118">
        <f>IF(Table4[[#This Row],[Adjusted Correct]]="-", "",IF(Table4[[#This Row],[Adjusted Correct]]="YES",(Table4[[#This Row],[Strength of Win]]-1)^2,(Table4[[#This Row],[Strength of Win]]-0)^2))</f>
        <v>0.14447365671701276</v>
      </c>
      <c r="O118">
        <v>0.73239461200505884</v>
      </c>
      <c r="P118" s="11"/>
      <c r="Q118" t="s">
        <v>30</v>
      </c>
      <c r="R118" t="s">
        <v>248</v>
      </c>
    </row>
    <row r="119" spans="4:18" x14ac:dyDescent="0.2">
      <c r="D119" s="1">
        <v>45953</v>
      </c>
      <c r="E119" s="2">
        <v>0.79166666666666663</v>
      </c>
      <c r="F119" t="s">
        <v>15</v>
      </c>
      <c r="G119">
        <f>VLOOKUP(Table4[[#This Row],[Home]],'NHL Model'!$A$6:$B$38,2,FALSE)</f>
        <v>-0.29003398448394263</v>
      </c>
      <c r="H119" t="s">
        <v>33</v>
      </c>
      <c r="I119">
        <f>VLOOKUP(Table4[[#This Row],[Visitor]],'NHL Model'!$A$6:$B$38,2,FALSE)</f>
        <v>-0.45133099238224339</v>
      </c>
      <c r="J119">
        <f>($B$1+Table4[[#This Row],[Home Differential]])-Table4[[#This Row],[Away Differential]]</f>
        <v>0.21119775682146322</v>
      </c>
      <c r="K119" t="str">
        <f>IF(Table4[[#This Row],[HomeIce Differential]]&gt;0,Table4[[#This Row],[Home]],Table4[[#This Row],[Visitor]])</f>
        <v>New York Rangers</v>
      </c>
      <c r="L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0.56466045516532937</v>
      </c>
      <c r="M119" t="str">
        <f>IF(OR((NHL2025_26Results[[#This Row],[Winning Team]]="")),"-",IF(Table4[[#This Row],[Predicted Winner]]=NHL2025_26Results[[#This Row],[Winning Team]],"YES","NO"))</f>
        <v>NO</v>
      </c>
      <c r="N119">
        <f>IF(Table4[[#This Row],[Adjusted Correct]]="-", "",IF(Table4[[#This Row],[Adjusted Correct]]="YES",(Table4[[#This Row],[Strength of Win]]-1)^2,(Table4[[#This Row],[Strength of Win]]-0)^2))</f>
        <v>0.31884142962751694</v>
      </c>
      <c r="O119">
        <v>1.1009319693558097</v>
      </c>
      <c r="P119" s="11"/>
      <c r="Q119" t="s">
        <v>15</v>
      </c>
      <c r="R119" t="s">
        <v>249</v>
      </c>
    </row>
    <row r="120" spans="4:18" x14ac:dyDescent="0.2">
      <c r="D120" s="1">
        <v>45953</v>
      </c>
      <c r="E120" s="2">
        <v>0.79166666666666663</v>
      </c>
      <c r="F120" t="s">
        <v>36</v>
      </c>
      <c r="G120">
        <f>VLOOKUP(Table4[[#This Row],[Home]],'NHL Model'!$A$6:$B$38,2,FALSE)</f>
        <v>-0.53137605086483863</v>
      </c>
      <c r="H120" t="s">
        <v>27</v>
      </c>
      <c r="I120">
        <f>VLOOKUP(Table4[[#This Row],[Visitor]],'NHL Model'!$A$6:$B$38,2,FALSE)</f>
        <v>-0.38023958350631604</v>
      </c>
      <c r="J120">
        <f>($B$1+Table4[[#This Row],[Home Differential]])-Table4[[#This Row],[Away Differential]]</f>
        <v>-0.10123571843536011</v>
      </c>
      <c r="K120" t="str">
        <f>IF(Table4[[#This Row],[HomeIce Differential]]&gt;0,Table4[[#This Row],[Home]],Table4[[#This Row],[Visitor]])</f>
        <v>Philadelphia Flyers</v>
      </c>
      <c r="L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0.51182076425989476</v>
      </c>
      <c r="M120" t="str">
        <f>IF(OR((NHL2025_26Results[[#This Row],[Winning Team]]="")),"-",IF(Table4[[#This Row],[Predicted Winner]]=NHL2025_26Results[[#This Row],[Winning Team]],"YES","NO"))</f>
        <v>NO</v>
      </c>
      <c r="N120">
        <f>IF(Table4[[#This Row],[Adjusted Correct]]="-", "",IF(Table4[[#This Row],[Adjusted Correct]]="YES",(Table4[[#This Row],[Strength of Win]]-1)^2,(Table4[[#This Row],[Strength of Win]]-0)^2))</f>
        <v>0.26196049472758276</v>
      </c>
      <c r="O120">
        <v>-1.4864009253791441</v>
      </c>
      <c r="P120" s="11"/>
      <c r="Q120" t="s">
        <v>27</v>
      </c>
      <c r="R120" t="s">
        <v>249</v>
      </c>
    </row>
    <row r="121" spans="4:18" x14ac:dyDescent="0.2">
      <c r="D121" s="1">
        <v>45953</v>
      </c>
      <c r="E121" s="2">
        <v>0.83333333333333337</v>
      </c>
      <c r="F121" t="s">
        <v>35</v>
      </c>
      <c r="G121">
        <f>VLOOKUP(Table4[[#This Row],[Home]],'NHL Model'!$A$6:$B$38,2,FALSE)</f>
        <v>-1.3944783719477225</v>
      </c>
      <c r="H121" t="s">
        <v>55</v>
      </c>
      <c r="I121">
        <f>VLOOKUP(Table4[[#This Row],[Visitor]],'NHL Model'!$A$6:$B$38,2,FALSE)</f>
        <v>-0.4031232890211825</v>
      </c>
      <c r="J121">
        <f>($B$1+Table4[[#This Row],[Home Differential]])-Table4[[#This Row],[Away Differential]]</f>
        <v>-0.94145433400337764</v>
      </c>
      <c r="K121" t="str">
        <f>IF(Table4[[#This Row],[HomeIce Differential]]&gt;0,Table4[[#This Row],[Home]],Table4[[#This Row],[Visitor]])</f>
        <v>Utah Mammoth</v>
      </c>
      <c r="L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0.5699286883691741</v>
      </c>
      <c r="M121" t="str">
        <f>IF(OR((NHL2025_26Results[[#This Row],[Winning Team]]="")),"-",IF(Table4[[#This Row],[Predicted Winner]]=NHL2025_26Results[[#This Row],[Winning Team]],"YES","NO"))</f>
        <v>YES</v>
      </c>
      <c r="N121">
        <f>IF(Table4[[#This Row],[Adjusted Correct]]="-", "",IF(Table4[[#This Row],[Adjusted Correct]]="YES",(Table4[[#This Row],[Strength of Win]]-1)^2,(Table4[[#This Row],[Strength of Win]]-0)^2))</f>
        <v>0.18496133308785898</v>
      </c>
      <c r="O121">
        <v>-2.1149466864988273</v>
      </c>
      <c r="P121" s="11"/>
      <c r="Q121" t="s">
        <v>55</v>
      </c>
      <c r="R121" t="s">
        <v>248</v>
      </c>
    </row>
    <row r="122" spans="4:18" x14ac:dyDescent="0.2">
      <c r="D122" s="1">
        <v>45953</v>
      </c>
      <c r="E122" s="2">
        <v>0.78125</v>
      </c>
      <c r="F122" t="s">
        <v>37</v>
      </c>
      <c r="G122">
        <f>VLOOKUP(Table4[[#This Row],[Home]],'NHL Model'!$A$6:$B$38,2,FALSE)</f>
        <v>0.51050494674660429</v>
      </c>
      <c r="H122" t="s">
        <v>10</v>
      </c>
      <c r="I122">
        <f>VLOOKUP(Table4[[#This Row],[Visitor]],'NHL Model'!$A$6:$B$38,2,FALSE)</f>
        <v>-0.17619625518431364</v>
      </c>
      <c r="J122">
        <f>($B$1+Table4[[#This Row],[Home Differential]])-Table4[[#This Row],[Away Differential]]</f>
        <v>0.73660195085408042</v>
      </c>
      <c r="K122" t="str">
        <f>IF(Table4[[#This Row],[HomeIce Differential]]&gt;0,Table4[[#This Row],[Home]],Table4[[#This Row],[Visitor]])</f>
        <v>Tampa Bay Lightning</v>
      </c>
      <c r="L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0.65825521503939921</v>
      </c>
      <c r="M122" t="str">
        <f>IF(OR((NHL2025_26Results[[#This Row],[Winning Team]]="")),"-",IF(Table4[[#This Row],[Predicted Winner]]=NHL2025_26Results[[#This Row],[Winning Team]],"YES","NO"))</f>
        <v>NO</v>
      </c>
      <c r="N122">
        <f>IF(Table4[[#This Row],[Adjusted Correct]]="-", "",IF(Table4[[#This Row],[Adjusted Correct]]="YES",(Table4[[#This Row],[Strength of Win]]-1)^2,(Table4[[#This Row],[Strength of Win]]-0)^2))</f>
        <v>0.4332999281265657</v>
      </c>
      <c r="O122">
        <v>-0.95850189586624734</v>
      </c>
      <c r="P122" s="11"/>
      <c r="Q122" t="s">
        <v>10</v>
      </c>
      <c r="R122" t="s">
        <v>248</v>
      </c>
    </row>
    <row r="123" spans="4:18" x14ac:dyDescent="0.2">
      <c r="D123" s="1">
        <v>45953</v>
      </c>
      <c r="E123" s="2">
        <v>0.83333333333333337</v>
      </c>
      <c r="F123" t="s">
        <v>40</v>
      </c>
      <c r="G123">
        <f>VLOOKUP(Table4[[#This Row],[Home]],'NHL Model'!$A$6:$B$38,2,FALSE)</f>
        <v>-0.31324182378279158</v>
      </c>
      <c r="H123" t="s">
        <v>32</v>
      </c>
      <c r="I123">
        <f>VLOOKUP(Table4[[#This Row],[Visitor]],'NHL Model'!$A$6:$B$38,2,FALSE)</f>
        <v>-0.64937723527808999</v>
      </c>
      <c r="J123">
        <f>($B$1+Table4[[#This Row],[Home Differential]])-Table4[[#This Row],[Away Differential]]</f>
        <v>0.38603616041846089</v>
      </c>
      <c r="K123" t="str">
        <f>IF(Table4[[#This Row],[HomeIce Differential]]&gt;0,Table4[[#This Row],[Home]],Table4[[#This Row],[Visitor]])</f>
        <v>Winnipeg Jets</v>
      </c>
      <c r="L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0.58757089842028809</v>
      </c>
      <c r="M123" t="str">
        <f>IF(OR((NHL2025_26Results[[#This Row],[Winning Team]]="")),"-",IF(Table4[[#This Row],[Predicted Winner]]=NHL2025_26Results[[#This Row],[Winning Team]],"YES","NO"))</f>
        <v>NO</v>
      </c>
      <c r="N123">
        <f>IF(Table4[[#This Row],[Adjusted Correct]]="-", "",IF(Table4[[#This Row],[Adjusted Correct]]="YES",(Table4[[#This Row],[Strength of Win]]-1)^2,(Table4[[#This Row],[Strength of Win]]-0)^2))</f>
        <v>0.34523956067042449</v>
      </c>
      <c r="O123">
        <v>0.56071005316440559</v>
      </c>
      <c r="P123" s="11"/>
      <c r="Q123" t="s">
        <v>40</v>
      </c>
      <c r="R123" t="s">
        <v>249</v>
      </c>
    </row>
    <row r="124" spans="4:18" x14ac:dyDescent="0.2">
      <c r="D124" s="1">
        <v>45954</v>
      </c>
      <c r="E124" s="2">
        <v>0.8125</v>
      </c>
      <c r="F124" t="s">
        <v>23</v>
      </c>
      <c r="G124">
        <f>VLOOKUP(Table4[[#This Row],[Home]],'NHL Model'!$A$6:$B$38,2,FALSE)</f>
        <v>-0.4761104357405897</v>
      </c>
      <c r="H124" t="s">
        <v>19</v>
      </c>
      <c r="I124">
        <f>VLOOKUP(Table4[[#This Row],[Visitor]],'NHL Model'!$A$6:$B$38,2,FALSE)</f>
        <v>-0.63447859131898054</v>
      </c>
      <c r="J124">
        <f>($B$1+Table4[[#This Row],[Home Differential]])-Table4[[#This Row],[Away Differential]]</f>
        <v>0.20826890450155333</v>
      </c>
      <c r="K124" t="str">
        <f>IF(Table4[[#This Row],[HomeIce Differential]]&gt;0,Table4[[#This Row],[Home]],Table4[[#This Row],[Visitor]])</f>
        <v>Buffalo Sabres</v>
      </c>
      <c r="L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0.57444071781895778</v>
      </c>
      <c r="M124" t="str">
        <f>IF(OR((NHL2025_26Results[[#This Row],[Winning Team]]="")),"-",IF(Table4[[#This Row],[Predicted Winner]]=NHL2025_26Results[[#This Row],[Winning Team]],"YES","NO"))</f>
        <v>YES</v>
      </c>
      <c r="N124">
        <f>IF(Table4[[#This Row],[Adjusted Correct]]="-", "",IF(Table4[[#This Row],[Adjusted Correct]]="YES",(Table4[[#This Row],[Strength of Win]]-1)^2,(Table4[[#This Row],[Strength of Win]]-0)^2))</f>
        <v>0.18110070265044392</v>
      </c>
      <c r="O124">
        <v>0.41694922370540466</v>
      </c>
      <c r="P124" s="11"/>
      <c r="Q124" t="s">
        <v>23</v>
      </c>
      <c r="R124" t="s">
        <v>248</v>
      </c>
    </row>
    <row r="125" spans="4:18" x14ac:dyDescent="0.2">
      <c r="D125" s="1">
        <v>45954</v>
      </c>
      <c r="E125" s="2">
        <v>0.79166666666666663</v>
      </c>
      <c r="F125" t="s">
        <v>28</v>
      </c>
      <c r="G125">
        <f>VLOOKUP(Table4[[#This Row],[Home]],'NHL Model'!$A$6:$B$38,2,FALSE)</f>
        <v>-0.59498940435054026</v>
      </c>
      <c r="H125" t="s">
        <v>22</v>
      </c>
      <c r="I125">
        <f>VLOOKUP(Table4[[#This Row],[Visitor]],'NHL Model'!$A$6:$B$38,2,FALSE)</f>
        <v>0.4407072328537569</v>
      </c>
      <c r="J125">
        <f>($B$1+Table4[[#This Row],[Home Differential]])-Table4[[#This Row],[Away Differential]]</f>
        <v>-0.98579588828113474</v>
      </c>
      <c r="K125" t="str">
        <f>IF(Table4[[#This Row],[HomeIce Differential]]&gt;0,Table4[[#This Row],[Home]],Table4[[#This Row],[Visitor]])</f>
        <v>Washington Capitals</v>
      </c>
      <c r="L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0.61761878207980603</v>
      </c>
      <c r="M125" t="str">
        <f>IF(OR((NHL2025_26Results[[#This Row],[Winning Team]]="")),"-",IF(Table4[[#This Row],[Predicted Winner]]=NHL2025_26Results[[#This Row],[Winning Team]],"YES","NO"))</f>
        <v>YES</v>
      </c>
      <c r="N125">
        <f>IF(Table4[[#This Row],[Adjusted Correct]]="-", "",IF(Table4[[#This Row],[Adjusted Correct]]="YES",(Table4[[#This Row],[Strength of Win]]-1)^2,(Table4[[#This Row],[Strength of Win]]-0)^2))</f>
        <v>0.14621539581813087</v>
      </c>
      <c r="O125">
        <v>-1.2375491643754386</v>
      </c>
      <c r="P125" s="11"/>
      <c r="Q125" t="s">
        <v>22</v>
      </c>
      <c r="R125" t="s">
        <v>248</v>
      </c>
    </row>
    <row r="126" spans="4:18" x14ac:dyDescent="0.2">
      <c r="D126" s="1">
        <v>45954</v>
      </c>
      <c r="E126" s="2">
        <v>0.79166666666666663</v>
      </c>
      <c r="F126" t="s">
        <v>24</v>
      </c>
      <c r="G126">
        <f>VLOOKUP(Table4[[#This Row],[Home]],'NHL Model'!$A$6:$B$38,2,FALSE)</f>
        <v>1.5302507646042616E-3</v>
      </c>
      <c r="H126" t="s">
        <v>33</v>
      </c>
      <c r="I126">
        <f>VLOOKUP(Table4[[#This Row],[Visitor]],'NHL Model'!$A$6:$B$38,2,FALSE)</f>
        <v>-0.45133099238224339</v>
      </c>
      <c r="J126">
        <f>($B$1+Table4[[#This Row],[Home Differential]])-Table4[[#This Row],[Away Differential]]</f>
        <v>0.50276199207001016</v>
      </c>
      <c r="K126" t="str">
        <f>IF(Table4[[#This Row],[HomeIce Differential]]&gt;0,Table4[[#This Row],[Home]],Table4[[#This Row],[Visitor]])</f>
        <v>New Jersey Devils</v>
      </c>
      <c r="L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0.67853959355538906</v>
      </c>
      <c r="M126" t="str">
        <f>IF(OR((NHL2025_26Results[[#This Row],[Winning Team]]="")),"-",IF(Table4[[#This Row],[Predicted Winner]]=NHL2025_26Results[[#This Row],[Winning Team]],"YES","NO"))</f>
        <v>YES</v>
      </c>
      <c r="N126">
        <f>IF(Table4[[#This Row],[Adjusted Correct]]="-", "",IF(Table4[[#This Row],[Adjusted Correct]]="YES",(Table4[[#This Row],[Strength of Win]]-1)^2,(Table4[[#This Row],[Strength of Win]]-0)^2))</f>
        <v>0.10333679291153446</v>
      </c>
      <c r="O126">
        <v>2.2472008139585085</v>
      </c>
      <c r="P126" s="11"/>
      <c r="Q126" t="s">
        <v>24</v>
      </c>
      <c r="R126" t="s">
        <v>248</v>
      </c>
    </row>
    <row r="127" spans="4:18" x14ac:dyDescent="0.2">
      <c r="D127" s="1">
        <v>45954</v>
      </c>
      <c r="E127" s="2">
        <v>0.83333333333333337</v>
      </c>
      <c r="F127" t="s">
        <v>40</v>
      </c>
      <c r="G127">
        <f>VLOOKUP(Table4[[#This Row],[Home]],'NHL Model'!$A$6:$B$38,2,FALSE)</f>
        <v>-0.31324182378279158</v>
      </c>
      <c r="H127" t="s">
        <v>16</v>
      </c>
      <c r="I127">
        <f>VLOOKUP(Table4[[#This Row],[Visitor]],'NHL Model'!$A$6:$B$38,2,FALSE)</f>
        <v>-1.0657812790446208</v>
      </c>
      <c r="J127">
        <f>($B$1+Table4[[#This Row],[Home Differential]])-Table4[[#This Row],[Away Differential]]</f>
        <v>0.80244020418499173</v>
      </c>
      <c r="K127" t="str">
        <f>IF(Table4[[#This Row],[HomeIce Differential]]&gt;0,Table4[[#This Row],[Home]],Table4[[#This Row],[Visitor]])</f>
        <v>Winnipeg Jets</v>
      </c>
      <c r="L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0.63619221621509325</v>
      </c>
      <c r="M127" t="str">
        <f>IF(OR((NHL2025_26Results[[#This Row],[Winning Team]]="")),"-",IF(Table4[[#This Row],[Predicted Winner]]=NHL2025_26Results[[#This Row],[Winning Team]],"YES","NO"))</f>
        <v>YES</v>
      </c>
      <c r="N127">
        <f>IF(Table4[[#This Row],[Adjusted Correct]]="-", "",IF(Table4[[#This Row],[Adjusted Correct]]="YES",(Table4[[#This Row],[Strength of Win]]-1)^2,(Table4[[#This Row],[Strength of Win]]-0)^2))</f>
        <v>0.13235610354248545</v>
      </c>
      <c r="O127">
        <v>2.4626344898479542</v>
      </c>
      <c r="P127" s="11"/>
      <c r="Q127" t="s">
        <v>40</v>
      </c>
      <c r="R127" t="s">
        <v>248</v>
      </c>
    </row>
    <row r="128" spans="4:18" x14ac:dyDescent="0.2">
      <c r="D128" s="1">
        <v>45955</v>
      </c>
      <c r="E128" s="2">
        <v>0.625</v>
      </c>
      <c r="F128" t="s">
        <v>21</v>
      </c>
      <c r="G128">
        <f>VLOOKUP(Table4[[#This Row],[Home]],'NHL Model'!$A$6:$B$38,2,FALSE)</f>
        <v>-0.21976976044773161</v>
      </c>
      <c r="H128" t="s">
        <v>12</v>
      </c>
      <c r="I128">
        <f>VLOOKUP(Table4[[#This Row],[Visitor]],'NHL Model'!$A$6:$B$38,2,FALSE)</f>
        <v>1.6319036584269762</v>
      </c>
      <c r="J128">
        <f>($B$1+Table4[[#This Row],[Home Differential]])-Table4[[#This Row],[Away Differential]]</f>
        <v>-1.8017726699515453</v>
      </c>
      <c r="K128" t="str">
        <f>IF(Table4[[#This Row],[HomeIce Differential]]&gt;0,Table4[[#This Row],[Home]],Table4[[#This Row],[Visitor]])</f>
        <v>Colorado Avalanche</v>
      </c>
      <c r="L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0.69946652091585082</v>
      </c>
      <c r="M128" t="str">
        <f>IF(OR((NHL2025_26Results[[#This Row],[Winning Team]]="")),"-",IF(Table4[[#This Row],[Predicted Winner]]=NHL2025_26Results[[#This Row],[Winning Team]],"YES","NO"))</f>
        <v>NO</v>
      </c>
      <c r="N128">
        <f>IF(Table4[[#This Row],[Adjusted Correct]]="-", "",IF(Table4[[#This Row],[Adjusted Correct]]="YES",(Table4[[#This Row],[Strength of Win]]-1)^2,(Table4[[#This Row],[Strength of Win]]-0)^2))</f>
        <v>0.4892534138821244</v>
      </c>
      <c r="O128">
        <v>-1.0133330670111027</v>
      </c>
      <c r="P128" s="11"/>
      <c r="Q128" t="s">
        <v>12</v>
      </c>
      <c r="R128" t="s">
        <v>249</v>
      </c>
    </row>
    <row r="129" spans="4:18" x14ac:dyDescent="0.2">
      <c r="D129" s="1">
        <v>45955</v>
      </c>
      <c r="E129" s="2">
        <v>0.83333333333333337</v>
      </c>
      <c r="F129" t="s">
        <v>39</v>
      </c>
      <c r="G129">
        <f>VLOOKUP(Table4[[#This Row],[Home]],'NHL Model'!$A$6:$B$38,2,FALSE)</f>
        <v>0.41344250185511977</v>
      </c>
      <c r="H129" t="s">
        <v>25</v>
      </c>
      <c r="I129">
        <f>VLOOKUP(Table4[[#This Row],[Visitor]],'NHL Model'!$A$6:$B$38,2,FALSE)</f>
        <v>0.42567513732855267</v>
      </c>
      <c r="J129">
        <f>($B$1+Table4[[#This Row],[Home Differential]])-Table4[[#This Row],[Away Differential]]</f>
        <v>3.766811344972959E-2</v>
      </c>
      <c r="K129" t="str">
        <f>IF(Table4[[#This Row],[HomeIce Differential]]&gt;0,Table4[[#This Row],[Home]],Table4[[#This Row],[Visitor]])</f>
        <v>Dallas Stars</v>
      </c>
      <c r="L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0.50439830818693232</v>
      </c>
      <c r="M129" t="str">
        <f>IF(OR((NHL2025_26Results[[#This Row],[Winning Team]]="")),"-",IF(Table4[[#This Row],[Predicted Winner]]=NHL2025_26Results[[#This Row],[Winning Team]],"YES","NO"))</f>
        <v>YES</v>
      </c>
      <c r="N129">
        <f>IF(Table4[[#This Row],[Adjusted Correct]]="-", "",IF(Table4[[#This Row],[Adjusted Correct]]="YES",(Table4[[#This Row],[Strength of Win]]-1)^2,(Table4[[#This Row],[Strength of Win]]-0)^2))</f>
        <v>0.24562103692797491</v>
      </c>
      <c r="O129">
        <v>-1.7156103470627815</v>
      </c>
      <c r="P129" s="11"/>
      <c r="Q129" t="s">
        <v>25</v>
      </c>
      <c r="R129" t="s">
        <v>249</v>
      </c>
    </row>
    <row r="130" spans="4:18" x14ac:dyDescent="0.2">
      <c r="D130" s="1">
        <v>45955</v>
      </c>
      <c r="E130" s="2">
        <v>0.79166666666666663</v>
      </c>
      <c r="F130" t="s">
        <v>26</v>
      </c>
      <c r="G130">
        <f>VLOOKUP(Table4[[#This Row],[Home]],'NHL Model'!$A$6:$B$38,2,FALSE)</f>
        <v>-0.87533956503230947</v>
      </c>
      <c r="H130" t="s">
        <v>35</v>
      </c>
      <c r="I130">
        <f>VLOOKUP(Table4[[#This Row],[Visitor]],'NHL Model'!$A$6:$B$38,2,FALSE)</f>
        <v>-1.3944783719477225</v>
      </c>
      <c r="J130">
        <f>($B$1+Table4[[#This Row],[Home Differential]])-Table4[[#This Row],[Away Differential]]</f>
        <v>0.56903955583857546</v>
      </c>
      <c r="K130" t="str">
        <f>IF(Table4[[#This Row],[HomeIce Differential]]&gt;0,Table4[[#This Row],[Home]],Table4[[#This Row],[Visitor]])</f>
        <v>Detroit Red Wings</v>
      </c>
      <c r="L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0.60644376656859444</v>
      </c>
      <c r="M130" t="str">
        <f>IF(OR((NHL2025_26Results[[#This Row],[Winning Team]]="")),"-",IF(Table4[[#This Row],[Predicted Winner]]=NHL2025_26Results[[#This Row],[Winning Team]],"YES","NO"))</f>
        <v>YES</v>
      </c>
      <c r="N130">
        <f>IF(Table4[[#This Row],[Adjusted Correct]]="-", "",IF(Table4[[#This Row],[Adjusted Correct]]="YES",(Table4[[#This Row],[Strength of Win]]-1)^2,(Table4[[#This Row],[Strength of Win]]-0)^2))</f>
        <v>0.15488650887271499</v>
      </c>
      <c r="O130">
        <v>1.4751590066233431</v>
      </c>
      <c r="P130" s="11"/>
      <c r="Q130" t="s">
        <v>26</v>
      </c>
      <c r="R130" t="s">
        <v>248</v>
      </c>
    </row>
    <row r="131" spans="4:18" x14ac:dyDescent="0.2">
      <c r="D131" s="1">
        <v>45955</v>
      </c>
      <c r="E131" s="2">
        <v>0.75</v>
      </c>
      <c r="F131" t="s">
        <v>11</v>
      </c>
      <c r="G131">
        <f>VLOOKUP(Table4[[#This Row],[Home]],'NHL Model'!$A$6:$B$38,2,FALSE)</f>
        <v>-0.39711829106410657</v>
      </c>
      <c r="H131" t="s">
        <v>20</v>
      </c>
      <c r="I131">
        <f>VLOOKUP(Table4[[#This Row],[Visitor]],'NHL Model'!$A$6:$B$38,2,FALSE)</f>
        <v>-0.24444083032063643</v>
      </c>
      <c r="J131">
        <f>($B$1+Table4[[#This Row],[Home Differential]])-Table4[[#This Row],[Away Differential]]</f>
        <v>-0.10277671182030765</v>
      </c>
      <c r="K131" t="str">
        <f>IF(Table4[[#This Row],[HomeIce Differential]]&gt;0,Table4[[#This Row],[Home]],Table4[[#This Row],[Visitor]])</f>
        <v>Vegas Golden Knights</v>
      </c>
      <c r="L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0.45798407748241166</v>
      </c>
      <c r="M131" t="str">
        <f>IF(OR((NHL2025_26Results[[#This Row],[Winning Team]]="")),"-",IF(Table4[[#This Row],[Predicted Winner]]=NHL2025_26Results[[#This Row],[Winning Team]],"YES","NO"))</f>
        <v>NO</v>
      </c>
      <c r="N131">
        <f>IF(Table4[[#This Row],[Adjusted Correct]]="-", "",IF(Table4[[#This Row],[Adjusted Correct]]="YES",(Table4[[#This Row],[Strength of Win]]-1)^2,(Table4[[#This Row],[Strength of Win]]-0)^2))</f>
        <v>0.20974941522741564</v>
      </c>
      <c r="O131">
        <v>-0.31959801453705095</v>
      </c>
      <c r="P131" s="11"/>
      <c r="Q131" t="s">
        <v>20</v>
      </c>
      <c r="R131" t="s">
        <v>249</v>
      </c>
    </row>
    <row r="132" spans="4:18" x14ac:dyDescent="0.2">
      <c r="D132" s="1">
        <v>45955</v>
      </c>
      <c r="E132" s="2">
        <v>0.75</v>
      </c>
      <c r="F132" t="s">
        <v>34</v>
      </c>
      <c r="G132">
        <f>VLOOKUP(Table4[[#This Row],[Home]],'NHL Model'!$A$6:$B$38,2,FALSE)</f>
        <v>-5.5124787449478845E-2</v>
      </c>
      <c r="H132" t="s">
        <v>55</v>
      </c>
      <c r="I132">
        <f>VLOOKUP(Table4[[#This Row],[Visitor]],'NHL Model'!$A$6:$B$38,2,FALSE)</f>
        <v>-0.4031232890211825</v>
      </c>
      <c r="J132">
        <f>($B$1+Table4[[#This Row],[Home Differential]])-Table4[[#This Row],[Away Differential]]</f>
        <v>0.39789925049486613</v>
      </c>
      <c r="K132" t="str">
        <f>IF(Table4[[#This Row],[HomeIce Differential]]&gt;0,Table4[[#This Row],[Home]],Table4[[#This Row],[Visitor]])</f>
        <v>Minnesota Wild</v>
      </c>
      <c r="L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0.5864606100690819</v>
      </c>
      <c r="M132" t="str">
        <f>IF(OR((NHL2025_26Results[[#This Row],[Winning Team]]="")),"-",IF(Table4[[#This Row],[Predicted Winner]]=NHL2025_26Results[[#This Row],[Winning Team]],"YES","NO"))</f>
        <v>NO</v>
      </c>
      <c r="N132">
        <f>IF(Table4[[#This Row],[Adjusted Correct]]="-", "",IF(Table4[[#This Row],[Adjusted Correct]]="YES",(Table4[[#This Row],[Strength of Win]]-1)^2,(Table4[[#This Row],[Strength of Win]]-0)^2))</f>
        <v>0.34393604716259973</v>
      </c>
      <c r="O132">
        <v>-1.993561697378085</v>
      </c>
      <c r="P132" s="11"/>
      <c r="Q132" t="s">
        <v>55</v>
      </c>
      <c r="R132" t="s">
        <v>248</v>
      </c>
    </row>
    <row r="133" spans="4:18" x14ac:dyDescent="0.2">
      <c r="D133" s="1">
        <v>45955</v>
      </c>
      <c r="E133" s="2">
        <v>0.83333333333333337</v>
      </c>
      <c r="F133" t="s">
        <v>29</v>
      </c>
      <c r="G133">
        <f>VLOOKUP(Table4[[#This Row],[Home]],'NHL Model'!$A$6:$B$38,2,FALSE)</f>
        <v>-1.384917283810061</v>
      </c>
      <c r="H133" t="s">
        <v>13</v>
      </c>
      <c r="I133">
        <f>VLOOKUP(Table4[[#This Row],[Visitor]],'NHL Model'!$A$6:$B$38,2,FALSE)</f>
        <v>-0.33828359867721369</v>
      </c>
      <c r="J133">
        <f>($B$1+Table4[[#This Row],[Home Differential]])-Table4[[#This Row],[Away Differential]]</f>
        <v>-0.99673293620968484</v>
      </c>
      <c r="K133" t="str">
        <f>IF(Table4[[#This Row],[HomeIce Differential]]&gt;0,Table4[[#This Row],[Home]],Table4[[#This Row],[Visitor]])</f>
        <v>Los Angeles Kings</v>
      </c>
      <c r="L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0.64269907050438491</v>
      </c>
      <c r="M133" t="str">
        <f>IF(OR((NHL2025_26Results[[#This Row],[Winning Team]]="")),"-",IF(Table4[[#This Row],[Predicted Winner]]=NHL2025_26Results[[#This Row],[Winning Team]],"YES","NO"))</f>
        <v>NO</v>
      </c>
      <c r="N133">
        <f>IF(Table4[[#This Row],[Adjusted Correct]]="-", "",IF(Table4[[#This Row],[Adjusted Correct]]="YES",(Table4[[#This Row],[Strength of Win]]-1)^2,(Table4[[#This Row],[Strength of Win]]-0)^2))</f>
        <v>0.41306209522720033</v>
      </c>
      <c r="O133">
        <v>0.10789824799456826</v>
      </c>
      <c r="P133" s="11"/>
      <c r="Q133" t="s">
        <v>29</v>
      </c>
      <c r="R133" t="s">
        <v>248</v>
      </c>
    </row>
    <row r="134" spans="4:18" x14ac:dyDescent="0.2">
      <c r="D134" s="1">
        <v>45955</v>
      </c>
      <c r="E134" s="2">
        <v>0.52083333333333337</v>
      </c>
      <c r="F134" t="s">
        <v>27</v>
      </c>
      <c r="G134">
        <f>VLOOKUP(Table4[[#This Row],[Home]],'NHL Model'!$A$6:$B$38,2,FALSE)</f>
        <v>-0.38023958350631604</v>
      </c>
      <c r="H134" t="s">
        <v>30</v>
      </c>
      <c r="I134">
        <f>VLOOKUP(Table4[[#This Row],[Visitor]],'NHL Model'!$A$6:$B$38,2,FALSE)</f>
        <v>-0.24093199744133265</v>
      </c>
      <c r="J134">
        <f>($B$1+Table4[[#This Row],[Home Differential]])-Table4[[#This Row],[Away Differential]]</f>
        <v>-8.9406837141820905E-2</v>
      </c>
      <c r="K134" t="str">
        <f>IF(Table4[[#This Row],[HomeIce Differential]]&gt;0,Table4[[#This Row],[Home]],Table4[[#This Row],[Visitor]])</f>
        <v>New York Islanders</v>
      </c>
      <c r="L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0.52895808630556485</v>
      </c>
      <c r="M134" t="str">
        <f>IF(OR((NHL2025_26Results[[#This Row],[Winning Team]]="")),"-",IF(Table4[[#This Row],[Predicted Winner]]=NHL2025_26Results[[#This Row],[Winning Team]],"YES","NO"))</f>
        <v>NO</v>
      </c>
      <c r="N134">
        <f>IF(Table4[[#This Row],[Adjusted Correct]]="-", "",IF(Table4[[#This Row],[Adjusted Correct]]="YES",(Table4[[#This Row],[Strength of Win]]-1)^2,(Table4[[#This Row],[Strength of Win]]-0)^2))</f>
        <v>0.27979665706804541</v>
      </c>
      <c r="O134">
        <v>0.13057390256868451</v>
      </c>
      <c r="P134" s="11"/>
      <c r="Q134" t="s">
        <v>27</v>
      </c>
      <c r="R134" t="s">
        <v>248</v>
      </c>
    </row>
    <row r="135" spans="4:18" x14ac:dyDescent="0.2">
      <c r="D135" s="1">
        <v>45955</v>
      </c>
      <c r="E135" s="2">
        <v>0.79166666666666663</v>
      </c>
      <c r="F135" t="s">
        <v>14</v>
      </c>
      <c r="G135">
        <f>VLOOKUP(Table4[[#This Row],[Home]],'NHL Model'!$A$6:$B$38,2,FALSE)</f>
        <v>-0.14226422156549004</v>
      </c>
      <c r="H135" t="s">
        <v>28</v>
      </c>
      <c r="I135">
        <f>VLOOKUP(Table4[[#This Row],[Visitor]],'NHL Model'!$A$6:$B$38,2,FALSE)</f>
        <v>-0.59498940435054026</v>
      </c>
      <c r="J135">
        <f>($B$1+Table4[[#This Row],[Home Differential]])-Table4[[#This Row],[Away Differential]]</f>
        <v>0.50262593170821268</v>
      </c>
      <c r="K135" t="str">
        <f>IF(Table4[[#This Row],[HomeIce Differential]]&gt;0,Table4[[#This Row],[Home]],Table4[[#This Row],[Visitor]])</f>
        <v>Pittsburgh Penguins</v>
      </c>
      <c r="L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0.59511283681584248</v>
      </c>
      <c r="M135" t="str">
        <f>IF(OR((NHL2025_26Results[[#This Row],[Winning Team]]="")),"-",IF(Table4[[#This Row],[Predicted Winner]]=NHL2025_26Results[[#This Row],[Winning Team]],"YES","NO"))</f>
        <v>NO</v>
      </c>
      <c r="N135">
        <f>IF(Table4[[#This Row],[Adjusted Correct]]="-", "",IF(Table4[[#This Row],[Adjusted Correct]]="YES",(Table4[[#This Row],[Strength of Win]]-1)^2,(Table4[[#This Row],[Strength of Win]]-0)^2))</f>
        <v>0.35415928854299955</v>
      </c>
      <c r="O135">
        <v>0.55149848008752778</v>
      </c>
      <c r="P135" s="11"/>
      <c r="Q135" t="s">
        <v>14</v>
      </c>
      <c r="R135" t="s">
        <v>249</v>
      </c>
    </row>
    <row r="136" spans="4:18" x14ac:dyDescent="0.2">
      <c r="D136" s="1">
        <v>45955</v>
      </c>
      <c r="E136" s="2">
        <v>0.91666666666666663</v>
      </c>
      <c r="F136" t="s">
        <v>32</v>
      </c>
      <c r="G136">
        <f>VLOOKUP(Table4[[#This Row],[Home]],'NHL Model'!$A$6:$B$38,2,FALSE)</f>
        <v>-0.64937723527808999</v>
      </c>
      <c r="H136" t="s">
        <v>17</v>
      </c>
      <c r="I136">
        <f>VLOOKUP(Table4[[#This Row],[Visitor]],'NHL Model'!$A$6:$B$38,2,FALSE)</f>
        <v>-0.81774666423752174</v>
      </c>
      <c r="J136">
        <f>($B$1+Table4[[#This Row],[Home Differential]])-Table4[[#This Row],[Away Differential]]</f>
        <v>0.21827017788259417</v>
      </c>
      <c r="K136" t="str">
        <f>IF(Table4[[#This Row],[HomeIce Differential]]&gt;0,Table4[[#This Row],[Home]],Table4[[#This Row],[Visitor]])</f>
        <v>Seattle Kraken</v>
      </c>
      <c r="L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0.5654862647057014</v>
      </c>
      <c r="M136" t="str">
        <f>IF(OR((NHL2025_26Results[[#This Row],[Winning Team]]="")),"-",IF(Table4[[#This Row],[Predicted Winner]]=NHL2025_26Results[[#This Row],[Winning Team]],"YES","NO"))</f>
        <v>YES</v>
      </c>
      <c r="N136">
        <f>IF(Table4[[#This Row],[Adjusted Correct]]="-", "",IF(Table4[[#This Row],[Adjusted Correct]]="YES",(Table4[[#This Row],[Strength of Win]]-1)^2,(Table4[[#This Row],[Strength of Win]]-0)^2))</f>
        <v>0.18880218615940378</v>
      </c>
      <c r="O136">
        <v>0.51837409396596268</v>
      </c>
      <c r="P136" s="11"/>
      <c r="Q136" t="s">
        <v>32</v>
      </c>
      <c r="R136" t="s">
        <v>248</v>
      </c>
    </row>
    <row r="137" spans="4:18" x14ac:dyDescent="0.2">
      <c r="D137" s="1">
        <v>45955</v>
      </c>
      <c r="E137" s="2">
        <v>0.70833333333333337</v>
      </c>
      <c r="F137" t="s">
        <v>37</v>
      </c>
      <c r="G137">
        <f>VLOOKUP(Table4[[#This Row],[Home]],'NHL Model'!$A$6:$B$38,2,FALSE)</f>
        <v>0.51050494674660429</v>
      </c>
      <c r="H137" t="s">
        <v>31</v>
      </c>
      <c r="I137">
        <f>VLOOKUP(Table4[[#This Row],[Visitor]],'NHL Model'!$A$6:$B$38,2,FALSE)</f>
        <v>0.17870302183926629</v>
      </c>
      <c r="J137">
        <f>($B$1+Table4[[#This Row],[Home Differential]])-Table4[[#This Row],[Away Differential]]</f>
        <v>0.38170267383050044</v>
      </c>
      <c r="K137" t="str">
        <f>IF(Table4[[#This Row],[HomeIce Differential]]&gt;0,Table4[[#This Row],[Home]],Table4[[#This Row],[Visitor]])</f>
        <v>Tampa Bay Lightning</v>
      </c>
      <c r="L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0.59629355863014089</v>
      </c>
      <c r="M137" t="str">
        <f>IF(OR((NHL2025_26Results[[#This Row],[Winning Team]]="")),"-",IF(Table4[[#This Row],[Predicted Winner]]=NHL2025_26Results[[#This Row],[Winning Team]],"YES","NO"))</f>
        <v>YES</v>
      </c>
      <c r="N137">
        <f>IF(Table4[[#This Row],[Adjusted Correct]]="-", "",IF(Table4[[#This Row],[Adjusted Correct]]="YES",(Table4[[#This Row],[Strength of Win]]-1)^2,(Table4[[#This Row],[Strength of Win]]-0)^2))</f>
        <v>0.16297889080351549</v>
      </c>
      <c r="O137">
        <v>-0.43394746276688168</v>
      </c>
      <c r="P137" s="11"/>
      <c r="Q137" t="s">
        <v>31</v>
      </c>
      <c r="R137" t="s">
        <v>249</v>
      </c>
    </row>
    <row r="138" spans="4:18" x14ac:dyDescent="0.2">
      <c r="D138" s="1">
        <v>45955</v>
      </c>
      <c r="E138" s="2">
        <v>0.79166666666666663</v>
      </c>
      <c r="F138" t="s">
        <v>19</v>
      </c>
      <c r="G138">
        <f>VLOOKUP(Table4[[#This Row],[Home]],'NHL Model'!$A$6:$B$38,2,FALSE)</f>
        <v>-0.63447859131898054</v>
      </c>
      <c r="H138" t="s">
        <v>23</v>
      </c>
      <c r="I138">
        <f>VLOOKUP(Table4[[#This Row],[Visitor]],'NHL Model'!$A$6:$B$38,2,FALSE)</f>
        <v>-0.4761104357405897</v>
      </c>
      <c r="J138">
        <f>($B$1+Table4[[#This Row],[Home Differential]])-Table4[[#This Row],[Away Differential]]</f>
        <v>-0.10846740665522842</v>
      </c>
      <c r="K138" t="str">
        <f>IF(Table4[[#This Row],[HomeIce Differential]]&gt;0,Table4[[#This Row],[Home]],Table4[[#This Row],[Visitor]])</f>
        <v>Buffalo Sabres</v>
      </c>
      <c r="L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0.47266517059166496</v>
      </c>
      <c r="M138" t="str">
        <f>IF(OR((NHL2025_26Results[[#This Row],[Winning Team]]="")),"-",IF(Table4[[#This Row],[Predicted Winner]]=NHL2025_26Results[[#This Row],[Winning Team]],"YES","NO"))</f>
        <v>NO</v>
      </c>
      <c r="N138">
        <f>IF(Table4[[#This Row],[Adjusted Correct]]="-", "",IF(Table4[[#This Row],[Adjusted Correct]]="YES",(Table4[[#This Row],[Strength of Win]]-1)^2,(Table4[[#This Row],[Strength of Win]]-0)^2))</f>
        <v>0.22341236349044774</v>
      </c>
      <c r="O138">
        <v>-0.16475592245622639</v>
      </c>
      <c r="P138" s="11"/>
      <c r="Q138" t="s">
        <v>23</v>
      </c>
      <c r="R138" t="s">
        <v>249</v>
      </c>
    </row>
    <row r="139" spans="4:18" x14ac:dyDescent="0.2">
      <c r="D139" s="1">
        <v>45955</v>
      </c>
      <c r="E139" s="2">
        <v>0.79166666666666663</v>
      </c>
      <c r="F139" t="s">
        <v>38</v>
      </c>
      <c r="G139">
        <f>VLOOKUP(Table4[[#This Row],[Home]],'NHL Model'!$A$6:$B$38,2,FALSE)</f>
        <v>-0.9476777551108041</v>
      </c>
      <c r="H139" t="s">
        <v>18</v>
      </c>
      <c r="I139">
        <f>VLOOKUP(Table4[[#This Row],[Visitor]],'NHL Model'!$A$6:$B$38,2,FALSE)</f>
        <v>-0.59288962827382519</v>
      </c>
      <c r="J139">
        <f>($B$1+Table4[[#This Row],[Home Differential]])-Table4[[#This Row],[Away Differential]]</f>
        <v>-0.30488737791381648</v>
      </c>
      <c r="K139" t="str">
        <f>IF(Table4[[#This Row],[HomeIce Differential]]&gt;0,Table4[[#This Row],[Home]],Table4[[#This Row],[Visitor]])</f>
        <v>Montreal Canadiens</v>
      </c>
      <c r="L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0.55488793501587308</v>
      </c>
      <c r="M139" t="str">
        <f>IF(OR((NHL2025_26Results[[#This Row],[Winning Team]]="")),"-",IF(Table4[[#This Row],[Predicted Winner]]=NHL2025_26Results[[#This Row],[Winning Team]],"YES","NO"))</f>
        <v>YES</v>
      </c>
      <c r="N139">
        <f>IF(Table4[[#This Row],[Adjusted Correct]]="-", "",IF(Table4[[#This Row],[Adjusted Correct]]="YES",(Table4[[#This Row],[Strength of Win]]-1)^2,(Table4[[#This Row],[Strength of Win]]-0)^2))</f>
        <v>0.19812475039443361</v>
      </c>
      <c r="O139">
        <v>-0.91879396386780554</v>
      </c>
      <c r="P139" s="11"/>
      <c r="Q139" t="s">
        <v>18</v>
      </c>
      <c r="R139" t="s">
        <v>248</v>
      </c>
    </row>
    <row r="140" spans="4:18" x14ac:dyDescent="0.2">
      <c r="D140" s="1">
        <v>45955</v>
      </c>
      <c r="E140" s="2">
        <v>0.79166666666666663</v>
      </c>
      <c r="F140" t="s">
        <v>22</v>
      </c>
      <c r="G140">
        <f>VLOOKUP(Table4[[#This Row],[Home]],'NHL Model'!$A$6:$B$38,2,FALSE)</f>
        <v>0.4407072328537569</v>
      </c>
      <c r="H140" t="s">
        <v>36</v>
      </c>
      <c r="I140">
        <f>VLOOKUP(Table4[[#This Row],[Visitor]],'NHL Model'!$A$6:$B$38,2,FALSE)</f>
        <v>-0.53137605086483863</v>
      </c>
      <c r="J140">
        <f>($B$1+Table4[[#This Row],[Home Differential]])-Table4[[#This Row],[Away Differential]]</f>
        <v>1.021984032641758</v>
      </c>
      <c r="K140" t="str">
        <f>IF(Table4[[#This Row],[HomeIce Differential]]&gt;0,Table4[[#This Row],[Home]],Table4[[#This Row],[Visitor]])</f>
        <v>Washington Capitals</v>
      </c>
      <c r="L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0.68536945506778668</v>
      </c>
      <c r="M140" t="str">
        <f>IF(OR((NHL2025_26Results[[#This Row],[Winning Team]]="")),"-",IF(Table4[[#This Row],[Predicted Winner]]=NHL2025_26Results[[#This Row],[Winning Team]],"YES","NO"))</f>
        <v>NO</v>
      </c>
      <c r="N140">
        <f>IF(Table4[[#This Row],[Adjusted Correct]]="-", "",IF(Table4[[#This Row],[Adjusted Correct]]="YES",(Table4[[#This Row],[Strength of Win]]-1)^2,(Table4[[#This Row],[Strength of Win]]-0)^2))</f>
        <v>0.46973128993991486</v>
      </c>
      <c r="O140">
        <v>0.9258064541029658</v>
      </c>
      <c r="P140" s="11"/>
      <c r="Q140" t="s">
        <v>22</v>
      </c>
      <c r="R140" t="s">
        <v>249</v>
      </c>
    </row>
    <row r="141" spans="4:18" x14ac:dyDescent="0.2">
      <c r="D141" s="1">
        <v>45956</v>
      </c>
      <c r="E141" s="2">
        <v>0.83333333333333337</v>
      </c>
      <c r="F141" t="s">
        <v>16</v>
      </c>
      <c r="G141">
        <f>VLOOKUP(Table4[[#This Row],[Home]],'NHL Model'!$A$6:$B$38,2,FALSE)</f>
        <v>-1.0657812790446208</v>
      </c>
      <c r="H141" t="s">
        <v>15</v>
      </c>
      <c r="I141">
        <f>VLOOKUP(Table4[[#This Row],[Visitor]],'NHL Model'!$A$6:$B$38,2,FALSE)</f>
        <v>-0.29003398448394263</v>
      </c>
      <c r="J141">
        <f>($B$1+Table4[[#This Row],[Home Differential]])-Table4[[#This Row],[Away Differential]]</f>
        <v>-0.72584654563751583</v>
      </c>
      <c r="K141" t="str">
        <f>IF(Table4[[#This Row],[HomeIce Differential]]&gt;0,Table4[[#This Row],[Home]],Table4[[#This Row],[Visitor]])</f>
        <v>New York Rangers</v>
      </c>
      <c r="L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0.64483476332872802</v>
      </c>
      <c r="M141" t="str">
        <f>IF(OR((NHL2025_26Results[[#This Row],[Winning Team]]="")),"-",IF(Table4[[#This Row],[Predicted Winner]]=NHL2025_26Results[[#This Row],[Winning Team]],"YES","NO"))</f>
        <v>NO</v>
      </c>
      <c r="N141">
        <f>IF(Table4[[#This Row],[Adjusted Correct]]="-", "",IF(Table4[[#This Row],[Adjusted Correct]]="YES",(Table4[[#This Row],[Strength of Win]]-1)^2,(Table4[[#This Row],[Strength of Win]]-0)^2))</f>
        <v>0.4158118719972167</v>
      </c>
      <c r="O141">
        <v>-0.64418985918620675</v>
      </c>
      <c r="P141" s="11"/>
      <c r="Q141" t="s">
        <v>15</v>
      </c>
      <c r="R141" t="s">
        <v>249</v>
      </c>
    </row>
    <row r="142" spans="4:18" x14ac:dyDescent="0.2">
      <c r="D142" s="1">
        <v>45956</v>
      </c>
      <c r="E142" s="2">
        <v>0.79166666666666663</v>
      </c>
      <c r="F142" t="s">
        <v>10</v>
      </c>
      <c r="G142">
        <f>VLOOKUP(Table4[[#This Row],[Home]],'NHL Model'!$A$6:$B$38,2,FALSE)</f>
        <v>-0.17619625518431364</v>
      </c>
      <c r="H142" t="s">
        <v>13</v>
      </c>
      <c r="I142">
        <f>VLOOKUP(Table4[[#This Row],[Visitor]],'NHL Model'!$A$6:$B$38,2,FALSE)</f>
        <v>-0.33828359867721369</v>
      </c>
      <c r="J142">
        <f>($B$1+Table4[[#This Row],[Home Differential]])-Table4[[#This Row],[Away Differential]]</f>
        <v>0.21198809241606251</v>
      </c>
      <c r="K142" t="str">
        <f>IF(Table4[[#This Row],[HomeIce Differential]]&gt;0,Table4[[#This Row],[Home]],Table4[[#This Row],[Visitor]])</f>
        <v>Chicago Blackhawks</v>
      </c>
      <c r="L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0.49843694903683539</v>
      </c>
      <c r="M142" t="str">
        <f>IF(OR((NHL2025_26Results[[#This Row],[Winning Team]]="")),"-",IF(Table4[[#This Row],[Predicted Winner]]=NHL2025_26Results[[#This Row],[Winning Team]],"YES","NO"))</f>
        <v>NO</v>
      </c>
      <c r="N142">
        <f>IF(Table4[[#This Row],[Adjusted Correct]]="-", "",IF(Table4[[#This Row],[Adjusted Correct]]="YES",(Table4[[#This Row],[Strength of Win]]-1)^2,(Table4[[#This Row],[Strength of Win]]-0)^2))</f>
        <v>0.24843939216514885</v>
      </c>
      <c r="O142">
        <v>0.57301428236358698</v>
      </c>
      <c r="P142" s="11"/>
      <c r="Q142" t="s">
        <v>10</v>
      </c>
      <c r="R142" t="s">
        <v>249</v>
      </c>
    </row>
    <row r="143" spans="4:18" x14ac:dyDescent="0.2">
      <c r="D143" s="1">
        <v>45956</v>
      </c>
      <c r="E143" s="2">
        <v>0.75</v>
      </c>
      <c r="F143" t="s">
        <v>34</v>
      </c>
      <c r="G143">
        <f>VLOOKUP(Table4[[#This Row],[Home]],'NHL Model'!$A$6:$B$38,2,FALSE)</f>
        <v>-5.5124787449478845E-2</v>
      </c>
      <c r="H143" t="s">
        <v>33</v>
      </c>
      <c r="I143">
        <f>VLOOKUP(Table4[[#This Row],[Visitor]],'NHL Model'!$A$6:$B$38,2,FALSE)</f>
        <v>-0.45133099238224339</v>
      </c>
      <c r="J143">
        <f>($B$1+Table4[[#This Row],[Home Differential]])-Table4[[#This Row],[Away Differential]]</f>
        <v>0.44610695385592702</v>
      </c>
      <c r="K143" t="str">
        <f>IF(Table4[[#This Row],[HomeIce Differential]]&gt;0,Table4[[#This Row],[Home]],Table4[[#This Row],[Visitor]])</f>
        <v>Minnesota Wild</v>
      </c>
      <c r="L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0.59208957093140724</v>
      </c>
      <c r="M143" t="str">
        <f>IF(OR((NHL2025_26Results[[#This Row],[Winning Team]]="")),"-",IF(Table4[[#This Row],[Predicted Winner]]=NHL2025_26Results[[#This Row],[Winning Team]],"YES","NO"))</f>
        <v>NO</v>
      </c>
      <c r="N143">
        <f>IF(Table4[[#This Row],[Adjusted Correct]]="-", "",IF(Table4[[#This Row],[Adjusted Correct]]="YES",(Table4[[#This Row],[Strength of Win]]-1)^2,(Table4[[#This Row],[Strength of Win]]-0)^2))</f>
        <v>0.35057006000573793</v>
      </c>
      <c r="O143">
        <v>1.6075713996527963E-2</v>
      </c>
      <c r="P143" s="11"/>
      <c r="Q143" t="s">
        <v>34</v>
      </c>
      <c r="R143" t="s">
        <v>249</v>
      </c>
    </row>
    <row r="144" spans="4:18" x14ac:dyDescent="0.2">
      <c r="D144" s="1">
        <v>45956</v>
      </c>
      <c r="E144" s="2">
        <v>0.54166666666666663</v>
      </c>
      <c r="F144" t="s">
        <v>24</v>
      </c>
      <c r="G144">
        <f>VLOOKUP(Table4[[#This Row],[Home]],'NHL Model'!$A$6:$B$38,2,FALSE)</f>
        <v>1.5302507646042616E-3</v>
      </c>
      <c r="H144" t="s">
        <v>12</v>
      </c>
      <c r="I144">
        <f>VLOOKUP(Table4[[#This Row],[Visitor]],'NHL Model'!$A$6:$B$38,2,FALSE)</f>
        <v>1.6319036584269762</v>
      </c>
      <c r="J144">
        <f>($B$1+Table4[[#This Row],[Home Differential]])-Table4[[#This Row],[Away Differential]]</f>
        <v>-1.5804726587392095</v>
      </c>
      <c r="K144" t="str">
        <f>IF(Table4[[#This Row],[HomeIce Differential]]&gt;0,Table4[[#This Row],[Home]],Table4[[#This Row],[Visitor]])</f>
        <v>Colorado Avalanche</v>
      </c>
      <c r="L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0.63524773437155191</v>
      </c>
      <c r="M144" t="str">
        <f>IF(OR((NHL2025_26Results[[#This Row],[Winning Team]]="")),"-",IF(Table4[[#This Row],[Predicted Winner]]=NHL2025_26Results[[#This Row],[Winning Team]],"YES","NO"))</f>
        <v>NO</v>
      </c>
      <c r="N144">
        <f>IF(Table4[[#This Row],[Adjusted Correct]]="-", "",IF(Table4[[#This Row],[Adjusted Correct]]="YES",(Table4[[#This Row],[Strength of Win]]-1)^2,(Table4[[#This Row],[Strength of Win]]-0)^2))</f>
        <v>0.40353968402418977</v>
      </c>
      <c r="O144">
        <v>0.28310290944792438</v>
      </c>
      <c r="P144" s="11"/>
      <c r="Q144" t="s">
        <v>24</v>
      </c>
      <c r="R144" t="s">
        <v>248</v>
      </c>
    </row>
    <row r="145" spans="4:18" x14ac:dyDescent="0.2">
      <c r="D145" s="1">
        <v>45956</v>
      </c>
      <c r="E145" s="2">
        <v>0.79166666666666663</v>
      </c>
      <c r="F145" t="s">
        <v>29</v>
      </c>
      <c r="G145">
        <f>VLOOKUP(Table4[[#This Row],[Home]],'NHL Model'!$A$6:$B$38,2,FALSE)</f>
        <v>-1.384917283810061</v>
      </c>
      <c r="H145" t="s">
        <v>39</v>
      </c>
      <c r="I145">
        <f>VLOOKUP(Table4[[#This Row],[Visitor]],'NHL Model'!$A$6:$B$38,2,FALSE)</f>
        <v>0.41344250185511977</v>
      </c>
      <c r="J145">
        <f>($B$1+Table4[[#This Row],[Home Differential]])-Table4[[#This Row],[Away Differential]]</f>
        <v>-1.7484590367420183</v>
      </c>
      <c r="K145" t="str">
        <f>IF(Table4[[#This Row],[HomeIce Differential]]&gt;0,Table4[[#This Row],[Home]],Table4[[#This Row],[Visitor]])</f>
        <v>Dallas Stars</v>
      </c>
      <c r="L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0.7659561507622451</v>
      </c>
      <c r="M145" t="str">
        <f>IF(OR((NHL2025_26Results[[#This Row],[Winning Team]]="")),"-",IF(Table4[[#This Row],[Predicted Winner]]=NHL2025_26Results[[#This Row],[Winning Team]],"YES","NO"))</f>
        <v>YES</v>
      </c>
      <c r="N145">
        <f>IF(Table4[[#This Row],[Adjusted Correct]]="-", "",IF(Table4[[#This Row],[Adjusted Correct]]="YES",(Table4[[#This Row],[Strength of Win]]-1)^2,(Table4[[#This Row],[Strength of Win]]-0)^2))</f>
        <v>5.4776523366024947E-2</v>
      </c>
      <c r="O145">
        <v>-0.20187186904748766</v>
      </c>
      <c r="P145" s="11"/>
      <c r="Q145" t="s">
        <v>39</v>
      </c>
      <c r="R145" t="s">
        <v>248</v>
      </c>
    </row>
    <row r="146" spans="4:18" x14ac:dyDescent="0.2">
      <c r="D146" s="1">
        <v>45956</v>
      </c>
      <c r="E146" s="2">
        <v>0.70833333333333337</v>
      </c>
      <c r="F146" t="s">
        <v>37</v>
      </c>
      <c r="G146">
        <f>VLOOKUP(Table4[[#This Row],[Home]],'NHL Model'!$A$6:$B$38,2,FALSE)</f>
        <v>0.51050494674660429</v>
      </c>
      <c r="H146" t="s">
        <v>20</v>
      </c>
      <c r="I146">
        <f>VLOOKUP(Table4[[#This Row],[Visitor]],'NHL Model'!$A$6:$B$38,2,FALSE)</f>
        <v>-0.24444083032063643</v>
      </c>
      <c r="J146">
        <f>($B$1+Table4[[#This Row],[Home Differential]])-Table4[[#This Row],[Away Differential]]</f>
        <v>0.80484652599040318</v>
      </c>
      <c r="K146" t="str">
        <f>IF(Table4[[#This Row],[HomeIce Differential]]&gt;0,Table4[[#This Row],[Home]],Table4[[#This Row],[Visitor]])</f>
        <v>Tampa Bay Lightning</v>
      </c>
      <c r="L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0.66622377640460784</v>
      </c>
      <c r="M146" t="str">
        <f>IF(OR((NHL2025_26Results[[#This Row],[Winning Team]]="")),"-",IF(Table4[[#This Row],[Predicted Winner]]=NHL2025_26Results[[#This Row],[Winning Team]],"YES","NO"))</f>
        <v>YES</v>
      </c>
      <c r="N146">
        <f>IF(Table4[[#This Row],[Adjusted Correct]]="-", "",IF(Table4[[#This Row],[Adjusted Correct]]="YES",(Table4[[#This Row],[Strength of Win]]-1)^2,(Table4[[#This Row],[Strength of Win]]-0)^2))</f>
        <v>0.11140656743760123</v>
      </c>
      <c r="O146">
        <v>-0.51384602530268031</v>
      </c>
      <c r="P146" s="11"/>
      <c r="Q146" t="s">
        <v>20</v>
      </c>
      <c r="R146" t="s">
        <v>249</v>
      </c>
    </row>
    <row r="147" spans="4:18" x14ac:dyDescent="0.2">
      <c r="D147" s="1">
        <v>45956</v>
      </c>
      <c r="E147" s="2">
        <v>0.91666666666666663</v>
      </c>
      <c r="F147" t="s">
        <v>38</v>
      </c>
      <c r="G147">
        <f>VLOOKUP(Table4[[#This Row],[Home]],'NHL Model'!$A$6:$B$38,2,FALSE)</f>
        <v>-0.9476777551108041</v>
      </c>
      <c r="H147" t="s">
        <v>17</v>
      </c>
      <c r="I147">
        <f>VLOOKUP(Table4[[#This Row],[Visitor]],'NHL Model'!$A$6:$B$38,2,FALSE)</f>
        <v>-0.81774666423752174</v>
      </c>
      <c r="J147">
        <f>($B$1+Table4[[#This Row],[Home Differential]])-Table4[[#This Row],[Away Differential]]</f>
        <v>-8.0030341950119932E-2</v>
      </c>
      <c r="K147" t="str">
        <f>IF(Table4[[#This Row],[HomeIce Differential]]&gt;0,Table4[[#This Row],[Home]],Table4[[#This Row],[Visitor]])</f>
        <v>Edmonton Oilers</v>
      </c>
      <c r="L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0.46934472358622298</v>
      </c>
      <c r="M147" t="str">
        <f>IF(OR((NHL2025_26Results[[#This Row],[Winning Team]]="")),"-",IF(Table4[[#This Row],[Predicted Winner]]=NHL2025_26Results[[#This Row],[Winning Team]],"YES","NO"))</f>
        <v>NO</v>
      </c>
      <c r="N147">
        <f>IF(Table4[[#This Row],[Adjusted Correct]]="-", "",IF(Table4[[#This Row],[Adjusted Correct]]="YES",(Table4[[#This Row],[Strength of Win]]-1)^2,(Table4[[#This Row],[Strength of Win]]-0)^2))</f>
        <v>0.22028446955822806</v>
      </c>
      <c r="O147">
        <v>2.171278557883749E-2</v>
      </c>
      <c r="P147" s="11"/>
      <c r="Q147" t="s">
        <v>38</v>
      </c>
      <c r="R147" t="s">
        <v>248</v>
      </c>
    </row>
    <row r="148" spans="4:18" x14ac:dyDescent="0.2">
      <c r="D148" s="1">
        <v>45956</v>
      </c>
      <c r="E148" s="2">
        <v>0.75</v>
      </c>
      <c r="F148" t="s">
        <v>40</v>
      </c>
      <c r="G148">
        <f>VLOOKUP(Table4[[#This Row],[Home]],'NHL Model'!$A$6:$B$38,2,FALSE)</f>
        <v>-0.31324182378279158</v>
      </c>
      <c r="H148" t="s">
        <v>55</v>
      </c>
      <c r="I148">
        <f>VLOOKUP(Table4[[#This Row],[Visitor]],'NHL Model'!$A$6:$B$38,2,FALSE)</f>
        <v>-0.4031232890211825</v>
      </c>
      <c r="J148">
        <f>($B$1+Table4[[#This Row],[Home Differential]])-Table4[[#This Row],[Away Differential]]</f>
        <v>0.1397822141615534</v>
      </c>
      <c r="K148" t="str">
        <f>IF(Table4[[#This Row],[HomeIce Differential]]&gt;0,Table4[[#This Row],[Home]],Table4[[#This Row],[Visitor]])</f>
        <v>Winnipeg Jets</v>
      </c>
      <c r="L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0.5588171157459414</v>
      </c>
      <c r="M148" t="str">
        <f>IF(OR((NHL2025_26Results[[#This Row],[Winning Team]]="")),"-",IF(Table4[[#This Row],[Predicted Winner]]=NHL2025_26Results[[#This Row],[Winning Team]],"YES","NO"))</f>
        <v>NO</v>
      </c>
      <c r="N148">
        <f>IF(Table4[[#This Row],[Adjusted Correct]]="-", "",IF(Table4[[#This Row],[Adjusted Correct]]="YES",(Table4[[#This Row],[Strength of Win]]-1)^2,(Table4[[#This Row],[Strength of Win]]-0)^2))</f>
        <v>0.31227656885061289</v>
      </c>
      <c r="O148">
        <v>-0.38432540401627707</v>
      </c>
      <c r="P148" s="11"/>
      <c r="Q148" t="s">
        <v>55</v>
      </c>
      <c r="R148" t="s">
        <v>248</v>
      </c>
    </row>
    <row r="149" spans="4:18" x14ac:dyDescent="0.2">
      <c r="D149" s="1">
        <v>45957</v>
      </c>
      <c r="E149" s="2">
        <v>0.8125</v>
      </c>
      <c r="F149" t="s">
        <v>36</v>
      </c>
      <c r="G149">
        <f>VLOOKUP(Table4[[#This Row],[Home]],'NHL Model'!$A$6:$B$38,2,FALSE)</f>
        <v>-0.53137605086483863</v>
      </c>
      <c r="H149" t="s">
        <v>21</v>
      </c>
      <c r="I149">
        <f>VLOOKUP(Table4[[#This Row],[Visitor]],'NHL Model'!$A$6:$B$38,2,FALSE)</f>
        <v>-0.21976976044773161</v>
      </c>
      <c r="J149">
        <f>($B$1+Table4[[#This Row],[Home Differential]])-Table4[[#This Row],[Away Differential]]</f>
        <v>-0.26170554149394454</v>
      </c>
      <c r="K149" t="str">
        <f>IF(Table4[[#This Row],[HomeIce Differential]]&gt;0,Table4[[#This Row],[Home]],Table4[[#This Row],[Visitor]])</f>
        <v>Boston Bruins</v>
      </c>
      <c r="L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0.48889131780087369</v>
      </c>
      <c r="M149" t="str">
        <f>IF(OR((NHL2025_26Results[[#This Row],[Winning Team]]="")),"-",IF(Table4[[#This Row],[Predicted Winner]]=NHL2025_26Results[[#This Row],[Winning Team]],"YES","NO"))</f>
        <v>NO</v>
      </c>
      <c r="N149">
        <f>IF(Table4[[#This Row],[Adjusted Correct]]="-", "",IF(Table4[[#This Row],[Adjusted Correct]]="YES",(Table4[[#This Row],[Strength of Win]]-1)^2,(Table4[[#This Row],[Strength of Win]]-0)^2))</f>
        <v>0.23901472062107487</v>
      </c>
      <c r="O149">
        <v>0.55252281846528895</v>
      </c>
      <c r="P149" s="11"/>
      <c r="Q149" t="s">
        <v>36</v>
      </c>
      <c r="R149" t="s">
        <v>248</v>
      </c>
    </row>
    <row r="150" spans="4:18" x14ac:dyDescent="0.2">
      <c r="D150" s="1">
        <v>45957</v>
      </c>
      <c r="E150" s="2">
        <v>0.79166666666666663</v>
      </c>
      <c r="F150" t="s">
        <v>14</v>
      </c>
      <c r="G150">
        <f>VLOOKUP(Table4[[#This Row],[Home]],'NHL Model'!$A$6:$B$38,2,FALSE)</f>
        <v>-0.14226422156549004</v>
      </c>
      <c r="H150" t="s">
        <v>35</v>
      </c>
      <c r="I150">
        <f>VLOOKUP(Table4[[#This Row],[Visitor]],'NHL Model'!$A$6:$B$38,2,FALSE)</f>
        <v>-1.3944783719477225</v>
      </c>
      <c r="J150">
        <f>($B$1+Table4[[#This Row],[Home Differential]])-Table4[[#This Row],[Away Differential]]</f>
        <v>1.302114899305395</v>
      </c>
      <c r="K150" t="str">
        <f>IF(Table4[[#This Row],[HomeIce Differential]]&gt;0,Table4[[#This Row],[Home]],Table4[[#This Row],[Visitor]])</f>
        <v>Pittsburgh Penguins</v>
      </c>
      <c r="L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0.69204113233822317</v>
      </c>
      <c r="M150" t="str">
        <f>IF(OR((NHL2025_26Results[[#This Row],[Winning Team]]="")),"-",IF(Table4[[#This Row],[Predicted Winner]]=NHL2025_26Results[[#This Row],[Winning Team]],"YES","NO"))</f>
        <v>YES</v>
      </c>
      <c r="N150">
        <f>IF(Table4[[#This Row],[Adjusted Correct]]="-", "",IF(Table4[[#This Row],[Adjusted Correct]]="YES",(Table4[[#This Row],[Strength of Win]]-1)^2,(Table4[[#This Row],[Strength of Win]]-0)^2))</f>
        <v>9.483866417152377E-2</v>
      </c>
      <c r="O150">
        <v>2.3662838120905634</v>
      </c>
      <c r="P150" s="11"/>
      <c r="Q150" t="s">
        <v>14</v>
      </c>
      <c r="R150" t="s">
        <v>248</v>
      </c>
    </row>
    <row r="151" spans="4:18" x14ac:dyDescent="0.2">
      <c r="D151" s="1">
        <v>45958</v>
      </c>
      <c r="E151" s="2">
        <v>0.80208333333333337</v>
      </c>
      <c r="F151" t="s">
        <v>21</v>
      </c>
      <c r="G151">
        <f>VLOOKUP(Table4[[#This Row],[Home]],'NHL Model'!$A$6:$B$38,2,FALSE)</f>
        <v>-0.21976976044773161</v>
      </c>
      <c r="H151" t="s">
        <v>30</v>
      </c>
      <c r="I151">
        <f>VLOOKUP(Table4[[#This Row],[Visitor]],'NHL Model'!$A$6:$B$38,2,FALSE)</f>
        <v>-0.24093199744133265</v>
      </c>
      <c r="J151">
        <f>($B$1+Table4[[#This Row],[Home Differential]])-Table4[[#This Row],[Away Differential]]</f>
        <v>7.1062985916763494E-2</v>
      </c>
      <c r="K151" t="str">
        <f>IF(Table4[[#This Row],[HomeIce Differential]]&gt;0,Table4[[#This Row],[Home]],Table4[[#This Row],[Visitor]])</f>
        <v>Boston Bruins</v>
      </c>
      <c r="L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0.51921468298828499</v>
      </c>
      <c r="M151" t="str">
        <f>IF(OR((NHL2025_26Results[[#This Row],[Winning Team]]="")),"-",IF(Table4[[#This Row],[Predicted Winner]]=NHL2025_26Results[[#This Row],[Winning Team]],"YES","NO"))</f>
        <v>YES</v>
      </c>
      <c r="N151">
        <f>IF(Table4[[#This Row],[Adjusted Correct]]="-", "",IF(Table4[[#This Row],[Adjusted Correct]]="YES",(Table4[[#This Row],[Strength of Win]]-1)^2,(Table4[[#This Row],[Strength of Win]]-0)^2))</f>
        <v>0.23115452105405529</v>
      </c>
      <c r="O151">
        <v>0.26870995720827462</v>
      </c>
      <c r="P151" s="11"/>
      <c r="Q151" t="s">
        <v>21</v>
      </c>
      <c r="R151" t="s">
        <v>248</v>
      </c>
    </row>
    <row r="152" spans="4:18" x14ac:dyDescent="0.2">
      <c r="D152" s="1">
        <v>45958</v>
      </c>
      <c r="E152" s="2">
        <v>0.78125</v>
      </c>
      <c r="F152" t="s">
        <v>23</v>
      </c>
      <c r="G152">
        <f>VLOOKUP(Table4[[#This Row],[Home]],'NHL Model'!$A$6:$B$38,2,FALSE)</f>
        <v>-0.4761104357405897</v>
      </c>
      <c r="H152" t="s">
        <v>28</v>
      </c>
      <c r="I152">
        <f>VLOOKUP(Table4[[#This Row],[Visitor]],'NHL Model'!$A$6:$B$38,2,FALSE)</f>
        <v>-0.59498940435054026</v>
      </c>
      <c r="J152">
        <f>($B$1+Table4[[#This Row],[Home Differential]])-Table4[[#This Row],[Away Differential]]</f>
        <v>0.16877971753311305</v>
      </c>
      <c r="K152" t="str">
        <f>IF(Table4[[#This Row],[HomeIce Differential]]&gt;0,Table4[[#This Row],[Home]],Table4[[#This Row],[Visitor]])</f>
        <v>Buffalo Sabres</v>
      </c>
      <c r="L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0.5662662274862772</v>
      </c>
      <c r="M152" t="str">
        <f>IF(OR((NHL2025_26Results[[#This Row],[Winning Team]]="")),"-",IF(Table4[[#This Row],[Predicted Winner]]=NHL2025_26Results[[#This Row],[Winning Team]],"YES","NO"))</f>
        <v>NO</v>
      </c>
      <c r="N152">
        <f>IF(Table4[[#This Row],[Adjusted Correct]]="-", "",IF(Table4[[#This Row],[Adjusted Correct]]="YES",(Table4[[#This Row],[Strength of Win]]-1)^2,(Table4[[#This Row],[Strength of Win]]-0)^2))</f>
        <v>0.32065744039154026</v>
      </c>
      <c r="O152">
        <v>-0.42139729402418508</v>
      </c>
      <c r="P152" s="11"/>
      <c r="Q152" t="s">
        <v>28</v>
      </c>
      <c r="R152" t="s">
        <v>248</v>
      </c>
    </row>
    <row r="153" spans="4:18" x14ac:dyDescent="0.2">
      <c r="D153" s="1">
        <v>45958</v>
      </c>
      <c r="E153" s="2">
        <v>0.77083333333333337</v>
      </c>
      <c r="F153" t="s">
        <v>25</v>
      </c>
      <c r="G153">
        <f>VLOOKUP(Table4[[#This Row],[Home]],'NHL Model'!$A$6:$B$38,2,FALSE)</f>
        <v>0.42567513732855267</v>
      </c>
      <c r="H153" t="s">
        <v>20</v>
      </c>
      <c r="I153">
        <f>VLOOKUP(Table4[[#This Row],[Visitor]],'NHL Model'!$A$6:$B$38,2,FALSE)</f>
        <v>-0.24444083032063643</v>
      </c>
      <c r="J153">
        <f>($B$1+Table4[[#This Row],[Home Differential]])-Table4[[#This Row],[Away Differential]]</f>
        <v>0.72001671657235156</v>
      </c>
      <c r="K153" t="str">
        <f>IF(Table4[[#This Row],[HomeIce Differential]]&gt;0,Table4[[#This Row],[Home]],Table4[[#This Row],[Visitor]])</f>
        <v>Carolina Hurricanes</v>
      </c>
      <c r="L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0.67578855467948284</v>
      </c>
      <c r="M153" t="str">
        <f>IF(OR((NHL2025_26Results[[#This Row],[Winning Team]]="")),"-",IF(Table4[[#This Row],[Predicted Winner]]=NHL2025_26Results[[#This Row],[Winning Team]],"YES","NO"))</f>
        <v>NO</v>
      </c>
      <c r="N153">
        <f>IF(Table4[[#This Row],[Adjusted Correct]]="-", "",IF(Table4[[#This Row],[Adjusted Correct]]="YES",(Table4[[#This Row],[Strength of Win]]-1)^2,(Table4[[#This Row],[Strength of Win]]-0)^2))</f>
        <v>0.45669017063578438</v>
      </c>
      <c r="O153">
        <v>0.48863019270550906</v>
      </c>
      <c r="P153" s="11"/>
      <c r="Q153" t="s">
        <v>25</v>
      </c>
      <c r="R153" t="s">
        <v>249</v>
      </c>
    </row>
    <row r="154" spans="4:18" x14ac:dyDescent="0.2">
      <c r="D154" s="1">
        <v>45958</v>
      </c>
      <c r="E154" s="2">
        <v>0.86458333333333337</v>
      </c>
      <c r="F154" t="s">
        <v>10</v>
      </c>
      <c r="G154">
        <f>VLOOKUP(Table4[[#This Row],[Home]],'NHL Model'!$A$6:$B$38,2,FALSE)</f>
        <v>-0.17619625518431364</v>
      </c>
      <c r="H154" t="s">
        <v>36</v>
      </c>
      <c r="I154">
        <f>VLOOKUP(Table4[[#This Row],[Visitor]],'NHL Model'!$A$6:$B$38,2,FALSE)</f>
        <v>-0.53137605086483863</v>
      </c>
      <c r="J154">
        <f>($B$1+Table4[[#This Row],[Home Differential]])-Table4[[#This Row],[Away Differential]]</f>
        <v>0.40508054460368748</v>
      </c>
      <c r="K154" t="str">
        <f>IF(Table4[[#This Row],[HomeIce Differential]]&gt;0,Table4[[#This Row],[Home]],Table4[[#This Row],[Visitor]])</f>
        <v>Chicago Blackhawks</v>
      </c>
      <c r="L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0.58729913214462337</v>
      </c>
      <c r="M154" t="str">
        <f>IF(OR((NHL2025_26Results[[#This Row],[Winning Team]]="")),"-",IF(Table4[[#This Row],[Predicted Winner]]=NHL2025_26Results[[#This Row],[Winning Team]],"YES","NO"))</f>
        <v>YES</v>
      </c>
      <c r="N154">
        <f>IF(Table4[[#This Row],[Adjusted Correct]]="-", "",IF(Table4[[#This Row],[Adjusted Correct]]="YES",(Table4[[#This Row],[Strength of Win]]-1)^2,(Table4[[#This Row],[Strength of Win]]-0)^2))</f>
        <v>0.17032200632858105</v>
      </c>
      <c r="O154">
        <v>0.98762295214981388</v>
      </c>
      <c r="P154" s="11"/>
      <c r="Q154" t="s">
        <v>10</v>
      </c>
      <c r="R154" t="s">
        <v>248</v>
      </c>
    </row>
    <row r="155" spans="4:18" x14ac:dyDescent="0.2">
      <c r="D155" s="1">
        <v>45958</v>
      </c>
      <c r="E155" s="2">
        <v>0.875</v>
      </c>
      <c r="F155" t="s">
        <v>12</v>
      </c>
      <c r="G155">
        <f>VLOOKUP(Table4[[#This Row],[Home]],'NHL Model'!$A$6:$B$38,2,FALSE)</f>
        <v>1.6319036584269762</v>
      </c>
      <c r="H155" t="s">
        <v>24</v>
      </c>
      <c r="I155">
        <f>VLOOKUP(Table4[[#This Row],[Visitor]],'NHL Model'!$A$6:$B$38,2,FALSE)</f>
        <v>1.5302507646042616E-3</v>
      </c>
      <c r="J155">
        <f>($B$1+Table4[[#This Row],[Home Differential]])-Table4[[#This Row],[Away Differential]]</f>
        <v>1.6802741565855344</v>
      </c>
      <c r="K155" t="str">
        <f>IF(Table4[[#This Row],[HomeIce Differential]]&gt;0,Table4[[#This Row],[Home]],Table4[[#This Row],[Visitor]])</f>
        <v>Colorado Avalanche</v>
      </c>
      <c r="L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0.82119680685797902</v>
      </c>
      <c r="M155" t="str">
        <f>IF(OR((NHL2025_26Results[[#This Row],[Winning Team]]="")),"-",IF(Table4[[#This Row],[Predicted Winner]]=NHL2025_26Results[[#This Row],[Winning Team]],"YES","NO"))</f>
        <v>YES</v>
      </c>
      <c r="N155">
        <f>IF(Table4[[#This Row],[Adjusted Correct]]="-", "",IF(Table4[[#This Row],[Adjusted Correct]]="YES",(Table4[[#This Row],[Strength of Win]]-1)^2,(Table4[[#This Row],[Strength of Win]]-0)^2))</f>
        <v>3.1970581877782858E-2</v>
      </c>
      <c r="O155">
        <v>0.55368086990765564</v>
      </c>
      <c r="P155" s="11"/>
      <c r="Q155" t="s">
        <v>12</v>
      </c>
      <c r="R155" t="s">
        <v>248</v>
      </c>
    </row>
    <row r="156" spans="4:18" x14ac:dyDescent="0.2">
      <c r="D156" s="1">
        <v>45958</v>
      </c>
      <c r="E156" s="2">
        <v>0.85416666666666663</v>
      </c>
      <c r="F156" t="s">
        <v>39</v>
      </c>
      <c r="G156">
        <f>VLOOKUP(Table4[[#This Row],[Home]],'NHL Model'!$A$6:$B$38,2,FALSE)</f>
        <v>0.41344250185511977</v>
      </c>
      <c r="H156" t="s">
        <v>22</v>
      </c>
      <c r="I156">
        <f>VLOOKUP(Table4[[#This Row],[Visitor]],'NHL Model'!$A$6:$B$38,2,FALSE)</f>
        <v>0.4407072328537569</v>
      </c>
      <c r="J156">
        <f>($B$1+Table4[[#This Row],[Home Differential]])-Table4[[#This Row],[Away Differential]]</f>
        <v>2.2636017924525353E-2</v>
      </c>
      <c r="K156" t="str">
        <f>IF(Table4[[#This Row],[HomeIce Differential]]&gt;0,Table4[[#This Row],[Home]],Table4[[#This Row],[Visitor]])</f>
        <v>Dallas Stars</v>
      </c>
      <c r="L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0.53276357110417993</v>
      </c>
      <c r="M156" t="str">
        <f>IF(OR((NHL2025_26Results[[#This Row],[Winning Team]]="")),"-",IF(Table4[[#This Row],[Predicted Winner]]=NHL2025_26Results[[#This Row],[Winning Team]],"YES","NO"))</f>
        <v>YES</v>
      </c>
      <c r="N156">
        <f>IF(Table4[[#This Row],[Adjusted Correct]]="-", "",IF(Table4[[#This Row],[Adjusted Correct]]="YES",(Table4[[#This Row],[Strength of Win]]-1)^2,(Table4[[#This Row],[Strength of Win]]-0)^2))</f>
        <v>0.21830988048731872</v>
      </c>
      <c r="O156">
        <v>-0.27880271192204642</v>
      </c>
      <c r="P156" s="11"/>
      <c r="Q156" t="s">
        <v>22</v>
      </c>
      <c r="R156" t="s">
        <v>249</v>
      </c>
    </row>
    <row r="157" spans="4:18" x14ac:dyDescent="0.2">
      <c r="D157" s="1">
        <v>45958</v>
      </c>
      <c r="E157" s="2">
        <v>0.89583333333333337</v>
      </c>
      <c r="F157" t="s">
        <v>17</v>
      </c>
      <c r="G157">
        <f>VLOOKUP(Table4[[#This Row],[Home]],'NHL Model'!$A$6:$B$38,2,FALSE)</f>
        <v>-0.81774666423752174</v>
      </c>
      <c r="H157" t="s">
        <v>55</v>
      </c>
      <c r="I157">
        <f>VLOOKUP(Table4[[#This Row],[Visitor]],'NHL Model'!$A$6:$B$38,2,FALSE)</f>
        <v>-0.4031232890211825</v>
      </c>
      <c r="J157">
        <f>($B$1+Table4[[#This Row],[Home Differential]])-Table4[[#This Row],[Away Differential]]</f>
        <v>-0.36472262629317681</v>
      </c>
      <c r="K157" t="str">
        <f>IF(Table4[[#This Row],[HomeIce Differential]]&gt;0,Table4[[#This Row],[Home]],Table4[[#This Row],[Visitor]])</f>
        <v>Utah Mammoth</v>
      </c>
      <c r="L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0.49554079768155213</v>
      </c>
      <c r="M157" t="str">
        <f>IF(OR((NHL2025_26Results[[#This Row],[Winning Team]]="")),"-",IF(Table4[[#This Row],[Predicted Winner]]=NHL2025_26Results[[#This Row],[Winning Team]],"YES","NO"))</f>
        <v>NO</v>
      </c>
      <c r="N157">
        <f>IF(Table4[[#This Row],[Adjusted Correct]]="-", "",IF(Table4[[#This Row],[Adjusted Correct]]="YES",(Table4[[#This Row],[Strength of Win]]-1)^2,(Table4[[#This Row],[Strength of Win]]-0)^2))</f>
        <v>0.24556068216686897</v>
      </c>
      <c r="O157">
        <v>-0.61234047472558972</v>
      </c>
      <c r="P157" s="11"/>
      <c r="Q157" t="s">
        <v>55</v>
      </c>
      <c r="R157" t="s">
        <v>249</v>
      </c>
    </row>
    <row r="158" spans="4:18" x14ac:dyDescent="0.2">
      <c r="D158" s="1">
        <v>45958</v>
      </c>
      <c r="E158" s="2">
        <v>0.79166666666666663</v>
      </c>
      <c r="F158" t="s">
        <v>11</v>
      </c>
      <c r="G158">
        <f>VLOOKUP(Table4[[#This Row],[Home]],'NHL Model'!$A$6:$B$38,2,FALSE)</f>
        <v>-0.39711829106410657</v>
      </c>
      <c r="H158" t="s">
        <v>31</v>
      </c>
      <c r="I158">
        <f>VLOOKUP(Table4[[#This Row],[Visitor]],'NHL Model'!$A$6:$B$38,2,FALSE)</f>
        <v>0.17870302183926629</v>
      </c>
      <c r="J158">
        <f>($B$1+Table4[[#This Row],[Home Differential]])-Table4[[#This Row],[Away Differential]]</f>
        <v>-0.52592056398021036</v>
      </c>
      <c r="K158" t="str">
        <f>IF(Table4[[#This Row],[HomeIce Differential]]&gt;0,Table4[[#This Row],[Home]],Table4[[#This Row],[Visitor]])</f>
        <v>Anaheim Ducks</v>
      </c>
      <c r="L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0.52807565454489702</v>
      </c>
      <c r="M158" t="str">
        <f>IF(OR((NHL2025_26Results[[#This Row],[Winning Team]]="")),"-",IF(Table4[[#This Row],[Predicted Winner]]=NHL2025_26Results[[#This Row],[Winning Team]],"YES","NO"))</f>
        <v>YES</v>
      </c>
      <c r="N158">
        <f>IF(Table4[[#This Row],[Adjusted Correct]]="-", "",IF(Table4[[#This Row],[Adjusted Correct]]="YES",(Table4[[#This Row],[Strength of Win]]-1)^2,(Table4[[#This Row],[Strength of Win]]-0)^2))</f>
        <v>0.22271258783322737</v>
      </c>
      <c r="O158">
        <v>-0.14621168379070282</v>
      </c>
      <c r="P158" s="11"/>
      <c r="Q158" t="s">
        <v>31</v>
      </c>
      <c r="R158" t="s">
        <v>248</v>
      </c>
    </row>
    <row r="159" spans="4:18" x14ac:dyDescent="0.2">
      <c r="D159" s="1">
        <v>45958</v>
      </c>
      <c r="E159" s="2">
        <v>0.83333333333333337</v>
      </c>
      <c r="F159" t="s">
        <v>34</v>
      </c>
      <c r="G159">
        <f>VLOOKUP(Table4[[#This Row],[Home]],'NHL Model'!$A$6:$B$38,2,FALSE)</f>
        <v>-5.5124787449478845E-2</v>
      </c>
      <c r="H159" t="s">
        <v>40</v>
      </c>
      <c r="I159">
        <f>VLOOKUP(Table4[[#This Row],[Visitor]],'NHL Model'!$A$6:$B$38,2,FALSE)</f>
        <v>-0.31324182378279158</v>
      </c>
      <c r="J159">
        <f>($B$1+Table4[[#This Row],[Home Differential]])-Table4[[#This Row],[Away Differential]]</f>
        <v>0.30801778525647522</v>
      </c>
      <c r="K159" t="str">
        <f>IF(Table4[[#This Row],[HomeIce Differential]]&gt;0,Table4[[#This Row],[Home]],Table4[[#This Row],[Visitor]])</f>
        <v>Minnesota Wild</v>
      </c>
      <c r="L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0.55519639167751955</v>
      </c>
      <c r="M159" t="str">
        <f>IF(OR((NHL2025_26Results[[#This Row],[Winning Team]]="")),"-",IF(Table4[[#This Row],[Predicted Winner]]=NHL2025_26Results[[#This Row],[Winning Team]],"YES","NO"))</f>
        <v>NO</v>
      </c>
      <c r="N159">
        <f>IF(Table4[[#This Row],[Adjusted Correct]]="-", "",IF(Table4[[#This Row],[Adjusted Correct]]="YES",(Table4[[#This Row],[Strength of Win]]-1)^2,(Table4[[#This Row],[Strength of Win]]-0)^2))</f>
        <v>0.30824303333173769</v>
      </c>
      <c r="O159">
        <v>-1.3973653400344825</v>
      </c>
      <c r="P159" s="11"/>
      <c r="Q159" t="s">
        <v>40</v>
      </c>
      <c r="R159" t="s">
        <v>248</v>
      </c>
    </row>
    <row r="160" spans="4:18" x14ac:dyDescent="0.2">
      <c r="D160" s="1">
        <v>45958</v>
      </c>
      <c r="E160" s="2">
        <v>0.82291666666666663</v>
      </c>
      <c r="F160" t="s">
        <v>29</v>
      </c>
      <c r="G160">
        <f>VLOOKUP(Table4[[#This Row],[Home]],'NHL Model'!$A$6:$B$38,2,FALSE)</f>
        <v>-1.384917283810061</v>
      </c>
      <c r="H160" t="s">
        <v>37</v>
      </c>
      <c r="I160">
        <f>VLOOKUP(Table4[[#This Row],[Visitor]],'NHL Model'!$A$6:$B$38,2,FALSE)</f>
        <v>0.51050494674660429</v>
      </c>
      <c r="J160">
        <f>($B$1+Table4[[#This Row],[Home Differential]])-Table4[[#This Row],[Away Differential]]</f>
        <v>-1.8455214816335028</v>
      </c>
      <c r="K160" t="str">
        <f>IF(Table4[[#This Row],[HomeIce Differential]]&gt;0,Table4[[#This Row],[Home]],Table4[[#This Row],[Visitor]])</f>
        <v>Tampa Bay Lightning</v>
      </c>
      <c r="L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0.76797805877908609</v>
      </c>
      <c r="M160" t="str">
        <f>IF(OR((NHL2025_26Results[[#This Row],[Winning Team]]="")),"-",IF(Table4[[#This Row],[Predicted Winner]]=NHL2025_26Results[[#This Row],[Winning Team]],"YES","NO"))</f>
        <v>YES</v>
      </c>
      <c r="N160">
        <f>IF(Table4[[#This Row],[Adjusted Correct]]="-", "",IF(Table4[[#This Row],[Adjusted Correct]]="YES",(Table4[[#This Row],[Strength of Win]]-1)^2,(Table4[[#This Row],[Strength of Win]]-0)^2))</f>
        <v>5.3834181207921231E-2</v>
      </c>
      <c r="O160">
        <v>-0.73773821882949986</v>
      </c>
      <c r="P160" s="11"/>
      <c r="Q160" t="s">
        <v>37</v>
      </c>
      <c r="R160" t="s">
        <v>248</v>
      </c>
    </row>
    <row r="161" spans="4:18" x14ac:dyDescent="0.2">
      <c r="D161" s="1">
        <v>45958</v>
      </c>
      <c r="E161" s="2">
        <v>0.75</v>
      </c>
      <c r="F161" t="s">
        <v>27</v>
      </c>
      <c r="G161">
        <f>VLOOKUP(Table4[[#This Row],[Home]],'NHL Model'!$A$6:$B$38,2,FALSE)</f>
        <v>-0.38023958350631604</v>
      </c>
      <c r="H161" t="s">
        <v>14</v>
      </c>
      <c r="I161">
        <f>VLOOKUP(Table4[[#This Row],[Visitor]],'NHL Model'!$A$6:$B$38,2,FALSE)</f>
        <v>-0.14226422156549004</v>
      </c>
      <c r="J161">
        <f>($B$1+Table4[[#This Row],[Home Differential]])-Table4[[#This Row],[Away Differential]]</f>
        <v>-0.18807461301766351</v>
      </c>
      <c r="K161" t="str">
        <f>IF(Table4[[#This Row],[HomeIce Differential]]&gt;0,Table4[[#This Row],[Home]],Table4[[#This Row],[Visitor]])</f>
        <v>Pittsburgh Penguins</v>
      </c>
      <c r="L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0.50710900170447515</v>
      </c>
      <c r="M161" t="str">
        <f>IF(OR((NHL2025_26Results[[#This Row],[Winning Team]]="")),"-",IF(Table4[[#This Row],[Predicted Winner]]=NHL2025_26Results[[#This Row],[Winning Team]],"YES","NO"))</f>
        <v>NO</v>
      </c>
      <c r="N161">
        <f>IF(Table4[[#This Row],[Adjusted Correct]]="-", "",IF(Table4[[#This Row],[Adjusted Correct]]="YES",(Table4[[#This Row],[Strength of Win]]-1)^2,(Table4[[#This Row],[Strength of Win]]-0)^2))</f>
        <v>0.25715953960970939</v>
      </c>
      <c r="O161">
        <v>-6.56917424764355E-2</v>
      </c>
      <c r="P161" s="11"/>
      <c r="Q161" t="s">
        <v>14</v>
      </c>
      <c r="R161" t="s">
        <v>249</v>
      </c>
    </row>
    <row r="162" spans="4:18" x14ac:dyDescent="0.2">
      <c r="D162" s="1">
        <v>45958</v>
      </c>
      <c r="E162" s="2">
        <v>0.9375</v>
      </c>
      <c r="F162" t="s">
        <v>32</v>
      </c>
      <c r="G162">
        <f>VLOOKUP(Table4[[#This Row],[Home]],'NHL Model'!$A$6:$B$38,2,FALSE)</f>
        <v>-0.64937723527808999</v>
      </c>
      <c r="H162" t="s">
        <v>18</v>
      </c>
      <c r="I162">
        <f>VLOOKUP(Table4[[#This Row],[Visitor]],'NHL Model'!$A$6:$B$38,2,FALSE)</f>
        <v>-0.59288962827382519</v>
      </c>
      <c r="J162">
        <f>($B$1+Table4[[#This Row],[Home Differential]])-Table4[[#This Row],[Away Differential]]</f>
        <v>-6.5868580811023758E-3</v>
      </c>
      <c r="K162" t="str">
        <f>IF(Table4[[#This Row],[HomeIce Differential]]&gt;0,Table4[[#This Row],[Home]],Table4[[#This Row],[Visitor]])</f>
        <v>Montreal Canadiens</v>
      </c>
      <c r="L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0.52005694672394875</v>
      </c>
      <c r="M162" t="str">
        <f>IF(OR((NHL2025_26Results[[#This Row],[Winning Team]]="")),"-",IF(Table4[[#This Row],[Predicted Winner]]=NHL2025_26Results[[#This Row],[Winning Team]],"YES","NO"))</f>
        <v>YES</v>
      </c>
      <c r="N162">
        <f>IF(Table4[[#This Row],[Adjusted Correct]]="-", "",IF(Table4[[#This Row],[Adjusted Correct]]="YES",(Table4[[#This Row],[Strength of Win]]-1)^2,(Table4[[#This Row],[Strength of Win]]-0)^2))</f>
        <v>0.23034533438793856</v>
      </c>
      <c r="O162">
        <v>-7.2371383510853704E-2</v>
      </c>
      <c r="P162" s="11"/>
      <c r="Q162" t="s">
        <v>18</v>
      </c>
      <c r="R162" t="s">
        <v>248</v>
      </c>
    </row>
    <row r="163" spans="4:18" x14ac:dyDescent="0.2">
      <c r="D163" s="1">
        <v>45958</v>
      </c>
      <c r="E163" s="2">
        <v>0.95833333333333337</v>
      </c>
      <c r="F163" t="s">
        <v>33</v>
      </c>
      <c r="G163">
        <f>VLOOKUP(Table4[[#This Row],[Home]],'NHL Model'!$A$6:$B$38,2,FALSE)</f>
        <v>-0.45133099238224339</v>
      </c>
      <c r="H163" t="s">
        <v>13</v>
      </c>
      <c r="I163">
        <f>VLOOKUP(Table4[[#This Row],[Visitor]],'NHL Model'!$A$6:$B$38,2,FALSE)</f>
        <v>-0.33828359867721369</v>
      </c>
      <c r="J163">
        <f>($B$1+Table4[[#This Row],[Home Differential]])-Table4[[#This Row],[Away Differential]]</f>
        <v>-6.3146644781867212E-2</v>
      </c>
      <c r="K163" t="str">
        <f>IF(Table4[[#This Row],[HomeIce Differential]]&gt;0,Table4[[#This Row],[Home]],Table4[[#This Row],[Visitor]])</f>
        <v>Los Angeles Kings</v>
      </c>
      <c r="L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0.52350233501430832</v>
      </c>
      <c r="M163" t="str">
        <f>IF(OR((NHL2025_26Results[[#This Row],[Winning Team]]="")),"-",IF(Table4[[#This Row],[Predicted Winner]]=NHL2025_26Results[[#This Row],[Winning Team]],"YES","NO"))</f>
        <v>YES</v>
      </c>
      <c r="N163">
        <f>IF(Table4[[#This Row],[Adjusted Correct]]="-", "",IF(Table4[[#This Row],[Adjusted Correct]]="YES",(Table4[[#This Row],[Strength of Win]]-1)^2,(Table4[[#This Row],[Strength of Win]]-0)^2))</f>
        <v>0.22705002473681646</v>
      </c>
      <c r="O163">
        <v>-0.75273919431601166</v>
      </c>
      <c r="P163" s="11"/>
      <c r="Q163" t="s">
        <v>13</v>
      </c>
      <c r="R163" t="s">
        <v>248</v>
      </c>
    </row>
    <row r="164" spans="4:18" x14ac:dyDescent="0.2">
      <c r="D164" s="1">
        <v>45958</v>
      </c>
      <c r="E164" s="2">
        <v>0.84375</v>
      </c>
      <c r="F164" t="s">
        <v>35</v>
      </c>
      <c r="G164">
        <f>VLOOKUP(Table4[[#This Row],[Home]],'NHL Model'!$A$6:$B$38,2,FALSE)</f>
        <v>-1.3944783719477225</v>
      </c>
      <c r="H164" t="s">
        <v>26</v>
      </c>
      <c r="I164">
        <f>VLOOKUP(Table4[[#This Row],[Visitor]],'NHL Model'!$A$6:$B$38,2,FALSE)</f>
        <v>-0.87533956503230947</v>
      </c>
      <c r="J164">
        <f>($B$1+Table4[[#This Row],[Home Differential]])-Table4[[#This Row],[Away Differential]]</f>
        <v>-0.4692380579922506</v>
      </c>
      <c r="K164" t="str">
        <f>IF(Table4[[#This Row],[HomeIce Differential]]&gt;0,Table4[[#This Row],[Home]],Table4[[#This Row],[Visitor]])</f>
        <v>Detroit Red Wings</v>
      </c>
      <c r="L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0.51479046873005474</v>
      </c>
      <c r="M164" t="str">
        <f>IF(OR((NHL2025_26Results[[#This Row],[Winning Team]]="")),"-",IF(Table4[[#This Row],[Predicted Winner]]=NHL2025_26Results[[#This Row],[Winning Team]],"YES","NO"))</f>
        <v>YES</v>
      </c>
      <c r="N164">
        <f>IF(Table4[[#This Row],[Adjusted Correct]]="-", "",IF(Table4[[#This Row],[Adjusted Correct]]="YES",(Table4[[#This Row],[Strength of Win]]-1)^2,(Table4[[#This Row],[Strength of Win]]-0)^2))</f>
        <v>0.23542828923519998</v>
      </c>
      <c r="O164">
        <v>-1.4495967256561701</v>
      </c>
      <c r="P164" s="11"/>
      <c r="Q164" t="s">
        <v>26</v>
      </c>
      <c r="R164" t="s">
        <v>248</v>
      </c>
    </row>
    <row r="165" spans="4:18" x14ac:dyDescent="0.2">
      <c r="D165" s="1">
        <v>45958</v>
      </c>
      <c r="E165" s="2">
        <v>0.76041666666666663</v>
      </c>
      <c r="F165" t="s">
        <v>19</v>
      </c>
      <c r="G165">
        <f>VLOOKUP(Table4[[#This Row],[Home]],'NHL Model'!$A$6:$B$38,2,FALSE)</f>
        <v>-0.63447859131898054</v>
      </c>
      <c r="H165" t="s">
        <v>16</v>
      </c>
      <c r="I165">
        <f>VLOOKUP(Table4[[#This Row],[Visitor]],'NHL Model'!$A$6:$B$38,2,FALSE)</f>
        <v>-1.0657812790446208</v>
      </c>
      <c r="J165">
        <f>($B$1+Table4[[#This Row],[Home Differential]])-Table4[[#This Row],[Away Differential]]</f>
        <v>0.48120343664880272</v>
      </c>
      <c r="K165" t="str">
        <f>IF(Table4[[#This Row],[HomeIce Differential]]&gt;0,Table4[[#This Row],[Home]],Table4[[#This Row],[Visitor]])</f>
        <v>Toronto Maple Leafs</v>
      </c>
      <c r="L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0.5961876032845923</v>
      </c>
      <c r="M165" t="str">
        <f>IF(OR((NHL2025_26Results[[#This Row],[Winning Team]]="")),"-",IF(Table4[[#This Row],[Predicted Winner]]=NHL2025_26Results[[#This Row],[Winning Team]],"YES","NO"))</f>
        <v>YES</v>
      </c>
      <c r="N165">
        <f>IF(Table4[[#This Row],[Adjusted Correct]]="-", "",IF(Table4[[#This Row],[Adjusted Correct]]="YES",(Table4[[#This Row],[Strength of Win]]-1)^2,(Table4[[#This Row],[Strength of Win]]-0)^2))</f>
        <v>0.16306445174104181</v>
      </c>
      <c r="O165">
        <v>0.97153793139646627</v>
      </c>
      <c r="P165" s="11"/>
      <c r="Q165" t="s">
        <v>19</v>
      </c>
      <c r="R165" t="s">
        <v>248</v>
      </c>
    </row>
    <row r="166" spans="4:18" x14ac:dyDescent="0.2">
      <c r="D166" s="1">
        <v>45958</v>
      </c>
      <c r="E166" s="2">
        <v>0.91666666666666663</v>
      </c>
      <c r="F166" t="s">
        <v>38</v>
      </c>
      <c r="G166">
        <f>VLOOKUP(Table4[[#This Row],[Home]],'NHL Model'!$A$6:$B$38,2,FALSE)</f>
        <v>-0.9476777551108041</v>
      </c>
      <c r="H166" t="s">
        <v>15</v>
      </c>
      <c r="I166">
        <f>VLOOKUP(Table4[[#This Row],[Visitor]],'NHL Model'!$A$6:$B$38,2,FALSE)</f>
        <v>-0.29003398448394263</v>
      </c>
      <c r="J166">
        <f>($B$1+Table4[[#This Row],[Home Differential]])-Table4[[#This Row],[Away Differential]]</f>
        <v>-0.60774302170369898</v>
      </c>
      <c r="K166" t="str">
        <f>IF(Table4[[#This Row],[HomeIce Differential]]&gt;0,Table4[[#This Row],[Home]],Table4[[#This Row],[Visitor]])</f>
        <v>New York Rangers</v>
      </c>
      <c r="L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0.63104443382584718</v>
      </c>
      <c r="M166" t="str">
        <f>IF(OR((NHL2025_26Results[[#This Row],[Winning Team]]="")),"-",IF(Table4[[#This Row],[Predicted Winner]]=NHL2025_26Results[[#This Row],[Winning Team]],"YES","NO"))</f>
        <v>YES</v>
      </c>
      <c r="N166">
        <f>IF(Table4[[#This Row],[Adjusted Correct]]="-", "",IF(Table4[[#This Row],[Adjusted Correct]]="YES",(Table4[[#This Row],[Strength of Win]]-1)^2,(Table4[[#This Row],[Strength of Win]]-0)^2))</f>
        <v>0.13612820981088966</v>
      </c>
      <c r="O166">
        <v>2.5241601366947641E-2</v>
      </c>
      <c r="P166" s="11"/>
      <c r="Q166" t="s">
        <v>38</v>
      </c>
      <c r="R166" t="s">
        <v>249</v>
      </c>
    </row>
    <row r="167" spans="4:18" x14ac:dyDescent="0.2">
      <c r="D167" s="1">
        <v>45959</v>
      </c>
      <c r="E167" s="2">
        <v>0.8125</v>
      </c>
      <c r="F167" t="s">
        <v>28</v>
      </c>
      <c r="G167">
        <f>VLOOKUP(Table4[[#This Row],[Home]],'NHL Model'!$A$6:$B$38,2,FALSE)</f>
        <v>-0.59498940435054026</v>
      </c>
      <c r="H167" t="s">
        <v>19</v>
      </c>
      <c r="I167">
        <f>VLOOKUP(Table4[[#This Row],[Visitor]],'NHL Model'!$A$6:$B$38,2,FALSE)</f>
        <v>-0.63447859131898054</v>
      </c>
      <c r="J167">
        <f>($B$1+Table4[[#This Row],[Home Differential]])-Table4[[#This Row],[Away Differential]]</f>
        <v>8.9389935891602712E-2</v>
      </c>
      <c r="K167" t="str">
        <f>IF(Table4[[#This Row],[HomeIce Differential]]&gt;0,Table4[[#This Row],[Home]],Table4[[#This Row],[Visitor]])</f>
        <v>Columbus Blue Jackets</v>
      </c>
      <c r="L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0.55043759431663863</v>
      </c>
      <c r="M167" t="str">
        <f>IF(OR((NHL2025_26Results[[#This Row],[Winning Team]]="")),"-",IF(Table4[[#This Row],[Predicted Winner]]=NHL2025_26Results[[#This Row],[Winning Team]],"YES","NO"))</f>
        <v>YES</v>
      </c>
      <c r="N167">
        <f>IF(Table4[[#This Row],[Adjusted Correct]]="-", "",IF(Table4[[#This Row],[Adjusted Correct]]="YES",(Table4[[#This Row],[Strength of Win]]-1)^2,(Table4[[#This Row],[Strength of Win]]-0)^2))</f>
        <v>0.20210635660381118</v>
      </c>
      <c r="O167">
        <v>1.1840705527104549</v>
      </c>
      <c r="P167" s="11"/>
      <c r="Q167" t="s">
        <v>28</v>
      </c>
      <c r="R167" t="s">
        <v>248</v>
      </c>
    </row>
    <row r="168" spans="4:18" x14ac:dyDescent="0.2">
      <c r="D168" s="1">
        <v>45960</v>
      </c>
      <c r="E168" s="2">
        <v>0.79166666666666663</v>
      </c>
      <c r="F168" t="s">
        <v>21</v>
      </c>
      <c r="G168">
        <f>VLOOKUP(Table4[[#This Row],[Home]],'NHL Model'!$A$6:$B$38,2,FALSE)</f>
        <v>-0.21976976044773161</v>
      </c>
      <c r="H168" t="s">
        <v>23</v>
      </c>
      <c r="I168">
        <f>VLOOKUP(Table4[[#This Row],[Visitor]],'NHL Model'!$A$6:$B$38,2,FALSE)</f>
        <v>-0.4761104357405897</v>
      </c>
      <c r="J168">
        <f>($B$1+Table4[[#This Row],[Home Differential]])-Table4[[#This Row],[Away Differential]]</f>
        <v>0.30624142421602052</v>
      </c>
      <c r="K168" t="str">
        <f>IF(Table4[[#This Row],[HomeIce Differential]]&gt;0,Table4[[#This Row],[Home]],Table4[[#This Row],[Visitor]])</f>
        <v>Boston Bruins</v>
      </c>
      <c r="L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0.61865976048220439</v>
      </c>
      <c r="M168" t="str">
        <f>IF(OR((NHL2025_26Results[[#This Row],[Winning Team]]="")),"-",IF(Table4[[#This Row],[Predicted Winner]]=NHL2025_26Results[[#This Row],[Winning Team]],"YES","NO"))</f>
        <v>YES</v>
      </c>
      <c r="N168">
        <f>IF(Table4[[#This Row],[Adjusted Correct]]="-", "",IF(Table4[[#This Row],[Adjusted Correct]]="YES",(Table4[[#This Row],[Strength of Win]]-1)^2,(Table4[[#This Row],[Strength of Win]]-0)^2))</f>
        <v>0.14542037827548973</v>
      </c>
      <c r="O168">
        <v>0.43665774434634153</v>
      </c>
      <c r="P168" s="11"/>
      <c r="Q168" t="s">
        <v>21</v>
      </c>
      <c r="R168" t="s">
        <v>248</v>
      </c>
    </row>
    <row r="169" spans="4:18" x14ac:dyDescent="0.2">
      <c r="D169" s="1">
        <v>45960</v>
      </c>
      <c r="E169" s="2">
        <v>0.8125</v>
      </c>
      <c r="F169" t="s">
        <v>25</v>
      </c>
      <c r="G169">
        <f>VLOOKUP(Table4[[#This Row],[Home]],'NHL Model'!$A$6:$B$38,2,FALSE)</f>
        <v>0.42567513732855267</v>
      </c>
      <c r="H169" t="s">
        <v>30</v>
      </c>
      <c r="I169">
        <f>VLOOKUP(Table4[[#This Row],[Visitor]],'NHL Model'!$A$6:$B$38,2,FALSE)</f>
        <v>-0.24093199744133265</v>
      </c>
      <c r="J169">
        <f>($B$1+Table4[[#This Row],[Home Differential]])-Table4[[#This Row],[Away Differential]]</f>
        <v>0.71650788369304785</v>
      </c>
      <c r="K169" t="str">
        <f>IF(Table4[[#This Row],[HomeIce Differential]]&gt;0,Table4[[#This Row],[Home]],Table4[[#This Row],[Visitor]])</f>
        <v>Carolina Hurricanes</v>
      </c>
      <c r="L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0.60366287032278598</v>
      </c>
      <c r="M169" t="str">
        <f>IF(OR((NHL2025_26Results[[#This Row],[Winning Team]]="")),"-",IF(Table4[[#This Row],[Predicted Winner]]=NHL2025_26Results[[#This Row],[Winning Team]],"YES","NO"))</f>
        <v>YES</v>
      </c>
      <c r="N169">
        <f>IF(Table4[[#This Row],[Adjusted Correct]]="-", "",IF(Table4[[#This Row],[Adjusted Correct]]="YES",(Table4[[#This Row],[Strength of Win]]-1)^2,(Table4[[#This Row],[Strength of Win]]-0)^2))</f>
        <v>0.15708312036077277</v>
      </c>
      <c r="O169">
        <v>1.8923710949151284</v>
      </c>
      <c r="P169" s="11"/>
      <c r="Q169" t="s">
        <v>25</v>
      </c>
      <c r="R169" t="s">
        <v>248</v>
      </c>
    </row>
    <row r="170" spans="4:18" x14ac:dyDescent="0.2">
      <c r="D170" s="1">
        <v>45960</v>
      </c>
      <c r="E170" s="2">
        <v>0.875</v>
      </c>
      <c r="F170" t="s">
        <v>17</v>
      </c>
      <c r="G170">
        <f>VLOOKUP(Table4[[#This Row],[Home]],'NHL Model'!$A$6:$B$38,2,FALSE)</f>
        <v>-0.81774666423752174</v>
      </c>
      <c r="H170" t="s">
        <v>15</v>
      </c>
      <c r="I170">
        <f>VLOOKUP(Table4[[#This Row],[Visitor]],'NHL Model'!$A$6:$B$38,2,FALSE)</f>
        <v>-0.29003398448394263</v>
      </c>
      <c r="J170">
        <f>($B$1+Table4[[#This Row],[Home Differential]])-Table4[[#This Row],[Away Differential]]</f>
        <v>-0.47781193083041668</v>
      </c>
      <c r="K170" t="str">
        <f>IF(Table4[[#This Row],[HomeIce Differential]]&gt;0,Table4[[#This Row],[Home]],Table4[[#This Row],[Visitor]])</f>
        <v>New York Rangers</v>
      </c>
      <c r="L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0.60886422062356638</v>
      </c>
      <c r="M170" t="str">
        <f>IF(OR((NHL2025_26Results[[#This Row],[Winning Team]]="")),"-",IF(Table4[[#This Row],[Predicted Winner]]=NHL2025_26Results[[#This Row],[Winning Team]],"YES","NO"))</f>
        <v>YES</v>
      </c>
      <c r="N170">
        <f>IF(Table4[[#This Row],[Adjusted Correct]]="-", "",IF(Table4[[#This Row],[Adjusted Correct]]="YES",(Table4[[#This Row],[Strength of Win]]-1)^2,(Table4[[#This Row],[Strength of Win]]-0)^2))</f>
        <v>0.15298719790841017</v>
      </c>
      <c r="O170">
        <v>0.33322147454206563</v>
      </c>
      <c r="P170" s="11"/>
      <c r="Q170" t="s">
        <v>17</v>
      </c>
      <c r="R170" t="s">
        <v>249</v>
      </c>
    </row>
    <row r="171" spans="4:18" x14ac:dyDescent="0.2">
      <c r="D171" s="1">
        <v>45960</v>
      </c>
      <c r="E171" s="2">
        <v>0.9375</v>
      </c>
      <c r="F171" t="s">
        <v>13</v>
      </c>
      <c r="G171">
        <f>VLOOKUP(Table4[[#This Row],[Home]],'NHL Model'!$A$6:$B$38,2,FALSE)</f>
        <v>-0.33828359867721369</v>
      </c>
      <c r="H171" t="s">
        <v>26</v>
      </c>
      <c r="I171">
        <f>VLOOKUP(Table4[[#This Row],[Visitor]],'NHL Model'!$A$6:$B$38,2,FALSE)</f>
        <v>-0.87533956503230947</v>
      </c>
      <c r="J171">
        <f>($B$1+Table4[[#This Row],[Home Differential]])-Table4[[#This Row],[Away Differential]]</f>
        <v>0.58695671527825821</v>
      </c>
      <c r="K171" t="str">
        <f>IF(Table4[[#This Row],[HomeIce Differential]]&gt;0,Table4[[#This Row],[Home]],Table4[[#This Row],[Visitor]])</f>
        <v>Los Angeles Kings</v>
      </c>
      <c r="L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0.6085358593715775</v>
      </c>
      <c r="M171" t="str">
        <f>IF(OR((NHL2025_26Results[[#This Row],[Winning Team]]="")),"-",IF(Table4[[#This Row],[Predicted Winner]]=NHL2025_26Results[[#This Row],[Winning Team]],"YES","NO"))</f>
        <v>NO</v>
      </c>
      <c r="N171">
        <f>IF(Table4[[#This Row],[Adjusted Correct]]="-", "",IF(Table4[[#This Row],[Adjusted Correct]]="YES",(Table4[[#This Row],[Strength of Win]]-1)^2,(Table4[[#This Row],[Strength of Win]]-0)^2))</f>
        <v>0.37031589214110433</v>
      </c>
      <c r="O171">
        <v>7.6439562121657145E-2</v>
      </c>
      <c r="P171" s="11"/>
      <c r="Q171" t="s">
        <v>13</v>
      </c>
      <c r="R171" t="s">
        <v>249</v>
      </c>
    </row>
    <row r="172" spans="4:18" x14ac:dyDescent="0.2">
      <c r="D172" s="1">
        <v>45960</v>
      </c>
      <c r="E172" s="2">
        <v>0.83333333333333337</v>
      </c>
      <c r="F172" t="s">
        <v>34</v>
      </c>
      <c r="G172">
        <f>VLOOKUP(Table4[[#This Row],[Home]],'NHL Model'!$A$6:$B$38,2,FALSE)</f>
        <v>-5.5124787449478845E-2</v>
      </c>
      <c r="H172" t="s">
        <v>14</v>
      </c>
      <c r="I172">
        <f>VLOOKUP(Table4[[#This Row],[Visitor]],'NHL Model'!$A$6:$B$38,2,FALSE)</f>
        <v>-0.14226422156549004</v>
      </c>
      <c r="J172">
        <f>($B$1+Table4[[#This Row],[Home Differential]])-Table4[[#This Row],[Away Differential]]</f>
        <v>0.13704018303917365</v>
      </c>
      <c r="K172" t="str">
        <f>IF(Table4[[#This Row],[HomeIce Differential]]&gt;0,Table4[[#This Row],[Home]],Table4[[#This Row],[Visitor]])</f>
        <v>Minnesota Wild</v>
      </c>
      <c r="L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0.51671473070034157</v>
      </c>
      <c r="M172" t="str">
        <f>IF(OR((NHL2025_26Results[[#This Row],[Winning Team]]="")),"-",IF(Table4[[#This Row],[Predicted Winner]]=NHL2025_26Results[[#This Row],[Winning Team]],"YES","NO"))</f>
        <v>NO</v>
      </c>
      <c r="N172">
        <f>IF(Table4[[#This Row],[Adjusted Correct]]="-", "",IF(Table4[[#This Row],[Adjusted Correct]]="YES",(Table4[[#This Row],[Strength of Win]]-1)^2,(Table4[[#This Row],[Strength of Win]]-0)^2))</f>
        <v>0.26699411292272651</v>
      </c>
      <c r="O172">
        <v>-1.7175845577976103</v>
      </c>
      <c r="P172" s="11"/>
      <c r="Q172" t="s">
        <v>14</v>
      </c>
      <c r="R172" t="s">
        <v>248</v>
      </c>
    </row>
    <row r="173" spans="4:18" x14ac:dyDescent="0.2">
      <c r="D173" s="1">
        <v>45960</v>
      </c>
      <c r="E173" s="2">
        <v>0.79166666666666663</v>
      </c>
      <c r="F173" t="s">
        <v>36</v>
      </c>
      <c r="G173">
        <f>VLOOKUP(Table4[[#This Row],[Home]],'NHL Model'!$A$6:$B$38,2,FALSE)</f>
        <v>-0.53137605086483863</v>
      </c>
      <c r="H173" t="s">
        <v>16</v>
      </c>
      <c r="I173">
        <f>VLOOKUP(Table4[[#This Row],[Visitor]],'NHL Model'!$A$6:$B$38,2,FALSE)</f>
        <v>-1.0657812790446208</v>
      </c>
      <c r="J173">
        <f>($B$1+Table4[[#This Row],[Home Differential]])-Table4[[#This Row],[Away Differential]]</f>
        <v>0.58430597710294463</v>
      </c>
      <c r="K173" t="str">
        <f>IF(Table4[[#This Row],[HomeIce Differential]]&gt;0,Table4[[#This Row],[Home]],Table4[[#This Row],[Visitor]])</f>
        <v>Ottawa Senators</v>
      </c>
      <c r="L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0.61072182577184631</v>
      </c>
      <c r="M173" t="str">
        <f>IF(OR((NHL2025_26Results[[#This Row],[Winning Team]]="")),"-",IF(Table4[[#This Row],[Predicted Winner]]=NHL2025_26Results[[#This Row],[Winning Team]],"YES","NO"))</f>
        <v>YES</v>
      </c>
      <c r="N173">
        <f>IF(Table4[[#This Row],[Adjusted Correct]]="-", "",IF(Table4[[#This Row],[Adjusted Correct]]="YES",(Table4[[#This Row],[Strength of Win]]-1)^2,(Table4[[#This Row],[Strength of Win]]-0)^2))</f>
        <v>0.15153749693040477</v>
      </c>
      <c r="O173">
        <v>1.1358057578210119</v>
      </c>
      <c r="P173" s="11"/>
      <c r="Q173" t="s">
        <v>36</v>
      </c>
      <c r="R173" t="s">
        <v>248</v>
      </c>
    </row>
    <row r="174" spans="4:18" x14ac:dyDescent="0.2">
      <c r="D174" s="1">
        <v>45960</v>
      </c>
      <c r="E174" s="2">
        <v>0.79166666666666663</v>
      </c>
      <c r="F174" t="s">
        <v>27</v>
      </c>
      <c r="G174">
        <f>VLOOKUP(Table4[[#This Row],[Home]],'NHL Model'!$A$6:$B$38,2,FALSE)</f>
        <v>-0.38023958350631604</v>
      </c>
      <c r="H174" t="s">
        <v>29</v>
      </c>
      <c r="I174">
        <f>VLOOKUP(Table4[[#This Row],[Visitor]],'NHL Model'!$A$6:$B$38,2,FALSE)</f>
        <v>-1.384917283810061</v>
      </c>
      <c r="J174">
        <f>($B$1+Table4[[#This Row],[Home Differential]])-Table4[[#This Row],[Away Differential]]</f>
        <v>1.0545784492269075</v>
      </c>
      <c r="K174" t="str">
        <f>IF(Table4[[#This Row],[HomeIce Differential]]&gt;0,Table4[[#This Row],[Home]],Table4[[#This Row],[Visitor]])</f>
        <v>Philadelphia Flyers</v>
      </c>
      <c r="L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0.67715421891291649</v>
      </c>
      <c r="M174" t="str">
        <f>IF(OR((NHL2025_26Results[[#This Row],[Winning Team]]="")),"-",IF(Table4[[#This Row],[Predicted Winner]]=NHL2025_26Results[[#This Row],[Winning Team]],"YES","NO"))</f>
        <v>YES</v>
      </c>
      <c r="N174">
        <f>IF(Table4[[#This Row],[Adjusted Correct]]="-", "",IF(Table4[[#This Row],[Adjusted Correct]]="YES",(Table4[[#This Row],[Strength of Win]]-1)^2,(Table4[[#This Row],[Strength of Win]]-0)^2))</f>
        <v>0.10422939836572905</v>
      </c>
      <c r="O174">
        <v>1.7025664901942428</v>
      </c>
      <c r="P174" s="11"/>
      <c r="Q174" t="s">
        <v>27</v>
      </c>
      <c r="R174" t="s">
        <v>248</v>
      </c>
    </row>
    <row r="175" spans="4:18" x14ac:dyDescent="0.2">
      <c r="D175" s="1">
        <v>45960</v>
      </c>
      <c r="E175" s="2">
        <v>0.91666666666666663</v>
      </c>
      <c r="F175" t="s">
        <v>33</v>
      </c>
      <c r="G175">
        <f>VLOOKUP(Table4[[#This Row],[Home]],'NHL Model'!$A$6:$B$38,2,FALSE)</f>
        <v>-0.45133099238224339</v>
      </c>
      <c r="H175" t="s">
        <v>24</v>
      </c>
      <c r="I175">
        <f>VLOOKUP(Table4[[#This Row],[Visitor]],'NHL Model'!$A$6:$B$38,2,FALSE)</f>
        <v>1.5302507646042616E-3</v>
      </c>
      <c r="J175">
        <f>($B$1+Table4[[#This Row],[Home Differential]])-Table4[[#This Row],[Away Differential]]</f>
        <v>-0.40296049422368518</v>
      </c>
      <c r="K175" t="str">
        <f>IF(Table4[[#This Row],[HomeIce Differential]]&gt;0,Table4[[#This Row],[Home]],Table4[[#This Row],[Visitor]])</f>
        <v>New Jersey Devils</v>
      </c>
      <c r="L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0.51763982026716526</v>
      </c>
      <c r="M175" t="str">
        <f>IF(OR((NHL2025_26Results[[#This Row],[Winning Team]]="")),"-",IF(Table4[[#This Row],[Predicted Winner]]=NHL2025_26Results[[#This Row],[Winning Team]],"YES","NO"))</f>
        <v>NO</v>
      </c>
      <c r="N175">
        <f>IF(Table4[[#This Row],[Adjusted Correct]]="-", "",IF(Table4[[#This Row],[Adjusted Correct]]="YES",(Table4[[#This Row],[Strength of Win]]-1)^2,(Table4[[#This Row],[Strength of Win]]-0)^2))</f>
        <v>0.26795098352622315</v>
      </c>
      <c r="O175">
        <v>-1.1258567565216646</v>
      </c>
      <c r="P175" s="11"/>
      <c r="Q175" t="s">
        <v>24</v>
      </c>
      <c r="R175" t="s">
        <v>249</v>
      </c>
    </row>
    <row r="176" spans="4:18" x14ac:dyDescent="0.2">
      <c r="D176" s="1">
        <v>45960</v>
      </c>
      <c r="E176" s="2">
        <v>0.83333333333333337</v>
      </c>
      <c r="F176" t="s">
        <v>35</v>
      </c>
      <c r="G176">
        <f>VLOOKUP(Table4[[#This Row],[Home]],'NHL Model'!$A$6:$B$38,2,FALSE)</f>
        <v>-1.3944783719477225</v>
      </c>
      <c r="H176" t="s">
        <v>38</v>
      </c>
      <c r="I176">
        <f>VLOOKUP(Table4[[#This Row],[Visitor]],'NHL Model'!$A$6:$B$38,2,FALSE)</f>
        <v>-0.9476777551108041</v>
      </c>
      <c r="J176">
        <f>($B$1+Table4[[#This Row],[Home Differential]])-Table4[[#This Row],[Away Differential]]</f>
        <v>-0.39689986791375598</v>
      </c>
      <c r="K176" t="str">
        <f>IF(Table4[[#This Row],[HomeIce Differential]]&gt;0,Table4[[#This Row],[Home]],Table4[[#This Row],[Visitor]])</f>
        <v>Vancouver Canucks</v>
      </c>
      <c r="L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0.50992007634330028</v>
      </c>
      <c r="M176" t="str">
        <f>IF(OR((NHL2025_26Results[[#This Row],[Winning Team]]="")),"-",IF(Table4[[#This Row],[Predicted Winner]]=NHL2025_26Results[[#This Row],[Winning Team]],"YES","NO"))</f>
        <v>YES</v>
      </c>
      <c r="N176">
        <f>IF(Table4[[#This Row],[Adjusted Correct]]="-", "",IF(Table4[[#This Row],[Adjusted Correct]]="YES",(Table4[[#This Row],[Strength of Win]]-1)^2,(Table4[[#This Row],[Strength of Win]]-0)^2))</f>
        <v>0.24017833157135662</v>
      </c>
      <c r="O176">
        <v>-0.87576014407702707</v>
      </c>
      <c r="P176" s="11"/>
      <c r="Q176" t="s">
        <v>38</v>
      </c>
      <c r="R176" t="s">
        <v>248</v>
      </c>
    </row>
    <row r="177" spans="4:18" x14ac:dyDescent="0.2">
      <c r="D177" s="1">
        <v>45960</v>
      </c>
      <c r="E177" s="2">
        <v>0.79166666666666663</v>
      </c>
      <c r="F177" t="s">
        <v>37</v>
      </c>
      <c r="G177">
        <f>VLOOKUP(Table4[[#This Row],[Home]],'NHL Model'!$A$6:$B$38,2,FALSE)</f>
        <v>0.51050494674660429</v>
      </c>
      <c r="H177" t="s">
        <v>39</v>
      </c>
      <c r="I177">
        <f>VLOOKUP(Table4[[#This Row],[Visitor]],'NHL Model'!$A$6:$B$38,2,FALSE)</f>
        <v>0.41344250185511977</v>
      </c>
      <c r="J177">
        <f>($B$1+Table4[[#This Row],[Home Differential]])-Table4[[#This Row],[Away Differential]]</f>
        <v>0.14696319381464695</v>
      </c>
      <c r="K177" t="str">
        <f>IF(Table4[[#This Row],[HomeIce Differential]]&gt;0,Table4[[#This Row],[Home]],Table4[[#This Row],[Visitor]])</f>
        <v>Tampa Bay Lightning</v>
      </c>
      <c r="L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0.48774835719391324</v>
      </c>
      <c r="M177" t="str">
        <f>IF(OR((NHL2025_26Results[[#This Row],[Winning Team]]="")),"-",IF(Table4[[#This Row],[Predicted Winner]]=NHL2025_26Results[[#This Row],[Winning Team]],"YES","NO"))</f>
        <v>YES</v>
      </c>
      <c r="N177">
        <f>IF(Table4[[#This Row],[Adjusted Correct]]="-", "",IF(Table4[[#This Row],[Adjusted Correct]]="YES",(Table4[[#This Row],[Strength of Win]]-1)^2,(Table4[[#This Row],[Strength of Win]]-0)^2))</f>
        <v>0.26240174555753476</v>
      </c>
      <c r="O177">
        <v>0.580506709220174</v>
      </c>
      <c r="P177" s="11"/>
      <c r="Q177" t="s">
        <v>37</v>
      </c>
      <c r="R177" t="s">
        <v>248</v>
      </c>
    </row>
    <row r="178" spans="4:18" x14ac:dyDescent="0.2">
      <c r="D178" s="1">
        <v>45960</v>
      </c>
      <c r="E178" s="2">
        <v>0.83333333333333337</v>
      </c>
      <c r="F178" t="s">
        <v>40</v>
      </c>
      <c r="G178">
        <f>VLOOKUP(Table4[[#This Row],[Home]],'NHL Model'!$A$6:$B$38,2,FALSE)</f>
        <v>-0.31324182378279158</v>
      </c>
      <c r="H178" t="s">
        <v>10</v>
      </c>
      <c r="I178">
        <f>VLOOKUP(Table4[[#This Row],[Visitor]],'NHL Model'!$A$6:$B$38,2,FALSE)</f>
        <v>-0.17619625518431364</v>
      </c>
      <c r="J178">
        <f>($B$1+Table4[[#This Row],[Home Differential]])-Table4[[#This Row],[Away Differential]]</f>
        <v>-8.7144819675315455E-2</v>
      </c>
      <c r="K178" t="str">
        <f>IF(Table4[[#This Row],[HomeIce Differential]]&gt;0,Table4[[#This Row],[Home]],Table4[[#This Row],[Visitor]])</f>
        <v>Chicago Blackhawks</v>
      </c>
      <c r="L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0.46767996465849671</v>
      </c>
      <c r="M178" t="str">
        <f>IF(OR((NHL2025_26Results[[#This Row],[Winning Team]]="")),"-",IF(Table4[[#This Row],[Predicted Winner]]=NHL2025_26Results[[#This Row],[Winning Team]],"YES","NO"))</f>
        <v>NO</v>
      </c>
      <c r="N178">
        <f>IF(Table4[[#This Row],[Adjusted Correct]]="-", "",IF(Table4[[#This Row],[Adjusted Correct]]="YES",(Table4[[#This Row],[Strength of Win]]-1)^2,(Table4[[#This Row],[Strength of Win]]-0)^2))</f>
        <v>0.21872454934297272</v>
      </c>
      <c r="O178">
        <v>0.66717825796484931</v>
      </c>
      <c r="P178" s="11"/>
      <c r="Q178" t="s">
        <v>40</v>
      </c>
      <c r="R178" t="s">
        <v>248</v>
      </c>
    </row>
    <row r="179" spans="4:18" x14ac:dyDescent="0.2">
      <c r="D179" s="1">
        <v>45961</v>
      </c>
      <c r="E179" s="2">
        <v>0.91666666666666663</v>
      </c>
      <c r="F179" t="s">
        <v>31</v>
      </c>
      <c r="G179">
        <f>VLOOKUP(Table4[[#This Row],[Home]],'NHL Model'!$A$6:$B$38,2,FALSE)</f>
        <v>0.17870302183926629</v>
      </c>
      <c r="H179" t="s">
        <v>26</v>
      </c>
      <c r="I179">
        <f>VLOOKUP(Table4[[#This Row],[Visitor]],'NHL Model'!$A$6:$B$38,2,FALSE)</f>
        <v>-0.87533956503230947</v>
      </c>
      <c r="J179">
        <f>($B$1+Table4[[#This Row],[Home Differential]])-Table4[[#This Row],[Away Differential]]</f>
        <v>1.1039433357947381</v>
      </c>
      <c r="K179" t="str">
        <f>IF(Table4[[#This Row],[HomeIce Differential]]&gt;0,Table4[[#This Row],[Home]],Table4[[#This Row],[Visitor]])</f>
        <v>Anaheim Ducks</v>
      </c>
      <c r="L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0.7487363882386241</v>
      </c>
      <c r="M179" t="str">
        <f>IF(OR((NHL2025_26Results[[#This Row],[Winning Team]]="")),"-",IF(Table4[[#This Row],[Predicted Winner]]=NHL2025_26Results[[#This Row],[Winning Team]],"YES","NO"))</f>
        <v>YES</v>
      </c>
      <c r="N179">
        <f>IF(Table4[[#This Row],[Adjusted Correct]]="-", "",IF(Table4[[#This Row],[Adjusted Correct]]="YES",(Table4[[#This Row],[Strength of Win]]-1)^2,(Table4[[#This Row],[Strength of Win]]-0)^2))</f>
        <v>6.3133402595371438E-2</v>
      </c>
      <c r="O179">
        <v>0.95394730218963719</v>
      </c>
      <c r="P179" s="11"/>
      <c r="Q179" t="s">
        <v>31</v>
      </c>
      <c r="R179" t="s">
        <v>248</v>
      </c>
    </row>
    <row r="180" spans="4:18" x14ac:dyDescent="0.2">
      <c r="D180" s="1">
        <v>45961</v>
      </c>
      <c r="E180" s="2">
        <v>0.66666666666666663</v>
      </c>
      <c r="F180" t="s">
        <v>20</v>
      </c>
      <c r="G180">
        <f>VLOOKUP(Table4[[#This Row],[Home]],'NHL Model'!$A$6:$B$38,2,FALSE)</f>
        <v>-0.24444083032063643</v>
      </c>
      <c r="H180" t="s">
        <v>12</v>
      </c>
      <c r="I180">
        <f>VLOOKUP(Table4[[#This Row],[Visitor]],'NHL Model'!$A$6:$B$38,2,FALSE)</f>
        <v>1.6319036584269762</v>
      </c>
      <c r="J180">
        <f>($B$1+Table4[[#This Row],[Home Differential]])-Table4[[#This Row],[Away Differential]]</f>
        <v>-1.8264437398244502</v>
      </c>
      <c r="K180" t="str">
        <f>IF(Table4[[#This Row],[HomeIce Differential]]&gt;0,Table4[[#This Row],[Home]],Table4[[#This Row],[Visitor]])</f>
        <v>Colorado Avalanche</v>
      </c>
      <c r="L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0.74588743211805819</v>
      </c>
      <c r="M180" t="str">
        <f>IF(OR((NHL2025_26Results[[#This Row],[Winning Team]]="")),"-",IF(Table4[[#This Row],[Predicted Winner]]=NHL2025_26Results[[#This Row],[Winning Team]],"YES","NO"))</f>
        <v>YES</v>
      </c>
      <c r="N180">
        <f>IF(Table4[[#This Row],[Adjusted Correct]]="-", "",IF(Table4[[#This Row],[Adjusted Correct]]="YES",(Table4[[#This Row],[Strength of Win]]-1)^2,(Table4[[#This Row],[Strength of Win]]-0)^2))</f>
        <v>6.4573197155554485E-2</v>
      </c>
      <c r="O180">
        <v>-0.3993461683610306</v>
      </c>
      <c r="P180" s="11"/>
      <c r="Q180" t="s">
        <v>12</v>
      </c>
      <c r="R180" t="s">
        <v>248</v>
      </c>
    </row>
    <row r="181" spans="4:18" x14ac:dyDescent="0.2">
      <c r="D181" s="1">
        <v>45961</v>
      </c>
      <c r="E181" s="2">
        <v>0.79166666666666663</v>
      </c>
      <c r="F181" t="s">
        <v>22</v>
      </c>
      <c r="G181">
        <f>VLOOKUP(Table4[[#This Row],[Home]],'NHL Model'!$A$6:$B$38,2,FALSE)</f>
        <v>0.4407072328537569</v>
      </c>
      <c r="H181" t="s">
        <v>30</v>
      </c>
      <c r="I181">
        <f>VLOOKUP(Table4[[#This Row],[Visitor]],'NHL Model'!$A$6:$B$38,2,FALSE)</f>
        <v>-0.24093199744133265</v>
      </c>
      <c r="J181">
        <f>($B$1+Table4[[#This Row],[Home Differential]])-Table4[[#This Row],[Away Differential]]</f>
        <v>0.73153997921825198</v>
      </c>
      <c r="K181" t="str">
        <f>IF(Table4[[#This Row],[HomeIce Differential]]&gt;0,Table4[[#This Row],[Home]],Table4[[#This Row],[Visitor]])</f>
        <v>Washington Capitals</v>
      </c>
      <c r="L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0.57908897540919857</v>
      </c>
      <c r="M181" t="str">
        <f>IF(OR((NHL2025_26Results[[#This Row],[Winning Team]]="")),"-",IF(Table4[[#This Row],[Predicted Winner]]=NHL2025_26Results[[#This Row],[Winning Team]],"YES","NO"))</f>
        <v>NO</v>
      </c>
      <c r="N181">
        <f>IF(Table4[[#This Row],[Adjusted Correct]]="-", "",IF(Table4[[#This Row],[Adjusted Correct]]="YES",(Table4[[#This Row],[Strength of Win]]-1)^2,(Table4[[#This Row],[Strength of Win]]-0)^2))</f>
        <v>0.33534404144047536</v>
      </c>
      <c r="O181">
        <v>0.26062581828964315</v>
      </c>
      <c r="P181" s="11"/>
      <c r="Q181" t="s">
        <v>22</v>
      </c>
      <c r="R181" t="s">
        <v>249</v>
      </c>
    </row>
    <row r="182" spans="4:18" x14ac:dyDescent="0.2">
      <c r="D182" s="1">
        <v>45962</v>
      </c>
      <c r="E182" s="2">
        <v>0.54166666666666663</v>
      </c>
      <c r="F182" t="s">
        <v>21</v>
      </c>
      <c r="G182">
        <f>VLOOKUP(Table4[[#This Row],[Home]],'NHL Model'!$A$6:$B$38,2,FALSE)</f>
        <v>-0.21976976044773161</v>
      </c>
      <c r="H182" t="s">
        <v>25</v>
      </c>
      <c r="I182">
        <f>VLOOKUP(Table4[[#This Row],[Visitor]],'NHL Model'!$A$6:$B$38,2,FALSE)</f>
        <v>0.42567513732855267</v>
      </c>
      <c r="J182">
        <f>($B$1+Table4[[#This Row],[Home Differential]])-Table4[[#This Row],[Away Differential]]</f>
        <v>-0.59554414885312179</v>
      </c>
      <c r="K182" t="str">
        <f>IF(Table4[[#This Row],[HomeIce Differential]]&gt;0,Table4[[#This Row],[Home]],Table4[[#This Row],[Visitor]])</f>
        <v>Carolina Hurricanes</v>
      </c>
      <c r="L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0.55862153841523121</v>
      </c>
      <c r="M182" t="str">
        <f>IF(OR((NHL2025_26Results[[#This Row],[Winning Team]]="")),"-",IF(Table4[[#This Row],[Predicted Winner]]=NHL2025_26Results[[#This Row],[Winning Team]],"YES","NO"))</f>
        <v>NO</v>
      </c>
      <c r="N182">
        <f>IF(Table4[[#This Row],[Adjusted Correct]]="-", "",IF(Table4[[#This Row],[Adjusted Correct]]="YES",(Table4[[#This Row],[Strength of Win]]-1)^2,(Table4[[#This Row],[Strength of Win]]-0)^2))</f>
        <v>0.31205802318139964</v>
      </c>
      <c r="O182">
        <v>-0.83278704893044175</v>
      </c>
      <c r="P182" s="11"/>
      <c r="Q182" t="s">
        <v>25</v>
      </c>
      <c r="R182" t="s">
        <v>249</v>
      </c>
    </row>
    <row r="183" spans="4:18" x14ac:dyDescent="0.2">
      <c r="D183" s="1">
        <v>45962</v>
      </c>
      <c r="E183" s="2">
        <v>0.79166666666666663</v>
      </c>
      <c r="F183" t="s">
        <v>23</v>
      </c>
      <c r="G183">
        <f>VLOOKUP(Table4[[#This Row],[Home]],'NHL Model'!$A$6:$B$38,2,FALSE)</f>
        <v>-0.4761104357405897</v>
      </c>
      <c r="H183" t="s">
        <v>22</v>
      </c>
      <c r="I183">
        <f>VLOOKUP(Table4[[#This Row],[Visitor]],'NHL Model'!$A$6:$B$38,2,FALSE)</f>
        <v>0.4407072328537569</v>
      </c>
      <c r="J183">
        <f>($B$1+Table4[[#This Row],[Home Differential]])-Table4[[#This Row],[Away Differential]]</f>
        <v>-0.86691691967118412</v>
      </c>
      <c r="K183" t="str">
        <f>IF(Table4[[#This Row],[HomeIce Differential]]&gt;0,Table4[[#This Row],[Home]],Table4[[#This Row],[Visitor]])</f>
        <v>Washington Capitals</v>
      </c>
      <c r="L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0.59353303745986197</v>
      </c>
      <c r="M183" t="str">
        <f>IF(OR((NHL2025_26Results[[#This Row],[Winning Team]]="")),"-",IF(Table4[[#This Row],[Predicted Winner]]=NHL2025_26Results[[#This Row],[Winning Team]],"YES","NO"))</f>
        <v>NO</v>
      </c>
      <c r="N183">
        <f>IF(Table4[[#This Row],[Adjusted Correct]]="-", "",IF(Table4[[#This Row],[Adjusted Correct]]="YES",(Table4[[#This Row],[Strength of Win]]-1)^2,(Table4[[#This Row],[Strength of Win]]-0)^2))</f>
        <v>0.35228146655632991</v>
      </c>
      <c r="O183">
        <v>0.23932364949177198</v>
      </c>
      <c r="P183" s="11"/>
      <c r="Q183" t="s">
        <v>23</v>
      </c>
      <c r="R183" t="s">
        <v>248</v>
      </c>
    </row>
    <row r="184" spans="4:18" x14ac:dyDescent="0.2">
      <c r="D184" s="1">
        <v>45962</v>
      </c>
      <c r="E184" s="2">
        <v>0.79166666666666663</v>
      </c>
      <c r="F184" t="s">
        <v>28</v>
      </c>
      <c r="G184">
        <f>VLOOKUP(Table4[[#This Row],[Home]],'NHL Model'!$A$6:$B$38,2,FALSE)</f>
        <v>-0.59498940435054026</v>
      </c>
      <c r="H184" t="s">
        <v>35</v>
      </c>
      <c r="I184">
        <f>VLOOKUP(Table4[[#This Row],[Visitor]],'NHL Model'!$A$6:$B$38,2,FALSE)</f>
        <v>-1.3944783719477225</v>
      </c>
      <c r="J184">
        <f>($B$1+Table4[[#This Row],[Home Differential]])-Table4[[#This Row],[Away Differential]]</f>
        <v>0.84938971652034467</v>
      </c>
      <c r="K184" t="str">
        <f>IF(Table4[[#This Row],[HomeIce Differential]]&gt;0,Table4[[#This Row],[Home]],Table4[[#This Row],[Visitor]])</f>
        <v>Columbus Blue Jackets</v>
      </c>
      <c r="L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0.63917878550125307</v>
      </c>
      <c r="M184" t="str">
        <f>IF(OR((NHL2025_26Results[[#This Row],[Winning Team]]="")),"-",IF(Table4[[#This Row],[Predicted Winner]]=NHL2025_26Results[[#This Row],[Winning Team]],"YES","NO"))</f>
        <v>YES</v>
      </c>
      <c r="N184">
        <f>IF(Table4[[#This Row],[Adjusted Correct]]="-", "",IF(Table4[[#This Row],[Adjusted Correct]]="YES",(Table4[[#This Row],[Strength of Win]]-1)^2,(Table4[[#This Row],[Strength of Win]]-0)^2))</f>
        <v>0.13019194883235075</v>
      </c>
      <c r="O184">
        <v>2.2732468074460868</v>
      </c>
      <c r="P184" s="11"/>
      <c r="Q184" t="s">
        <v>28</v>
      </c>
      <c r="R184" t="s">
        <v>248</v>
      </c>
    </row>
    <row r="185" spans="4:18" x14ac:dyDescent="0.2">
      <c r="D185" s="1">
        <v>45962</v>
      </c>
      <c r="E185" s="2">
        <v>0.91666666666666663</v>
      </c>
      <c r="F185" t="s">
        <v>17</v>
      </c>
      <c r="G185">
        <f>VLOOKUP(Table4[[#This Row],[Home]],'NHL Model'!$A$6:$B$38,2,FALSE)</f>
        <v>-0.81774666423752174</v>
      </c>
      <c r="H185" t="s">
        <v>10</v>
      </c>
      <c r="I185">
        <f>VLOOKUP(Table4[[#This Row],[Visitor]],'NHL Model'!$A$6:$B$38,2,FALSE)</f>
        <v>-0.17619625518431364</v>
      </c>
      <c r="J185">
        <f>($B$1+Table4[[#This Row],[Home Differential]])-Table4[[#This Row],[Away Differential]]</f>
        <v>-0.59164966013004561</v>
      </c>
      <c r="K185" t="str">
        <f>IF(Table4[[#This Row],[HomeIce Differential]]&gt;0,Table4[[#This Row],[Home]],Table4[[#This Row],[Visitor]])</f>
        <v>Chicago Blackhawks</v>
      </c>
      <c r="L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0.52203787808599023</v>
      </c>
      <c r="M185" t="str">
        <f>IF(OR((NHL2025_26Results[[#This Row],[Winning Team]]="")),"-",IF(Table4[[#This Row],[Predicted Winner]]=NHL2025_26Results[[#This Row],[Winning Team]],"YES","NO"))</f>
        <v>NO</v>
      </c>
      <c r="N185">
        <f>IF(Table4[[#This Row],[Adjusted Correct]]="-", "",IF(Table4[[#This Row],[Adjusted Correct]]="YES",(Table4[[#This Row],[Strength of Win]]-1)^2,(Table4[[#This Row],[Strength of Win]]-0)^2))</f>
        <v>0.27252354615652319</v>
      </c>
      <c r="O185">
        <v>-4.7121828211146299E-2</v>
      </c>
      <c r="P185" s="11"/>
      <c r="Q185" t="s">
        <v>10</v>
      </c>
      <c r="R185" t="s">
        <v>249</v>
      </c>
    </row>
    <row r="186" spans="4:18" x14ac:dyDescent="0.2">
      <c r="D186" s="1">
        <v>45962</v>
      </c>
      <c r="E186" s="2">
        <v>0.75</v>
      </c>
      <c r="F186" t="s">
        <v>11</v>
      </c>
      <c r="G186">
        <f>VLOOKUP(Table4[[#This Row],[Home]],'NHL Model'!$A$6:$B$38,2,FALSE)</f>
        <v>-0.39711829106410657</v>
      </c>
      <c r="H186" t="s">
        <v>39</v>
      </c>
      <c r="I186">
        <f>VLOOKUP(Table4[[#This Row],[Visitor]],'NHL Model'!$A$6:$B$38,2,FALSE)</f>
        <v>0.41344250185511977</v>
      </c>
      <c r="J186">
        <f>($B$1+Table4[[#This Row],[Home Differential]])-Table4[[#This Row],[Away Differential]]</f>
        <v>-0.76066004399606379</v>
      </c>
      <c r="K186" t="str">
        <f>IF(Table4[[#This Row],[HomeIce Differential]]&gt;0,Table4[[#This Row],[Home]],Table4[[#This Row],[Visitor]])</f>
        <v>Dallas Stars</v>
      </c>
      <c r="L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0.6366443736340629</v>
      </c>
      <c r="M186" t="str">
        <f>IF(OR((NHL2025_26Results[[#This Row],[Winning Team]]="")),"-",IF(Table4[[#This Row],[Predicted Winner]]=NHL2025_26Results[[#This Row],[Winning Team]],"YES","NO"))</f>
        <v>NO</v>
      </c>
      <c r="N186">
        <f>IF(Table4[[#This Row],[Adjusted Correct]]="-", "",IF(Table4[[#This Row],[Adjusted Correct]]="YES",(Table4[[#This Row],[Strength of Win]]-1)^2,(Table4[[#This Row],[Strength of Win]]-0)^2))</f>
        <v>0.40531605847990826</v>
      </c>
      <c r="O186">
        <v>0.5084924414046591</v>
      </c>
      <c r="P186" s="11"/>
      <c r="Q186" t="s">
        <v>11</v>
      </c>
      <c r="R186" t="s">
        <v>248</v>
      </c>
    </row>
    <row r="187" spans="4:18" x14ac:dyDescent="0.2">
      <c r="D187" s="1">
        <v>45962</v>
      </c>
      <c r="E187" s="2">
        <v>0.875</v>
      </c>
      <c r="F187" t="s">
        <v>13</v>
      </c>
      <c r="G187">
        <f>VLOOKUP(Table4[[#This Row],[Home]],'NHL Model'!$A$6:$B$38,2,FALSE)</f>
        <v>-0.33828359867721369</v>
      </c>
      <c r="H187" t="s">
        <v>24</v>
      </c>
      <c r="I187">
        <f>VLOOKUP(Table4[[#This Row],[Visitor]],'NHL Model'!$A$6:$B$38,2,FALSE)</f>
        <v>1.5302507646042616E-3</v>
      </c>
      <c r="J187">
        <f>($B$1+Table4[[#This Row],[Home Differential]])-Table4[[#This Row],[Away Differential]]</f>
        <v>-0.28991310051865549</v>
      </c>
      <c r="K187" t="str">
        <f>IF(Table4[[#This Row],[HomeIce Differential]]&gt;0,Table4[[#This Row],[Home]],Table4[[#This Row],[Visitor]])</f>
        <v>New Jersey Devils</v>
      </c>
      <c r="L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0.51462086406676455</v>
      </c>
      <c r="M187" t="str">
        <f>IF(OR((NHL2025_26Results[[#This Row],[Winning Team]]="")),"-",IF(Table4[[#This Row],[Predicted Winner]]=NHL2025_26Results[[#This Row],[Winning Team]],"YES","NO"))</f>
        <v>YES</v>
      </c>
      <c r="N187">
        <f>IF(Table4[[#This Row],[Adjusted Correct]]="-", "",IF(Table4[[#This Row],[Adjusted Correct]]="YES",(Table4[[#This Row],[Strength of Win]]-1)^2,(Table4[[#This Row],[Strength of Win]]-0)^2))</f>
        <v>0.23559290559929424</v>
      </c>
      <c r="O187">
        <v>-1.0538766188757165</v>
      </c>
      <c r="P187" s="11"/>
      <c r="Q187" t="s">
        <v>24</v>
      </c>
      <c r="R187" t="s">
        <v>248</v>
      </c>
    </row>
    <row r="188" spans="4:18" x14ac:dyDescent="0.2">
      <c r="D188" s="1">
        <v>45962</v>
      </c>
      <c r="E188" s="2">
        <v>0.79166666666666663</v>
      </c>
      <c r="F188" t="s">
        <v>34</v>
      </c>
      <c r="G188">
        <f>VLOOKUP(Table4[[#This Row],[Home]],'NHL Model'!$A$6:$B$38,2,FALSE)</f>
        <v>-5.5124787449478845E-2</v>
      </c>
      <c r="H188" t="s">
        <v>38</v>
      </c>
      <c r="I188">
        <f>VLOOKUP(Table4[[#This Row],[Visitor]],'NHL Model'!$A$6:$B$38,2,FALSE)</f>
        <v>-0.9476777551108041</v>
      </c>
      <c r="J188">
        <f>($B$1+Table4[[#This Row],[Home Differential]])-Table4[[#This Row],[Away Differential]]</f>
        <v>0.94245371658448773</v>
      </c>
      <c r="K188" t="str">
        <f>IF(Table4[[#This Row],[HomeIce Differential]]&gt;0,Table4[[#This Row],[Home]],Table4[[#This Row],[Visitor]])</f>
        <v>Minnesota Wild</v>
      </c>
      <c r="L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0.6464692220949555</v>
      </c>
      <c r="M188" t="str">
        <f>IF(OR((NHL2025_26Results[[#This Row],[Winning Team]]="")),"-",IF(Table4[[#This Row],[Predicted Winner]]=NHL2025_26Results[[#This Row],[Winning Team]],"YES","NO"))</f>
        <v>YES</v>
      </c>
      <c r="N188">
        <f>IF(Table4[[#This Row],[Adjusted Correct]]="-", "",IF(Table4[[#This Row],[Adjusted Correct]]="YES",(Table4[[#This Row],[Strength of Win]]-1)^2,(Table4[[#This Row],[Strength of Win]]-0)^2))</f>
        <v>0.1249840109261459</v>
      </c>
      <c r="O188">
        <v>0.16670036800569887</v>
      </c>
      <c r="P188" s="11"/>
      <c r="Q188" t="s">
        <v>34</v>
      </c>
      <c r="R188" t="s">
        <v>248</v>
      </c>
    </row>
    <row r="189" spans="4:18" x14ac:dyDescent="0.2">
      <c r="D189" s="1">
        <v>45962</v>
      </c>
      <c r="E189" s="2">
        <v>0.79166666666666663</v>
      </c>
      <c r="F189" t="s">
        <v>18</v>
      </c>
      <c r="G189">
        <f>VLOOKUP(Table4[[#This Row],[Home]],'NHL Model'!$A$6:$B$38,2,FALSE)</f>
        <v>-0.59288962827382519</v>
      </c>
      <c r="H189" t="s">
        <v>36</v>
      </c>
      <c r="I189">
        <f>VLOOKUP(Table4[[#This Row],[Visitor]],'NHL Model'!$A$6:$B$38,2,FALSE)</f>
        <v>-0.53137605086483863</v>
      </c>
      <c r="J189">
        <f>($B$1+Table4[[#This Row],[Home Differential]])-Table4[[#This Row],[Away Differential]]</f>
        <v>-1.1612828485824123E-2</v>
      </c>
      <c r="K189" t="str">
        <f>IF(Table4[[#This Row],[HomeIce Differential]]&gt;0,Table4[[#This Row],[Home]],Table4[[#This Row],[Visitor]])</f>
        <v>Ottawa Senators</v>
      </c>
      <c r="L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0.46135596911883597</v>
      </c>
      <c r="M189" t="str">
        <f>IF(OR((NHL2025_26Results[[#This Row],[Winning Team]]="")),"-",IF(Table4[[#This Row],[Predicted Winner]]=NHL2025_26Results[[#This Row],[Winning Team]],"YES","NO"))</f>
        <v>NO</v>
      </c>
      <c r="N189">
        <f>IF(Table4[[#This Row],[Adjusted Correct]]="-", "",IF(Table4[[#This Row],[Adjusted Correct]]="YES",(Table4[[#This Row],[Strength of Win]]-1)^2,(Table4[[#This Row],[Strength of Win]]-0)^2))</f>
        <v>0.21284933024158034</v>
      </c>
      <c r="O189">
        <v>1.0119781657833355</v>
      </c>
      <c r="P189" s="11"/>
      <c r="Q189" t="s">
        <v>18</v>
      </c>
      <c r="R189" t="s">
        <v>248</v>
      </c>
    </row>
    <row r="190" spans="4:18" x14ac:dyDescent="0.2">
      <c r="D190" s="1">
        <v>45962</v>
      </c>
      <c r="E190" s="2">
        <v>0.64583333333333337</v>
      </c>
      <c r="F190" t="s">
        <v>29</v>
      </c>
      <c r="G190">
        <f>VLOOKUP(Table4[[#This Row],[Home]],'NHL Model'!$A$6:$B$38,2,FALSE)</f>
        <v>-1.384917283810061</v>
      </c>
      <c r="H190" t="s">
        <v>16</v>
      </c>
      <c r="I190">
        <f>VLOOKUP(Table4[[#This Row],[Visitor]],'NHL Model'!$A$6:$B$38,2,FALSE)</f>
        <v>-1.0657812790446208</v>
      </c>
      <c r="J190">
        <f>($B$1+Table4[[#This Row],[Home Differential]])-Table4[[#This Row],[Away Differential]]</f>
        <v>-0.2692352558422777</v>
      </c>
      <c r="K190" t="str">
        <f>IF(Table4[[#This Row],[HomeIce Differential]]&gt;0,Table4[[#This Row],[Home]],Table4[[#This Row],[Visitor]])</f>
        <v>Calgary Flames</v>
      </c>
      <c r="L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0.49143718974836059</v>
      </c>
      <c r="M190" t="str">
        <f>IF(OR((NHL2025_26Results[[#This Row],[Winning Team]]="")),"-",IF(Table4[[#This Row],[Predicted Winner]]=NHL2025_26Results[[#This Row],[Winning Team]],"YES","NO"))</f>
        <v>NO</v>
      </c>
      <c r="N190">
        <f>IF(Table4[[#This Row],[Adjusted Correct]]="-", "",IF(Table4[[#This Row],[Adjusted Correct]]="YES",(Table4[[#This Row],[Strength of Win]]-1)^2,(Table4[[#This Row],[Strength of Win]]-0)^2))</f>
        <v>0.24151051146776617</v>
      </c>
      <c r="O190">
        <v>0.71867492332139604</v>
      </c>
      <c r="P190" s="11"/>
      <c r="Q190" t="s">
        <v>29</v>
      </c>
      <c r="R190" t="s">
        <v>248</v>
      </c>
    </row>
    <row r="191" spans="4:18" x14ac:dyDescent="0.2">
      <c r="D191" s="1">
        <v>45962</v>
      </c>
      <c r="E191" s="2">
        <v>0.79166666666666663</v>
      </c>
      <c r="F191" t="s">
        <v>27</v>
      </c>
      <c r="G191">
        <f>VLOOKUP(Table4[[#This Row],[Home]],'NHL Model'!$A$6:$B$38,2,FALSE)</f>
        <v>-0.38023958350631604</v>
      </c>
      <c r="H191" t="s">
        <v>19</v>
      </c>
      <c r="I191">
        <f>VLOOKUP(Table4[[#This Row],[Visitor]],'NHL Model'!$A$6:$B$38,2,FALSE)</f>
        <v>-0.63447859131898054</v>
      </c>
      <c r="J191">
        <f>($B$1+Table4[[#This Row],[Home Differential]])-Table4[[#This Row],[Away Differential]]</f>
        <v>0.30413975673582699</v>
      </c>
      <c r="K191" t="str">
        <f>IF(Table4[[#This Row],[HomeIce Differential]]&gt;0,Table4[[#This Row],[Home]],Table4[[#This Row],[Visitor]])</f>
        <v>Philadelphia Flyers</v>
      </c>
      <c r="L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0.5895294258799636</v>
      </c>
      <c r="M191" t="str">
        <f>IF(OR((NHL2025_26Results[[#This Row],[Winning Team]]="")),"-",IF(Table4[[#This Row],[Predicted Winner]]=NHL2025_26Results[[#This Row],[Winning Team]],"YES","NO"))</f>
        <v>NO</v>
      </c>
      <c r="N191">
        <f>IF(Table4[[#This Row],[Adjusted Correct]]="-", "",IF(Table4[[#This Row],[Adjusted Correct]]="YES",(Table4[[#This Row],[Strength of Win]]-1)^2,(Table4[[#This Row],[Strength of Win]]-0)^2))</f>
        <v>0.3475449439783595</v>
      </c>
      <c r="O191">
        <v>0.65347118999126108</v>
      </c>
      <c r="P191" s="11"/>
      <c r="Q191" t="s">
        <v>27</v>
      </c>
      <c r="R191" t="s">
        <v>249</v>
      </c>
    </row>
    <row r="192" spans="4:18" x14ac:dyDescent="0.2">
      <c r="D192" s="1">
        <v>45962</v>
      </c>
      <c r="E192" s="2">
        <v>0.91666666666666663</v>
      </c>
      <c r="F192" t="s">
        <v>32</v>
      </c>
      <c r="G192">
        <f>VLOOKUP(Table4[[#This Row],[Home]],'NHL Model'!$A$6:$B$38,2,FALSE)</f>
        <v>-0.64937723527808999</v>
      </c>
      <c r="H192" t="s">
        <v>15</v>
      </c>
      <c r="I192">
        <f>VLOOKUP(Table4[[#This Row],[Visitor]],'NHL Model'!$A$6:$B$38,2,FALSE)</f>
        <v>-0.29003398448394263</v>
      </c>
      <c r="J192">
        <f>($B$1+Table4[[#This Row],[Home Differential]])-Table4[[#This Row],[Away Differential]]</f>
        <v>-0.30944250187098493</v>
      </c>
      <c r="K192" t="str">
        <f>IF(Table4[[#This Row],[HomeIce Differential]]&gt;0,Table4[[#This Row],[Home]],Table4[[#This Row],[Visitor]])</f>
        <v>New York Rangers</v>
      </c>
      <c r="L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0.59621344553392286</v>
      </c>
      <c r="M192" t="str">
        <f>IF(OR((NHL2025_26Results[[#This Row],[Winning Team]]="")),"-",IF(Table4[[#This Row],[Predicted Winner]]=NHL2025_26Results[[#This Row],[Winning Team]],"YES","NO"))</f>
        <v>YES</v>
      </c>
      <c r="N192">
        <f>IF(Table4[[#This Row],[Adjusted Correct]]="-", "",IF(Table4[[#This Row],[Adjusted Correct]]="YES",(Table4[[#This Row],[Strength of Win]]-1)^2,(Table4[[#This Row],[Strength of Win]]-0)^2))</f>
        <v>0.16304358156758628</v>
      </c>
      <c r="O192">
        <v>0.42226421291452432</v>
      </c>
      <c r="P192" s="11"/>
      <c r="Q192" t="s">
        <v>32</v>
      </c>
      <c r="R192" t="s">
        <v>249</v>
      </c>
    </row>
    <row r="193" spans="4:18" x14ac:dyDescent="0.2">
      <c r="D193" s="1">
        <v>45962</v>
      </c>
      <c r="E193" s="2">
        <v>0.66666666666666663</v>
      </c>
      <c r="F193" t="s">
        <v>33</v>
      </c>
      <c r="G193">
        <f>VLOOKUP(Table4[[#This Row],[Home]],'NHL Model'!$A$6:$B$38,2,FALSE)</f>
        <v>-0.45133099238224339</v>
      </c>
      <c r="H193" t="s">
        <v>12</v>
      </c>
      <c r="I193">
        <f>VLOOKUP(Table4[[#This Row],[Visitor]],'NHL Model'!$A$6:$B$38,2,FALSE)</f>
        <v>1.6319036584269762</v>
      </c>
      <c r="J193">
        <f>($B$1+Table4[[#This Row],[Home Differential]])-Table4[[#This Row],[Away Differential]]</f>
        <v>-2.0333339018860572</v>
      </c>
      <c r="K193" t="str">
        <f>IF(Table4[[#This Row],[HomeIce Differential]]&gt;0,Table4[[#This Row],[Home]],Table4[[#This Row],[Visitor]])</f>
        <v>Colorado Avalanche</v>
      </c>
      <c r="L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0.75987072250359355</v>
      </c>
      <c r="M193" t="str">
        <f>IF(OR((NHL2025_26Results[[#This Row],[Winning Team]]="")),"-",IF(Table4[[#This Row],[Predicted Winner]]=NHL2025_26Results[[#This Row],[Winning Team]],"YES","NO"))</f>
        <v>NO</v>
      </c>
      <c r="N193">
        <f>IF(Table4[[#This Row],[Adjusted Correct]]="-", "",IF(Table4[[#This Row],[Adjusted Correct]]="YES",(Table4[[#This Row],[Strength of Win]]-1)^2,(Table4[[#This Row],[Strength of Win]]-0)^2))</f>
        <v>0.57740351491813324</v>
      </c>
      <c r="O193">
        <v>-1.5082021501892711</v>
      </c>
      <c r="P193" s="11"/>
      <c r="Q193" t="s">
        <v>12</v>
      </c>
      <c r="R193" t="s">
        <v>249</v>
      </c>
    </row>
    <row r="194" spans="4:18" x14ac:dyDescent="0.2">
      <c r="D194" s="1">
        <v>45962</v>
      </c>
      <c r="E194" s="2">
        <v>0.625</v>
      </c>
      <c r="F194" t="s">
        <v>40</v>
      </c>
      <c r="G194">
        <f>VLOOKUP(Table4[[#This Row],[Home]],'NHL Model'!$A$6:$B$38,2,FALSE)</f>
        <v>-0.31324182378279158</v>
      </c>
      <c r="H194" t="s">
        <v>14</v>
      </c>
      <c r="I194">
        <f>VLOOKUP(Table4[[#This Row],[Visitor]],'NHL Model'!$A$6:$B$38,2,FALSE)</f>
        <v>-0.14226422156549004</v>
      </c>
      <c r="J194">
        <f>($B$1+Table4[[#This Row],[Home Differential]])-Table4[[#This Row],[Away Differential]]</f>
        <v>-0.12107685329413906</v>
      </c>
      <c r="K194" t="str">
        <f>IF(Table4[[#This Row],[HomeIce Differential]]&gt;0,Table4[[#This Row],[Home]],Table4[[#This Row],[Visitor]])</f>
        <v>Pittsburgh Penguins</v>
      </c>
      <c r="L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0.51091170313729506</v>
      </c>
      <c r="M194" t="str">
        <f>IF(OR((NHL2025_26Results[[#This Row],[Winning Team]]="")),"-",IF(Table4[[#This Row],[Predicted Winner]]=NHL2025_26Results[[#This Row],[Winning Team]],"YES","NO"))</f>
        <v>NO</v>
      </c>
      <c r="N194">
        <f>IF(Table4[[#This Row],[Adjusted Correct]]="-", "",IF(Table4[[#This Row],[Adjusted Correct]]="YES",(Table4[[#This Row],[Strength of Win]]-1)^2,(Table4[[#This Row],[Strength of Win]]-0)^2))</f>
        <v>0.26103076840265149</v>
      </c>
      <c r="O194">
        <v>0.52399175013210497</v>
      </c>
      <c r="P194" s="11"/>
      <c r="Q194" t="s">
        <v>40</v>
      </c>
      <c r="R194" t="s">
        <v>248</v>
      </c>
    </row>
    <row r="195" spans="4:18" x14ac:dyDescent="0.2">
      <c r="D195" s="1">
        <v>45963</v>
      </c>
      <c r="E195" s="2">
        <v>0.83333333333333337</v>
      </c>
      <c r="F195" t="s">
        <v>31</v>
      </c>
      <c r="G195">
        <f>VLOOKUP(Table4[[#This Row],[Home]],'NHL Model'!$A$6:$B$38,2,FALSE)</f>
        <v>0.17870302183926629</v>
      </c>
      <c r="H195" t="s">
        <v>24</v>
      </c>
      <c r="I195">
        <f>VLOOKUP(Table4[[#This Row],[Visitor]],'NHL Model'!$A$6:$B$38,2,FALSE)</f>
        <v>1.5302507646042616E-3</v>
      </c>
      <c r="J195">
        <f>($B$1+Table4[[#This Row],[Home Differential]])-Table4[[#This Row],[Away Differential]]</f>
        <v>0.22707351999782449</v>
      </c>
      <c r="K195" t="str">
        <f>IF(Table4[[#This Row],[HomeIce Differential]]&gt;0,Table4[[#This Row],[Home]],Table4[[#This Row],[Visitor]])</f>
        <v>Anaheim Ducks</v>
      </c>
      <c r="L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0.62651418482571097</v>
      </c>
      <c r="M195" t="str">
        <f>IF(OR((NHL2025_26Results[[#This Row],[Winning Team]]="")),"-",IF(Table4[[#This Row],[Predicted Winner]]=NHL2025_26Results[[#This Row],[Winning Team]],"YES","NO"))</f>
        <v>YES</v>
      </c>
      <c r="N195">
        <f>IF(Table4[[#This Row],[Adjusted Correct]]="-", "",IF(Table4[[#This Row],[Adjusted Correct]]="YES",(Table4[[#This Row],[Strength of Win]]-1)^2,(Table4[[#This Row],[Strength of Win]]-0)^2))</f>
        <v>0.13949165413640319</v>
      </c>
      <c r="O195">
        <v>0.41790689936345415</v>
      </c>
      <c r="P195" s="11"/>
      <c r="Q195" t="s">
        <v>31</v>
      </c>
      <c r="R195" t="s">
        <v>248</v>
      </c>
    </row>
    <row r="196" spans="4:18" x14ac:dyDescent="0.2">
      <c r="D196" s="1">
        <v>45963</v>
      </c>
      <c r="E196" s="2">
        <v>0.70833333333333337</v>
      </c>
      <c r="F196" t="s">
        <v>30</v>
      </c>
      <c r="G196">
        <f>VLOOKUP(Table4[[#This Row],[Home]],'NHL Model'!$A$6:$B$38,2,FALSE)</f>
        <v>-0.24093199744133265</v>
      </c>
      <c r="H196" t="s">
        <v>28</v>
      </c>
      <c r="I196">
        <f>VLOOKUP(Table4[[#This Row],[Visitor]],'NHL Model'!$A$6:$B$38,2,FALSE)</f>
        <v>-0.59498940435054026</v>
      </c>
      <c r="J196">
        <f>($B$1+Table4[[#This Row],[Home Differential]])-Table4[[#This Row],[Away Differential]]</f>
        <v>0.40395815583237005</v>
      </c>
      <c r="K196" t="str">
        <f>IF(Table4[[#This Row],[HomeIce Differential]]&gt;0,Table4[[#This Row],[Home]],Table4[[#This Row],[Visitor]])</f>
        <v>New York Islanders</v>
      </c>
      <c r="L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0.5835919177498986</v>
      </c>
      <c r="M196" t="str">
        <f>IF(OR((NHL2025_26Results[[#This Row],[Winning Team]]="")),"-",IF(Table4[[#This Row],[Predicted Winner]]=NHL2025_26Results[[#This Row],[Winning Team]],"YES","NO"))</f>
        <v>YES</v>
      </c>
      <c r="N196">
        <f>IF(Table4[[#This Row],[Adjusted Correct]]="-", "",IF(Table4[[#This Row],[Adjusted Correct]]="YES",(Table4[[#This Row],[Strength of Win]]-1)^2,(Table4[[#This Row],[Strength of Win]]-0)^2))</f>
        <v>0.1733956909632072</v>
      </c>
      <c r="O196">
        <v>1.9007085254070299E-2</v>
      </c>
      <c r="P196" s="11"/>
      <c r="Q196" t="s">
        <v>30</v>
      </c>
      <c r="R196" t="s">
        <v>248</v>
      </c>
    </row>
    <row r="197" spans="4:18" x14ac:dyDescent="0.2">
      <c r="D197" s="1">
        <v>45963</v>
      </c>
      <c r="E197" s="2">
        <v>0.79166666666666663</v>
      </c>
      <c r="F197" t="s">
        <v>27</v>
      </c>
      <c r="G197">
        <f>VLOOKUP(Table4[[#This Row],[Home]],'NHL Model'!$A$6:$B$38,2,FALSE)</f>
        <v>-0.38023958350631604</v>
      </c>
      <c r="H197" t="s">
        <v>16</v>
      </c>
      <c r="I197">
        <f>VLOOKUP(Table4[[#This Row],[Visitor]],'NHL Model'!$A$6:$B$38,2,FALSE)</f>
        <v>-1.0657812790446208</v>
      </c>
      <c r="J197">
        <f>($B$1+Table4[[#This Row],[Home Differential]])-Table4[[#This Row],[Away Differential]]</f>
        <v>0.73544244446146734</v>
      </c>
      <c r="K197" t="str">
        <f>IF(Table4[[#This Row],[HomeIce Differential]]&gt;0,Table4[[#This Row],[Home]],Table4[[#This Row],[Visitor]])</f>
        <v>Philadelphia Flyers</v>
      </c>
      <c r="L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0.63989038024528599</v>
      </c>
      <c r="M197" t="str">
        <f>IF(OR((NHL2025_26Results[[#This Row],[Winning Team]]="")),"-",IF(Table4[[#This Row],[Predicted Winner]]=NHL2025_26Results[[#This Row],[Winning Team]],"YES","NO"))</f>
        <v>NO</v>
      </c>
      <c r="N197">
        <f>IF(Table4[[#This Row],[Adjusted Correct]]="-", "",IF(Table4[[#This Row],[Adjusted Correct]]="YES",(Table4[[#This Row],[Strength of Win]]-1)^2,(Table4[[#This Row],[Strength of Win]]-0)^2))</f>
        <v>0.40945969873045668</v>
      </c>
      <c r="O197">
        <v>1.3434163037968592</v>
      </c>
      <c r="P197" s="11"/>
      <c r="Q197" t="s">
        <v>27</v>
      </c>
      <c r="R197" t="s">
        <v>249</v>
      </c>
    </row>
    <row r="198" spans="4:18" x14ac:dyDescent="0.2">
      <c r="D198" s="1">
        <v>45963</v>
      </c>
      <c r="E198" s="2">
        <v>0.83333333333333337</v>
      </c>
      <c r="F198" t="s">
        <v>33</v>
      </c>
      <c r="G198">
        <f>VLOOKUP(Table4[[#This Row],[Home]],'NHL Model'!$A$6:$B$38,2,FALSE)</f>
        <v>-0.45133099238224339</v>
      </c>
      <c r="H198" t="s">
        <v>26</v>
      </c>
      <c r="I198">
        <f>VLOOKUP(Table4[[#This Row],[Visitor]],'NHL Model'!$A$6:$B$38,2,FALSE)</f>
        <v>-0.87533956503230947</v>
      </c>
      <c r="J198">
        <f>($B$1+Table4[[#This Row],[Home Differential]])-Table4[[#This Row],[Away Differential]]</f>
        <v>0.47390932157322857</v>
      </c>
      <c r="K198" t="str">
        <f>IF(Table4[[#This Row],[HomeIce Differential]]&gt;0,Table4[[#This Row],[Home]],Table4[[#This Row],[Visitor]])</f>
        <v>San Jose Sharks</v>
      </c>
      <c r="L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0.60545815708481687</v>
      </c>
      <c r="M198" t="str">
        <f>IF(OR((NHL2025_26Results[[#This Row],[Winning Team]]="")),"-",IF(Table4[[#This Row],[Predicted Winner]]=NHL2025_26Results[[#This Row],[Winning Team]],"YES","NO"))</f>
        <v>NO</v>
      </c>
      <c r="N198">
        <f>IF(Table4[[#This Row],[Adjusted Correct]]="-", "",IF(Table4[[#This Row],[Adjusted Correct]]="YES",(Table4[[#This Row],[Strength of Win]]-1)^2,(Table4[[#This Row],[Strength of Win]]-0)^2))</f>
        <v>0.3665795799805428</v>
      </c>
      <c r="O198">
        <v>-0.25411072638940857</v>
      </c>
      <c r="P198" s="11"/>
      <c r="Q198" t="s">
        <v>26</v>
      </c>
      <c r="R198" t="s">
        <v>248</v>
      </c>
    </row>
    <row r="199" spans="4:18" x14ac:dyDescent="0.2">
      <c r="D199" s="1">
        <v>45963</v>
      </c>
      <c r="E199" s="2">
        <v>0.64583333333333337</v>
      </c>
      <c r="F199" t="s">
        <v>55</v>
      </c>
      <c r="G199">
        <f>VLOOKUP(Table4[[#This Row],[Home]],'NHL Model'!$A$6:$B$38,2,FALSE)</f>
        <v>-0.4031232890211825</v>
      </c>
      <c r="H199" t="s">
        <v>37</v>
      </c>
      <c r="I199">
        <f>VLOOKUP(Table4[[#This Row],[Visitor]],'NHL Model'!$A$6:$B$38,2,FALSE)</f>
        <v>0.51050494674660429</v>
      </c>
      <c r="J199">
        <f>($B$1+Table4[[#This Row],[Home Differential]])-Table4[[#This Row],[Away Differential]]</f>
        <v>-0.8637274868446243</v>
      </c>
      <c r="K199" t="str">
        <f>IF(Table4[[#This Row],[HomeIce Differential]]&gt;0,Table4[[#This Row],[Home]],Table4[[#This Row],[Visitor]])</f>
        <v>Tampa Bay Lightning</v>
      </c>
      <c r="L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0.61248083877374404</v>
      </c>
      <c r="M199" t="str">
        <f>IF(OR((NHL2025_26Results[[#This Row],[Winning Team]]="")),"-",IF(Table4[[#This Row],[Predicted Winner]]=NHL2025_26Results[[#This Row],[Winning Team]],"YES","NO"))</f>
        <v>YES</v>
      </c>
      <c r="N199">
        <f>IF(Table4[[#This Row],[Adjusted Correct]]="-", "",IF(Table4[[#This Row],[Adjusted Correct]]="YES",(Table4[[#This Row],[Strength of Win]]-1)^2,(Table4[[#This Row],[Strength of Win]]-0)^2))</f>
        <v>0.15017110031750097</v>
      </c>
      <c r="O199">
        <v>0.52491065385840874</v>
      </c>
      <c r="P199" s="11"/>
      <c r="Q199" t="s">
        <v>55</v>
      </c>
      <c r="R199" t="s">
        <v>249</v>
      </c>
    </row>
    <row r="200" spans="4:18" x14ac:dyDescent="0.2">
      <c r="D200" s="1">
        <v>45964</v>
      </c>
      <c r="E200" s="2">
        <v>0.85416666666666663</v>
      </c>
      <c r="F200" t="s">
        <v>29</v>
      </c>
      <c r="G200">
        <f>VLOOKUP(Table4[[#This Row],[Home]],'NHL Model'!$A$6:$B$38,2,FALSE)</f>
        <v>-1.384917283810061</v>
      </c>
      <c r="H200" t="s">
        <v>38</v>
      </c>
      <c r="I200">
        <f>VLOOKUP(Table4[[#This Row],[Visitor]],'NHL Model'!$A$6:$B$38,2,FALSE)</f>
        <v>-0.9476777551108041</v>
      </c>
      <c r="J200">
        <f>($B$1+Table4[[#This Row],[Home Differential]])-Table4[[#This Row],[Away Differential]]</f>
        <v>-0.38733877977609443</v>
      </c>
      <c r="K200" t="str">
        <f>IF(Table4[[#This Row],[HomeIce Differential]]&gt;0,Table4[[#This Row],[Home]],Table4[[#This Row],[Visitor]])</f>
        <v>Vancouver Canucks</v>
      </c>
      <c r="L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0.50880367819163874</v>
      </c>
      <c r="M200" t="str">
        <f>IF(OR((NHL2025_26Results[[#This Row],[Winning Team]]="")),"-",IF(Table4[[#This Row],[Predicted Winner]]=NHL2025_26Results[[#This Row],[Winning Team]],"YES","NO"))</f>
        <v>YES</v>
      </c>
      <c r="N200">
        <f>IF(Table4[[#This Row],[Adjusted Correct]]="-", "",IF(Table4[[#This Row],[Adjusted Correct]]="YES",(Table4[[#This Row],[Strength of Win]]-1)^2,(Table4[[#This Row],[Strength of Win]]-0)^2))</f>
        <v>0.2412738265580632</v>
      </c>
      <c r="O200">
        <v>0.14002329669329616</v>
      </c>
      <c r="P200" s="11"/>
      <c r="Q200" t="s">
        <v>29</v>
      </c>
      <c r="R200" t="s">
        <v>249</v>
      </c>
    </row>
    <row r="201" spans="4:18" x14ac:dyDescent="0.2">
      <c r="D201" s="1">
        <v>45964</v>
      </c>
      <c r="E201" s="2">
        <v>0.91666666666666663</v>
      </c>
      <c r="F201" t="s">
        <v>32</v>
      </c>
      <c r="G201">
        <f>VLOOKUP(Table4[[#This Row],[Home]],'NHL Model'!$A$6:$B$38,2,FALSE)</f>
        <v>-0.64937723527808999</v>
      </c>
      <c r="H201" t="s">
        <v>10</v>
      </c>
      <c r="I201">
        <f>VLOOKUP(Table4[[#This Row],[Visitor]],'NHL Model'!$A$6:$B$38,2,FALSE)</f>
        <v>-0.17619625518431364</v>
      </c>
      <c r="J201">
        <f>($B$1+Table4[[#This Row],[Home Differential]])-Table4[[#This Row],[Away Differential]]</f>
        <v>-0.42328023117061392</v>
      </c>
      <c r="K201" t="str">
        <f>IF(Table4[[#This Row],[HomeIce Differential]]&gt;0,Table4[[#This Row],[Home]],Table4[[#This Row],[Visitor]])</f>
        <v>Chicago Blackhawks</v>
      </c>
      <c r="L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0.50942421415951489</v>
      </c>
      <c r="M201" t="str">
        <f>IF(OR((NHL2025_26Results[[#This Row],[Winning Team]]="")),"-",IF(Table4[[#This Row],[Predicted Winner]]=NHL2025_26Results[[#This Row],[Winning Team]],"YES","NO"))</f>
        <v>NO</v>
      </c>
      <c r="N201">
        <f>IF(Table4[[#This Row],[Adjusted Correct]]="-", "",IF(Table4[[#This Row],[Adjusted Correct]]="YES",(Table4[[#This Row],[Strength of Win]]-1)^2,(Table4[[#This Row],[Strength of Win]]-0)^2))</f>
        <v>0.25951302997203929</v>
      </c>
      <c r="O201">
        <v>0.35360397180144315</v>
      </c>
      <c r="P201" s="11"/>
      <c r="Q201" t="s">
        <v>32</v>
      </c>
      <c r="R201" t="s">
        <v>248</v>
      </c>
    </row>
    <row r="202" spans="4:18" x14ac:dyDescent="0.2">
      <c r="D202" s="1">
        <v>45964</v>
      </c>
      <c r="E202" s="2">
        <v>0.85416666666666663</v>
      </c>
      <c r="F202" t="s">
        <v>35</v>
      </c>
      <c r="G202">
        <f>VLOOKUP(Table4[[#This Row],[Home]],'NHL Model'!$A$6:$B$38,2,FALSE)</f>
        <v>-1.3944783719477225</v>
      </c>
      <c r="H202" t="s">
        <v>17</v>
      </c>
      <c r="I202">
        <f>VLOOKUP(Table4[[#This Row],[Visitor]],'NHL Model'!$A$6:$B$38,2,FALSE)</f>
        <v>-0.81774666423752174</v>
      </c>
      <c r="J202">
        <f>($B$1+Table4[[#This Row],[Home Differential]])-Table4[[#This Row],[Away Differential]]</f>
        <v>-0.52683095878703834</v>
      </c>
      <c r="K202" t="str">
        <f>IF(Table4[[#This Row],[HomeIce Differential]]&gt;0,Table4[[#This Row],[Home]],Table4[[#This Row],[Visitor]])</f>
        <v>Edmonton Oilers</v>
      </c>
      <c r="L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0.52151528990839591</v>
      </c>
      <c r="M202" t="str">
        <f>IF(OR((NHL2025_26Results[[#This Row],[Winning Team]]="")),"-",IF(Table4[[#This Row],[Predicted Winner]]=NHL2025_26Results[[#This Row],[Winning Team]],"YES","NO"))</f>
        <v>NO</v>
      </c>
      <c r="N202">
        <f>IF(Table4[[#This Row],[Adjusted Correct]]="-", "",IF(Table4[[#This Row],[Adjusted Correct]]="YES",(Table4[[#This Row],[Strength of Win]]-1)^2,(Table4[[#This Row],[Strength of Win]]-0)^2))</f>
        <v>0.27197819760823821</v>
      </c>
      <c r="O202">
        <v>-0.91134649061052797</v>
      </c>
      <c r="P202" s="11"/>
      <c r="Q202" t="s">
        <v>17</v>
      </c>
      <c r="R202" t="s">
        <v>249</v>
      </c>
    </row>
    <row r="203" spans="4:18" x14ac:dyDescent="0.2">
      <c r="D203" s="1">
        <v>45964</v>
      </c>
      <c r="E203" s="2">
        <v>0.8125</v>
      </c>
      <c r="F203" t="s">
        <v>19</v>
      </c>
      <c r="G203">
        <f>VLOOKUP(Table4[[#This Row],[Home]],'NHL Model'!$A$6:$B$38,2,FALSE)</f>
        <v>-0.63447859131898054</v>
      </c>
      <c r="H203" t="s">
        <v>14</v>
      </c>
      <c r="I203">
        <f>VLOOKUP(Table4[[#This Row],[Visitor]],'NHL Model'!$A$6:$B$38,2,FALSE)</f>
        <v>-0.14226422156549004</v>
      </c>
      <c r="J203">
        <f>($B$1+Table4[[#This Row],[Home Differential]])-Table4[[#This Row],[Away Differential]]</f>
        <v>-0.4423136208303281</v>
      </c>
      <c r="K203" t="str">
        <f>IF(Table4[[#This Row],[HomeIce Differential]]&gt;0,Table4[[#This Row],[Home]],Table4[[#This Row],[Visitor]])</f>
        <v>Pittsburgh Penguins</v>
      </c>
      <c r="L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0.55093337655329999</v>
      </c>
      <c r="M203" t="str">
        <f>IF(OR((NHL2025_26Results[[#This Row],[Winning Team]]="")),"-",IF(Table4[[#This Row],[Predicted Winner]]=NHL2025_26Results[[#This Row],[Winning Team]],"YES","NO"))</f>
        <v>NO</v>
      </c>
      <c r="N203">
        <f>IF(Table4[[#This Row],[Adjusted Correct]]="-", "",IF(Table4[[#This Row],[Adjusted Correct]]="YES",(Table4[[#This Row],[Strength of Win]]-1)^2,(Table4[[#This Row],[Strength of Win]]-0)^2))</f>
        <v>0.30352758540042024</v>
      </c>
      <c r="O203">
        <v>-0.38811894988392659</v>
      </c>
      <c r="P203" s="11"/>
      <c r="Q203" t="s">
        <v>14</v>
      </c>
      <c r="R203" t="s">
        <v>249</v>
      </c>
    </row>
    <row r="204" spans="4:18" x14ac:dyDescent="0.2">
      <c r="D204" s="1">
        <v>45965</v>
      </c>
      <c r="E204" s="2">
        <v>0.91666666666666663</v>
      </c>
      <c r="F204" t="s">
        <v>31</v>
      </c>
      <c r="G204">
        <f>VLOOKUP(Table4[[#This Row],[Home]],'NHL Model'!$A$6:$B$38,2,FALSE)</f>
        <v>0.17870302183926629</v>
      </c>
      <c r="H204" t="s">
        <v>11</v>
      </c>
      <c r="I204">
        <f>VLOOKUP(Table4[[#This Row],[Visitor]],'NHL Model'!$A$6:$B$38,2,FALSE)</f>
        <v>-0.39711829106410657</v>
      </c>
      <c r="J204">
        <f>($B$1+Table4[[#This Row],[Home Differential]])-Table4[[#This Row],[Away Differential]]</f>
        <v>0.62572206182653534</v>
      </c>
      <c r="K204" t="str">
        <f>IF(Table4[[#This Row],[HomeIce Differential]]&gt;0,Table4[[#This Row],[Home]],Table4[[#This Row],[Visitor]])</f>
        <v>Anaheim Ducks</v>
      </c>
      <c r="L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0.69289699646057179</v>
      </c>
      <c r="M204" t="str">
        <f>IF(OR((NHL2025_26Results[[#This Row],[Winning Team]]="")),"-",IF(Table4[[#This Row],[Predicted Winner]]=NHL2025_26Results[[#This Row],[Winning Team]],"YES","NO"))</f>
        <v>YES</v>
      </c>
      <c r="N204">
        <f>IF(Table4[[#This Row],[Adjusted Correct]]="-", "",IF(Table4[[#This Row],[Adjusted Correct]]="YES",(Table4[[#This Row],[Strength of Win]]-1)^2,(Table4[[#This Row],[Strength of Win]]-0)^2))</f>
        <v>9.431225478293806E-2</v>
      </c>
      <c r="O204">
        <v>1.6492715237405093</v>
      </c>
      <c r="P204" s="11"/>
      <c r="Q204" t="s">
        <v>31</v>
      </c>
      <c r="R204" t="s">
        <v>248</v>
      </c>
    </row>
    <row r="205" spans="4:18" x14ac:dyDescent="0.2">
      <c r="D205" s="1">
        <v>45965</v>
      </c>
      <c r="E205" s="2">
        <v>0.79166666666666663</v>
      </c>
      <c r="F205" t="s">
        <v>23</v>
      </c>
      <c r="G205">
        <f>VLOOKUP(Table4[[#This Row],[Home]],'NHL Model'!$A$6:$B$38,2,FALSE)</f>
        <v>-0.4761104357405897</v>
      </c>
      <c r="H205" t="s">
        <v>55</v>
      </c>
      <c r="I205">
        <f>VLOOKUP(Table4[[#This Row],[Visitor]],'NHL Model'!$A$6:$B$38,2,FALSE)</f>
        <v>-0.4031232890211825</v>
      </c>
      <c r="J205">
        <f>($B$1+Table4[[#This Row],[Home Differential]])-Table4[[#This Row],[Away Differential]]</f>
        <v>-2.3086397796244718E-2</v>
      </c>
      <c r="K205" t="str">
        <f>IF(Table4[[#This Row],[HomeIce Differential]]&gt;0,Table4[[#This Row],[Home]],Table4[[#This Row],[Visitor]])</f>
        <v>Utah Mammoth</v>
      </c>
      <c r="L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0.45257342828487174</v>
      </c>
      <c r="M205" t="str">
        <f>IF(OR((NHL2025_26Results[[#This Row],[Winning Team]]="")),"-",IF(Table4[[#This Row],[Predicted Winner]]=NHL2025_26Results[[#This Row],[Winning Team]],"YES","NO"))</f>
        <v>YES</v>
      </c>
      <c r="N205">
        <f>IF(Table4[[#This Row],[Adjusted Correct]]="-", "",IF(Table4[[#This Row],[Adjusted Correct]]="YES",(Table4[[#This Row],[Strength of Win]]-1)^2,(Table4[[#This Row],[Strength of Win]]-0)^2))</f>
        <v>0.29967585141977854</v>
      </c>
      <c r="O205">
        <v>-0.49386432627608945</v>
      </c>
      <c r="P205" s="11"/>
      <c r="Q205" t="s">
        <v>55</v>
      </c>
      <c r="R205" t="s">
        <v>248</v>
      </c>
    </row>
    <row r="206" spans="4:18" x14ac:dyDescent="0.2">
      <c r="D206" s="1">
        <v>45965</v>
      </c>
      <c r="E206" s="2">
        <v>0.89583333333333337</v>
      </c>
      <c r="F206" t="s">
        <v>12</v>
      </c>
      <c r="G206">
        <f>VLOOKUP(Table4[[#This Row],[Home]],'NHL Model'!$A$6:$B$38,2,FALSE)</f>
        <v>1.6319036584269762</v>
      </c>
      <c r="H206" t="s">
        <v>37</v>
      </c>
      <c r="I206">
        <f>VLOOKUP(Table4[[#This Row],[Visitor]],'NHL Model'!$A$6:$B$38,2,FALSE)</f>
        <v>0.51050494674660429</v>
      </c>
      <c r="J206">
        <f>($B$1+Table4[[#This Row],[Home Differential]])-Table4[[#This Row],[Away Differential]]</f>
        <v>1.1712994606035343</v>
      </c>
      <c r="K206" t="str">
        <f>IF(Table4[[#This Row],[HomeIce Differential]]&gt;0,Table4[[#This Row],[Home]],Table4[[#This Row],[Visitor]])</f>
        <v>Colorado Avalanche</v>
      </c>
      <c r="L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0.69232205472725694</v>
      </c>
      <c r="M206" t="str">
        <f>IF(OR((NHL2025_26Results[[#This Row],[Winning Team]]="")),"-",IF(Table4[[#This Row],[Predicted Winner]]=NHL2025_26Results[[#This Row],[Winning Team]],"YES","NO"))</f>
        <v>YES</v>
      </c>
      <c r="N206">
        <f>IF(Table4[[#This Row],[Adjusted Correct]]="-", "",IF(Table4[[#This Row],[Adjusted Correct]]="YES",(Table4[[#This Row],[Strength of Win]]-1)^2,(Table4[[#This Row],[Strength of Win]]-0)^2))</f>
        <v>9.4665718007257066E-2</v>
      </c>
      <c r="O206">
        <v>1.2471185353360101</v>
      </c>
      <c r="P206" s="11"/>
      <c r="Q206" t="s">
        <v>12</v>
      </c>
      <c r="R206" t="s">
        <v>248</v>
      </c>
    </row>
    <row r="207" spans="4:18" x14ac:dyDescent="0.2">
      <c r="D207" s="1">
        <v>45965</v>
      </c>
      <c r="E207" s="2">
        <v>0.83333333333333337</v>
      </c>
      <c r="F207" t="s">
        <v>39</v>
      </c>
      <c r="G207">
        <f>VLOOKUP(Table4[[#This Row],[Home]],'NHL Model'!$A$6:$B$38,2,FALSE)</f>
        <v>0.41344250185511977</v>
      </c>
      <c r="H207" t="s">
        <v>17</v>
      </c>
      <c r="I207">
        <f>VLOOKUP(Table4[[#This Row],[Visitor]],'NHL Model'!$A$6:$B$38,2,FALSE)</f>
        <v>-0.81774666423752174</v>
      </c>
      <c r="J207">
        <f>($B$1+Table4[[#This Row],[Home Differential]])-Table4[[#This Row],[Away Differential]]</f>
        <v>1.2810899150158039</v>
      </c>
      <c r="K207" t="str">
        <f>IF(Table4[[#This Row],[HomeIce Differential]]&gt;0,Table4[[#This Row],[Home]],Table4[[#This Row],[Visitor]])</f>
        <v>Dallas Stars</v>
      </c>
      <c r="L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0.72183222092408972</v>
      </c>
      <c r="M207" t="str">
        <f>IF(OR((NHL2025_26Results[[#This Row],[Winning Team]]="")),"-",IF(Table4[[#This Row],[Predicted Winner]]=NHL2025_26Results[[#This Row],[Winning Team]],"YES","NO"))</f>
        <v>YES</v>
      </c>
      <c r="N207">
        <f>IF(Table4[[#This Row],[Adjusted Correct]]="-", "",IF(Table4[[#This Row],[Adjusted Correct]]="YES",(Table4[[#This Row],[Strength of Win]]-1)^2,(Table4[[#This Row],[Strength of Win]]-0)^2))</f>
        <v>7.7377313316024432E-2</v>
      </c>
      <c r="O207">
        <v>0.35417609343625189</v>
      </c>
      <c r="P207" s="11"/>
      <c r="Q207" t="s">
        <v>39</v>
      </c>
      <c r="R207" t="s">
        <v>248</v>
      </c>
    </row>
    <row r="208" spans="4:18" x14ac:dyDescent="0.2">
      <c r="D208" s="1">
        <v>45965</v>
      </c>
      <c r="E208" s="2">
        <v>0.9375</v>
      </c>
      <c r="F208" t="s">
        <v>13</v>
      </c>
      <c r="G208">
        <f>VLOOKUP(Table4[[#This Row],[Home]],'NHL Model'!$A$6:$B$38,2,FALSE)</f>
        <v>-0.33828359867721369</v>
      </c>
      <c r="H208" t="s">
        <v>40</v>
      </c>
      <c r="I208">
        <f>VLOOKUP(Table4[[#This Row],[Visitor]],'NHL Model'!$A$6:$B$38,2,FALSE)</f>
        <v>-0.31324182378279158</v>
      </c>
      <c r="J208">
        <f>($B$1+Table4[[#This Row],[Home Differential]])-Table4[[#This Row],[Away Differential]]</f>
        <v>2.4858974028740377E-2</v>
      </c>
      <c r="K208" t="str">
        <f>IF(Table4[[#This Row],[HomeIce Differential]]&gt;0,Table4[[#This Row],[Home]],Table4[[#This Row],[Visitor]])</f>
        <v>Los Angeles Kings</v>
      </c>
      <c r="L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0.52213342134089591</v>
      </c>
      <c r="M208" t="str">
        <f>IF(OR((NHL2025_26Results[[#This Row],[Winning Team]]="")),"-",IF(Table4[[#This Row],[Predicted Winner]]=NHL2025_26Results[[#This Row],[Winning Team]],"YES","NO"))</f>
        <v>YES</v>
      </c>
      <c r="N208">
        <f>IF(Table4[[#This Row],[Adjusted Correct]]="-", "",IF(Table4[[#This Row],[Adjusted Correct]]="YES",(Table4[[#This Row],[Strength of Win]]-1)^2,(Table4[[#This Row],[Strength of Win]]-0)^2))</f>
        <v>0.22835646699935772</v>
      </c>
      <c r="O208">
        <v>-0.40920122541096099</v>
      </c>
      <c r="P208" s="11"/>
      <c r="Q208" t="s">
        <v>40</v>
      </c>
      <c r="R208" t="s">
        <v>249</v>
      </c>
    </row>
    <row r="209" spans="4:20" x14ac:dyDescent="0.2">
      <c r="D209" s="1">
        <v>45965</v>
      </c>
      <c r="E209" s="2">
        <v>0.83333333333333337</v>
      </c>
      <c r="F209" t="s">
        <v>34</v>
      </c>
      <c r="G209">
        <f>VLOOKUP(Table4[[#This Row],[Home]],'NHL Model'!$A$6:$B$38,2,FALSE)</f>
        <v>-5.5124787449478845E-2</v>
      </c>
      <c r="H209" t="s">
        <v>29</v>
      </c>
      <c r="I209">
        <f>VLOOKUP(Table4[[#This Row],[Visitor]],'NHL Model'!$A$6:$B$38,2,FALSE)</f>
        <v>-1.384917283810061</v>
      </c>
      <c r="J209">
        <f>($B$1+Table4[[#This Row],[Home Differential]])-Table4[[#This Row],[Away Differential]]</f>
        <v>1.3796932452837445</v>
      </c>
      <c r="K209" t="str">
        <f>IF(Table4[[#This Row],[HomeIce Differential]]&gt;0,Table4[[#This Row],[Home]],Table4[[#This Row],[Visitor]])</f>
        <v>Minnesota Wild</v>
      </c>
      <c r="L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0.70109954920586415</v>
      </c>
      <c r="M209" t="str">
        <f>IF(OR((NHL2025_26Results[[#This Row],[Winning Team]]="")),"-",IF(Table4[[#This Row],[Predicted Winner]]=NHL2025_26Results[[#This Row],[Winning Team]],"YES","NO"))</f>
        <v>YES</v>
      </c>
      <c r="N209">
        <f>IF(Table4[[#This Row],[Adjusted Correct]]="-", "",IF(Table4[[#This Row],[Adjusted Correct]]="YES",(Table4[[#This Row],[Strength of Win]]-1)^2,(Table4[[#This Row],[Strength of Win]]-0)^2))</f>
        <v>8.9341479484937633E-2</v>
      </c>
      <c r="O209">
        <v>0.29440526942957113</v>
      </c>
      <c r="P209" s="11"/>
      <c r="Q209" t="s">
        <v>34</v>
      </c>
      <c r="R209" t="s">
        <v>248</v>
      </c>
    </row>
    <row r="210" spans="4:20" x14ac:dyDescent="0.2">
      <c r="D210" s="1">
        <v>45965</v>
      </c>
      <c r="E210" s="2">
        <v>0.79166666666666663</v>
      </c>
      <c r="F210" t="s">
        <v>18</v>
      </c>
      <c r="G210">
        <f>VLOOKUP(Table4[[#This Row],[Home]],'NHL Model'!$A$6:$B$38,2,FALSE)</f>
        <v>-0.59288962827382519</v>
      </c>
      <c r="H210" t="s">
        <v>27</v>
      </c>
      <c r="I210">
        <f>VLOOKUP(Table4[[#This Row],[Visitor]],'NHL Model'!$A$6:$B$38,2,FALSE)</f>
        <v>-0.38023958350631604</v>
      </c>
      <c r="J210">
        <f>($B$1+Table4[[#This Row],[Home Differential]])-Table4[[#This Row],[Away Differential]]</f>
        <v>-0.16274929584434672</v>
      </c>
      <c r="K210" t="str">
        <f>IF(Table4[[#This Row],[HomeIce Differential]]&gt;0,Table4[[#This Row],[Home]],Table4[[#This Row],[Visitor]])</f>
        <v>Philadelphia Flyers</v>
      </c>
      <c r="L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0.52151594511207089</v>
      </c>
      <c r="M210" t="str">
        <f>IF(OR((NHL2025_26Results[[#This Row],[Winning Team]]="")),"-",IF(Table4[[#This Row],[Predicted Winner]]=NHL2025_26Results[[#This Row],[Winning Team]],"YES","NO"))</f>
        <v>YES</v>
      </c>
      <c r="N210">
        <f>IF(Table4[[#This Row],[Adjusted Correct]]="-", "",IF(Table4[[#This Row],[Adjusted Correct]]="YES",(Table4[[#This Row],[Strength of Win]]-1)^2,(Table4[[#This Row],[Strength of Win]]-0)^2))</f>
        <v>0.22894699078199476</v>
      </c>
      <c r="O210">
        <v>0.53713197650222244</v>
      </c>
      <c r="P210" s="11"/>
      <c r="Q210" t="s">
        <v>18</v>
      </c>
      <c r="R210" t="s">
        <v>249</v>
      </c>
    </row>
    <row r="211" spans="4:20" x14ac:dyDescent="0.2">
      <c r="D211" s="1">
        <v>45965</v>
      </c>
      <c r="E211" s="2">
        <v>0.79166666666666663</v>
      </c>
      <c r="F211" t="s">
        <v>30</v>
      </c>
      <c r="G211">
        <f>VLOOKUP(Table4[[#This Row],[Home]],'NHL Model'!$A$6:$B$38,2,FALSE)</f>
        <v>-0.24093199744133265</v>
      </c>
      <c r="H211" t="s">
        <v>21</v>
      </c>
      <c r="I211">
        <f>VLOOKUP(Table4[[#This Row],[Visitor]],'NHL Model'!$A$6:$B$38,2,FALSE)</f>
        <v>-0.21976976044773161</v>
      </c>
      <c r="J211">
        <f>($B$1+Table4[[#This Row],[Home Differential]])-Table4[[#This Row],[Away Differential]]</f>
        <v>2.8738511929561422E-2</v>
      </c>
      <c r="K211" t="str">
        <f>IF(Table4[[#This Row],[HomeIce Differential]]&gt;0,Table4[[#This Row],[Home]],Table4[[#This Row],[Visitor]])</f>
        <v>New York Islanders</v>
      </c>
      <c r="L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0.54252615233038282</v>
      </c>
      <c r="M211" t="str">
        <f>IF(OR((NHL2025_26Results[[#This Row],[Winning Team]]="")),"-",IF(Table4[[#This Row],[Predicted Winner]]=NHL2025_26Results[[#This Row],[Winning Team]],"YES","NO"))</f>
        <v>NO</v>
      </c>
      <c r="N211">
        <f>IF(Table4[[#This Row],[Adjusted Correct]]="-", "",IF(Table4[[#This Row],[Adjusted Correct]]="YES",(Table4[[#This Row],[Strength of Win]]-1)^2,(Table4[[#This Row],[Strength of Win]]-0)^2))</f>
        <v>0.29433462596240972</v>
      </c>
      <c r="O211">
        <v>-1.9511330716513675E-2</v>
      </c>
      <c r="P211" s="11"/>
      <c r="Q211" t="s">
        <v>21</v>
      </c>
      <c r="R211" t="s">
        <v>248</v>
      </c>
    </row>
    <row r="212" spans="4:20" x14ac:dyDescent="0.2">
      <c r="D212" s="1">
        <v>45965</v>
      </c>
      <c r="E212" s="2">
        <v>0.79166666666666663</v>
      </c>
      <c r="F212" t="s">
        <v>15</v>
      </c>
      <c r="G212">
        <f>VLOOKUP(Table4[[#This Row],[Home]],'NHL Model'!$A$6:$B$38,2,FALSE)</f>
        <v>-0.29003398448394263</v>
      </c>
      <c r="H212" t="s">
        <v>25</v>
      </c>
      <c r="I212">
        <f>VLOOKUP(Table4[[#This Row],[Visitor]],'NHL Model'!$A$6:$B$38,2,FALSE)</f>
        <v>0.42567513732855267</v>
      </c>
      <c r="J212">
        <f>($B$1+Table4[[#This Row],[Home Differential]])-Table4[[#This Row],[Away Differential]]</f>
        <v>-0.66580837288933281</v>
      </c>
      <c r="K212" t="str">
        <f>IF(Table4[[#This Row],[HomeIce Differential]]&gt;0,Table4[[#This Row],[Home]],Table4[[#This Row],[Visitor]])</f>
        <v>Carolina Hurricanes</v>
      </c>
      <c r="L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0.61036612327293382</v>
      </c>
      <c r="M212" t="str">
        <f>IF(OR((NHL2025_26Results[[#This Row],[Winning Team]]="")),"-",IF(Table4[[#This Row],[Predicted Winner]]=NHL2025_26Results[[#This Row],[Winning Team]],"YES","NO"))</f>
        <v>YES</v>
      </c>
      <c r="N212">
        <f>IF(Table4[[#This Row],[Adjusted Correct]]="-", "",IF(Table4[[#This Row],[Adjusted Correct]]="YES",(Table4[[#This Row],[Strength of Win]]-1)^2,(Table4[[#This Row],[Strength of Win]]-0)^2))</f>
        <v>0.15181455789336259</v>
      </c>
      <c r="O212">
        <v>-1.4110652638033832</v>
      </c>
      <c r="P212" s="11"/>
      <c r="Q212" t="s">
        <v>25</v>
      </c>
      <c r="R212" t="s">
        <v>248</v>
      </c>
    </row>
    <row r="213" spans="4:20" x14ac:dyDescent="0.2">
      <c r="D213" s="1">
        <v>45965</v>
      </c>
      <c r="E213" s="2">
        <v>0.91666666666666663</v>
      </c>
      <c r="F213" t="s">
        <v>20</v>
      </c>
      <c r="G213">
        <f>VLOOKUP(Table4[[#This Row],[Home]],'NHL Model'!$A$6:$B$38,2,FALSE)</f>
        <v>-0.24444083032063643</v>
      </c>
      <c r="H213" t="s">
        <v>26</v>
      </c>
      <c r="I213">
        <f>VLOOKUP(Table4[[#This Row],[Visitor]],'NHL Model'!$A$6:$B$38,2,FALSE)</f>
        <v>-0.87533956503230947</v>
      </c>
      <c r="J213">
        <f>($B$1+Table4[[#This Row],[Home Differential]])-Table4[[#This Row],[Away Differential]]</f>
        <v>0.68079948363483545</v>
      </c>
      <c r="K213" t="str">
        <f>IF(Table4[[#This Row],[HomeIce Differential]]&gt;0,Table4[[#This Row],[Home]],Table4[[#This Row],[Visitor]])</f>
        <v>Vegas Golden Knights</v>
      </c>
      <c r="L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0.61949338759761874</v>
      </c>
      <c r="M213" t="str">
        <f>IF(OR((NHL2025_26Results[[#This Row],[Winning Team]]="")),"-",IF(Table4[[#This Row],[Predicted Winner]]=NHL2025_26Results[[#This Row],[Winning Team]],"YES","NO"))</f>
        <v>YES</v>
      </c>
      <c r="N213">
        <f>IF(Table4[[#This Row],[Adjusted Correct]]="-", "",IF(Table4[[#This Row],[Adjusted Correct]]="YES",(Table4[[#This Row],[Strength of Win]]-1)^2,(Table4[[#This Row],[Strength of Win]]-0)^2))</f>
        <v>0.144785282081936</v>
      </c>
      <c r="O213">
        <v>1.0630580212597851</v>
      </c>
      <c r="P213" s="11"/>
      <c r="Q213" t="s">
        <v>20</v>
      </c>
      <c r="R213" t="s">
        <v>248</v>
      </c>
    </row>
    <row r="214" spans="4:20" x14ac:dyDescent="0.2">
      <c r="D214" s="1">
        <v>45966</v>
      </c>
      <c r="E214" s="2">
        <v>0.89583333333333337</v>
      </c>
      <c r="F214" t="s">
        <v>16</v>
      </c>
      <c r="G214">
        <f>VLOOKUP(Table4[[#This Row],[Home]],'NHL Model'!$A$6:$B$38,2,FALSE)</f>
        <v>-1.0657812790446208</v>
      </c>
      <c r="H214" t="s">
        <v>28</v>
      </c>
      <c r="I214">
        <f>VLOOKUP(Table4[[#This Row],[Visitor]],'NHL Model'!$A$6:$B$38,2,FALSE)</f>
        <v>-0.59498940435054026</v>
      </c>
      <c r="J214">
        <f>($B$1+Table4[[#This Row],[Home Differential]])-Table4[[#This Row],[Away Differential]]</f>
        <v>-0.42089112577091814</v>
      </c>
      <c r="K214" t="str">
        <f>IF(Table4[[#This Row],[HomeIce Differential]]&gt;0,Table4[[#This Row],[Home]],Table4[[#This Row],[Visitor]])</f>
        <v>Columbus Blue Jackets</v>
      </c>
      <c r="L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0.51272140978381853</v>
      </c>
      <c r="M214" t="str">
        <f>IF(OR((NHL2025_26Results[[#This Row],[Winning Team]]="")),"-",IF(Table4[[#This Row],[Predicted Winner]]=NHL2025_26Results[[#This Row],[Winning Team]],"YES","NO"))</f>
        <v>NO</v>
      </c>
      <c r="N214">
        <f>IF(Table4[[#This Row],[Adjusted Correct]]="-", "",IF(Table4[[#This Row],[Adjusted Correct]]="YES",(Table4[[#This Row],[Strength of Win]]-1)^2,(Table4[[#This Row],[Strength of Win]]-0)^2))</f>
        <v>0.26288324405070634</v>
      </c>
      <c r="O214">
        <v>1.5230300988070606</v>
      </c>
      <c r="P214" s="11"/>
      <c r="Q214" t="s">
        <v>20</v>
      </c>
      <c r="R214" t="s">
        <v>248</v>
      </c>
    </row>
    <row r="215" spans="4:20" x14ac:dyDescent="0.2">
      <c r="D215" s="1">
        <v>45966</v>
      </c>
      <c r="E215" s="2">
        <v>0.91666666666666663</v>
      </c>
      <c r="F215" t="s">
        <v>32</v>
      </c>
      <c r="G215">
        <f>VLOOKUP(Table4[[#This Row],[Home]],'NHL Model'!$A$6:$B$38,2,FALSE)</f>
        <v>-0.64937723527808999</v>
      </c>
      <c r="H215" t="s">
        <v>33</v>
      </c>
      <c r="I215">
        <f>VLOOKUP(Table4[[#This Row],[Visitor]],'NHL Model'!$A$6:$B$38,2,FALSE)</f>
        <v>-0.45133099238224339</v>
      </c>
      <c r="J215">
        <f>($B$1+Table4[[#This Row],[Home Differential]])-Table4[[#This Row],[Away Differential]]</f>
        <v>-0.14814549397268417</v>
      </c>
      <c r="K215" t="str">
        <f>IF(Table4[[#This Row],[HomeIce Differential]]&gt;0,Table4[[#This Row],[Home]],Table4[[#This Row],[Visitor]])</f>
        <v>San Jose Sharks</v>
      </c>
      <c r="L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0.47729817289275145</v>
      </c>
      <c r="M215" t="str">
        <f>IF(OR((NHL2025_26Results[[#This Row],[Winning Team]]="")),"-",IF(Table4[[#This Row],[Predicted Winner]]=NHL2025_26Results[[#This Row],[Winning Team]],"YES","NO"))</f>
        <v>YES</v>
      </c>
      <c r="N215">
        <f>IF(Table4[[#This Row],[Adjusted Correct]]="-", "",IF(Table4[[#This Row],[Adjusted Correct]]="YES",(Table4[[#This Row],[Strength of Win]]-1)^2,(Table4[[#This Row],[Strength of Win]]-0)^2))</f>
        <v>0.27321720006125594</v>
      </c>
      <c r="O215">
        <v>-4.76209127026479E-2</v>
      </c>
      <c r="P215" s="11"/>
      <c r="Q215" t="s">
        <v>28</v>
      </c>
      <c r="R215" t="s">
        <v>249</v>
      </c>
    </row>
    <row r="216" spans="4:20" x14ac:dyDescent="0.2">
      <c r="D216" s="1">
        <v>45966</v>
      </c>
      <c r="E216" s="2">
        <v>0.79166666666666663</v>
      </c>
      <c r="F216" t="s">
        <v>19</v>
      </c>
      <c r="G216">
        <f>VLOOKUP(Table4[[#This Row],[Home]],'NHL Model'!$A$6:$B$38,2,FALSE)</f>
        <v>-0.63447859131898054</v>
      </c>
      <c r="H216" t="s">
        <v>55</v>
      </c>
      <c r="I216">
        <f>VLOOKUP(Table4[[#This Row],[Visitor]],'NHL Model'!$A$6:$B$38,2,FALSE)</f>
        <v>-0.4031232890211825</v>
      </c>
      <c r="J216">
        <f>($B$1+Table4[[#This Row],[Home Differential]])-Table4[[#This Row],[Away Differential]]</f>
        <v>-0.18145455337463562</v>
      </c>
      <c r="K216" t="str">
        <f>IF(Table4[[#This Row],[HomeIce Differential]]&gt;0,Table4[[#This Row],[Home]],Table4[[#This Row],[Visitor]])</f>
        <v>Utah Mammoth</v>
      </c>
      <c r="L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0.48118749718455961</v>
      </c>
      <c r="M216" t="str">
        <f>IF(OR((NHL2025_26Results[[#This Row],[Winning Team]]="")),"-",IF(Table4[[#This Row],[Predicted Winner]]=NHL2025_26Results[[#This Row],[Winning Team]],"YES","NO"))</f>
        <v>NO</v>
      </c>
      <c r="N216">
        <f>IF(Table4[[#This Row],[Adjusted Correct]]="-", "",IF(Table4[[#This Row],[Adjusted Correct]]="YES",(Table4[[#This Row],[Strength of Win]]-1)^2,(Table4[[#This Row],[Strength of Win]]-0)^2))</f>
        <v>0.23154140744674057</v>
      </c>
      <c r="O216">
        <v>0.5262693396027317</v>
      </c>
      <c r="P216" s="11"/>
      <c r="Q216" t="s">
        <v>32</v>
      </c>
      <c r="R216" t="s">
        <v>249</v>
      </c>
    </row>
    <row r="217" spans="4:20" x14ac:dyDescent="0.2">
      <c r="D217" s="1">
        <v>45966</v>
      </c>
      <c r="E217" s="2">
        <v>0.91666666666666663</v>
      </c>
      <c r="F217" t="s">
        <v>38</v>
      </c>
      <c r="G217">
        <f>VLOOKUP(Table4[[#This Row],[Home]],'NHL Model'!$A$6:$B$38,2,FALSE)</f>
        <v>-0.9476777551108041</v>
      </c>
      <c r="H217" t="s">
        <v>10</v>
      </c>
      <c r="I217">
        <f>VLOOKUP(Table4[[#This Row],[Visitor]],'NHL Model'!$A$6:$B$38,2,FALSE)</f>
        <v>-0.17619625518431364</v>
      </c>
      <c r="J217">
        <f>($B$1+Table4[[#This Row],[Home Differential]])-Table4[[#This Row],[Away Differential]]</f>
        <v>-0.72158075100332808</v>
      </c>
      <c r="K217" t="str">
        <f>IF(Table4[[#This Row],[HomeIce Differential]]&gt;0,Table4[[#This Row],[Home]],Table4[[#This Row],[Visitor]])</f>
        <v>Chicago Blackhawks</v>
      </c>
      <c r="L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0.54425520245143921</v>
      </c>
      <c r="M217" t="str">
        <f>IF(OR((NHL2025_26Results[[#This Row],[Winning Team]]="")),"-",IF(Table4[[#This Row],[Predicted Winner]]=NHL2025_26Results[[#This Row],[Winning Team]],"YES","NO"))</f>
        <v>YES</v>
      </c>
      <c r="N217">
        <f>IF(Table4[[#This Row],[Adjusted Correct]]="-", "",IF(Table4[[#This Row],[Adjusted Correct]]="YES",(Table4[[#This Row],[Strength of Win]]-1)^2,(Table4[[#This Row],[Strength of Win]]-0)^2))</f>
        <v>0.20770332049257867</v>
      </c>
      <c r="O217">
        <v>0.18113531676155015</v>
      </c>
      <c r="P217" s="11"/>
      <c r="Q217" t="s">
        <v>55</v>
      </c>
      <c r="R217" t="s">
        <v>249</v>
      </c>
    </row>
    <row r="218" spans="4:20" x14ac:dyDescent="0.2">
      <c r="D218" s="1">
        <v>45966</v>
      </c>
      <c r="E218" s="2">
        <v>0.8125</v>
      </c>
      <c r="F218" t="s">
        <v>22</v>
      </c>
      <c r="G218">
        <f>VLOOKUP(Table4[[#This Row],[Home]],'NHL Model'!$A$6:$B$38,2,FALSE)</f>
        <v>0.4407072328537569</v>
      </c>
      <c r="H218" t="s">
        <v>35</v>
      </c>
      <c r="I218">
        <f>VLOOKUP(Table4[[#This Row],[Visitor]],'NHL Model'!$A$6:$B$38,2,FALSE)</f>
        <v>-1.3944783719477225</v>
      </c>
      <c r="J218">
        <f>($B$1+Table4[[#This Row],[Home Differential]])-Table4[[#This Row],[Away Differential]]</f>
        <v>1.8850863537246418</v>
      </c>
      <c r="K218" t="str">
        <f>IF(Table4[[#This Row],[HomeIce Differential]]&gt;0,Table4[[#This Row],[Home]],Table4[[#This Row],[Visitor]])</f>
        <v>Washington Capitals</v>
      </c>
      <c r="L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0.78614938953531521</v>
      </c>
      <c r="M218" t="str">
        <f>IF(OR((NHL2025_26Results[[#This Row],[Winning Team]]="")),"-",IF(Table4[[#This Row],[Predicted Winner]]=NHL2025_26Results[[#This Row],[Winning Team]],"YES","NO"))</f>
        <v>YES</v>
      </c>
      <c r="N218">
        <f>IF(Table4[[#This Row],[Adjusted Correct]]="-", "",IF(Table4[[#This Row],[Adjusted Correct]]="YES",(Table4[[#This Row],[Strength of Win]]-1)^2,(Table4[[#This Row],[Strength of Win]]-0)^2))</f>
        <v>4.5732083596118349E-2</v>
      </c>
      <c r="O218">
        <v>-0.44900289467076382</v>
      </c>
      <c r="P218" s="11"/>
      <c r="Q218" t="s">
        <v>10</v>
      </c>
      <c r="R218" t="s">
        <v>248</v>
      </c>
      <c r="T218" t="s">
        <v>254</v>
      </c>
    </row>
    <row r="219" spans="4:20" x14ac:dyDescent="0.2">
      <c r="D219" s="1">
        <v>45967</v>
      </c>
      <c r="E219" s="2">
        <v>0.79166666666666663</v>
      </c>
      <c r="F219" t="s">
        <v>21</v>
      </c>
      <c r="G219">
        <f>VLOOKUP(Table4[[#This Row],[Home]],'NHL Model'!$A$6:$B$38,2,FALSE)</f>
        <v>-0.21976976044773161</v>
      </c>
      <c r="H219" t="s">
        <v>36</v>
      </c>
      <c r="I219">
        <f>VLOOKUP(Table4[[#This Row],[Visitor]],'NHL Model'!$A$6:$B$38,2,FALSE)</f>
        <v>-0.53137605086483863</v>
      </c>
      <c r="J219">
        <f>($B$1+Table4[[#This Row],[Home Differential]])-Table4[[#This Row],[Away Differential]]</f>
        <v>0.36150703934026951</v>
      </c>
      <c r="K219" t="str">
        <f>IF(Table4[[#This Row],[HomeIce Differential]]&gt;0,Table4[[#This Row],[Home]],Table4[[#This Row],[Visitor]])</f>
        <v>Boston Bruins</v>
      </c>
      <c r="L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0.62511283671022522</v>
      </c>
      <c r="M219" t="str">
        <f>IF(OR((NHL2025_26Results[[#This Row],[Winning Team]]="")),"-",IF(Table4[[#This Row],[Predicted Winner]]=NHL2025_26Results[[#This Row],[Winning Team]],"YES","NO"))</f>
        <v>YES</v>
      </c>
      <c r="N219">
        <f>IF(Table4[[#This Row],[Adjusted Correct]]="-", "",IF(Table4[[#This Row],[Adjusted Correct]]="YES",(Table4[[#This Row],[Strength of Win]]-1)^2,(Table4[[#This Row],[Strength of Win]]-0)^2))</f>
        <v>0.14054038519945425</v>
      </c>
      <c r="O219">
        <v>0.90690422304210028</v>
      </c>
      <c r="P219" s="11">
        <v>0.71293671036303774</v>
      </c>
      <c r="Q219" t="s">
        <v>21</v>
      </c>
      <c r="R219" t="s">
        <v>248</v>
      </c>
    </row>
    <row r="220" spans="4:20" x14ac:dyDescent="0.2">
      <c r="D220" s="1">
        <v>45967</v>
      </c>
      <c r="E220" s="2">
        <v>0.79166666666666663</v>
      </c>
      <c r="F220" t="s">
        <v>23</v>
      </c>
      <c r="G220">
        <f>VLOOKUP(Table4[[#This Row],[Home]],'NHL Model'!$A$6:$B$38,2,FALSE)</f>
        <v>-0.4761104357405897</v>
      </c>
      <c r="H220" t="s">
        <v>35</v>
      </c>
      <c r="I220">
        <f>VLOOKUP(Table4[[#This Row],[Visitor]],'NHL Model'!$A$6:$B$38,2,FALSE)</f>
        <v>-1.3944783719477225</v>
      </c>
      <c r="J220">
        <f>($B$1+Table4[[#This Row],[Home Differential]])-Table4[[#This Row],[Away Differential]]</f>
        <v>0.96826868513029529</v>
      </c>
      <c r="K220" t="str">
        <f>IF(Table4[[#This Row],[HomeIce Differential]]&gt;0,Table4[[#This Row],[Home]],Table4[[#This Row],[Visitor]])</f>
        <v>Buffalo Sabres</v>
      </c>
      <c r="L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0.66318190900357221</v>
      </c>
      <c r="M220" t="str">
        <f>IF(OR((NHL2025_26Results[[#This Row],[Winning Team]]="")),"-",IF(Table4[[#This Row],[Predicted Winner]]=NHL2025_26Results[[#This Row],[Winning Team]],"YES","NO"))</f>
        <v>NO</v>
      </c>
      <c r="N220">
        <f>IF(Table4[[#This Row],[Adjusted Correct]]="-", "",IF(Table4[[#This Row],[Adjusted Correct]]="YES",(Table4[[#This Row],[Strength of Win]]-1)^2,(Table4[[#This Row],[Strength of Win]]-0)^2))</f>
        <v>0.43981024442962235</v>
      </c>
      <c r="O220">
        <v>1.925566664482226</v>
      </c>
      <c r="P220" s="11">
        <v>0.70580738997245784</v>
      </c>
      <c r="Q220" t="s">
        <v>23</v>
      </c>
      <c r="R220" t="s">
        <v>249</v>
      </c>
    </row>
    <row r="221" spans="4:20" x14ac:dyDescent="0.2">
      <c r="D221" s="1">
        <v>45967</v>
      </c>
      <c r="E221" s="2">
        <v>0.79166666666666663</v>
      </c>
      <c r="F221" t="s">
        <v>25</v>
      </c>
      <c r="G221">
        <f>VLOOKUP(Table4[[#This Row],[Home]],'NHL Model'!$A$6:$B$38,2,FALSE)</f>
        <v>0.42567513732855267</v>
      </c>
      <c r="H221" t="s">
        <v>34</v>
      </c>
      <c r="I221">
        <f>VLOOKUP(Table4[[#This Row],[Visitor]],'NHL Model'!$A$6:$B$38,2,FALSE)</f>
        <v>-5.5124787449478845E-2</v>
      </c>
      <c r="J221">
        <f>($B$1+Table4[[#This Row],[Home Differential]])-Table4[[#This Row],[Away Differential]]</f>
        <v>0.530700673701194</v>
      </c>
      <c r="K221" t="str">
        <f>IF(Table4[[#This Row],[HomeIce Differential]]&gt;0,Table4[[#This Row],[Home]],Table4[[#This Row],[Visitor]])</f>
        <v>Carolina Hurricanes</v>
      </c>
      <c r="L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0.61196713623753951</v>
      </c>
      <c r="M221" t="str">
        <f>IF(OR((NHL2025_26Results[[#This Row],[Winning Team]]="")),"-",IF(Table4[[#This Row],[Predicted Winner]]=NHL2025_26Results[[#This Row],[Winning Team]],"YES","NO"))</f>
        <v>YES</v>
      </c>
      <c r="N221">
        <f>IF(Table4[[#This Row],[Adjusted Correct]]="-", "",IF(Table4[[#This Row],[Adjusted Correct]]="YES",(Table4[[#This Row],[Strength of Win]]-1)^2,(Table4[[#This Row],[Strength of Win]]-0)^2))</f>
        <v>0.15056950335969621</v>
      </c>
      <c r="O221">
        <v>2.7341687146282365</v>
      </c>
      <c r="P221" s="11">
        <v>0.9490629979725963</v>
      </c>
      <c r="Q221" t="s">
        <v>25</v>
      </c>
      <c r="R221" t="s">
        <v>248</v>
      </c>
    </row>
    <row r="222" spans="4:20" x14ac:dyDescent="0.2">
      <c r="D222" s="1">
        <v>45967</v>
      </c>
      <c r="E222" s="2">
        <v>0.83333333333333337</v>
      </c>
      <c r="F222" t="s">
        <v>39</v>
      </c>
      <c r="G222">
        <f>VLOOKUP(Table4[[#This Row],[Home]],'NHL Model'!$A$6:$B$38,2,FALSE)</f>
        <v>0.41344250185511977</v>
      </c>
      <c r="H222" t="s">
        <v>31</v>
      </c>
      <c r="I222">
        <f>VLOOKUP(Table4[[#This Row],[Visitor]],'NHL Model'!$A$6:$B$38,2,FALSE)</f>
        <v>0.17870302183926629</v>
      </c>
      <c r="J222">
        <f>($B$1+Table4[[#This Row],[Home Differential]])-Table4[[#This Row],[Away Differential]]</f>
        <v>0.28464022893901597</v>
      </c>
      <c r="K222" t="str">
        <f>IF(Table4[[#This Row],[HomeIce Differential]]&gt;0,Table4[[#This Row],[Home]],Table4[[#This Row],[Visitor]])</f>
        <v>Dallas Stars</v>
      </c>
      <c r="L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0.5849600856496151</v>
      </c>
      <c r="M222" t="str">
        <f>IF(OR((NHL2025_26Results[[#This Row],[Winning Team]]="")),"-",IF(Table4[[#This Row],[Predicted Winner]]=NHL2025_26Results[[#This Row],[Winning Team]],"YES","NO"))</f>
        <v>NO</v>
      </c>
      <c r="N222">
        <f>IF(Table4[[#This Row],[Adjusted Correct]]="-", "",IF(Table4[[#This Row],[Adjusted Correct]]="YES",(Table4[[#This Row],[Strength of Win]]-1)^2,(Table4[[#This Row],[Strength of Win]]-0)^2))</f>
        <v>0.34217830180320502</v>
      </c>
      <c r="O222">
        <v>-1.130639668570925</v>
      </c>
      <c r="P222" s="11">
        <v>0.70949722264868176</v>
      </c>
      <c r="Q222" t="s">
        <v>31</v>
      </c>
      <c r="R222" t="s">
        <v>248</v>
      </c>
    </row>
    <row r="223" spans="4:20" x14ac:dyDescent="0.2">
      <c r="D223" s="1">
        <v>45967</v>
      </c>
      <c r="E223" s="2">
        <v>0.91666666666666663</v>
      </c>
      <c r="F223" t="s">
        <v>13</v>
      </c>
      <c r="G223">
        <f>VLOOKUP(Table4[[#This Row],[Home]],'NHL Model'!$A$6:$B$38,2,FALSE)</f>
        <v>-0.33828359867721369</v>
      </c>
      <c r="H223" t="s">
        <v>11</v>
      </c>
      <c r="I223">
        <f>VLOOKUP(Table4[[#This Row],[Visitor]],'NHL Model'!$A$6:$B$38,2,FALSE)</f>
        <v>-0.39711829106410657</v>
      </c>
      <c r="J223">
        <f>($B$1+Table4[[#This Row],[Home Differential]])-Table4[[#This Row],[Away Differential]]</f>
        <v>0.10873544131005536</v>
      </c>
      <c r="K223" t="str">
        <f>IF(Table4[[#This Row],[HomeIce Differential]]&gt;0,Table4[[#This Row],[Home]],Table4[[#This Row],[Visitor]])</f>
        <v>Los Angeles Kings</v>
      </c>
      <c r="L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0.5526964675935252</v>
      </c>
      <c r="M223" t="str">
        <f>IF(OR((NHL2025_26Results[[#This Row],[Winning Team]]="")),"-",IF(Table4[[#This Row],[Predicted Winner]]=NHL2025_26Results[[#This Row],[Winning Team]],"YES","NO"))</f>
        <v>NO</v>
      </c>
      <c r="N223">
        <f>IF(Table4[[#This Row],[Adjusted Correct]]="-", "",IF(Table4[[#This Row],[Adjusted Correct]]="YES",(Table4[[#This Row],[Strength of Win]]-1)^2,(Table4[[#This Row],[Strength of Win]]-0)^2))</f>
        <v>0.30547338529036067</v>
      </c>
      <c r="O223">
        <v>0.46423759997254921</v>
      </c>
      <c r="P223" s="11">
        <v>0.46593451019157689</v>
      </c>
      <c r="Q223" t="s">
        <v>13</v>
      </c>
      <c r="R223" t="s">
        <v>248</v>
      </c>
    </row>
    <row r="224" spans="4:20" x14ac:dyDescent="0.2">
      <c r="D224" s="1">
        <v>45967</v>
      </c>
      <c r="E224" s="2">
        <v>0.79166666666666663</v>
      </c>
      <c r="F224" t="s">
        <v>24</v>
      </c>
      <c r="G224">
        <f>VLOOKUP(Table4[[#This Row],[Home]],'NHL Model'!$A$6:$B$38,2,FALSE)</f>
        <v>1.5302507646042616E-3</v>
      </c>
      <c r="H224" t="s">
        <v>18</v>
      </c>
      <c r="I224">
        <f>VLOOKUP(Table4[[#This Row],[Visitor]],'NHL Model'!$A$6:$B$38,2,FALSE)</f>
        <v>-0.59288962827382519</v>
      </c>
      <c r="J224">
        <f>($B$1+Table4[[#This Row],[Home Differential]])-Table4[[#This Row],[Away Differential]]</f>
        <v>0.64432062796159195</v>
      </c>
      <c r="K224" t="str">
        <f>IF(Table4[[#This Row],[HomeIce Differential]]&gt;0,Table4[[#This Row],[Home]],Table4[[#This Row],[Visitor]])</f>
        <v>New Jersey Devils</v>
      </c>
      <c r="L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0.63773394280828299</v>
      </c>
      <c r="M224" t="str">
        <f>IF(OR((NHL2025_26Results[[#This Row],[Winning Team]]="")),"-",IF(Table4[[#This Row],[Predicted Winner]]=NHL2025_26Results[[#This Row],[Winning Team]],"YES","NO"))</f>
        <v>YES</v>
      </c>
      <c r="N224">
        <f>IF(Table4[[#This Row],[Adjusted Correct]]="-", "",IF(Table4[[#This Row],[Adjusted Correct]]="YES",(Table4[[#This Row],[Strength of Win]]-1)^2,(Table4[[#This Row],[Strength of Win]]-0)^2))</f>
        <v>0.13123669619323239</v>
      </c>
      <c r="O224">
        <v>0.89057694464792725</v>
      </c>
      <c r="P224" s="11">
        <v>0.72830199952182506</v>
      </c>
      <c r="Q224" t="s">
        <v>24</v>
      </c>
      <c r="R224" t="s">
        <v>248</v>
      </c>
    </row>
    <row r="225" spans="4:18" x14ac:dyDescent="0.2">
      <c r="D225" s="1">
        <v>45967</v>
      </c>
      <c r="E225" s="2">
        <v>0.83333333333333337</v>
      </c>
      <c r="F225" t="s">
        <v>29</v>
      </c>
      <c r="G225">
        <f>VLOOKUP(Table4[[#This Row],[Home]],'NHL Model'!$A$6:$B$38,2,FALSE)</f>
        <v>-1.384917283810061</v>
      </c>
      <c r="H225" t="s">
        <v>27</v>
      </c>
      <c r="I225">
        <f>VLOOKUP(Table4[[#This Row],[Visitor]],'NHL Model'!$A$6:$B$38,2,FALSE)</f>
        <v>-0.38023958350631604</v>
      </c>
      <c r="J225">
        <f>($B$1+Table4[[#This Row],[Home Differential]])-Table4[[#This Row],[Away Differential]]</f>
        <v>-0.95477695138058249</v>
      </c>
      <c r="K225" t="str">
        <f>IF(Table4[[#This Row],[HomeIce Differential]]&gt;0,Table4[[#This Row],[Home]],Table4[[#This Row],[Visitor]])</f>
        <v>Philadelphia Flyers</v>
      </c>
      <c r="L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0.61399686338983206</v>
      </c>
      <c r="M225" t="str">
        <f>IF(OR((NHL2025_26Results[[#This Row],[Winning Team]]="")),"-",IF(Table4[[#This Row],[Predicted Winner]]=NHL2025_26Results[[#This Row],[Winning Team]],"YES","NO"))</f>
        <v>YES</v>
      </c>
      <c r="N225">
        <f>IF(Table4[[#This Row],[Adjusted Correct]]="-", "",IF(Table4[[#This Row],[Adjusted Correct]]="YES",(Table4[[#This Row],[Strength of Win]]-1)^2,(Table4[[#This Row],[Strength of Win]]-0)^2))</f>
        <v>0.14899842147288797</v>
      </c>
      <c r="O225">
        <v>-0.71361525012750082</v>
      </c>
      <c r="P225" s="11">
        <v>0.58495636257548689</v>
      </c>
      <c r="Q225" t="s">
        <v>27</v>
      </c>
      <c r="R225" t="s">
        <v>248</v>
      </c>
    </row>
    <row r="226" spans="4:18" x14ac:dyDescent="0.2">
      <c r="D226" s="1">
        <v>45967</v>
      </c>
      <c r="E226" s="2">
        <v>0.8125</v>
      </c>
      <c r="F226" t="s">
        <v>14</v>
      </c>
      <c r="G226">
        <f>VLOOKUP(Table4[[#This Row],[Home]],'NHL Model'!$A$6:$B$38,2,FALSE)</f>
        <v>-0.14226422156549004</v>
      </c>
      <c r="H226" t="s">
        <v>22</v>
      </c>
      <c r="I226">
        <f>VLOOKUP(Table4[[#This Row],[Visitor]],'NHL Model'!$A$6:$B$38,2,FALSE)</f>
        <v>0.4407072328537569</v>
      </c>
      <c r="J226">
        <f>($B$1+Table4[[#This Row],[Home Differential]])-Table4[[#This Row],[Away Differential]]</f>
        <v>-0.53307070549608448</v>
      </c>
      <c r="K226" t="str">
        <f>IF(Table4[[#This Row],[HomeIce Differential]]&gt;0,Table4[[#This Row],[Home]],Table4[[#This Row],[Visitor]])</f>
        <v>Washington Capitals</v>
      </c>
      <c r="L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0.56475643524283603</v>
      </c>
      <c r="M226" t="str">
        <f>IF(OR((NHL2025_26Results[[#This Row],[Winning Team]]="")),"-",IF(Table4[[#This Row],[Predicted Winner]]=NHL2025_26Results[[#This Row],[Winning Team]],"YES","NO"))</f>
        <v>NO</v>
      </c>
      <c r="N226">
        <f>IF(Table4[[#This Row],[Adjusted Correct]]="-", "",IF(Table4[[#This Row],[Adjusted Correct]]="YES",(Table4[[#This Row],[Strength of Win]]-1)^2,(Table4[[#This Row],[Strength of Win]]-0)^2))</f>
        <v>0.31894983114819564</v>
      </c>
      <c r="O226">
        <v>0.69291313375044716</v>
      </c>
      <c r="P226" s="11">
        <v>0.67853927448673268</v>
      </c>
      <c r="Q226" t="s">
        <v>14</v>
      </c>
      <c r="R226" t="s">
        <v>248</v>
      </c>
    </row>
    <row r="227" spans="4:18" x14ac:dyDescent="0.2">
      <c r="D227" s="1">
        <v>45967</v>
      </c>
      <c r="E227" s="2">
        <v>0.91666666666666663</v>
      </c>
      <c r="F227" t="s">
        <v>20</v>
      </c>
      <c r="G227">
        <f>VLOOKUP(Table4[[#This Row],[Home]],'NHL Model'!$A$6:$B$38,2,FALSE)</f>
        <v>-0.24444083032063643</v>
      </c>
      <c r="H227" t="s">
        <v>37</v>
      </c>
      <c r="I227">
        <f>VLOOKUP(Table4[[#This Row],[Visitor]],'NHL Model'!$A$6:$B$38,2,FALSE)</f>
        <v>0.51050494674660429</v>
      </c>
      <c r="J227">
        <f>($B$1+Table4[[#This Row],[Home Differential]])-Table4[[#This Row],[Away Differential]]</f>
        <v>-0.70504502814407832</v>
      </c>
      <c r="K227" t="str">
        <f>IF(Table4[[#This Row],[HomeIce Differential]]&gt;0,Table4[[#This Row],[Home]],Table4[[#This Row],[Visitor]])</f>
        <v>Tampa Bay Lightning</v>
      </c>
      <c r="L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0.63481060060307437</v>
      </c>
      <c r="M227" t="str">
        <f>IF(OR((NHL2025_26Results[[#This Row],[Winning Team]]="")),"-",IF(Table4[[#This Row],[Predicted Winner]]=NHL2025_26Results[[#This Row],[Winning Team]],"YES","NO"))</f>
        <v>YES</v>
      </c>
      <c r="N227">
        <f>IF(Table4[[#This Row],[Adjusted Correct]]="-", "",IF(Table4[[#This Row],[Adjusted Correct]]="YES",(Table4[[#This Row],[Strength of Win]]-1)^2,(Table4[[#This Row],[Strength of Win]]-0)^2))</f>
        <v>0.13336329743188727</v>
      </c>
      <c r="O227">
        <v>0.79076363896180213</v>
      </c>
      <c r="P227" s="11">
        <v>0.56501828602136839</v>
      </c>
      <c r="Q227" t="s">
        <v>20</v>
      </c>
      <c r="R227" t="s">
        <v>249</v>
      </c>
    </row>
    <row r="228" spans="4:18" x14ac:dyDescent="0.2">
      <c r="D228" s="1">
        <v>45968</v>
      </c>
      <c r="E228" s="2">
        <v>0.875</v>
      </c>
      <c r="F228" t="s">
        <v>16</v>
      </c>
      <c r="G228">
        <f>VLOOKUP(Table4[[#This Row],[Home]],'NHL Model'!$A$6:$B$38,2,FALSE)</f>
        <v>-1.0657812790446208</v>
      </c>
      <c r="H228" t="s">
        <v>10</v>
      </c>
      <c r="I228">
        <f>VLOOKUP(Table4[[#This Row],[Visitor]],'NHL Model'!$A$6:$B$38,2,FALSE)</f>
        <v>-0.17619625518431364</v>
      </c>
      <c r="J228">
        <f>($B$1+Table4[[#This Row],[Home Differential]])-Table4[[#This Row],[Away Differential]]</f>
        <v>-0.8396842749371447</v>
      </c>
      <c r="K228" t="str">
        <f>IF(Table4[[#This Row],[HomeIce Differential]]&gt;0,Table4[[#This Row],[Home]],Table4[[#This Row],[Visitor]])</f>
        <v>Chicago Blackhawks</v>
      </c>
      <c r="L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0.55804553195432005</v>
      </c>
      <c r="M228" t="str">
        <f>IF(OR((NHL2025_26Results[[#This Row],[Winning Team]]="")),"-",IF(Table4[[#This Row],[Predicted Winner]]=NHL2025_26Results[[#This Row],[Winning Team]],"YES","NO"))</f>
        <v>YES</v>
      </c>
      <c r="N228">
        <f>IF(Table4[[#This Row],[Adjusted Correct]]="-", "",IF(Table4[[#This Row],[Adjusted Correct]]="YES",(Table4[[#This Row],[Strength of Win]]-1)^2,(Table4[[#This Row],[Strength of Win]]-0)^2))</f>
        <v>0.19532375182553993</v>
      </c>
      <c r="O228">
        <v>-0.89826751591011866</v>
      </c>
      <c r="P228" s="11">
        <v>0.57939682556639038</v>
      </c>
      <c r="Q228" t="s">
        <v>10</v>
      </c>
      <c r="R228" t="s">
        <v>248</v>
      </c>
    </row>
    <row r="229" spans="4:18" x14ac:dyDescent="0.2">
      <c r="D229" s="1">
        <v>45968</v>
      </c>
      <c r="E229" s="2">
        <v>0.79166666666666663</v>
      </c>
      <c r="F229" t="s">
        <v>26</v>
      </c>
      <c r="G229">
        <f>VLOOKUP(Table4[[#This Row],[Home]],'NHL Model'!$A$6:$B$38,2,FALSE)</f>
        <v>-0.87533956503230947</v>
      </c>
      <c r="H229" t="s">
        <v>15</v>
      </c>
      <c r="I229">
        <f>VLOOKUP(Table4[[#This Row],[Visitor]],'NHL Model'!$A$6:$B$38,2,FALSE)</f>
        <v>-0.29003398448394263</v>
      </c>
      <c r="J229">
        <f>($B$1+Table4[[#This Row],[Home Differential]])-Table4[[#This Row],[Away Differential]]</f>
        <v>-0.53540483162520447</v>
      </c>
      <c r="K229" t="str">
        <f>IF(Table4[[#This Row],[HomeIce Differential]]&gt;0,Table4[[#This Row],[Home]],Table4[[#This Row],[Visitor]])</f>
        <v>New York Rangers</v>
      </c>
      <c r="L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0.62259788249869552</v>
      </c>
      <c r="M229" t="str">
        <f>IF(OR((NHL2025_26Results[[#This Row],[Winning Team]]="")),"-",IF(Table4[[#This Row],[Predicted Winner]]=NHL2025_26Results[[#This Row],[Winning Team]],"YES","NO"))</f>
        <v>YES</v>
      </c>
      <c r="N229">
        <f>IF(Table4[[#This Row],[Adjusted Correct]]="-", "",IF(Table4[[#This Row],[Adjusted Correct]]="YES",(Table4[[#This Row],[Strength of Win]]-1)^2,(Table4[[#This Row],[Strength of Win]]-0)^2))</f>
        <v>0.14243235829446843</v>
      </c>
      <c r="O229">
        <v>0.57594293334690938</v>
      </c>
      <c r="P229" s="11">
        <v>0.60286955183404634</v>
      </c>
      <c r="Q229" t="s">
        <v>26</v>
      </c>
      <c r="R229" t="s">
        <v>249</v>
      </c>
    </row>
    <row r="230" spans="4:18" x14ac:dyDescent="0.2">
      <c r="D230" s="1">
        <v>45968</v>
      </c>
      <c r="E230" s="2">
        <v>0.79166666666666663</v>
      </c>
      <c r="F230" t="s">
        <v>30</v>
      </c>
      <c r="G230">
        <f>VLOOKUP(Table4[[#This Row],[Home]],'NHL Model'!$A$6:$B$38,2,FALSE)</f>
        <v>-0.24093199744133265</v>
      </c>
      <c r="H230" t="s">
        <v>34</v>
      </c>
      <c r="I230">
        <f>VLOOKUP(Table4[[#This Row],[Visitor]],'NHL Model'!$A$6:$B$38,2,FALSE)</f>
        <v>-5.5124787449478845E-2</v>
      </c>
      <c r="J230">
        <f>($B$1+Table4[[#This Row],[Home Differential]])-Table4[[#This Row],[Away Differential]]</f>
        <v>-0.13590646106869134</v>
      </c>
      <c r="K230" t="str">
        <f>IF(Table4[[#This Row],[HomeIce Differential]]&gt;0,Table4[[#This Row],[Home]],Table4[[#This Row],[Visitor]])</f>
        <v>Minnesota Wild</v>
      </c>
      <c r="L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0.51838164798004693</v>
      </c>
      <c r="M230" t="str">
        <f>IF(OR((NHL2025_26Results[[#This Row],[Winning Team]]="")),"-",IF(Table4[[#This Row],[Predicted Winner]]=NHL2025_26Results[[#This Row],[Winning Team]],"YES","NO"))</f>
        <v>YES</v>
      </c>
      <c r="N230">
        <f>IF(Table4[[#This Row],[Adjusted Correct]]="-", "",IF(Table4[[#This Row],[Adjusted Correct]]="YES",(Table4[[#This Row],[Strength of Win]]-1)^2,(Table4[[#This Row],[Strength of Win]]-0)^2))</f>
        <v>0.23195623700241544</v>
      </c>
      <c r="O230">
        <v>1.0112573753351666</v>
      </c>
      <c r="P230" s="11">
        <v>0.68843194589673395</v>
      </c>
      <c r="Q230" t="s">
        <v>30</v>
      </c>
      <c r="R230" t="s">
        <v>249</v>
      </c>
    </row>
    <row r="231" spans="4:18" x14ac:dyDescent="0.2">
      <c r="D231" s="1">
        <v>45968</v>
      </c>
      <c r="E231" s="2">
        <v>0.91666666666666663</v>
      </c>
      <c r="F231" t="s">
        <v>33</v>
      </c>
      <c r="G231">
        <f>VLOOKUP(Table4[[#This Row],[Home]],'NHL Model'!$A$6:$B$38,2,FALSE)</f>
        <v>-0.45133099238224339</v>
      </c>
      <c r="H231" t="s">
        <v>40</v>
      </c>
      <c r="I231">
        <f>VLOOKUP(Table4[[#This Row],[Visitor]],'NHL Model'!$A$6:$B$38,2,FALSE)</f>
        <v>-0.31324182378279158</v>
      </c>
      <c r="J231">
        <f>($B$1+Table4[[#This Row],[Home Differential]])-Table4[[#This Row],[Away Differential]]</f>
        <v>-8.818841967628932E-2</v>
      </c>
      <c r="K231" t="str">
        <f>IF(Table4[[#This Row],[HomeIce Differential]]&gt;0,Table4[[#This Row],[Home]],Table4[[#This Row],[Visitor]])</f>
        <v>Winnipeg Jets</v>
      </c>
      <c r="L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0.48088553485950469</v>
      </c>
      <c r="M231" t="str">
        <f>IF(OR((NHL2025_26Results[[#This Row],[Winning Team]]="")),"-",IF(Table4[[#This Row],[Predicted Winner]]=NHL2025_26Results[[#This Row],[Winning Team]],"YES","NO"))</f>
        <v>NO</v>
      </c>
      <c r="N231">
        <f>IF(Table4[[#This Row],[Adjusted Correct]]="-", "",IF(Table4[[#This Row],[Adjusted Correct]]="YES",(Table4[[#This Row],[Strength of Win]]-1)^2,(Table4[[#This Row],[Strength of Win]]-0)^2))</f>
        <v>0.2312508976371119</v>
      </c>
      <c r="O231">
        <v>-0.44469599768545998</v>
      </c>
      <c r="P231" s="11">
        <v>0.65612347547129402</v>
      </c>
      <c r="Q231" t="s">
        <v>40</v>
      </c>
      <c r="R231" t="s">
        <v>249</v>
      </c>
    </row>
    <row r="232" spans="4:18" x14ac:dyDescent="0.2">
      <c r="D232" s="1">
        <v>45969</v>
      </c>
      <c r="E232" s="2">
        <v>0.79166666666666663</v>
      </c>
      <c r="F232" t="s">
        <v>25</v>
      </c>
      <c r="G232">
        <f>VLOOKUP(Table4[[#This Row],[Home]],'NHL Model'!$A$6:$B$38,2,FALSE)</f>
        <v>0.42567513732855267</v>
      </c>
      <c r="H232" t="s">
        <v>23</v>
      </c>
      <c r="I232">
        <f>VLOOKUP(Table4[[#This Row],[Visitor]],'NHL Model'!$A$6:$B$38,2,FALSE)</f>
        <v>-0.4761104357405897</v>
      </c>
      <c r="J232">
        <f>($B$1+Table4[[#This Row],[Home Differential]])-Table4[[#This Row],[Away Differential]]</f>
        <v>0.95168632199230485</v>
      </c>
      <c r="K232" t="str">
        <f>IF(Table4[[#This Row],[HomeIce Differential]]&gt;0,Table4[[#This Row],[Home]],Table4[[#This Row],[Visitor]])</f>
        <v>Carolina Hurricanes</v>
      </c>
      <c r="L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0.70283940031160697</v>
      </c>
      <c r="M232" t="str">
        <f>IF(OR((NHL2025_26Results[[#This Row],[Winning Team]]="")),"-",IF(Table4[[#This Row],[Predicted Winner]]=NHL2025_26Results[[#This Row],[Winning Team]],"YES","NO"))</f>
        <v>YES</v>
      </c>
      <c r="N232">
        <f>IF(Table4[[#This Row],[Adjusted Correct]]="-", "",IF(Table4[[#This Row],[Adjusted Correct]]="YES",(Table4[[#This Row],[Strength of Win]]-1)^2,(Table4[[#This Row],[Strength of Win]]-0)^2))</f>
        <v>8.8304422007165373E-2</v>
      </c>
      <c r="O232">
        <v>1.9351407626476336</v>
      </c>
      <c r="P232" s="11">
        <v>0.90867605461224943</v>
      </c>
      <c r="Q232" t="str">
        <f>IF(Table4[[#This Row],[HomeIce Differential]]&gt;0,Table4[[#This Row],[Home]],Table4[[#This Row],[Visitor]])</f>
        <v>Carolina Hurricanes</v>
      </c>
      <c r="R232" t="s">
        <v>248</v>
      </c>
    </row>
    <row r="233" spans="4:18" x14ac:dyDescent="0.2">
      <c r="D233" s="1">
        <v>45969</v>
      </c>
      <c r="E233" s="2">
        <v>0.91666666666666663</v>
      </c>
      <c r="F233" t="s">
        <v>17</v>
      </c>
      <c r="G233">
        <f>VLOOKUP(Table4[[#This Row],[Home]],'NHL Model'!$A$6:$B$38,2,FALSE)</f>
        <v>-0.81774666423752174</v>
      </c>
      <c r="H233" t="s">
        <v>12</v>
      </c>
      <c r="I233">
        <f>VLOOKUP(Table4[[#This Row],[Visitor]],'NHL Model'!$A$6:$B$38,2,FALSE)</f>
        <v>1.6319036584269762</v>
      </c>
      <c r="J233">
        <f>($B$1+Table4[[#This Row],[Home Differential]])-Table4[[#This Row],[Away Differential]]</f>
        <v>-2.3997495737413352</v>
      </c>
      <c r="K233" t="str">
        <f>IF(Table4[[#This Row],[HomeIce Differential]]&gt;0,Table4[[#This Row],[Home]],Table4[[#This Row],[Visitor]])</f>
        <v>Colorado Avalanche</v>
      </c>
      <c r="L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0.80575362576568399</v>
      </c>
      <c r="M233" t="str">
        <f>IF(OR((NHL2025_26Results[[#This Row],[Winning Team]]="")),"-",IF(Table4[[#This Row],[Predicted Winner]]=NHL2025_26Results[[#This Row],[Winning Team]],"YES","NO"))</f>
        <v>YES</v>
      </c>
      <c r="N233">
        <f>IF(Table4[[#This Row],[Adjusted Correct]]="-", "",IF(Table4[[#This Row],[Adjusted Correct]]="YES",(Table4[[#This Row],[Strength of Win]]-1)^2,(Table4[[#This Row],[Strength of Win]]-0)^2))</f>
        <v>3.7731653903177946E-2</v>
      </c>
      <c r="O233">
        <v>-1.415580005270316</v>
      </c>
      <c r="P233" s="11">
        <v>0.62882698926750424</v>
      </c>
      <c r="Q233" t="str">
        <f>IF(Table4[[#This Row],[HomeIce Differential]]&gt;0,Table4[[#This Row],[Home]],Table4[[#This Row],[Visitor]])</f>
        <v>Colorado Avalanche</v>
      </c>
      <c r="R233" t="s">
        <v>248</v>
      </c>
    </row>
    <row r="234" spans="4:18" x14ac:dyDescent="0.2">
      <c r="D234" s="1">
        <v>45969</v>
      </c>
      <c r="E234" s="2">
        <v>0.79166666666666663</v>
      </c>
      <c r="F234" t="s">
        <v>18</v>
      </c>
      <c r="G234">
        <f>VLOOKUP(Table4[[#This Row],[Home]],'NHL Model'!$A$6:$B$38,2,FALSE)</f>
        <v>-0.59288962827382519</v>
      </c>
      <c r="H234" t="s">
        <v>55</v>
      </c>
      <c r="I234">
        <f>VLOOKUP(Table4[[#This Row],[Visitor]],'NHL Model'!$A$6:$B$38,2,FALSE)</f>
        <v>-0.4031232890211825</v>
      </c>
      <c r="J234">
        <f>($B$1+Table4[[#This Row],[Home Differential]])-Table4[[#This Row],[Away Differential]]</f>
        <v>-0.13986559032948026</v>
      </c>
      <c r="K234" t="str">
        <f>IF(Table4[[#This Row],[HomeIce Differential]]&gt;0,Table4[[#This Row],[Home]],Table4[[#This Row],[Visitor]])</f>
        <v>Utah Mammoth</v>
      </c>
      <c r="L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0.47633137193975128</v>
      </c>
      <c r="M234" t="str">
        <f>IF(OR((NHL2025_26Results[[#This Row],[Winning Team]]="")),"-",IF(Table4[[#This Row],[Predicted Winner]]=NHL2025_26Results[[#This Row],[Winning Team]],"YES","NO"))</f>
        <v>NO</v>
      </c>
      <c r="N234">
        <f>IF(Table4[[#This Row],[Adjusted Correct]]="-", "",IF(Table4[[#This Row],[Adjusted Correct]]="YES",(Table4[[#This Row],[Strength of Win]]-1)^2,(Table4[[#This Row],[Strength of Win]]-0)^2))</f>
        <v>0.22689157589400569</v>
      </c>
      <c r="O234">
        <v>-9.1434980120831275E-2</v>
      </c>
      <c r="P234" s="11">
        <v>0.46748033858108706</v>
      </c>
      <c r="Q234" t="str">
        <f>IF(Table4[[#This Row],[HomeIce Differential]]&gt;0,Table4[[#This Row],[Home]],Table4[[#This Row],[Visitor]])</f>
        <v>Utah Mammoth</v>
      </c>
      <c r="R234" t="s">
        <v>248</v>
      </c>
    </row>
    <row r="235" spans="4:18" x14ac:dyDescent="0.2">
      <c r="D235" s="1">
        <v>45969</v>
      </c>
      <c r="E235" s="2">
        <v>0.52083333333333337</v>
      </c>
      <c r="F235" t="s">
        <v>24</v>
      </c>
      <c r="G235">
        <f>VLOOKUP(Table4[[#This Row],[Home]],'NHL Model'!$A$6:$B$38,2,FALSE)</f>
        <v>1.5302507646042616E-3</v>
      </c>
      <c r="H235" t="s">
        <v>14</v>
      </c>
      <c r="I235">
        <f>VLOOKUP(Table4[[#This Row],[Visitor]],'NHL Model'!$A$6:$B$38,2,FALSE)</f>
        <v>-0.14226422156549004</v>
      </c>
      <c r="J235">
        <f>($B$1+Table4[[#This Row],[Home Differential]])-Table4[[#This Row],[Away Differential]]</f>
        <v>0.19369522125325678</v>
      </c>
      <c r="K235" t="str">
        <f>IF(Table4[[#This Row],[HomeIce Differential]]&gt;0,Table4[[#This Row],[Home]],Table4[[#This Row],[Visitor]])</f>
        <v>New Jersey Devils</v>
      </c>
      <c r="L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0.60470632805755864</v>
      </c>
      <c r="M235" t="str">
        <f>IF(OR((NHL2025_26Results[[#This Row],[Winning Team]]="")),"-",IF(Table4[[#This Row],[Predicted Winner]]=NHL2025_26Results[[#This Row],[Winning Team]],"YES","NO"))</f>
        <v>YES</v>
      </c>
      <c r="N235">
        <f>IF(Table4[[#This Row],[Adjusted Correct]]="-", "",IF(Table4[[#This Row],[Adjusted Correct]]="YES",(Table4[[#This Row],[Strength of Win]]-1)^2,(Table4[[#This Row],[Strength of Win]]-0)^2))</f>
        <v>0.15625708707773844</v>
      </c>
      <c r="O235">
        <v>0.39090755697587465</v>
      </c>
      <c r="P235" s="11">
        <v>0.69815702821232517</v>
      </c>
      <c r="Q235" t="str">
        <f>IF(Table4[[#This Row],[HomeIce Differential]]&gt;0,Table4[[#This Row],[Home]],Table4[[#This Row],[Visitor]])</f>
        <v>New Jersey Devils</v>
      </c>
      <c r="R235" t="s">
        <v>248</v>
      </c>
    </row>
    <row r="236" spans="4:18" x14ac:dyDescent="0.2">
      <c r="D236" s="1">
        <v>45969</v>
      </c>
      <c r="E236" s="2">
        <v>0.64583333333333337</v>
      </c>
      <c r="F236" t="s">
        <v>29</v>
      </c>
      <c r="G236">
        <f>VLOOKUP(Table4[[#This Row],[Home]],'NHL Model'!$A$6:$B$38,2,FALSE)</f>
        <v>-1.384917283810061</v>
      </c>
      <c r="H236" t="s">
        <v>39</v>
      </c>
      <c r="I236">
        <f>VLOOKUP(Table4[[#This Row],[Visitor]],'NHL Model'!$A$6:$B$38,2,FALSE)</f>
        <v>0.41344250185511977</v>
      </c>
      <c r="J236">
        <f>($B$1+Table4[[#This Row],[Home Differential]])-Table4[[#This Row],[Away Differential]]</f>
        <v>-1.7484590367420183</v>
      </c>
      <c r="K236" t="str">
        <f>IF(Table4[[#This Row],[HomeIce Differential]]&gt;0,Table4[[#This Row],[Home]],Table4[[#This Row],[Visitor]])</f>
        <v>Dallas Stars</v>
      </c>
      <c r="L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0.7659561507622451</v>
      </c>
      <c r="M236" t="str">
        <f>IF(OR((NHL2025_26Results[[#This Row],[Winning Team]]="")),"-",IF(Table4[[#This Row],[Predicted Winner]]=NHL2025_26Results[[#This Row],[Winning Team]],"YES","NO"))</f>
        <v>YES</v>
      </c>
      <c r="N236">
        <f>IF(Table4[[#This Row],[Adjusted Correct]]="-", "",IF(Table4[[#This Row],[Adjusted Correct]]="YES",(Table4[[#This Row],[Strength of Win]]-1)^2,(Table4[[#This Row],[Strength of Win]]-0)^2))</f>
        <v>5.4776523366024947E-2</v>
      </c>
      <c r="O236">
        <v>-0.50338898510147534</v>
      </c>
      <c r="P236" s="11">
        <v>0.55198134388499531</v>
      </c>
      <c r="Q236" t="str">
        <f>IF(Table4[[#This Row],[HomeIce Differential]]&gt;0,Table4[[#This Row],[Home]],Table4[[#This Row],[Visitor]])</f>
        <v>Dallas Stars</v>
      </c>
      <c r="R236" t="s">
        <v>248</v>
      </c>
    </row>
    <row r="237" spans="4:18" x14ac:dyDescent="0.2">
      <c r="D237" s="1">
        <v>45969</v>
      </c>
      <c r="E237" s="2">
        <v>0.79166666666666663</v>
      </c>
      <c r="F237" t="s">
        <v>15</v>
      </c>
      <c r="G237">
        <f>VLOOKUP(Table4[[#This Row],[Home]],'NHL Model'!$A$6:$B$38,2,FALSE)</f>
        <v>-0.29003398448394263</v>
      </c>
      <c r="H237" t="s">
        <v>30</v>
      </c>
      <c r="I237">
        <f>VLOOKUP(Table4[[#This Row],[Visitor]],'NHL Model'!$A$6:$B$38,2,FALSE)</f>
        <v>-0.24093199744133265</v>
      </c>
      <c r="J237">
        <f>($B$1+Table4[[#This Row],[Home Differential]])-Table4[[#This Row],[Away Differential]]</f>
        <v>7.9876188055247321E-4</v>
      </c>
      <c r="K237" t="str">
        <f>IF(Table4[[#This Row],[HomeIce Differential]]&gt;0,Table4[[#This Row],[Home]],Table4[[#This Row],[Visitor]])</f>
        <v>New York Rangers</v>
      </c>
      <c r="L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0.46747009813058232</v>
      </c>
      <c r="M237" t="str">
        <f>IF(OR((NHL2025_26Results[[#This Row],[Winning Team]]="")),"-",IF(Table4[[#This Row],[Predicted Winner]]=NHL2025_26Results[[#This Row],[Winning Team]],"YES","NO"))</f>
        <v>NO</v>
      </c>
      <c r="N237">
        <f>IF(Table4[[#This Row],[Adjusted Correct]]="-", "",IF(Table4[[#This Row],[Adjusted Correct]]="YES",(Table4[[#This Row],[Strength of Win]]-1)^2,(Table4[[#This Row],[Strength of Win]]-0)^2))</f>
        <v>0.21852829264621626</v>
      </c>
      <c r="O237">
        <v>0.51322223607554873</v>
      </c>
      <c r="P237" s="11">
        <v>0.61260317768290107</v>
      </c>
      <c r="Q237" t="str">
        <f>IF(Table4[[#This Row],[HomeIce Differential]]&gt;0,Table4[[#This Row],[Home]],Table4[[#This Row],[Visitor]])</f>
        <v>New York Rangers</v>
      </c>
      <c r="R237" t="s">
        <v>249</v>
      </c>
    </row>
    <row r="238" spans="4:18" x14ac:dyDescent="0.2">
      <c r="D238" s="1">
        <v>45969</v>
      </c>
      <c r="E238" s="2">
        <v>0.54166666666666663</v>
      </c>
      <c r="F238" t="s">
        <v>27</v>
      </c>
      <c r="G238">
        <f>VLOOKUP(Table4[[#This Row],[Home]],'NHL Model'!$A$6:$B$38,2,FALSE)</f>
        <v>-0.38023958350631604</v>
      </c>
      <c r="H238" t="s">
        <v>36</v>
      </c>
      <c r="I238">
        <f>VLOOKUP(Table4[[#This Row],[Visitor]],'NHL Model'!$A$6:$B$38,2,FALSE)</f>
        <v>-0.53137605086483863</v>
      </c>
      <c r="J238">
        <f>($B$1+Table4[[#This Row],[Home Differential]])-Table4[[#This Row],[Away Differential]]</f>
        <v>0.20103721628168508</v>
      </c>
      <c r="K238" t="str">
        <f>IF(Table4[[#This Row],[HomeIce Differential]]&gt;0,Table4[[#This Row],[Home]],Table4[[#This Row],[Visitor]])</f>
        <v>Philadelphia Flyers</v>
      </c>
      <c r="L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0.5774906825970495</v>
      </c>
      <c r="M238" t="str">
        <f>IF(OR((NHL2025_26Results[[#This Row],[Winning Team]]="")),"-",IF(Table4[[#This Row],[Predicted Winner]]=NHL2025_26Results[[#This Row],[Winning Team]],"YES","NO"))</f>
        <v>NO</v>
      </c>
      <c r="N238">
        <f>IF(Table4[[#This Row],[Adjusted Correct]]="-", "",IF(Table4[[#This Row],[Adjusted Correct]]="YES",(Table4[[#This Row],[Strength of Win]]-1)^2,(Table4[[#This Row],[Strength of Win]]-0)^2))</f>
        <v>0.33349548848640614</v>
      </c>
      <c r="O238">
        <v>0.76524673712820268</v>
      </c>
      <c r="P238" s="11">
        <v>0.69997189534964854</v>
      </c>
      <c r="Q238" t="str">
        <f>IF(Table4[[#This Row],[HomeIce Differential]]&gt;0,Table4[[#This Row],[Home]],Table4[[#This Row],[Visitor]])</f>
        <v>Philadelphia Flyers</v>
      </c>
      <c r="R238" t="s">
        <v>249</v>
      </c>
    </row>
    <row r="239" spans="4:18" x14ac:dyDescent="0.2">
      <c r="D239" s="1">
        <v>45969</v>
      </c>
      <c r="E239" s="2">
        <v>0.91666666666666663</v>
      </c>
      <c r="F239" t="s">
        <v>33</v>
      </c>
      <c r="G239">
        <f>VLOOKUP(Table4[[#This Row],[Home]],'NHL Model'!$A$6:$B$38,2,FALSE)</f>
        <v>-0.45133099238224339</v>
      </c>
      <c r="H239" t="s">
        <v>11</v>
      </c>
      <c r="I239">
        <f>VLOOKUP(Table4[[#This Row],[Visitor]],'NHL Model'!$A$6:$B$38,2,FALSE)</f>
        <v>-0.39711829106410657</v>
      </c>
      <c r="J239">
        <f>($B$1+Table4[[#This Row],[Home Differential]])-Table4[[#This Row],[Away Differential]]</f>
        <v>-4.3119523949743388E-3</v>
      </c>
      <c r="K239" t="str">
        <f>IF(Table4[[#This Row],[HomeIce Differential]]&gt;0,Table4[[#This Row],[Home]],Table4[[#This Row],[Visitor]])</f>
        <v>Florida Panthers</v>
      </c>
      <c r="L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0.45038123469323554</v>
      </c>
      <c r="M239" t="str">
        <f>IF(OR((NHL2025_26Results[[#This Row],[Winning Team]]="")),"-",IF(Table4[[#This Row],[Predicted Winner]]=NHL2025_26Results[[#This Row],[Winning Team]],"YES","NO"))</f>
        <v>NO</v>
      </c>
      <c r="N239">
        <f>IF(Table4[[#This Row],[Adjusted Correct]]="-", "",IF(Table4[[#This Row],[Adjusted Correct]]="YES",(Table4[[#This Row],[Strength of Win]]-1)^2,(Table4[[#This Row],[Strength of Win]]-0)^2))</f>
        <v>0.20284325656380331</v>
      </c>
      <c r="O239">
        <v>0.24866365858988232</v>
      </c>
      <c r="P239" s="11">
        <v>0.57517729848560939</v>
      </c>
      <c r="Q239" t="str">
        <f>IF(Table4[[#This Row],[HomeIce Differential]]&gt;0,Table4[[#This Row],[Home]],Table4[[#This Row],[Visitor]])</f>
        <v>Florida Panthers</v>
      </c>
      <c r="R239" t="s">
        <v>248</v>
      </c>
    </row>
    <row r="240" spans="4:18" x14ac:dyDescent="0.2">
      <c r="D240" s="1">
        <v>45969</v>
      </c>
      <c r="E240" s="2">
        <v>0.79166666666666663</v>
      </c>
      <c r="F240" t="s">
        <v>35</v>
      </c>
      <c r="G240">
        <f>VLOOKUP(Table4[[#This Row],[Home]],'NHL Model'!$A$6:$B$38,2,FALSE)</f>
        <v>-1.3944783719477225</v>
      </c>
      <c r="H240" t="s">
        <v>32</v>
      </c>
      <c r="I240">
        <f>VLOOKUP(Table4[[#This Row],[Visitor]],'NHL Model'!$A$6:$B$38,2,FALSE)</f>
        <v>-0.64937723527808999</v>
      </c>
      <c r="J240">
        <f>($B$1+Table4[[#This Row],[Home Differential]])-Table4[[#This Row],[Away Differential]]</f>
        <v>-0.69520038774647008</v>
      </c>
      <c r="K240" t="str">
        <f>IF(Table4[[#This Row],[HomeIce Differential]]&gt;0,Table4[[#This Row],[Home]],Table4[[#This Row],[Visitor]])</f>
        <v>Seattle Kraken</v>
      </c>
      <c r="L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0.5411749056948274</v>
      </c>
      <c r="M240" t="str">
        <f>IF(OR((NHL2025_26Results[[#This Row],[Winning Team]]="")),"-",IF(Table4[[#This Row],[Predicted Winner]]=NHL2025_26Results[[#This Row],[Winning Team]],"YES","NO"))</f>
        <v>YES</v>
      </c>
      <c r="N240">
        <f>IF(Table4[[#This Row],[Adjusted Correct]]="-", "",IF(Table4[[#This Row],[Adjusted Correct]]="YES",(Table4[[#This Row],[Strength of Win]]-1)^2,(Table4[[#This Row],[Strength of Win]]-0)^2))</f>
        <v>0.21052046716415052</v>
      </c>
      <c r="O240">
        <v>-1.0504515403746681</v>
      </c>
      <c r="P240" s="11">
        <v>0.60860252434945616</v>
      </c>
      <c r="Q240" t="str">
        <f>IF(Table4[[#This Row],[HomeIce Differential]]&gt;0,Table4[[#This Row],[Home]],Table4[[#This Row],[Visitor]])</f>
        <v>Seattle Kraken</v>
      </c>
      <c r="R240" t="s">
        <v>248</v>
      </c>
    </row>
    <row r="241" spans="4:21" x14ac:dyDescent="0.2">
      <c r="D241" s="1">
        <v>45969</v>
      </c>
      <c r="E241" s="2">
        <v>0.79166666666666663</v>
      </c>
      <c r="F241" t="s">
        <v>37</v>
      </c>
      <c r="G241">
        <f>VLOOKUP(Table4[[#This Row],[Home]],'NHL Model'!$A$6:$B$38,2,FALSE)</f>
        <v>0.51050494674660429</v>
      </c>
      <c r="H241" t="s">
        <v>22</v>
      </c>
      <c r="I241">
        <f>VLOOKUP(Table4[[#This Row],[Visitor]],'NHL Model'!$A$6:$B$38,2,FALSE)</f>
        <v>0.4407072328537569</v>
      </c>
      <c r="J241">
        <f>($B$1+Table4[[#This Row],[Home Differential]])-Table4[[#This Row],[Away Differential]]</f>
        <v>0.11969846281600982</v>
      </c>
      <c r="K241" t="str">
        <f>IF(Table4[[#This Row],[HomeIce Differential]]&gt;0,Table4[[#This Row],[Home]],Table4[[#This Row],[Visitor]])</f>
        <v>Tampa Bay Lightning</v>
      </c>
      <c r="L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0.54409704408470561</v>
      </c>
      <c r="M241" t="str">
        <f>IF(OR((NHL2025_26Results[[#This Row],[Winning Team]]="")),"-",IF(Table4[[#This Row],[Predicted Winner]]=NHL2025_26Results[[#This Row],[Winning Team]],"YES","NO"))</f>
        <v>YES</v>
      </c>
      <c r="N241">
        <f>IF(Table4[[#This Row],[Adjusted Correct]]="-", "",IF(Table4[[#This Row],[Adjusted Correct]]="YES",(Table4[[#This Row],[Strength of Win]]-1)^2,(Table4[[#This Row],[Strength of Win]]-0)^2))</f>
        <v>0.20784750521230286</v>
      </c>
      <c r="O241">
        <v>0.68630188894612598</v>
      </c>
      <c r="P241" s="11">
        <v>0.61631872545083322</v>
      </c>
      <c r="Q241" t="str">
        <f>IF(Table4[[#This Row],[HomeIce Differential]]&gt;0,Table4[[#This Row],[Home]],Table4[[#This Row],[Visitor]])</f>
        <v>Tampa Bay Lightning</v>
      </c>
      <c r="R241" t="s">
        <v>248</v>
      </c>
    </row>
    <row r="242" spans="4:21" x14ac:dyDescent="0.2">
      <c r="D242" s="1">
        <v>45969</v>
      </c>
      <c r="E242" s="2">
        <v>0.79166666666666663</v>
      </c>
      <c r="F242" t="s">
        <v>19</v>
      </c>
      <c r="G242">
        <f>VLOOKUP(Table4[[#This Row],[Home]],'NHL Model'!$A$6:$B$38,2,FALSE)</f>
        <v>-0.63447859131898054</v>
      </c>
      <c r="H242" t="s">
        <v>21</v>
      </c>
      <c r="I242">
        <f>VLOOKUP(Table4[[#This Row],[Visitor]],'NHL Model'!$A$6:$B$38,2,FALSE)</f>
        <v>-0.21976976044773161</v>
      </c>
      <c r="J242">
        <f>($B$1+Table4[[#This Row],[Home Differential]])-Table4[[#This Row],[Away Differential]]</f>
        <v>-0.3648080819480865</v>
      </c>
      <c r="K242" t="str">
        <f>IF(Table4[[#This Row],[HomeIce Differential]]&gt;0,Table4[[#This Row],[Home]],Table4[[#This Row],[Visitor]])</f>
        <v>Boston Bruins</v>
      </c>
      <c r="L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0.50342622083801203</v>
      </c>
      <c r="M242" t="str">
        <f>IF(OR((NHL2025_26Results[[#This Row],[Winning Team]]="")),"-",IF(Table4[[#This Row],[Predicted Winner]]=NHL2025_26Results[[#This Row],[Winning Team]],"YES","NO"))</f>
        <v>YES</v>
      </c>
      <c r="N242">
        <f>IF(Table4[[#This Row],[Adjusted Correct]]="-", "",IF(Table4[[#This Row],[Adjusted Correct]]="YES",(Table4[[#This Row],[Strength of Win]]-1)^2,(Table4[[#This Row],[Strength of Win]]-0)^2))</f>
        <v>0.24658551815121879</v>
      </c>
      <c r="O242">
        <v>-1.8279325034129712E-2</v>
      </c>
      <c r="P242" s="11">
        <v>0.39913761576555157</v>
      </c>
      <c r="Q242" t="str">
        <f>IF(Table4[[#This Row],[HomeIce Differential]]&gt;0,Table4[[#This Row],[Home]],Table4[[#This Row],[Visitor]])</f>
        <v>Boston Bruins</v>
      </c>
      <c r="R242" t="s">
        <v>248</v>
      </c>
    </row>
    <row r="243" spans="4:21" x14ac:dyDescent="0.2">
      <c r="D243" s="1">
        <v>45969</v>
      </c>
      <c r="E243" s="2">
        <v>0.91666666666666663</v>
      </c>
      <c r="F243" t="s">
        <v>38</v>
      </c>
      <c r="G243">
        <f>VLOOKUP(Table4[[#This Row],[Home]],'NHL Model'!$A$6:$B$38,2,FALSE)</f>
        <v>-0.9476777551108041</v>
      </c>
      <c r="H243" t="s">
        <v>28</v>
      </c>
      <c r="I243">
        <f>VLOOKUP(Table4[[#This Row],[Visitor]],'NHL Model'!$A$6:$B$38,2,FALSE)</f>
        <v>-0.59498940435054026</v>
      </c>
      <c r="J243">
        <f>($B$1+Table4[[#This Row],[Home Differential]])-Table4[[#This Row],[Away Differential]]</f>
        <v>-0.30278760183710141</v>
      </c>
      <c r="K243" t="str">
        <f>IF(Table4[[#This Row],[HomeIce Differential]]&gt;0,Table4[[#This Row],[Home]],Table4[[#This Row],[Visitor]])</f>
        <v>Columbus Blue Jackets</v>
      </c>
      <c r="L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0.49893108028093769</v>
      </c>
      <c r="M243" t="str">
        <f>IF(OR((NHL2025_26Results[[#This Row],[Winning Team]]="")),"-",IF(Table4[[#This Row],[Predicted Winner]]=NHL2025_26Results[[#This Row],[Winning Team]],"YES","NO"))</f>
        <v>NO</v>
      </c>
      <c r="N243">
        <f>IF(Table4[[#This Row],[Adjusted Correct]]="-", "",IF(Table4[[#This Row],[Adjusted Correct]]="YES",(Table4[[#This Row],[Strength of Win]]-1)^2,(Table4[[#This Row],[Strength of Win]]-0)^2))</f>
        <v>0.24893222287030348</v>
      </c>
      <c r="O243">
        <v>-0.55323810247638672</v>
      </c>
      <c r="P243" s="11">
        <v>0.59240285483457156</v>
      </c>
      <c r="Q243" t="str">
        <f>IF(Table4[[#This Row],[HomeIce Differential]]&gt;0,Table4[[#This Row],[Home]],Table4[[#This Row],[Visitor]])</f>
        <v>Columbus Blue Jackets</v>
      </c>
      <c r="R243" t="s">
        <v>249</v>
      </c>
    </row>
    <row r="244" spans="4:21" x14ac:dyDescent="0.2">
      <c r="D244" s="1">
        <v>45969</v>
      </c>
      <c r="E244" s="2">
        <v>0.91666666666666663</v>
      </c>
      <c r="F244" t="s">
        <v>20</v>
      </c>
      <c r="G244">
        <f>VLOOKUP(Table4[[#This Row],[Home]],'NHL Model'!$A$6:$B$38,2,FALSE)</f>
        <v>-0.24444083032063643</v>
      </c>
      <c r="H244" t="s">
        <v>31</v>
      </c>
      <c r="I244">
        <f>VLOOKUP(Table4[[#This Row],[Visitor]],'NHL Model'!$A$6:$B$38,2,FALSE)</f>
        <v>0.17870302183926629</v>
      </c>
      <c r="J244">
        <f>($B$1+Table4[[#This Row],[Home Differential]])-Table4[[#This Row],[Away Differential]]</f>
        <v>-0.37324310323674026</v>
      </c>
      <c r="K244" t="str">
        <f>IF(Table4[[#This Row],[HomeIce Differential]]&gt;0,Table4[[#This Row],[Home]],Table4[[#This Row],[Visitor]])</f>
        <v>Anaheim Ducks</v>
      </c>
      <c r="L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0.52435087174716466</v>
      </c>
      <c r="M244" t="str">
        <f>IF(OR((NHL2025_26Results[[#This Row],[Winning Team]]="")),"-",IF(Table4[[#This Row],[Predicted Winner]]=NHL2025_26Results[[#This Row],[Winning Team]],"YES","NO"))</f>
        <v>YES</v>
      </c>
      <c r="N244">
        <f>IF(Table4[[#This Row],[Adjusted Correct]]="-", "",IF(Table4[[#This Row],[Adjusted Correct]]="YES",(Table4[[#This Row],[Strength of Win]]-1)^2,(Table4[[#This Row],[Strength of Win]]-0)^2))</f>
        <v>0.22624209320768221</v>
      </c>
      <c r="O244">
        <v>-0.47279504855678878</v>
      </c>
      <c r="P244" s="11">
        <v>0.58927219001596975</v>
      </c>
      <c r="Q244" t="str">
        <f>IF(Table4[[#This Row],[HomeIce Differential]]&gt;0,Table4[[#This Row],[Home]],Table4[[#This Row],[Visitor]])</f>
        <v>Anaheim Ducks</v>
      </c>
      <c r="R244" t="s">
        <v>248</v>
      </c>
    </row>
    <row r="245" spans="4:21" x14ac:dyDescent="0.2">
      <c r="D245" s="1">
        <v>45970</v>
      </c>
      <c r="E245" s="2">
        <v>0.91666666666666663</v>
      </c>
      <c r="F245" t="s">
        <v>31</v>
      </c>
      <c r="G245">
        <f>VLOOKUP(Table4[[#This Row],[Home]],'NHL Model'!$A$6:$B$38,2,FALSE)</f>
        <v>0.17870302183926629</v>
      </c>
      <c r="H245" t="s">
        <v>40</v>
      </c>
      <c r="I245">
        <f>VLOOKUP(Table4[[#This Row],[Visitor]],'NHL Model'!$A$6:$B$38,2,FALSE)</f>
        <v>-0.31324182378279158</v>
      </c>
      <c r="J245">
        <f>($B$1+Table4[[#This Row],[Home Differential]])-Table4[[#This Row],[Away Differential]]</f>
        <v>0.5418455945452203</v>
      </c>
      <c r="K245" t="str">
        <f>IF(Table4[[#This Row],[HomeIce Differential]]&gt;0,Table4[[#This Row],[Home]],Table4[[#This Row],[Visitor]])</f>
        <v>Anaheim Ducks</v>
      </c>
      <c r="L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0.66326847023337154</v>
      </c>
      <c r="M245" t="str">
        <f>IF(OR((NHL2025_26Results[[#This Row],[Winning Team]]="")),"-",IF(Table4[[#This Row],[Predicted Winner]]=NHL2025_26Results[[#This Row],[Winning Team]],"YES","NO"))</f>
        <v>YES</v>
      </c>
      <c r="N245">
        <f>IF(Table4[[#This Row],[Adjusted Correct]]="-", "",IF(Table4[[#This Row],[Adjusted Correct]]="YES",(Table4[[#This Row],[Strength of Win]]-1)^2,(Table4[[#This Row],[Strength of Win]]-0)^2))</f>
        <v>0.11338812313897378</v>
      </c>
      <c r="O245">
        <v>0.86736430428433564</v>
      </c>
      <c r="P245" s="11">
        <v>0.5702158314228003</v>
      </c>
      <c r="Q245" t="s">
        <v>31</v>
      </c>
      <c r="R245" t="s">
        <v>248</v>
      </c>
    </row>
    <row r="246" spans="4:21" x14ac:dyDescent="0.2">
      <c r="D246" s="1">
        <v>45970</v>
      </c>
      <c r="E246" s="2">
        <v>0.79166666666666663</v>
      </c>
      <c r="F246" t="s">
        <v>39</v>
      </c>
      <c r="G246">
        <f>VLOOKUP(Table4[[#This Row],[Home]],'NHL Model'!$A$6:$B$38,2,FALSE)</f>
        <v>0.41344250185511977</v>
      </c>
      <c r="H246" t="s">
        <v>32</v>
      </c>
      <c r="I246">
        <f>VLOOKUP(Table4[[#This Row],[Visitor]],'NHL Model'!$A$6:$B$38,2,FALSE)</f>
        <v>-0.64937723527808999</v>
      </c>
      <c r="J246">
        <f>($B$1+Table4[[#This Row],[Home Differential]])-Table4[[#This Row],[Away Differential]]</f>
        <v>1.1127204860563722</v>
      </c>
      <c r="K246" t="str">
        <f>IF(Table4[[#This Row],[HomeIce Differential]]&gt;0,Table4[[#This Row],[Home]],Table4[[#This Row],[Visitor]])</f>
        <v>Dallas Stars</v>
      </c>
      <c r="L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0.70217260513765822</v>
      </c>
      <c r="M246" t="str">
        <f>IF(OR((NHL2025_26Results[[#This Row],[Winning Team]]="")),"-",IF(Table4[[#This Row],[Predicted Winner]]=NHL2025_26Results[[#This Row],[Winning Team]],"YES","NO"))</f>
        <v>YES</v>
      </c>
      <c r="N246">
        <f>IF(Table4[[#This Row],[Adjusted Correct]]="-", "",IF(Table4[[#This Row],[Adjusted Correct]]="YES",(Table4[[#This Row],[Strength of Win]]-1)^2,(Table4[[#This Row],[Strength of Win]]-0)^2))</f>
        <v>8.8701157130489247E-2</v>
      </c>
      <c r="O246">
        <v>0.14080241282234474</v>
      </c>
      <c r="P246" s="11">
        <v>0.55991866656926581</v>
      </c>
      <c r="Q246" t="s">
        <v>39</v>
      </c>
      <c r="R246" t="s">
        <v>248</v>
      </c>
    </row>
    <row r="247" spans="4:21" x14ac:dyDescent="0.2">
      <c r="D247" s="1">
        <v>45970</v>
      </c>
      <c r="E247" s="2">
        <v>0.54166666666666663</v>
      </c>
      <c r="F247" t="s">
        <v>26</v>
      </c>
      <c r="G247">
        <f>VLOOKUP(Table4[[#This Row],[Home]],'NHL Model'!$A$6:$B$38,2,FALSE)</f>
        <v>-0.87533956503230947</v>
      </c>
      <c r="H247" t="s">
        <v>10</v>
      </c>
      <c r="I247">
        <f>VLOOKUP(Table4[[#This Row],[Visitor]],'NHL Model'!$A$6:$B$38,2,FALSE)</f>
        <v>-0.17619625518431364</v>
      </c>
      <c r="J247">
        <f>($B$1+Table4[[#This Row],[Home Differential]])-Table4[[#This Row],[Away Differential]]</f>
        <v>-0.64924256092483335</v>
      </c>
      <c r="K247" t="str">
        <f>IF(Table4[[#This Row],[HomeIce Differential]]&gt;0,Table4[[#This Row],[Home]],Table4[[#This Row],[Visitor]])</f>
        <v>Chicago Blackhawks</v>
      </c>
      <c r="L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0.53580865112428755</v>
      </c>
      <c r="M247" t="str">
        <f>IF(OR((NHL2025_26Results[[#This Row],[Winning Team]]="")),"-",IF(Table4[[#This Row],[Predicted Winner]]=NHL2025_26Results[[#This Row],[Winning Team]],"YES","NO"))</f>
        <v>YES</v>
      </c>
      <c r="N247">
        <f>IF(Table4[[#This Row],[Adjusted Correct]]="-", "",IF(Table4[[#This Row],[Adjusted Correct]]="YES",(Table4[[#This Row],[Strength of Win]]-1)^2,(Table4[[#This Row],[Strength of Win]]-0)^2))</f>
        <v>0.21547360837105339</v>
      </c>
      <c r="O247">
        <v>-0.44568461095378598</v>
      </c>
      <c r="P247" s="11">
        <v>0.52304894200813445</v>
      </c>
      <c r="Q247" t="s">
        <v>10</v>
      </c>
      <c r="R247" t="s">
        <v>248</v>
      </c>
    </row>
    <row r="248" spans="4:21" x14ac:dyDescent="0.2">
      <c r="D248" s="1">
        <v>45970</v>
      </c>
      <c r="E248" s="2">
        <v>0.83333333333333337</v>
      </c>
      <c r="F248" t="s">
        <v>34</v>
      </c>
      <c r="G248">
        <f>VLOOKUP(Table4[[#This Row],[Home]],'NHL Model'!$A$6:$B$38,2,FALSE)</f>
        <v>-5.5124787449478845E-2</v>
      </c>
      <c r="H248" t="s">
        <v>16</v>
      </c>
      <c r="I248">
        <f>VLOOKUP(Table4[[#This Row],[Visitor]],'NHL Model'!$A$6:$B$38,2,FALSE)</f>
        <v>-1.0657812790446208</v>
      </c>
      <c r="J248">
        <f>($B$1+Table4[[#This Row],[Home Differential]])-Table4[[#This Row],[Away Differential]]</f>
        <v>1.0605572405183044</v>
      </c>
      <c r="K248" t="str">
        <f>IF(Table4[[#This Row],[HomeIce Differential]]&gt;0,Table4[[#This Row],[Home]],Table4[[#This Row],[Visitor]])</f>
        <v>Minnesota Wild</v>
      </c>
      <c r="L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0.66383571053823376</v>
      </c>
      <c r="M248" t="str">
        <f>IF(OR((NHL2025_26Results[[#This Row],[Winning Team]]="")),"-",IF(Table4[[#This Row],[Predicted Winner]]=NHL2025_26Results[[#This Row],[Winning Team]],"YES","NO"))</f>
        <v>YES</v>
      </c>
      <c r="N248">
        <f>IF(Table4[[#This Row],[Adjusted Correct]]="-", "",IF(Table4[[#This Row],[Adjusted Correct]]="YES",(Table4[[#This Row],[Strength of Win]]-1)^2,(Table4[[#This Row],[Strength of Win]]-0)^2))</f>
        <v>0.11300642950933416</v>
      </c>
      <c r="O248">
        <v>0.73573167230839132</v>
      </c>
      <c r="P248" s="11">
        <v>0.64408055921349616</v>
      </c>
      <c r="Q248" t="s">
        <v>34</v>
      </c>
      <c r="R248" t="s">
        <v>248</v>
      </c>
    </row>
    <row r="249" spans="4:21" x14ac:dyDescent="0.2">
      <c r="D249" s="1">
        <v>45970</v>
      </c>
      <c r="E249" s="2">
        <v>0.79166666666666663</v>
      </c>
      <c r="F249" t="s">
        <v>36</v>
      </c>
      <c r="G249">
        <f>VLOOKUP(Table4[[#This Row],[Home]],'NHL Model'!$A$6:$B$38,2,FALSE)</f>
        <v>-0.53137605086483863</v>
      </c>
      <c r="H249" t="s">
        <v>55</v>
      </c>
      <c r="I249">
        <f>VLOOKUP(Table4[[#This Row],[Visitor]],'NHL Model'!$A$6:$B$38,2,FALSE)</f>
        <v>-0.4031232890211825</v>
      </c>
      <c r="J249">
        <f>($B$1+Table4[[#This Row],[Home Differential]])-Table4[[#This Row],[Away Differential]]</f>
        <v>-7.8352012920493652E-2</v>
      </c>
      <c r="K249" t="str">
        <f>IF(Table4[[#This Row],[HomeIce Differential]]&gt;0,Table4[[#This Row],[Home]],Table4[[#This Row],[Visitor]])</f>
        <v>Utah Mammoth</v>
      </c>
      <c r="L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0.46665327469730555</v>
      </c>
      <c r="M249" t="str">
        <f>IF(OR((NHL2025_26Results[[#This Row],[Winning Team]]="")),"-",IF(Table4[[#This Row],[Predicted Winner]]=NHL2025_26Results[[#This Row],[Winning Team]],"YES","NO"))</f>
        <v>NO</v>
      </c>
      <c r="N249">
        <f>IF(Table4[[#This Row],[Adjusted Correct]]="-", "",IF(Table4[[#This Row],[Adjusted Correct]]="YES",(Table4[[#This Row],[Strength of Win]]-1)^2,(Table4[[#This Row],[Strength of Win]]-0)^2))</f>
        <v>0.21776527878571891</v>
      </c>
      <c r="O249">
        <v>-0.38200240782504313</v>
      </c>
      <c r="P249" s="11">
        <v>0.53480934583262985</v>
      </c>
      <c r="Q249" t="s">
        <v>55</v>
      </c>
      <c r="R249" t="s">
        <v>249</v>
      </c>
    </row>
    <row r="250" spans="4:21" x14ac:dyDescent="0.2">
      <c r="D250" s="1">
        <v>45970</v>
      </c>
      <c r="E250" s="2">
        <v>0.58333333333333337</v>
      </c>
      <c r="F250" t="s">
        <v>14</v>
      </c>
      <c r="G250">
        <f>VLOOKUP(Table4[[#This Row],[Home]],'NHL Model'!$A$6:$B$38,2,FALSE)</f>
        <v>-0.14226422156549004</v>
      </c>
      <c r="H250" t="s">
        <v>13</v>
      </c>
      <c r="I250">
        <f>VLOOKUP(Table4[[#This Row],[Visitor]],'NHL Model'!$A$6:$B$38,2,FALSE)</f>
        <v>-0.33828359867721369</v>
      </c>
      <c r="J250">
        <f>($B$1+Table4[[#This Row],[Home Differential]])-Table4[[#This Row],[Away Differential]]</f>
        <v>0.24592012603488611</v>
      </c>
      <c r="K250" t="str">
        <f>IF(Table4[[#This Row],[HomeIce Differential]]&gt;0,Table4[[#This Row],[Home]],Table4[[#This Row],[Visitor]])</f>
        <v>Pittsburgh Penguins</v>
      </c>
      <c r="L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0.5023990147629066</v>
      </c>
      <c r="M250" t="str">
        <f>IF(OR((NHL2025_26Results[[#This Row],[Winning Team]]="")),"-",IF(Table4[[#This Row],[Predicted Winner]]=NHL2025_26Results[[#This Row],[Winning Team]],"YES","NO"))</f>
        <v>NO</v>
      </c>
      <c r="N250">
        <f>IF(Table4[[#This Row],[Adjusted Correct]]="-", "",IF(Table4[[#This Row],[Adjusted Correct]]="YES",(Table4[[#This Row],[Strength of Win]]-1)^2,(Table4[[#This Row],[Strength of Win]]-0)^2))</f>
        <v>0.25240477003473927</v>
      </c>
      <c r="O250">
        <v>0.98327925538779593</v>
      </c>
      <c r="P250" s="11">
        <v>0.60261928495973316</v>
      </c>
      <c r="Q250" t="s">
        <v>14</v>
      </c>
      <c r="R250" t="s">
        <v>249</v>
      </c>
    </row>
    <row r="251" spans="4:21" x14ac:dyDescent="0.2">
      <c r="D251" s="1">
        <v>45970</v>
      </c>
      <c r="E251" s="2">
        <v>0.79166666666666663</v>
      </c>
      <c r="F251" t="s">
        <v>19</v>
      </c>
      <c r="G251">
        <f>VLOOKUP(Table4[[#This Row],[Home]],'NHL Model'!$A$6:$B$38,2,FALSE)</f>
        <v>-0.63447859131898054</v>
      </c>
      <c r="H251" t="s">
        <v>25</v>
      </c>
      <c r="I251">
        <f>VLOOKUP(Table4[[#This Row],[Visitor]],'NHL Model'!$A$6:$B$38,2,FALSE)</f>
        <v>0.42567513732855267</v>
      </c>
      <c r="J251">
        <f>($B$1+Table4[[#This Row],[Home Differential]])-Table4[[#This Row],[Away Differential]]</f>
        <v>-1.0102529797243709</v>
      </c>
      <c r="K251" t="str">
        <f>IF(Table4[[#This Row],[HomeIce Differential]]&gt;0,Table4[[#This Row],[Home]],Table4[[#This Row],[Visitor]])</f>
        <v>Carolina Hurricanes</v>
      </c>
      <c r="L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0.6505851147604973</v>
      </c>
      <c r="M251" t="str">
        <f>IF(OR((NHL2025_26Results[[#This Row],[Winning Team]]="")),"-",IF(Table4[[#This Row],[Predicted Winner]]=NHL2025_26Results[[#This Row],[Winning Team]],"YES","NO"))</f>
        <v>YES</v>
      </c>
      <c r="N251">
        <f>IF(Table4[[#This Row],[Adjusted Correct]]="-", "",IF(Table4[[#This Row],[Adjusted Correct]]="YES",(Table4[[#This Row],[Strength of Win]]-1)^2,(Table4[[#This Row],[Strength of Win]]-0)^2))</f>
        <v>0.12209076202693485</v>
      </c>
      <c r="O251">
        <v>-1.465407578305931</v>
      </c>
      <c r="P251" s="11">
        <v>0.74378512385133699</v>
      </c>
      <c r="Q251" t="s">
        <v>25</v>
      </c>
      <c r="R251" t="s">
        <v>248</v>
      </c>
    </row>
    <row r="252" spans="4:21" x14ac:dyDescent="0.2">
      <c r="D252" s="1">
        <v>45970</v>
      </c>
      <c r="E252" s="2">
        <v>0.91666666666666663</v>
      </c>
      <c r="F252" t="s">
        <v>38</v>
      </c>
      <c r="G252">
        <f>VLOOKUP(Table4[[#This Row],[Home]],'NHL Model'!$A$6:$B$38,2,FALSE)</f>
        <v>-0.9476777551108041</v>
      </c>
      <c r="H252" t="s">
        <v>12</v>
      </c>
      <c r="I252">
        <f>VLOOKUP(Table4[[#This Row],[Visitor]],'NHL Model'!$A$6:$B$38,2,FALSE)</f>
        <v>1.6319036584269762</v>
      </c>
      <c r="J252">
        <f>($B$1+Table4[[#This Row],[Home Differential]])-Table4[[#This Row],[Away Differential]]</f>
        <v>-2.5296806646146179</v>
      </c>
      <c r="K252" t="str">
        <f>IF(Table4[[#This Row],[HomeIce Differential]]&gt;0,Table4[[#This Row],[Home]],Table4[[#This Row],[Visitor]])</f>
        <v>Colorado Avalanche</v>
      </c>
      <c r="L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0.82800072212355857</v>
      </c>
      <c r="M252" t="str">
        <f>IF(OR((NHL2025_26Results[[#This Row],[Winning Team]]="")),"-",IF(Table4[[#This Row],[Predicted Winner]]=NHL2025_26Results[[#This Row],[Winning Team]],"YES","NO"))</f>
        <v>YES</v>
      </c>
      <c r="N252">
        <f>IF(Table4[[#This Row],[Adjusted Correct]]="-", "",IF(Table4[[#This Row],[Adjusted Correct]]="YES",(Table4[[#This Row],[Strength of Win]]-1)^2,(Table4[[#This Row],[Strength of Win]]-0)^2))</f>
        <v>2.9583751590017311E-2</v>
      </c>
      <c r="O252">
        <v>-2.4133299615338308</v>
      </c>
      <c r="P252" s="11">
        <v>0.84850202700277499</v>
      </c>
      <c r="Q252" t="s">
        <v>12</v>
      </c>
      <c r="R252" t="s">
        <v>248</v>
      </c>
    </row>
    <row r="253" spans="4:21" x14ac:dyDescent="0.2">
      <c r="D253" s="1">
        <v>45971</v>
      </c>
      <c r="E253" s="2">
        <v>0.85416666666666663</v>
      </c>
      <c r="F253" t="s">
        <v>17</v>
      </c>
      <c r="G253">
        <f>VLOOKUP(Table4[[#This Row],[Home]],'NHL Model'!$A$6:$B$38,2,FALSE)</f>
        <v>-0.81774666423752174</v>
      </c>
      <c r="H253" t="s">
        <v>28</v>
      </c>
      <c r="I253">
        <f>VLOOKUP(Table4[[#This Row],[Visitor]],'NHL Model'!$A$6:$B$38,2,FALSE)</f>
        <v>-0.59498940435054026</v>
      </c>
      <c r="J253">
        <f>($B$1+Table4[[#This Row],[Home Differential]])-Table4[[#This Row],[Away Differential]]</f>
        <v>-0.17285651096381904</v>
      </c>
      <c r="K253" t="str">
        <f>IF(Table4[[#This Row],[HomeIce Differential]]&gt;0,Table4[[#This Row],[Home]],Table4[[#This Row],[Visitor]])</f>
        <v>Columbus Blue Jackets</v>
      </c>
      <c r="L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0.47670528796548239</v>
      </c>
      <c r="M253" t="str">
        <f>IF(OR((NHL2025_26Results[[#This Row],[Winning Team]]="")),"-",IF(Table4[[#This Row],[Predicted Winner]]=NHL2025_26Results[[#This Row],[Winning Team]],"YES","NO"))</f>
        <v>NO</v>
      </c>
      <c r="N253">
        <f>IF(Table4[[#This Row],[Adjusted Correct]]="-", "",IF(Table4[[#This Row],[Adjusted Correct]]="YES",(Table4[[#This Row],[Strength of Win]]-1)^2,(Table4[[#This Row],[Strength of Win]]-0)^2))</f>
        <v>0.22724793157425349</v>
      </c>
      <c r="O253">
        <v>-0.37024261700213967</v>
      </c>
      <c r="P253" s="11">
        <v>0.51989919760509484</v>
      </c>
      <c r="Q253" t="s">
        <v>28</v>
      </c>
      <c r="R253" t="s">
        <v>249</v>
      </c>
    </row>
    <row r="254" spans="4:21" x14ac:dyDescent="0.2">
      <c r="D254" s="1">
        <v>45971</v>
      </c>
      <c r="E254" s="2">
        <v>0.79166666666666663</v>
      </c>
      <c r="F254" t="s">
        <v>24</v>
      </c>
      <c r="G254">
        <f>VLOOKUP(Table4[[#This Row],[Home]],'NHL Model'!$A$6:$B$38,2,FALSE)</f>
        <v>1.5302507646042616E-3</v>
      </c>
      <c r="H254" t="s">
        <v>30</v>
      </c>
      <c r="I254">
        <f>VLOOKUP(Table4[[#This Row],[Visitor]],'NHL Model'!$A$6:$B$38,2,FALSE)</f>
        <v>-0.24093199744133265</v>
      </c>
      <c r="J254">
        <f>($B$1+Table4[[#This Row],[Home Differential]])-Table4[[#This Row],[Away Differential]]</f>
        <v>0.29236299712909936</v>
      </c>
      <c r="K254" t="str">
        <f>IF(Table4[[#This Row],[HomeIce Differential]]&gt;0,Table4[[#This Row],[Home]],Table4[[#This Row],[Visitor]])</f>
        <v>New Jersey Devils</v>
      </c>
      <c r="L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0.58343346953258379</v>
      </c>
      <c r="M254" t="str">
        <f>IF(OR((NHL2025_26Results[[#This Row],[Winning Team]]="")),"-",IF(Table4[[#This Row],[Predicted Winner]]=NHL2025_26Results[[#This Row],[Winning Team]],"YES","NO"))</f>
        <v>NO</v>
      </c>
      <c r="N254">
        <f>IF(Table4[[#This Row],[Adjusted Correct]]="-", "",IF(Table4[[#This Row],[Adjusted Correct]]="YES",(Table4[[#This Row],[Strength of Win]]-1)^2,(Table4[[#This Row],[Strength of Win]]-0)^2))</f>
        <v>0.34039461337082838</v>
      </c>
      <c r="O254">
        <v>1.1289718320781263</v>
      </c>
      <c r="P254" s="11">
        <v>0.8472521723262596</v>
      </c>
      <c r="Q254" t="s">
        <v>24</v>
      </c>
      <c r="R254" t="s">
        <v>249</v>
      </c>
      <c r="U254" s="16"/>
    </row>
    <row r="255" spans="4:21" x14ac:dyDescent="0.2">
      <c r="D255" s="1">
        <v>45971</v>
      </c>
      <c r="E255" s="2">
        <v>0.79166666666666663</v>
      </c>
      <c r="F255" t="s">
        <v>15</v>
      </c>
      <c r="G255">
        <f>VLOOKUP(Table4[[#This Row],[Home]],'NHL Model'!$A$6:$B$38,2,FALSE)</f>
        <v>-0.29003398448394263</v>
      </c>
      <c r="H255" t="s">
        <v>29</v>
      </c>
      <c r="I255">
        <f>VLOOKUP(Table4[[#This Row],[Visitor]],'NHL Model'!$A$6:$B$38,2,FALSE)</f>
        <v>-1.384917283810061</v>
      </c>
      <c r="J255">
        <f>($B$1+Table4[[#This Row],[Home Differential]])-Table4[[#This Row],[Away Differential]]</f>
        <v>1.1447840482492808</v>
      </c>
      <c r="K255" t="str">
        <f>IF(Table4[[#This Row],[HomeIce Differential]]&gt;0,Table4[[#This Row],[Home]],Table4[[#This Row],[Visitor]])</f>
        <v>New York Rangers</v>
      </c>
      <c r="L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0.67367043343978616</v>
      </c>
      <c r="M255" t="str">
        <f>IF(OR((NHL2025_26Results[[#This Row],[Winning Team]]="")),"-",IF(Table4[[#This Row],[Predicted Winner]]=NHL2025_26Results[[#This Row],[Winning Team]],"YES","NO"))</f>
        <v>YES</v>
      </c>
      <c r="N255">
        <f>IF(Table4[[#This Row],[Adjusted Correct]]="-", "",IF(Table4[[#This Row],[Adjusted Correct]]="YES",(Table4[[#This Row],[Strength of Win]]-1)^2,(Table4[[#This Row],[Strength of Win]]-0)^2))</f>
        <v>0.10649098601137703</v>
      </c>
      <c r="O255">
        <v>0.74792470595760885</v>
      </c>
      <c r="P255" s="11">
        <v>0.64753469001455644</v>
      </c>
      <c r="Q255" t="s">
        <v>15</v>
      </c>
      <c r="R255" t="s">
        <v>248</v>
      </c>
      <c r="U255" s="16"/>
    </row>
    <row r="256" spans="4:21" x14ac:dyDescent="0.2">
      <c r="D256" s="1">
        <v>45971</v>
      </c>
      <c r="E256" s="2">
        <v>0.91666666666666663</v>
      </c>
      <c r="F256" t="s">
        <v>20</v>
      </c>
      <c r="G256">
        <f>VLOOKUP(Table4[[#This Row],[Home]],'NHL Model'!$A$6:$B$38,2,FALSE)</f>
        <v>-0.24444083032063643</v>
      </c>
      <c r="H256" t="s">
        <v>11</v>
      </c>
      <c r="I256">
        <f>VLOOKUP(Table4[[#This Row],[Visitor]],'NHL Model'!$A$6:$B$38,2,FALSE)</f>
        <v>-0.39711829106410657</v>
      </c>
      <c r="J256">
        <f>($B$1+Table4[[#This Row],[Home Differential]])-Table4[[#This Row],[Away Differential]]</f>
        <v>0.20257820966663259</v>
      </c>
      <c r="K256" t="str">
        <f>IF(Table4[[#This Row],[HomeIce Differential]]&gt;0,Table4[[#This Row],[Home]],Table4[[#This Row],[Visitor]])</f>
        <v>Vegas Golden Knights</v>
      </c>
      <c r="L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0.56365399581956632</v>
      </c>
      <c r="M256" t="str">
        <f>IF(OR((NHL2025_26Results[[#This Row],[Winning Team]]="")),"-",IF(Table4[[#This Row],[Predicted Winner]]=NHL2025_26Results[[#This Row],[Winning Team]],"YES","NO"))</f>
        <v>NO</v>
      </c>
      <c r="N256">
        <f>IF(Table4[[#This Row],[Adjusted Correct]]="-", "",IF(Table4[[#This Row],[Adjusted Correct]]="YES",(Table4[[#This Row],[Strength of Win]]-1)^2,(Table4[[#This Row],[Strength of Win]]-0)^2))</f>
        <v>0.31770582700336369</v>
      </c>
      <c r="O256">
        <v>0.85796449281372977</v>
      </c>
      <c r="P256" s="11">
        <v>0.66335592746611294</v>
      </c>
      <c r="Q256" t="s">
        <v>20</v>
      </c>
      <c r="R256" t="s">
        <v>249</v>
      </c>
      <c r="U256" s="16"/>
    </row>
    <row r="257" spans="4:21" x14ac:dyDescent="0.2">
      <c r="D257" s="1">
        <v>45972</v>
      </c>
      <c r="E257" s="2">
        <v>0.79166666666666663</v>
      </c>
      <c r="F257" t="s">
        <v>21</v>
      </c>
      <c r="G257">
        <f>VLOOKUP(Table4[[#This Row],[Home]],'NHL Model'!$A$6:$B$38,2,FALSE)</f>
        <v>-0.21976976044773161</v>
      </c>
      <c r="H257" t="s">
        <v>19</v>
      </c>
      <c r="I257">
        <f>VLOOKUP(Table4[[#This Row],[Visitor]],'NHL Model'!$A$6:$B$38,2,FALSE)</f>
        <v>-0.63447859131898054</v>
      </c>
      <c r="J257">
        <f>($B$1+Table4[[#This Row],[Home Differential]])-Table4[[#This Row],[Away Differential]]</f>
        <v>0.46460957979441142</v>
      </c>
      <c r="K257" t="str">
        <f>IF(Table4[[#This Row],[HomeIce Differential]]&gt;0,Table4[[#This Row],[Home]],Table4[[#This Row],[Visitor]])</f>
        <v>Boston Bruins</v>
      </c>
      <c r="L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0.63715157999313932</v>
      </c>
      <c r="M257" t="str">
        <f>IF(OR((NHL2025_26Results[[#This Row],[Winning Team]]="")),"-",IF(Table4[[#This Row],[Predicted Winner]]=NHL2025_26Results[[#This Row],[Winning Team]],"YES","NO"))</f>
        <v>YES</v>
      </c>
      <c r="N257">
        <f>IF(Table4[[#This Row],[Adjusted Correct]]="-", "",IF(Table4[[#This Row],[Adjusted Correct]]="YES",(Table4[[#This Row],[Strength of Win]]-1)^2,(Table4[[#This Row],[Strength of Win]]-0)^2))</f>
        <v>0.13165897590147518</v>
      </c>
      <c r="O257">
        <v>0.84013607035320859</v>
      </c>
      <c r="P257" s="16">
        <v>0.72</v>
      </c>
      <c r="Q257" t="s">
        <v>21</v>
      </c>
      <c r="R257" t="s">
        <v>248</v>
      </c>
      <c r="U257" s="16"/>
    </row>
    <row r="258" spans="4:21" x14ac:dyDescent="0.2">
      <c r="D258" s="1">
        <v>45972</v>
      </c>
      <c r="E258" s="2">
        <v>0.79166666666666663</v>
      </c>
      <c r="F258" t="s">
        <v>25</v>
      </c>
      <c r="G258">
        <f>VLOOKUP(Table4[[#This Row],[Home]],'NHL Model'!$A$6:$B$38,2,FALSE)</f>
        <v>0.42567513732855267</v>
      </c>
      <c r="H258" t="s">
        <v>22</v>
      </c>
      <c r="I258">
        <f>VLOOKUP(Table4[[#This Row],[Visitor]],'NHL Model'!$A$6:$B$38,2,FALSE)</f>
        <v>0.4407072328537569</v>
      </c>
      <c r="J258">
        <f>($B$1+Table4[[#This Row],[Home Differential]])-Table4[[#This Row],[Away Differential]]</f>
        <v>3.4868653397958249E-2</v>
      </c>
      <c r="K258" t="str">
        <f>IF(Table4[[#This Row],[HomeIce Differential]]&gt;0,Table4[[#This Row],[Home]],Table4[[#This Row],[Visitor]])</f>
        <v>Carolina Hurricanes</v>
      </c>
      <c r="L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0.55407142990880653</v>
      </c>
      <c r="M258" t="str">
        <f>IF(OR((NHL2025_26Results[[#This Row],[Winning Team]]="")),"-",IF(Table4[[#This Row],[Predicted Winner]]=NHL2025_26Results[[#This Row],[Winning Team]],"YES","NO"))</f>
        <v>NO</v>
      </c>
      <c r="N258">
        <f>IF(Table4[[#This Row],[Adjusted Correct]]="-", "",IF(Table4[[#This Row],[Adjusted Correct]]="YES",(Table4[[#This Row],[Strength of Win]]-1)^2,(Table4[[#This Row],[Strength of Win]]-0)^2))</f>
        <v>0.3069951494411895</v>
      </c>
      <c r="O258">
        <v>1.4734162288057981</v>
      </c>
      <c r="P258" s="16">
        <v>0.85</v>
      </c>
      <c r="Q258" t="s">
        <v>25</v>
      </c>
      <c r="R258" t="s">
        <v>249</v>
      </c>
      <c r="U258" s="16"/>
    </row>
    <row r="259" spans="4:21" x14ac:dyDescent="0.2">
      <c r="D259" s="1">
        <v>45972</v>
      </c>
      <c r="E259" s="2">
        <v>0.89583333333333337</v>
      </c>
      <c r="F259" t="s">
        <v>12</v>
      </c>
      <c r="G259">
        <f>VLOOKUP(Table4[[#This Row],[Home]],'NHL Model'!$A$6:$B$38,2,FALSE)</f>
        <v>1.6319036584269762</v>
      </c>
      <c r="H259" t="s">
        <v>31</v>
      </c>
      <c r="I259">
        <f>VLOOKUP(Table4[[#This Row],[Visitor]],'NHL Model'!$A$6:$B$38,2,FALSE)</f>
        <v>0.17870302183926629</v>
      </c>
      <c r="J259">
        <f>($B$1+Table4[[#This Row],[Home Differential]])-Table4[[#This Row],[Away Differential]]</f>
        <v>1.5031013855108724</v>
      </c>
      <c r="K259" t="str">
        <f>IF(Table4[[#This Row],[HomeIce Differential]]&gt;0,Table4[[#This Row],[Home]],Table4[[#This Row],[Visitor]])</f>
        <v>Colorado Avalanche</v>
      </c>
      <c r="L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0.8005092709515379</v>
      </c>
      <c r="M259" t="str">
        <f>IF(OR((NHL2025_26Results[[#This Row],[Winning Team]]="")),"-",IF(Table4[[#This Row],[Predicted Winner]]=NHL2025_26Results[[#This Row],[Winning Team]],"YES","NO"))</f>
        <v>YES</v>
      </c>
      <c r="N259">
        <f>IF(Table4[[#This Row],[Adjusted Correct]]="-", "",IF(Table4[[#This Row],[Adjusted Correct]]="YES",(Table4[[#This Row],[Strength of Win]]-1)^2,(Table4[[#This Row],[Strength of Win]]-0)^2))</f>
        <v>3.9796550976286919E-2</v>
      </c>
      <c r="O259">
        <v>0.37513787125487419</v>
      </c>
      <c r="P259" s="16">
        <v>0.55000000000000004</v>
      </c>
      <c r="Q259" t="s">
        <v>12</v>
      </c>
      <c r="R259" t="s">
        <v>248</v>
      </c>
      <c r="U259" s="16"/>
    </row>
    <row r="260" spans="4:21" x14ac:dyDescent="0.2">
      <c r="D260" s="1">
        <v>45972</v>
      </c>
      <c r="E260" s="2">
        <v>0.83333333333333337</v>
      </c>
      <c r="F260" t="s">
        <v>34</v>
      </c>
      <c r="G260">
        <f>VLOOKUP(Table4[[#This Row],[Home]],'NHL Model'!$A$6:$B$38,2,FALSE)</f>
        <v>-5.5124787449478845E-2</v>
      </c>
      <c r="H260" t="s">
        <v>33</v>
      </c>
      <c r="I260">
        <f>VLOOKUP(Table4[[#This Row],[Visitor]],'NHL Model'!$A$6:$B$38,2,FALSE)</f>
        <v>-0.45133099238224339</v>
      </c>
      <c r="J260">
        <f>($B$1+Table4[[#This Row],[Home Differential]])-Table4[[#This Row],[Away Differential]]</f>
        <v>0.44610695385592702</v>
      </c>
      <c r="K260" t="str">
        <f>IF(Table4[[#This Row],[HomeIce Differential]]&gt;0,Table4[[#This Row],[Home]],Table4[[#This Row],[Visitor]])</f>
        <v>Minnesota Wild</v>
      </c>
      <c r="L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0.59208957093140724</v>
      </c>
      <c r="M260" t="str">
        <f>IF(OR((NHL2025_26Results[[#This Row],[Winning Team]]="")),"-",IF(Table4[[#This Row],[Predicted Winner]]=NHL2025_26Results[[#This Row],[Winning Team]],"YES","NO"))</f>
        <v>NO</v>
      </c>
      <c r="N260">
        <f>IF(Table4[[#This Row],[Adjusted Correct]]="-", "",IF(Table4[[#This Row],[Adjusted Correct]]="YES",(Table4[[#This Row],[Strength of Win]]-1)^2,(Table4[[#This Row],[Strength of Win]]-0)^2))</f>
        <v>0.35057006000573793</v>
      </c>
      <c r="O260">
        <v>-0.49569859894234214</v>
      </c>
      <c r="P260" s="16">
        <v>0.55000000000000004</v>
      </c>
      <c r="Q260" t="s">
        <v>33</v>
      </c>
      <c r="R260" t="s">
        <v>248</v>
      </c>
      <c r="U260" s="16"/>
    </row>
    <row r="261" spans="4:21" x14ac:dyDescent="0.2">
      <c r="D261" s="1">
        <v>45972</v>
      </c>
      <c r="E261" s="2">
        <v>0.79166666666666663</v>
      </c>
      <c r="F261" t="s">
        <v>18</v>
      </c>
      <c r="G261">
        <f>VLOOKUP(Table4[[#This Row],[Home]],'NHL Model'!$A$6:$B$38,2,FALSE)</f>
        <v>-0.59288962827382519</v>
      </c>
      <c r="H261" t="s">
        <v>13</v>
      </c>
      <c r="I261">
        <f>VLOOKUP(Table4[[#This Row],[Visitor]],'NHL Model'!$A$6:$B$38,2,FALSE)</f>
        <v>-0.33828359867721369</v>
      </c>
      <c r="J261">
        <f>($B$1+Table4[[#This Row],[Home Differential]])-Table4[[#This Row],[Away Differential]]</f>
        <v>-0.20470528067344906</v>
      </c>
      <c r="K261" t="str">
        <f>IF(Table4[[#This Row],[HomeIce Differential]]&gt;0,Table4[[#This Row],[Home]],Table4[[#This Row],[Visitor]])</f>
        <v>Los Angeles Kings</v>
      </c>
      <c r="L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0.55021815222662374</v>
      </c>
      <c r="M261" t="str">
        <f>IF(OR((NHL2025_26Results[[#This Row],[Winning Team]]="")),"-",IF(Table4[[#This Row],[Predicted Winner]]=NHL2025_26Results[[#This Row],[Winning Team]],"YES","NO"))</f>
        <v>YES</v>
      </c>
      <c r="N261">
        <f>IF(Table4[[#This Row],[Adjusted Correct]]="-", "",IF(Table4[[#This Row],[Adjusted Correct]]="YES",(Table4[[#This Row],[Strength of Win]]-1)^2,(Table4[[#This Row],[Strength of Win]]-0)^2))</f>
        <v>0.20230371058643262</v>
      </c>
      <c r="O261">
        <v>0.742329524465279</v>
      </c>
      <c r="P261" s="16">
        <v>0.62</v>
      </c>
      <c r="Q261" t="s">
        <v>18</v>
      </c>
      <c r="R261" t="s">
        <v>249</v>
      </c>
      <c r="U261" s="16"/>
    </row>
    <row r="262" spans="4:21" x14ac:dyDescent="0.2">
      <c r="D262" s="1">
        <v>45972</v>
      </c>
      <c r="E262" s="2">
        <v>0.79166666666666663</v>
      </c>
      <c r="F262" t="s">
        <v>36</v>
      </c>
      <c r="G262">
        <f>VLOOKUP(Table4[[#This Row],[Home]],'NHL Model'!$A$6:$B$38,2,FALSE)</f>
        <v>-0.53137605086483863</v>
      </c>
      <c r="H262" t="s">
        <v>39</v>
      </c>
      <c r="I262">
        <f>VLOOKUP(Table4[[#This Row],[Visitor]],'NHL Model'!$A$6:$B$38,2,FALSE)</f>
        <v>0.41344250185511977</v>
      </c>
      <c r="J262">
        <f>($B$1+Table4[[#This Row],[Home Differential]])-Table4[[#This Row],[Away Differential]]</f>
        <v>-0.89491780379679597</v>
      </c>
      <c r="K262" t="str">
        <f>IF(Table4[[#This Row],[HomeIce Differential]]&gt;0,Table4[[#This Row],[Home]],Table4[[#This Row],[Visitor]])</f>
        <v>Dallas Stars</v>
      </c>
      <c r="L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0.66381689553569467</v>
      </c>
      <c r="M262" t="str">
        <f>IF(OR((NHL2025_26Results[[#This Row],[Winning Team]]="")),"-",IF(Table4[[#This Row],[Predicted Winner]]=NHL2025_26Results[[#This Row],[Winning Team]],"YES","NO"))</f>
        <v>YES</v>
      </c>
      <c r="N262">
        <f>IF(Table4[[#This Row],[Adjusted Correct]]="-", "",IF(Table4[[#This Row],[Adjusted Correct]]="YES",(Table4[[#This Row],[Strength of Win]]-1)^2,(Table4[[#This Row],[Strength of Win]]-0)^2))</f>
        <v>0.11301907972725803</v>
      </c>
      <c r="O262">
        <v>0.27946614982820012</v>
      </c>
      <c r="P262" s="16">
        <v>0.56000000000000005</v>
      </c>
      <c r="Q262" t="s">
        <v>36</v>
      </c>
      <c r="R262" t="s">
        <v>249</v>
      </c>
      <c r="U262" s="16"/>
    </row>
    <row r="263" spans="4:21" x14ac:dyDescent="0.2">
      <c r="D263" s="1">
        <v>45972</v>
      </c>
      <c r="E263" s="2">
        <v>0.91666666666666663</v>
      </c>
      <c r="F263" t="s">
        <v>32</v>
      </c>
      <c r="G263">
        <f>VLOOKUP(Table4[[#This Row],[Home]],'NHL Model'!$A$6:$B$38,2,FALSE)</f>
        <v>-0.64937723527808999</v>
      </c>
      <c r="H263" t="s">
        <v>28</v>
      </c>
      <c r="I263">
        <f>VLOOKUP(Table4[[#This Row],[Visitor]],'NHL Model'!$A$6:$B$38,2,FALSE)</f>
        <v>-0.59498940435054026</v>
      </c>
      <c r="J263">
        <f>($B$1+Table4[[#This Row],[Home Differential]])-Table4[[#This Row],[Away Differential]]</f>
        <v>-4.4870820043872994E-3</v>
      </c>
      <c r="K263" t="str">
        <f>IF(Table4[[#This Row],[HomeIce Differential]]&gt;0,Table4[[#This Row],[Home]],Table4[[#This Row],[Visitor]])</f>
        <v>Columbus Blue Jackets</v>
      </c>
      <c r="L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0.46410009198901336</v>
      </c>
      <c r="M263" t="str">
        <f>IF(OR((NHL2025_26Results[[#This Row],[Winning Team]]="")),"-",IF(Table4[[#This Row],[Predicted Winner]]=NHL2025_26Results[[#This Row],[Winning Team]],"YES","NO"))</f>
        <v>YES</v>
      </c>
      <c r="N263">
        <f>IF(Table4[[#This Row],[Adjusted Correct]]="-", "",IF(Table4[[#This Row],[Adjusted Correct]]="YES",(Table4[[#This Row],[Strength of Win]]-1)^2,(Table4[[#This Row],[Strength of Win]]-0)^2))</f>
        <v>0.28718871140618396</v>
      </c>
      <c r="O263">
        <v>0.22727338724377955</v>
      </c>
      <c r="P263" s="16">
        <v>0.59</v>
      </c>
      <c r="Q263" t="s">
        <v>32</v>
      </c>
      <c r="R263" t="s">
        <v>249</v>
      </c>
    </row>
    <row r="264" spans="4:21" x14ac:dyDescent="0.2">
      <c r="D264" s="1">
        <v>45972</v>
      </c>
      <c r="E264" s="2">
        <v>0.83333333333333337</v>
      </c>
      <c r="F264" t="s">
        <v>35</v>
      </c>
      <c r="G264">
        <f>VLOOKUP(Table4[[#This Row],[Home]],'NHL Model'!$A$6:$B$38,2,FALSE)</f>
        <v>-1.3944783719477225</v>
      </c>
      <c r="H264" t="s">
        <v>16</v>
      </c>
      <c r="I264">
        <f>VLOOKUP(Table4[[#This Row],[Visitor]],'NHL Model'!$A$6:$B$38,2,FALSE)</f>
        <v>-1.0657812790446208</v>
      </c>
      <c r="J264">
        <f>($B$1+Table4[[#This Row],[Home Differential]])-Table4[[#This Row],[Away Differential]]</f>
        <v>-0.27879634397993924</v>
      </c>
      <c r="K264" t="str">
        <f>IF(Table4[[#This Row],[HomeIce Differential]]&gt;0,Table4[[#This Row],[Home]],Table4[[#This Row],[Visitor]])</f>
        <v>Calgary Flames</v>
      </c>
      <c r="L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0.49255358790002218</v>
      </c>
      <c r="M264" t="str">
        <f>IF(OR((NHL2025_26Results[[#This Row],[Winning Team]]="")),"-",IF(Table4[[#This Row],[Predicted Winner]]=NHL2025_26Results[[#This Row],[Winning Team]],"YES","NO"))</f>
        <v>NO</v>
      </c>
      <c r="N264">
        <f>IF(Table4[[#This Row],[Adjusted Correct]]="-", "",IF(Table4[[#This Row],[Adjusted Correct]]="YES",(Table4[[#This Row],[Strength of Win]]-1)^2,(Table4[[#This Row],[Strength of Win]]-0)^2))</f>
        <v>0.24260903695318489</v>
      </c>
      <c r="O264">
        <v>-8.9644336710186456E-2</v>
      </c>
      <c r="P264" s="16">
        <v>0.47</v>
      </c>
      <c r="Q264" t="s">
        <v>16</v>
      </c>
      <c r="R264" t="s">
        <v>249</v>
      </c>
    </row>
    <row r="265" spans="4:21" x14ac:dyDescent="0.2">
      <c r="D265" s="1">
        <v>45972</v>
      </c>
      <c r="E265" s="2">
        <v>0.91666666666666663</v>
      </c>
      <c r="F265" t="s">
        <v>38</v>
      </c>
      <c r="G265">
        <f>VLOOKUP(Table4[[#This Row],[Home]],'NHL Model'!$A$6:$B$38,2,FALSE)</f>
        <v>-0.9476777551108041</v>
      </c>
      <c r="H265" t="s">
        <v>40</v>
      </c>
      <c r="I265">
        <f>VLOOKUP(Table4[[#This Row],[Visitor]],'NHL Model'!$A$6:$B$38,2,FALSE)</f>
        <v>-0.31324182378279158</v>
      </c>
      <c r="J265">
        <f>($B$1+Table4[[#This Row],[Home Differential]])-Table4[[#This Row],[Away Differential]]</f>
        <v>-0.58453518240485014</v>
      </c>
      <c r="K265" t="str">
        <f>IF(Table4[[#This Row],[HomeIce Differential]]&gt;0,Table4[[#This Row],[Home]],Table4[[#This Row],[Visitor]])</f>
        <v>Winnipeg Jets</v>
      </c>
      <c r="L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0.54902234043856335</v>
      </c>
      <c r="M265" t="str">
        <f>IF(OR((NHL2025_26Results[[#This Row],[Winning Team]]="")),"-",IF(Table4[[#This Row],[Predicted Winner]]=NHL2025_26Results[[#This Row],[Winning Team]],"YES","NO"))</f>
        <v>YES</v>
      </c>
      <c r="N265">
        <f>IF(Table4[[#This Row],[Adjusted Correct]]="-", "",IF(Table4[[#This Row],[Adjusted Correct]]="YES",(Table4[[#This Row],[Strength of Win]]-1)^2,(Table4[[#This Row],[Strength of Win]]-0)^2))</f>
        <v>0.20338084942351106</v>
      </c>
      <c r="O265">
        <v>-0.98356899366419159</v>
      </c>
      <c r="P265" s="16">
        <v>0.65</v>
      </c>
      <c r="Q265" t="s">
        <v>40</v>
      </c>
      <c r="R265" t="s">
        <v>248</v>
      </c>
    </row>
    <row r="266" spans="4:21" x14ac:dyDescent="0.2">
      <c r="D266" s="1">
        <v>45973</v>
      </c>
      <c r="E266" s="2">
        <v>0.89583333333333337</v>
      </c>
      <c r="F266" t="s">
        <v>10</v>
      </c>
      <c r="G266">
        <f>VLOOKUP(Table4[[#This Row],[Home]],'NHL Model'!$A$6:$B$38,2,FALSE)</f>
        <v>-0.17619625518431364</v>
      </c>
      <c r="H266" t="s">
        <v>24</v>
      </c>
      <c r="I266">
        <f>VLOOKUP(Table4[[#This Row],[Visitor]],'NHL Model'!$A$6:$B$38,2,FALSE)</f>
        <v>1.5302507646042616E-3</v>
      </c>
      <c r="J266">
        <f>($B$1+Table4[[#This Row],[Home Differential]])-Table4[[#This Row],[Away Differential]]</f>
        <v>-0.12782575702575544</v>
      </c>
      <c r="K266" t="str">
        <f>IF(Table4[[#This Row],[HomeIce Differential]]&gt;0,Table4[[#This Row],[Home]],Table4[[#This Row],[Visitor]])</f>
        <v>New Jersey Devils</v>
      </c>
      <c r="L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0.49569477447551485</v>
      </c>
      <c r="M266" t="str">
        <f>IF(OR((NHL2025_26Results[[#This Row],[Winning Team]]="")),"-",IF(Table4[[#This Row],[Predicted Winner]]=NHL2025_26Results[[#This Row],[Winning Team]],"YES","NO"))</f>
        <v>YES</v>
      </c>
      <c r="N266">
        <f>IF(Table4[[#This Row],[Adjusted Correct]]="-", "",IF(Table4[[#This Row],[Adjusted Correct]]="YES",(Table4[[#This Row],[Strength of Win]]-1)^2,(Table4[[#This Row],[Strength of Win]]-0)^2))</f>
        <v>0.25432376049130179</v>
      </c>
      <c r="O266">
        <v>-0.17192837851363024</v>
      </c>
      <c r="P266" s="11">
        <v>0.53177013878421053</v>
      </c>
      <c r="Q266" t="s">
        <v>24</v>
      </c>
      <c r="R266" t="s">
        <v>248</v>
      </c>
    </row>
    <row r="267" spans="4:21" x14ac:dyDescent="0.2">
      <c r="D267" s="1">
        <v>45973</v>
      </c>
      <c r="E267" s="2">
        <v>0.8125</v>
      </c>
      <c r="F267" t="s">
        <v>27</v>
      </c>
      <c r="G267">
        <f>VLOOKUP(Table4[[#This Row],[Home]],'NHL Model'!$A$6:$B$38,2,FALSE)</f>
        <v>-0.38023958350631604</v>
      </c>
      <c r="H267" t="s">
        <v>17</v>
      </c>
      <c r="I267">
        <f>VLOOKUP(Table4[[#This Row],[Visitor]],'NHL Model'!$A$6:$B$38,2,FALSE)</f>
        <v>-0.81774666423752174</v>
      </c>
      <c r="J267">
        <f>($B$1+Table4[[#This Row],[Home Differential]])-Table4[[#This Row],[Away Differential]]</f>
        <v>0.48740782965436819</v>
      </c>
      <c r="K267" t="str">
        <f>IF(Table4[[#This Row],[HomeIce Differential]]&gt;0,Table4[[#This Row],[Home]],Table4[[#This Row],[Visitor]])</f>
        <v>Philadelphia Flyers</v>
      </c>
      <c r="L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0.61092867823691233</v>
      </c>
      <c r="M267" t="str">
        <f>IF(OR((NHL2025_26Results[[#This Row],[Winning Team]]="")),"-",IF(Table4[[#This Row],[Predicted Winner]]=NHL2025_26Results[[#This Row],[Winning Team]],"YES","NO"))</f>
        <v>NO</v>
      </c>
      <c r="N267">
        <f>IF(Table4[[#This Row],[Adjusted Correct]]="-", "",IF(Table4[[#This Row],[Adjusted Correct]]="YES",(Table4[[#This Row],[Strength of Win]]-1)^2,(Table4[[#This Row],[Strength of Win]]-0)^2))</f>
        <v>0.37323384989230074</v>
      </c>
      <c r="O267">
        <v>0.61300416745127484</v>
      </c>
      <c r="P267" s="11">
        <v>0.63045810086061171</v>
      </c>
      <c r="Q267" t="s">
        <v>27</v>
      </c>
      <c r="R267" t="s">
        <v>249</v>
      </c>
    </row>
    <row r="268" spans="4:21" x14ac:dyDescent="0.2">
      <c r="D268" s="1">
        <v>45973</v>
      </c>
      <c r="E268" s="2">
        <v>0.79166666666666663</v>
      </c>
      <c r="F268" t="s">
        <v>37</v>
      </c>
      <c r="G268">
        <f>VLOOKUP(Table4[[#This Row],[Home]],'NHL Model'!$A$6:$B$38,2,FALSE)</f>
        <v>0.51050494674660429</v>
      </c>
      <c r="H268" t="s">
        <v>15</v>
      </c>
      <c r="I268">
        <f>VLOOKUP(Table4[[#This Row],[Visitor]],'NHL Model'!$A$6:$B$38,2,FALSE)</f>
        <v>-0.29003398448394263</v>
      </c>
      <c r="J268">
        <f>($B$1+Table4[[#This Row],[Home Differential]])-Table4[[#This Row],[Away Differential]]</f>
        <v>0.8504396801537093</v>
      </c>
      <c r="K268" t="str">
        <f>IF(Table4[[#This Row],[HomeIce Differential]]&gt;0,Table4[[#This Row],[Home]],Table4[[#This Row],[Visitor]])</f>
        <v>Tampa Bay Lightning</v>
      </c>
      <c r="L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0.57162610749903808</v>
      </c>
      <c r="M268" t="str">
        <f>IF(OR((NHL2025_26Results[[#This Row],[Winning Team]]="")),"-",IF(Table4[[#This Row],[Predicted Winner]]=NHL2025_26Results[[#This Row],[Winning Team]],"YES","NO"))</f>
        <v>NO</v>
      </c>
      <c r="N268">
        <f>IF(Table4[[#This Row],[Adjusted Correct]]="-", "",IF(Table4[[#This Row],[Adjusted Correct]]="YES",(Table4[[#This Row],[Strength of Win]]-1)^2,(Table4[[#This Row],[Strength of Win]]-0)^2))</f>
        <v>0.32675640677450185</v>
      </c>
      <c r="O268">
        <v>0.51817683327806419</v>
      </c>
      <c r="P268" s="11">
        <v>0.47734051159917035</v>
      </c>
      <c r="Q268" t="s">
        <v>37</v>
      </c>
      <c r="R268" t="s">
        <v>249</v>
      </c>
    </row>
    <row r="269" spans="4:21" x14ac:dyDescent="0.2">
      <c r="D269" s="1">
        <v>45973</v>
      </c>
      <c r="E269" s="2">
        <v>0.875</v>
      </c>
      <c r="F269" t="s">
        <v>55</v>
      </c>
      <c r="G269">
        <f>VLOOKUP(Table4[[#This Row],[Home]],'NHL Model'!$A$6:$B$38,2,FALSE)</f>
        <v>-0.4031232890211825</v>
      </c>
      <c r="H269" t="s">
        <v>23</v>
      </c>
      <c r="I269">
        <f>VLOOKUP(Table4[[#This Row],[Visitor]],'NHL Model'!$A$6:$B$38,2,FALSE)</f>
        <v>-0.4761104357405897</v>
      </c>
      <c r="J269">
        <f>($B$1+Table4[[#This Row],[Home Differential]])-Table4[[#This Row],[Away Differential]]</f>
        <v>0.12288789564256969</v>
      </c>
      <c r="K269" t="str">
        <f>IF(Table4[[#This Row],[HomeIce Differential]]&gt;0,Table4[[#This Row],[Home]],Table4[[#This Row],[Visitor]])</f>
        <v>Utah Mammoth</v>
      </c>
      <c r="L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0.59478015295826725</v>
      </c>
      <c r="M269" t="str">
        <f>IF(OR((NHL2025_26Results[[#This Row],[Winning Team]]="")),"-",IF(Table4[[#This Row],[Predicted Winner]]=NHL2025_26Results[[#This Row],[Winning Team]],"YES","NO"))</f>
        <v>YES</v>
      </c>
      <c r="N269">
        <f>IF(Table4[[#This Row],[Adjusted Correct]]="-", "",IF(Table4[[#This Row],[Adjusted Correct]]="YES",(Table4[[#This Row],[Strength of Win]]-1)^2,(Table4[[#This Row],[Strength of Win]]-0)^2))</f>
        <v>0.16420312443652529</v>
      </c>
      <c r="O269">
        <v>0.96461121881967093</v>
      </c>
      <c r="P269" s="11">
        <v>0.78274613645614943</v>
      </c>
      <c r="Q269" t="s">
        <v>55</v>
      </c>
      <c r="R269" t="s">
        <v>248</v>
      </c>
    </row>
    <row r="270" spans="4:21" x14ac:dyDescent="0.2">
      <c r="D270" s="1">
        <v>45974</v>
      </c>
      <c r="E270" s="2">
        <v>0.8125</v>
      </c>
      <c r="F270" t="s">
        <v>28</v>
      </c>
      <c r="G270">
        <f>VLOOKUP(Table4[[#This Row],[Home]],'NHL Model'!$A$6:$B$38,2,FALSE)</f>
        <v>-0.59498940435054026</v>
      </c>
      <c r="H270" t="s">
        <v>17</v>
      </c>
      <c r="I270">
        <f>VLOOKUP(Table4[[#This Row],[Visitor]],'NHL Model'!$A$6:$B$38,2,FALSE)</f>
        <v>-0.81774666423752174</v>
      </c>
      <c r="J270">
        <f>($B$1+Table4[[#This Row],[Home Differential]])-Table4[[#This Row],[Away Differential]]</f>
        <v>0.2726580088101439</v>
      </c>
      <c r="K270" t="str">
        <f>IF(Table4[[#This Row],[HomeIce Differential]]&gt;0,Table4[[#This Row],[Home]],Table4[[#This Row],[Visitor]])</f>
        <v>Columbus Blue Jackets</v>
      </c>
      <c r="L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0.57183684667358736</v>
      </c>
      <c r="M270" t="str">
        <f>IF(OR((NHL2025_26Results[[#This Row],[Winning Team]]="")),"-",IF(Table4[[#This Row],[Predicted Winner]]=NHL2025_26Results[[#This Row],[Winning Team]],"YES","NO"))</f>
        <v>YES</v>
      </c>
      <c r="N270">
        <f>IF(Table4[[#This Row],[Adjusted Correct]]="-", "",IF(Table4[[#This Row],[Adjusted Correct]]="YES",(Table4[[#This Row],[Strength of Win]]-1)^2,(Table4[[#This Row],[Strength of Win]]-0)^2))</f>
        <v>0.18332368586641715</v>
      </c>
      <c r="O270">
        <v>0.46750762202084228</v>
      </c>
      <c r="P270" s="11">
        <v>0.60655393581935702</v>
      </c>
      <c r="Q270" t="s">
        <v>28</v>
      </c>
      <c r="R270" t="s">
        <v>248</v>
      </c>
    </row>
    <row r="271" spans="4:21" x14ac:dyDescent="0.2">
      <c r="D271" s="1">
        <v>45974</v>
      </c>
      <c r="E271" s="2">
        <v>0.875</v>
      </c>
      <c r="F271" t="s">
        <v>16</v>
      </c>
      <c r="G271">
        <f>VLOOKUP(Table4[[#This Row],[Home]],'NHL Model'!$A$6:$B$38,2,FALSE)</f>
        <v>-1.0657812790446208</v>
      </c>
      <c r="H271" t="s">
        <v>33</v>
      </c>
      <c r="I271">
        <f>VLOOKUP(Table4[[#This Row],[Visitor]],'NHL Model'!$A$6:$B$38,2,FALSE)</f>
        <v>-0.45133099238224339</v>
      </c>
      <c r="J271">
        <f>($B$1+Table4[[#This Row],[Home Differential]])-Table4[[#This Row],[Away Differential]]</f>
        <v>-0.56454953773921501</v>
      </c>
      <c r="K271" t="str">
        <f>IF(Table4[[#This Row],[HomeIce Differential]]&gt;0,Table4[[#This Row],[Home]],Table4[[#This Row],[Visitor]])</f>
        <v>San Jose Sharks</v>
      </c>
      <c r="L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0.52591949068755661</v>
      </c>
      <c r="M271" t="str">
        <f>IF(OR((NHL2025_26Results[[#This Row],[Winning Team]]="")),"-",IF(Table4[[#This Row],[Predicted Winner]]=NHL2025_26Results[[#This Row],[Winning Team]],"YES","NO"))</f>
        <v>NO</v>
      </c>
      <c r="N271">
        <f>IF(Table4[[#This Row],[Adjusted Correct]]="-", "",IF(Table4[[#This Row],[Adjusted Correct]]="YES",(Table4[[#This Row],[Strength of Win]]-1)^2,(Table4[[#This Row],[Strength of Win]]-0)^2))</f>
        <v>0.27659131068505893</v>
      </c>
      <c r="O271">
        <v>-1.373893816442042</v>
      </c>
      <c r="P271" s="11">
        <v>0.70972502094590872</v>
      </c>
      <c r="Q271" t="s">
        <v>33</v>
      </c>
      <c r="R271" t="s">
        <v>249</v>
      </c>
    </row>
    <row r="272" spans="4:21" x14ac:dyDescent="0.2">
      <c r="D272" s="1">
        <v>45974</v>
      </c>
      <c r="E272" s="2">
        <v>0.875</v>
      </c>
      <c r="F272" t="s">
        <v>12</v>
      </c>
      <c r="G272">
        <f>VLOOKUP(Table4[[#This Row],[Home]],'NHL Model'!$A$6:$B$38,2,FALSE)</f>
        <v>1.6319036584269762</v>
      </c>
      <c r="H272" t="s">
        <v>23</v>
      </c>
      <c r="I272">
        <f>VLOOKUP(Table4[[#This Row],[Visitor]],'NHL Model'!$A$6:$B$38,2,FALSE)</f>
        <v>-0.4761104357405897</v>
      </c>
      <c r="J272">
        <f>($B$1+Table4[[#This Row],[Home Differential]])-Table4[[#This Row],[Away Differential]]</f>
        <v>2.1579148430907282</v>
      </c>
      <c r="K272" t="str">
        <f>IF(Table4[[#This Row],[HomeIce Differential]]&gt;0,Table4[[#This Row],[Home]],Table4[[#This Row],[Visitor]])</f>
        <v>Colorado Avalanche</v>
      </c>
      <c r="L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0.89629830338808214</v>
      </c>
      <c r="M272" t="str">
        <f>IF(OR((NHL2025_26Results[[#This Row],[Winning Team]]="")),"-",IF(Table4[[#This Row],[Predicted Winner]]=NHL2025_26Results[[#This Row],[Winning Team]],"YES","NO"))</f>
        <v>YES</v>
      </c>
      <c r="N272">
        <f>IF(Table4[[#This Row],[Adjusted Correct]]="-", "",IF(Table4[[#This Row],[Adjusted Correct]]="YES",(Table4[[#This Row],[Strength of Win]]-1)^2,(Table4[[#This Row],[Strength of Win]]-0)^2))</f>
        <v>1.0754041880190256E-2</v>
      </c>
      <c r="O272">
        <v>2.4925655891404026</v>
      </c>
      <c r="P272" s="11">
        <v>0.96311174812141942</v>
      </c>
      <c r="Q272" t="s">
        <v>12</v>
      </c>
      <c r="R272" t="s">
        <v>248</v>
      </c>
    </row>
    <row r="273" spans="4:18" x14ac:dyDescent="0.2">
      <c r="D273" s="1">
        <v>45974</v>
      </c>
      <c r="E273" s="2">
        <v>0.79166666666666663</v>
      </c>
      <c r="F273" t="s">
        <v>26</v>
      </c>
      <c r="G273">
        <f>VLOOKUP(Table4[[#This Row],[Home]],'NHL Model'!$A$6:$B$38,2,FALSE)</f>
        <v>-0.87533956503230947</v>
      </c>
      <c r="H273" t="s">
        <v>31</v>
      </c>
      <c r="I273">
        <f>VLOOKUP(Table4[[#This Row],[Visitor]],'NHL Model'!$A$6:$B$38,2,FALSE)</f>
        <v>0.17870302183926629</v>
      </c>
      <c r="J273">
        <f>($B$1+Table4[[#This Row],[Home Differential]])-Table4[[#This Row],[Away Differential]]</f>
        <v>-1.0041418379484133</v>
      </c>
      <c r="K273" t="str">
        <f>IF(Table4[[#This Row],[HomeIce Differential]]&gt;0,Table4[[#This Row],[Home]],Table4[[#This Row],[Visitor]])</f>
        <v>Anaheim Ducks</v>
      </c>
      <c r="L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0.59801761042551338</v>
      </c>
      <c r="M273" t="str">
        <f>IF(OR((NHL2025_26Results[[#This Row],[Winning Team]]="")),"-",IF(Table4[[#This Row],[Predicted Winner]]=NHL2025_26Results[[#This Row],[Winning Team]],"YES","NO"))</f>
        <v>NO</v>
      </c>
      <c r="N273">
        <f>IF(Table4[[#This Row],[Adjusted Correct]]="-", "",IF(Table4[[#This Row],[Adjusted Correct]]="YES",(Table4[[#This Row],[Strength of Win]]-1)^2,(Table4[[#This Row],[Strength of Win]]-0)^2))</f>
        <v>0.35762506237904107</v>
      </c>
      <c r="O273">
        <v>-1.4741895320739622</v>
      </c>
      <c r="P273" s="11">
        <v>0.69966012353071072</v>
      </c>
      <c r="Q273" t="s">
        <v>31</v>
      </c>
      <c r="R273" t="s">
        <v>249</v>
      </c>
    </row>
    <row r="274" spans="4:18" x14ac:dyDescent="0.2">
      <c r="D274" s="1">
        <v>45974</v>
      </c>
      <c r="E274" s="2">
        <v>0.79166666666666663</v>
      </c>
      <c r="F274" t="s">
        <v>11</v>
      </c>
      <c r="G274">
        <f>VLOOKUP(Table4[[#This Row],[Home]],'NHL Model'!$A$6:$B$38,2,FALSE)</f>
        <v>-0.39711829106410657</v>
      </c>
      <c r="H274" t="s">
        <v>22</v>
      </c>
      <c r="I274">
        <f>VLOOKUP(Table4[[#This Row],[Visitor]],'NHL Model'!$A$6:$B$38,2,FALSE)</f>
        <v>0.4407072328537569</v>
      </c>
      <c r="J274">
        <f>($B$1+Table4[[#This Row],[Home Differential]])-Table4[[#This Row],[Away Differential]]</f>
        <v>-0.78792477499470093</v>
      </c>
      <c r="K274" t="str">
        <f>IF(Table4[[#This Row],[HomeIce Differential]]&gt;0,Table4[[#This Row],[Home]],Table4[[#This Row],[Visitor]])</f>
        <v>Washington Capitals</v>
      </c>
      <c r="L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0.58037393944359772</v>
      </c>
      <c r="M274" t="str">
        <f>IF(OR((NHL2025_26Results[[#This Row],[Winning Team]]="")),"-",IF(Table4[[#This Row],[Predicted Winner]]=NHL2025_26Results[[#This Row],[Winning Team]],"YES","NO"))</f>
        <v>NO</v>
      </c>
      <c r="N274">
        <f>IF(Table4[[#This Row],[Adjusted Correct]]="-", "",IF(Table4[[#This Row],[Adjusted Correct]]="YES",(Table4[[#This Row],[Strength of Win]]-1)^2,(Table4[[#This Row],[Strength of Win]]-0)^2))</f>
        <v>0.33683390958528081</v>
      </c>
      <c r="O274">
        <v>-0.25218898579568283</v>
      </c>
      <c r="P274" s="11">
        <v>0.44766608755917686</v>
      </c>
      <c r="Q274" t="s">
        <v>22</v>
      </c>
      <c r="R274" t="s">
        <v>249</v>
      </c>
    </row>
    <row r="275" spans="4:18" x14ac:dyDescent="0.2">
      <c r="D275" s="1">
        <v>45974</v>
      </c>
      <c r="E275" s="2">
        <v>0.79166666666666663</v>
      </c>
      <c r="F275" t="s">
        <v>18</v>
      </c>
      <c r="G275">
        <f>VLOOKUP(Table4[[#This Row],[Home]],'NHL Model'!$A$6:$B$38,2,FALSE)</f>
        <v>-0.59288962827382519</v>
      </c>
      <c r="H275" t="s">
        <v>39</v>
      </c>
      <c r="I275">
        <f>VLOOKUP(Table4[[#This Row],[Visitor]],'NHL Model'!$A$6:$B$38,2,FALSE)</f>
        <v>0.41344250185511977</v>
      </c>
      <c r="J275">
        <f>($B$1+Table4[[#This Row],[Home Differential]])-Table4[[#This Row],[Away Differential]]</f>
        <v>-0.95643138120578253</v>
      </c>
      <c r="K275" t="str">
        <f>IF(Table4[[#This Row],[HomeIce Differential]]&gt;0,Table4[[#This Row],[Home]],Table4[[#This Row],[Visitor]])</f>
        <v>Dallas Stars</v>
      </c>
      <c r="L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0.67347523248448404</v>
      </c>
      <c r="M275" t="str">
        <f>IF(OR((NHL2025_26Results[[#This Row],[Winning Team]]="")),"-",IF(Table4[[#This Row],[Predicted Winner]]=NHL2025_26Results[[#This Row],[Winning Team]],"YES","NO"))</f>
        <v>YES</v>
      </c>
      <c r="N275">
        <f>IF(Table4[[#This Row],[Adjusted Correct]]="-", "",IF(Table4[[#This Row],[Adjusted Correct]]="YES",(Table4[[#This Row],[Strength of Win]]-1)^2,(Table4[[#This Row],[Strength of Win]]-0)^2))</f>
        <v>0.10661842380106175</v>
      </c>
      <c r="O275">
        <v>0.36080347970302373</v>
      </c>
      <c r="P275" s="11">
        <v>0.55136363665635635</v>
      </c>
      <c r="Q275" t="s">
        <v>18</v>
      </c>
      <c r="R275" t="s">
        <v>249</v>
      </c>
    </row>
    <row r="276" spans="4:18" x14ac:dyDescent="0.2">
      <c r="D276" s="1">
        <v>45974</v>
      </c>
      <c r="E276" s="2">
        <v>0.79166666666666663</v>
      </c>
      <c r="F276" t="s">
        <v>36</v>
      </c>
      <c r="G276">
        <f>VLOOKUP(Table4[[#This Row],[Home]],'NHL Model'!$A$6:$B$38,2,FALSE)</f>
        <v>-0.53137605086483863</v>
      </c>
      <c r="H276" t="s">
        <v>21</v>
      </c>
      <c r="I276">
        <f>VLOOKUP(Table4[[#This Row],[Visitor]],'NHL Model'!$A$6:$B$38,2,FALSE)</f>
        <v>-0.21976976044773161</v>
      </c>
      <c r="J276">
        <f>($B$1+Table4[[#This Row],[Home Differential]])-Table4[[#This Row],[Away Differential]]</f>
        <v>-0.26170554149394454</v>
      </c>
      <c r="K276" t="str">
        <f>IF(Table4[[#This Row],[HomeIce Differential]]&gt;0,Table4[[#This Row],[Home]],Table4[[#This Row],[Visitor]])</f>
        <v>Boston Bruins</v>
      </c>
      <c r="L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0.48889131780087369</v>
      </c>
      <c r="M276" t="str">
        <f>IF(OR((NHL2025_26Results[[#This Row],[Winning Team]]="")),"-",IF(Table4[[#This Row],[Predicted Winner]]=NHL2025_26Results[[#This Row],[Winning Team]],"YES","NO"))</f>
        <v>NO</v>
      </c>
      <c r="N276">
        <f>IF(Table4[[#This Row],[Adjusted Correct]]="-", "",IF(Table4[[#This Row],[Adjusted Correct]]="YES",(Table4[[#This Row],[Strength of Win]]-1)^2,(Table4[[#This Row],[Strength of Win]]-0)^2))</f>
        <v>0.23901472062107487</v>
      </c>
      <c r="O276">
        <v>-0.53550251254725545</v>
      </c>
      <c r="P276" s="11">
        <v>0.52918767123503918</v>
      </c>
      <c r="Q276" t="s">
        <v>21</v>
      </c>
      <c r="R276" t="s">
        <v>249</v>
      </c>
    </row>
    <row r="277" spans="4:18" x14ac:dyDescent="0.2">
      <c r="D277" s="1">
        <v>45974</v>
      </c>
      <c r="E277" s="2">
        <v>0.91666666666666663</v>
      </c>
      <c r="F277" t="s">
        <v>32</v>
      </c>
      <c r="G277">
        <f>VLOOKUP(Table4[[#This Row],[Home]],'NHL Model'!$A$6:$B$38,2,FALSE)</f>
        <v>-0.64937723527808999</v>
      </c>
      <c r="H277" t="s">
        <v>40</v>
      </c>
      <c r="I277">
        <f>VLOOKUP(Table4[[#This Row],[Visitor]],'NHL Model'!$A$6:$B$38,2,FALSE)</f>
        <v>-0.31324182378279158</v>
      </c>
      <c r="J277">
        <f>($B$1+Table4[[#This Row],[Home Differential]])-Table4[[#This Row],[Away Differential]]</f>
        <v>-0.28623466257213598</v>
      </c>
      <c r="K277" t="str">
        <f>IF(Table4[[#This Row],[HomeIce Differential]]&gt;0,Table4[[#This Row],[Home]],Table4[[#This Row],[Visitor]])</f>
        <v>Winnipeg Jets</v>
      </c>
      <c r="L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0.51419135214663902</v>
      </c>
      <c r="M277" t="str">
        <f>IF(OR((NHL2025_26Results[[#This Row],[Winning Team]]="")),"-",IF(Table4[[#This Row],[Predicted Winner]]=NHL2025_26Results[[#This Row],[Winning Team]],"YES","NO"))</f>
        <v>NO</v>
      </c>
      <c r="N277">
        <f>IF(Table4[[#This Row],[Adjusted Correct]]="-", "",IF(Table4[[#This Row],[Adjusted Correct]]="YES",(Table4[[#This Row],[Strength of Win]]-1)^2,(Table4[[#This Row],[Strength of Win]]-0)^2))</f>
        <v>0.26439274662238893</v>
      </c>
      <c r="O277">
        <v>-0.67968457260993353</v>
      </c>
      <c r="P277" s="11">
        <v>0.63323992930902162</v>
      </c>
      <c r="Q277" t="s">
        <v>40</v>
      </c>
      <c r="R277" t="s">
        <v>249</v>
      </c>
    </row>
    <row r="278" spans="4:18" x14ac:dyDescent="0.2">
      <c r="D278" s="1">
        <v>45974</v>
      </c>
      <c r="E278" s="2">
        <v>0.79166666666666663</v>
      </c>
      <c r="F278" t="s">
        <v>19</v>
      </c>
      <c r="G278">
        <f>VLOOKUP(Table4[[#This Row],[Home]],'NHL Model'!$A$6:$B$38,2,FALSE)</f>
        <v>-0.63447859131898054</v>
      </c>
      <c r="H278" t="s">
        <v>13</v>
      </c>
      <c r="I278">
        <f>VLOOKUP(Table4[[#This Row],[Visitor]],'NHL Model'!$A$6:$B$38,2,FALSE)</f>
        <v>-0.33828359867721369</v>
      </c>
      <c r="J278">
        <f>($B$1+Table4[[#This Row],[Home Differential]])-Table4[[#This Row],[Away Differential]]</f>
        <v>-0.24629424371860442</v>
      </c>
      <c r="K278" t="str">
        <f>IF(Table4[[#This Row],[HomeIce Differential]]&gt;0,Table4[[#This Row],[Home]],Table4[[#This Row],[Visitor]])</f>
        <v>Los Angeles Kings</v>
      </c>
      <c r="L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0.55507427747143212</v>
      </c>
      <c r="M278" t="str">
        <f>IF(OR((NHL2025_26Results[[#This Row],[Winning Team]]="")),"-",IF(Table4[[#This Row],[Predicted Winner]]=NHL2025_26Results[[#This Row],[Winning Team]],"YES","NO"))</f>
        <v>YES</v>
      </c>
      <c r="N278">
        <f>IF(Table4[[#This Row],[Adjusted Correct]]="-", "",IF(Table4[[#This Row],[Adjusted Correct]]="YES",(Table4[[#This Row],[Strength of Win]]-1)^2,(Table4[[#This Row],[Strength of Win]]-0)^2))</f>
        <v>0.19795889856756818</v>
      </c>
      <c r="O278">
        <v>-0.28616254222907439</v>
      </c>
      <c r="P278" s="11">
        <v>0.58619236997833224</v>
      </c>
      <c r="Q278" t="s">
        <v>13</v>
      </c>
      <c r="R278" t="s">
        <v>248</v>
      </c>
    </row>
    <row r="279" spans="4:18" x14ac:dyDescent="0.2">
      <c r="D279" s="1">
        <v>45974</v>
      </c>
      <c r="E279" s="2">
        <v>0.91666666666666663</v>
      </c>
      <c r="F279" t="s">
        <v>20</v>
      </c>
      <c r="G279">
        <f>VLOOKUP(Table4[[#This Row],[Home]],'NHL Model'!$A$6:$B$38,2,FALSE)</f>
        <v>-0.24444083032063643</v>
      </c>
      <c r="H279" t="s">
        <v>30</v>
      </c>
      <c r="I279">
        <f>VLOOKUP(Table4[[#This Row],[Visitor]],'NHL Model'!$A$6:$B$38,2,FALSE)</f>
        <v>-0.24093199744133265</v>
      </c>
      <c r="J279">
        <f>($B$1+Table4[[#This Row],[Home Differential]])-Table4[[#This Row],[Away Differential]]</f>
        <v>4.6391916043858672E-2</v>
      </c>
      <c r="K279" t="str">
        <f>IF(Table4[[#This Row],[HomeIce Differential]]&gt;0,Table4[[#This Row],[Home]],Table4[[#This Row],[Visitor]])</f>
        <v>Vegas Golden Knights</v>
      </c>
      <c r="L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0.47279377178607773</v>
      </c>
      <c r="M279" t="str">
        <f>IF(OR((NHL2025_26Results[[#This Row],[Winning Team]]="")),"-",IF(Table4[[#This Row],[Predicted Winner]]=NHL2025_26Results[[#This Row],[Winning Team]],"YES","NO"))</f>
        <v>NO</v>
      </c>
      <c r="N279">
        <f>IF(Table4[[#This Row],[Adjusted Correct]]="-", "",IF(Table4[[#This Row],[Adjusted Correct]]="YES",(Table4[[#This Row],[Strength of Win]]-1)^2,(Table4[[#This Row],[Strength of Win]]-0)^2))</f>
        <v>0.22353395063970574</v>
      </c>
      <c r="O279">
        <v>0.34947228259784413</v>
      </c>
      <c r="P279" s="11">
        <v>0.568981307555948</v>
      </c>
      <c r="Q279" t="s">
        <v>20</v>
      </c>
      <c r="R279" t="s">
        <v>249</v>
      </c>
    </row>
    <row r="280" spans="4:18" x14ac:dyDescent="0.2">
      <c r="D280" s="1">
        <v>45975</v>
      </c>
      <c r="E280" s="2">
        <v>0.79166666666666663</v>
      </c>
      <c r="F280" t="s">
        <v>25</v>
      </c>
      <c r="G280">
        <f>VLOOKUP(Table4[[#This Row],[Home]],'NHL Model'!$A$6:$B$38,2,FALSE)</f>
        <v>0.42567513732855267</v>
      </c>
      <c r="H280" t="s">
        <v>38</v>
      </c>
      <c r="I280">
        <f>VLOOKUP(Table4[[#This Row],[Visitor]],'NHL Model'!$A$6:$B$38,2,FALSE)</f>
        <v>-0.9476777551108041</v>
      </c>
      <c r="J280">
        <f>($B$1+Table4[[#This Row],[Home Differential]])-Table4[[#This Row],[Away Differential]]</f>
        <v>1.4232536413625192</v>
      </c>
      <c r="K280" t="str">
        <f>IF(Table4[[#This Row],[HomeIce Differential]]&gt;0,Table4[[#This Row],[Home]],Table4[[#This Row],[Visitor]])</f>
        <v>Carolina Hurricanes</v>
      </c>
      <c r="L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0.75442116247126945</v>
      </c>
      <c r="M280" t="str">
        <f>IF(OR((NHL2025_26Results[[#This Row],[Winning Team]]="")),"-",IF(Table4[[#This Row],[Predicted Winner]]=NHL2025_26Results[[#This Row],[Winning Team]],"YES","NO"))</f>
        <v>YES</v>
      </c>
      <c r="N280">
        <f>IF(Table4[[#This Row],[Adjusted Correct]]="-", "",IF(Table4[[#This Row],[Adjusted Correct]]="YES",(Table4[[#This Row],[Strength of Win]]-1)^2,(Table4[[#This Row],[Strength of Win]]-0)^2))</f>
        <v>6.0308965441962639E-2</v>
      </c>
      <c r="O280">
        <v>2.0746320760100323</v>
      </c>
      <c r="P280" s="11">
        <v>0.83653294556976232</v>
      </c>
      <c r="Q280" t="s">
        <v>25</v>
      </c>
      <c r="R280" t="s">
        <v>248</v>
      </c>
    </row>
    <row r="281" spans="4:18" x14ac:dyDescent="0.2">
      <c r="D281" s="1">
        <v>45975</v>
      </c>
      <c r="E281" s="2">
        <v>0.58333333333333337</v>
      </c>
      <c r="F281" t="s">
        <v>29</v>
      </c>
      <c r="G281">
        <f>VLOOKUP(Table4[[#This Row],[Home]],'NHL Model'!$A$6:$B$38,2,FALSE)</f>
        <v>-1.384917283810061</v>
      </c>
      <c r="H281" t="s">
        <v>14</v>
      </c>
      <c r="I281">
        <f>VLOOKUP(Table4[[#This Row],[Visitor]],'NHL Model'!$A$6:$B$38,2,FALSE)</f>
        <v>-0.14226422156549004</v>
      </c>
      <c r="J281">
        <f>($B$1+Table4[[#This Row],[Home Differential]])-Table4[[#This Row],[Away Differential]]</f>
        <v>-1.1927523133214084</v>
      </c>
      <c r="K281" t="str">
        <f>IF(Table4[[#This Row],[HomeIce Differential]]&gt;0,Table4[[#This Row],[Home]],Table4[[#This Row],[Visitor]])</f>
        <v>Pittsburgh Penguins</v>
      </c>
      <c r="L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0.63855816958625278</v>
      </c>
      <c r="M281" t="str">
        <f>IF(OR((NHL2025_26Results[[#This Row],[Winning Team]]="")),"-",IF(Table4[[#This Row],[Predicted Winner]]=NHL2025_26Results[[#This Row],[Winning Team]],"YES","NO"))</f>
        <v>NO</v>
      </c>
      <c r="N281">
        <f>IF(Table4[[#This Row],[Adjusted Correct]]="-", "",IF(Table4[[#This Row],[Adjusted Correct]]="YES",(Table4[[#This Row],[Strength of Win]]-1)^2,(Table4[[#This Row],[Strength of Win]]-0)^2))</f>
        <v>0.40775653594534556</v>
      </c>
      <c r="O281">
        <v>-1.5093690744652657</v>
      </c>
      <c r="P281" s="11">
        <v>0.68013800473665997</v>
      </c>
      <c r="Q281" t="s">
        <v>14</v>
      </c>
      <c r="R281" t="s">
        <v>249</v>
      </c>
    </row>
    <row r="282" spans="4:18" x14ac:dyDescent="0.2">
      <c r="D282" s="1">
        <v>45975</v>
      </c>
      <c r="E282" s="2">
        <v>0.83333333333333337</v>
      </c>
      <c r="F282" t="s">
        <v>35</v>
      </c>
      <c r="G282">
        <f>VLOOKUP(Table4[[#This Row],[Home]],'NHL Model'!$A$6:$B$38,2,FALSE)</f>
        <v>-1.3944783719477225</v>
      </c>
      <c r="H282" t="s">
        <v>27</v>
      </c>
      <c r="I282">
        <f>VLOOKUP(Table4[[#This Row],[Visitor]],'NHL Model'!$A$6:$B$38,2,FALSE)</f>
        <v>-0.38023958350631604</v>
      </c>
      <c r="J282">
        <f>($B$1+Table4[[#This Row],[Home Differential]])-Table4[[#This Row],[Away Differential]]</f>
        <v>-0.96433803951824404</v>
      </c>
      <c r="K282" t="str">
        <f>IF(Table4[[#This Row],[HomeIce Differential]]&gt;0,Table4[[#This Row],[Home]],Table4[[#This Row],[Visitor]])</f>
        <v>Philadelphia Flyers</v>
      </c>
      <c r="L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0.61511326154149359</v>
      </c>
      <c r="M282" t="str">
        <f>IF(OR((NHL2025_26Results[[#This Row],[Winning Team]]="")),"-",IF(Table4[[#This Row],[Predicted Winner]]=NHL2025_26Results[[#This Row],[Winning Team]],"YES","NO"))</f>
        <v>YES</v>
      </c>
      <c r="N282">
        <f>IF(Table4[[#This Row],[Adjusted Correct]]="-", "",IF(Table4[[#This Row],[Adjusted Correct]]="YES",(Table4[[#This Row],[Strength of Win]]-1)^2,(Table4[[#This Row],[Strength of Win]]-0)^2))</f>
        <v>0.14813780144122671</v>
      </c>
      <c r="O282">
        <v>-1.1179349546942468</v>
      </c>
      <c r="P282" s="11">
        <v>0.607665223213671</v>
      </c>
      <c r="Q282" t="s">
        <v>27</v>
      </c>
      <c r="R282" t="s">
        <v>248</v>
      </c>
    </row>
    <row r="283" spans="4:18" x14ac:dyDescent="0.2">
      <c r="D283" s="1">
        <v>45975</v>
      </c>
      <c r="E283" s="2">
        <v>0.875</v>
      </c>
      <c r="F283" t="s">
        <v>55</v>
      </c>
      <c r="G283">
        <f>VLOOKUP(Table4[[#This Row],[Home]],'NHL Model'!$A$6:$B$38,2,FALSE)</f>
        <v>-0.4031232890211825</v>
      </c>
      <c r="H283" t="s">
        <v>30</v>
      </c>
      <c r="I283">
        <f>VLOOKUP(Table4[[#This Row],[Visitor]],'NHL Model'!$A$6:$B$38,2,FALSE)</f>
        <v>-0.24093199744133265</v>
      </c>
      <c r="J283">
        <f>($B$1+Table4[[#This Row],[Home Differential]])-Table4[[#This Row],[Away Differential]]</f>
        <v>-0.11229054265668736</v>
      </c>
      <c r="K283" t="str">
        <f>IF(Table4[[#This Row],[HomeIce Differential]]&gt;0,Table4[[#This Row],[Home]],Table4[[#This Row],[Visitor]])</f>
        <v>New York Islanders</v>
      </c>
      <c r="L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0.50473168987713912</v>
      </c>
      <c r="M283" t="str">
        <f>IF(OR((NHL2025_26Results[[#This Row],[Winning Team]]="")),"-",IF(Table4[[#This Row],[Predicted Winner]]=NHL2025_26Results[[#This Row],[Winning Team]],"YES","NO"))</f>
        <v>YES</v>
      </c>
      <c r="N283">
        <f>IF(Table4[[#This Row],[Adjusted Correct]]="-", "",IF(Table4[[#This Row],[Adjusted Correct]]="YES",(Table4[[#This Row],[Strength of Win]]-1)^2,(Table4[[#This Row],[Strength of Win]]-0)^2))</f>
        <v>0.2452906990119543</v>
      </c>
      <c r="O283">
        <v>0.12877203755320293</v>
      </c>
      <c r="P283" s="11">
        <v>0.61700917534524502</v>
      </c>
      <c r="Q283" t="s">
        <v>55</v>
      </c>
      <c r="R283" t="s">
        <v>249</v>
      </c>
    </row>
    <row r="284" spans="4:18" x14ac:dyDescent="0.2">
      <c r="D284" s="1">
        <v>45976</v>
      </c>
      <c r="E284" s="2">
        <v>0.79166666666666663</v>
      </c>
      <c r="F284" t="s">
        <v>25</v>
      </c>
      <c r="G284">
        <f>VLOOKUP(Table4[[#This Row],[Home]],'NHL Model'!$A$6:$B$38,2,FALSE)</f>
        <v>0.42567513732855267</v>
      </c>
      <c r="H284" t="s">
        <v>17</v>
      </c>
      <c r="I284">
        <f>VLOOKUP(Table4[[#This Row],[Visitor]],'NHL Model'!$A$6:$B$38,2,FALSE)</f>
        <v>-0.81774666423752174</v>
      </c>
      <c r="J284">
        <f>($B$1+Table4[[#This Row],[Home Differential]])-Table4[[#This Row],[Away Differential]]</f>
        <v>1.2933225504892369</v>
      </c>
      <c r="K284" t="str">
        <f>IF(Table4[[#This Row],[HomeIce Differential]]&gt;0,Table4[[#This Row],[Home]],Table4[[#This Row],[Visitor]])</f>
        <v>Carolina Hurricanes</v>
      </c>
      <c r="L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0.74273047217949051</v>
      </c>
      <c r="M284" t="str">
        <f>IF(OR((NHL2025_26Results[[#This Row],[Winning Team]]="")),"-",IF(Table4[[#This Row],[Predicted Winner]]=NHL2025_26Results[[#This Row],[Winning Team]],"YES","NO"))</f>
        <v>NO</v>
      </c>
      <c r="N284">
        <f>IF(Table4[[#This Row],[Adjusted Correct]]="-", "",IF(Table4[[#This Row],[Adjusted Correct]]="YES",(Table4[[#This Row],[Strength of Win]]-1)^2,(Table4[[#This Row],[Strength of Win]]-0)^2))</f>
        <v>0.55164855430396897</v>
      </c>
      <c r="O284">
        <v>1.7577742949996158</v>
      </c>
      <c r="P284" s="11">
        <v>0.87282166183561605</v>
      </c>
      <c r="Q284" t="s">
        <v>25</v>
      </c>
      <c r="R284" t="s">
        <v>249</v>
      </c>
    </row>
    <row r="285" spans="4:18" x14ac:dyDescent="0.2">
      <c r="D285" s="1">
        <v>45976</v>
      </c>
      <c r="E285" s="2">
        <v>0.79166666666666663</v>
      </c>
      <c r="F285" t="s">
        <v>28</v>
      </c>
      <c r="G285">
        <f>VLOOKUP(Table4[[#This Row],[Home]],'NHL Model'!$A$6:$B$38,2,FALSE)</f>
        <v>-0.59498940435054026</v>
      </c>
      <c r="H285" t="s">
        <v>15</v>
      </c>
      <c r="I285">
        <f>VLOOKUP(Table4[[#This Row],[Visitor]],'NHL Model'!$A$6:$B$38,2,FALSE)</f>
        <v>-0.29003398448394263</v>
      </c>
      <c r="J285">
        <f>($B$1+Table4[[#This Row],[Home Differential]])-Table4[[#This Row],[Away Differential]]</f>
        <v>-0.2550546709434352</v>
      </c>
      <c r="K285" t="str">
        <f>IF(Table4[[#This Row],[HomeIce Differential]]&gt;0,Table4[[#This Row],[Home]],Table4[[#This Row],[Visitor]])</f>
        <v>New York Rangers</v>
      </c>
      <c r="L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0.5898628635660369</v>
      </c>
      <c r="M285" t="str">
        <f>IF(OR((NHL2025_26Results[[#This Row],[Winning Team]]="")),"-",IF(Table4[[#This Row],[Predicted Winner]]=NHL2025_26Results[[#This Row],[Winning Team]],"YES","NO"))</f>
        <v>YES</v>
      </c>
      <c r="N285">
        <f>IF(Table4[[#This Row],[Adjusted Correct]]="-", "",IF(Table4[[#This Row],[Adjusted Correct]]="YES",(Table4[[#This Row],[Strength of Win]]-1)^2,(Table4[[#This Row],[Strength of Win]]-0)^2))</f>
        <v>0.16821247068225126</v>
      </c>
      <c r="O285">
        <v>8.2519648684287294E-2</v>
      </c>
      <c r="P285" s="11">
        <v>0.42854327356960809</v>
      </c>
      <c r="Q285" t="s">
        <v>28</v>
      </c>
      <c r="R285" t="s">
        <v>249</v>
      </c>
    </row>
    <row r="286" spans="4:18" x14ac:dyDescent="0.2">
      <c r="D286" s="1">
        <v>45976</v>
      </c>
      <c r="E286" s="2">
        <v>0.91666666666666663</v>
      </c>
      <c r="F286" t="s">
        <v>16</v>
      </c>
      <c r="G286">
        <f>VLOOKUP(Table4[[#This Row],[Home]],'NHL Model'!$A$6:$B$38,2,FALSE)</f>
        <v>-1.0657812790446208</v>
      </c>
      <c r="H286" t="s">
        <v>40</v>
      </c>
      <c r="I286">
        <f>VLOOKUP(Table4[[#This Row],[Visitor]],'NHL Model'!$A$6:$B$38,2,FALSE)</f>
        <v>-0.31324182378279158</v>
      </c>
      <c r="J286">
        <f>($B$1+Table4[[#This Row],[Home Differential]])-Table4[[#This Row],[Away Differential]]</f>
        <v>-0.70263870633866676</v>
      </c>
      <c r="K286" t="str">
        <f>IF(Table4[[#This Row],[HomeIce Differential]]&gt;0,Table4[[#This Row],[Home]],Table4[[#This Row],[Visitor]])</f>
        <v>Winnipeg Jets</v>
      </c>
      <c r="L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0.56281266994144419</v>
      </c>
      <c r="M286" t="str">
        <f>IF(OR((NHL2025_26Results[[#This Row],[Winning Team]]="")),"-",IF(Table4[[#This Row],[Predicted Winner]]=NHL2025_26Results[[#This Row],[Winning Team]],"YES","NO"))</f>
        <v>YES</v>
      </c>
      <c r="N286">
        <f>IF(Table4[[#This Row],[Adjusted Correct]]="-", "",IF(Table4[[#This Row],[Adjusted Correct]]="YES",(Table4[[#This Row],[Strength of Win]]-1)^2,(Table4[[#This Row],[Strength of Win]]-0)^2))</f>
        <v>0.19113276156372863</v>
      </c>
      <c r="O286">
        <v>-1.3364567566098906</v>
      </c>
      <c r="P286" s="11">
        <v>0.69944838707283219</v>
      </c>
      <c r="Q286" t="s">
        <v>40</v>
      </c>
      <c r="R286" t="s">
        <v>248</v>
      </c>
    </row>
    <row r="287" spans="4:18" x14ac:dyDescent="0.2">
      <c r="D287" s="1">
        <v>45976</v>
      </c>
      <c r="E287" s="2">
        <v>0.79166666666666663</v>
      </c>
      <c r="F287" t="s">
        <v>10</v>
      </c>
      <c r="G287">
        <f>VLOOKUP(Table4[[#This Row],[Home]],'NHL Model'!$A$6:$B$38,2,FALSE)</f>
        <v>-0.17619625518431364</v>
      </c>
      <c r="H287" t="s">
        <v>19</v>
      </c>
      <c r="I287">
        <f>VLOOKUP(Table4[[#This Row],[Visitor]],'NHL Model'!$A$6:$B$38,2,FALSE)</f>
        <v>-0.63447859131898054</v>
      </c>
      <c r="J287">
        <f>($B$1+Table4[[#This Row],[Home Differential]])-Table4[[#This Row],[Away Differential]]</f>
        <v>0.50818308505782939</v>
      </c>
      <c r="K287" t="str">
        <f>IF(Table4[[#This Row],[HomeIce Differential]]&gt;0,Table4[[#This Row],[Home]],Table4[[#This Row],[Visitor]])</f>
        <v>Chicago Blackhawks</v>
      </c>
      <c r="L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0.59933787542753747</v>
      </c>
      <c r="M287" t="str">
        <f>IF(OR((NHL2025_26Results[[#This Row],[Winning Team]]="")),"-",IF(Table4[[#This Row],[Predicted Winner]]=NHL2025_26Results[[#This Row],[Winning Team]],"YES","NO"))</f>
        <v>YES</v>
      </c>
      <c r="N287">
        <f>IF(Table4[[#This Row],[Adjusted Correct]]="-", "",IF(Table4[[#This Row],[Adjusted Correct]]="YES",(Table4[[#This Row],[Strength of Win]]-1)^2,(Table4[[#This Row],[Strength of Win]]-0)^2))</f>
        <v>0.16053013806691949</v>
      </c>
      <c r="O287">
        <v>1.1038163157984502</v>
      </c>
      <c r="P287" s="11">
        <v>0.6988663146876376</v>
      </c>
      <c r="Q287" t="s">
        <v>10</v>
      </c>
      <c r="R287" t="s">
        <v>248</v>
      </c>
    </row>
    <row r="288" spans="4:18" x14ac:dyDescent="0.2">
      <c r="D288" s="1">
        <v>45976</v>
      </c>
      <c r="E288" s="2">
        <v>0.83333333333333337</v>
      </c>
      <c r="F288" t="s">
        <v>39</v>
      </c>
      <c r="G288">
        <f>VLOOKUP(Table4[[#This Row],[Home]],'NHL Model'!$A$6:$B$38,2,FALSE)</f>
        <v>0.41344250185511977</v>
      </c>
      <c r="H288" t="s">
        <v>27</v>
      </c>
      <c r="I288">
        <f>VLOOKUP(Table4[[#This Row],[Visitor]],'NHL Model'!$A$6:$B$38,2,FALSE)</f>
        <v>-0.38023958350631604</v>
      </c>
      <c r="J288">
        <f>($B$1+Table4[[#This Row],[Home Differential]])-Table4[[#This Row],[Away Differential]]</f>
        <v>0.84358283428459835</v>
      </c>
      <c r="K288" t="str">
        <f>IF(Table4[[#This Row],[HomeIce Differential]]&gt;0,Table4[[#This Row],[Home]],Table4[[#This Row],[Visitor]])</f>
        <v>Dallas Stars</v>
      </c>
      <c r="L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0.62862122822447553</v>
      </c>
      <c r="M288" t="str">
        <f>IF(OR((NHL2025_26Results[[#This Row],[Winning Team]]="")),"-",IF(Table4[[#This Row],[Predicted Winner]]=NHL2025_26Results[[#This Row],[Winning Team]],"YES","NO"))</f>
        <v>YES</v>
      </c>
      <c r="N288">
        <f>IF(Table4[[#This Row],[Adjusted Correct]]="-", "",IF(Table4[[#This Row],[Adjusted Correct]]="YES",(Table4[[#This Row],[Strength of Win]]-1)^2,(Table4[[#This Row],[Strength of Win]]-0)^2))</f>
        <v>0.13792219212549708</v>
      </c>
      <c r="O288">
        <v>0.51364057191077117</v>
      </c>
      <c r="P288" s="11">
        <v>0.60024130005511533</v>
      </c>
      <c r="Q288" t="s">
        <v>39</v>
      </c>
      <c r="R288" t="s">
        <v>248</v>
      </c>
    </row>
    <row r="289" spans="4:18" x14ac:dyDescent="0.2">
      <c r="D289" s="1">
        <v>45976</v>
      </c>
      <c r="E289" s="2">
        <v>0.79166666666666663</v>
      </c>
      <c r="F289" t="s">
        <v>26</v>
      </c>
      <c r="G289">
        <f>VLOOKUP(Table4[[#This Row],[Home]],'NHL Model'!$A$6:$B$38,2,FALSE)</f>
        <v>-0.87533956503230947</v>
      </c>
      <c r="H289" t="s">
        <v>23</v>
      </c>
      <c r="I289">
        <f>VLOOKUP(Table4[[#This Row],[Visitor]],'NHL Model'!$A$6:$B$38,2,FALSE)</f>
        <v>-0.4761104357405897</v>
      </c>
      <c r="J289">
        <f>($B$1+Table4[[#This Row],[Home Differential]])-Table4[[#This Row],[Away Differential]]</f>
        <v>-0.34932838036855735</v>
      </c>
      <c r="K289" t="str">
        <f>IF(Table4[[#This Row],[HomeIce Differential]]&gt;0,Table4[[#This Row],[Home]],Table4[[#This Row],[Visitor]])</f>
        <v>Buffalo Sabres</v>
      </c>
      <c r="L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0.5007892441269548</v>
      </c>
      <c r="M289" t="str">
        <f>IF(OR((NHL2025_26Results[[#This Row],[Winning Team]]="")),"-",IF(Table4[[#This Row],[Predicted Winner]]=NHL2025_26Results[[#This Row],[Winning Team]],"YES","NO"))</f>
        <v>YES</v>
      </c>
      <c r="N289">
        <f>IF(Table4[[#This Row],[Adjusted Correct]]="-", "",IF(Table4[[#This Row],[Adjusted Correct]]="YES",(Table4[[#This Row],[Strength of Win]]-1)^2,(Table4[[#This Row],[Strength of Win]]-0)^2))</f>
        <v>0.24921137877933713</v>
      </c>
      <c r="O289">
        <v>0.64655027944453514</v>
      </c>
      <c r="P289" s="11">
        <v>0.6847704625583706</v>
      </c>
      <c r="Q289" t="s">
        <v>26</v>
      </c>
      <c r="R289" t="s">
        <v>249</v>
      </c>
    </row>
    <row r="290" spans="4:18" x14ac:dyDescent="0.2">
      <c r="D290" s="1">
        <v>45976</v>
      </c>
      <c r="E290" s="2">
        <v>0.70833333333333337</v>
      </c>
      <c r="F290" t="s">
        <v>11</v>
      </c>
      <c r="G290">
        <f>VLOOKUP(Table4[[#This Row],[Home]],'NHL Model'!$A$6:$B$38,2,FALSE)</f>
        <v>-0.39711829106410657</v>
      </c>
      <c r="H290" t="s">
        <v>37</v>
      </c>
      <c r="I290">
        <f>VLOOKUP(Table4[[#This Row],[Visitor]],'NHL Model'!$A$6:$B$38,2,FALSE)</f>
        <v>0.51050494674660429</v>
      </c>
      <c r="J290">
        <f>($B$1+Table4[[#This Row],[Home Differential]])-Table4[[#This Row],[Away Differential]]</f>
        <v>-0.85772248888754832</v>
      </c>
      <c r="K290" t="str">
        <f>IF(Table4[[#This Row],[HomeIce Differential]]&gt;0,Table4[[#This Row],[Home]],Table4[[#This Row],[Visitor]])</f>
        <v>Tampa Bay Lightning</v>
      </c>
      <c r="L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0.63861329811960532</v>
      </c>
      <c r="M290" t="str">
        <f>IF(OR((NHL2025_26Results[[#This Row],[Winning Team]]="")),"-",IF(Table4[[#This Row],[Predicted Winner]]=NHL2025_26Results[[#This Row],[Winning Team]],"YES","NO"))</f>
        <v>YES</v>
      </c>
      <c r="N290">
        <f>IF(Table4[[#This Row],[Adjusted Correct]]="-", "",IF(Table4[[#This Row],[Adjusted Correct]]="YES",(Table4[[#This Row],[Strength of Win]]-1)^2,(Table4[[#This Row],[Strength of Win]]-0)^2))</f>
        <v>0.13060034829598927</v>
      </c>
      <c r="O290">
        <v>-2.3512614637521065E-2</v>
      </c>
      <c r="P290" s="11">
        <v>0.4033840435067601</v>
      </c>
      <c r="Q290" t="s">
        <v>37</v>
      </c>
      <c r="R290" t="s">
        <v>248</v>
      </c>
    </row>
    <row r="291" spans="4:18" x14ac:dyDescent="0.2">
      <c r="D291" s="1">
        <v>45976</v>
      </c>
      <c r="E291" s="2">
        <v>0.75</v>
      </c>
      <c r="F291" t="s">
        <v>34</v>
      </c>
      <c r="G291">
        <f>VLOOKUP(Table4[[#This Row],[Home]],'NHL Model'!$A$6:$B$38,2,FALSE)</f>
        <v>-5.5124787449478845E-2</v>
      </c>
      <c r="H291" t="s">
        <v>31</v>
      </c>
      <c r="I291">
        <f>VLOOKUP(Table4[[#This Row],[Visitor]],'NHL Model'!$A$6:$B$38,2,FALSE)</f>
        <v>0.17870302183926629</v>
      </c>
      <c r="J291">
        <f>($B$1+Table4[[#This Row],[Home Differential]])-Table4[[#This Row],[Away Differential]]</f>
        <v>-0.18392706036558265</v>
      </c>
      <c r="K291" t="str">
        <f>IF(Table4[[#This Row],[HomeIce Differential]]&gt;0,Table4[[#This Row],[Home]],Table4[[#This Row],[Visitor]])</f>
        <v>Anaheim Ducks</v>
      </c>
      <c r="L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0.50224542963658214</v>
      </c>
      <c r="M291" t="str">
        <f>IF(OR((NHL2025_26Results[[#This Row],[Winning Team]]="")),"-",IF(Table4[[#This Row],[Predicted Winner]]=NHL2025_26Results[[#This Row],[Winning Team]],"YES","NO"))</f>
        <v>NO</v>
      </c>
      <c r="N291">
        <f>IF(Table4[[#This Row],[Adjusted Correct]]="-", "",IF(Table4[[#This Row],[Adjusted Correct]]="YES",(Table4[[#This Row],[Strength of Win]]-1)^2,(Table4[[#This Row],[Strength of Win]]-0)^2))</f>
        <v>0.25225047159083497</v>
      </c>
      <c r="O291">
        <v>-1.3195948668743118</v>
      </c>
      <c r="P291" s="11">
        <v>0.69243471777823418</v>
      </c>
      <c r="Q291" t="s">
        <v>31</v>
      </c>
      <c r="R291" t="s">
        <v>249</v>
      </c>
    </row>
    <row r="292" spans="4:18" x14ac:dyDescent="0.2">
      <c r="D292" s="1">
        <v>45976</v>
      </c>
      <c r="E292" s="2">
        <v>0.79166666666666663</v>
      </c>
      <c r="F292" t="s">
        <v>18</v>
      </c>
      <c r="G292">
        <f>VLOOKUP(Table4[[#This Row],[Home]],'NHL Model'!$A$6:$B$38,2,FALSE)</f>
        <v>-0.59288962827382519</v>
      </c>
      <c r="H292" t="s">
        <v>21</v>
      </c>
      <c r="I292">
        <f>VLOOKUP(Table4[[#This Row],[Visitor]],'NHL Model'!$A$6:$B$38,2,FALSE)</f>
        <v>-0.21976976044773161</v>
      </c>
      <c r="J292">
        <f>($B$1+Table4[[#This Row],[Home Differential]])-Table4[[#This Row],[Away Differential]]</f>
        <v>-0.32321911890293115</v>
      </c>
      <c r="K292" t="str">
        <f>IF(Table4[[#This Row],[HomeIce Differential]]&gt;0,Table4[[#This Row],[Home]],Table4[[#This Row],[Visitor]])</f>
        <v>Boston Bruins</v>
      </c>
      <c r="L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0.49857009559320375</v>
      </c>
      <c r="M292" t="str">
        <f>IF(OR((NHL2025_26Results[[#This Row],[Winning Team]]="")),"-",IF(Table4[[#This Row],[Predicted Winner]]=NHL2025_26Results[[#This Row],[Winning Team]],"YES","NO"))</f>
        <v>YES</v>
      </c>
      <c r="N292">
        <f>IF(Table4[[#This Row],[Adjusted Correct]]="-", "",IF(Table4[[#This Row],[Adjusted Correct]]="YES",(Table4[[#This Row],[Strength of Win]]-1)^2,(Table4[[#This Row],[Strength of Win]]-0)^2))</f>
        <v>0.25143194903340882</v>
      </c>
      <c r="O292">
        <v>-0.41696684430534969</v>
      </c>
      <c r="P292" s="11">
        <v>0.51296583176167698</v>
      </c>
      <c r="Q292" t="s">
        <v>21</v>
      </c>
      <c r="R292" t="s">
        <v>248</v>
      </c>
    </row>
    <row r="293" spans="4:18" x14ac:dyDescent="0.2">
      <c r="D293" s="1">
        <v>45976</v>
      </c>
      <c r="E293" s="2">
        <v>0.79166666666666663</v>
      </c>
      <c r="F293" t="s">
        <v>36</v>
      </c>
      <c r="G293">
        <f>VLOOKUP(Table4[[#This Row],[Home]],'NHL Model'!$A$6:$B$38,2,FALSE)</f>
        <v>-0.53137605086483863</v>
      </c>
      <c r="H293" t="s">
        <v>13</v>
      </c>
      <c r="I293">
        <f>VLOOKUP(Table4[[#This Row],[Visitor]],'NHL Model'!$A$6:$B$38,2,FALSE)</f>
        <v>-0.33828359867721369</v>
      </c>
      <c r="J293">
        <f>($B$1+Table4[[#This Row],[Home Differential]])-Table4[[#This Row],[Away Differential]]</f>
        <v>-0.14319170326446246</v>
      </c>
      <c r="K293" t="str">
        <f>IF(Table4[[#This Row],[HomeIce Differential]]&gt;0,Table4[[#This Row],[Home]],Table4[[#This Row],[Visitor]])</f>
        <v>Los Angeles Kings</v>
      </c>
      <c r="L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0.54052926852435756</v>
      </c>
      <c r="M293" t="str">
        <f>IF(OR((NHL2025_26Results[[#This Row],[Winning Team]]="")),"-",IF(Table4[[#This Row],[Predicted Winner]]=NHL2025_26Results[[#This Row],[Winning Team]],"YES","NO"))</f>
        <v>YES</v>
      </c>
      <c r="N293">
        <f>IF(Table4[[#This Row],[Adjusted Correct]]="-", "",IF(Table4[[#This Row],[Adjusted Correct]]="YES",(Table4[[#This Row],[Strength of Win]]-1)^2,(Table4[[#This Row],[Strength of Win]]-0)^2))</f>
        <v>0.21111335308276191</v>
      </c>
      <c r="O293">
        <v>-4.8100585047105321E-2</v>
      </c>
      <c r="P293" s="11">
        <v>0.55486806263546851</v>
      </c>
      <c r="Q293" t="s">
        <v>13</v>
      </c>
      <c r="R293" t="s">
        <v>248</v>
      </c>
    </row>
    <row r="294" spans="4:18" x14ac:dyDescent="0.2">
      <c r="D294" s="1">
        <v>45976</v>
      </c>
      <c r="E294" s="2">
        <v>0.91666666666666663</v>
      </c>
      <c r="F294" t="s">
        <v>32</v>
      </c>
      <c r="G294">
        <f>VLOOKUP(Table4[[#This Row],[Home]],'NHL Model'!$A$6:$B$38,2,FALSE)</f>
        <v>-0.64937723527808999</v>
      </c>
      <c r="H294" t="s">
        <v>33</v>
      </c>
      <c r="I294">
        <f>VLOOKUP(Table4[[#This Row],[Visitor]],'NHL Model'!$A$6:$B$38,2,FALSE)</f>
        <v>-0.45133099238224339</v>
      </c>
      <c r="J294">
        <f>($B$1+Table4[[#This Row],[Home Differential]])-Table4[[#This Row],[Away Differential]]</f>
        <v>-0.14814549397268417</v>
      </c>
      <c r="K294" t="str">
        <f>IF(Table4[[#This Row],[HomeIce Differential]]&gt;0,Table4[[#This Row],[Home]],Table4[[#This Row],[Visitor]])</f>
        <v>San Jose Sharks</v>
      </c>
      <c r="L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0.47729817289275145</v>
      </c>
      <c r="M294" t="str">
        <f>IF(OR((NHL2025_26Results[[#This Row],[Winning Team]]="")),"-",IF(Table4[[#This Row],[Predicted Winner]]=NHL2025_26Results[[#This Row],[Winning Team]],"YES","NO"))</f>
        <v>NO</v>
      </c>
      <c r="N294">
        <f>IF(Table4[[#This Row],[Adjusted Correct]]="-", "",IF(Table4[[#This Row],[Adjusted Correct]]="YES",(Table4[[#This Row],[Strength of Win]]-1)^2,(Table4[[#This Row],[Strength of Win]]-0)^2))</f>
        <v>0.22781354584675886</v>
      </c>
      <c r="O294">
        <v>-9.0735069653309852E-2</v>
      </c>
      <c r="P294" s="11">
        <v>0.48674321855367986</v>
      </c>
      <c r="Q294" t="s">
        <v>33</v>
      </c>
      <c r="R294" t="s">
        <v>249</v>
      </c>
    </row>
    <row r="295" spans="4:18" x14ac:dyDescent="0.2">
      <c r="D295" s="1">
        <v>45976</v>
      </c>
      <c r="E295" s="2">
        <v>0.83333333333333337</v>
      </c>
      <c r="F295" t="s">
        <v>35</v>
      </c>
      <c r="G295">
        <f>VLOOKUP(Table4[[#This Row],[Home]],'NHL Model'!$A$6:$B$38,2,FALSE)</f>
        <v>-1.3944783719477225</v>
      </c>
      <c r="H295" t="s">
        <v>20</v>
      </c>
      <c r="I295">
        <f>VLOOKUP(Table4[[#This Row],[Visitor]],'NHL Model'!$A$6:$B$38,2,FALSE)</f>
        <v>-0.24444083032063643</v>
      </c>
      <c r="J295">
        <f>($B$1+Table4[[#This Row],[Home Differential]])-Table4[[#This Row],[Away Differential]]</f>
        <v>-1.1001367927039236</v>
      </c>
      <c r="K295" t="str">
        <f>IF(Table4[[#This Row],[HomeIce Differential]]&gt;0,Table4[[#This Row],[Home]],Table4[[#This Row],[Visitor]])</f>
        <v>Vegas Golden Knights</v>
      </c>
      <c r="L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0.58845720740840357</v>
      </c>
      <c r="M295" t="str">
        <f>IF(OR((NHL2025_26Results[[#This Row],[Winning Team]]="")),"-",IF(Table4[[#This Row],[Predicted Winner]]=NHL2025_26Results[[#This Row],[Winning Team]],"YES","NO"))</f>
        <v>YES</v>
      </c>
      <c r="N295">
        <f>IF(Table4[[#This Row],[Adjusted Correct]]="-", "",IF(Table4[[#This Row],[Adjusted Correct]]="YES",(Table4[[#This Row],[Strength of Win]]-1)^2,(Table4[[#This Row],[Strength of Win]]-0)^2))</f>
        <v>0.16936747013408976</v>
      </c>
      <c r="O295">
        <v>-1.5045011124019096</v>
      </c>
      <c r="P295" s="11">
        <v>0.69730394197962842</v>
      </c>
      <c r="Q295" t="s">
        <v>20</v>
      </c>
      <c r="R295" t="s">
        <v>248</v>
      </c>
    </row>
    <row r="296" spans="4:18" x14ac:dyDescent="0.2">
      <c r="D296" s="1">
        <v>45976</v>
      </c>
      <c r="E296" s="2">
        <v>0.79166666666666663</v>
      </c>
      <c r="F296" t="s">
        <v>22</v>
      </c>
      <c r="G296">
        <f>VLOOKUP(Table4[[#This Row],[Home]],'NHL Model'!$A$6:$B$38,2,FALSE)</f>
        <v>0.4407072328537569</v>
      </c>
      <c r="H296" t="s">
        <v>24</v>
      </c>
      <c r="I296">
        <f>VLOOKUP(Table4[[#This Row],[Visitor]],'NHL Model'!$A$6:$B$38,2,FALSE)</f>
        <v>1.5302507646042616E-3</v>
      </c>
      <c r="J296">
        <f>($B$1+Table4[[#This Row],[Home Differential]])-Table4[[#This Row],[Away Differential]]</f>
        <v>0.48907773101231511</v>
      </c>
      <c r="K296" t="str">
        <f>IF(Table4[[#This Row],[HomeIce Differential]]&gt;0,Table4[[#This Row],[Home]],Table4[[#This Row],[Visitor]])</f>
        <v>Washington Capitals</v>
      </c>
      <c r="L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0.6025615888223681</v>
      </c>
      <c r="M296" t="str">
        <f>IF(OR((NHL2025_26Results[[#This Row],[Winning Team]]="")),"-",IF(Table4[[#This Row],[Predicted Winner]]=NHL2025_26Results[[#This Row],[Winning Team]],"YES","NO"))</f>
        <v>NO</v>
      </c>
      <c r="N296">
        <f>IF(Table4[[#This Row],[Adjusted Correct]]="-", "",IF(Table4[[#This Row],[Adjusted Correct]]="YES",(Table4[[#This Row],[Strength of Win]]-1)^2,(Table4[[#This Row],[Strength of Win]]-0)^2))</f>
        <v>0.3630804683241366</v>
      </c>
      <c r="O296">
        <v>-0.41696391359614637</v>
      </c>
      <c r="P296" s="11">
        <v>0.56711075330123228</v>
      </c>
      <c r="Q296" t="s">
        <v>24</v>
      </c>
      <c r="R296" t="s">
        <v>248</v>
      </c>
    </row>
    <row r="297" spans="4:18" x14ac:dyDescent="0.2">
      <c r="D297" s="1">
        <v>45977</v>
      </c>
      <c r="E297" s="2">
        <v>0.875</v>
      </c>
      <c r="F297" t="s">
        <v>12</v>
      </c>
      <c r="G297">
        <f>VLOOKUP(Table4[[#This Row],[Home]],'NHL Model'!$A$6:$B$38,2,FALSE)</f>
        <v>1.6319036584269762</v>
      </c>
      <c r="H297" t="s">
        <v>30</v>
      </c>
      <c r="I297">
        <f>VLOOKUP(Table4[[#This Row],[Visitor]],'NHL Model'!$A$6:$B$38,2,FALSE)</f>
        <v>-0.24093199744133265</v>
      </c>
      <c r="J297">
        <f>($B$1+Table4[[#This Row],[Home Differential]])-Table4[[#This Row],[Away Differential]]</f>
        <v>1.9227364047914712</v>
      </c>
      <c r="K297" t="str">
        <f>IF(Table4[[#This Row],[HomeIce Differential]]&gt;0,Table4[[#This Row],[Home]],Table4[[#This Row],[Visitor]])</f>
        <v>Colorado Avalanche</v>
      </c>
      <c r="L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0.79972909176145879</v>
      </c>
      <c r="M297" t="str">
        <f>IF(OR((NHL2025_26Results[[#This Row],[Winning Team]]="")),"-",IF(Table4[[#This Row],[Predicted Winner]]=NHL2025_26Results[[#This Row],[Winning Team]],"YES","NO"))</f>
        <v>YES</v>
      </c>
      <c r="N297">
        <f>IF(Table4[[#This Row],[Adjusted Correct]]="-", "",IF(Table4[[#This Row],[Adjusted Correct]]="YES",(Table4[[#This Row],[Strength of Win]]-1)^2,(Table4[[#This Row],[Strength of Win]]-0)^2))</f>
        <v>4.0108436686690195E-2</v>
      </c>
      <c r="O297">
        <v>1.6282896807033209</v>
      </c>
      <c r="P297" s="11">
        <v>0.78990648615412085</v>
      </c>
      <c r="Q297" t="s">
        <v>12</v>
      </c>
      <c r="R297" t="s">
        <v>248</v>
      </c>
    </row>
    <row r="298" spans="4:18" x14ac:dyDescent="0.2">
      <c r="D298" s="1">
        <v>45977</v>
      </c>
      <c r="E298" s="2">
        <v>0.75</v>
      </c>
      <c r="F298" t="s">
        <v>34</v>
      </c>
      <c r="G298">
        <f>VLOOKUP(Table4[[#This Row],[Home]],'NHL Model'!$A$6:$B$38,2,FALSE)</f>
        <v>-5.5124787449478845E-2</v>
      </c>
      <c r="H298" t="s">
        <v>20</v>
      </c>
      <c r="I298">
        <f>VLOOKUP(Table4[[#This Row],[Visitor]],'NHL Model'!$A$6:$B$38,2,FALSE)</f>
        <v>-0.24444083032063643</v>
      </c>
      <c r="J298">
        <f>($B$1+Table4[[#This Row],[Home Differential]])-Table4[[#This Row],[Away Differential]]</f>
        <v>0.23921679179432004</v>
      </c>
      <c r="K298" t="str">
        <f>IF(Table4[[#This Row],[HomeIce Differential]]&gt;0,Table4[[#This Row],[Home]],Table4[[#This Row],[Visitor]])</f>
        <v>Minnesota Wild</v>
      </c>
      <c r="L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0.56793209102985243</v>
      </c>
      <c r="M298" t="str">
        <f>IF(OR((NHL2025_26Results[[#This Row],[Winning Team]]="")),"-",IF(Table4[[#This Row],[Predicted Winner]]=NHL2025_26Results[[#This Row],[Winning Team]],"YES","NO"))</f>
        <v>YES</v>
      </c>
      <c r="N298">
        <f>IF(Table4[[#This Row],[Adjusted Correct]]="-", "",IF(Table4[[#This Row],[Adjusted Correct]]="YES",(Table4[[#This Row],[Strength of Win]]-1)^2,(Table4[[#This Row],[Strength of Win]]-0)^2))</f>
        <v>0.18668267796183574</v>
      </c>
      <c r="O298">
        <v>-0.66509769070949665</v>
      </c>
      <c r="P298" s="11">
        <v>0.57649314562534082</v>
      </c>
      <c r="Q298" t="s">
        <v>20</v>
      </c>
      <c r="R298" t="s">
        <v>249</v>
      </c>
    </row>
    <row r="299" spans="4:18" x14ac:dyDescent="0.2">
      <c r="D299" s="1">
        <v>45977</v>
      </c>
      <c r="E299" s="2">
        <v>0.79166666666666663</v>
      </c>
      <c r="F299" t="s">
        <v>15</v>
      </c>
      <c r="G299">
        <f>VLOOKUP(Table4[[#This Row],[Home]],'NHL Model'!$A$6:$B$38,2,FALSE)</f>
        <v>-0.29003398448394263</v>
      </c>
      <c r="H299" t="s">
        <v>26</v>
      </c>
      <c r="I299">
        <f>VLOOKUP(Table4[[#This Row],[Visitor]],'NHL Model'!$A$6:$B$38,2,FALSE)</f>
        <v>-0.87533956503230947</v>
      </c>
      <c r="J299">
        <f>($B$1+Table4[[#This Row],[Home Differential]])-Table4[[#This Row],[Away Differential]]</f>
        <v>0.63520632947152933</v>
      </c>
      <c r="K299" t="str">
        <f>IF(Table4[[#This Row],[HomeIce Differential]]&gt;0,Table4[[#This Row],[Home]],Table4[[#This Row],[Visitor]])</f>
        <v>New York Rangers</v>
      </c>
      <c r="L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0.61416971394212327</v>
      </c>
      <c r="M299" t="str">
        <f>IF(OR((NHL2025_26Results[[#This Row],[Winning Team]]="")),"-",IF(Table4[[#This Row],[Predicted Winner]]=NHL2025_26Results[[#This Row],[Winning Team]],"YES","NO"))</f>
        <v>NO</v>
      </c>
      <c r="N299">
        <f>IF(Table4[[#This Row],[Adjusted Correct]]="-", "",IF(Table4[[#This Row],[Adjusted Correct]]="YES",(Table4[[#This Row],[Strength of Win]]-1)^2,(Table4[[#This Row],[Strength of Win]]-0)^2))</f>
        <v>0.37720443752374955</v>
      </c>
      <c r="O299">
        <v>0.30519086846352605</v>
      </c>
      <c r="P299" s="11">
        <v>0.56315524095236036</v>
      </c>
      <c r="Q299" t="s">
        <v>15</v>
      </c>
      <c r="R299" t="s">
        <v>249</v>
      </c>
    </row>
    <row r="300" spans="4:18" x14ac:dyDescent="0.2">
      <c r="D300" s="1">
        <v>45977</v>
      </c>
      <c r="E300" s="2">
        <v>0.375</v>
      </c>
      <c r="F300" t="s">
        <v>14</v>
      </c>
      <c r="G300">
        <f>VLOOKUP(Table4[[#This Row],[Home]],'NHL Model'!$A$6:$B$38,2,FALSE)</f>
        <v>-0.14226422156549004</v>
      </c>
      <c r="H300" t="s">
        <v>29</v>
      </c>
      <c r="I300">
        <f>VLOOKUP(Table4[[#This Row],[Visitor]],'NHL Model'!$A$6:$B$38,2,FALSE)</f>
        <v>-1.384917283810061</v>
      </c>
      <c r="J300">
        <f>($B$1+Table4[[#This Row],[Home Differential]])-Table4[[#This Row],[Away Differential]]</f>
        <v>1.2925538111677333</v>
      </c>
      <c r="K300" t="str">
        <f>IF(Table4[[#This Row],[HomeIce Differential]]&gt;0,Table4[[#This Row],[Home]],Table4[[#This Row],[Visitor]])</f>
        <v>Pittsburgh Penguins</v>
      </c>
      <c r="L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0.69092473418656142</v>
      </c>
      <c r="M300" t="str">
        <f>IF(OR((NHL2025_26Results[[#This Row],[Winning Team]]="")),"-",IF(Table4[[#This Row],[Predicted Winner]]=NHL2025_26Results[[#This Row],[Winning Team]],"YES","NO"))</f>
        <v>YES</v>
      </c>
      <c r="N300">
        <f>IF(Table4[[#This Row],[Adjusted Correct]]="-", "",IF(Table4[[#This Row],[Adjusted Correct]]="YES",(Table4[[#This Row],[Strength of Win]]-1)^2,(Table4[[#This Row],[Strength of Win]]-0)^2))</f>
        <v>9.5527519937647715E-2</v>
      </c>
      <c r="O300">
        <v>1.5835502930976153</v>
      </c>
      <c r="P300" s="11">
        <v>0.78192845291700996</v>
      </c>
      <c r="Q300" t="s">
        <v>14</v>
      </c>
      <c r="R300" t="s">
        <v>248</v>
      </c>
    </row>
    <row r="301" spans="4:18" x14ac:dyDescent="0.2">
      <c r="D301" s="1">
        <v>45977</v>
      </c>
      <c r="E301" s="2">
        <v>0.70833333333333337</v>
      </c>
      <c r="F301" t="s">
        <v>37</v>
      </c>
      <c r="G301">
        <f>VLOOKUP(Table4[[#This Row],[Home]],'NHL Model'!$A$6:$B$38,2,FALSE)</f>
        <v>0.51050494674660429</v>
      </c>
      <c r="H301" t="s">
        <v>38</v>
      </c>
      <c r="I301">
        <f>VLOOKUP(Table4[[#This Row],[Visitor]],'NHL Model'!$A$6:$B$38,2,FALSE)</f>
        <v>-0.9476777551108041</v>
      </c>
      <c r="J301">
        <f>($B$1+Table4[[#This Row],[Home Differential]])-Table4[[#This Row],[Away Differential]]</f>
        <v>1.5080834507805707</v>
      </c>
      <c r="K301" t="str">
        <f>IF(Table4[[#This Row],[HomeIce Differential]]&gt;0,Table4[[#This Row],[Home]],Table4[[#This Row],[Visitor]])</f>
        <v>Tampa Bay Lightning</v>
      </c>
      <c r="L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0.74481137974873002</v>
      </c>
      <c r="M301" t="str">
        <f>IF(OR((NHL2025_26Results[[#This Row],[Winning Team]]="")),"-",IF(Table4[[#This Row],[Predicted Winner]]=NHL2025_26Results[[#This Row],[Winning Team]],"YES","NO"))</f>
        <v>NO</v>
      </c>
      <c r="N301">
        <f>IF(Table4[[#This Row],[Adjusted Correct]]="-", "",IF(Table4[[#This Row],[Adjusted Correct]]="YES",(Table4[[#This Row],[Strength of Win]]-1)^2,(Table4[[#This Row],[Strength of Win]]-0)^2))</f>
        <v>0.55474399140320696</v>
      </c>
      <c r="O301">
        <v>1.2119761228420511</v>
      </c>
      <c r="P301" s="11">
        <v>0.69366394019368627</v>
      </c>
      <c r="Q301" t="s">
        <v>37</v>
      </c>
      <c r="R301" t="s">
        <v>249</v>
      </c>
    </row>
    <row r="302" spans="4:18" x14ac:dyDescent="0.2">
      <c r="D302" s="1">
        <v>45978</v>
      </c>
      <c r="E302" s="2">
        <v>0.91666666666666663</v>
      </c>
      <c r="F302" t="s">
        <v>31</v>
      </c>
      <c r="G302">
        <f>VLOOKUP(Table4[[#This Row],[Home]],'NHL Model'!$A$6:$B$38,2,FALSE)</f>
        <v>0.17870302183926629</v>
      </c>
      <c r="H302" t="s">
        <v>55</v>
      </c>
      <c r="I302">
        <f>VLOOKUP(Table4[[#This Row],[Visitor]],'NHL Model'!$A$6:$B$38,2,FALSE)</f>
        <v>-0.4031232890211825</v>
      </c>
      <c r="J302">
        <f>($B$1+Table4[[#This Row],[Home Differential]])-Table4[[#This Row],[Away Differential]]</f>
        <v>0.63172705978361121</v>
      </c>
      <c r="K302" t="str">
        <f>IF(Table4[[#This Row],[HomeIce Differential]]&gt;0,Table4[[#This Row],[Home]],Table4[[#This Row],[Visitor]])</f>
        <v>Anaheim Ducks</v>
      </c>
      <c r="L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0.69359816859950485</v>
      </c>
      <c r="M302" t="str">
        <f>IF(OR((NHL2025_26Results[[#This Row],[Winning Team]]="")),"-",IF(Table4[[#This Row],[Predicted Winner]]=NHL2025_26Results[[#This Row],[Winning Team]],"YES","NO"))</f>
        <v>YES</v>
      </c>
      <c r="N302">
        <f>IF(Table4[[#This Row],[Adjusted Correct]]="-", "",IF(Table4[[#This Row],[Adjusted Correct]]="YES",(Table4[[#This Row],[Strength of Win]]-1)^2,(Table4[[#This Row],[Strength of Win]]-0)^2))</f>
        <v>9.3882082285577456E-2</v>
      </c>
      <c r="O302">
        <v>0.80245089249636459</v>
      </c>
      <c r="P302" s="11">
        <v>0.7555164205687791</v>
      </c>
      <c r="Q302" t="s">
        <v>31</v>
      </c>
      <c r="R302" t="s">
        <v>248</v>
      </c>
    </row>
    <row r="303" spans="4:18" x14ac:dyDescent="0.2">
      <c r="D303" s="1">
        <v>45978</v>
      </c>
      <c r="E303" s="2">
        <v>0.79166666666666663</v>
      </c>
      <c r="F303" t="s">
        <v>21</v>
      </c>
      <c r="G303">
        <f>VLOOKUP(Table4[[#This Row],[Home]],'NHL Model'!$A$6:$B$38,2,FALSE)</f>
        <v>-0.21976976044773161</v>
      </c>
      <c r="H303" t="s">
        <v>25</v>
      </c>
      <c r="I303">
        <f>VLOOKUP(Table4[[#This Row],[Visitor]],'NHL Model'!$A$6:$B$38,2,FALSE)</f>
        <v>0.42567513732855267</v>
      </c>
      <c r="J303">
        <f>($B$1+Table4[[#This Row],[Home Differential]])-Table4[[#This Row],[Away Differential]]</f>
        <v>-0.59554414885312179</v>
      </c>
      <c r="K303" t="str">
        <f>IF(Table4[[#This Row],[HomeIce Differential]]&gt;0,Table4[[#This Row],[Home]],Table4[[#This Row],[Visitor]])</f>
        <v>Carolina Hurricanes</v>
      </c>
      <c r="L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0.55862153841523121</v>
      </c>
      <c r="M303" t="str">
        <f>IF(OR((NHL2025_26Results[[#This Row],[Winning Team]]="")),"-",IF(Table4[[#This Row],[Predicted Winner]]=NHL2025_26Results[[#This Row],[Winning Team]],"YES","NO"))</f>
        <v>YES</v>
      </c>
      <c r="N303">
        <f>IF(Table4[[#This Row],[Adjusted Correct]]="-", "",IF(Table4[[#This Row],[Adjusted Correct]]="YES",(Table4[[#This Row],[Strength of Win]]-1)^2,(Table4[[#This Row],[Strength of Win]]-0)^2))</f>
        <v>0.19481494635093721</v>
      </c>
      <c r="O303">
        <v>-0.46907548361279583</v>
      </c>
      <c r="P303" s="11">
        <v>0.54325534193164859</v>
      </c>
      <c r="Q303" t="s">
        <v>25</v>
      </c>
      <c r="R303" t="s">
        <v>248</v>
      </c>
    </row>
    <row r="304" spans="4:18" x14ac:dyDescent="0.2">
      <c r="D304" s="1">
        <v>45978</v>
      </c>
      <c r="E304" s="2">
        <v>0.79166666666666663</v>
      </c>
      <c r="F304" t="s">
        <v>23</v>
      </c>
      <c r="G304">
        <f>VLOOKUP(Table4[[#This Row],[Home]],'NHL Model'!$A$6:$B$38,2,FALSE)</f>
        <v>-0.4761104357405897</v>
      </c>
      <c r="H304" t="s">
        <v>17</v>
      </c>
      <c r="I304">
        <f>VLOOKUP(Table4[[#This Row],[Visitor]],'NHL Model'!$A$6:$B$38,2,FALSE)</f>
        <v>-0.81774666423752174</v>
      </c>
      <c r="J304">
        <f>($B$1+Table4[[#This Row],[Home Differential]])-Table4[[#This Row],[Away Differential]]</f>
        <v>0.39153697742009452</v>
      </c>
      <c r="K304" t="str">
        <f>IF(Table4[[#This Row],[HomeIce Differential]]&gt;0,Table4[[#This Row],[Home]],Table4[[#This Row],[Visitor]])</f>
        <v>Buffalo Sabres</v>
      </c>
      <c r="L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0.59583997017590651</v>
      </c>
      <c r="M304" t="str">
        <f>IF(OR((NHL2025_26Results[[#This Row],[Winning Team]]="")),"-",IF(Table4[[#This Row],[Predicted Winner]]=NHL2025_26Results[[#This Row],[Winning Team]],"YES","NO"))</f>
        <v>YES</v>
      </c>
      <c r="N304">
        <f>IF(Table4[[#This Row],[Adjusted Correct]]="-", "",IF(Table4[[#This Row],[Adjusted Correct]]="YES",(Table4[[#This Row],[Strength of Win]]-1)^2,(Table4[[#This Row],[Strength of Win]]-0)^2))</f>
        <v>0.16334532970741214</v>
      </c>
      <c r="O304">
        <v>-8.5960885212215676E-2</v>
      </c>
      <c r="P304" s="11">
        <v>0.4719106254189383</v>
      </c>
      <c r="Q304" t="s">
        <v>17</v>
      </c>
      <c r="R304" t="s">
        <v>249</v>
      </c>
    </row>
    <row r="305" spans="4:18" x14ac:dyDescent="0.2">
      <c r="D305" s="1">
        <v>45978</v>
      </c>
      <c r="E305" s="2">
        <v>0.8125</v>
      </c>
      <c r="F305" t="s">
        <v>28</v>
      </c>
      <c r="G305">
        <f>VLOOKUP(Table4[[#This Row],[Home]],'NHL Model'!$A$6:$B$38,2,FALSE)</f>
        <v>-0.59498940435054026</v>
      </c>
      <c r="H305" t="s">
        <v>18</v>
      </c>
      <c r="I305">
        <f>VLOOKUP(Table4[[#This Row],[Visitor]],'NHL Model'!$A$6:$B$38,2,FALSE)</f>
        <v>-0.59288962827382519</v>
      </c>
      <c r="J305">
        <f>($B$1+Table4[[#This Row],[Home Differential]])-Table4[[#This Row],[Away Differential]]</f>
        <v>4.7800972846447354E-2</v>
      </c>
      <c r="K305" t="str">
        <f>IF(Table4[[#This Row],[HomeIce Differential]]&gt;0,Table4[[#This Row],[Home]],Table4[[#This Row],[Visitor]])</f>
        <v>Columbus Blue Jackets</v>
      </c>
      <c r="L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0.48629363524393709</v>
      </c>
      <c r="M305" t="str">
        <f>IF(OR((NHL2025_26Results[[#This Row],[Winning Team]]="")),"-",IF(Table4[[#This Row],[Predicted Winner]]=NHL2025_26Results[[#This Row],[Winning Team]],"YES","NO"))</f>
        <v>YES</v>
      </c>
      <c r="N305">
        <f>IF(Table4[[#This Row],[Adjusted Correct]]="-", "",IF(Table4[[#This Row],[Adjusted Correct]]="YES",(Table4[[#This Row],[Strength of Win]]-1)^2,(Table4[[#This Row],[Strength of Win]]-0)^2))</f>
        <v>0.26389422919088917</v>
      </c>
      <c r="O305">
        <v>0.27872678086771796</v>
      </c>
      <c r="P305" s="11">
        <v>0.50213932370766312</v>
      </c>
      <c r="Q305" t="s">
        <v>28</v>
      </c>
      <c r="R305" t="s">
        <v>248</v>
      </c>
    </row>
    <row r="306" spans="4:18" x14ac:dyDescent="0.2">
      <c r="D306" s="1">
        <v>45978</v>
      </c>
      <c r="E306" s="2">
        <v>0.79166666666666663</v>
      </c>
      <c r="F306" t="s">
        <v>11</v>
      </c>
      <c r="G306">
        <f>VLOOKUP(Table4[[#This Row],[Home]],'NHL Model'!$A$6:$B$38,2,FALSE)</f>
        <v>-0.39711829106410657</v>
      </c>
      <c r="H306" t="s">
        <v>38</v>
      </c>
      <c r="I306">
        <f>VLOOKUP(Table4[[#This Row],[Visitor]],'NHL Model'!$A$6:$B$38,2,FALSE)</f>
        <v>-0.9476777551108041</v>
      </c>
      <c r="J306">
        <f>($B$1+Table4[[#This Row],[Home Differential]])-Table4[[#This Row],[Away Differential]]</f>
        <v>0.60046021296985996</v>
      </c>
      <c r="K306" t="str">
        <f>IF(Table4[[#This Row],[HomeIce Differential]]&gt;0,Table4[[#This Row],[Home]],Table4[[#This Row],[Visitor]])</f>
        <v>Florida Panthers</v>
      </c>
      <c r="L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0.62057130762080426</v>
      </c>
      <c r="M306" t="str">
        <f>IF(OR((NHL2025_26Results[[#This Row],[Winning Team]]="")),"-",IF(Table4[[#This Row],[Predicted Winner]]=NHL2025_26Results[[#This Row],[Winning Team]],"YES","NO"))</f>
        <v>YES</v>
      </c>
      <c r="N306">
        <f>IF(Table4[[#This Row],[Adjusted Correct]]="-", "",IF(Table4[[#This Row],[Adjusted Correct]]="YES",(Table4[[#This Row],[Strength of Win]]-1)^2,(Table4[[#This Row],[Strength of Win]]-0)^2))</f>
        <v>0.14396613260058636</v>
      </c>
      <c r="O306">
        <v>0.57172190182435711</v>
      </c>
      <c r="P306" s="11">
        <v>0.6292170229473768</v>
      </c>
      <c r="Q306" t="s">
        <v>11</v>
      </c>
      <c r="R306" t="s">
        <v>248</v>
      </c>
    </row>
    <row r="307" spans="4:18" x14ac:dyDescent="0.2">
      <c r="D307" s="1">
        <v>45978</v>
      </c>
      <c r="E307" s="2">
        <v>0.79166666666666663</v>
      </c>
      <c r="F307" t="s">
        <v>22</v>
      </c>
      <c r="G307">
        <f>VLOOKUP(Table4[[#This Row],[Home]],'NHL Model'!$A$6:$B$38,2,FALSE)</f>
        <v>0.4407072328537569</v>
      </c>
      <c r="H307" t="s">
        <v>13</v>
      </c>
      <c r="I307">
        <f>VLOOKUP(Table4[[#This Row],[Visitor]],'NHL Model'!$A$6:$B$38,2,FALSE)</f>
        <v>-0.33828359867721369</v>
      </c>
      <c r="J307">
        <f>($B$1+Table4[[#This Row],[Home Differential]])-Table4[[#This Row],[Away Differential]]</f>
        <v>0.82889158045413303</v>
      </c>
      <c r="K307" t="str">
        <f>IF(Table4[[#This Row],[HomeIce Differential]]&gt;0,Table4[[#This Row],[Home]],Table4[[#This Row],[Visitor]])</f>
        <v>Washington Capitals</v>
      </c>
      <c r="L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0.59678532558462649</v>
      </c>
      <c r="M307" t="str">
        <f>IF(OR((NHL2025_26Results[[#This Row],[Winning Team]]="")),"-",IF(Table4[[#This Row],[Predicted Winner]]=NHL2025_26Results[[#This Row],[Winning Team]],"YES","NO"))</f>
        <v>YES</v>
      </c>
      <c r="N307">
        <f>IF(Table4[[#This Row],[Adjusted Correct]]="-", "",IF(Table4[[#This Row],[Adjusted Correct]]="YES",(Table4[[#This Row],[Strength of Win]]-1)^2,(Table4[[#This Row],[Strength of Win]]-0)^2))</f>
        <v>0.16258207366389565</v>
      </c>
      <c r="O307">
        <v>0.17672317847452751</v>
      </c>
      <c r="P307" s="11">
        <v>0.44309117868583614</v>
      </c>
      <c r="Q307" t="s">
        <v>22</v>
      </c>
      <c r="R307" t="s">
        <v>248</v>
      </c>
    </row>
    <row r="308" spans="4:18" x14ac:dyDescent="0.2">
      <c r="D308" s="1">
        <v>45979</v>
      </c>
      <c r="E308" s="2">
        <v>0.85416666666666663</v>
      </c>
      <c r="F308" t="s">
        <v>10</v>
      </c>
      <c r="G308">
        <f>VLOOKUP(Table4[[#This Row],[Home]],'NHL Model'!$A$6:$B$38,2,FALSE)</f>
        <v>-0.17619625518431364</v>
      </c>
      <c r="H308" t="s">
        <v>16</v>
      </c>
      <c r="I308">
        <f>VLOOKUP(Table4[[#This Row],[Visitor]],'NHL Model'!$A$6:$B$38,2,FALSE)</f>
        <v>-1.0657812790446208</v>
      </c>
      <c r="J308">
        <f>($B$1+Table4[[#This Row],[Home Differential]])-Table4[[#This Row],[Away Differential]]</f>
        <v>0.93948577278346967</v>
      </c>
      <c r="K308" t="str">
        <f>IF(Table4[[#This Row],[HomeIce Differential]]&gt;0,Table4[[#This Row],[Home]],Table4[[#This Row],[Visitor]])</f>
        <v>Chicago Blackhawks</v>
      </c>
      <c r="L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0.64969882979285987</v>
      </c>
      <c r="M308" t="str">
        <f>IF(OR((NHL2025_26Results[[#This Row],[Winning Team]]="")),"-",IF(Table4[[#This Row],[Predicted Winner]]=NHL2025_26Results[[#This Row],[Winning Team]],"YES","NO"))</f>
        <v>YES</v>
      </c>
      <c r="N308">
        <f>IF(Table4[[#This Row],[Adjusted Correct]]="-", "",IF(Table4[[#This Row],[Adjusted Correct]]="YES",(Table4[[#This Row],[Strength of Win]]-1)^2,(Table4[[#This Row],[Strength of Win]]-0)^2))</f>
        <v>0.12271090984849176</v>
      </c>
      <c r="O308">
        <v>1.8724689142200299</v>
      </c>
      <c r="P308" s="11">
        <v>0.80838142364741761</v>
      </c>
      <c r="Q308" t="s">
        <v>10</v>
      </c>
      <c r="R308" t="s">
        <v>248</v>
      </c>
    </row>
    <row r="309" spans="4:18" x14ac:dyDescent="0.2">
      <c r="D309" s="1">
        <v>45979</v>
      </c>
      <c r="E309" s="2">
        <v>0.83333333333333337</v>
      </c>
      <c r="F309" t="s">
        <v>39</v>
      </c>
      <c r="G309">
        <f>VLOOKUP(Table4[[#This Row],[Home]],'NHL Model'!$A$6:$B$38,2,FALSE)</f>
        <v>0.41344250185511977</v>
      </c>
      <c r="H309" t="s">
        <v>30</v>
      </c>
      <c r="I309">
        <f>VLOOKUP(Table4[[#This Row],[Visitor]],'NHL Model'!$A$6:$B$38,2,FALSE)</f>
        <v>-0.24093199744133265</v>
      </c>
      <c r="J309">
        <f>($B$1+Table4[[#This Row],[Home Differential]])-Table4[[#This Row],[Away Differential]]</f>
        <v>0.70427524821961485</v>
      </c>
      <c r="K309" t="str">
        <f>IF(Table4[[#This Row],[HomeIce Differential]]&gt;0,Table4[[#This Row],[Home]],Table4[[#This Row],[Visitor]])</f>
        <v>Dallas Stars</v>
      </c>
      <c r="L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0.58223452959044852</v>
      </c>
      <c r="M309" t="str">
        <f>IF(OR((NHL2025_26Results[[#This Row],[Winning Team]]="")),"-",IF(Table4[[#This Row],[Predicted Winner]]=NHL2025_26Results[[#This Row],[Winning Team]],"YES","NO"))</f>
        <v>NO</v>
      </c>
      <c r="N309">
        <f>IF(Table4[[#This Row],[Adjusted Correct]]="-", "",IF(Table4[[#This Row],[Adjusted Correct]]="YES",(Table4[[#This Row],[Strength of Win]]-1)^2,(Table4[[#This Row],[Strength of Win]]-0)^2))</f>
        <v>0.33899704744741088</v>
      </c>
      <c r="O309">
        <v>0.43113096170361953</v>
      </c>
      <c r="P309" s="11">
        <v>0.58560362912245234</v>
      </c>
      <c r="Q309" t="s">
        <v>39</v>
      </c>
      <c r="R309" t="s">
        <v>249</v>
      </c>
    </row>
    <row r="310" spans="4:18" x14ac:dyDescent="0.2">
      <c r="D310" s="1">
        <v>45979</v>
      </c>
      <c r="E310" s="2">
        <v>0.79166666666666663</v>
      </c>
      <c r="F310" t="s">
        <v>26</v>
      </c>
      <c r="G310">
        <f>VLOOKUP(Table4[[#This Row],[Home]],'NHL Model'!$A$6:$B$38,2,FALSE)</f>
        <v>-0.87533956503230947</v>
      </c>
      <c r="H310" t="s">
        <v>32</v>
      </c>
      <c r="I310">
        <f>VLOOKUP(Table4[[#This Row],[Visitor]],'NHL Model'!$A$6:$B$38,2,FALSE)</f>
        <v>-0.64937723527808999</v>
      </c>
      <c r="J310">
        <f>($B$1+Table4[[#This Row],[Home Differential]])-Table4[[#This Row],[Away Differential]]</f>
        <v>-0.17606158083105705</v>
      </c>
      <c r="K310" t="str">
        <f>IF(Table4[[#This Row],[HomeIce Differential]]&gt;0,Table4[[#This Row],[Home]],Table4[[#This Row],[Visitor]])</f>
        <v>Seattle Kraken</v>
      </c>
      <c r="L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0.48055778804550281</v>
      </c>
      <c r="M310" t="str">
        <f>IF(OR((NHL2025_26Results[[#This Row],[Winning Team]]="")),"-",IF(Table4[[#This Row],[Predicted Winner]]=NHL2025_26Results[[#This Row],[Winning Team]],"YES","NO"))</f>
        <v>NO</v>
      </c>
      <c r="N310">
        <f>IF(Table4[[#This Row],[Adjusted Correct]]="-", "",IF(Table4[[#This Row],[Adjusted Correct]]="YES",(Table4[[#This Row],[Strength of Win]]-1)^2,(Table4[[#This Row],[Strength of Win]]-0)^2))</f>
        <v>0.23093578765118641</v>
      </c>
      <c r="O310">
        <v>5.8008708149805244E-2</v>
      </c>
      <c r="P310" s="11">
        <v>0.57435213805833296</v>
      </c>
      <c r="Q310" t="s">
        <v>26</v>
      </c>
      <c r="R310" t="s">
        <v>248</v>
      </c>
    </row>
    <row r="311" spans="4:18" x14ac:dyDescent="0.2">
      <c r="D311" s="1">
        <v>45979</v>
      </c>
      <c r="E311" s="2">
        <v>0.91666666666666663</v>
      </c>
      <c r="F311" t="s">
        <v>33</v>
      </c>
      <c r="G311">
        <f>VLOOKUP(Table4[[#This Row],[Home]],'NHL Model'!$A$6:$B$38,2,FALSE)</f>
        <v>-0.45133099238224339</v>
      </c>
      <c r="H311" t="s">
        <v>55</v>
      </c>
      <c r="I311">
        <f>VLOOKUP(Table4[[#This Row],[Visitor]],'NHL Model'!$A$6:$B$38,2,FALSE)</f>
        <v>-0.4031232890211825</v>
      </c>
      <c r="J311">
        <f>($B$1+Table4[[#This Row],[Home Differential]])-Table4[[#This Row],[Away Differential]]</f>
        <v>1.6930455621015916E-3</v>
      </c>
      <c r="K311" t="str">
        <f>IF(Table4[[#This Row],[HomeIce Differential]]&gt;0,Table4[[#This Row],[Home]],Table4[[#This Row],[Visitor]])</f>
        <v>San Jose Sharks</v>
      </c>
      <c r="L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0.55031993744569752</v>
      </c>
      <c r="M311" t="str">
        <f>IF(OR((NHL2025_26Results[[#This Row],[Winning Team]]="")),"-",IF(Table4[[#This Row],[Predicted Winner]]=NHL2025_26Results[[#This Row],[Winning Team]],"YES","NO"))</f>
        <v>YES</v>
      </c>
      <c r="N311">
        <f>IF(Table4[[#This Row],[Adjusted Correct]]="-", "",IF(Table4[[#This Row],[Adjusted Correct]]="YES",(Table4[[#This Row],[Strength of Win]]-1)^2,(Table4[[#This Row],[Strength of Win]]-0)^2))</f>
        <v>0.2022121586588414</v>
      </c>
      <c r="O311">
        <v>-8.4258130171562168E-2</v>
      </c>
      <c r="P311" s="11">
        <v>0.47207673823452112</v>
      </c>
      <c r="Q311" t="s">
        <v>55</v>
      </c>
      <c r="R311" t="s">
        <v>249</v>
      </c>
    </row>
    <row r="312" spans="4:18" x14ac:dyDescent="0.2">
      <c r="D312" s="1">
        <v>45979</v>
      </c>
      <c r="E312" s="2">
        <v>0.79166666666666663</v>
      </c>
      <c r="F312" t="s">
        <v>37</v>
      </c>
      <c r="G312">
        <f>VLOOKUP(Table4[[#This Row],[Home]],'NHL Model'!$A$6:$B$38,2,FALSE)</f>
        <v>0.51050494674660429</v>
      </c>
      <c r="H312" t="s">
        <v>24</v>
      </c>
      <c r="I312">
        <f>VLOOKUP(Table4[[#This Row],[Visitor]],'NHL Model'!$A$6:$B$38,2,FALSE)</f>
        <v>1.5302507646042616E-3</v>
      </c>
      <c r="J312">
        <f>($B$1+Table4[[#This Row],[Home Differential]])-Table4[[#This Row],[Away Differential]]</f>
        <v>0.5588754449051625</v>
      </c>
      <c r="K312" t="str">
        <f>IF(Table4[[#This Row],[HomeIce Differential]]&gt;0,Table4[[#This Row],[Home]],Table4[[#This Row],[Visitor]])</f>
        <v>Tampa Bay Lightning</v>
      </c>
      <c r="L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0.61698109453658201</v>
      </c>
      <c r="M312" t="str">
        <f>IF(OR((NHL2025_26Results[[#This Row],[Winning Team]]="")),"-",IF(Table4[[#This Row],[Predicted Winner]]=NHL2025_26Results[[#This Row],[Winning Team]],"YES","NO"))</f>
        <v>YES</v>
      </c>
      <c r="N312">
        <f>IF(Table4[[#This Row],[Adjusted Correct]]="-", "",IF(Table4[[#This Row],[Adjusted Correct]]="YES",(Table4[[#This Row],[Strength of Win]]-1)^2,(Table4[[#This Row],[Strength of Win]]-0)^2))</f>
        <v>0.14670348194239471</v>
      </c>
      <c r="O312">
        <v>-0.49300861074158664</v>
      </c>
      <c r="P312" s="11">
        <v>0.59697883323181122</v>
      </c>
      <c r="Q312" t="s">
        <v>24</v>
      </c>
      <c r="R312" t="s">
        <v>249</v>
      </c>
    </row>
    <row r="313" spans="4:18" x14ac:dyDescent="0.2">
      <c r="D313" s="1">
        <v>45979</v>
      </c>
      <c r="E313" s="2">
        <v>0.79166666666666663</v>
      </c>
      <c r="F313" t="s">
        <v>19</v>
      </c>
      <c r="G313">
        <f>VLOOKUP(Table4[[#This Row],[Home]],'NHL Model'!$A$6:$B$38,2,FALSE)</f>
        <v>-0.63447859131898054</v>
      </c>
      <c r="H313" t="s">
        <v>35</v>
      </c>
      <c r="I313">
        <f>VLOOKUP(Table4[[#This Row],[Visitor]],'NHL Model'!$A$6:$B$38,2,FALSE)</f>
        <v>-1.3944783719477225</v>
      </c>
      <c r="J313">
        <f>($B$1+Table4[[#This Row],[Home Differential]])-Table4[[#This Row],[Away Differential]]</f>
        <v>0.80990052955190439</v>
      </c>
      <c r="K313" t="str">
        <f>IF(Table4[[#This Row],[HomeIce Differential]]&gt;0,Table4[[#This Row],[Home]],Table4[[#This Row],[Visitor]])</f>
        <v>Toronto Maple Leafs</v>
      </c>
      <c r="L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0.63456784010388434</v>
      </c>
      <c r="M313" t="str">
        <f>IF(OR((NHL2025_26Results[[#This Row],[Winning Team]]="")),"-",IF(Table4[[#This Row],[Predicted Winner]]=NHL2025_26Results[[#This Row],[Winning Team]],"YES","NO"))</f>
        <v>YES</v>
      </c>
      <c r="N313">
        <f>IF(Table4[[#This Row],[Adjusted Correct]]="-", "",IF(Table4[[#This Row],[Adjusted Correct]]="YES",(Table4[[#This Row],[Strength of Win]]-1)^2,(Table4[[#This Row],[Strength of Win]]-0)^2))</f>
        <v>0.13354066348634025</v>
      </c>
      <c r="O313">
        <v>1.1912362049258531</v>
      </c>
      <c r="P313" s="11">
        <v>0.71074017418949764</v>
      </c>
      <c r="Q313" t="s">
        <v>19</v>
      </c>
      <c r="R313" t="s">
        <v>248</v>
      </c>
    </row>
    <row r="314" spans="4:18" x14ac:dyDescent="0.2">
      <c r="D314" s="1">
        <v>45979</v>
      </c>
      <c r="E314" s="2">
        <v>0.91666666666666663</v>
      </c>
      <c r="F314" t="s">
        <v>20</v>
      </c>
      <c r="G314">
        <f>VLOOKUP(Table4[[#This Row],[Home]],'NHL Model'!$A$6:$B$38,2,FALSE)</f>
        <v>-0.24444083032063643</v>
      </c>
      <c r="H314" t="s">
        <v>15</v>
      </c>
      <c r="I314">
        <f>VLOOKUP(Table4[[#This Row],[Visitor]],'NHL Model'!$A$6:$B$38,2,FALSE)</f>
        <v>-0.29003398448394263</v>
      </c>
      <c r="J314">
        <f>($B$1+Table4[[#This Row],[Home Differential]])-Table4[[#This Row],[Away Differential]]</f>
        <v>9.5493903086468657E-2</v>
      </c>
      <c r="K314" t="str">
        <f>IF(Table4[[#This Row],[HomeIce Differential]]&gt;0,Table4[[#This Row],[Home]],Table4[[#This Row],[Visitor]])</f>
        <v>Vegas Golden Knights</v>
      </c>
      <c r="L3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0.45106885617965331</v>
      </c>
      <c r="M314" t="str">
        <f>IF(OR((NHL2025_26Results[[#This Row],[Winning Team]]="")),"-",IF(Table4[[#This Row],[Predicted Winner]]=NHL2025_26Results[[#This Row],[Winning Team]],"YES","NO"))</f>
        <v>YES</v>
      </c>
      <c r="N314">
        <f>IF(Table4[[#This Row],[Adjusted Correct]]="-", "",IF(Table4[[#This Row],[Adjusted Correct]]="YES",(Table4[[#This Row],[Strength of Win]]-1)^2,(Table4[[#This Row],[Strength of Win]]-0)^2))</f>
        <v>0.30132540065591412</v>
      </c>
      <c r="O314">
        <v>0.51169600909092638</v>
      </c>
      <c r="P314" s="11">
        <v>0.47093187454199859</v>
      </c>
      <c r="Q314" t="s">
        <v>20</v>
      </c>
      <c r="R314" t="s">
        <v>248</v>
      </c>
    </row>
    <row r="315" spans="4:18" x14ac:dyDescent="0.2">
      <c r="D315" s="1">
        <v>45979</v>
      </c>
      <c r="E315" s="2">
        <v>0.83333333333333337</v>
      </c>
      <c r="F315" t="s">
        <v>40</v>
      </c>
      <c r="G315">
        <f>VLOOKUP(Table4[[#This Row],[Home]],'NHL Model'!$A$6:$B$38,2,FALSE)</f>
        <v>-0.31324182378279158</v>
      </c>
      <c r="H315" t="s">
        <v>28</v>
      </c>
      <c r="I315">
        <f>VLOOKUP(Table4[[#This Row],[Visitor]],'NHL Model'!$A$6:$B$38,2,FALSE)</f>
        <v>-0.59498940435054026</v>
      </c>
      <c r="J315">
        <f>($B$1+Table4[[#This Row],[Home Differential]])-Table4[[#This Row],[Away Differential]]</f>
        <v>0.33164832949091116</v>
      </c>
      <c r="K315" t="str">
        <f>IF(Table4[[#This Row],[HomeIce Differential]]&gt;0,Table4[[#This Row],[Home]],Table4[[#This Row],[Visitor]])</f>
        <v>Winnipeg Jets</v>
      </c>
      <c r="L3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0.57764699293668476</v>
      </c>
      <c r="M315" t="str">
        <f>IF(OR((NHL2025_26Results[[#This Row],[Winning Team]]="")),"-",IF(Table4[[#This Row],[Predicted Winner]]=NHL2025_26Results[[#This Row],[Winning Team]],"YES","NO"))</f>
        <v>YES</v>
      </c>
      <c r="N315">
        <f>IF(Table4[[#This Row],[Adjusted Correct]]="-", "",IF(Table4[[#This Row],[Adjusted Correct]]="YES",(Table4[[#This Row],[Strength of Win]]-1)^2,(Table4[[#This Row],[Strength of Win]]-0)^2))</f>
        <v>0.17838206257542483</v>
      </c>
      <c r="O315">
        <v>0.65717670317514765</v>
      </c>
      <c r="P315" s="11">
        <v>0.64974885182158759</v>
      </c>
      <c r="Q315" t="s">
        <v>40</v>
      </c>
      <c r="R315" t="s">
        <v>248</v>
      </c>
    </row>
    <row r="316" spans="4:18" x14ac:dyDescent="0.2">
      <c r="D316" s="1">
        <v>45980</v>
      </c>
      <c r="E316" s="2">
        <v>0.91666666666666663</v>
      </c>
      <c r="F316" t="s">
        <v>31</v>
      </c>
      <c r="G316">
        <f>VLOOKUP(Table4[[#This Row],[Home]],'NHL Model'!$A$6:$B$38,2,FALSE)</f>
        <v>0.17870302183926629</v>
      </c>
      <c r="H316" t="s">
        <v>21</v>
      </c>
      <c r="I316">
        <f>VLOOKUP(Table4[[#This Row],[Visitor]],'NHL Model'!$A$6:$B$38,2,FALSE)</f>
        <v>-0.21976976044773161</v>
      </c>
      <c r="J316">
        <f>($B$1+Table4[[#This Row],[Home Differential]])-Table4[[#This Row],[Away Differential]]</f>
        <v>0.44837353121016033</v>
      </c>
      <c r="K316" t="str">
        <f>IF(Table4[[#This Row],[HomeIce Differential]]&gt;0,Table4[[#This Row],[Home]],Table4[[#This Row],[Visitor]])</f>
        <v>Anaheim Ducks</v>
      </c>
      <c r="L3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0.67140184633742717</v>
      </c>
      <c r="M316" t="str">
        <f>IF(OR((NHL2025_26Results[[#This Row],[Winning Team]]="")),"-",IF(Table4[[#This Row],[Predicted Winner]]=NHL2025_26Results[[#This Row],[Winning Team]],"YES","NO"))</f>
        <v>YES</v>
      </c>
      <c r="N316">
        <f>IF(Table4[[#This Row],[Adjusted Correct]]="-", "",IF(Table4[[#This Row],[Adjusted Correct]]="YES",(Table4[[#This Row],[Strength of Win]]-1)^2,(Table4[[#This Row],[Strength of Win]]-0)^2))</f>
        <v>0.10797674659045182</v>
      </c>
      <c r="O316">
        <v>0.76544688193927901</v>
      </c>
      <c r="P316" s="11">
        <v>0.76084973676613277</v>
      </c>
      <c r="Q316" t="s">
        <v>31</v>
      </c>
      <c r="R316" t="s">
        <v>248</v>
      </c>
    </row>
    <row r="317" spans="4:18" x14ac:dyDescent="0.2">
      <c r="D317" s="1">
        <v>45980</v>
      </c>
      <c r="E317" s="2">
        <v>0.8125</v>
      </c>
      <c r="F317" t="s">
        <v>23</v>
      </c>
      <c r="G317">
        <f>VLOOKUP(Table4[[#This Row],[Home]],'NHL Model'!$A$6:$B$38,2,FALSE)</f>
        <v>-0.4761104357405897</v>
      </c>
      <c r="H317" t="s">
        <v>16</v>
      </c>
      <c r="I317">
        <f>VLOOKUP(Table4[[#This Row],[Visitor]],'NHL Model'!$A$6:$B$38,2,FALSE)</f>
        <v>-1.0657812790446208</v>
      </c>
      <c r="J317">
        <f>($B$1+Table4[[#This Row],[Home Differential]])-Table4[[#This Row],[Away Differential]]</f>
        <v>0.63957159222719362</v>
      </c>
      <c r="K317" t="str">
        <f>IF(Table4[[#This Row],[HomeIce Differential]]&gt;0,Table4[[#This Row],[Home]],Table4[[#This Row],[Visitor]])</f>
        <v>Buffalo Sabres</v>
      </c>
      <c r="L3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0.62480167218428018</v>
      </c>
      <c r="M317" t="str">
        <f>IF(OR((NHL2025_26Results[[#This Row],[Winning Team]]="")),"-",IF(Table4[[#This Row],[Predicted Winner]]=NHL2025_26Results[[#This Row],[Winning Team]],"YES","NO"))</f>
        <v>NO</v>
      </c>
      <c r="N317">
        <f>IF(Table4[[#This Row],[Adjusted Correct]]="-", "",IF(Table4[[#This Row],[Adjusted Correct]]="YES",(Table4[[#This Row],[Strength of Win]]-1)^2,(Table4[[#This Row],[Strength of Win]]-0)^2))</f>
        <v>0.39037712956427273</v>
      </c>
      <c r="O317">
        <v>0.98920468733649858</v>
      </c>
      <c r="P317" s="11">
        <v>0.68476799828715018</v>
      </c>
      <c r="Q317" t="s">
        <v>23</v>
      </c>
      <c r="R317" t="s">
        <v>249</v>
      </c>
    </row>
    <row r="318" spans="4:18" x14ac:dyDescent="0.2">
      <c r="D318" s="1">
        <v>45980</v>
      </c>
      <c r="E318" s="2">
        <v>0.89583333333333337</v>
      </c>
      <c r="F318" t="s">
        <v>34</v>
      </c>
      <c r="G318">
        <f>VLOOKUP(Table4[[#This Row],[Home]],'NHL Model'!$A$6:$B$38,2,FALSE)</f>
        <v>-5.5124787449478845E-2</v>
      </c>
      <c r="H318" t="s">
        <v>25</v>
      </c>
      <c r="I318">
        <f>VLOOKUP(Table4[[#This Row],[Visitor]],'NHL Model'!$A$6:$B$38,2,FALSE)</f>
        <v>0.42567513732855267</v>
      </c>
      <c r="J318">
        <f>($B$1+Table4[[#This Row],[Home Differential]])-Table4[[#This Row],[Away Differential]]</f>
        <v>-0.43089917585486903</v>
      </c>
      <c r="K318" t="str">
        <f>IF(Table4[[#This Row],[HomeIce Differential]]&gt;0,Table4[[#This Row],[Home]],Table4[[#This Row],[Visitor]])</f>
        <v>Carolina Hurricanes</v>
      </c>
      <c r="L3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0.58293700750685595</v>
      </c>
      <c r="M318" t="str">
        <f>IF(OR((NHL2025_26Results[[#This Row],[Winning Team]]="")),"-",IF(Table4[[#This Row],[Predicted Winner]]=NHL2025_26Results[[#This Row],[Winning Team]],"YES","NO"))</f>
        <v>NO</v>
      </c>
      <c r="N318">
        <f>IF(Table4[[#This Row],[Adjusted Correct]]="-", "",IF(Table4[[#This Row],[Adjusted Correct]]="YES",(Table4[[#This Row],[Strength of Win]]-1)^2,(Table4[[#This Row],[Strength of Win]]-0)^2))</f>
        <v>0.33981555472104824</v>
      </c>
      <c r="O318">
        <v>-1.0914266206185563</v>
      </c>
      <c r="P318" s="11">
        <v>0.72149073367909078</v>
      </c>
      <c r="Q318" t="s">
        <v>25</v>
      </c>
      <c r="R318" t="s">
        <v>249</v>
      </c>
    </row>
    <row r="319" spans="4:18" x14ac:dyDescent="0.2">
      <c r="D319" s="1">
        <v>45980</v>
      </c>
      <c r="E319" s="2">
        <v>0.79166666666666663</v>
      </c>
      <c r="F319" t="s">
        <v>22</v>
      </c>
      <c r="G319">
        <f>VLOOKUP(Table4[[#This Row],[Home]],'NHL Model'!$A$6:$B$38,2,FALSE)</f>
        <v>0.4407072328537569</v>
      </c>
      <c r="H319" t="s">
        <v>17</v>
      </c>
      <c r="I319">
        <f>VLOOKUP(Table4[[#This Row],[Visitor]],'NHL Model'!$A$6:$B$38,2,FALSE)</f>
        <v>-0.81774666423752174</v>
      </c>
      <c r="J319">
        <f>($B$1+Table4[[#This Row],[Home Differential]])-Table4[[#This Row],[Away Differential]]</f>
        <v>1.3083546460144411</v>
      </c>
      <c r="K319" t="str">
        <f>IF(Table4[[#This Row],[HomeIce Differential]]&gt;0,Table4[[#This Row],[Home]],Table4[[#This Row],[Visitor]])</f>
        <v>Washington Capitals</v>
      </c>
      <c r="L3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0.71880745070764951</v>
      </c>
      <c r="M319" t="str">
        <f>IF(OR((NHL2025_26Results[[#This Row],[Winning Team]]="")),"-",IF(Table4[[#This Row],[Predicted Winner]]=NHL2025_26Results[[#This Row],[Winning Team]],"YES","NO"))</f>
        <v>YES</v>
      </c>
      <c r="N319">
        <f>IF(Table4[[#This Row],[Adjusted Correct]]="-", "",IF(Table4[[#This Row],[Adjusted Correct]]="YES",(Table4[[#This Row],[Strength of Win]]-1)^2,(Table4[[#This Row],[Strength of Win]]-0)^2))</f>
        <v>7.9069249777530964E-2</v>
      </c>
      <c r="O319">
        <v>1.0337413077555846</v>
      </c>
      <c r="P319" s="11">
        <v>0.68867800548979374</v>
      </c>
      <c r="Q319" t="s">
        <v>22</v>
      </c>
      <c r="R319" t="s">
        <v>248</v>
      </c>
    </row>
    <row r="320" spans="4:18" x14ac:dyDescent="0.2">
      <c r="D320" s="1">
        <v>45981</v>
      </c>
      <c r="E320" s="2">
        <v>0.91666666666666663</v>
      </c>
      <c r="F320" t="s">
        <v>31</v>
      </c>
      <c r="G320">
        <f>VLOOKUP(Table4[[#This Row],[Home]],'NHL Model'!$A$6:$B$38,2,FALSE)</f>
        <v>0.17870302183926629</v>
      </c>
      <c r="H320" t="s">
        <v>36</v>
      </c>
      <c r="I320">
        <f>VLOOKUP(Table4[[#This Row],[Visitor]],'NHL Model'!$A$6:$B$38,2,FALSE)</f>
        <v>-0.53137605086483863</v>
      </c>
      <c r="J320">
        <f>($B$1+Table4[[#This Row],[Home Differential]])-Table4[[#This Row],[Away Differential]]</f>
        <v>0.7599798216272674</v>
      </c>
      <c r="K320" t="str">
        <f>IF(Table4[[#This Row],[HomeIce Differential]]&gt;0,Table4[[#This Row],[Home]],Table4[[#This Row],[Visitor]])</f>
        <v>Anaheim Ducks</v>
      </c>
      <c r="L3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0.70857357142042021</v>
      </c>
      <c r="M320" t="str">
        <f>IF(OR((NHL2025_26Results[[#This Row],[Winning Team]]="")),"-",IF(Table4[[#This Row],[Predicted Winner]]=NHL2025_26Results[[#This Row],[Winning Team]],"YES","NO"))</f>
        <v>NO</v>
      </c>
      <c r="N320">
        <f>IF(Table4[[#This Row],[Adjusted Correct]]="-", "",IF(Table4[[#This Row],[Adjusted Correct]]="YES",(Table4[[#This Row],[Strength of Win]]-1)^2,(Table4[[#This Row],[Strength of Win]]-0)^2))</f>
        <v>0.50207650611548937</v>
      </c>
      <c r="O320">
        <v>1.2060018634213232</v>
      </c>
      <c r="P320" s="11">
        <v>0.82141601872248216</v>
      </c>
      <c r="Q320" t="s">
        <v>31</v>
      </c>
      <c r="R320" t="s">
        <v>249</v>
      </c>
    </row>
    <row r="321" spans="4:18" x14ac:dyDescent="0.2">
      <c r="D321" s="1">
        <v>45981</v>
      </c>
      <c r="E321" s="2">
        <v>0.83333333333333337</v>
      </c>
      <c r="F321" t="s">
        <v>10</v>
      </c>
      <c r="G321">
        <f>VLOOKUP(Table4[[#This Row],[Home]],'NHL Model'!$A$6:$B$38,2,FALSE)</f>
        <v>-0.17619625518431364</v>
      </c>
      <c r="H321" t="s">
        <v>32</v>
      </c>
      <c r="I321">
        <f>VLOOKUP(Table4[[#This Row],[Visitor]],'NHL Model'!$A$6:$B$38,2,FALSE)</f>
        <v>-0.64937723527808999</v>
      </c>
      <c r="J321">
        <f>($B$1+Table4[[#This Row],[Home Differential]])-Table4[[#This Row],[Away Differential]]</f>
        <v>0.52308172901693883</v>
      </c>
      <c r="K321" t="str">
        <f>IF(Table4[[#This Row],[HomeIce Differential]]&gt;0,Table4[[#This Row],[Home]],Table4[[#This Row],[Visitor]])</f>
        <v>Chicago Blackhawks</v>
      </c>
      <c r="L3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0.6010775119980547</v>
      </c>
      <c r="M321" t="str">
        <f>IF(OR((NHL2025_26Results[[#This Row],[Winning Team]]="")),"-",IF(Table4[[#This Row],[Predicted Winner]]=NHL2025_26Results[[#This Row],[Winning Team]],"YES","NO"))</f>
        <v>NO</v>
      </c>
      <c r="N321">
        <f>IF(Table4[[#This Row],[Adjusted Correct]]="-", "",IF(Table4[[#This Row],[Adjusted Correct]]="YES",(Table4[[#This Row],[Strength of Win]]-1)^2,(Table4[[#This Row],[Strength of Win]]-0)^2))</f>
        <v>0.3612941754297716</v>
      </c>
      <c r="O321">
        <v>1.0354572362838268</v>
      </c>
      <c r="P321" s="11">
        <v>0.68955873942591128</v>
      </c>
      <c r="Q321" t="s">
        <v>10</v>
      </c>
      <c r="R321" t="s">
        <v>249</v>
      </c>
    </row>
    <row r="322" spans="4:18" x14ac:dyDescent="0.2">
      <c r="D322" s="1">
        <v>45981</v>
      </c>
      <c r="E322" s="2">
        <v>0.875</v>
      </c>
      <c r="F322" t="s">
        <v>12</v>
      </c>
      <c r="G322">
        <f>VLOOKUP(Table4[[#This Row],[Home]],'NHL Model'!$A$6:$B$38,2,FALSE)</f>
        <v>1.6319036584269762</v>
      </c>
      <c r="H322" t="s">
        <v>15</v>
      </c>
      <c r="I322">
        <f>VLOOKUP(Table4[[#This Row],[Visitor]],'NHL Model'!$A$6:$B$38,2,FALSE)</f>
        <v>-0.29003398448394263</v>
      </c>
      <c r="J322">
        <f>($B$1+Table4[[#This Row],[Home Differential]])-Table4[[#This Row],[Away Differential]]</f>
        <v>1.9718383918340812</v>
      </c>
      <c r="K322" t="str">
        <f>IF(Table4[[#This Row],[HomeIce Differential]]&gt;0,Table4[[#This Row],[Home]],Table4[[#This Row],[Visitor]])</f>
        <v>Colorado Avalanche</v>
      </c>
      <c r="L3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0.77818643998368908</v>
      </c>
      <c r="M322" t="str">
        <f>IF(OR((NHL2025_26Results[[#This Row],[Winning Team]]="")),"-",IF(Table4[[#This Row],[Predicted Winner]]=NHL2025_26Results[[#This Row],[Winning Team]],"YES","NO"))</f>
        <v>YES</v>
      </c>
      <c r="N322">
        <f>IF(Table4[[#This Row],[Adjusted Correct]]="-", "",IF(Table4[[#This Row],[Adjusted Correct]]="YES",(Table4[[#This Row],[Strength of Win]]-1)^2,(Table4[[#This Row],[Strength of Win]]-0)^2))</f>
        <v>4.9201255407109568E-2</v>
      </c>
      <c r="O322">
        <v>2.0416850322439344</v>
      </c>
      <c r="P322" s="11">
        <v>0.79009355708149565</v>
      </c>
      <c r="Q322" t="s">
        <v>12</v>
      </c>
      <c r="R322" t="s">
        <v>248</v>
      </c>
    </row>
    <row r="323" spans="4:18" x14ac:dyDescent="0.2">
      <c r="D323" s="1">
        <v>45981</v>
      </c>
      <c r="E323" s="2">
        <v>0.79166666666666663</v>
      </c>
      <c r="F323" t="s">
        <v>26</v>
      </c>
      <c r="G323">
        <f>VLOOKUP(Table4[[#This Row],[Home]],'NHL Model'!$A$6:$B$38,2,FALSE)</f>
        <v>-0.87533956503230947</v>
      </c>
      <c r="H323" t="s">
        <v>30</v>
      </c>
      <c r="I323">
        <f>VLOOKUP(Table4[[#This Row],[Visitor]],'NHL Model'!$A$6:$B$38,2,FALSE)</f>
        <v>-0.24093199744133265</v>
      </c>
      <c r="J323">
        <f>($B$1+Table4[[#This Row],[Home Differential]])-Table4[[#This Row],[Away Differential]]</f>
        <v>-0.5845068186678144</v>
      </c>
      <c r="K323" t="str">
        <f>IF(Table4[[#This Row],[HomeIce Differential]]&gt;0,Table4[[#This Row],[Home]],Table4[[#This Row],[Visitor]])</f>
        <v>New York Islanders</v>
      </c>
      <c r="L3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0.6008729668922711</v>
      </c>
      <c r="M323" t="str">
        <f>IF(OR((NHL2025_26Results[[#This Row],[Winning Team]]="")),"-",IF(Table4[[#This Row],[Predicted Winner]]=NHL2025_26Results[[#This Row],[Winning Team]],"YES","NO"))</f>
        <v>YES</v>
      </c>
      <c r="N323">
        <f>IF(Table4[[#This Row],[Adjusted Correct]]="-", "",IF(Table4[[#This Row],[Adjusted Correct]]="YES",(Table4[[#This Row],[Strength of Win]]-1)^2,(Table4[[#This Row],[Strength of Win]]-0)^2))</f>
        <v>0.15930238855737813</v>
      </c>
      <c r="O323">
        <v>-0.21490931111843795</v>
      </c>
      <c r="P323" s="11">
        <v>0.50783942088355738</v>
      </c>
      <c r="Q323" t="s">
        <v>30</v>
      </c>
      <c r="R323" t="s">
        <v>248</v>
      </c>
    </row>
    <row r="324" spans="4:18" x14ac:dyDescent="0.2">
      <c r="D324" s="1">
        <v>45981</v>
      </c>
      <c r="E324" s="2">
        <v>0.79166666666666663</v>
      </c>
      <c r="F324" t="s">
        <v>11</v>
      </c>
      <c r="G324">
        <f>VLOOKUP(Table4[[#This Row],[Home]],'NHL Model'!$A$6:$B$38,2,FALSE)</f>
        <v>-0.39711829106410657</v>
      </c>
      <c r="H324" t="s">
        <v>24</v>
      </c>
      <c r="I324">
        <f>VLOOKUP(Table4[[#This Row],[Visitor]],'NHL Model'!$A$6:$B$38,2,FALSE)</f>
        <v>1.5302507646042616E-3</v>
      </c>
      <c r="J324">
        <f>($B$1+Table4[[#This Row],[Home Differential]])-Table4[[#This Row],[Away Differential]]</f>
        <v>-0.34874779290554836</v>
      </c>
      <c r="K324" t="str">
        <f>IF(Table4[[#This Row],[HomeIce Differential]]&gt;0,Table4[[#This Row],[Home]],Table4[[#This Row],[Visitor]])</f>
        <v>New Jersey Devils</v>
      </c>
      <c r="L3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0.50738811863845579</v>
      </c>
      <c r="M324" t="str">
        <f>IF(OR((NHL2025_26Results[[#This Row],[Winning Team]]="")),"-",IF(Table4[[#This Row],[Predicted Winner]]=NHL2025_26Results[[#This Row],[Winning Team]],"YES","NO"))</f>
        <v>NO</v>
      </c>
      <c r="N324">
        <f>IF(Table4[[#This Row],[Adjusted Correct]]="-", "",IF(Table4[[#This Row],[Adjusted Correct]]="YES",(Table4[[#This Row],[Strength of Win]]-1)^2,(Table4[[#This Row],[Strength of Win]]-0)^2))</f>
        <v>0.25744270293547167</v>
      </c>
      <c r="O324">
        <v>-0.28492594650550118</v>
      </c>
      <c r="P324" s="11">
        <v>0.47717133510972853</v>
      </c>
      <c r="Q324" t="s">
        <v>24</v>
      </c>
      <c r="R324" t="s">
        <v>249</v>
      </c>
    </row>
    <row r="325" spans="4:18" x14ac:dyDescent="0.2">
      <c r="D325" s="1">
        <v>45981</v>
      </c>
      <c r="E325" s="2">
        <v>0.79166666666666663</v>
      </c>
      <c r="F325" t="s">
        <v>18</v>
      </c>
      <c r="G325">
        <f>VLOOKUP(Table4[[#This Row],[Home]],'NHL Model'!$A$6:$B$38,2,FALSE)</f>
        <v>-0.59288962827382519</v>
      </c>
      <c r="H325" t="s">
        <v>22</v>
      </c>
      <c r="I325">
        <f>VLOOKUP(Table4[[#This Row],[Visitor]],'NHL Model'!$A$6:$B$38,2,FALSE)</f>
        <v>0.4407072328537569</v>
      </c>
      <c r="J325">
        <f>($B$1+Table4[[#This Row],[Home Differential]])-Table4[[#This Row],[Away Differential]]</f>
        <v>-0.98369611220441966</v>
      </c>
      <c r="K325" t="str">
        <f>IF(Table4[[#This Row],[HomeIce Differential]]&gt;0,Table4[[#This Row],[Home]],Table4[[#This Row],[Visitor]])</f>
        <v>Washington Capitals</v>
      </c>
      <c r="L3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0.61737360223236648</v>
      </c>
      <c r="M325" t="str">
        <f>IF(OR((NHL2025_26Results[[#This Row],[Winning Team]]="")),"-",IF(Table4[[#This Row],[Predicted Winner]]=NHL2025_26Results[[#This Row],[Winning Team]],"YES","NO"))</f>
        <v>YES</v>
      </c>
      <c r="N325">
        <f>IF(Table4[[#This Row],[Adjusted Correct]]="-", "",IF(Table4[[#This Row],[Adjusted Correct]]="YES",(Table4[[#This Row],[Strength of Win]]-1)^2,(Table4[[#This Row],[Strength of Win]]-0)^2))</f>
        <v>0.14640296026863531</v>
      </c>
      <c r="O325">
        <v>-0.48342349678689522</v>
      </c>
      <c r="P325" s="11">
        <v>0.52653488689618611</v>
      </c>
      <c r="Q325" t="s">
        <v>22</v>
      </c>
      <c r="R325" t="s">
        <v>248</v>
      </c>
    </row>
    <row r="326" spans="4:18" x14ac:dyDescent="0.2">
      <c r="D326" s="1">
        <v>45981</v>
      </c>
      <c r="E326" s="2">
        <v>0.79166666666666663</v>
      </c>
      <c r="F326" t="s">
        <v>27</v>
      </c>
      <c r="G326">
        <f>VLOOKUP(Table4[[#This Row],[Home]],'NHL Model'!$A$6:$B$38,2,FALSE)</f>
        <v>-0.38023958350631604</v>
      </c>
      <c r="H326" t="s">
        <v>35</v>
      </c>
      <c r="I326">
        <f>VLOOKUP(Table4[[#This Row],[Visitor]],'NHL Model'!$A$6:$B$38,2,FALSE)</f>
        <v>-1.3944783719477225</v>
      </c>
      <c r="J326">
        <f>($B$1+Table4[[#This Row],[Home Differential]])-Table4[[#This Row],[Away Differential]]</f>
        <v>1.064139537364569</v>
      </c>
      <c r="K326" t="str">
        <f>IF(Table4[[#This Row],[HomeIce Differential]]&gt;0,Table4[[#This Row],[Home]],Table4[[#This Row],[Visitor]])</f>
        <v>Philadelphia Flyers</v>
      </c>
      <c r="L3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0.67827061706457803</v>
      </c>
      <c r="M326" t="str">
        <f>IF(OR((NHL2025_26Results[[#This Row],[Winning Team]]="")),"-",IF(Table4[[#This Row],[Predicted Winner]]=NHL2025_26Results[[#This Row],[Winning Team]],"YES","NO"))</f>
        <v>YES</v>
      </c>
      <c r="N326">
        <f>IF(Table4[[#This Row],[Adjusted Correct]]="-", "",IF(Table4[[#This Row],[Adjusted Correct]]="YES",(Table4[[#This Row],[Strength of Win]]-1)^2,(Table4[[#This Row],[Strength of Win]]-0)^2))</f>
        <v>0.10350979584400739</v>
      </c>
      <c r="O326">
        <v>1.3126679669091614</v>
      </c>
      <c r="P326" s="11">
        <v>0.72316153141538597</v>
      </c>
      <c r="Q326" t="s">
        <v>27</v>
      </c>
      <c r="R326" t="s">
        <v>248</v>
      </c>
    </row>
    <row r="327" spans="4:18" x14ac:dyDescent="0.2">
      <c r="D327" s="1">
        <v>45981</v>
      </c>
      <c r="E327" s="2">
        <v>0.91666666666666663</v>
      </c>
      <c r="F327" t="s">
        <v>33</v>
      </c>
      <c r="G327">
        <f>VLOOKUP(Table4[[#This Row],[Home]],'NHL Model'!$A$6:$B$38,2,FALSE)</f>
        <v>-0.45133099238224339</v>
      </c>
      <c r="H327" t="s">
        <v>13</v>
      </c>
      <c r="I327">
        <f>VLOOKUP(Table4[[#This Row],[Visitor]],'NHL Model'!$A$6:$B$38,2,FALSE)</f>
        <v>-0.33828359867721369</v>
      </c>
      <c r="J327">
        <f>($B$1+Table4[[#This Row],[Home Differential]])-Table4[[#This Row],[Away Differential]]</f>
        <v>-6.3146644781867212E-2</v>
      </c>
      <c r="K327" t="str">
        <f>IF(Table4[[#This Row],[HomeIce Differential]]&gt;0,Table4[[#This Row],[Home]],Table4[[#This Row],[Visitor]])</f>
        <v>Los Angeles Kings</v>
      </c>
      <c r="L3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0.52350233501430832</v>
      </c>
      <c r="M327" t="str">
        <f>IF(OR((NHL2025_26Results[[#This Row],[Winning Team]]="")),"-",IF(Table4[[#This Row],[Predicted Winner]]=NHL2025_26Results[[#This Row],[Winning Team]],"YES","NO"))</f>
        <v>NO</v>
      </c>
      <c r="N327">
        <f>IF(Table4[[#This Row],[Adjusted Correct]]="-", "",IF(Table4[[#This Row],[Adjusted Correct]]="YES",(Table4[[#This Row],[Strength of Win]]-1)^2,(Table4[[#This Row],[Strength of Win]]-0)^2))</f>
        <v>0.27405469476543309</v>
      </c>
      <c r="O327">
        <v>-4.769654463873621E-2</v>
      </c>
      <c r="P327" s="11">
        <v>0.56836235759955012</v>
      </c>
      <c r="Q327" t="s">
        <v>13</v>
      </c>
      <c r="R327" t="s">
        <v>249</v>
      </c>
    </row>
    <row r="328" spans="4:18" x14ac:dyDescent="0.2">
      <c r="D328" s="1">
        <v>45981</v>
      </c>
      <c r="E328" s="2">
        <v>0.8125</v>
      </c>
      <c r="F328" t="s">
        <v>37</v>
      </c>
      <c r="G328">
        <f>VLOOKUP(Table4[[#This Row],[Home]],'NHL Model'!$A$6:$B$38,2,FALSE)</f>
        <v>0.51050494674660429</v>
      </c>
      <c r="H328" t="s">
        <v>17</v>
      </c>
      <c r="I328">
        <f>VLOOKUP(Table4[[#This Row],[Visitor]],'NHL Model'!$A$6:$B$38,2,FALSE)</f>
        <v>-0.81774666423752174</v>
      </c>
      <c r="J328">
        <f>($B$1+Table4[[#This Row],[Home Differential]])-Table4[[#This Row],[Away Differential]]</f>
        <v>1.3781523599072885</v>
      </c>
      <c r="K328" t="str">
        <f>IF(Table4[[#This Row],[HomeIce Differential]]&gt;0,Table4[[#This Row],[Home]],Table4[[#This Row],[Visitor]])</f>
        <v>Tampa Bay Lightning</v>
      </c>
      <c r="L3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0.73316569390461539</v>
      </c>
      <c r="M328" t="str">
        <f>IF(OR((NHL2025_26Results[[#This Row],[Winning Team]]="")),"-",IF(Table4[[#This Row],[Predicted Winner]]=NHL2025_26Results[[#This Row],[Winning Team]],"YES","NO"))</f>
        <v>YES</v>
      </c>
      <c r="N328">
        <f>IF(Table4[[#This Row],[Adjusted Correct]]="-", "",IF(Table4[[#This Row],[Adjusted Correct]]="YES",(Table4[[#This Row],[Strength of Win]]-1)^2,(Table4[[#This Row],[Strength of Win]]-0)^2))</f>
        <v>7.1200546909405402E-2</v>
      </c>
      <c r="O328">
        <v>1.2494855303236327</v>
      </c>
      <c r="P328" s="11">
        <v>0.71197008211446478</v>
      </c>
      <c r="Q328" t="s">
        <v>37</v>
      </c>
      <c r="R328" t="s">
        <v>248</v>
      </c>
    </row>
    <row r="329" spans="4:18" x14ac:dyDescent="0.2">
      <c r="D329" s="1">
        <v>45981</v>
      </c>
      <c r="E329" s="2">
        <v>0.79166666666666663</v>
      </c>
      <c r="F329" t="s">
        <v>19</v>
      </c>
      <c r="G329">
        <f>VLOOKUP(Table4[[#This Row],[Home]],'NHL Model'!$A$6:$B$38,2,FALSE)</f>
        <v>-0.63447859131898054</v>
      </c>
      <c r="H329" t="s">
        <v>28</v>
      </c>
      <c r="I329">
        <f>VLOOKUP(Table4[[#This Row],[Visitor]],'NHL Model'!$A$6:$B$38,2,FALSE)</f>
        <v>-0.59498940435054026</v>
      </c>
      <c r="J329">
        <f>($B$1+Table4[[#This Row],[Home Differential]])-Table4[[#This Row],[Away Differential]]</f>
        <v>1.0411561954722148E-2</v>
      </c>
      <c r="K329" t="str">
        <f>IF(Table4[[#This Row],[HomeIce Differential]]&gt;0,Table4[[#This Row],[Home]],Table4[[#This Row],[Visitor]])</f>
        <v>Toronto Maple Leafs</v>
      </c>
      <c r="L3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0.53763954458150376</v>
      </c>
      <c r="M329" t="str">
        <f>IF(OR((NHL2025_26Results[[#This Row],[Winning Team]]="")),"-",IF(Table4[[#This Row],[Predicted Winner]]=NHL2025_26Results[[#This Row],[Winning Team]],"YES","NO"))</f>
        <v>NO</v>
      </c>
      <c r="N329">
        <f>IF(Table4[[#This Row],[Adjusted Correct]]="-", "",IF(Table4[[#This Row],[Adjusted Correct]]="YES",(Table4[[#This Row],[Strength of Win]]-1)^2,(Table4[[#This Row],[Strength of Win]]-0)^2))</f>
        <v>0.28905627989780674</v>
      </c>
      <c r="O329">
        <v>3.361575292551533E-2</v>
      </c>
      <c r="P329" s="11">
        <v>0.5586432477389025</v>
      </c>
      <c r="Q329" t="s">
        <v>19</v>
      </c>
      <c r="R329" t="s">
        <v>249</v>
      </c>
    </row>
    <row r="330" spans="4:18" x14ac:dyDescent="0.2">
      <c r="D330" s="1">
        <v>45981</v>
      </c>
      <c r="E330" s="2">
        <v>0.875</v>
      </c>
      <c r="F330" t="s">
        <v>55</v>
      </c>
      <c r="G330">
        <f>VLOOKUP(Table4[[#This Row],[Home]],'NHL Model'!$A$6:$B$38,2,FALSE)</f>
        <v>-0.4031232890211825</v>
      </c>
      <c r="H330" t="s">
        <v>20</v>
      </c>
      <c r="I330">
        <f>VLOOKUP(Table4[[#This Row],[Visitor]],'NHL Model'!$A$6:$B$38,2,FALSE)</f>
        <v>-0.24444083032063643</v>
      </c>
      <c r="J330">
        <f>($B$1+Table4[[#This Row],[Home Differential]])-Table4[[#This Row],[Away Differential]]</f>
        <v>-0.10878170977738358</v>
      </c>
      <c r="K330" t="str">
        <f>IF(Table4[[#This Row],[HomeIce Differential]]&gt;0,Table4[[#This Row],[Home]],Table4[[#This Row],[Visitor]])</f>
        <v>Vegas Golden Knights</v>
      </c>
      <c r="L3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0.4322706926738567</v>
      </c>
      <c r="M330" t="str">
        <f>IF(OR((NHL2025_26Results[[#This Row],[Winning Team]]="")),"-",IF(Table4[[#This Row],[Predicted Winner]]=NHL2025_26Results[[#This Row],[Winning Team]],"YES","NO"))</f>
        <v>YES</v>
      </c>
      <c r="N330">
        <f>IF(Table4[[#This Row],[Adjusted Correct]]="-", "",IF(Table4[[#This Row],[Adjusted Correct]]="YES",(Table4[[#This Row],[Strength of Win]]-1)^2,(Table4[[#This Row],[Strength of Win]]-0)^2))</f>
        <v>0.32231656639702255</v>
      </c>
      <c r="O330">
        <v>-3.6211670385354555E-2</v>
      </c>
      <c r="P330" s="11">
        <v>0.4167486162827066</v>
      </c>
      <c r="Q330" t="s">
        <v>20</v>
      </c>
      <c r="R330" t="s">
        <v>248</v>
      </c>
    </row>
    <row r="331" spans="4:18" x14ac:dyDescent="0.2">
      <c r="D331" s="1">
        <v>45981</v>
      </c>
      <c r="E331" s="2">
        <v>0.91666666666666663</v>
      </c>
      <c r="F331" t="s">
        <v>38</v>
      </c>
      <c r="G331">
        <f>VLOOKUP(Table4[[#This Row],[Home]],'NHL Model'!$A$6:$B$38,2,FALSE)</f>
        <v>-0.9476777551108041</v>
      </c>
      <c r="H331" t="s">
        <v>39</v>
      </c>
      <c r="I331">
        <f>VLOOKUP(Table4[[#This Row],[Visitor]],'NHL Model'!$A$6:$B$38,2,FALSE)</f>
        <v>0.41344250185511977</v>
      </c>
      <c r="J331">
        <f>($B$1+Table4[[#This Row],[Home Differential]])-Table4[[#This Row],[Away Differential]]</f>
        <v>-1.3112195080427616</v>
      </c>
      <c r="K331" t="str">
        <f>IF(Table4[[#This Row],[HomeIce Differential]]&gt;0,Table4[[#This Row],[Home]],Table4[[#This Row],[Visitor]])</f>
        <v>Dallas Stars</v>
      </c>
      <c r="L3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0.71490198259173388</v>
      </c>
      <c r="M331" t="str">
        <f>IF(OR((NHL2025_26Results[[#This Row],[Winning Team]]="")),"-",IF(Table4[[#This Row],[Predicted Winner]]=NHL2025_26Results[[#This Row],[Winning Team]],"YES","NO"))</f>
        <v>YES</v>
      </c>
      <c r="N331">
        <f>IF(Table4[[#This Row],[Adjusted Correct]]="-", "",IF(Table4[[#This Row],[Adjusted Correct]]="YES",(Table4[[#This Row],[Strength of Win]]-1)^2,(Table4[[#This Row],[Strength of Win]]-0)^2))</f>
        <v>8.1280879530124014E-2</v>
      </c>
      <c r="O331">
        <v>-0.7136444324062784</v>
      </c>
      <c r="P331" s="11">
        <v>0.65070700646466861</v>
      </c>
      <c r="Q331" t="s">
        <v>39</v>
      </c>
      <c r="R331" t="s">
        <v>248</v>
      </c>
    </row>
    <row r="332" spans="4:18" x14ac:dyDescent="0.2">
      <c r="D332" s="1">
        <v>45982</v>
      </c>
      <c r="E332" s="2">
        <v>0.79166666666666663</v>
      </c>
      <c r="F332" t="s">
        <v>23</v>
      </c>
      <c r="G332">
        <f>VLOOKUP(Table4[[#This Row],[Home]],'NHL Model'!$A$6:$B$38,2,FALSE)</f>
        <v>-0.4761104357405897</v>
      </c>
      <c r="H332" t="s">
        <v>10</v>
      </c>
      <c r="I332">
        <f>VLOOKUP(Table4[[#This Row],[Visitor]],'NHL Model'!$A$6:$B$38,2,FALSE)</f>
        <v>-0.17619625518431364</v>
      </c>
      <c r="J332">
        <f>($B$1+Table4[[#This Row],[Home Differential]])-Table4[[#This Row],[Away Differential]]</f>
        <v>-0.25001343163311357</v>
      </c>
      <c r="K332" t="str">
        <f>IF(Table4[[#This Row],[HomeIce Differential]]&gt;0,Table4[[#This Row],[Home]],Table4[[#This Row],[Visitor]])</f>
        <v>Chicago Blackhawks</v>
      </c>
      <c r="L3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0.47907050868930978</v>
      </c>
      <c r="M332" t="str">
        <f>IF(OR((NHL2025_26Results[[#This Row],[Winning Team]]="")),"-",IF(Table4[[#This Row],[Predicted Winner]]=NHL2025_26Results[[#This Row],[Winning Team]],"YES","NO"))</f>
        <v>NO</v>
      </c>
      <c r="N332">
        <f>IF(Table4[[#This Row],[Adjusted Correct]]="-", "",IF(Table4[[#This Row],[Adjusted Correct]]="YES",(Table4[[#This Row],[Strength of Win]]-1)^2,(Table4[[#This Row],[Strength of Win]]-0)^2))</f>
        <v>0.22950855229583403</v>
      </c>
      <c r="O332">
        <v>-1.01149182515004</v>
      </c>
      <c r="P332" s="11">
        <v>0.62127138852721631</v>
      </c>
      <c r="Q332" t="s">
        <v>10</v>
      </c>
      <c r="R332" t="s">
        <v>249</v>
      </c>
    </row>
    <row r="333" spans="4:18" x14ac:dyDescent="0.2">
      <c r="D333" s="1">
        <v>45982</v>
      </c>
      <c r="E333" s="2">
        <v>0.9375</v>
      </c>
      <c r="F333" t="s">
        <v>13</v>
      </c>
      <c r="G333">
        <f>VLOOKUP(Table4[[#This Row],[Home]],'NHL Model'!$A$6:$B$38,2,FALSE)</f>
        <v>-0.33828359867721369</v>
      </c>
      <c r="H333" t="s">
        <v>21</v>
      </c>
      <c r="I333">
        <f>VLOOKUP(Table4[[#This Row],[Visitor]],'NHL Model'!$A$6:$B$38,2,FALSE)</f>
        <v>-0.21976976044773161</v>
      </c>
      <c r="J333">
        <f>($B$1+Table4[[#This Row],[Home Differential]])-Table4[[#This Row],[Away Differential]]</f>
        <v>-6.8613089306319597E-2</v>
      </c>
      <c r="K333" t="str">
        <f>IF(Table4[[#This Row],[HomeIce Differential]]&gt;0,Table4[[#This Row],[Home]],Table4[[#This Row],[Visitor]])</f>
        <v>Boston Bruins</v>
      </c>
      <c r="L3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0.46884108392099427</v>
      </c>
      <c r="M333" t="str">
        <f>IF(OR((NHL2025_26Results[[#This Row],[Winning Team]]="")),"-",IF(Table4[[#This Row],[Predicted Winner]]=NHL2025_26Results[[#This Row],[Winning Team]],"YES","NO"))</f>
        <v>YES</v>
      </c>
      <c r="N333">
        <f>IF(Table4[[#This Row],[Adjusted Correct]]="-", "",IF(Table4[[#This Row],[Adjusted Correct]]="YES",(Table4[[#This Row],[Strength of Win]]-1)^2,(Table4[[#This Row],[Strength of Win]]-0)^2))</f>
        <v>0.28212979413022432</v>
      </c>
      <c r="O333">
        <v>2.5376030843335229E-2</v>
      </c>
      <c r="P333" s="11">
        <v>0.54352487978663888</v>
      </c>
      <c r="Q333" t="s">
        <v>13</v>
      </c>
      <c r="R333" t="s">
        <v>249</v>
      </c>
    </row>
    <row r="334" spans="4:18" x14ac:dyDescent="0.2">
      <c r="D334" s="1">
        <v>45982</v>
      </c>
      <c r="E334" s="2">
        <v>0.79166666666666663</v>
      </c>
      <c r="F334" t="s">
        <v>14</v>
      </c>
      <c r="G334">
        <f>VLOOKUP(Table4[[#This Row],[Home]],'NHL Model'!$A$6:$B$38,2,FALSE)</f>
        <v>-0.14226422156549004</v>
      </c>
      <c r="H334" t="s">
        <v>34</v>
      </c>
      <c r="I334">
        <f>VLOOKUP(Table4[[#This Row],[Visitor]],'NHL Model'!$A$6:$B$38,2,FALSE)</f>
        <v>-5.5124787449478845E-2</v>
      </c>
      <c r="J334">
        <f>($B$1+Table4[[#This Row],[Home Differential]])-Table4[[#This Row],[Away Differential]]</f>
        <v>-3.7238685192848738E-2</v>
      </c>
      <c r="K334" t="str">
        <f>IF(Table4[[#This Row],[HomeIce Differential]]&gt;0,Table4[[#This Row],[Home]],Table4[[#This Row],[Visitor]])</f>
        <v>Minnesota Wild</v>
      </c>
      <c r="L3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0.50686072891410305</v>
      </c>
      <c r="M334" t="str">
        <f>IF(OR((NHL2025_26Results[[#This Row],[Winning Team]]="")),"-",IF(Table4[[#This Row],[Predicted Winner]]=NHL2025_26Results[[#This Row],[Winning Team]],"YES","NO"))</f>
        <v>YES</v>
      </c>
      <c r="N334">
        <f>IF(Table4[[#This Row],[Adjusted Correct]]="-", "",IF(Table4[[#This Row],[Adjusted Correct]]="YES",(Table4[[#This Row],[Strength of Win]]-1)^2,(Table4[[#This Row],[Strength of Win]]-0)^2))</f>
        <v>0.24318634068712974</v>
      </c>
      <c r="O334">
        <v>0.85117471333036265</v>
      </c>
      <c r="P334" s="11">
        <v>0.69427003530691833</v>
      </c>
      <c r="Q334" t="s">
        <v>14</v>
      </c>
      <c r="R334" t="s">
        <v>249</v>
      </c>
    </row>
    <row r="335" spans="4:18" x14ac:dyDescent="0.2">
      <c r="D335" s="1">
        <v>45982</v>
      </c>
      <c r="E335" s="2">
        <v>0.83333333333333337</v>
      </c>
      <c r="F335" t="s">
        <v>40</v>
      </c>
      <c r="G335">
        <f>VLOOKUP(Table4[[#This Row],[Home]],'NHL Model'!$A$6:$B$38,2,FALSE)</f>
        <v>-0.31324182378279158</v>
      </c>
      <c r="H335" t="s">
        <v>25</v>
      </c>
      <c r="I335">
        <f>VLOOKUP(Table4[[#This Row],[Visitor]],'NHL Model'!$A$6:$B$38,2,FALSE)</f>
        <v>0.42567513732855267</v>
      </c>
      <c r="J335">
        <f>($B$1+Table4[[#This Row],[Home Differential]])-Table4[[#This Row],[Away Differential]]</f>
        <v>-0.68901621218818176</v>
      </c>
      <c r="K335" t="str">
        <f>IF(Table4[[#This Row],[HomeIce Differential]]&gt;0,Table4[[#This Row],[Home]],Table4[[#This Row],[Visitor]])</f>
        <v>Carolina Hurricanes</v>
      </c>
      <c r="L3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0.61057329385419101</v>
      </c>
      <c r="M335" t="str">
        <f>IF(OR((NHL2025_26Results[[#This Row],[Winning Team]]="")),"-",IF(Table4[[#This Row],[Predicted Winner]]=NHL2025_26Results[[#This Row],[Winning Team]],"YES","NO"))</f>
        <v>YES</v>
      </c>
      <c r="N335">
        <f>IF(Table4[[#This Row],[Adjusted Correct]]="-", "",IF(Table4[[#This Row],[Adjusted Correct]]="YES",(Table4[[#This Row],[Strength of Win]]-1)^2,(Table4[[#This Row],[Strength of Win]]-0)^2))</f>
        <v>0.15165315945957428</v>
      </c>
      <c r="O335">
        <v>-0.25539430832076448</v>
      </c>
      <c r="P335" s="11">
        <v>0.52384786307493458</v>
      </c>
      <c r="Q335" t="s">
        <v>25</v>
      </c>
      <c r="R335" t="s">
        <v>248</v>
      </c>
    </row>
    <row r="336" spans="4:18" x14ac:dyDescent="0.2">
      <c r="D336" s="1">
        <v>45983</v>
      </c>
      <c r="E336" s="2">
        <v>0.91666666666666663</v>
      </c>
      <c r="F336" t="s">
        <v>31</v>
      </c>
      <c r="G336">
        <f>VLOOKUP(Table4[[#This Row],[Home]],'NHL Model'!$A$6:$B$38,2,FALSE)</f>
        <v>0.17870302183926629</v>
      </c>
      <c r="H336" t="s">
        <v>20</v>
      </c>
      <c r="I336">
        <f>VLOOKUP(Table4[[#This Row],[Visitor]],'NHL Model'!$A$6:$B$38,2,FALSE)</f>
        <v>-0.24444083032063643</v>
      </c>
      <c r="J336">
        <f>($B$1+Table4[[#This Row],[Home Differential]])-Table4[[#This Row],[Away Differential]]</f>
        <v>0.47304460108306517</v>
      </c>
      <c r="K336" t="str">
        <f>IF(Table4[[#This Row],[HomeIce Differential]]&gt;0,Table4[[#This Row],[Home]],Table4[[#This Row],[Visitor]])</f>
        <v>Anaheim Ducks</v>
      </c>
      <c r="L3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0.67506964956027538</v>
      </c>
      <c r="M336" t="str">
        <f>IF(OR((NHL2025_26Results[[#This Row],[Winning Team]]="")),"-",IF(Table4[[#This Row],[Predicted Winner]]=NHL2025_26Results[[#This Row],[Winning Team]],"YES","NO"))</f>
        <v>YES</v>
      </c>
      <c r="N336">
        <f>IF(Table4[[#This Row],[Adjusted Correct]]="-", "",IF(Table4[[#This Row],[Adjusted Correct]]="YES",(Table4[[#This Row],[Strength of Win]]-1)^2,(Table4[[#This Row],[Strength of Win]]-0)^2))</f>
        <v>0.10557973263688225</v>
      </c>
      <c r="O336">
        <v>0.35083055975290423</v>
      </c>
      <c r="P336" s="11">
        <v>0.63411411850668342</v>
      </c>
      <c r="Q336" t="s">
        <v>31</v>
      </c>
      <c r="R336" t="s">
        <v>248</v>
      </c>
    </row>
    <row r="337" spans="4:18" x14ac:dyDescent="0.2">
      <c r="D337" s="1">
        <v>45983</v>
      </c>
      <c r="E337" s="2">
        <v>0.91666666666666663</v>
      </c>
      <c r="F337" t="s">
        <v>16</v>
      </c>
      <c r="G337">
        <f>VLOOKUP(Table4[[#This Row],[Home]],'NHL Model'!$A$6:$B$38,2,FALSE)</f>
        <v>-1.0657812790446208</v>
      </c>
      <c r="H337" t="s">
        <v>39</v>
      </c>
      <c r="I337">
        <f>VLOOKUP(Table4[[#This Row],[Visitor]],'NHL Model'!$A$6:$B$38,2,FALSE)</f>
        <v>0.41344250185511977</v>
      </c>
      <c r="J337">
        <f>($B$1+Table4[[#This Row],[Home Differential]])-Table4[[#This Row],[Away Differential]]</f>
        <v>-1.4293230319765782</v>
      </c>
      <c r="K337" t="str">
        <f>IF(Table4[[#This Row],[HomeIce Differential]]&gt;0,Table4[[#This Row],[Home]],Table4[[#This Row],[Visitor]])</f>
        <v>Dallas Stars</v>
      </c>
      <c r="L3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0.72869231209461471</v>
      </c>
      <c r="M337" t="str">
        <f>IF(OR((NHL2025_26Results[[#This Row],[Winning Team]]="")),"-",IF(Table4[[#This Row],[Predicted Winner]]=NHL2025_26Results[[#This Row],[Winning Team]],"YES","NO"))</f>
        <v>NO</v>
      </c>
      <c r="N337">
        <f>IF(Table4[[#This Row],[Adjusted Correct]]="-", "",IF(Table4[[#This Row],[Adjusted Correct]]="YES",(Table4[[#This Row],[Strength of Win]]-1)^2,(Table4[[#This Row],[Strength of Win]]-0)^2))</f>
        <v>0.53099248570579538</v>
      </c>
      <c r="O337">
        <v>-1.3145602311752387</v>
      </c>
      <c r="P337" s="11">
        <v>0.75479145950448245</v>
      </c>
      <c r="Q337" t="s">
        <v>39</v>
      </c>
      <c r="R337" t="s">
        <v>249</v>
      </c>
    </row>
    <row r="338" spans="4:18" x14ac:dyDescent="0.2">
      <c r="D338" s="1">
        <v>45983</v>
      </c>
      <c r="E338" s="2">
        <v>0.54166666666666663</v>
      </c>
      <c r="F338" t="s">
        <v>26</v>
      </c>
      <c r="G338">
        <f>VLOOKUP(Table4[[#This Row],[Home]],'NHL Model'!$A$6:$B$38,2,FALSE)</f>
        <v>-0.87533956503230947</v>
      </c>
      <c r="H338" t="s">
        <v>28</v>
      </c>
      <c r="I338">
        <f>VLOOKUP(Table4[[#This Row],[Visitor]],'NHL Model'!$A$6:$B$38,2,FALSE)</f>
        <v>-0.59498940435054026</v>
      </c>
      <c r="J338">
        <f>($B$1+Table4[[#This Row],[Home Differential]])-Table4[[#This Row],[Away Differential]]</f>
        <v>-0.23044941175860678</v>
      </c>
      <c r="K338" t="str">
        <f>IF(Table4[[#This Row],[HomeIce Differential]]&gt;0,Table4[[#This Row],[Home]],Table4[[#This Row],[Visitor]])</f>
        <v>Columbus Blue Jackets</v>
      </c>
      <c r="L3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0.49048452895378603</v>
      </c>
      <c r="M338" t="str">
        <f>IF(OR((NHL2025_26Results[[#This Row],[Winning Team]]="")),"-",IF(Table4[[#This Row],[Predicted Winner]]=NHL2025_26Results[[#This Row],[Winning Team]],"YES","NO"))</f>
        <v>NO</v>
      </c>
      <c r="N338">
        <f>IF(Table4[[#This Row],[Adjusted Correct]]="-", "",IF(Table4[[#This Row],[Adjusted Correct]]="YES",(Table4[[#This Row],[Strength of Win]]-1)^2,(Table4[[#This Row],[Strength of Win]]-0)^2))</f>
        <v>0.24057507314301735</v>
      </c>
      <c r="O338">
        <v>-2.7241777807757162E-2</v>
      </c>
      <c r="P338" s="11">
        <v>0.46548155836437699</v>
      </c>
      <c r="Q338" t="s">
        <v>28</v>
      </c>
      <c r="R338" t="s">
        <v>249</v>
      </c>
    </row>
    <row r="339" spans="4:18" x14ac:dyDescent="0.2">
      <c r="D339" s="1">
        <v>45983</v>
      </c>
      <c r="E339" s="2">
        <v>0.79166666666666663</v>
      </c>
      <c r="F339" t="s">
        <v>11</v>
      </c>
      <c r="G339">
        <f>VLOOKUP(Table4[[#This Row],[Home]],'NHL Model'!$A$6:$B$38,2,FALSE)</f>
        <v>-0.39711829106410657</v>
      </c>
      <c r="H339" t="s">
        <v>17</v>
      </c>
      <c r="I339">
        <f>VLOOKUP(Table4[[#This Row],[Visitor]],'NHL Model'!$A$6:$B$38,2,FALSE)</f>
        <v>-0.81774666423752174</v>
      </c>
      <c r="J339">
        <f>($B$1+Table4[[#This Row],[Home Differential]])-Table4[[#This Row],[Away Differential]]</f>
        <v>0.47052912209657766</v>
      </c>
      <c r="K339" t="str">
        <f>IF(Table4[[#This Row],[HomeIce Differential]]&gt;0,Table4[[#This Row],[Home]],Table4[[#This Row],[Visitor]])</f>
        <v>Florida Panthers</v>
      </c>
      <c r="L3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0.60895784001759612</v>
      </c>
      <c r="M339" t="str">
        <f>IF(OR((NHL2025_26Results[[#This Row],[Winning Team]]="")),"-",IF(Table4[[#This Row],[Predicted Winner]]=NHL2025_26Results[[#This Row],[Winning Team]],"YES","NO"))</f>
        <v>NO</v>
      </c>
      <c r="N339">
        <f>IF(Table4[[#This Row],[Adjusted Correct]]="-", "",IF(Table4[[#This Row],[Adjusted Correct]]="YES",(Table4[[#This Row],[Strength of Win]]-1)^2,(Table4[[#This Row],[Strength of Win]]-0)^2))</f>
        <v>0.37082965091889619</v>
      </c>
      <c r="O339">
        <v>0.9961571955004499</v>
      </c>
      <c r="P339" s="11">
        <v>0.7567456775048037</v>
      </c>
      <c r="Q339" t="s">
        <v>11</v>
      </c>
      <c r="R339" t="s">
        <v>249</v>
      </c>
    </row>
    <row r="340" spans="4:18" x14ac:dyDescent="0.2">
      <c r="D340" s="1">
        <v>45983</v>
      </c>
      <c r="E340" s="2">
        <v>0.79166666666666663</v>
      </c>
      <c r="F340" t="s">
        <v>18</v>
      </c>
      <c r="G340">
        <f>VLOOKUP(Table4[[#This Row],[Home]],'NHL Model'!$A$6:$B$38,2,FALSE)</f>
        <v>-0.59288962827382519</v>
      </c>
      <c r="H340" t="s">
        <v>19</v>
      </c>
      <c r="I340">
        <f>VLOOKUP(Table4[[#This Row],[Visitor]],'NHL Model'!$A$6:$B$38,2,FALSE)</f>
        <v>-0.63447859131898054</v>
      </c>
      <c r="J340">
        <f>($B$1+Table4[[#This Row],[Home Differential]])-Table4[[#This Row],[Away Differential]]</f>
        <v>9.1489711968317788E-2</v>
      </c>
      <c r="K340" t="str">
        <f>IF(Table4[[#This Row],[HomeIce Differential]]&gt;0,Table4[[#This Row],[Home]],Table4[[#This Row],[Visitor]])</f>
        <v>Montreal Canadiens</v>
      </c>
      <c r="L3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0.55068277416407818</v>
      </c>
      <c r="M340" t="str">
        <f>IF(OR((NHL2025_26Results[[#This Row],[Winning Team]]="")),"-",IF(Table4[[#This Row],[Predicted Winner]]=NHL2025_26Results[[#This Row],[Winning Team]],"YES","NO"))</f>
        <v>YES</v>
      </c>
      <c r="N340">
        <f>IF(Table4[[#This Row],[Adjusted Correct]]="-", "",IF(Table4[[#This Row],[Adjusted Correct]]="YES",(Table4[[#This Row],[Strength of Win]]-1)^2,(Table4[[#This Row],[Strength of Win]]-0)^2))</f>
        <v>0.20188596943288878</v>
      </c>
      <c r="O340">
        <v>8.7699490482638698E-2</v>
      </c>
      <c r="P340" s="11">
        <v>0.55269401670466733</v>
      </c>
      <c r="Q340" t="s">
        <v>18</v>
      </c>
      <c r="R340" t="s">
        <v>248</v>
      </c>
    </row>
    <row r="341" spans="4:18" x14ac:dyDescent="0.2">
      <c r="D341" s="1">
        <v>45983</v>
      </c>
      <c r="E341" s="2">
        <v>0.83333333333333337</v>
      </c>
      <c r="F341" t="s">
        <v>29</v>
      </c>
      <c r="G341">
        <f>VLOOKUP(Table4[[#This Row],[Home]],'NHL Model'!$A$6:$B$38,2,FALSE)</f>
        <v>-1.384917283810061</v>
      </c>
      <c r="H341" t="s">
        <v>12</v>
      </c>
      <c r="I341">
        <f>VLOOKUP(Table4[[#This Row],[Visitor]],'NHL Model'!$A$6:$B$38,2,FALSE)</f>
        <v>1.6319036584269762</v>
      </c>
      <c r="J341">
        <f>($B$1+Table4[[#This Row],[Home Differential]])-Table4[[#This Row],[Away Differential]]</f>
        <v>-2.9669201933138747</v>
      </c>
      <c r="K341" t="str">
        <f>IF(Table4[[#This Row],[HomeIce Differential]]&gt;0,Table4[[#This Row],[Home]],Table4[[#This Row],[Visitor]])</f>
        <v>Colorado Avalanche</v>
      </c>
      <c r="L3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0.8790548902940698</v>
      </c>
      <c r="M341" t="str">
        <f>IF(OR((NHL2025_26Results[[#This Row],[Winning Team]]="")),"-",IF(Table4[[#This Row],[Predicted Winner]]=NHL2025_26Results[[#This Row],[Winning Team]],"YES","NO"))</f>
        <v>YES</v>
      </c>
      <c r="N341">
        <f>IF(Table4[[#This Row],[Adjusted Correct]]="-", "",IF(Table4[[#This Row],[Adjusted Correct]]="YES",(Table4[[#This Row],[Strength of Win]]-1)^2,(Table4[[#This Row],[Strength of Win]]-0)^2))</f>
        <v>1.4627719561779492E-2</v>
      </c>
      <c r="O341">
        <v>-2.8324334758429401</v>
      </c>
      <c r="P341" s="11">
        <v>0.93629488580979015</v>
      </c>
      <c r="Q341" t="s">
        <v>12</v>
      </c>
      <c r="R341" t="s">
        <v>248</v>
      </c>
    </row>
    <row r="342" spans="4:18" x14ac:dyDescent="0.2">
      <c r="D342" s="1">
        <v>45983</v>
      </c>
      <c r="E342" s="2">
        <v>0.64583333333333337</v>
      </c>
      <c r="F342" t="s">
        <v>30</v>
      </c>
      <c r="G342">
        <f>VLOOKUP(Table4[[#This Row],[Home]],'NHL Model'!$A$6:$B$38,2,FALSE)</f>
        <v>-0.24093199744133265</v>
      </c>
      <c r="H342" t="s">
        <v>35</v>
      </c>
      <c r="I342">
        <f>VLOOKUP(Table4[[#This Row],[Visitor]],'NHL Model'!$A$6:$B$38,2,FALSE)</f>
        <v>-1.3944783719477225</v>
      </c>
      <c r="J342">
        <f>($B$1+Table4[[#This Row],[Home Differential]])-Table4[[#This Row],[Away Differential]]</f>
        <v>1.2034471234295523</v>
      </c>
      <c r="K342" t="str">
        <f>IF(Table4[[#This Row],[HomeIce Differential]]&gt;0,Table4[[#This Row],[Home]],Table4[[#This Row],[Visitor]])</f>
        <v>New York Islanders</v>
      </c>
      <c r="L3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0.68052021327227918</v>
      </c>
      <c r="M342" t="str">
        <f>IF(OR((NHL2025_26Results[[#This Row],[Winning Team]]="")),"-",IF(Table4[[#This Row],[Predicted Winner]]=NHL2025_26Results[[#This Row],[Winning Team]],"YES","NO"))</f>
        <v>NO</v>
      </c>
      <c r="N342">
        <f>IF(Table4[[#This Row],[Adjusted Correct]]="-", "",IF(Table4[[#This Row],[Adjusted Correct]]="YES",(Table4[[#This Row],[Strength of Win]]-1)^2,(Table4[[#This Row],[Strength of Win]]-0)^2))</f>
        <v>0.46310776067214837</v>
      </c>
      <c r="O342">
        <v>2.0199769732341921</v>
      </c>
      <c r="P342" s="11">
        <v>0.83238050643354911</v>
      </c>
      <c r="Q342" t="s">
        <v>30</v>
      </c>
      <c r="R342" t="s">
        <v>249</v>
      </c>
    </row>
    <row r="343" spans="4:18" x14ac:dyDescent="0.2">
      <c r="D343" s="1">
        <v>45983</v>
      </c>
      <c r="E343" s="2">
        <v>0.79166666666666663</v>
      </c>
      <c r="F343" t="s">
        <v>27</v>
      </c>
      <c r="G343">
        <f>VLOOKUP(Table4[[#This Row],[Home]],'NHL Model'!$A$6:$B$38,2,FALSE)</f>
        <v>-0.38023958350631604</v>
      </c>
      <c r="H343" t="s">
        <v>24</v>
      </c>
      <c r="I343">
        <f>VLOOKUP(Table4[[#This Row],[Visitor]],'NHL Model'!$A$6:$B$38,2,FALSE)</f>
        <v>1.5302507646042616E-3</v>
      </c>
      <c r="J343">
        <f>($B$1+Table4[[#This Row],[Home Differential]])-Table4[[#This Row],[Away Differential]]</f>
        <v>-0.33186908534775783</v>
      </c>
      <c r="K343" t="str">
        <f>IF(Table4[[#This Row],[HomeIce Differential]]&gt;0,Table4[[#This Row],[Home]],Table4[[#This Row],[Visitor]])</f>
        <v>New Jersey Devils</v>
      </c>
      <c r="L3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0.50541728041913958</v>
      </c>
      <c r="M343" t="str">
        <f>IF(OR((NHL2025_26Results[[#This Row],[Winning Team]]="")),"-",IF(Table4[[#This Row],[Predicted Winner]]=NHL2025_26Results[[#This Row],[Winning Team]],"YES","NO"))</f>
        <v>NO</v>
      </c>
      <c r="N343">
        <f>IF(Table4[[#This Row],[Adjusted Correct]]="-", "",IF(Table4[[#This Row],[Adjusted Correct]]="YES",(Table4[[#This Row],[Strength of Win]]-1)^2,(Table4[[#This Row],[Strength of Win]]-0)^2))</f>
        <v>0.25544662734627915</v>
      </c>
      <c r="O343">
        <v>-0.62951222682911823</v>
      </c>
      <c r="P343" s="11">
        <v>0.55265687829531895</v>
      </c>
      <c r="Q343" t="s">
        <v>24</v>
      </c>
      <c r="R343" t="s">
        <v>249</v>
      </c>
    </row>
    <row r="344" spans="4:18" x14ac:dyDescent="0.2">
      <c r="D344" s="1">
        <v>45983</v>
      </c>
      <c r="E344" s="2">
        <v>0.79166666666666663</v>
      </c>
      <c r="F344" t="s">
        <v>14</v>
      </c>
      <c r="G344">
        <f>VLOOKUP(Table4[[#This Row],[Home]],'NHL Model'!$A$6:$B$38,2,FALSE)</f>
        <v>-0.14226422156549004</v>
      </c>
      <c r="H344" t="s">
        <v>32</v>
      </c>
      <c r="I344">
        <f>VLOOKUP(Table4[[#This Row],[Visitor]],'NHL Model'!$A$6:$B$38,2,FALSE)</f>
        <v>-0.64937723527808999</v>
      </c>
      <c r="J344">
        <f>($B$1+Table4[[#This Row],[Home Differential]])-Table4[[#This Row],[Away Differential]]</f>
        <v>0.55701376263576241</v>
      </c>
      <c r="K344" t="str">
        <f>IF(Table4[[#This Row],[HomeIce Differential]]&gt;0,Table4[[#This Row],[Home]],Table4[[#This Row],[Visitor]])</f>
        <v>Pittsburgh Penguins</v>
      </c>
      <c r="L3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0.60503957772412587</v>
      </c>
      <c r="M344" t="str">
        <f>IF(OR((NHL2025_26Results[[#This Row],[Winning Team]]="")),"-",IF(Table4[[#This Row],[Predicted Winner]]=NHL2025_26Results[[#This Row],[Winning Team]],"YES","NO"))</f>
        <v>NO</v>
      </c>
      <c r="N344">
        <f>IF(Table4[[#This Row],[Adjusted Correct]]="-", "",IF(Table4[[#This Row],[Adjusted Correct]]="YES",(Table4[[#This Row],[Strength of Win]]-1)^2,(Table4[[#This Row],[Strength of Win]]-0)^2))</f>
        <v>0.36607289061258852</v>
      </c>
      <c r="O344">
        <v>0.5565548983595684</v>
      </c>
      <c r="P344" s="11">
        <v>0.62760419841259008</v>
      </c>
      <c r="Q344" t="s">
        <v>14</v>
      </c>
      <c r="R344" t="s">
        <v>249</v>
      </c>
    </row>
    <row r="345" spans="4:18" x14ac:dyDescent="0.2">
      <c r="D345" s="1">
        <v>45983</v>
      </c>
      <c r="E345" s="2">
        <v>0.79166666666666663</v>
      </c>
      <c r="F345" t="s">
        <v>33</v>
      </c>
      <c r="G345">
        <f>VLOOKUP(Table4[[#This Row],[Home]],'NHL Model'!$A$6:$B$38,2,FALSE)</f>
        <v>-0.45133099238224339</v>
      </c>
      <c r="H345" t="s">
        <v>36</v>
      </c>
      <c r="I345">
        <f>VLOOKUP(Table4[[#This Row],[Visitor]],'NHL Model'!$A$6:$B$38,2,FALSE)</f>
        <v>-0.53137605086483863</v>
      </c>
      <c r="J345">
        <f>($B$1+Table4[[#This Row],[Home Differential]])-Table4[[#This Row],[Away Differential]]</f>
        <v>0.12994580740575773</v>
      </c>
      <c r="K345" t="str">
        <f>IF(Table4[[#This Row],[HomeIce Differential]]&gt;0,Table4[[#This Row],[Home]],Table4[[#This Row],[Visitor]])</f>
        <v>San Jose Sharks</v>
      </c>
      <c r="L3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0.56529534026661288</v>
      </c>
      <c r="M345" t="str">
        <f>IF(OR((NHL2025_26Results[[#This Row],[Winning Team]]="")),"-",IF(Table4[[#This Row],[Predicted Winner]]=NHL2025_26Results[[#This Row],[Winning Team]],"YES","NO"))</f>
        <v>NO</v>
      </c>
      <c r="N345">
        <f>IF(Table4[[#This Row],[Adjusted Correct]]="-", "",IF(Table4[[#This Row],[Adjusted Correct]]="YES",(Table4[[#This Row],[Strength of Win]]-1)^2,(Table4[[#This Row],[Strength of Win]]-0)^2))</f>
        <v>0.31955882172714561</v>
      </c>
      <c r="O345">
        <v>0.15589348570276917</v>
      </c>
      <c r="P345" s="11">
        <v>0.5625647207386173</v>
      </c>
      <c r="Q345" t="s">
        <v>33</v>
      </c>
      <c r="R345" t="s">
        <v>249</v>
      </c>
    </row>
    <row r="346" spans="4:18" x14ac:dyDescent="0.2">
      <c r="D346" s="1">
        <v>45983</v>
      </c>
      <c r="E346" s="2">
        <v>0.875</v>
      </c>
      <c r="F346" t="s">
        <v>55</v>
      </c>
      <c r="G346">
        <f>VLOOKUP(Table4[[#This Row],[Home]],'NHL Model'!$A$6:$B$38,2,FALSE)</f>
        <v>-0.4031232890211825</v>
      </c>
      <c r="H346" t="s">
        <v>15</v>
      </c>
      <c r="I346">
        <f>VLOOKUP(Table4[[#This Row],[Visitor]],'NHL Model'!$A$6:$B$38,2,FALSE)</f>
        <v>-0.29003398448394263</v>
      </c>
      <c r="J346">
        <f>($B$1+Table4[[#This Row],[Home Differential]])-Table4[[#This Row],[Away Differential]]</f>
        <v>-6.318855561407738E-2</v>
      </c>
      <c r="K346" t="str">
        <f>IF(Table4[[#This Row],[HomeIce Differential]]&gt;0,Table4[[#This Row],[Home]],Table4[[#This Row],[Visitor]])</f>
        <v>New York Rangers</v>
      </c>
      <c r="L3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0.52669150118549424</v>
      </c>
      <c r="M346" t="str">
        <f>IF(OR((NHL2025_26Results[[#This Row],[Winning Team]]="")),"-",IF(Table4[[#This Row],[Predicted Winner]]=NHL2025_26Results[[#This Row],[Winning Team]],"YES","NO"))</f>
        <v>NO</v>
      </c>
      <c r="N346">
        <f>IF(Table4[[#This Row],[Adjusted Correct]]="-", "",IF(Table4[[#This Row],[Adjusted Correct]]="YES",(Table4[[#This Row],[Strength of Win]]-1)^2,(Table4[[#This Row],[Strength of Win]]-0)^2))</f>
        <v>0.27740393742102948</v>
      </c>
      <c r="O346">
        <v>0.24676642907599033</v>
      </c>
      <c r="P346" s="11">
        <v>0.51017063196028578</v>
      </c>
      <c r="Q346" t="s">
        <v>55</v>
      </c>
      <c r="R346" t="s">
        <v>248</v>
      </c>
    </row>
    <row r="347" spans="4:18" x14ac:dyDescent="0.2">
      <c r="D347" s="1">
        <v>45983</v>
      </c>
      <c r="E347" s="2">
        <v>0.79166666666666663</v>
      </c>
      <c r="F347" t="s">
        <v>22</v>
      </c>
      <c r="G347">
        <f>VLOOKUP(Table4[[#This Row],[Home]],'NHL Model'!$A$6:$B$38,2,FALSE)</f>
        <v>0.4407072328537569</v>
      </c>
      <c r="H347" t="s">
        <v>37</v>
      </c>
      <c r="I347">
        <f>VLOOKUP(Table4[[#This Row],[Visitor]],'NHL Model'!$A$6:$B$38,2,FALSE)</f>
        <v>0.51050494674660429</v>
      </c>
      <c r="J347">
        <f>($B$1+Table4[[#This Row],[Home Differential]])-Table4[[#This Row],[Away Differential]]</f>
        <v>-1.9896964969684905E-2</v>
      </c>
      <c r="K347" t="str">
        <f>IF(Table4[[#This Row],[HomeIce Differential]]&gt;0,Table4[[#This Row],[Home]],Table4[[#This Row],[Visitor]])</f>
        <v>Tampa Bay Lightning</v>
      </c>
      <c r="L3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0.52863905379213916</v>
      </c>
      <c r="M347" t="str">
        <f>IF(OR((NHL2025_26Results[[#This Row],[Winning Team]]="")),"-",IF(Table4[[#This Row],[Predicted Winner]]=NHL2025_26Results[[#This Row],[Winning Team]],"YES","NO"))</f>
        <v>YES</v>
      </c>
      <c r="N347">
        <f>IF(Table4[[#This Row],[Adjusted Correct]]="-", "",IF(Table4[[#This Row],[Adjusted Correct]]="YES",(Table4[[#This Row],[Strength of Win]]-1)^2,(Table4[[#This Row],[Strength of Win]]-0)^2))</f>
        <v>0.22218114160996988</v>
      </c>
      <c r="O347">
        <v>0.32046219614576843</v>
      </c>
      <c r="P347" s="11">
        <v>0.5417979763641656</v>
      </c>
      <c r="Q347" t="s">
        <v>22</v>
      </c>
      <c r="R347" t="s">
        <v>249</v>
      </c>
    </row>
    <row r="348" spans="4:18" x14ac:dyDescent="0.2">
      <c r="D348" s="1">
        <v>45984</v>
      </c>
      <c r="E348" s="2">
        <v>0.54166666666666663</v>
      </c>
      <c r="F348" t="s">
        <v>23</v>
      </c>
      <c r="G348">
        <f>VLOOKUP(Table4[[#This Row],[Home]],'NHL Model'!$A$6:$B$38,2,FALSE)</f>
        <v>-0.4761104357405897</v>
      </c>
      <c r="H348" t="s">
        <v>25</v>
      </c>
      <c r="I348">
        <f>VLOOKUP(Table4[[#This Row],[Visitor]],'NHL Model'!$A$6:$B$38,2,FALSE)</f>
        <v>0.42567513732855267</v>
      </c>
      <c r="J348">
        <f>($B$1+Table4[[#This Row],[Home Differential]])-Table4[[#This Row],[Away Differential]]</f>
        <v>-0.85188482414597988</v>
      </c>
      <c r="K348" t="str">
        <f>IF(Table4[[#This Row],[HomeIce Differential]]&gt;0,Table4[[#This Row],[Home]],Table4[[#This Row],[Visitor]])</f>
        <v>Carolina Hurricanes</v>
      </c>
      <c r="L3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0.62191910573354303</v>
      </c>
      <c r="M348" t="str">
        <f>IF(OR((NHL2025_26Results[[#This Row],[Winning Team]]="")),"-",IF(Table4[[#This Row],[Predicted Winner]]=NHL2025_26Results[[#This Row],[Winning Team]],"YES","NO"))</f>
        <v>NO</v>
      </c>
      <c r="N348">
        <f>IF(Table4[[#This Row],[Adjusted Correct]]="-", "",IF(Table4[[#This Row],[Adjusted Correct]]="YES",(Table4[[#This Row],[Strength of Win]]-1)^2,(Table4[[#This Row],[Strength of Win]]-0)^2))</f>
        <v>0.38678337407640989</v>
      </c>
      <c r="O348">
        <v>-1.1553375094290299</v>
      </c>
      <c r="P348" s="11">
        <v>0.70099892727625412</v>
      </c>
      <c r="Q348" t="s">
        <v>25</v>
      </c>
      <c r="R348" t="s">
        <v>249</v>
      </c>
    </row>
    <row r="349" spans="4:18" x14ac:dyDescent="0.2">
      <c r="D349" s="1">
        <v>45984</v>
      </c>
      <c r="E349" s="2">
        <v>0.79166666666666663</v>
      </c>
      <c r="F349" t="s">
        <v>10</v>
      </c>
      <c r="G349">
        <f>VLOOKUP(Table4[[#This Row],[Home]],'NHL Model'!$A$6:$B$38,2,FALSE)</f>
        <v>-0.17619625518431364</v>
      </c>
      <c r="H349" t="s">
        <v>12</v>
      </c>
      <c r="I349">
        <f>VLOOKUP(Table4[[#This Row],[Visitor]],'NHL Model'!$A$6:$B$38,2,FALSE)</f>
        <v>1.6319036584269762</v>
      </c>
      <c r="J349">
        <f>($B$1+Table4[[#This Row],[Home Differential]])-Table4[[#This Row],[Away Differential]]</f>
        <v>-1.7581991646881274</v>
      </c>
      <c r="K349" t="str">
        <f>IF(Table4[[#This Row],[HomeIce Differential]]&gt;0,Table4[[#This Row],[Home]],Table4[[#This Row],[Visitor]])</f>
        <v>Colorado Avalanche</v>
      </c>
      <c r="L3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0.73791887075284956</v>
      </c>
      <c r="M349" t="str">
        <f>IF(OR((NHL2025_26Results[[#This Row],[Winning Team]]="")),"-",IF(Table4[[#This Row],[Predicted Winner]]=NHL2025_26Results[[#This Row],[Winning Team]],"YES","NO"))</f>
        <v>YES</v>
      </c>
      <c r="N349">
        <f>IF(Table4[[#This Row],[Adjusted Correct]]="-", "",IF(Table4[[#This Row],[Adjusted Correct]]="YES",(Table4[[#This Row],[Strength of Win]]-1)^2,(Table4[[#This Row],[Strength of Win]]-0)^2))</f>
        <v>6.8686518307461572E-2</v>
      </c>
      <c r="O349">
        <v>-1.497385574780876</v>
      </c>
      <c r="P349" s="11">
        <v>0.73343954118531374</v>
      </c>
      <c r="Q349" t="s">
        <v>12</v>
      </c>
      <c r="R349" t="s">
        <v>248</v>
      </c>
    </row>
    <row r="350" spans="4:18" x14ac:dyDescent="0.2">
      <c r="D350" s="1">
        <v>45984</v>
      </c>
      <c r="E350" s="2">
        <v>0.70833333333333337</v>
      </c>
      <c r="F350" t="s">
        <v>30</v>
      </c>
      <c r="G350">
        <f>VLOOKUP(Table4[[#This Row],[Home]],'NHL Model'!$A$6:$B$38,2,FALSE)</f>
        <v>-0.24093199744133265</v>
      </c>
      <c r="H350" t="s">
        <v>32</v>
      </c>
      <c r="I350">
        <f>VLOOKUP(Table4[[#This Row],[Visitor]],'NHL Model'!$A$6:$B$38,2,FALSE)</f>
        <v>-0.64937723527808999</v>
      </c>
      <c r="J350">
        <f>($B$1+Table4[[#This Row],[Home Differential]])-Table4[[#This Row],[Away Differential]]</f>
        <v>0.45834598675991978</v>
      </c>
      <c r="K350" t="str">
        <f>IF(Table4[[#This Row],[HomeIce Differential]]&gt;0,Table4[[#This Row],[Home]],Table4[[#This Row],[Visitor]])</f>
        <v>New York Islanders</v>
      </c>
      <c r="L3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0.59351865865818199</v>
      </c>
      <c r="M350" t="str">
        <f>IF(OR((NHL2025_26Results[[#This Row],[Winning Team]]="")),"-",IF(Table4[[#This Row],[Predicted Winner]]=NHL2025_26Results[[#This Row],[Winning Team]],"YES","NO"))</f>
        <v>YES</v>
      </c>
      <c r="N350">
        <f>IF(Table4[[#This Row],[Adjusted Correct]]="-", "",IF(Table4[[#This Row],[Adjusted Correct]]="YES",(Table4[[#This Row],[Strength of Win]]-1)^2,(Table4[[#This Row],[Strength of Win]]-0)^2))</f>
        <v>0.16522708085904358</v>
      </c>
      <c r="O350">
        <v>0.56872507900142899</v>
      </c>
      <c r="P350" s="11">
        <v>0.61310670585544091</v>
      </c>
      <c r="Q350" t="s">
        <v>30</v>
      </c>
      <c r="R350" t="s">
        <v>248</v>
      </c>
    </row>
    <row r="351" spans="4:18" x14ac:dyDescent="0.2">
      <c r="D351" s="1">
        <v>45984</v>
      </c>
      <c r="E351" s="2">
        <v>0.83333333333333337</v>
      </c>
      <c r="F351" t="s">
        <v>33</v>
      </c>
      <c r="G351">
        <f>VLOOKUP(Table4[[#This Row],[Home]],'NHL Model'!$A$6:$B$38,2,FALSE)</f>
        <v>-0.45133099238224339</v>
      </c>
      <c r="H351" t="s">
        <v>21</v>
      </c>
      <c r="I351">
        <f>VLOOKUP(Table4[[#This Row],[Visitor]],'NHL Model'!$A$6:$B$38,2,FALSE)</f>
        <v>-0.21976976044773161</v>
      </c>
      <c r="J351">
        <f>($B$1+Table4[[#This Row],[Home Differential]])-Table4[[#This Row],[Away Differential]]</f>
        <v>-0.18166048301134929</v>
      </c>
      <c r="K351" t="str">
        <f>IF(Table4[[#This Row],[HomeIce Differential]]&gt;0,Table4[[#This Row],[Home]],Table4[[#This Row],[Visitor]])</f>
        <v>Boston Bruins</v>
      </c>
      <c r="L3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0.47191576786106304</v>
      </c>
      <c r="M351" t="str">
        <f>IF(OR((NHL2025_26Results[[#This Row],[Winning Team]]="")),"-",IF(Table4[[#This Row],[Predicted Winner]]=NHL2025_26Results[[#This Row],[Winning Team]],"YES","NO"))</f>
        <v>NO</v>
      </c>
      <c r="N351">
        <f>IF(Table4[[#This Row],[Adjusted Correct]]="-", "",IF(Table4[[#This Row],[Adjusted Correct]]="YES",(Table4[[#This Row],[Strength of Win]]-1)^2,(Table4[[#This Row],[Strength of Win]]-0)^2))</f>
        <v>0.22270449195589673</v>
      </c>
      <c r="O351">
        <v>-0.26335232576134848</v>
      </c>
      <c r="P351" s="11">
        <v>0.49385259719790342</v>
      </c>
      <c r="Q351" t="s">
        <v>21</v>
      </c>
      <c r="R351" t="s">
        <v>249</v>
      </c>
    </row>
    <row r="352" spans="4:18" x14ac:dyDescent="0.2">
      <c r="D352" s="1">
        <v>45984</v>
      </c>
      <c r="E352" s="2">
        <v>0.875</v>
      </c>
      <c r="F352" t="s">
        <v>38</v>
      </c>
      <c r="G352">
        <f>VLOOKUP(Table4[[#This Row],[Home]],'NHL Model'!$A$6:$B$38,2,FALSE)</f>
        <v>-0.9476777551108041</v>
      </c>
      <c r="H352" t="s">
        <v>16</v>
      </c>
      <c r="I352">
        <f>VLOOKUP(Table4[[#This Row],[Visitor]],'NHL Model'!$A$6:$B$38,2,FALSE)</f>
        <v>-1.0657812790446208</v>
      </c>
      <c r="J352">
        <f>($B$1+Table4[[#This Row],[Home Differential]])-Table4[[#This Row],[Away Differential]]</f>
        <v>0.16800427285697916</v>
      </c>
      <c r="K352" t="str">
        <f>IF(Table4[[#This Row],[HomeIce Differential]]&gt;0,Table4[[#This Row],[Home]],Table4[[#This Row],[Visitor]])</f>
        <v>Vancouver Canucks</v>
      </c>
      <c r="L3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0.55961697842215075</v>
      </c>
      <c r="M352" t="str">
        <f>IF(OR((NHL2025_26Results[[#This Row],[Winning Team]]="")),"-",IF(Table4[[#This Row],[Predicted Winner]]=NHL2025_26Results[[#This Row],[Winning Team]],"YES","NO"))</f>
        <v>NO</v>
      </c>
      <c r="N352">
        <f>IF(Table4[[#This Row],[Adjusted Correct]]="-", "",IF(Table4[[#This Row],[Adjusted Correct]]="YES",(Table4[[#This Row],[Strength of Win]]-1)^2,(Table4[[#This Row],[Strength of Win]]-0)^2))</f>
        <v>0.31317116253833793</v>
      </c>
      <c r="O352">
        <v>0.39085456221226722</v>
      </c>
      <c r="P352" s="11">
        <v>0.59024235886006637</v>
      </c>
      <c r="Q352" t="s">
        <v>38</v>
      </c>
      <c r="R352" t="s">
        <v>249</v>
      </c>
    </row>
    <row r="353" spans="4:18" x14ac:dyDescent="0.2">
      <c r="D353" s="1">
        <v>45984</v>
      </c>
      <c r="E353" s="2">
        <v>0.66666666666666663</v>
      </c>
      <c r="F353" t="s">
        <v>40</v>
      </c>
      <c r="G353">
        <f>VLOOKUP(Table4[[#This Row],[Home]],'NHL Model'!$A$6:$B$38,2,FALSE)</f>
        <v>-0.31324182378279158</v>
      </c>
      <c r="H353" t="s">
        <v>34</v>
      </c>
      <c r="I353">
        <f>VLOOKUP(Table4[[#This Row],[Visitor]],'NHL Model'!$A$6:$B$38,2,FALSE)</f>
        <v>-5.5124787449478845E-2</v>
      </c>
      <c r="J353">
        <f>($B$1+Table4[[#This Row],[Home Differential]])-Table4[[#This Row],[Away Differential]]</f>
        <v>-0.20821628741015025</v>
      </c>
      <c r="K353" t="str">
        <f>IF(Table4[[#This Row],[HomeIce Differential]]&gt;0,Table4[[#This Row],[Home]],Table4[[#This Row],[Visitor]])</f>
        <v>Minnesota Wild</v>
      </c>
      <c r="L3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0.52431232460821053</v>
      </c>
      <c r="M353" t="str">
        <f>IF(OR((NHL2025_26Results[[#This Row],[Winning Team]]="")),"-",IF(Table4[[#This Row],[Predicted Winner]]=NHL2025_26Results[[#This Row],[Winning Team]],"YES","NO"))</f>
        <v>YES</v>
      </c>
      <c r="N353">
        <f>IF(Table4[[#This Row],[Adjusted Correct]]="-", "",IF(Table4[[#This Row],[Adjusted Correct]]="YES",(Table4[[#This Row],[Strength of Win]]-1)^2,(Table4[[#This Row],[Strength of Win]]-0)^2))</f>
        <v>0.22627876451964446</v>
      </c>
      <c r="O353">
        <v>0.52991866462573989</v>
      </c>
      <c r="P353" s="11">
        <v>0.63415607522336903</v>
      </c>
      <c r="Q353" t="s">
        <v>40</v>
      </c>
      <c r="R353" t="s">
        <v>249</v>
      </c>
    </row>
    <row r="354" spans="4:18" x14ac:dyDescent="0.2">
      <c r="D354" s="1">
        <v>45985</v>
      </c>
      <c r="E354" s="2">
        <v>0.875</v>
      </c>
      <c r="F354" t="s">
        <v>13</v>
      </c>
      <c r="G354">
        <f>VLOOKUP(Table4[[#This Row],[Home]],'NHL Model'!$A$6:$B$38,2,FALSE)</f>
        <v>-0.33828359867721369</v>
      </c>
      <c r="H354" t="s">
        <v>36</v>
      </c>
      <c r="I354">
        <f>VLOOKUP(Table4[[#This Row],[Visitor]],'NHL Model'!$A$6:$B$38,2,FALSE)</f>
        <v>-0.53137605086483863</v>
      </c>
      <c r="J354">
        <f>($B$1+Table4[[#This Row],[Home Differential]])-Table4[[#This Row],[Away Differential]]</f>
        <v>0.24299320111078743</v>
      </c>
      <c r="K354" t="str">
        <f>IF(Table4[[#This Row],[HomeIce Differential]]&gt;0,Table4[[#This Row],[Home]],Table4[[#This Row],[Visitor]])</f>
        <v>Los Angeles Kings</v>
      </c>
      <c r="L3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0.56837304255337362</v>
      </c>
      <c r="M354" t="str">
        <f>IF(OR((NHL2025_26Results[[#This Row],[Winning Team]]="")),"-",IF(Table4[[#This Row],[Predicted Winner]]=NHL2025_26Results[[#This Row],[Winning Team]],"YES","NO"))</f>
        <v>YES</v>
      </c>
      <c r="N354">
        <f>IF(Table4[[#This Row],[Adjusted Correct]]="-", "",IF(Table4[[#This Row],[Adjusted Correct]]="YES",(Table4[[#This Row],[Strength of Win]]-1)^2,(Table4[[#This Row],[Strength of Win]]-0)^2))</f>
        <v>0.18630183039463183</v>
      </c>
      <c r="O354">
        <v>9.3721380934514265E-2</v>
      </c>
      <c r="P354" s="11">
        <v>0.53173116118438857</v>
      </c>
      <c r="Q354" t="s">
        <v>13</v>
      </c>
      <c r="R354" t="s">
        <v>248</v>
      </c>
    </row>
    <row r="355" spans="4:18" x14ac:dyDescent="0.2">
      <c r="D355" s="1">
        <v>45985</v>
      </c>
      <c r="E355" s="2">
        <v>0.79166666666666663</v>
      </c>
      <c r="F355" t="s">
        <v>24</v>
      </c>
      <c r="G355">
        <f>VLOOKUP(Table4[[#This Row],[Home]],'NHL Model'!$A$6:$B$38,2,FALSE)</f>
        <v>1.5302507646042616E-3</v>
      </c>
      <c r="H355" t="s">
        <v>26</v>
      </c>
      <c r="I355">
        <f>VLOOKUP(Table4[[#This Row],[Visitor]],'NHL Model'!$A$6:$B$38,2,FALSE)</f>
        <v>-0.87533956503230947</v>
      </c>
      <c r="J355">
        <f>($B$1+Table4[[#This Row],[Home Differential]])-Table4[[#This Row],[Away Differential]]</f>
        <v>0.92677056472007624</v>
      </c>
      <c r="K355" t="str">
        <f>IF(Table4[[#This Row],[HomeIce Differential]]&gt;0,Table4[[#This Row],[Home]],Table4[[#This Row],[Visitor]])</f>
        <v>New Jersey Devils</v>
      </c>
      <c r="L3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0.72804885233218297</v>
      </c>
      <c r="M355" t="str">
        <f>IF(OR((NHL2025_26Results[[#This Row],[Winning Team]]="")),"-",IF(Table4[[#This Row],[Predicted Winner]]=NHL2025_26Results[[#This Row],[Winning Team]],"YES","NO"))</f>
        <v>YES</v>
      </c>
      <c r="N355">
        <f>IF(Table4[[#This Row],[Adjusted Correct]]="-", "",IF(Table4[[#This Row],[Adjusted Correct]]="YES",(Table4[[#This Row],[Strength of Win]]-1)^2,(Table4[[#This Row],[Strength of Win]]-0)^2))</f>
        <v>7.395742671784282E-2</v>
      </c>
      <c r="O355">
        <v>0.78286798130694091</v>
      </c>
      <c r="P355" s="11">
        <v>0.71606803153678844</v>
      </c>
      <c r="Q355" t="s">
        <v>24</v>
      </c>
      <c r="R355" t="s">
        <v>248</v>
      </c>
    </row>
    <row r="356" spans="4:18" x14ac:dyDescent="0.2">
      <c r="D356" s="1">
        <v>45985</v>
      </c>
      <c r="E356" s="2">
        <v>0.83333333333333337</v>
      </c>
      <c r="F356" t="s">
        <v>29</v>
      </c>
      <c r="G356">
        <f>VLOOKUP(Table4[[#This Row],[Home]],'NHL Model'!$A$6:$B$38,2,FALSE)</f>
        <v>-1.384917283810061</v>
      </c>
      <c r="H356" t="s">
        <v>11</v>
      </c>
      <c r="I356">
        <f>VLOOKUP(Table4[[#This Row],[Visitor]],'NHL Model'!$A$6:$B$38,2,FALSE)</f>
        <v>-0.39711829106410657</v>
      </c>
      <c r="J356">
        <f>($B$1+Table4[[#This Row],[Home Differential]])-Table4[[#This Row],[Away Differential]]</f>
        <v>-0.93789824382279197</v>
      </c>
      <c r="K356" t="str">
        <f>IF(Table4[[#This Row],[HomeIce Differential]]&gt;0,Table4[[#This Row],[Home]],Table4[[#This Row],[Visitor]])</f>
        <v>Florida Panthers</v>
      </c>
      <c r="L3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0.56951346235644551</v>
      </c>
      <c r="M356" t="str">
        <f>IF(OR((NHL2025_26Results[[#This Row],[Winning Team]]="")),"-",IF(Table4[[#This Row],[Predicted Winner]]=NHL2025_26Results[[#This Row],[Winning Team]],"YES","NO"))</f>
        <v>YES</v>
      </c>
      <c r="N356">
        <f>IF(Table4[[#This Row],[Adjusted Correct]]="-", "",IF(Table4[[#This Row],[Adjusted Correct]]="YES",(Table4[[#This Row],[Strength of Win]]-1)^2,(Table4[[#This Row],[Strength of Win]]-0)^2))</f>
        <v>0.18531865909233547</v>
      </c>
      <c r="O356">
        <v>-0.97982230762313482</v>
      </c>
      <c r="P356" s="11">
        <v>0.59068696564284606</v>
      </c>
      <c r="Q356" t="s">
        <v>11</v>
      </c>
      <c r="R356" t="s">
        <v>248</v>
      </c>
    </row>
    <row r="357" spans="4:18" x14ac:dyDescent="0.2">
      <c r="D357" s="1">
        <v>45985</v>
      </c>
      <c r="E357" s="2">
        <v>0.79166666666666663</v>
      </c>
      <c r="F357" t="s">
        <v>15</v>
      </c>
      <c r="G357">
        <f>VLOOKUP(Table4[[#This Row],[Home]],'NHL Model'!$A$6:$B$38,2,FALSE)</f>
        <v>-0.29003398448394263</v>
      </c>
      <c r="H357" t="s">
        <v>35</v>
      </c>
      <c r="I357">
        <f>VLOOKUP(Table4[[#This Row],[Visitor]],'NHL Model'!$A$6:$B$38,2,FALSE)</f>
        <v>-1.3944783719477225</v>
      </c>
      <c r="J357">
        <f>($B$1+Table4[[#This Row],[Home Differential]])-Table4[[#This Row],[Away Differential]]</f>
        <v>1.1543451363869424</v>
      </c>
      <c r="K357" t="str">
        <f>IF(Table4[[#This Row],[HomeIce Differential]]&gt;0,Table4[[#This Row],[Home]],Table4[[#This Row],[Visitor]])</f>
        <v>New York Rangers</v>
      </c>
      <c r="L3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0.67478683159144781</v>
      </c>
      <c r="M357" t="str">
        <f>IF(OR((NHL2025_26Results[[#This Row],[Winning Team]]="")),"-",IF(Table4[[#This Row],[Predicted Winner]]=NHL2025_26Results[[#This Row],[Winning Team]],"YES","NO"))</f>
        <v>YES</v>
      </c>
      <c r="N357">
        <f>IF(Table4[[#This Row],[Adjusted Correct]]="-", "",IF(Table4[[#This Row],[Adjusted Correct]]="YES",(Table4[[#This Row],[Strength of Win]]-1)^2,(Table4[[#This Row],[Strength of Win]]-0)^2))</f>
        <v>0.10576360490632933</v>
      </c>
      <c r="O357">
        <v>1.196163802115674</v>
      </c>
      <c r="P357" s="11">
        <v>0.69954221137250649</v>
      </c>
      <c r="Q357" t="s">
        <v>15</v>
      </c>
      <c r="R357" t="s">
        <v>248</v>
      </c>
    </row>
    <row r="358" spans="4:18" x14ac:dyDescent="0.2">
      <c r="D358" s="1">
        <v>45985</v>
      </c>
      <c r="E358" s="2">
        <v>0.79166666666666663</v>
      </c>
      <c r="F358" t="s">
        <v>37</v>
      </c>
      <c r="G358">
        <f>VLOOKUP(Table4[[#This Row],[Home]],'NHL Model'!$A$6:$B$38,2,FALSE)</f>
        <v>0.51050494674660429</v>
      </c>
      <c r="H358" t="s">
        <v>27</v>
      </c>
      <c r="I358">
        <f>VLOOKUP(Table4[[#This Row],[Visitor]],'NHL Model'!$A$6:$B$38,2,FALSE)</f>
        <v>-0.38023958350631604</v>
      </c>
      <c r="J358">
        <f>($B$1+Table4[[#This Row],[Home Differential]])-Table4[[#This Row],[Away Differential]]</f>
        <v>0.94064527917608276</v>
      </c>
      <c r="K358" t="str">
        <f>IF(Table4[[#This Row],[HomeIce Differential]]&gt;0,Table4[[#This Row],[Home]],Table4[[#This Row],[Visitor]])</f>
        <v>Tampa Bay Lightning</v>
      </c>
      <c r="L3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0.6399547012050012</v>
      </c>
      <c r="M358" t="str">
        <f>IF(OR((NHL2025_26Results[[#This Row],[Winning Team]]="")),"-",IF(Table4[[#This Row],[Predicted Winner]]=NHL2025_26Results[[#This Row],[Winning Team]],"YES","NO"))</f>
        <v>YES</v>
      </c>
      <c r="N358">
        <f>IF(Table4[[#This Row],[Adjusted Correct]]="-", "",IF(Table4[[#This Row],[Adjusted Correct]]="YES",(Table4[[#This Row],[Strength of Win]]-1)^2,(Table4[[#This Row],[Strength of Win]]-0)^2))</f>
        <v>0.12963261718437996</v>
      </c>
      <c r="O358">
        <v>0.63124202931539042</v>
      </c>
      <c r="P358" s="11">
        <v>0.62668942412235118</v>
      </c>
      <c r="Q358" t="s">
        <v>37</v>
      </c>
      <c r="R358" t="s">
        <v>248</v>
      </c>
    </row>
    <row r="359" spans="4:18" x14ac:dyDescent="0.2">
      <c r="D359" s="1">
        <v>45985</v>
      </c>
      <c r="E359" s="2">
        <v>0.875</v>
      </c>
      <c r="F359" t="s">
        <v>55</v>
      </c>
      <c r="G359">
        <f>VLOOKUP(Table4[[#This Row],[Home]],'NHL Model'!$A$6:$B$38,2,FALSE)</f>
        <v>-0.4031232890211825</v>
      </c>
      <c r="H359" t="s">
        <v>20</v>
      </c>
      <c r="I359">
        <f>VLOOKUP(Table4[[#This Row],[Visitor]],'NHL Model'!$A$6:$B$38,2,FALSE)</f>
        <v>-0.24444083032063643</v>
      </c>
      <c r="J359">
        <f>($B$1+Table4[[#This Row],[Home Differential]])-Table4[[#This Row],[Away Differential]]</f>
        <v>-0.10878170977738358</v>
      </c>
      <c r="K359" t="str">
        <f>IF(Table4[[#This Row],[HomeIce Differential]]&gt;0,Table4[[#This Row],[Home]],Table4[[#This Row],[Visitor]])</f>
        <v>Vegas Golden Knights</v>
      </c>
      <c r="L3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0.4322706926738567</v>
      </c>
      <c r="M359" t="str">
        <f>IF(OR((NHL2025_26Results[[#This Row],[Winning Team]]="")),"-",IF(Table4[[#This Row],[Predicted Winner]]=NHL2025_26Results[[#This Row],[Winning Team]],"YES","NO"))</f>
        <v>NO</v>
      </c>
      <c r="N359">
        <f>IF(Table4[[#This Row],[Adjusted Correct]]="-", "",IF(Table4[[#This Row],[Adjusted Correct]]="YES",(Table4[[#This Row],[Strength of Win]]-1)^2,(Table4[[#This Row],[Strength of Win]]-0)^2))</f>
        <v>0.18685795174473588</v>
      </c>
      <c r="O359">
        <v>-0.29288086291418641</v>
      </c>
      <c r="P359" s="11">
        <v>0.46763535982847776</v>
      </c>
      <c r="Q359" t="s">
        <v>20</v>
      </c>
      <c r="R359" t="s">
        <v>249</v>
      </c>
    </row>
    <row r="360" spans="4:18" x14ac:dyDescent="0.2">
      <c r="D360" s="1">
        <v>45985</v>
      </c>
      <c r="E360" s="2">
        <v>0.79166666666666663</v>
      </c>
      <c r="F360" t="s">
        <v>22</v>
      </c>
      <c r="G360">
        <f>VLOOKUP(Table4[[#This Row],[Home]],'NHL Model'!$A$6:$B$38,2,FALSE)</f>
        <v>0.4407072328537569</v>
      </c>
      <c r="H360" t="s">
        <v>28</v>
      </c>
      <c r="I360">
        <f>VLOOKUP(Table4[[#This Row],[Visitor]],'NHL Model'!$A$6:$B$38,2,FALSE)</f>
        <v>-0.59498940435054026</v>
      </c>
      <c r="J360">
        <f>($B$1+Table4[[#This Row],[Home Differential]])-Table4[[#This Row],[Away Differential]]</f>
        <v>1.0855973861274597</v>
      </c>
      <c r="K360" t="str">
        <f>IF(Table4[[#This Row],[HomeIce Differential]]&gt;0,Table4[[#This Row],[Home]],Table4[[#This Row],[Visitor]])</f>
        <v>Washington Capitals</v>
      </c>
      <c r="L3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0.68925951710427547</v>
      </c>
      <c r="M360" t="str">
        <f>IF(OR((NHL2025_26Results[[#This Row],[Winning Team]]="")),"-",IF(Table4[[#This Row],[Predicted Winner]]=NHL2025_26Results[[#This Row],[Winning Team]],"YES","NO"))</f>
        <v>YES</v>
      </c>
      <c r="N360">
        <f>IF(Table4[[#This Row],[Adjusted Correct]]="-", "",IF(Table4[[#This Row],[Adjusted Correct]]="YES",(Table4[[#This Row],[Strength of Win]]-1)^2,(Table4[[#This Row],[Strength of Win]]-0)^2))</f>
        <v>9.6559647710268079E-2</v>
      </c>
      <c r="O360">
        <v>0.79654080928706983</v>
      </c>
      <c r="P360" s="11">
        <v>0.64541171061492297</v>
      </c>
      <c r="Q360" t="s">
        <v>22</v>
      </c>
      <c r="R360" t="s">
        <v>248</v>
      </c>
    </row>
    <row r="361" spans="4:18" x14ac:dyDescent="0.2">
      <c r="D361" s="1">
        <v>45986</v>
      </c>
      <c r="E361" s="2">
        <v>0.875</v>
      </c>
      <c r="F361" t="s">
        <v>17</v>
      </c>
      <c r="G361">
        <f>VLOOKUP(Table4[[#This Row],[Home]],'NHL Model'!$A$6:$B$38,2,FALSE)</f>
        <v>-0.81774666423752174</v>
      </c>
      <c r="H361" t="s">
        <v>39</v>
      </c>
      <c r="I361">
        <f>VLOOKUP(Table4[[#This Row],[Visitor]],'NHL Model'!$A$6:$B$38,2,FALSE)</f>
        <v>0.41344250185511977</v>
      </c>
      <c r="J361">
        <f>($B$1+Table4[[#This Row],[Home Differential]])-Table4[[#This Row],[Away Differential]]</f>
        <v>-1.1812884171694791</v>
      </c>
      <c r="K361" t="str">
        <f>IF(Table4[[#This Row],[HomeIce Differential]]&gt;0,Table4[[#This Row],[Home]],Table4[[#This Row],[Visitor]])</f>
        <v>Dallas Stars</v>
      </c>
      <c r="L3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0.69272737782519755</v>
      </c>
      <c r="M361" t="str">
        <f>IF(OR((NHL2025_26Results[[#This Row],[Winning Team]]="")),"-",IF(Table4[[#This Row],[Predicted Winner]]=NHL2025_26Results[[#This Row],[Winning Team]],"YES","NO"))</f>
        <v>YES</v>
      </c>
      <c r="N361">
        <f>IF(Table4[[#This Row],[Adjusted Correct]]="-", "",IF(Table4[[#This Row],[Adjusted Correct]]="YES",(Table4[[#This Row],[Strength of Win]]-1)^2,(Table4[[#This Row],[Strength of Win]]-0)^2))</f>
        <v>9.4416464338178893E-2</v>
      </c>
      <c r="O361">
        <v>-0.69868256982577315</v>
      </c>
      <c r="P361" s="11">
        <v>0.60437958986718887</v>
      </c>
      <c r="Q361" t="s">
        <v>39</v>
      </c>
      <c r="R361" t="s">
        <v>248</v>
      </c>
    </row>
    <row r="362" spans="4:18" x14ac:dyDescent="0.2">
      <c r="D362" s="1">
        <v>45987</v>
      </c>
      <c r="E362" s="2">
        <v>0.91666666666666663</v>
      </c>
      <c r="F362" t="s">
        <v>31</v>
      </c>
      <c r="G362">
        <f>VLOOKUP(Table4[[#This Row],[Home]],'NHL Model'!$A$6:$B$38,2,FALSE)</f>
        <v>0.17870302183926629</v>
      </c>
      <c r="H362" t="s">
        <v>38</v>
      </c>
      <c r="I362">
        <f>VLOOKUP(Table4[[#This Row],[Visitor]],'NHL Model'!$A$6:$B$38,2,FALSE)</f>
        <v>-0.9476777551108041</v>
      </c>
      <c r="J362">
        <f>($B$1+Table4[[#This Row],[Home Differential]])-Table4[[#This Row],[Away Differential]]</f>
        <v>1.1762815258732329</v>
      </c>
      <c r="K362" t="str">
        <f>IF(Table4[[#This Row],[HomeIce Differential]]&gt;0,Table4[[#This Row],[Home]],Table4[[#This Row],[Visitor]])</f>
        <v>Anaheim Ducks</v>
      </c>
      <c r="L3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0.75378658498635764</v>
      </c>
      <c r="M362" t="str">
        <f>IF(OR((NHL2025_26Results[[#This Row],[Winning Team]]="")),"-",IF(Table4[[#This Row],[Predicted Winner]]=NHL2025_26Results[[#This Row],[Winning Team]],"YES","NO"))</f>
        <v>NO</v>
      </c>
      <c r="N362">
        <f>IF(Table4[[#This Row],[Adjusted Correct]]="-", "",IF(Table4[[#This Row],[Adjusted Correct]]="YES",(Table4[[#This Row],[Strength of Win]]-1)^2,(Table4[[#This Row],[Strength of Win]]-0)^2))</f>
        <v>0.56819421570539541</v>
      </c>
      <c r="O362">
        <v>1.6387605199554174</v>
      </c>
      <c r="P362" s="11">
        <v>0.84305317470559937</v>
      </c>
      <c r="Q362" t="s">
        <v>31</v>
      </c>
      <c r="R362" t="s">
        <v>249</v>
      </c>
    </row>
    <row r="363" spans="4:18" x14ac:dyDescent="0.2">
      <c r="D363" s="1">
        <v>45987</v>
      </c>
      <c r="E363" s="2">
        <v>0.79166666666666663</v>
      </c>
      <c r="F363" t="s">
        <v>25</v>
      </c>
      <c r="G363">
        <f>VLOOKUP(Table4[[#This Row],[Home]],'NHL Model'!$A$6:$B$38,2,FALSE)</f>
        <v>0.42567513732855267</v>
      </c>
      <c r="H363" t="s">
        <v>15</v>
      </c>
      <c r="I363">
        <f>VLOOKUP(Table4[[#This Row],[Visitor]],'NHL Model'!$A$6:$B$38,2,FALSE)</f>
        <v>-0.29003398448394263</v>
      </c>
      <c r="J363">
        <f>($B$1+Table4[[#This Row],[Home Differential]])-Table4[[#This Row],[Away Differential]]</f>
        <v>0.76560987073565778</v>
      </c>
      <c r="K363" t="str">
        <f>IF(Table4[[#This Row],[HomeIce Differential]]&gt;0,Table4[[#This Row],[Home]],Table4[[#This Row],[Visitor]])</f>
        <v>Carolina Hurricanes</v>
      </c>
      <c r="L3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0.58170394431130978</v>
      </c>
      <c r="M363" t="str">
        <f>IF(OR((NHL2025_26Results[[#This Row],[Winning Team]]="")),"-",IF(Table4[[#This Row],[Predicted Winner]]=NHL2025_26Results[[#This Row],[Winning Team]],"YES","NO"))</f>
        <v>NO</v>
      </c>
      <c r="N363">
        <f>IF(Table4[[#This Row],[Adjusted Correct]]="-", "",IF(Table4[[#This Row],[Adjusted Correct]]="YES",(Table4[[#This Row],[Strength of Win]]-1)^2,(Table4[[#This Row],[Strength of Win]]-0)^2))</f>
        <v>0.33837947882733538</v>
      </c>
      <c r="O363">
        <v>1.087958661524363</v>
      </c>
      <c r="P363" s="11">
        <v>0.66023805844789762</v>
      </c>
      <c r="Q363" t="s">
        <v>25</v>
      </c>
      <c r="R363" t="s">
        <v>249</v>
      </c>
    </row>
    <row r="364" spans="4:18" x14ac:dyDescent="0.2">
      <c r="D364" s="1">
        <v>45987</v>
      </c>
      <c r="E364" s="2">
        <v>0.79166666666666663</v>
      </c>
      <c r="F364" t="s">
        <v>28</v>
      </c>
      <c r="G364">
        <f>VLOOKUP(Table4[[#This Row],[Home]],'NHL Model'!$A$6:$B$38,2,FALSE)</f>
        <v>-0.59498940435054026</v>
      </c>
      <c r="H364" t="s">
        <v>19</v>
      </c>
      <c r="I364">
        <f>VLOOKUP(Table4[[#This Row],[Visitor]],'NHL Model'!$A$6:$B$38,2,FALSE)</f>
        <v>-0.63447859131898054</v>
      </c>
      <c r="J364">
        <f>($B$1+Table4[[#This Row],[Home Differential]])-Table4[[#This Row],[Away Differential]]</f>
        <v>8.9389935891602712E-2</v>
      </c>
      <c r="K364" t="str">
        <f>IF(Table4[[#This Row],[HomeIce Differential]]&gt;0,Table4[[#This Row],[Home]],Table4[[#This Row],[Visitor]])</f>
        <v>Columbus Blue Jackets</v>
      </c>
      <c r="L3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0.55043759431663863</v>
      </c>
      <c r="M364" t="str">
        <f>IF(OR((NHL2025_26Results[[#This Row],[Winning Team]]="")),"-",IF(Table4[[#This Row],[Predicted Winner]]=NHL2025_26Results[[#This Row],[Winning Team]],"YES","NO"))</f>
        <v>NO</v>
      </c>
      <c r="N364">
        <f>IF(Table4[[#This Row],[Adjusted Correct]]="-", "",IF(Table4[[#This Row],[Adjusted Correct]]="YES",(Table4[[#This Row],[Strength of Win]]-1)^2,(Table4[[#This Row],[Strength of Win]]-0)^2))</f>
        <v>0.30298154523708848</v>
      </c>
      <c r="O364">
        <v>0.39522710638726088</v>
      </c>
      <c r="P364" s="11">
        <v>0.60195378300433666</v>
      </c>
      <c r="Q364" t="s">
        <v>28</v>
      </c>
      <c r="R364" t="s">
        <v>249</v>
      </c>
    </row>
    <row r="365" spans="4:18" x14ac:dyDescent="0.2">
      <c r="D365" s="1">
        <v>45987</v>
      </c>
      <c r="E365" s="2">
        <v>0.85416666666666663</v>
      </c>
      <c r="F365" t="s">
        <v>10</v>
      </c>
      <c r="G365">
        <f>VLOOKUP(Table4[[#This Row],[Home]],'NHL Model'!$A$6:$B$38,2,FALSE)</f>
        <v>-0.17619625518431364</v>
      </c>
      <c r="H365" t="s">
        <v>34</v>
      </c>
      <c r="I365">
        <f>VLOOKUP(Table4[[#This Row],[Visitor]],'NHL Model'!$A$6:$B$38,2,FALSE)</f>
        <v>-5.5124787449478845E-2</v>
      </c>
      <c r="J365">
        <f>($B$1+Table4[[#This Row],[Home Differential]])-Table4[[#This Row],[Away Differential]]</f>
        <v>-7.1170718811672334E-2</v>
      </c>
      <c r="K365" t="str">
        <f>IF(Table4[[#This Row],[HomeIce Differential]]&gt;0,Table4[[#This Row],[Home]],Table4[[#This Row],[Visitor]])</f>
        <v>Minnesota Wild</v>
      </c>
      <c r="L3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0.51082279464017433</v>
      </c>
      <c r="M365" t="str">
        <f>IF(OR((NHL2025_26Results[[#This Row],[Winning Team]]="")),"-",IF(Table4[[#This Row],[Predicted Winner]]=NHL2025_26Results[[#This Row],[Winning Team]],"YES","NO"))</f>
        <v>YES</v>
      </c>
      <c r="N365">
        <f>IF(Table4[[#This Row],[Adjusted Correct]]="-", "",IF(Table4[[#This Row],[Adjusted Correct]]="YES",(Table4[[#This Row],[Strength of Win]]-1)^2,(Table4[[#This Row],[Strength of Win]]-0)^2))</f>
        <v>0.23929433824364907</v>
      </c>
      <c r="O365">
        <v>0.20463122667250075</v>
      </c>
      <c r="P365" s="11">
        <v>0.54765963116715599</v>
      </c>
      <c r="Q365" t="s">
        <v>10</v>
      </c>
      <c r="R365" t="s">
        <v>249</v>
      </c>
    </row>
    <row r="366" spans="4:18" x14ac:dyDescent="0.2">
      <c r="D366" s="1">
        <v>45987</v>
      </c>
      <c r="E366" s="2">
        <v>0.875</v>
      </c>
      <c r="F366" t="s">
        <v>12</v>
      </c>
      <c r="G366">
        <f>VLOOKUP(Table4[[#This Row],[Home]],'NHL Model'!$A$6:$B$38,2,FALSE)</f>
        <v>1.6319036584269762</v>
      </c>
      <c r="H366" t="s">
        <v>33</v>
      </c>
      <c r="I366">
        <f>VLOOKUP(Table4[[#This Row],[Visitor]],'NHL Model'!$A$6:$B$38,2,FALSE)</f>
        <v>-0.45133099238224339</v>
      </c>
      <c r="J366">
        <f>($B$1+Table4[[#This Row],[Home Differential]])-Table4[[#This Row],[Away Differential]]</f>
        <v>2.1331353997323821</v>
      </c>
      <c r="K366" t="str">
        <f>IF(Table4[[#This Row],[HomeIce Differential]]&gt;0,Table4[[#This Row],[Home]],Table4[[#This Row],[Visitor]])</f>
        <v>Colorado Avalanche</v>
      </c>
      <c r="L3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0.89340493765751294</v>
      </c>
      <c r="M366" t="str">
        <f>IF(OR((NHL2025_26Results[[#This Row],[Winning Team]]="")),"-",IF(Table4[[#This Row],[Predicted Winner]]=NHL2025_26Results[[#This Row],[Winning Team]],"YES","NO"))</f>
        <v>YES</v>
      </c>
      <c r="N366">
        <f>IF(Table4[[#This Row],[Adjusted Correct]]="-", "",IF(Table4[[#This Row],[Adjusted Correct]]="YES",(Table4[[#This Row],[Strength of Win]]-1)^2,(Table4[[#This Row],[Strength of Win]]-0)^2))</f>
        <v>1.1362507315798702E-2</v>
      </c>
      <c r="O366">
        <v>1.9656999227671841</v>
      </c>
      <c r="P366" s="11">
        <v>0.90800999973273655</v>
      </c>
      <c r="Q366" t="s">
        <v>12</v>
      </c>
      <c r="R366" t="s">
        <v>248</v>
      </c>
    </row>
    <row r="367" spans="4:18" x14ac:dyDescent="0.2">
      <c r="D367" s="1">
        <v>45987</v>
      </c>
      <c r="E367" s="2">
        <v>0.79166666666666663</v>
      </c>
      <c r="F367" t="s">
        <v>26</v>
      </c>
      <c r="G367">
        <f>VLOOKUP(Table4[[#This Row],[Home]],'NHL Model'!$A$6:$B$38,2,FALSE)</f>
        <v>-0.87533956503230947</v>
      </c>
      <c r="H367" t="s">
        <v>29</v>
      </c>
      <c r="I367">
        <f>VLOOKUP(Table4[[#This Row],[Visitor]],'NHL Model'!$A$6:$B$38,2,FALSE)</f>
        <v>-1.384917283810061</v>
      </c>
      <c r="J367">
        <f>($B$1+Table4[[#This Row],[Home Differential]])-Table4[[#This Row],[Away Differential]]</f>
        <v>0.55947846770091392</v>
      </c>
      <c r="K367" t="str">
        <f>IF(Table4[[#This Row],[HomeIce Differential]]&gt;0,Table4[[#This Row],[Home]],Table4[[#This Row],[Visitor]])</f>
        <v>Detroit Red Wings</v>
      </c>
      <c r="L3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0.60532736841693291</v>
      </c>
      <c r="M367" t="str">
        <f>IF(OR((NHL2025_26Results[[#This Row],[Winning Team]]="")),"-",IF(Table4[[#This Row],[Predicted Winner]]=NHL2025_26Results[[#This Row],[Winning Team]],"YES","NO"))</f>
        <v>NO</v>
      </c>
      <c r="N367">
        <f>IF(Table4[[#This Row],[Adjusted Correct]]="-", "",IF(Table4[[#This Row],[Adjusted Correct]]="YES",(Table4[[#This Row],[Strength of Win]]-1)^2,(Table4[[#This Row],[Strength of Win]]-0)^2))</f>
        <v>0.36642122295456925</v>
      </c>
      <c r="O367">
        <v>1.1722900958076288</v>
      </c>
      <c r="P367" s="11">
        <v>0.73510915286023726</v>
      </c>
      <c r="Q367" t="s">
        <v>26</v>
      </c>
      <c r="R367" t="s">
        <v>249</v>
      </c>
    </row>
    <row r="368" spans="4:18" x14ac:dyDescent="0.2">
      <c r="D368" s="1">
        <v>45987</v>
      </c>
      <c r="E368" s="2">
        <v>0.79166666666666663</v>
      </c>
      <c r="F368" t="s">
        <v>11</v>
      </c>
      <c r="G368">
        <f>VLOOKUP(Table4[[#This Row],[Home]],'NHL Model'!$A$6:$B$38,2,FALSE)</f>
        <v>-0.39711829106410657</v>
      </c>
      <c r="H368" t="s">
        <v>27</v>
      </c>
      <c r="I368">
        <f>VLOOKUP(Table4[[#This Row],[Visitor]],'NHL Model'!$A$6:$B$38,2,FALSE)</f>
        <v>-0.38023958350631604</v>
      </c>
      <c r="J368">
        <f>($B$1+Table4[[#This Row],[Home Differential]])-Table4[[#This Row],[Away Differential]]</f>
        <v>3.3022041365371957E-2</v>
      </c>
      <c r="K368" t="str">
        <f>IF(Table4[[#This Row],[HomeIce Differential]]&gt;0,Table4[[#This Row],[Home]],Table4[[#This Row],[Visitor]])</f>
        <v>Florida Panthers</v>
      </c>
      <c r="L3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0.51548371767669787</v>
      </c>
      <c r="M368" t="str">
        <f>IF(OR((NHL2025_26Results[[#This Row],[Winning Team]]="")),"-",IF(Table4[[#This Row],[Predicted Winner]]=NHL2025_26Results[[#This Row],[Winning Team]],"YES","NO"))</f>
        <v>NO</v>
      </c>
      <c r="N368">
        <f>IF(Table4[[#This Row],[Adjusted Correct]]="-", "",IF(Table4[[#This Row],[Adjusted Correct]]="YES",(Table4[[#This Row],[Strength of Win]]-1)^2,(Table4[[#This Row],[Strength of Win]]-0)^2))</f>
        <v>0.26572346318978957</v>
      </c>
      <c r="O368">
        <v>0.49001614782787051</v>
      </c>
      <c r="P368" s="11">
        <v>0.65979259220139941</v>
      </c>
      <c r="Q368" t="s">
        <v>11</v>
      </c>
      <c r="R368" t="s">
        <v>249</v>
      </c>
    </row>
    <row r="369" spans="4:18" x14ac:dyDescent="0.2">
      <c r="D369" s="1">
        <v>45987</v>
      </c>
      <c r="E369" s="2">
        <v>0.79166666666666663</v>
      </c>
      <c r="F369" t="s">
        <v>24</v>
      </c>
      <c r="G369">
        <f>VLOOKUP(Table4[[#This Row],[Home]],'NHL Model'!$A$6:$B$38,2,FALSE)</f>
        <v>1.5302507646042616E-3</v>
      </c>
      <c r="H369" t="s">
        <v>35</v>
      </c>
      <c r="I369">
        <f>VLOOKUP(Table4[[#This Row],[Visitor]],'NHL Model'!$A$6:$B$38,2,FALSE)</f>
        <v>-1.3944783719477225</v>
      </c>
      <c r="J369">
        <f>($B$1+Table4[[#This Row],[Home Differential]])-Table4[[#This Row],[Away Differential]]</f>
        <v>1.4459093716354892</v>
      </c>
      <c r="K369" t="str">
        <f>IF(Table4[[#This Row],[HomeIce Differential]]&gt;0,Table4[[#This Row],[Home]],Table4[[#This Row],[Visitor]])</f>
        <v>New Jersey Devils</v>
      </c>
      <c r="L3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0.78866596998150751</v>
      </c>
      <c r="M369" t="str">
        <f>IF(OR((NHL2025_26Results[[#This Row],[Winning Team]]="")),"-",IF(Table4[[#This Row],[Predicted Winner]]=NHL2025_26Results[[#This Row],[Winning Team]],"YES","NO"))</f>
        <v>YES</v>
      </c>
      <c r="N369">
        <f>IF(Table4[[#This Row],[Adjusted Correct]]="-", "",IF(Table4[[#This Row],[Adjusted Correct]]="YES",(Table4[[#This Row],[Strength of Win]]-1)^2,(Table4[[#This Row],[Strength of Win]]-0)^2))</f>
        <v>4.4662072243857084E-2</v>
      </c>
      <c r="O369">
        <v>1.7395591687703991</v>
      </c>
      <c r="P369" s="11">
        <v>0.90065082571403132</v>
      </c>
      <c r="Q369" t="s">
        <v>24</v>
      </c>
      <c r="R369" t="s">
        <v>248</v>
      </c>
    </row>
    <row r="370" spans="4:18" x14ac:dyDescent="0.2">
      <c r="D370" s="1">
        <v>45987</v>
      </c>
      <c r="E370" s="2">
        <v>0.79166666666666663</v>
      </c>
      <c r="F370" t="s">
        <v>30</v>
      </c>
      <c r="G370">
        <f>VLOOKUP(Table4[[#This Row],[Home]],'NHL Model'!$A$6:$B$38,2,FALSE)</f>
        <v>-0.24093199744133265</v>
      </c>
      <c r="H370" t="s">
        <v>21</v>
      </c>
      <c r="I370">
        <f>VLOOKUP(Table4[[#This Row],[Visitor]],'NHL Model'!$A$6:$B$38,2,FALSE)</f>
        <v>-0.21976976044773161</v>
      </c>
      <c r="J370">
        <f>($B$1+Table4[[#This Row],[Home Differential]])-Table4[[#This Row],[Away Differential]]</f>
        <v>2.8738511929561422E-2</v>
      </c>
      <c r="K370" t="str">
        <f>IF(Table4[[#This Row],[HomeIce Differential]]&gt;0,Table4[[#This Row],[Home]],Table4[[#This Row],[Visitor]])</f>
        <v>New York Islanders</v>
      </c>
      <c r="L3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0.54252615233038282</v>
      </c>
      <c r="M370" t="str">
        <f>IF(OR((NHL2025_26Results[[#This Row],[Winning Team]]="")),"-",IF(Table4[[#This Row],[Predicted Winner]]=NHL2025_26Results[[#This Row],[Winning Team]],"YES","NO"))</f>
        <v>NO</v>
      </c>
      <c r="N370">
        <f>IF(Table4[[#This Row],[Adjusted Correct]]="-", "",IF(Table4[[#This Row],[Adjusted Correct]]="YES",(Table4[[#This Row],[Strength of Win]]-1)^2,(Table4[[#This Row],[Strength of Win]]-0)^2))</f>
        <v>0.29433462596240972</v>
      </c>
      <c r="O370">
        <v>0.2875788973065343</v>
      </c>
      <c r="P370" s="11">
        <v>0.57995255709643112</v>
      </c>
      <c r="Q370" t="s">
        <v>30</v>
      </c>
      <c r="R370" t="s">
        <v>249</v>
      </c>
    </row>
    <row r="371" spans="4:18" x14ac:dyDescent="0.2">
      <c r="D371" s="1">
        <v>45987</v>
      </c>
      <c r="E371" s="2">
        <v>0.79166666666666663</v>
      </c>
      <c r="F371" t="s">
        <v>14</v>
      </c>
      <c r="G371">
        <f>VLOOKUP(Table4[[#This Row],[Home]],'NHL Model'!$A$6:$B$38,2,FALSE)</f>
        <v>-0.14226422156549004</v>
      </c>
      <c r="H371" t="s">
        <v>23</v>
      </c>
      <c r="I371">
        <f>VLOOKUP(Table4[[#This Row],[Visitor]],'NHL Model'!$A$6:$B$38,2,FALSE)</f>
        <v>-0.4761104357405897</v>
      </c>
      <c r="J371">
        <f>($B$1+Table4[[#This Row],[Home Differential]])-Table4[[#This Row],[Away Differential]]</f>
        <v>0.38374696309826212</v>
      </c>
      <c r="K371" t="str">
        <f>IF(Table4[[#This Row],[HomeIce Differential]]&gt;0,Table4[[#This Row],[Home]],Table4[[#This Row],[Visitor]])</f>
        <v>Pittsburgh Penguins</v>
      </c>
      <c r="L3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0.58480812164267382</v>
      </c>
      <c r="M371" t="str">
        <f>IF(OR((NHL2025_26Results[[#This Row],[Winning Team]]="")),"-",IF(Table4[[#This Row],[Predicted Winner]]=NHL2025_26Results[[#This Row],[Winning Team]],"YES","NO"))</f>
        <v>YES</v>
      </c>
      <c r="N371">
        <f>IF(Table4[[#This Row],[Adjusted Correct]]="-", "",IF(Table4[[#This Row],[Adjusted Correct]]="YES",(Table4[[#This Row],[Strength of Win]]-1)^2,(Table4[[#This Row],[Strength of Win]]-0)^2))</f>
        <v>0.17238429585388473</v>
      </c>
      <c r="O371">
        <v>0.43728656309002328</v>
      </c>
      <c r="P371" s="11">
        <v>0.60075103751696357</v>
      </c>
      <c r="Q371" t="s">
        <v>14</v>
      </c>
      <c r="R371" t="s">
        <v>248</v>
      </c>
    </row>
    <row r="372" spans="4:18" x14ac:dyDescent="0.2">
      <c r="D372" s="1">
        <v>45987</v>
      </c>
      <c r="E372" s="2">
        <v>0.91666666666666663</v>
      </c>
      <c r="F372" t="s">
        <v>32</v>
      </c>
      <c r="G372">
        <f>VLOOKUP(Table4[[#This Row],[Home]],'NHL Model'!$A$6:$B$38,2,FALSE)</f>
        <v>-0.64937723527808999</v>
      </c>
      <c r="H372" t="s">
        <v>39</v>
      </c>
      <c r="I372">
        <f>VLOOKUP(Table4[[#This Row],[Visitor]],'NHL Model'!$A$6:$B$38,2,FALSE)</f>
        <v>0.41344250185511977</v>
      </c>
      <c r="J372">
        <f>($B$1+Table4[[#This Row],[Home Differential]])-Table4[[#This Row],[Away Differential]]</f>
        <v>-1.0129189882100473</v>
      </c>
      <c r="K372" t="str">
        <f>IF(Table4[[#This Row],[HomeIce Differential]]&gt;0,Table4[[#This Row],[Home]],Table4[[#This Row],[Visitor]])</f>
        <v>Dallas Stars</v>
      </c>
      <c r="L3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0.68007099429980955</v>
      </c>
      <c r="M372" t="str">
        <f>IF(OR((NHL2025_26Results[[#This Row],[Winning Team]]="")),"-",IF(Table4[[#This Row],[Predicted Winner]]=NHL2025_26Results[[#This Row],[Winning Team]],"YES","NO"))</f>
        <v>YES</v>
      </c>
      <c r="N372">
        <f>IF(Table4[[#This Row],[Adjusted Correct]]="-", "",IF(Table4[[#This Row],[Adjusted Correct]]="YES",(Table4[[#This Row],[Strength of Win]]-1)^2,(Table4[[#This Row],[Strength of Win]]-0)^2))</f>
        <v>0.1023545686883125</v>
      </c>
      <c r="O372">
        <v>-0.30305462647533121</v>
      </c>
      <c r="P372" s="11">
        <v>0.56841834769681898</v>
      </c>
      <c r="Q372" t="s">
        <v>39</v>
      </c>
      <c r="R372" t="s">
        <v>248</v>
      </c>
    </row>
    <row r="373" spans="4:18" x14ac:dyDescent="0.2">
      <c r="D373" s="1">
        <v>45987</v>
      </c>
      <c r="E373" s="2">
        <v>0.79166666666666663</v>
      </c>
      <c r="F373" t="s">
        <v>37</v>
      </c>
      <c r="G373">
        <f>VLOOKUP(Table4[[#This Row],[Home]],'NHL Model'!$A$6:$B$38,2,FALSE)</f>
        <v>0.51050494674660429</v>
      </c>
      <c r="H373" t="s">
        <v>16</v>
      </c>
      <c r="I373">
        <f>VLOOKUP(Table4[[#This Row],[Visitor]],'NHL Model'!$A$6:$B$38,2,FALSE)</f>
        <v>-1.0657812790446208</v>
      </c>
      <c r="J373">
        <f>($B$1+Table4[[#This Row],[Home Differential]])-Table4[[#This Row],[Away Differential]]</f>
        <v>1.6261869747143876</v>
      </c>
      <c r="K373" t="str">
        <f>IF(Table4[[#This Row],[HomeIce Differential]]&gt;0,Table4[[#This Row],[Home]],Table4[[#This Row],[Visitor]])</f>
        <v>Tampa Bay Lightning</v>
      </c>
      <c r="L3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0.76212739591298906</v>
      </c>
      <c r="M373" t="str">
        <f>IF(OR((NHL2025_26Results[[#This Row],[Winning Team]]="")),"-",IF(Table4[[#This Row],[Predicted Winner]]=NHL2025_26Results[[#This Row],[Winning Team]],"YES","NO"))</f>
        <v>YES</v>
      </c>
      <c r="N373">
        <f>IF(Table4[[#This Row],[Adjusted Correct]]="-", "",IF(Table4[[#This Row],[Adjusted Correct]]="YES",(Table4[[#This Row],[Strength of Win]]-1)^2,(Table4[[#This Row],[Strength of Win]]-0)^2))</f>
        <v>5.6583375775135857E-2</v>
      </c>
      <c r="O373">
        <v>1.4608519687560064</v>
      </c>
      <c r="P373" s="11">
        <v>0.76205763760112666</v>
      </c>
      <c r="Q373" t="s">
        <v>37</v>
      </c>
      <c r="R373" t="s">
        <v>248</v>
      </c>
    </row>
    <row r="374" spans="4:18" x14ac:dyDescent="0.2">
      <c r="D374" s="1">
        <v>45987</v>
      </c>
      <c r="E374" s="2">
        <v>0.89583333333333337</v>
      </c>
      <c r="F374" t="s">
        <v>55</v>
      </c>
      <c r="G374">
        <f>VLOOKUP(Table4[[#This Row],[Home]],'NHL Model'!$A$6:$B$38,2,FALSE)</f>
        <v>-0.4031232890211825</v>
      </c>
      <c r="H374" t="s">
        <v>18</v>
      </c>
      <c r="I374">
        <f>VLOOKUP(Table4[[#This Row],[Visitor]],'NHL Model'!$A$6:$B$38,2,FALSE)</f>
        <v>-0.59288962827382519</v>
      </c>
      <c r="J374">
        <f>($B$1+Table4[[#This Row],[Home Differential]])-Table4[[#This Row],[Away Differential]]</f>
        <v>0.23966708817580518</v>
      </c>
      <c r="K374" t="str">
        <f>IF(Table4[[#This Row],[HomeIce Differential]]&gt;0,Table4[[#This Row],[Home]],Table4[[#This Row],[Visitor]])</f>
        <v>Utah Mammoth</v>
      </c>
      <c r="L3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0.54972380021307365</v>
      </c>
      <c r="M374" t="str">
        <f>IF(OR((NHL2025_26Results[[#This Row],[Winning Team]]="")),"-",IF(Table4[[#This Row],[Predicted Winner]]=NHL2025_26Results[[#This Row],[Winning Team]],"YES","NO"))</f>
        <v>NO</v>
      </c>
      <c r="N374">
        <f>IF(Table4[[#This Row],[Adjusted Correct]]="-", "",IF(Table4[[#This Row],[Adjusted Correct]]="YES",(Table4[[#This Row],[Strength of Win]]-1)^2,(Table4[[#This Row],[Strength of Win]]-0)^2))</f>
        <v>0.30219625652070331</v>
      </c>
      <c r="O374">
        <v>0.77924989663491484</v>
      </c>
      <c r="P374" s="11">
        <v>0.66578120089593074</v>
      </c>
      <c r="Q374" t="s">
        <v>55</v>
      </c>
      <c r="R374" t="s">
        <v>249</v>
      </c>
    </row>
    <row r="375" spans="4:18" x14ac:dyDescent="0.2">
      <c r="D375" s="1">
        <v>45987</v>
      </c>
      <c r="E375" s="2">
        <v>0.91666666666666663</v>
      </c>
      <c r="F375" t="s">
        <v>20</v>
      </c>
      <c r="G375">
        <f>VLOOKUP(Table4[[#This Row],[Home]],'NHL Model'!$A$6:$B$38,2,FALSE)</f>
        <v>-0.24444083032063643</v>
      </c>
      <c r="H375" t="s">
        <v>36</v>
      </c>
      <c r="I375">
        <f>VLOOKUP(Table4[[#This Row],[Visitor]],'NHL Model'!$A$6:$B$38,2,FALSE)</f>
        <v>-0.53137605086483863</v>
      </c>
      <c r="J375">
        <f>($B$1+Table4[[#This Row],[Home Differential]])-Table4[[#This Row],[Away Differential]]</f>
        <v>0.33683596946736466</v>
      </c>
      <c r="K375" t="str">
        <f>IF(Table4[[#This Row],[HomeIce Differential]]&gt;0,Table4[[#This Row],[Home]],Table4[[#This Row],[Visitor]])</f>
        <v>Vegas Golden Knights</v>
      </c>
      <c r="L3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0.57933057077941474</v>
      </c>
      <c r="M375" t="str">
        <f>IF(OR((NHL2025_26Results[[#This Row],[Winning Team]]="")),"-",IF(Table4[[#This Row],[Predicted Winner]]=NHL2025_26Results[[#This Row],[Winning Team]],"YES","NO"))</f>
        <v>NO</v>
      </c>
      <c r="N375">
        <f>IF(Table4[[#This Row],[Adjusted Correct]]="-", "",IF(Table4[[#This Row],[Adjusted Correct]]="YES",(Table4[[#This Row],[Strength of Win]]-1)^2,(Table4[[#This Row],[Strength of Win]]-0)^2))</f>
        <v>0.33562391023960247</v>
      </c>
      <c r="O375">
        <v>0.46968261353108021</v>
      </c>
      <c r="P375" s="11">
        <v>0.60525173303762814</v>
      </c>
      <c r="Q375" t="s">
        <v>20</v>
      </c>
      <c r="R375" t="s">
        <v>249</v>
      </c>
    </row>
    <row r="376" spans="4:18" x14ac:dyDescent="0.2">
      <c r="D376" s="1">
        <v>45987</v>
      </c>
      <c r="E376" s="2">
        <v>0.79166666666666663</v>
      </c>
      <c r="F376" t="s">
        <v>22</v>
      </c>
      <c r="G376">
        <f>VLOOKUP(Table4[[#This Row],[Home]],'NHL Model'!$A$6:$B$38,2,FALSE)</f>
        <v>0.4407072328537569</v>
      </c>
      <c r="H376" t="s">
        <v>40</v>
      </c>
      <c r="I376">
        <f>VLOOKUP(Table4[[#This Row],[Visitor]],'NHL Model'!$A$6:$B$38,2,FALSE)</f>
        <v>-0.31324182378279158</v>
      </c>
      <c r="J376">
        <f>($B$1+Table4[[#This Row],[Home Differential]])-Table4[[#This Row],[Away Differential]]</f>
        <v>0.80384980555971097</v>
      </c>
      <c r="K376" t="str">
        <f>IF(Table4[[#This Row],[HomeIce Differential]]&gt;0,Table4[[#This Row],[Home]],Table4[[#This Row],[Visitor]])</f>
        <v>Washington Capitals</v>
      </c>
      <c r="L3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0.63931587423002867</v>
      </c>
      <c r="M376" t="str">
        <f>IF(OR((NHL2025_26Results[[#This Row],[Winning Team]]="")),"-",IF(Table4[[#This Row],[Predicted Winner]]=NHL2025_26Results[[#This Row],[Winning Team]],"YES","NO"))</f>
        <v>YES</v>
      </c>
      <c r="N376">
        <f>IF(Table4[[#This Row],[Adjusted Correct]]="-", "",IF(Table4[[#This Row],[Adjusted Correct]]="YES",(Table4[[#This Row],[Strength of Win]]-1)^2,(Table4[[#This Row],[Strength of Win]]-0)^2))</f>
        <v>0.1300930385824485</v>
      </c>
      <c r="O376">
        <v>0.44761183976902907</v>
      </c>
      <c r="P376" s="11">
        <v>0.53586971075913947</v>
      </c>
      <c r="Q376" t="s">
        <v>22</v>
      </c>
      <c r="R376" t="s">
        <v>248</v>
      </c>
    </row>
    <row r="377" spans="4:18" x14ac:dyDescent="0.2">
      <c r="D377" s="1">
        <v>45989</v>
      </c>
      <c r="E377" s="2">
        <v>0.66666666666666663</v>
      </c>
      <c r="F377" t="s">
        <v>31</v>
      </c>
      <c r="G377">
        <f>VLOOKUP(Table4[[#This Row],[Home]],'NHL Model'!$A$6:$B$38,2,FALSE)</f>
        <v>0.17870302183926629</v>
      </c>
      <c r="H377" t="s">
        <v>13</v>
      </c>
      <c r="I377">
        <f>VLOOKUP(Table4[[#This Row],[Visitor]],'NHL Model'!$A$6:$B$38,2,FALSE)</f>
        <v>-0.33828359867721369</v>
      </c>
      <c r="J377">
        <f>($B$1+Table4[[#This Row],[Home Differential]])-Table4[[#This Row],[Away Differential]]</f>
        <v>0.56688736943964246</v>
      </c>
      <c r="K377" t="str">
        <f>IF(Table4[[#This Row],[HomeIce Differential]]&gt;0,Table4[[#This Row],[Home]],Table4[[#This Row],[Visitor]])</f>
        <v>Anaheim Ducks</v>
      </c>
      <c r="L3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0.62174802259807027</v>
      </c>
      <c r="M377" t="str">
        <f>IF(OR((NHL2025_26Results[[#This Row],[Winning Team]]="")),"-",IF(Table4[[#This Row],[Predicted Winner]]=NHL2025_26Results[[#This Row],[Winning Team]],"YES","NO"))</f>
        <v>YES</v>
      </c>
      <c r="N377">
        <f>IF(Table4[[#This Row],[Adjusted Correct]]="-", "",IF(Table4[[#This Row],[Adjusted Correct]]="YES",(Table4[[#This Row],[Strength of Win]]-1)^2,(Table4[[#This Row],[Strength of Win]]-0)^2))</f>
        <v>0.14307455840846997</v>
      </c>
      <c r="O377">
        <v>0.65766512247595899</v>
      </c>
      <c r="P377" s="11">
        <v>0.61390663987595384</v>
      </c>
      <c r="Q377" t="s">
        <v>31</v>
      </c>
      <c r="R377" t="s">
        <v>248</v>
      </c>
    </row>
    <row r="378" spans="4:18" x14ac:dyDescent="0.2">
      <c r="D378" s="1">
        <v>45989</v>
      </c>
      <c r="E378" s="2">
        <v>0.54166666666666663</v>
      </c>
      <c r="F378" t="s">
        <v>21</v>
      </c>
      <c r="G378">
        <f>VLOOKUP(Table4[[#This Row],[Home]],'NHL Model'!$A$6:$B$38,2,FALSE)</f>
        <v>-0.21976976044773161</v>
      </c>
      <c r="H378" t="s">
        <v>15</v>
      </c>
      <c r="I378">
        <f>VLOOKUP(Table4[[#This Row],[Visitor]],'NHL Model'!$A$6:$B$38,2,FALSE)</f>
        <v>-0.29003398448394263</v>
      </c>
      <c r="J378">
        <f>($B$1+Table4[[#This Row],[Home Differential]])-Table4[[#This Row],[Away Differential]]</f>
        <v>0.12016497295937348</v>
      </c>
      <c r="K378" t="str">
        <f>IF(Table4[[#This Row],[HomeIce Differential]]&gt;0,Table4[[#This Row],[Home]],Table4[[#This Row],[Visitor]])</f>
        <v>Boston Bruins</v>
      </c>
      <c r="L3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0.497252510611498</v>
      </c>
      <c r="M378" t="str">
        <f>IF(OR((NHL2025_26Results[[#This Row],[Winning Team]]="")),"-",IF(Table4[[#This Row],[Predicted Winner]]=NHL2025_26Results[[#This Row],[Winning Team]],"YES","NO"))</f>
        <v>NO</v>
      </c>
      <c r="N378">
        <f>IF(Table4[[#This Row],[Adjusted Correct]]="-", "",IF(Table4[[#This Row],[Adjusted Correct]]="YES",(Table4[[#This Row],[Strength of Win]]-1)^2,(Table4[[#This Row],[Strength of Win]]-0)^2))</f>
        <v>0.24726005930943792</v>
      </c>
      <c r="O378">
        <v>0.46454009287019493</v>
      </c>
      <c r="P378" s="11">
        <v>0.5586981473589383</v>
      </c>
      <c r="Q378" t="s">
        <v>21</v>
      </c>
      <c r="R378" t="s">
        <v>249</v>
      </c>
    </row>
    <row r="379" spans="4:18" x14ac:dyDescent="0.2">
      <c r="D379" s="1">
        <v>45989</v>
      </c>
      <c r="E379" s="2">
        <v>0.66666666666666663</v>
      </c>
      <c r="F379" t="s">
        <v>23</v>
      </c>
      <c r="G379">
        <f>VLOOKUP(Table4[[#This Row],[Home]],'NHL Model'!$A$6:$B$38,2,FALSE)</f>
        <v>-0.4761104357405897</v>
      </c>
      <c r="H379" t="s">
        <v>24</v>
      </c>
      <c r="I379">
        <f>VLOOKUP(Table4[[#This Row],[Visitor]],'NHL Model'!$A$6:$B$38,2,FALSE)</f>
        <v>1.5302507646042616E-3</v>
      </c>
      <c r="J379">
        <f>($B$1+Table4[[#This Row],[Home Differential]])-Table4[[#This Row],[Away Differential]]</f>
        <v>-0.42773993758203149</v>
      </c>
      <c r="K379" t="str">
        <f>IF(Table4[[#This Row],[HomeIce Differential]]&gt;0,Table4[[#This Row],[Home]],Table4[[#This Row],[Visitor]])</f>
        <v>New Jersey Devils</v>
      </c>
      <c r="L3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0.52053318599773446</v>
      </c>
      <c r="M379" t="str">
        <f>IF(OR((NHL2025_26Results[[#This Row],[Winning Team]]="")),"-",IF(Table4[[#This Row],[Predicted Winner]]=NHL2025_26Results[[#This Row],[Winning Team]],"YES","NO"))</f>
        <v>YES</v>
      </c>
      <c r="N379">
        <f>IF(Table4[[#This Row],[Adjusted Correct]]="-", "",IF(Table4[[#This Row],[Adjusted Correct]]="YES",(Table4[[#This Row],[Strength of Win]]-1)^2,(Table4[[#This Row],[Strength of Win]]-0)^2))</f>
        <v>0.22988842572948309</v>
      </c>
      <c r="O379">
        <v>-0.42791275543631624</v>
      </c>
      <c r="P379" s="11">
        <v>0.50087851742754785</v>
      </c>
      <c r="Q379" t="s">
        <v>24</v>
      </c>
      <c r="R379" t="s">
        <v>248</v>
      </c>
    </row>
    <row r="380" spans="4:18" x14ac:dyDescent="0.2">
      <c r="D380" s="1">
        <v>45989</v>
      </c>
      <c r="E380" s="2">
        <v>0.70833333333333337</v>
      </c>
      <c r="F380" t="s">
        <v>25</v>
      </c>
      <c r="G380">
        <f>VLOOKUP(Table4[[#This Row],[Home]],'NHL Model'!$A$6:$B$38,2,FALSE)</f>
        <v>0.42567513732855267</v>
      </c>
      <c r="H380" t="s">
        <v>40</v>
      </c>
      <c r="I380">
        <f>VLOOKUP(Table4[[#This Row],[Visitor]],'NHL Model'!$A$6:$B$38,2,FALSE)</f>
        <v>-0.31324182378279158</v>
      </c>
      <c r="J380">
        <f>($B$1+Table4[[#This Row],[Home Differential]])-Table4[[#This Row],[Away Differential]]</f>
        <v>0.78881771003450674</v>
      </c>
      <c r="K380" t="str">
        <f>IF(Table4[[#This Row],[HomeIce Differential]]&gt;0,Table4[[#This Row],[Home]],Table4[[#This Row],[Visitor]])</f>
        <v>Carolina Hurricanes</v>
      </c>
      <c r="L3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0.66353468119359138</v>
      </c>
      <c r="M380" t="str">
        <f>IF(OR((NHL2025_26Results[[#This Row],[Winning Team]]="")),"-",IF(Table4[[#This Row],[Predicted Winner]]=NHL2025_26Results[[#This Row],[Winning Team]],"YES","NO"))</f>
        <v>YES</v>
      </c>
      <c r="N380">
        <f>IF(Table4[[#This Row],[Adjusted Correct]]="-", "",IF(Table4[[#This Row],[Adjusted Correct]]="YES",(Table4[[#This Row],[Strength of Win]]-1)^2,(Table4[[#This Row],[Strength of Win]]-0)^2))</f>
        <v>0.1132089107594982</v>
      </c>
      <c r="O380">
        <v>0.49959240966523888</v>
      </c>
      <c r="P380" s="11">
        <v>0.58693679599124149</v>
      </c>
      <c r="Q380" t="s">
        <v>25</v>
      </c>
      <c r="R380" t="s">
        <v>248</v>
      </c>
    </row>
    <row r="381" spans="4:18" x14ac:dyDescent="0.2">
      <c r="D381" s="1">
        <v>45989</v>
      </c>
      <c r="E381" s="2">
        <v>0.79166666666666663</v>
      </c>
      <c r="F381" t="s">
        <v>28</v>
      </c>
      <c r="G381">
        <f>VLOOKUP(Table4[[#This Row],[Home]],'NHL Model'!$A$6:$B$38,2,FALSE)</f>
        <v>-0.59498940435054026</v>
      </c>
      <c r="H381" t="s">
        <v>14</v>
      </c>
      <c r="I381">
        <f>VLOOKUP(Table4[[#This Row],[Visitor]],'NHL Model'!$A$6:$B$38,2,FALSE)</f>
        <v>-0.14226422156549004</v>
      </c>
      <c r="J381">
        <f>($B$1+Table4[[#This Row],[Home Differential]])-Table4[[#This Row],[Away Differential]]</f>
        <v>-0.40282443386188782</v>
      </c>
      <c r="K381" t="str">
        <f>IF(Table4[[#This Row],[HomeIce Differential]]&gt;0,Table4[[#This Row],[Home]],Table4[[#This Row],[Visitor]])</f>
        <v>Pittsburgh Penguins</v>
      </c>
      <c r="L3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0.54632243115593127</v>
      </c>
      <c r="M381" t="str">
        <f>IF(OR((NHL2025_26Results[[#This Row],[Winning Team]]="")),"-",IF(Table4[[#This Row],[Predicted Winner]]=NHL2025_26Results[[#This Row],[Winning Team]],"YES","NO"))</f>
        <v>YES</v>
      </c>
      <c r="N381">
        <f>IF(Table4[[#This Row],[Adjusted Correct]]="-", "",IF(Table4[[#This Row],[Adjusted Correct]]="YES",(Table4[[#This Row],[Strength of Win]]-1)^2,(Table4[[#This Row],[Strength of Win]]-0)^2))</f>
        <v>0.20582333647226472</v>
      </c>
      <c r="O381">
        <v>-0.52698871804388547</v>
      </c>
      <c r="P381" s="11">
        <v>0.52658900254898244</v>
      </c>
      <c r="Q381" t="s">
        <v>14</v>
      </c>
      <c r="R381" t="s">
        <v>248</v>
      </c>
    </row>
    <row r="382" spans="4:18" x14ac:dyDescent="0.2">
      <c r="D382" s="1">
        <v>45989</v>
      </c>
      <c r="E382" s="2">
        <v>0.83333333333333337</v>
      </c>
      <c r="F382" t="s">
        <v>10</v>
      </c>
      <c r="G382">
        <f>VLOOKUP(Table4[[#This Row],[Home]],'NHL Model'!$A$6:$B$38,2,FALSE)</f>
        <v>-0.17619625518431364</v>
      </c>
      <c r="H382" t="s">
        <v>29</v>
      </c>
      <c r="I382">
        <f>VLOOKUP(Table4[[#This Row],[Visitor]],'NHL Model'!$A$6:$B$38,2,FALSE)</f>
        <v>-1.384917283810061</v>
      </c>
      <c r="J382">
        <f>($B$1+Table4[[#This Row],[Home Differential]])-Table4[[#This Row],[Away Differential]]</f>
        <v>1.2586217775489097</v>
      </c>
      <c r="K382" t="str">
        <f>IF(Table4[[#This Row],[HomeIce Differential]]&gt;0,Table4[[#This Row],[Home]],Table4[[#This Row],[Visitor]])</f>
        <v>Chicago Blackhawks</v>
      </c>
      <c r="L3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0.68696266846049026</v>
      </c>
      <c r="M382" t="str">
        <f>IF(OR((NHL2025_26Results[[#This Row],[Winning Team]]="")),"-",IF(Table4[[#This Row],[Predicted Winner]]=NHL2025_26Results[[#This Row],[Winning Team]],"YES","NO"))</f>
        <v>NO</v>
      </c>
      <c r="N382">
        <f>IF(Table4[[#This Row],[Adjusted Correct]]="-", "",IF(Table4[[#This Row],[Adjusted Correct]]="YES",(Table4[[#This Row],[Strength of Win]]-1)^2,(Table4[[#This Row],[Strength of Win]]-0)^2))</f>
        <v>0.47191770785835746</v>
      </c>
      <c r="O382">
        <v>1.3590845612656259</v>
      </c>
      <c r="P382" s="11">
        <v>0.71173059349415335</v>
      </c>
      <c r="Q382" t="s">
        <v>10</v>
      </c>
      <c r="R382" t="s">
        <v>249</v>
      </c>
    </row>
    <row r="383" spans="4:18" x14ac:dyDescent="0.2">
      <c r="D383" s="1">
        <v>45989</v>
      </c>
      <c r="E383" s="2">
        <v>0.83333333333333337</v>
      </c>
      <c r="F383" t="s">
        <v>39</v>
      </c>
      <c r="G383">
        <f>VLOOKUP(Table4[[#This Row],[Home]],'NHL Model'!$A$6:$B$38,2,FALSE)</f>
        <v>0.41344250185511977</v>
      </c>
      <c r="H383" t="s">
        <v>55</v>
      </c>
      <c r="I383">
        <f>VLOOKUP(Table4[[#This Row],[Visitor]],'NHL Model'!$A$6:$B$38,2,FALSE)</f>
        <v>-0.4031232890211825</v>
      </c>
      <c r="J383">
        <f>($B$1+Table4[[#This Row],[Home Differential]])-Table4[[#This Row],[Away Differential]]</f>
        <v>0.86646653979946475</v>
      </c>
      <c r="K383" t="str">
        <f>IF(Table4[[#This Row],[HomeIce Differential]]&gt;0,Table4[[#This Row],[Home]],Table4[[#This Row],[Visitor]])</f>
        <v>Dallas Stars</v>
      </c>
      <c r="L3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0.67341882246331153</v>
      </c>
      <c r="M383" t="str">
        <f>IF(OR((NHL2025_26Results[[#This Row],[Winning Team]]="")),"-",IF(Table4[[#This Row],[Predicted Winner]]=NHL2025_26Results[[#This Row],[Winning Team]],"YES","NO"))</f>
        <v>YES</v>
      </c>
      <c r="N383">
        <f>IF(Table4[[#This Row],[Adjusted Correct]]="-", "",IF(Table4[[#This Row],[Adjusted Correct]]="YES",(Table4[[#This Row],[Strength of Win]]-1)^2,(Table4[[#This Row],[Strength of Win]]-0)^2))</f>
        <v>0.10665526552125003</v>
      </c>
      <c r="O383">
        <v>0.53785732059230895</v>
      </c>
      <c r="P383" s="11">
        <v>0.61045781172798907</v>
      </c>
      <c r="Q383" t="s">
        <v>39</v>
      </c>
      <c r="R383" t="s">
        <v>248</v>
      </c>
    </row>
    <row r="384" spans="4:18" x14ac:dyDescent="0.2">
      <c r="D384" s="1">
        <v>45989</v>
      </c>
      <c r="E384" s="2">
        <v>0.5</v>
      </c>
      <c r="F384" t="s">
        <v>26</v>
      </c>
      <c r="G384">
        <f>VLOOKUP(Table4[[#This Row],[Home]],'NHL Model'!$A$6:$B$38,2,FALSE)</f>
        <v>-0.87533956503230947</v>
      </c>
      <c r="H384" t="s">
        <v>37</v>
      </c>
      <c r="I384">
        <f>VLOOKUP(Table4[[#This Row],[Visitor]],'NHL Model'!$A$6:$B$38,2,FALSE)</f>
        <v>0.51050494674660429</v>
      </c>
      <c r="J384">
        <f>($B$1+Table4[[#This Row],[Home Differential]])-Table4[[#This Row],[Away Differential]]</f>
        <v>-1.3359437628557513</v>
      </c>
      <c r="K384" t="str">
        <f>IF(Table4[[#This Row],[HomeIce Differential]]&gt;0,Table4[[#This Row],[Home]],Table4[[#This Row],[Visitor]])</f>
        <v>Tampa Bay Lightning</v>
      </c>
      <c r="L3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0.70847733928142309</v>
      </c>
      <c r="M384" t="str">
        <f>IF(OR((NHL2025_26Results[[#This Row],[Winning Team]]="")),"-",IF(Table4[[#This Row],[Predicted Winner]]=NHL2025_26Results[[#This Row],[Winning Team]],"YES","NO"))</f>
        <v>YES</v>
      </c>
      <c r="N384">
        <f>IF(Table4[[#This Row],[Adjusted Correct]]="-", "",IF(Table4[[#This Row],[Adjusted Correct]]="YES",(Table4[[#This Row],[Strength of Win]]-1)^2,(Table4[[#This Row],[Strength of Win]]-0)^2))</f>
        <v>8.4985461712438509E-2</v>
      </c>
      <c r="O384">
        <v>-1.0555040517533043</v>
      </c>
      <c r="P384" s="11">
        <v>0.64556602646232719</v>
      </c>
      <c r="Q384" t="s">
        <v>37</v>
      </c>
      <c r="R384" t="s">
        <v>248</v>
      </c>
    </row>
    <row r="385" spans="4:18" x14ac:dyDescent="0.2">
      <c r="D385" s="1">
        <v>45989</v>
      </c>
      <c r="E385" s="2">
        <v>0.66666666666666663</v>
      </c>
      <c r="F385" t="s">
        <v>11</v>
      </c>
      <c r="G385">
        <f>VLOOKUP(Table4[[#This Row],[Home]],'NHL Model'!$A$6:$B$38,2,FALSE)</f>
        <v>-0.39711829106410657</v>
      </c>
      <c r="H385" t="s">
        <v>16</v>
      </c>
      <c r="I385">
        <f>VLOOKUP(Table4[[#This Row],[Visitor]],'NHL Model'!$A$6:$B$38,2,FALSE)</f>
        <v>-1.0657812790446208</v>
      </c>
      <c r="J385">
        <f>($B$1+Table4[[#This Row],[Home Differential]])-Table4[[#This Row],[Away Differential]]</f>
        <v>0.71856373690367681</v>
      </c>
      <c r="K385" t="str">
        <f>IF(Table4[[#This Row],[HomeIce Differential]]&gt;0,Table4[[#This Row],[Home]],Table4[[#This Row],[Visitor]])</f>
        <v>Florida Panthers</v>
      </c>
      <c r="L3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0.63791954202596979</v>
      </c>
      <c r="M385" t="str">
        <f>IF(OR((NHL2025_26Results[[#This Row],[Winning Team]]="")),"-",IF(Table4[[#This Row],[Predicted Winner]]=NHL2025_26Results[[#This Row],[Winning Team]],"YES","NO"))</f>
        <v>NO</v>
      </c>
      <c r="N385">
        <f>IF(Table4[[#This Row],[Adjusted Correct]]="-", "",IF(Table4[[#This Row],[Adjusted Correct]]="YES",(Table4[[#This Row],[Strength of Win]]-1)^2,(Table4[[#This Row],[Strength of Win]]-0)^2))</f>
        <v>0.40694134209862304</v>
      </c>
      <c r="O385">
        <v>1.0134971218256432</v>
      </c>
      <c r="P385" s="11">
        <v>0.70030907762976513</v>
      </c>
      <c r="Q385" t="s">
        <v>11</v>
      </c>
      <c r="R385" t="s">
        <v>249</v>
      </c>
    </row>
    <row r="386" spans="4:18" x14ac:dyDescent="0.2">
      <c r="D386" s="1">
        <v>45989</v>
      </c>
      <c r="E386" s="2">
        <v>0.64583333333333337</v>
      </c>
      <c r="F386" t="s">
        <v>34</v>
      </c>
      <c r="G386">
        <f>VLOOKUP(Table4[[#This Row],[Home]],'NHL Model'!$A$6:$B$38,2,FALSE)</f>
        <v>-5.5124787449478845E-2</v>
      </c>
      <c r="H386" t="s">
        <v>12</v>
      </c>
      <c r="I386">
        <f>VLOOKUP(Table4[[#This Row],[Visitor]],'NHL Model'!$A$6:$B$38,2,FALSE)</f>
        <v>1.6319036584269762</v>
      </c>
      <c r="J386">
        <f>($B$1+Table4[[#This Row],[Home Differential]])-Table4[[#This Row],[Away Differential]]</f>
        <v>-1.6371276969532926</v>
      </c>
      <c r="K386" t="str">
        <f>IF(Table4[[#This Row],[HomeIce Differential]]&gt;0,Table4[[#This Row],[Home]],Table4[[#This Row],[Visitor]])</f>
        <v>Colorado Avalanche</v>
      </c>
      <c r="L3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0.72378199000747556</v>
      </c>
      <c r="M386" t="str">
        <f>IF(OR((NHL2025_26Results[[#This Row],[Winning Team]]="")),"-",IF(Table4[[#This Row],[Predicted Winner]]=NHL2025_26Results[[#This Row],[Winning Team]],"YES","NO"))</f>
        <v>NO</v>
      </c>
      <c r="N386">
        <f>IF(Table4[[#This Row],[Adjusted Correct]]="-", "",IF(Table4[[#This Row],[Adjusted Correct]]="YES",(Table4[[#This Row],[Strength of Win]]-1)^2,(Table4[[#This Row],[Strength of Win]]-0)^2))</f>
        <v>0.52386036905918143</v>
      </c>
      <c r="O386">
        <v>-1.6345680627934112</v>
      </c>
      <c r="P386" s="11">
        <v>0.75902620127073683</v>
      </c>
      <c r="Q386" t="s">
        <v>12</v>
      </c>
      <c r="R386" t="s">
        <v>249</v>
      </c>
    </row>
    <row r="387" spans="4:18" x14ac:dyDescent="0.2">
      <c r="D387" s="1">
        <v>45989</v>
      </c>
      <c r="E387" s="2">
        <v>0.66666666666666663</v>
      </c>
      <c r="F387" t="s">
        <v>30</v>
      </c>
      <c r="G387">
        <f>VLOOKUP(Table4[[#This Row],[Home]],'NHL Model'!$A$6:$B$38,2,FALSE)</f>
        <v>-0.24093199744133265</v>
      </c>
      <c r="H387" t="s">
        <v>27</v>
      </c>
      <c r="I387">
        <f>VLOOKUP(Table4[[#This Row],[Visitor]],'NHL Model'!$A$6:$B$38,2,FALSE)</f>
        <v>-0.38023958350631604</v>
      </c>
      <c r="J387">
        <f>($B$1+Table4[[#This Row],[Home Differential]])-Table4[[#This Row],[Away Differential]]</f>
        <v>0.18920833498814585</v>
      </c>
      <c r="K387" t="str">
        <f>IF(Table4[[#This Row],[HomeIce Differential]]&gt;0,Table4[[#This Row],[Home]],Table4[[#This Row],[Visitor]])</f>
        <v>New York Islanders</v>
      </c>
      <c r="L3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0.51958030281151568</v>
      </c>
      <c r="M387" t="str">
        <f>IF(OR((NHL2025_26Results[[#This Row],[Winning Team]]="")),"-",IF(Table4[[#This Row],[Predicted Winner]]=NHL2025_26Results[[#This Row],[Winning Team]],"YES","NO"))</f>
        <v>NO</v>
      </c>
      <c r="N387">
        <f>IF(Table4[[#This Row],[Adjusted Correct]]="-", "",IF(Table4[[#This Row],[Adjusted Correct]]="YES",(Table4[[#This Row],[Strength of Win]]-1)^2,(Table4[[#This Row],[Strength of Win]]-0)^2))</f>
        <v>0.26996369106970636</v>
      </c>
      <c r="O387">
        <v>0.41382256861288746</v>
      </c>
      <c r="P387" s="11">
        <v>0.5922896053230029</v>
      </c>
      <c r="Q387" t="s">
        <v>30</v>
      </c>
      <c r="R387" t="s">
        <v>249</v>
      </c>
    </row>
    <row r="388" spans="4:18" x14ac:dyDescent="0.2">
      <c r="D388" s="1">
        <v>45989</v>
      </c>
      <c r="E388" s="2">
        <v>0.66666666666666663</v>
      </c>
      <c r="F388" t="s">
        <v>33</v>
      </c>
      <c r="G388">
        <f>VLOOKUP(Table4[[#This Row],[Home]],'NHL Model'!$A$6:$B$38,2,FALSE)</f>
        <v>-0.45133099238224339</v>
      </c>
      <c r="H388" t="s">
        <v>38</v>
      </c>
      <c r="I388">
        <f>VLOOKUP(Table4[[#This Row],[Visitor]],'NHL Model'!$A$6:$B$38,2,FALSE)</f>
        <v>-0.9476777551108041</v>
      </c>
      <c r="J388">
        <f>($B$1+Table4[[#This Row],[Home Differential]])-Table4[[#This Row],[Away Differential]]</f>
        <v>0.54624751165172314</v>
      </c>
      <c r="K388" t="str">
        <f>IF(Table4[[#This Row],[HomeIce Differential]]&gt;0,Table4[[#This Row],[Home]],Table4[[#This Row],[Visitor]])</f>
        <v>San Jose Sharks</v>
      </c>
      <c r="L3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0.61034116347665668</v>
      </c>
      <c r="M388" t="str">
        <f>IF(OR((NHL2025_26Results[[#This Row],[Winning Team]]="")),"-",IF(Table4[[#This Row],[Predicted Winner]]=NHL2025_26Results[[#This Row],[Winning Team]],"YES","NO"))</f>
        <v>YES</v>
      </c>
      <c r="N388">
        <f>IF(Table4[[#This Row],[Adjusted Correct]]="-", "",IF(Table4[[#This Row],[Adjusted Correct]]="YES",(Table4[[#This Row],[Strength of Win]]-1)^2,(Table4[[#This Row],[Strength of Win]]-0)^2))</f>
        <v>0.1518340088807256</v>
      </c>
      <c r="O388">
        <v>0.5772313867148301</v>
      </c>
      <c r="P388" s="11">
        <v>0.57365080975885752</v>
      </c>
      <c r="Q388" t="s">
        <v>33</v>
      </c>
      <c r="R388" t="s">
        <v>248</v>
      </c>
    </row>
    <row r="389" spans="4:18" x14ac:dyDescent="0.2">
      <c r="D389" s="1">
        <v>45989</v>
      </c>
      <c r="E389" s="2">
        <v>0.66666666666666663</v>
      </c>
      <c r="F389" t="s">
        <v>35</v>
      </c>
      <c r="G389">
        <f>VLOOKUP(Table4[[#This Row],[Home]],'NHL Model'!$A$6:$B$38,2,FALSE)</f>
        <v>-1.3944783719477225</v>
      </c>
      <c r="H389" t="s">
        <v>36</v>
      </c>
      <c r="I389">
        <f>VLOOKUP(Table4[[#This Row],[Visitor]],'NHL Model'!$A$6:$B$38,2,FALSE)</f>
        <v>-0.53137605086483863</v>
      </c>
      <c r="J389">
        <f>($B$1+Table4[[#This Row],[Home Differential]])-Table4[[#This Row],[Away Differential]]</f>
        <v>-0.81320157215972144</v>
      </c>
      <c r="K389" t="str">
        <f>IF(Table4[[#This Row],[HomeIce Differential]]&gt;0,Table4[[#This Row],[Home]],Table4[[#This Row],[Visitor]])</f>
        <v>Ottawa Senators</v>
      </c>
      <c r="L3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0.55495328554825873</v>
      </c>
      <c r="M389" t="str">
        <f>IF(OR((NHL2025_26Results[[#This Row],[Winning Team]]="")),"-",IF(Table4[[#This Row],[Predicted Winner]]=NHL2025_26Results[[#This Row],[Winning Team]],"YES","NO"))</f>
        <v>NO</v>
      </c>
      <c r="N389">
        <f>IF(Table4[[#This Row],[Adjusted Correct]]="-", "",IF(Table4[[#This Row],[Adjusted Correct]]="YES",(Table4[[#This Row],[Strength of Win]]-1)^2,(Table4[[#This Row],[Strength of Win]]-0)^2))</f>
        <v>0.3079731491408072</v>
      </c>
      <c r="O389">
        <v>-1.1527716534947849</v>
      </c>
      <c r="P389" s="11">
        <v>0.62643063099405782</v>
      </c>
      <c r="Q389" t="s">
        <v>36</v>
      </c>
      <c r="R389" t="s">
        <v>249</v>
      </c>
    </row>
    <row r="390" spans="4:18" x14ac:dyDescent="0.2">
      <c r="D390" s="1">
        <v>45989</v>
      </c>
      <c r="E390" s="2">
        <v>0.66666666666666663</v>
      </c>
      <c r="F390" t="s">
        <v>20</v>
      </c>
      <c r="G390">
        <f>VLOOKUP(Table4[[#This Row],[Home]],'NHL Model'!$A$6:$B$38,2,FALSE)</f>
        <v>-0.24444083032063643</v>
      </c>
      <c r="H390" t="s">
        <v>18</v>
      </c>
      <c r="I390">
        <f>VLOOKUP(Table4[[#This Row],[Visitor]],'NHL Model'!$A$6:$B$38,2,FALSE)</f>
        <v>-0.59288962827382519</v>
      </c>
      <c r="J390">
        <f>($B$1+Table4[[#This Row],[Home Differential]])-Table4[[#This Row],[Away Differential]]</f>
        <v>0.39834954687635121</v>
      </c>
      <c r="K390" t="str">
        <f>IF(Table4[[#This Row],[HomeIce Differential]]&gt;0,Table4[[#This Row],[Home]],Table4[[#This Row],[Visitor]])</f>
        <v>Vegas Golden Knights</v>
      </c>
      <c r="L3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0.5272253549896273</v>
      </c>
      <c r="M390" t="str">
        <f>IF(OR((NHL2025_26Results[[#This Row],[Winning Team]]="")),"-",IF(Table4[[#This Row],[Predicted Winner]]=NHL2025_26Results[[#This Row],[Winning Team]],"YES","NO"))</f>
        <v>NO</v>
      </c>
      <c r="N390">
        <f>IF(Table4[[#This Row],[Adjusted Correct]]="-", "",IF(Table4[[#This Row],[Adjusted Correct]]="YES",(Table4[[#This Row],[Strength of Win]]-1)^2,(Table4[[#This Row],[Strength of Win]]-0)^2))</f>
        <v>0.2779665749439385</v>
      </c>
      <c r="O390">
        <v>0.63335943034814701</v>
      </c>
      <c r="P390" s="11">
        <v>0.55371395552431535</v>
      </c>
      <c r="Q390" t="s">
        <v>20</v>
      </c>
      <c r="R390" t="s">
        <v>249</v>
      </c>
    </row>
    <row r="391" spans="4:18" x14ac:dyDescent="0.2">
      <c r="D391" s="1">
        <v>45989</v>
      </c>
      <c r="E391" s="2">
        <v>0.70833333333333337</v>
      </c>
      <c r="F391" t="s">
        <v>22</v>
      </c>
      <c r="G391">
        <f>VLOOKUP(Table4[[#This Row],[Home]],'NHL Model'!$A$6:$B$38,2,FALSE)</f>
        <v>0.4407072328537569</v>
      </c>
      <c r="H391" t="s">
        <v>19</v>
      </c>
      <c r="I391">
        <f>VLOOKUP(Table4[[#This Row],[Visitor]],'NHL Model'!$A$6:$B$38,2,FALSE)</f>
        <v>-0.63447859131898054</v>
      </c>
      <c r="J391">
        <f>($B$1+Table4[[#This Row],[Home Differential]])-Table4[[#This Row],[Away Differential]]</f>
        <v>1.1250865730958999</v>
      </c>
      <c r="K391" t="str">
        <f>IF(Table4[[#This Row],[HomeIce Differential]]&gt;0,Table4[[#This Row],[Home]],Table4[[#This Row],[Visitor]])</f>
        <v>Washington Capitals</v>
      </c>
      <c r="L3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0.69740819835070078</v>
      </c>
      <c r="M391" t="str">
        <f>IF(OR((NHL2025_26Results[[#This Row],[Winning Team]]="")),"-",IF(Table4[[#This Row],[Predicted Winner]]=NHL2025_26Results[[#This Row],[Winning Team]],"YES","NO"))</f>
        <v>YES</v>
      </c>
      <c r="N391">
        <f>IF(Table4[[#This Row],[Adjusted Correct]]="-", "",IF(Table4[[#This Row],[Adjusted Correct]]="YES",(Table4[[#This Row],[Strength of Win]]-1)^2,(Table4[[#This Row],[Strength of Win]]-0)^2))</f>
        <v>9.1561798425368837E-2</v>
      </c>
      <c r="O391">
        <v>1.2534610579393526</v>
      </c>
      <c r="P391" s="11">
        <v>0.71240088703849758</v>
      </c>
      <c r="Q391" t="s">
        <v>22</v>
      </c>
      <c r="R391" t="s">
        <v>248</v>
      </c>
    </row>
    <row r="392" spans="4:18" x14ac:dyDescent="0.2">
      <c r="D392" s="1">
        <v>45990</v>
      </c>
      <c r="E392" s="2">
        <v>0.79166666666666663</v>
      </c>
      <c r="F392" t="s">
        <v>21</v>
      </c>
      <c r="G392">
        <f>VLOOKUP(Table4[[#This Row],[Home]],'NHL Model'!$A$6:$B$38,2,FALSE)</f>
        <v>-0.21976976044773161</v>
      </c>
      <c r="H392" t="s">
        <v>26</v>
      </c>
      <c r="I392">
        <f>VLOOKUP(Table4[[#This Row],[Visitor]],'NHL Model'!$A$6:$B$38,2,FALSE)</f>
        <v>-0.87533956503230947</v>
      </c>
      <c r="J392">
        <f>($B$1+Table4[[#This Row],[Home Differential]])-Table4[[#This Row],[Away Differential]]</f>
        <v>0.70547055350774035</v>
      </c>
      <c r="K392" t="str">
        <f>IF(Table4[[#This Row],[HomeIce Differential]]&gt;0,Table4[[#This Row],[Home]],Table4[[#This Row],[Visitor]])</f>
        <v>Boston Bruins</v>
      </c>
      <c r="L3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0.66527565352842921</v>
      </c>
      <c r="M392" t="str">
        <f>IF(OR((NHL2025_26Results[[#This Row],[Winning Team]]="")),"-",IF(Table4[[#This Row],[Predicted Winner]]=NHL2025_26Results[[#This Row],[Winning Team]],"YES","NO"))</f>
        <v>YES</v>
      </c>
      <c r="N392">
        <f>IF(Table4[[#This Row],[Adjusted Correct]]="-", "",IF(Table4[[#This Row],[Adjusted Correct]]="YES",(Table4[[#This Row],[Strength of Win]]-1)^2,(Table4[[#This Row],[Strength of Win]]-0)^2))</f>
        <v>0.11204038812082016</v>
      </c>
      <c r="O392">
        <v>0.73870759014832743</v>
      </c>
      <c r="P392" s="11">
        <v>0.6376879242331368</v>
      </c>
      <c r="Q392" t="s">
        <v>21</v>
      </c>
      <c r="R392" t="s">
        <v>248</v>
      </c>
    </row>
    <row r="393" spans="4:18" x14ac:dyDescent="0.2">
      <c r="D393" s="1">
        <v>45990</v>
      </c>
      <c r="E393" s="2">
        <v>0.625</v>
      </c>
      <c r="F393" t="s">
        <v>12</v>
      </c>
      <c r="G393">
        <f>VLOOKUP(Table4[[#This Row],[Home]],'NHL Model'!$A$6:$B$38,2,FALSE)</f>
        <v>1.6319036584269762</v>
      </c>
      <c r="H393" t="s">
        <v>18</v>
      </c>
      <c r="I393">
        <f>VLOOKUP(Table4[[#This Row],[Visitor]],'NHL Model'!$A$6:$B$38,2,FALSE)</f>
        <v>-0.59288962827382519</v>
      </c>
      <c r="J393">
        <f>($B$1+Table4[[#This Row],[Home Differential]])-Table4[[#This Row],[Away Differential]]</f>
        <v>2.2746940356239636</v>
      </c>
      <c r="K393" t="str">
        <f>IF(Table4[[#This Row],[HomeIce Differential]]&gt;0,Table4[[#This Row],[Home]],Table4[[#This Row],[Visitor]])</f>
        <v>Colorado Avalanche</v>
      </c>
      <c r="L3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0.85383939486463922</v>
      </c>
      <c r="M393" t="str">
        <f>IF(OR((NHL2025_26Results[[#This Row],[Winning Team]]="")),"-",IF(Table4[[#This Row],[Predicted Winner]]=NHL2025_26Results[[#This Row],[Winning Team]],"YES","NO"))</f>
        <v>YES</v>
      </c>
      <c r="N393">
        <f>IF(Table4[[#This Row],[Adjusted Correct]]="-", "",IF(Table4[[#This Row],[Adjusted Correct]]="YES",(Table4[[#This Row],[Strength of Win]]-1)^2,(Table4[[#This Row],[Strength of Win]]-0)^2))</f>
        <v>2.1362922493534851E-2</v>
      </c>
      <c r="O393">
        <v>2.0809148635978927</v>
      </c>
      <c r="P393" s="11">
        <v>0.80465714449512971</v>
      </c>
      <c r="Q393" t="s">
        <v>12</v>
      </c>
      <c r="R393" t="s">
        <v>248</v>
      </c>
    </row>
    <row r="394" spans="4:18" x14ac:dyDescent="0.2">
      <c r="D394" s="1">
        <v>45990</v>
      </c>
      <c r="E394" s="2">
        <v>0.91666666666666663</v>
      </c>
      <c r="F394" t="s">
        <v>13</v>
      </c>
      <c r="G394">
        <f>VLOOKUP(Table4[[#This Row],[Home]],'NHL Model'!$A$6:$B$38,2,FALSE)</f>
        <v>-0.33828359867721369</v>
      </c>
      <c r="H394" t="s">
        <v>38</v>
      </c>
      <c r="I394">
        <f>VLOOKUP(Table4[[#This Row],[Visitor]],'NHL Model'!$A$6:$B$38,2,FALSE)</f>
        <v>-0.9476777551108041</v>
      </c>
      <c r="J394">
        <f>($B$1+Table4[[#This Row],[Home Differential]])-Table4[[#This Row],[Away Differential]]</f>
        <v>0.65929490535675295</v>
      </c>
      <c r="K394" t="str">
        <f>IF(Table4[[#This Row],[HomeIce Differential]]&gt;0,Table4[[#This Row],[Home]],Table4[[#This Row],[Visitor]])</f>
        <v>Los Angeles Kings</v>
      </c>
      <c r="L3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0.61340625175833186</v>
      </c>
      <c r="M394" t="str">
        <f>IF(OR((NHL2025_26Results[[#This Row],[Winning Team]]="")),"-",IF(Table4[[#This Row],[Predicted Winner]]=NHL2025_26Results[[#This Row],[Winning Team]],"YES","NO"))</f>
        <v>YES</v>
      </c>
      <c r="N394">
        <f>IF(Table4[[#This Row],[Adjusted Correct]]="-", "",IF(Table4[[#This Row],[Adjusted Correct]]="YES",(Table4[[#This Row],[Strength of Win]]-1)^2,(Table4[[#This Row],[Strength of Win]]-0)^2))</f>
        <v>0.14945472617954228</v>
      </c>
      <c r="O394">
        <v>0.71320018668962071</v>
      </c>
      <c r="P394" s="11">
        <v>0.60222624573168826</v>
      </c>
      <c r="Q394" t="s">
        <v>13</v>
      </c>
      <c r="R394" t="s">
        <v>248</v>
      </c>
    </row>
    <row r="395" spans="4:18" x14ac:dyDescent="0.2">
      <c r="D395" s="1">
        <v>45990</v>
      </c>
      <c r="E395" s="2">
        <v>0.83333333333333337</v>
      </c>
      <c r="F395" t="s">
        <v>34</v>
      </c>
      <c r="G395">
        <f>VLOOKUP(Table4[[#This Row],[Home]],'NHL Model'!$A$6:$B$38,2,FALSE)</f>
        <v>-5.5124787449478845E-2</v>
      </c>
      <c r="H395" t="s">
        <v>23</v>
      </c>
      <c r="I395">
        <f>VLOOKUP(Table4[[#This Row],[Visitor]],'NHL Model'!$A$6:$B$38,2,FALSE)</f>
        <v>-0.4761104357405897</v>
      </c>
      <c r="J395">
        <f>($B$1+Table4[[#This Row],[Home Differential]])-Table4[[#This Row],[Away Differential]]</f>
        <v>0.47088639721427333</v>
      </c>
      <c r="K395" t="str">
        <f>IF(Table4[[#This Row],[HomeIce Differential]]&gt;0,Table4[[#This Row],[Home]],Table4[[#This Row],[Visitor]])</f>
        <v>Minnesota Wild</v>
      </c>
      <c r="L3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0.59498293666197655</v>
      </c>
      <c r="M395" t="str">
        <f>IF(OR((NHL2025_26Results[[#This Row],[Winning Team]]="")),"-",IF(Table4[[#This Row],[Predicted Winner]]=NHL2025_26Results[[#This Row],[Winning Team]],"YES","NO"))</f>
        <v>NO</v>
      </c>
      <c r="N395">
        <f>IF(Table4[[#This Row],[Adjusted Correct]]="-", "",IF(Table4[[#This Row],[Adjusted Correct]]="YES",(Table4[[#This Row],[Strength of Win]]-1)^2,(Table4[[#This Row],[Strength of Win]]-0)^2))</f>
        <v>0.35400469491890957</v>
      </c>
      <c r="O395">
        <v>0.83481687214619971</v>
      </c>
      <c r="P395" s="11">
        <v>0.65116469391174403</v>
      </c>
      <c r="Q395" t="s">
        <v>34</v>
      </c>
      <c r="R395" t="s">
        <v>249</v>
      </c>
    </row>
    <row r="396" spans="4:18" x14ac:dyDescent="0.2">
      <c r="D396" s="1">
        <v>45990</v>
      </c>
      <c r="E396" s="2">
        <v>0.79166666666666663</v>
      </c>
      <c r="F396" t="s">
        <v>24</v>
      </c>
      <c r="G396">
        <f>VLOOKUP(Table4[[#This Row],[Home]],'NHL Model'!$A$6:$B$38,2,FALSE)</f>
        <v>1.5302507646042616E-3</v>
      </c>
      <c r="H396" t="s">
        <v>27</v>
      </c>
      <c r="I396">
        <f>VLOOKUP(Table4[[#This Row],[Visitor]],'NHL Model'!$A$6:$B$38,2,FALSE)</f>
        <v>-0.38023958350631604</v>
      </c>
      <c r="J396">
        <f>($B$1+Table4[[#This Row],[Home Differential]])-Table4[[#This Row],[Away Differential]]</f>
        <v>0.43167058319408275</v>
      </c>
      <c r="K396" t="str">
        <f>IF(Table4[[#This Row],[HomeIce Differential]]&gt;0,Table4[[#This Row],[Home]],Table4[[#This Row],[Visitor]])</f>
        <v>New Jersey Devils</v>
      </c>
      <c r="L3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0.62935128001206531</v>
      </c>
      <c r="M396" t="str">
        <f>IF(OR((NHL2025_26Results[[#This Row],[Winning Team]]="")),"-",IF(Table4[[#This Row],[Predicted Winner]]=NHL2025_26Results[[#This Row],[Winning Team]],"YES","NO"))</f>
        <v>NO</v>
      </c>
      <c r="N396">
        <f>IF(Table4[[#This Row],[Adjusted Correct]]="-", "",IF(Table4[[#This Row],[Adjusted Correct]]="YES",(Table4[[#This Row],[Strength of Win]]-1)^2,(Table4[[#This Row],[Strength of Win]]-0)^2))</f>
        <v>0.39608303365282505</v>
      </c>
      <c r="O396">
        <v>0.5524147747089877</v>
      </c>
      <c r="P396" s="11">
        <v>0.70714193737735653</v>
      </c>
      <c r="Q396" t="s">
        <v>24</v>
      </c>
      <c r="R396" t="s">
        <v>249</v>
      </c>
    </row>
    <row r="397" spans="4:18" x14ac:dyDescent="0.2">
      <c r="D397" s="1">
        <v>45990</v>
      </c>
      <c r="E397" s="2">
        <v>0.79166666666666663</v>
      </c>
      <c r="F397" t="s">
        <v>29</v>
      </c>
      <c r="G397">
        <f>VLOOKUP(Table4[[#This Row],[Home]],'NHL Model'!$A$6:$B$38,2,FALSE)</f>
        <v>-1.384917283810061</v>
      </c>
      <c r="H397" t="s">
        <v>40</v>
      </c>
      <c r="I397">
        <f>VLOOKUP(Table4[[#This Row],[Visitor]],'NHL Model'!$A$6:$B$38,2,FALSE)</f>
        <v>-0.31324182378279158</v>
      </c>
      <c r="J397">
        <f>($B$1+Table4[[#This Row],[Home Differential]])-Table4[[#This Row],[Away Differential]]</f>
        <v>-1.0217747111041069</v>
      </c>
      <c r="K397" t="str">
        <f>IF(Table4[[#This Row],[HomeIce Differential]]&gt;0,Table4[[#This Row],[Home]],Table4[[#This Row],[Visitor]])</f>
        <v>Winnipeg Jets</v>
      </c>
      <c r="L3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0.60007650860907469</v>
      </c>
      <c r="M397" t="str">
        <f>IF(OR((NHL2025_26Results[[#This Row],[Winning Team]]="")),"-",IF(Table4[[#This Row],[Predicted Winner]]=NHL2025_26Results[[#This Row],[Winning Team]],"YES","NO"))</f>
        <v>YES</v>
      </c>
      <c r="N397">
        <f>IF(Table4[[#This Row],[Adjusted Correct]]="-", "",IF(Table4[[#This Row],[Adjusted Correct]]="YES",(Table4[[#This Row],[Strength of Win]]-1)^2,(Table4[[#This Row],[Strength of Win]]-0)^2))</f>
        <v>0.1599387989663075</v>
      </c>
      <c r="O397">
        <v>-1.0249054596260834</v>
      </c>
      <c r="P397" s="11">
        <v>0.60003801192993833</v>
      </c>
      <c r="Q397" t="s">
        <v>40</v>
      </c>
      <c r="R397" t="s">
        <v>248</v>
      </c>
    </row>
    <row r="398" spans="4:18" x14ac:dyDescent="0.2">
      <c r="D398" s="1">
        <v>45990</v>
      </c>
      <c r="E398" s="2">
        <v>0.58333333333333337</v>
      </c>
      <c r="F398" t="s">
        <v>15</v>
      </c>
      <c r="G398">
        <f>VLOOKUP(Table4[[#This Row],[Home]],'NHL Model'!$A$6:$B$38,2,FALSE)</f>
        <v>-0.29003398448394263</v>
      </c>
      <c r="H398" t="s">
        <v>37</v>
      </c>
      <c r="I398">
        <f>VLOOKUP(Table4[[#This Row],[Visitor]],'NHL Model'!$A$6:$B$38,2,FALSE)</f>
        <v>0.51050494674660429</v>
      </c>
      <c r="J398">
        <f>($B$1+Table4[[#This Row],[Home Differential]])-Table4[[#This Row],[Away Differential]]</f>
        <v>-0.75063818230738444</v>
      </c>
      <c r="K398" t="str">
        <f>IF(Table4[[#This Row],[HomeIce Differential]]&gt;0,Table4[[#This Row],[Home]],Table4[[#This Row],[Visitor]])</f>
        <v>Tampa Bay Lightning</v>
      </c>
      <c r="L3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0.64013427425856984</v>
      </c>
      <c r="M398" t="str">
        <f>IF(OR((NHL2025_26Results[[#This Row],[Winning Team]]="")),"-",IF(Table4[[#This Row],[Predicted Winner]]=NHL2025_26Results[[#This Row],[Winning Team]],"YES","NO"))</f>
        <v>YES</v>
      </c>
      <c r="N398">
        <f>IF(Table4[[#This Row],[Adjusted Correct]]="-", "",IF(Table4[[#This Row],[Adjusted Correct]]="YES",(Table4[[#This Row],[Strength of Win]]-1)^2,(Table4[[#This Row],[Strength of Win]]-0)^2))</f>
        <v>0.12950334056340623</v>
      </c>
      <c r="O398">
        <v>-0.54364658774799723</v>
      </c>
      <c r="P398" s="11">
        <v>0.60422270497873032</v>
      </c>
      <c r="Q398" t="s">
        <v>37</v>
      </c>
      <c r="R398" t="s">
        <v>248</v>
      </c>
    </row>
    <row r="399" spans="4:18" x14ac:dyDescent="0.2">
      <c r="D399" s="1">
        <v>45990</v>
      </c>
      <c r="E399" s="2">
        <v>0.79166666666666663</v>
      </c>
      <c r="F399" t="s">
        <v>14</v>
      </c>
      <c r="G399">
        <f>VLOOKUP(Table4[[#This Row],[Home]],'NHL Model'!$A$6:$B$38,2,FALSE)</f>
        <v>-0.14226422156549004</v>
      </c>
      <c r="H399" t="s">
        <v>19</v>
      </c>
      <c r="I399">
        <f>VLOOKUP(Table4[[#This Row],[Visitor]],'NHL Model'!$A$6:$B$38,2,FALSE)</f>
        <v>-0.63447859131898054</v>
      </c>
      <c r="J399">
        <f>($B$1+Table4[[#This Row],[Home Differential]])-Table4[[#This Row],[Away Differential]]</f>
        <v>0.54211511867665296</v>
      </c>
      <c r="K399" t="str">
        <f>IF(Table4[[#This Row],[HomeIce Differential]]&gt;0,Table4[[#This Row],[Home]],Table4[[#This Row],[Visitor]])</f>
        <v>Pittsburgh Penguins</v>
      </c>
      <c r="L3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0.60329994115360863</v>
      </c>
      <c r="M399" t="str">
        <f>IF(OR((NHL2025_26Results[[#This Row],[Winning Team]]="")),"-",IF(Table4[[#This Row],[Predicted Winner]]=NHL2025_26Results[[#This Row],[Winning Team]],"YES","NO"))</f>
        <v>NO</v>
      </c>
      <c r="N399">
        <f>IF(Table4[[#This Row],[Adjusted Correct]]="-", "",IF(Table4[[#This Row],[Adjusted Correct]]="YES",(Table4[[#This Row],[Strength of Win]]-1)^2,(Table4[[#This Row],[Strength of Win]]-0)^2))</f>
        <v>0.36397081899594763</v>
      </c>
      <c r="O399">
        <v>0.90957425441448914</v>
      </c>
      <c r="P399" s="11">
        <v>0.64834310805661832</v>
      </c>
      <c r="Q399" t="s">
        <v>14</v>
      </c>
      <c r="R399" t="s">
        <v>249</v>
      </c>
    </row>
    <row r="400" spans="4:18" x14ac:dyDescent="0.2">
      <c r="D400" s="1">
        <v>45990</v>
      </c>
      <c r="E400" s="2">
        <v>0.66666666666666663</v>
      </c>
      <c r="F400" t="s">
        <v>32</v>
      </c>
      <c r="G400">
        <f>VLOOKUP(Table4[[#This Row],[Home]],'NHL Model'!$A$6:$B$38,2,FALSE)</f>
        <v>-0.64937723527808999</v>
      </c>
      <c r="H400" t="s">
        <v>17</v>
      </c>
      <c r="I400">
        <f>VLOOKUP(Table4[[#This Row],[Visitor]],'NHL Model'!$A$6:$B$38,2,FALSE)</f>
        <v>-0.81774666423752174</v>
      </c>
      <c r="J400">
        <f>($B$1+Table4[[#This Row],[Home Differential]])-Table4[[#This Row],[Away Differential]]</f>
        <v>0.21827017788259417</v>
      </c>
      <c r="K400" t="str">
        <f>IF(Table4[[#This Row],[HomeIce Differential]]&gt;0,Table4[[#This Row],[Home]],Table4[[#This Row],[Visitor]])</f>
        <v>Seattle Kraken</v>
      </c>
      <c r="L4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0.5654862647057014</v>
      </c>
      <c r="M400" t="str">
        <f>IF(OR((NHL2025_26Results[[#This Row],[Winning Team]]="")),"-",IF(Table4[[#This Row],[Predicted Winner]]=NHL2025_26Results[[#This Row],[Winning Team]],"YES","NO"))</f>
        <v>NO</v>
      </c>
      <c r="N400">
        <f>IF(Table4[[#This Row],[Adjusted Correct]]="-", "",IF(Table4[[#This Row],[Adjusted Correct]]="YES",(Table4[[#This Row],[Strength of Win]]-1)^2,(Table4[[#This Row],[Strength of Win]]-0)^2))</f>
        <v>0.31977471557080661</v>
      </c>
      <c r="O400">
        <v>0.59377536280955445</v>
      </c>
      <c r="P400" s="11">
        <v>0.61159342686420448</v>
      </c>
      <c r="Q400" t="s">
        <v>32</v>
      </c>
      <c r="R400" t="s">
        <v>249</v>
      </c>
    </row>
    <row r="401" spans="4:18" x14ac:dyDescent="0.2">
      <c r="D401" s="1">
        <v>45990</v>
      </c>
      <c r="E401" s="2">
        <v>0.83333333333333337</v>
      </c>
      <c r="F401" t="s">
        <v>35</v>
      </c>
      <c r="G401">
        <f>VLOOKUP(Table4[[#This Row],[Home]],'NHL Model'!$A$6:$B$38,2,FALSE)</f>
        <v>-1.3944783719477225</v>
      </c>
      <c r="H401" t="s">
        <v>55</v>
      </c>
      <c r="I401">
        <f>VLOOKUP(Table4[[#This Row],[Visitor]],'NHL Model'!$A$6:$B$38,2,FALSE)</f>
        <v>-0.4031232890211825</v>
      </c>
      <c r="J401">
        <f>($B$1+Table4[[#This Row],[Home Differential]])-Table4[[#This Row],[Away Differential]]</f>
        <v>-0.94145433400337764</v>
      </c>
      <c r="K401" t="str">
        <f>IF(Table4[[#This Row],[HomeIce Differential]]&gt;0,Table4[[#This Row],[Home]],Table4[[#This Row],[Visitor]])</f>
        <v>Utah Mammoth</v>
      </c>
      <c r="L4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0.5699286883691741</v>
      </c>
      <c r="M401" t="str">
        <f>IF(OR((NHL2025_26Results[[#This Row],[Winning Team]]="")),"-",IF(Table4[[#This Row],[Predicted Winner]]=NHL2025_26Results[[#This Row],[Winning Team]],"YES","NO"))</f>
        <v>NO</v>
      </c>
      <c r="N401">
        <f>IF(Table4[[#This Row],[Adjusted Correct]]="-", "",IF(Table4[[#This Row],[Adjusted Correct]]="YES",(Table4[[#This Row],[Strength of Win]]-1)^2,(Table4[[#This Row],[Strength of Win]]-0)^2))</f>
        <v>0.32481870982620714</v>
      </c>
      <c r="O401">
        <v>-1.1013145461475458</v>
      </c>
      <c r="P401" s="11">
        <v>0.5881605462824806</v>
      </c>
      <c r="Q401" t="s">
        <v>55</v>
      </c>
      <c r="R401" t="s">
        <v>249</v>
      </c>
    </row>
    <row r="402" spans="4:18" x14ac:dyDescent="0.2">
      <c r="D402" s="1">
        <v>45990</v>
      </c>
      <c r="E402" s="2">
        <v>0.91666666666666663</v>
      </c>
      <c r="F402" t="s">
        <v>20</v>
      </c>
      <c r="G402">
        <f>VLOOKUP(Table4[[#This Row],[Home]],'NHL Model'!$A$6:$B$38,2,FALSE)</f>
        <v>-0.24444083032063643</v>
      </c>
      <c r="H402" t="s">
        <v>33</v>
      </c>
      <c r="I402">
        <f>VLOOKUP(Table4[[#This Row],[Visitor]],'NHL Model'!$A$6:$B$38,2,FALSE)</f>
        <v>-0.45133099238224339</v>
      </c>
      <c r="J402">
        <f>($B$1+Table4[[#This Row],[Home Differential]])-Table4[[#This Row],[Away Differential]]</f>
        <v>0.25679091098476942</v>
      </c>
      <c r="K402" t="str">
        <f>IF(Table4[[#This Row],[HomeIce Differential]]&gt;0,Table4[[#This Row],[Home]],Table4[[#This Row],[Visitor]])</f>
        <v>Vegas Golden Knights</v>
      </c>
      <c r="L4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0.56998412882082472</v>
      </c>
      <c r="M402" t="str">
        <f>IF(OR((NHL2025_26Results[[#This Row],[Winning Team]]="")),"-",IF(Table4[[#This Row],[Predicted Winner]]=NHL2025_26Results[[#This Row],[Winning Team]],"YES","NO"))</f>
        <v>YES</v>
      </c>
      <c r="N402">
        <f>IF(Table4[[#This Row],[Adjusted Correct]]="-", "",IF(Table4[[#This Row],[Adjusted Correct]]="YES",(Table4[[#This Row],[Strength of Win]]-1)^2,(Table4[[#This Row],[Strength of Win]]-0)^2))</f>
        <v>0.18491364946598507</v>
      </c>
      <c r="O402">
        <v>0.32367054229494718</v>
      </c>
      <c r="P402" s="11">
        <v>0.57766570927549499</v>
      </c>
      <c r="Q402" t="s">
        <v>20</v>
      </c>
      <c r="R402" t="s">
        <v>248</v>
      </c>
    </row>
    <row r="403" spans="4:18" x14ac:dyDescent="0.2">
      <c r="D403" s="1">
        <v>45991</v>
      </c>
      <c r="E403" s="2">
        <v>0.70833333333333337</v>
      </c>
      <c r="F403" t="s">
        <v>25</v>
      </c>
      <c r="G403">
        <f>VLOOKUP(Table4[[#This Row],[Home]],'NHL Model'!$A$6:$B$38,2,FALSE)</f>
        <v>0.42567513732855267</v>
      </c>
      <c r="H403" t="s">
        <v>16</v>
      </c>
      <c r="I403">
        <f>VLOOKUP(Table4[[#This Row],[Visitor]],'NHL Model'!$A$6:$B$38,2,FALSE)</f>
        <v>-1.0657812790446208</v>
      </c>
      <c r="J403">
        <f>($B$1+Table4[[#This Row],[Home Differential]])-Table4[[#This Row],[Away Differential]]</f>
        <v>1.541357165296336</v>
      </c>
      <c r="K403" t="str">
        <f>IF(Table4[[#This Row],[HomeIce Differential]]&gt;0,Table4[[#This Row],[Home]],Table4[[#This Row],[Visitor]])</f>
        <v>Carolina Hurricanes</v>
      </c>
      <c r="L4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0.77169217418786418</v>
      </c>
      <c r="M403" t="str">
        <f>IF(OR((NHL2025_26Results[[#This Row],[Winning Team]]="")),"-",IF(Table4[[#This Row],[Predicted Winner]]=NHL2025_26Results[[#This Row],[Winning Team]],"YES","NO"))</f>
        <v>YES</v>
      </c>
      <c r="N403">
        <f>IF(Table4[[#This Row],[Adjusted Correct]]="-", "",IF(Table4[[#This Row],[Adjusted Correct]]="YES",(Table4[[#This Row],[Strength of Win]]-1)^2,(Table4[[#This Row],[Strength of Win]]-0)^2))</f>
        <v>5.2124463327064552E-2</v>
      </c>
      <c r="O403">
        <v>1.5727342528575918</v>
      </c>
      <c r="P403" s="11">
        <v>0.76741996113668021</v>
      </c>
      <c r="Q403" t="s">
        <v>25</v>
      </c>
      <c r="R403" t="s">
        <v>248</v>
      </c>
    </row>
    <row r="404" spans="4:18" x14ac:dyDescent="0.2">
      <c r="D404" s="1">
        <v>45991</v>
      </c>
      <c r="E404" s="2">
        <v>0.64583333333333337</v>
      </c>
      <c r="F404" t="s">
        <v>10</v>
      </c>
      <c r="G404">
        <f>VLOOKUP(Table4[[#This Row],[Home]],'NHL Model'!$A$6:$B$38,2,FALSE)</f>
        <v>-0.17619625518431364</v>
      </c>
      <c r="H404" t="s">
        <v>31</v>
      </c>
      <c r="I404">
        <f>VLOOKUP(Table4[[#This Row],[Visitor]],'NHL Model'!$A$6:$B$38,2,FALSE)</f>
        <v>0.17870302183926629</v>
      </c>
      <c r="J404">
        <f>($B$1+Table4[[#This Row],[Home Differential]])-Table4[[#This Row],[Away Differential]]</f>
        <v>-0.3049985281004175</v>
      </c>
      <c r="K404" t="str">
        <f>IF(Table4[[#This Row],[HomeIce Differential]]&gt;0,Table4[[#This Row],[Home]],Table4[[#This Row],[Visitor]])</f>
        <v>Anaheim Ducks</v>
      </c>
      <c r="L4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0.51638231038195603</v>
      </c>
      <c r="M404" t="str">
        <f>IF(OR((NHL2025_26Results[[#This Row],[Winning Team]]="")),"-",IF(Table4[[#This Row],[Predicted Winner]]=NHL2025_26Results[[#This Row],[Winning Team]],"YES","NO"))</f>
        <v>NO</v>
      </c>
      <c r="N404">
        <f>IF(Table4[[#This Row],[Adjusted Correct]]="-", "",IF(Table4[[#This Row],[Adjusted Correct]]="YES",(Table4[[#This Row],[Strength of Win]]-1)^2,(Table4[[#This Row],[Strength of Win]]-0)^2))</f>
        <v>0.26665069047540679</v>
      </c>
      <c r="O404">
        <v>-0.42719454832800263</v>
      </c>
      <c r="P404" s="11">
        <v>0.53156013129546975</v>
      </c>
      <c r="Q404" t="s">
        <v>31</v>
      </c>
      <c r="R404" t="s">
        <v>249</v>
      </c>
    </row>
    <row r="405" spans="4:18" x14ac:dyDescent="0.2">
      <c r="D405" s="1">
        <v>45991</v>
      </c>
      <c r="E405" s="2">
        <v>0.75</v>
      </c>
      <c r="F405" t="s">
        <v>39</v>
      </c>
      <c r="G405">
        <f>VLOOKUP(Table4[[#This Row],[Home]],'NHL Model'!$A$6:$B$38,2,FALSE)</f>
        <v>0.41344250185511977</v>
      </c>
      <c r="H405" t="s">
        <v>36</v>
      </c>
      <c r="I405">
        <f>VLOOKUP(Table4[[#This Row],[Visitor]],'NHL Model'!$A$6:$B$38,2,FALSE)</f>
        <v>-0.53137605086483863</v>
      </c>
      <c r="J405">
        <f>($B$1+Table4[[#This Row],[Home Differential]])-Table4[[#This Row],[Away Differential]]</f>
        <v>0.99471930164312083</v>
      </c>
      <c r="K405" t="str">
        <f>IF(Table4[[#This Row],[HomeIce Differential]]&gt;0,Table4[[#This Row],[Home]],Table4[[#This Row],[Visitor]])</f>
        <v>Dallas Stars</v>
      </c>
      <c r="L4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0.68839422528422689</v>
      </c>
      <c r="M405" t="str">
        <f>IF(OR((NHL2025_26Results[[#This Row],[Winning Team]]="")),"-",IF(Table4[[#This Row],[Predicted Winner]]=NHL2025_26Results[[#This Row],[Winning Team]],"YES","NO"))</f>
        <v>YES</v>
      </c>
      <c r="N405">
        <f>IF(Table4[[#This Row],[Adjusted Correct]]="-", "",IF(Table4[[#This Row],[Adjusted Correct]]="YES",(Table4[[#This Row],[Strength of Win]]-1)^2,(Table4[[#This Row],[Strength of Win]]-0)^2))</f>
        <v>9.7098158836217141E-2</v>
      </c>
      <c r="O405">
        <v>0.68062961121344756</v>
      </c>
      <c r="P405" s="11">
        <v>0.6392050364051306</v>
      </c>
      <c r="Q405" t="s">
        <v>39</v>
      </c>
      <c r="R405" t="s">
        <v>248</v>
      </c>
    </row>
    <row r="406" spans="4:18" x14ac:dyDescent="0.2">
      <c r="D406" s="1">
        <v>45991</v>
      </c>
      <c r="E406" s="2">
        <v>0.54166666666666663</v>
      </c>
      <c r="F406" t="s">
        <v>30</v>
      </c>
      <c r="G406">
        <f>VLOOKUP(Table4[[#This Row],[Home]],'NHL Model'!$A$6:$B$38,2,FALSE)</f>
        <v>-0.24093199744133265</v>
      </c>
      <c r="H406" t="s">
        <v>22</v>
      </c>
      <c r="I406">
        <f>VLOOKUP(Table4[[#This Row],[Visitor]],'NHL Model'!$A$6:$B$38,2,FALSE)</f>
        <v>0.4407072328537569</v>
      </c>
      <c r="J406">
        <f>($B$1+Table4[[#This Row],[Home Differential]])-Table4[[#This Row],[Away Differential]]</f>
        <v>-0.63173848137192712</v>
      </c>
      <c r="K406" t="str">
        <f>IF(Table4[[#This Row],[HomeIce Differential]]&gt;0,Table4[[#This Row],[Home]],Table4[[#This Row],[Visitor]])</f>
        <v>Washington Capitals</v>
      </c>
      <c r="L4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0.57627735430877991</v>
      </c>
      <c r="M406" t="str">
        <f>IF(OR((NHL2025_26Results[[#This Row],[Winning Team]]="")),"-",IF(Table4[[#This Row],[Predicted Winner]]=NHL2025_26Results[[#This Row],[Winning Team]],"YES","NO"))</f>
        <v>YES</v>
      </c>
      <c r="N406">
        <f>IF(Table4[[#This Row],[Adjusted Correct]]="-", "",IF(Table4[[#This Row],[Adjusted Correct]]="YES",(Table4[[#This Row],[Strength of Win]]-1)^2,(Table4[[#This Row],[Strength of Win]]-0)^2))</f>
        <v>0.17954088047156724</v>
      </c>
      <c r="O406">
        <v>-0.42982156290581186</v>
      </c>
      <c r="P406" s="11">
        <v>0.53187246776283503</v>
      </c>
      <c r="Q406" t="s">
        <v>22</v>
      </c>
      <c r="R406" t="s">
        <v>248</v>
      </c>
    </row>
    <row r="407" spans="4:18" x14ac:dyDescent="0.2">
      <c r="D407" s="1">
        <v>45992</v>
      </c>
      <c r="E407" s="2">
        <v>0.8125</v>
      </c>
      <c r="F407" t="s">
        <v>23</v>
      </c>
      <c r="G407">
        <f>VLOOKUP(Table4[[#This Row],[Home]],'NHL Model'!$A$6:$B$38,2,FALSE)</f>
        <v>-0.4761104357405897</v>
      </c>
      <c r="H407" t="s">
        <v>40</v>
      </c>
      <c r="I407">
        <f>VLOOKUP(Table4[[#This Row],[Visitor]],'NHL Model'!$A$6:$B$38,2,FALSE)</f>
        <v>-0.31324182378279158</v>
      </c>
      <c r="J407">
        <f>($B$1+Table4[[#This Row],[Home Differential]])-Table4[[#This Row],[Away Differential]]</f>
        <v>-0.11296786303463563</v>
      </c>
      <c r="K407" t="str">
        <f>IF(Table4[[#This Row],[HomeIce Differential]]&gt;0,Table4[[#This Row],[Home]],Table4[[#This Row],[Visitor]])</f>
        <v>Winnipeg Jets</v>
      </c>
      <c r="L4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0.48377890059007395</v>
      </c>
      <c r="M407" t="str">
        <f>IF(OR((NHL2025_26Results[[#This Row],[Winning Team]]="")),"-",IF(Table4[[#This Row],[Predicted Winner]]=NHL2025_26Results[[#This Row],[Winning Team]],"YES","NO"))</f>
        <v>NO</v>
      </c>
      <c r="N407">
        <f>IF(Table4[[#This Row],[Adjusted Correct]]="-", "",IF(Table4[[#This Row],[Adjusted Correct]]="YES",(Table4[[#This Row],[Strength of Win]]-1)^2,(Table4[[#This Row],[Strength of Win]]-0)^2))</f>
        <v>0.23404202465614066</v>
      </c>
      <c r="O407">
        <v>-0.44447861205924954</v>
      </c>
      <c r="P407" s="11">
        <v>0.5530101482683023</v>
      </c>
      <c r="Q407" t="s">
        <v>40</v>
      </c>
      <c r="R407" t="s">
        <v>249</v>
      </c>
    </row>
    <row r="408" spans="4:18" x14ac:dyDescent="0.2">
      <c r="D408" s="1">
        <v>45992</v>
      </c>
      <c r="E408" s="2">
        <v>0.79166666666666663</v>
      </c>
      <c r="F408" t="s">
        <v>24</v>
      </c>
      <c r="G408">
        <f>VLOOKUP(Table4[[#This Row],[Home]],'NHL Model'!$A$6:$B$38,2,FALSE)</f>
        <v>1.5302507646042616E-3</v>
      </c>
      <c r="H408" t="s">
        <v>28</v>
      </c>
      <c r="I408">
        <f>VLOOKUP(Table4[[#This Row],[Visitor]],'NHL Model'!$A$6:$B$38,2,FALSE)</f>
        <v>-0.59498940435054026</v>
      </c>
      <c r="J408">
        <f>($B$1+Table4[[#This Row],[Home Differential]])-Table4[[#This Row],[Away Differential]]</f>
        <v>0.64642040403830703</v>
      </c>
      <c r="K408" t="str">
        <f>IF(Table4[[#This Row],[HomeIce Differential]]&gt;0,Table4[[#This Row],[Home]],Table4[[#This Row],[Visitor]])</f>
        <v>New Jersey Devils</v>
      </c>
      <c r="L4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0.69191747882010612</v>
      </c>
      <c r="M408" t="str">
        <f>IF(OR((NHL2025_26Results[[#This Row],[Winning Team]]="")),"-",IF(Table4[[#This Row],[Predicted Winner]]=NHL2025_26Results[[#This Row],[Winning Team]],"YES","NO"))</f>
        <v>NO</v>
      </c>
      <c r="N408">
        <f>IF(Table4[[#This Row],[Adjusted Correct]]="-", "",IF(Table4[[#This Row],[Adjusted Correct]]="YES",(Table4[[#This Row],[Strength of Win]]-1)^2,(Table4[[#This Row],[Strength of Win]]-0)^2))</f>
        <v>0.47874979749677199</v>
      </c>
      <c r="O408">
        <v>0.8563975760149829</v>
      </c>
      <c r="P408" s="11">
        <v>0.74362519576475983</v>
      </c>
      <c r="Q408" t="s">
        <v>24</v>
      </c>
      <c r="R408" t="s">
        <v>249</v>
      </c>
    </row>
    <row r="409" spans="4:18" x14ac:dyDescent="0.2">
      <c r="D409" s="1">
        <v>45992</v>
      </c>
      <c r="E409" s="2">
        <v>0.79166666666666663</v>
      </c>
      <c r="F409" t="s">
        <v>27</v>
      </c>
      <c r="G409">
        <f>VLOOKUP(Table4[[#This Row],[Home]],'NHL Model'!$A$6:$B$38,2,FALSE)</f>
        <v>-0.38023958350631604</v>
      </c>
      <c r="H409" t="s">
        <v>14</v>
      </c>
      <c r="I409">
        <f>VLOOKUP(Table4[[#This Row],[Visitor]],'NHL Model'!$A$6:$B$38,2,FALSE)</f>
        <v>-0.14226422156549004</v>
      </c>
      <c r="J409">
        <f>($B$1+Table4[[#This Row],[Home Differential]])-Table4[[#This Row],[Away Differential]]</f>
        <v>-0.18807461301766351</v>
      </c>
      <c r="K409" t="str">
        <f>IF(Table4[[#This Row],[HomeIce Differential]]&gt;0,Table4[[#This Row],[Home]],Table4[[#This Row],[Visitor]])</f>
        <v>Pittsburgh Penguins</v>
      </c>
      <c r="L4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0.50710900170447515</v>
      </c>
      <c r="M409" t="str">
        <f>IF(OR((NHL2025_26Results[[#This Row],[Winning Team]]="")),"-",IF(Table4[[#This Row],[Predicted Winner]]=NHL2025_26Results[[#This Row],[Winning Team]],"YES","NO"))</f>
        <v>YES</v>
      </c>
      <c r="N409">
        <f>IF(Table4[[#This Row],[Adjusted Correct]]="-", "",IF(Table4[[#This Row],[Adjusted Correct]]="YES",(Table4[[#This Row],[Strength of Win]]-1)^2,(Table4[[#This Row],[Strength of Win]]-0)^2))</f>
        <v>0.24294153620075909</v>
      </c>
      <c r="O409">
        <v>0.15919728897355392</v>
      </c>
      <c r="P409" s="11">
        <v>0.57096605822853652</v>
      </c>
      <c r="Q409" t="s">
        <v>27</v>
      </c>
      <c r="R409" t="s">
        <v>249</v>
      </c>
    </row>
    <row r="410" spans="4:18" x14ac:dyDescent="0.2">
      <c r="D410" s="1">
        <v>45992</v>
      </c>
      <c r="E410" s="2">
        <v>0.91666666666666663</v>
      </c>
      <c r="F410" t="s">
        <v>33</v>
      </c>
      <c r="G410">
        <f>VLOOKUP(Table4[[#This Row],[Home]],'NHL Model'!$A$6:$B$38,2,FALSE)</f>
        <v>-0.45133099238224339</v>
      </c>
      <c r="H410" t="s">
        <v>55</v>
      </c>
      <c r="I410">
        <f>VLOOKUP(Table4[[#This Row],[Visitor]],'NHL Model'!$A$6:$B$38,2,FALSE)</f>
        <v>-0.4031232890211825</v>
      </c>
      <c r="J410">
        <f>($B$1+Table4[[#This Row],[Home Differential]])-Table4[[#This Row],[Away Differential]]</f>
        <v>1.6930455621015916E-3</v>
      </c>
      <c r="K410" t="str">
        <f>IF(Table4[[#This Row],[HomeIce Differential]]&gt;0,Table4[[#This Row],[Home]],Table4[[#This Row],[Visitor]])</f>
        <v>San Jose Sharks</v>
      </c>
      <c r="L4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0.55031993744569752</v>
      </c>
      <c r="M410" t="str">
        <f>IF(OR((NHL2025_26Results[[#This Row],[Winning Team]]="")),"-",IF(Table4[[#This Row],[Predicted Winner]]=NHL2025_26Results[[#This Row],[Winning Team]],"YES","NO"))</f>
        <v>YES</v>
      </c>
      <c r="N410">
        <f>IF(Table4[[#This Row],[Adjusted Correct]]="-", "",IF(Table4[[#This Row],[Adjusted Correct]]="YES",(Table4[[#This Row],[Strength of Win]]-1)^2,(Table4[[#This Row],[Strength of Win]]-0)^2))</f>
        <v>0.2022121586588414</v>
      </c>
      <c r="O410">
        <v>-0.20194389964739645</v>
      </c>
      <c r="P410" s="11">
        <v>0.48440863438464371</v>
      </c>
      <c r="Q410" t="s">
        <v>55</v>
      </c>
      <c r="R410" t="s">
        <v>249</v>
      </c>
    </row>
    <row r="411" spans="4:18" x14ac:dyDescent="0.2">
      <c r="D411" s="1">
        <v>45992</v>
      </c>
      <c r="E411" s="2">
        <v>0.83333333333333337</v>
      </c>
      <c r="F411" t="s">
        <v>35</v>
      </c>
      <c r="G411">
        <f>VLOOKUP(Table4[[#This Row],[Home]],'NHL Model'!$A$6:$B$38,2,FALSE)</f>
        <v>-1.3944783719477225</v>
      </c>
      <c r="H411" t="s">
        <v>31</v>
      </c>
      <c r="I411">
        <f>VLOOKUP(Table4[[#This Row],[Visitor]],'NHL Model'!$A$6:$B$38,2,FALSE)</f>
        <v>0.17870302183926629</v>
      </c>
      <c r="J411">
        <f>($B$1+Table4[[#This Row],[Home Differential]])-Table4[[#This Row],[Away Differential]]</f>
        <v>-1.5232806448638263</v>
      </c>
      <c r="K411" t="str">
        <f>IF(Table4[[#This Row],[HomeIce Differential]]&gt;0,Table4[[#This Row],[Home]],Table4[[#This Row],[Visitor]])</f>
        <v>Anaheim Ducks</v>
      </c>
      <c r="L4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0.65863472807483803</v>
      </c>
      <c r="M411" t="str">
        <f>IF(OR((NHL2025_26Results[[#This Row],[Winning Team]]="")),"-",IF(Table4[[#This Row],[Predicted Winner]]=NHL2025_26Results[[#This Row],[Winning Team]],"YES","NO"))</f>
        <v>YES</v>
      </c>
      <c r="N411">
        <f>IF(Table4[[#This Row],[Adjusted Correct]]="-", "",IF(Table4[[#This Row],[Adjusted Correct]]="YES",(Table4[[#This Row],[Strength of Win]]-1)^2,(Table4[[#This Row],[Strength of Win]]-0)^2))</f>
        <v>0.11653024887653977</v>
      </c>
      <c r="O411">
        <v>-1.3982555913796977</v>
      </c>
      <c r="P411" s="11">
        <v>0.62983439774604211</v>
      </c>
      <c r="Q411" t="s">
        <v>31</v>
      </c>
      <c r="R411" t="s">
        <v>248</v>
      </c>
    </row>
    <row r="412" spans="4:18" x14ac:dyDescent="0.2">
      <c r="D412" s="1">
        <v>45993</v>
      </c>
      <c r="E412" s="2">
        <v>0.875</v>
      </c>
      <c r="F412" t="s">
        <v>12</v>
      </c>
      <c r="G412">
        <f>VLOOKUP(Table4[[#This Row],[Home]],'NHL Model'!$A$6:$B$38,2,FALSE)</f>
        <v>1.6319036584269762</v>
      </c>
      <c r="H412" t="s">
        <v>38</v>
      </c>
      <c r="I412">
        <f>VLOOKUP(Table4[[#This Row],[Visitor]],'NHL Model'!$A$6:$B$38,2,FALSE)</f>
        <v>-0.9476777551108041</v>
      </c>
      <c r="J412">
        <f>($B$1+Table4[[#This Row],[Home Differential]])-Table4[[#This Row],[Away Differential]]</f>
        <v>2.6294821624609428</v>
      </c>
      <c r="K412" t="str">
        <f>IF(Table4[[#This Row],[HomeIce Differential]]&gt;0,Table4[[#This Row],[Home]],Table4[[#This Row],[Visitor]])</f>
        <v>Colorado Avalanche</v>
      </c>
      <c r="L4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0.94805649187988317</v>
      </c>
      <c r="M412" t="str">
        <f>IF(OR((NHL2025_26Results[[#This Row],[Winning Team]]="")),"-",IF(Table4[[#This Row],[Predicted Winner]]=NHL2025_26Results[[#This Row],[Winning Team]],"YES","NO"))</f>
        <v>-</v>
      </c>
      <c r="N412" t="str">
        <f>IF(Table4[[#This Row],[Adjusted Correct]]="-", "",IF(Table4[[#This Row],[Adjusted Correct]]="YES",(Table4[[#This Row],[Strength of Win]]-1)^2,(Table4[[#This Row],[Strength of Win]]-0)^2))</f>
        <v/>
      </c>
      <c r="O412">
        <v>2.6294821624609428</v>
      </c>
      <c r="P412" s="11">
        <v>0.94805649187988317</v>
      </c>
      <c r="Q412" t="s">
        <v>12</v>
      </c>
    </row>
    <row r="413" spans="4:18" x14ac:dyDescent="0.2">
      <c r="D413" s="1">
        <v>45993</v>
      </c>
      <c r="E413" s="2">
        <v>0.79166666666666663</v>
      </c>
      <c r="F413" t="s">
        <v>26</v>
      </c>
      <c r="G413">
        <f>VLOOKUP(Table4[[#This Row],[Home]],'NHL Model'!$A$6:$B$38,2,FALSE)</f>
        <v>-0.87533956503230947</v>
      </c>
      <c r="H413" t="s">
        <v>21</v>
      </c>
      <c r="I413">
        <f>VLOOKUP(Table4[[#This Row],[Visitor]],'NHL Model'!$A$6:$B$38,2,FALSE)</f>
        <v>-0.21976976044773161</v>
      </c>
      <c r="J413">
        <f>($B$1+Table4[[#This Row],[Home Differential]])-Table4[[#This Row],[Away Differential]]</f>
        <v>-0.60566905566141549</v>
      </c>
      <c r="K413" t="str">
        <f>IF(Table4[[#This Row],[HomeIce Differential]]&gt;0,Table4[[#This Row],[Home]],Table4[[#This Row],[Visitor]])</f>
        <v>Boston Bruins</v>
      </c>
      <c r="L4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0.53155029437330192</v>
      </c>
      <c r="M413" t="str">
        <f>IF(OR((NHL2025_26Results[[#This Row],[Winning Team]]="")),"-",IF(Table4[[#This Row],[Predicted Winner]]=NHL2025_26Results[[#This Row],[Winning Team]],"YES","NO"))</f>
        <v>-</v>
      </c>
      <c r="N413" t="str">
        <f>IF(Table4[[#This Row],[Adjusted Correct]]="-", "",IF(Table4[[#This Row],[Adjusted Correct]]="YES",(Table4[[#This Row],[Strength of Win]]-1)^2,(Table4[[#This Row],[Strength of Win]]-0)^2))</f>
        <v/>
      </c>
      <c r="O413">
        <v>-0.60566905566141549</v>
      </c>
      <c r="P413" s="11">
        <v>0.53155029437330192</v>
      </c>
      <c r="Q413" t="s">
        <v>21</v>
      </c>
    </row>
    <row r="414" spans="4:18" x14ac:dyDescent="0.2">
      <c r="D414" s="1">
        <v>45993</v>
      </c>
      <c r="E414" s="2">
        <v>0.875</v>
      </c>
      <c r="F414" t="s">
        <v>17</v>
      </c>
      <c r="G414">
        <f>VLOOKUP(Table4[[#This Row],[Home]],'NHL Model'!$A$6:$B$38,2,FALSE)</f>
        <v>-0.81774666423752174</v>
      </c>
      <c r="H414" t="s">
        <v>34</v>
      </c>
      <c r="I414">
        <f>VLOOKUP(Table4[[#This Row],[Visitor]],'NHL Model'!$A$6:$B$38,2,FALSE)</f>
        <v>-5.5124787449478845E-2</v>
      </c>
      <c r="J414">
        <f>($B$1+Table4[[#This Row],[Home Differential]])-Table4[[#This Row],[Away Differential]]</f>
        <v>-0.71272112786488051</v>
      </c>
      <c r="K414" t="str">
        <f>IF(Table4[[#This Row],[HomeIce Differential]]&gt;0,Table4[[#This Row],[Home]],Table4[[#This Row],[Visitor]])</f>
        <v>Minnesota Wild</v>
      </c>
      <c r="L4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0.57863355472801747</v>
      </c>
      <c r="M414" t="str">
        <f>IF(OR((NHL2025_26Results[[#This Row],[Winning Team]]="")),"-",IF(Table4[[#This Row],[Predicted Winner]]=NHL2025_26Results[[#This Row],[Winning Team]],"YES","NO"))</f>
        <v>-</v>
      </c>
      <c r="N414" t="str">
        <f>IF(Table4[[#This Row],[Adjusted Correct]]="-", "",IF(Table4[[#This Row],[Adjusted Correct]]="YES",(Table4[[#This Row],[Strength of Win]]-1)^2,(Table4[[#This Row],[Strength of Win]]-0)^2))</f>
        <v/>
      </c>
      <c r="O414">
        <v>-0.71272112786488051</v>
      </c>
      <c r="P414" s="11">
        <v>0.57863355472801747</v>
      </c>
      <c r="Q414" t="s">
        <v>34</v>
      </c>
    </row>
    <row r="415" spans="4:18" x14ac:dyDescent="0.2">
      <c r="D415" s="1">
        <v>45993</v>
      </c>
      <c r="E415" s="2">
        <v>0.8125</v>
      </c>
      <c r="F415" t="s">
        <v>11</v>
      </c>
      <c r="G415">
        <f>VLOOKUP(Table4[[#This Row],[Home]],'NHL Model'!$A$6:$B$38,2,FALSE)</f>
        <v>-0.39711829106410657</v>
      </c>
      <c r="H415" t="s">
        <v>19</v>
      </c>
      <c r="I415">
        <f>VLOOKUP(Table4[[#This Row],[Visitor]],'NHL Model'!$A$6:$B$38,2,FALSE)</f>
        <v>-0.63447859131898054</v>
      </c>
      <c r="J415">
        <f>($B$1+Table4[[#This Row],[Home Differential]])-Table4[[#This Row],[Away Differential]]</f>
        <v>0.28726104917803646</v>
      </c>
      <c r="K415" t="str">
        <f>IF(Table4[[#This Row],[HomeIce Differential]]&gt;0,Table4[[#This Row],[Home]],Table4[[#This Row],[Visitor]])</f>
        <v>Florida Panthers</v>
      </c>
      <c r="L4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0.58755858766064739</v>
      </c>
      <c r="M415" t="str">
        <f>IF(OR((NHL2025_26Results[[#This Row],[Winning Team]]="")),"-",IF(Table4[[#This Row],[Predicted Winner]]=NHL2025_26Results[[#This Row],[Winning Team]],"YES","NO"))</f>
        <v>-</v>
      </c>
      <c r="N415" t="str">
        <f>IF(Table4[[#This Row],[Adjusted Correct]]="-", "",IF(Table4[[#This Row],[Adjusted Correct]]="YES",(Table4[[#This Row],[Strength of Win]]-1)^2,(Table4[[#This Row],[Strength of Win]]-0)^2))</f>
        <v/>
      </c>
      <c r="O415">
        <v>0.28726104917803646</v>
      </c>
      <c r="P415" s="11">
        <v>0.58755858766064739</v>
      </c>
      <c r="Q415" t="s">
        <v>11</v>
      </c>
    </row>
    <row r="416" spans="4:18" x14ac:dyDescent="0.2">
      <c r="D416" s="1">
        <v>45993</v>
      </c>
      <c r="E416" s="2">
        <v>0.9375</v>
      </c>
      <c r="F416" t="s">
        <v>13</v>
      </c>
      <c r="G416">
        <f>VLOOKUP(Table4[[#This Row],[Home]],'NHL Model'!$A$6:$B$38,2,FALSE)</f>
        <v>-0.33828359867721369</v>
      </c>
      <c r="H416" t="s">
        <v>22</v>
      </c>
      <c r="I416">
        <f>VLOOKUP(Table4[[#This Row],[Visitor]],'NHL Model'!$A$6:$B$38,2,FALSE)</f>
        <v>0.4407072328537569</v>
      </c>
      <c r="J416">
        <f>($B$1+Table4[[#This Row],[Home Differential]])-Table4[[#This Row],[Away Differential]]</f>
        <v>-0.72909008260780817</v>
      </c>
      <c r="K416" t="str">
        <f>IF(Table4[[#This Row],[HomeIce Differential]]&gt;0,Table4[[#This Row],[Home]],Table4[[#This Row],[Visitor]])</f>
        <v>Washington Capitals</v>
      </c>
      <c r="L4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0.58764459056015705</v>
      </c>
      <c r="M416" t="str">
        <f>IF(OR((NHL2025_26Results[[#This Row],[Winning Team]]="")),"-",IF(Table4[[#This Row],[Predicted Winner]]=NHL2025_26Results[[#This Row],[Winning Team]],"YES","NO"))</f>
        <v>-</v>
      </c>
      <c r="N416" t="str">
        <f>IF(Table4[[#This Row],[Adjusted Correct]]="-", "",IF(Table4[[#This Row],[Adjusted Correct]]="YES",(Table4[[#This Row],[Strength of Win]]-1)^2,(Table4[[#This Row],[Strength of Win]]-0)^2))</f>
        <v/>
      </c>
      <c r="O416">
        <v>-0.72909008260780817</v>
      </c>
      <c r="P416" s="11">
        <v>0.58764459056015705</v>
      </c>
      <c r="Q416" t="s">
        <v>22</v>
      </c>
    </row>
    <row r="417" spans="4:17" x14ac:dyDescent="0.2">
      <c r="D417" s="1">
        <v>45993</v>
      </c>
      <c r="E417" s="2">
        <v>0.79166666666666663</v>
      </c>
      <c r="F417" t="s">
        <v>18</v>
      </c>
      <c r="G417">
        <f>VLOOKUP(Table4[[#This Row],[Home]],'NHL Model'!$A$6:$B$38,2,FALSE)</f>
        <v>-0.59288962827382519</v>
      </c>
      <c r="H417" t="s">
        <v>36</v>
      </c>
      <c r="I417">
        <f>VLOOKUP(Table4[[#This Row],[Visitor]],'NHL Model'!$A$6:$B$38,2,FALSE)</f>
        <v>-0.53137605086483863</v>
      </c>
      <c r="J417">
        <f>($B$1+Table4[[#This Row],[Home Differential]])-Table4[[#This Row],[Away Differential]]</f>
        <v>-1.1612828485824123E-2</v>
      </c>
      <c r="K417" t="str">
        <f>IF(Table4[[#This Row],[HomeIce Differential]]&gt;0,Table4[[#This Row],[Home]],Table4[[#This Row],[Visitor]])</f>
        <v>Ottawa Senators</v>
      </c>
      <c r="L4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0.46135596911883597</v>
      </c>
      <c r="M417" t="str">
        <f>IF(OR((NHL2025_26Results[[#This Row],[Winning Team]]="")),"-",IF(Table4[[#This Row],[Predicted Winner]]=NHL2025_26Results[[#This Row],[Winning Team]],"YES","NO"))</f>
        <v>-</v>
      </c>
      <c r="N417" t="str">
        <f>IF(Table4[[#This Row],[Adjusted Correct]]="-", "",IF(Table4[[#This Row],[Adjusted Correct]]="YES",(Table4[[#This Row],[Strength of Win]]-1)^2,(Table4[[#This Row],[Strength of Win]]-0)^2))</f>
        <v/>
      </c>
      <c r="O417">
        <v>-1.1612828485824123E-2</v>
      </c>
      <c r="P417" s="11">
        <v>0.46135596911883597</v>
      </c>
      <c r="Q417" t="s">
        <v>36</v>
      </c>
    </row>
    <row r="418" spans="4:17" x14ac:dyDescent="0.2">
      <c r="D418" s="1">
        <v>45993</v>
      </c>
      <c r="E418" s="2">
        <v>0.83333333333333337</v>
      </c>
      <c r="F418" t="s">
        <v>29</v>
      </c>
      <c r="G418">
        <f>VLOOKUP(Table4[[#This Row],[Home]],'NHL Model'!$A$6:$B$38,2,FALSE)</f>
        <v>-1.384917283810061</v>
      </c>
      <c r="H418" t="s">
        <v>16</v>
      </c>
      <c r="I418">
        <f>VLOOKUP(Table4[[#This Row],[Visitor]],'NHL Model'!$A$6:$B$38,2,FALSE)</f>
        <v>-1.0657812790446208</v>
      </c>
      <c r="J418">
        <f>($B$1+Table4[[#This Row],[Home Differential]])-Table4[[#This Row],[Away Differential]]</f>
        <v>-0.2692352558422777</v>
      </c>
      <c r="K418" t="str">
        <f>IF(Table4[[#This Row],[HomeIce Differential]]&gt;0,Table4[[#This Row],[Home]],Table4[[#This Row],[Visitor]])</f>
        <v>Calgary Flames</v>
      </c>
      <c r="L4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0.49143718974836059</v>
      </c>
      <c r="M418" t="str">
        <f>IF(OR((NHL2025_26Results[[#This Row],[Winning Team]]="")),"-",IF(Table4[[#This Row],[Predicted Winner]]=NHL2025_26Results[[#This Row],[Winning Team]],"YES","NO"))</f>
        <v>-</v>
      </c>
      <c r="N418" t="str">
        <f>IF(Table4[[#This Row],[Adjusted Correct]]="-", "",IF(Table4[[#This Row],[Adjusted Correct]]="YES",(Table4[[#This Row],[Strength of Win]]-1)^2,(Table4[[#This Row],[Strength of Win]]-0)^2))</f>
        <v/>
      </c>
      <c r="O418">
        <v>-0.2692352558422777</v>
      </c>
      <c r="P418" s="11">
        <v>0.49143718974836059</v>
      </c>
      <c r="Q418" t="s">
        <v>16</v>
      </c>
    </row>
    <row r="419" spans="4:17" x14ac:dyDescent="0.2">
      <c r="D419" s="1">
        <v>45993</v>
      </c>
      <c r="E419" s="2">
        <v>0.79166666666666663</v>
      </c>
      <c r="F419" t="s">
        <v>30</v>
      </c>
      <c r="G419">
        <f>VLOOKUP(Table4[[#This Row],[Home]],'NHL Model'!$A$6:$B$38,2,FALSE)</f>
        <v>-0.24093199744133265</v>
      </c>
      <c r="H419" t="s">
        <v>37</v>
      </c>
      <c r="I419">
        <f>VLOOKUP(Table4[[#This Row],[Visitor]],'NHL Model'!$A$6:$B$38,2,FALSE)</f>
        <v>0.51050494674660429</v>
      </c>
      <c r="J419">
        <f>($B$1+Table4[[#This Row],[Home Differential]])-Table4[[#This Row],[Away Differential]]</f>
        <v>-0.70153619526477451</v>
      </c>
      <c r="K419" t="str">
        <f>IF(Table4[[#This Row],[HomeIce Differential]]&gt;0,Table4[[#This Row],[Home]],Table4[[#This Row],[Visitor]])</f>
        <v>Tampa Bay Lightning</v>
      </c>
      <c r="L4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0.63440089257773835</v>
      </c>
      <c r="M419" t="str">
        <f>IF(OR((NHL2025_26Results[[#This Row],[Winning Team]]="")),"-",IF(Table4[[#This Row],[Predicted Winner]]=NHL2025_26Results[[#This Row],[Winning Team]],"YES","NO"))</f>
        <v>-</v>
      </c>
      <c r="N419" t="str">
        <f>IF(Table4[[#This Row],[Adjusted Correct]]="-", "",IF(Table4[[#This Row],[Adjusted Correct]]="YES",(Table4[[#This Row],[Strength of Win]]-1)^2,(Table4[[#This Row],[Strength of Win]]-0)^2))</f>
        <v/>
      </c>
      <c r="O419">
        <v>-0.70153619526477451</v>
      </c>
      <c r="P419" s="11">
        <v>0.63440089257773835</v>
      </c>
      <c r="Q419" t="s">
        <v>37</v>
      </c>
    </row>
    <row r="420" spans="4:17" x14ac:dyDescent="0.2">
      <c r="D420" s="1">
        <v>45993</v>
      </c>
      <c r="E420" s="2">
        <v>0.79166666666666663</v>
      </c>
      <c r="F420" t="s">
        <v>15</v>
      </c>
      <c r="G420">
        <f>VLOOKUP(Table4[[#This Row],[Home]],'NHL Model'!$A$6:$B$38,2,FALSE)</f>
        <v>-0.29003398448394263</v>
      </c>
      <c r="H420" t="s">
        <v>39</v>
      </c>
      <c r="I420">
        <f>VLOOKUP(Table4[[#This Row],[Visitor]],'NHL Model'!$A$6:$B$38,2,FALSE)</f>
        <v>0.41344250185511977</v>
      </c>
      <c r="J420">
        <f>($B$1+Table4[[#This Row],[Home Differential]])-Table4[[#This Row],[Away Differential]]</f>
        <v>-0.65357573741589992</v>
      </c>
      <c r="K420" t="str">
        <f>IF(Table4[[#This Row],[HomeIce Differential]]&gt;0,Table4[[#This Row],[Home]],Table4[[#This Row],[Visitor]])</f>
        <v>Dallas Stars</v>
      </c>
      <c r="L4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0.63811236624172885</v>
      </c>
      <c r="M420" t="str">
        <f>IF(OR((NHL2025_26Results[[#This Row],[Winning Team]]="")),"-",IF(Table4[[#This Row],[Predicted Winner]]=NHL2025_26Results[[#This Row],[Winning Team]],"YES","NO"))</f>
        <v>-</v>
      </c>
      <c r="N420" t="str">
        <f>IF(Table4[[#This Row],[Adjusted Correct]]="-", "",IF(Table4[[#This Row],[Adjusted Correct]]="YES",(Table4[[#This Row],[Strength of Win]]-1)^2,(Table4[[#This Row],[Strength of Win]]-0)^2))</f>
        <v/>
      </c>
      <c r="O420">
        <v>-0.65357573741589992</v>
      </c>
      <c r="P420" s="11">
        <v>0.63811236624172885</v>
      </c>
      <c r="Q420" t="s">
        <v>39</v>
      </c>
    </row>
    <row r="421" spans="4:17" x14ac:dyDescent="0.2">
      <c r="D421" s="1">
        <v>45993</v>
      </c>
      <c r="E421" s="2">
        <v>0.91666666666666663</v>
      </c>
      <c r="F421" t="s">
        <v>20</v>
      </c>
      <c r="G421">
        <f>VLOOKUP(Table4[[#This Row],[Home]],'NHL Model'!$A$6:$B$38,2,FALSE)</f>
        <v>-0.24444083032063643</v>
      </c>
      <c r="H421" t="s">
        <v>10</v>
      </c>
      <c r="I421">
        <f>VLOOKUP(Table4[[#This Row],[Visitor]],'NHL Model'!$A$6:$B$38,2,FALSE)</f>
        <v>-0.17619625518431364</v>
      </c>
      <c r="J421">
        <f>($B$1+Table4[[#This Row],[Home Differential]])-Table4[[#This Row],[Away Differential]]</f>
        <v>-1.834382621316033E-2</v>
      </c>
      <c r="K421" t="str">
        <f>IF(Table4[[#This Row],[HomeIce Differential]]&gt;0,Table4[[#This Row],[Home]],Table4[[#This Row],[Visitor]])</f>
        <v>Chicago Blackhawks</v>
      </c>
      <c r="L4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0.46214191244593872</v>
      </c>
      <c r="M421" t="str">
        <f>IF(OR((NHL2025_26Results[[#This Row],[Winning Team]]="")),"-",IF(Table4[[#This Row],[Predicted Winner]]=NHL2025_26Results[[#This Row],[Winning Team]],"YES","NO"))</f>
        <v>-</v>
      </c>
      <c r="N421" t="str">
        <f>IF(Table4[[#This Row],[Adjusted Correct]]="-", "",IF(Table4[[#This Row],[Adjusted Correct]]="YES",(Table4[[#This Row],[Strength of Win]]-1)^2,(Table4[[#This Row],[Strength of Win]]-0)^2))</f>
        <v/>
      </c>
      <c r="O421">
        <v>-1.834382621316033E-2</v>
      </c>
      <c r="P421" s="11">
        <v>0.46214191244593872</v>
      </c>
      <c r="Q421" t="s">
        <v>10</v>
      </c>
    </row>
    <row r="422" spans="4:17" x14ac:dyDescent="0.2">
      <c r="D422" s="1">
        <v>45994</v>
      </c>
      <c r="E422" s="2">
        <v>0.91666666666666663</v>
      </c>
      <c r="F422" t="s">
        <v>31</v>
      </c>
      <c r="G422">
        <f>VLOOKUP(Table4[[#This Row],[Home]],'NHL Model'!$A$6:$B$38,2,FALSE)</f>
        <v>0.17870302183926629</v>
      </c>
      <c r="H422" t="s">
        <v>55</v>
      </c>
      <c r="I422">
        <f>VLOOKUP(Table4[[#This Row],[Visitor]],'NHL Model'!$A$6:$B$38,2,FALSE)</f>
        <v>-0.4031232890211825</v>
      </c>
      <c r="J422">
        <f>($B$1+Table4[[#This Row],[Home Differential]])-Table4[[#This Row],[Away Differential]]</f>
        <v>0.63172705978361121</v>
      </c>
      <c r="K422" t="str">
        <f>IF(Table4[[#This Row],[HomeIce Differential]]&gt;0,Table4[[#This Row],[Home]],Table4[[#This Row],[Visitor]])</f>
        <v>Anaheim Ducks</v>
      </c>
      <c r="L4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0.69359816859950485</v>
      </c>
      <c r="M422" t="str">
        <f>IF(OR((NHL2025_26Results[[#This Row],[Winning Team]]="")),"-",IF(Table4[[#This Row],[Predicted Winner]]=NHL2025_26Results[[#This Row],[Winning Team]],"YES","NO"))</f>
        <v>-</v>
      </c>
      <c r="N422" t="str">
        <f>IF(Table4[[#This Row],[Adjusted Correct]]="-", "",IF(Table4[[#This Row],[Adjusted Correct]]="YES",(Table4[[#This Row],[Strength of Win]]-1)^2,(Table4[[#This Row],[Strength of Win]]-0)^2))</f>
        <v/>
      </c>
      <c r="P422" s="11"/>
    </row>
    <row r="423" spans="4:17" x14ac:dyDescent="0.2">
      <c r="D423" s="1">
        <v>45994</v>
      </c>
      <c r="E423" s="2">
        <v>0.8125</v>
      </c>
      <c r="F423" t="s">
        <v>18</v>
      </c>
      <c r="G423">
        <f>VLOOKUP(Table4[[#This Row],[Home]],'NHL Model'!$A$6:$B$38,2,FALSE)</f>
        <v>-0.59288962827382519</v>
      </c>
      <c r="H423" t="s">
        <v>40</v>
      </c>
      <c r="I423">
        <f>VLOOKUP(Table4[[#This Row],[Visitor]],'NHL Model'!$A$6:$B$38,2,FALSE)</f>
        <v>-0.31324182378279158</v>
      </c>
      <c r="J423">
        <f>($B$1+Table4[[#This Row],[Home Differential]])-Table4[[#This Row],[Away Differential]]</f>
        <v>-0.22974705556787117</v>
      </c>
      <c r="K423" t="str">
        <f>IF(Table4[[#This Row],[HomeIce Differential]]&gt;0,Table4[[#This Row],[Home]],Table4[[#This Row],[Visitor]])</f>
        <v>Winnipeg Jets</v>
      </c>
      <c r="L4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0.50759559033131352</v>
      </c>
      <c r="M423" t="str">
        <f>IF(OR((NHL2025_26Results[[#This Row],[Winning Team]]="")),"-",IF(Table4[[#This Row],[Predicted Winner]]=NHL2025_26Results[[#This Row],[Winning Team]],"YES","NO"))</f>
        <v>-</v>
      </c>
      <c r="N423" t="str">
        <f>IF(Table4[[#This Row],[Adjusted Correct]]="-", "",IF(Table4[[#This Row],[Adjusted Correct]]="YES",(Table4[[#This Row],[Strength of Win]]-1)^2,(Table4[[#This Row],[Strength of Win]]-0)^2))</f>
        <v/>
      </c>
      <c r="P423" s="11"/>
    </row>
    <row r="424" spans="4:17" x14ac:dyDescent="0.2">
      <c r="D424" s="1">
        <v>45994</v>
      </c>
      <c r="E424" s="2">
        <v>0.79166666666666663</v>
      </c>
      <c r="F424" t="s">
        <v>24</v>
      </c>
      <c r="G424">
        <f>VLOOKUP(Table4[[#This Row],[Home]],'NHL Model'!$A$6:$B$38,2,FALSE)</f>
        <v>1.5302507646042616E-3</v>
      </c>
      <c r="H424" t="s">
        <v>39</v>
      </c>
      <c r="I424">
        <f>VLOOKUP(Table4[[#This Row],[Visitor]],'NHL Model'!$A$6:$B$38,2,FALSE)</f>
        <v>0.41344250185511977</v>
      </c>
      <c r="J424">
        <f>($B$1+Table4[[#This Row],[Home Differential]])-Table4[[#This Row],[Away Differential]]</f>
        <v>-0.36201150216735306</v>
      </c>
      <c r="K424" t="str">
        <f>IF(Table4[[#This Row],[HomeIce Differential]]&gt;0,Table4[[#This Row],[Home]],Table4[[#This Row],[Visitor]])</f>
        <v>Dallas Stars</v>
      </c>
      <c r="L4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0.5222701857864821</v>
      </c>
      <c r="M424" t="str">
        <f>IF(OR((NHL2025_26Results[[#This Row],[Winning Team]]="")),"-",IF(Table4[[#This Row],[Predicted Winner]]=NHL2025_26Results[[#This Row],[Winning Team]],"YES","NO"))</f>
        <v>-</v>
      </c>
      <c r="N424" t="str">
        <f>IF(Table4[[#This Row],[Adjusted Correct]]="-", "",IF(Table4[[#This Row],[Adjusted Correct]]="YES",(Table4[[#This Row],[Strength of Win]]-1)^2,(Table4[[#This Row],[Strength of Win]]-0)^2))</f>
        <v/>
      </c>
      <c r="P424" s="11"/>
    </row>
    <row r="425" spans="4:17" x14ac:dyDescent="0.2">
      <c r="D425" s="1">
        <v>45994</v>
      </c>
      <c r="E425" s="2">
        <v>0.8125</v>
      </c>
      <c r="F425" t="s">
        <v>27</v>
      </c>
      <c r="G425">
        <f>VLOOKUP(Table4[[#This Row],[Home]],'NHL Model'!$A$6:$B$38,2,FALSE)</f>
        <v>-0.38023958350631604</v>
      </c>
      <c r="H425" t="s">
        <v>23</v>
      </c>
      <c r="I425">
        <f>VLOOKUP(Table4[[#This Row],[Visitor]],'NHL Model'!$A$6:$B$38,2,FALSE)</f>
        <v>-0.4761104357405897</v>
      </c>
      <c r="J425">
        <f>($B$1+Table4[[#This Row],[Home Differential]])-Table4[[#This Row],[Away Differential]]</f>
        <v>0.14577160115743615</v>
      </c>
      <c r="K425" t="str">
        <f>IF(Table4[[#This Row],[HomeIce Differential]]&gt;0,Table4[[#This Row],[Home]],Table4[[#This Row],[Visitor]])</f>
        <v>Philadelphia Flyers</v>
      </c>
      <c r="L4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0.57103760636902878</v>
      </c>
      <c r="M425" t="str">
        <f>IF(OR((NHL2025_26Results[[#This Row],[Winning Team]]="")),"-",IF(Table4[[#This Row],[Predicted Winner]]=NHL2025_26Results[[#This Row],[Winning Team]],"YES","NO"))</f>
        <v>-</v>
      </c>
      <c r="N425" t="str">
        <f>IF(Table4[[#This Row],[Adjusted Correct]]="-", "",IF(Table4[[#This Row],[Adjusted Correct]]="YES",(Table4[[#This Row],[Strength of Win]]-1)^2,(Table4[[#This Row],[Strength of Win]]-0)^2))</f>
        <v/>
      </c>
      <c r="P425" s="11"/>
    </row>
    <row r="426" spans="4:17" x14ac:dyDescent="0.2">
      <c r="D426" s="1">
        <v>45994</v>
      </c>
      <c r="E426" s="2">
        <v>0.91666666666666663</v>
      </c>
      <c r="F426" t="s">
        <v>33</v>
      </c>
      <c r="G426">
        <f>VLOOKUP(Table4[[#This Row],[Home]],'NHL Model'!$A$6:$B$38,2,FALSE)</f>
        <v>-0.45133099238224339</v>
      </c>
      <c r="H426" t="s">
        <v>22</v>
      </c>
      <c r="I426">
        <f>VLOOKUP(Table4[[#This Row],[Visitor]],'NHL Model'!$A$6:$B$38,2,FALSE)</f>
        <v>0.4407072328537569</v>
      </c>
      <c r="J426">
        <f>($B$1+Table4[[#This Row],[Home Differential]])-Table4[[#This Row],[Away Differential]]</f>
        <v>-0.84213747631283775</v>
      </c>
      <c r="K426" t="str">
        <f>IF(Table4[[#This Row],[HomeIce Differential]]&gt;0,Table4[[#This Row],[Home]],Table4[[#This Row],[Visitor]])</f>
        <v>Washington Capitals</v>
      </c>
      <c r="L4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0.59063967172929266</v>
      </c>
      <c r="M426" t="str">
        <f>IF(OR((NHL2025_26Results[[#This Row],[Winning Team]]="")),"-",IF(Table4[[#This Row],[Predicted Winner]]=NHL2025_26Results[[#This Row],[Winning Team]],"YES","NO"))</f>
        <v>-</v>
      </c>
      <c r="N426" t="str">
        <f>IF(Table4[[#This Row],[Adjusted Correct]]="-", "",IF(Table4[[#This Row],[Adjusted Correct]]="YES",(Table4[[#This Row],[Strength of Win]]-1)^2,(Table4[[#This Row],[Strength of Win]]-0)^2))</f>
        <v/>
      </c>
      <c r="P426" s="11"/>
    </row>
    <row r="427" spans="4:17" x14ac:dyDescent="0.2">
      <c r="D427" s="1">
        <v>45995</v>
      </c>
      <c r="E427" s="2">
        <v>0.79166666666666663</v>
      </c>
      <c r="F427" t="s">
        <v>21</v>
      </c>
      <c r="G427">
        <f>VLOOKUP(Table4[[#This Row],[Home]],'NHL Model'!$A$6:$B$38,2,FALSE)</f>
        <v>-0.21976976044773161</v>
      </c>
      <c r="H427" t="s">
        <v>35</v>
      </c>
      <c r="I427">
        <f>VLOOKUP(Table4[[#This Row],[Visitor]],'NHL Model'!$A$6:$B$38,2,FALSE)</f>
        <v>-1.3944783719477225</v>
      </c>
      <c r="J427">
        <f>($B$1+Table4[[#This Row],[Home Differential]])-Table4[[#This Row],[Away Differential]]</f>
        <v>1.2246093604231534</v>
      </c>
      <c r="K427" t="str">
        <f>IF(Table4[[#This Row],[HomeIce Differential]]&gt;0,Table4[[#This Row],[Home]],Table4[[#This Row],[Visitor]])</f>
        <v>Boston Bruins</v>
      </c>
      <c r="L4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0.72589277117775375</v>
      </c>
      <c r="M427" t="str">
        <f>IF(OR((NHL2025_26Results[[#This Row],[Winning Team]]="")),"-",IF(Table4[[#This Row],[Predicted Winner]]=NHL2025_26Results[[#This Row],[Winning Team]],"YES","NO"))</f>
        <v>-</v>
      </c>
      <c r="N427" t="str">
        <f>IF(Table4[[#This Row],[Adjusted Correct]]="-", "",IF(Table4[[#This Row],[Adjusted Correct]]="YES",(Table4[[#This Row],[Strength of Win]]-1)^2,(Table4[[#This Row],[Strength of Win]]-0)^2))</f>
        <v/>
      </c>
      <c r="P427" s="11"/>
    </row>
    <row r="428" spans="4:17" x14ac:dyDescent="0.2">
      <c r="D428" s="1">
        <v>45995</v>
      </c>
      <c r="E428" s="2">
        <v>0.8125</v>
      </c>
      <c r="F428" t="s">
        <v>25</v>
      </c>
      <c r="G428">
        <f>VLOOKUP(Table4[[#This Row],[Home]],'NHL Model'!$A$6:$B$38,2,FALSE)</f>
        <v>0.42567513732855267</v>
      </c>
      <c r="H428" t="s">
        <v>19</v>
      </c>
      <c r="I428">
        <f>VLOOKUP(Table4[[#This Row],[Visitor]],'NHL Model'!$A$6:$B$38,2,FALSE)</f>
        <v>-0.63447859131898054</v>
      </c>
      <c r="J428">
        <f>($B$1+Table4[[#This Row],[Home Differential]])-Table4[[#This Row],[Away Differential]]</f>
        <v>1.1100544775706958</v>
      </c>
      <c r="K428" t="str">
        <f>IF(Table4[[#This Row],[HomeIce Differential]]&gt;0,Table4[[#This Row],[Home]],Table4[[#This Row],[Visitor]])</f>
        <v>Carolina Hurricanes</v>
      </c>
      <c r="L4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0.72133121982254167</v>
      </c>
      <c r="M428" t="str">
        <f>IF(OR((NHL2025_26Results[[#This Row],[Winning Team]]="")),"-",IF(Table4[[#This Row],[Predicted Winner]]=NHL2025_26Results[[#This Row],[Winning Team]],"YES","NO"))</f>
        <v>-</v>
      </c>
      <c r="N428" t="str">
        <f>IF(Table4[[#This Row],[Adjusted Correct]]="-", "",IF(Table4[[#This Row],[Adjusted Correct]]="YES",(Table4[[#This Row],[Strength of Win]]-1)^2,(Table4[[#This Row],[Strength of Win]]-0)^2))</f>
        <v/>
      </c>
      <c r="P428" s="11"/>
    </row>
    <row r="429" spans="4:17" x14ac:dyDescent="0.2">
      <c r="D429" s="1">
        <v>45995</v>
      </c>
      <c r="E429" s="2">
        <v>0.79166666666666663</v>
      </c>
      <c r="F429" t="s">
        <v>28</v>
      </c>
      <c r="G429">
        <f>VLOOKUP(Table4[[#This Row],[Home]],'NHL Model'!$A$6:$B$38,2,FALSE)</f>
        <v>-0.59498940435054026</v>
      </c>
      <c r="H429" t="s">
        <v>26</v>
      </c>
      <c r="I429">
        <f>VLOOKUP(Table4[[#This Row],[Visitor]],'NHL Model'!$A$6:$B$38,2,FALSE)</f>
        <v>-0.87533956503230947</v>
      </c>
      <c r="J429">
        <f>($B$1+Table4[[#This Row],[Home Differential]])-Table4[[#This Row],[Away Differential]]</f>
        <v>0.33025090960493164</v>
      </c>
      <c r="K429" t="str">
        <f>IF(Table4[[#This Row],[HomeIce Differential]]&gt;0,Table4[[#This Row],[Home]],Table4[[#This Row],[Visitor]])</f>
        <v>Columbus Blue Jackets</v>
      </c>
      <c r="L4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0.57856166785192853</v>
      </c>
      <c r="M429" t="str">
        <f>IF(OR((NHL2025_26Results[[#This Row],[Winning Team]]="")),"-",IF(Table4[[#This Row],[Predicted Winner]]=NHL2025_26Results[[#This Row],[Winning Team]],"YES","NO"))</f>
        <v>-</v>
      </c>
      <c r="N429" t="str">
        <f>IF(Table4[[#This Row],[Adjusted Correct]]="-", "",IF(Table4[[#This Row],[Adjusted Correct]]="YES",(Table4[[#This Row],[Strength of Win]]-1)^2,(Table4[[#This Row],[Strength of Win]]-0)^2))</f>
        <v/>
      </c>
      <c r="P429" s="11"/>
    </row>
    <row r="430" spans="4:17" x14ac:dyDescent="0.2">
      <c r="D430" s="1">
        <v>45995</v>
      </c>
      <c r="E430" s="2">
        <v>0.875</v>
      </c>
      <c r="F430" t="s">
        <v>16</v>
      </c>
      <c r="G430">
        <f>VLOOKUP(Table4[[#This Row],[Home]],'NHL Model'!$A$6:$B$38,2,FALSE)</f>
        <v>-1.0657812790446208</v>
      </c>
      <c r="H430" t="s">
        <v>34</v>
      </c>
      <c r="I430">
        <f>VLOOKUP(Table4[[#This Row],[Visitor]],'NHL Model'!$A$6:$B$38,2,FALSE)</f>
        <v>-5.5124787449478845E-2</v>
      </c>
      <c r="J430">
        <f>($B$1+Table4[[#This Row],[Home Differential]])-Table4[[#This Row],[Away Differential]]</f>
        <v>-0.96075574267197961</v>
      </c>
      <c r="K430" t="str">
        <f>IF(Table4[[#This Row],[HomeIce Differential]]&gt;0,Table4[[#This Row],[Home]],Table4[[#This Row],[Visitor]])</f>
        <v>Minnesota Wild</v>
      </c>
      <c r="L4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0.61469497551376429</v>
      </c>
      <c r="M430" t="str">
        <f>IF(OR((NHL2025_26Results[[#This Row],[Winning Team]]="")),"-",IF(Table4[[#This Row],[Predicted Winner]]=NHL2025_26Results[[#This Row],[Winning Team]],"YES","NO"))</f>
        <v>-</v>
      </c>
      <c r="N430" t="str">
        <f>IF(Table4[[#This Row],[Adjusted Correct]]="-", "",IF(Table4[[#This Row],[Adjusted Correct]]="YES",(Table4[[#This Row],[Strength of Win]]-1)^2,(Table4[[#This Row],[Strength of Win]]-0)^2))</f>
        <v/>
      </c>
      <c r="P430" s="11"/>
    </row>
    <row r="431" spans="4:17" x14ac:dyDescent="0.2">
      <c r="D431" s="1">
        <v>45995</v>
      </c>
      <c r="E431" s="2">
        <v>0.875</v>
      </c>
      <c r="F431" t="s">
        <v>17</v>
      </c>
      <c r="G431">
        <f>VLOOKUP(Table4[[#This Row],[Home]],'NHL Model'!$A$6:$B$38,2,FALSE)</f>
        <v>-0.81774666423752174</v>
      </c>
      <c r="H431" t="s">
        <v>32</v>
      </c>
      <c r="I431">
        <f>VLOOKUP(Table4[[#This Row],[Visitor]],'NHL Model'!$A$6:$B$38,2,FALSE)</f>
        <v>-0.64937723527808999</v>
      </c>
      <c r="J431">
        <f>($B$1+Table4[[#This Row],[Home Differential]])-Table4[[#This Row],[Away Differential]]</f>
        <v>-0.11846868003626931</v>
      </c>
      <c r="K431" t="str">
        <f>IF(Table4[[#This Row],[HomeIce Differential]]&gt;0,Table4[[#This Row],[Home]],Table4[[#This Row],[Visitor]])</f>
        <v>Seattle Kraken</v>
      </c>
      <c r="L4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0.46678701500720543</v>
      </c>
      <c r="M431" t="str">
        <f>IF(OR((NHL2025_26Results[[#This Row],[Winning Team]]="")),"-",IF(Table4[[#This Row],[Predicted Winner]]=NHL2025_26Results[[#This Row],[Winning Team]],"YES","NO"))</f>
        <v>-</v>
      </c>
      <c r="N431" t="str">
        <f>IF(Table4[[#This Row],[Adjusted Correct]]="-", "",IF(Table4[[#This Row],[Adjusted Correct]]="YES",(Table4[[#This Row],[Strength of Win]]-1)^2,(Table4[[#This Row],[Strength of Win]]-0)^2))</f>
        <v/>
      </c>
      <c r="P431" s="11"/>
    </row>
    <row r="432" spans="4:17" x14ac:dyDescent="0.2">
      <c r="D432" s="1">
        <v>45995</v>
      </c>
      <c r="E432" s="2">
        <v>0.79166666666666663</v>
      </c>
      <c r="F432" t="s">
        <v>11</v>
      </c>
      <c r="G432">
        <f>VLOOKUP(Table4[[#This Row],[Home]],'NHL Model'!$A$6:$B$38,2,FALSE)</f>
        <v>-0.39711829106410657</v>
      </c>
      <c r="H432" t="s">
        <v>29</v>
      </c>
      <c r="I432">
        <f>VLOOKUP(Table4[[#This Row],[Visitor]],'NHL Model'!$A$6:$B$38,2,FALSE)</f>
        <v>-1.384917283810061</v>
      </c>
      <c r="J432">
        <f>($B$1+Table4[[#This Row],[Home Differential]])-Table4[[#This Row],[Away Differential]]</f>
        <v>1.0376997416691169</v>
      </c>
      <c r="K432" t="str">
        <f>IF(Table4[[#This Row],[HomeIce Differential]]&gt;0,Table4[[#This Row],[Home]],Table4[[#This Row],[Visitor]])</f>
        <v>Florida Panthers</v>
      </c>
      <c r="L4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0.67518338069360018</v>
      </c>
      <c r="M432" t="str">
        <f>IF(OR((NHL2025_26Results[[#This Row],[Winning Team]]="")),"-",IF(Table4[[#This Row],[Predicted Winner]]=NHL2025_26Results[[#This Row],[Winning Team]],"YES","NO"))</f>
        <v>-</v>
      </c>
      <c r="N432" t="str">
        <f>IF(Table4[[#This Row],[Adjusted Correct]]="-", "",IF(Table4[[#This Row],[Adjusted Correct]]="YES",(Table4[[#This Row],[Strength of Win]]-1)^2,(Table4[[#This Row],[Strength of Win]]-0)^2))</f>
        <v/>
      </c>
      <c r="P432" s="11"/>
    </row>
    <row r="433" spans="4:16" x14ac:dyDescent="0.2">
      <c r="D433" s="1">
        <v>45995</v>
      </c>
      <c r="E433" s="2">
        <v>0.91666666666666663</v>
      </c>
      <c r="F433" t="s">
        <v>13</v>
      </c>
      <c r="G433">
        <f>VLOOKUP(Table4[[#This Row],[Home]],'NHL Model'!$A$6:$B$38,2,FALSE)</f>
        <v>-0.33828359867721369</v>
      </c>
      <c r="H433" t="s">
        <v>10</v>
      </c>
      <c r="I433">
        <f>VLOOKUP(Table4[[#This Row],[Visitor]],'NHL Model'!$A$6:$B$38,2,FALSE)</f>
        <v>-0.17619625518431364</v>
      </c>
      <c r="J433">
        <f>($B$1+Table4[[#This Row],[Home Differential]])-Table4[[#This Row],[Away Differential]]</f>
        <v>-0.11218659456973756</v>
      </c>
      <c r="K433" t="str">
        <f>IF(Table4[[#This Row],[HomeIce Differential]]&gt;0,Table4[[#This Row],[Home]],Table4[[#This Row],[Visitor]])</f>
        <v>Chicago Blackhawks</v>
      </c>
      <c r="L4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0.4730994406719799</v>
      </c>
      <c r="M433" t="str">
        <f>IF(OR((NHL2025_26Results[[#This Row],[Winning Team]]="")),"-",IF(Table4[[#This Row],[Predicted Winner]]=NHL2025_26Results[[#This Row],[Winning Team]],"YES","NO"))</f>
        <v>-</v>
      </c>
      <c r="N433" t="str">
        <f>IF(Table4[[#This Row],[Adjusted Correct]]="-", "",IF(Table4[[#This Row],[Adjusted Correct]]="YES",(Table4[[#This Row],[Strength of Win]]-1)^2,(Table4[[#This Row],[Strength of Win]]-0)^2))</f>
        <v/>
      </c>
      <c r="P433" s="11"/>
    </row>
    <row r="434" spans="4:16" x14ac:dyDescent="0.2">
      <c r="D434" s="1">
        <v>45995</v>
      </c>
      <c r="E434" s="2">
        <v>0.79166666666666663</v>
      </c>
      <c r="F434" t="s">
        <v>30</v>
      </c>
      <c r="G434">
        <f>VLOOKUP(Table4[[#This Row],[Home]],'NHL Model'!$A$6:$B$38,2,FALSE)</f>
        <v>-0.24093199744133265</v>
      </c>
      <c r="H434" t="s">
        <v>12</v>
      </c>
      <c r="I434">
        <f>VLOOKUP(Table4[[#This Row],[Visitor]],'NHL Model'!$A$6:$B$38,2,FALSE)</f>
        <v>1.6319036584269762</v>
      </c>
      <c r="J434">
        <f>($B$1+Table4[[#This Row],[Home Differential]])-Table4[[#This Row],[Away Differential]]</f>
        <v>-1.8229349069451464</v>
      </c>
      <c r="K434" t="str">
        <f>IF(Table4[[#This Row],[HomeIce Differential]]&gt;0,Table4[[#This Row],[Home]],Table4[[#This Row],[Visitor]])</f>
        <v>Colorado Avalanche</v>
      </c>
      <c r="L4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0.74547772409272217</v>
      </c>
      <c r="M434" t="str">
        <f>IF(OR((NHL2025_26Results[[#This Row],[Winning Team]]="")),"-",IF(Table4[[#This Row],[Predicted Winner]]=NHL2025_26Results[[#This Row],[Winning Team]],"YES","NO"))</f>
        <v>-</v>
      </c>
      <c r="N434" t="str">
        <f>IF(Table4[[#This Row],[Adjusted Correct]]="-", "",IF(Table4[[#This Row],[Adjusted Correct]]="YES",(Table4[[#This Row],[Strength of Win]]-1)^2,(Table4[[#This Row],[Strength of Win]]-0)^2))</f>
        <v/>
      </c>
      <c r="P434" s="11"/>
    </row>
    <row r="435" spans="4:16" x14ac:dyDescent="0.2">
      <c r="D435" s="1">
        <v>45995</v>
      </c>
      <c r="E435" s="2">
        <v>0.79166666666666663</v>
      </c>
      <c r="F435" t="s">
        <v>36</v>
      </c>
      <c r="G435">
        <f>VLOOKUP(Table4[[#This Row],[Home]],'NHL Model'!$A$6:$B$38,2,FALSE)</f>
        <v>-0.53137605086483863</v>
      </c>
      <c r="H435" t="s">
        <v>15</v>
      </c>
      <c r="I435">
        <f>VLOOKUP(Table4[[#This Row],[Visitor]],'NHL Model'!$A$6:$B$38,2,FALSE)</f>
        <v>-0.29003398448394263</v>
      </c>
      <c r="J435">
        <f>($B$1+Table4[[#This Row],[Home Differential]])-Table4[[#This Row],[Away Differential]]</f>
        <v>-0.19144131745773352</v>
      </c>
      <c r="K435" t="str">
        <f>IF(Table4[[#This Row],[HomeIce Differential]]&gt;0,Table4[[#This Row],[Home]],Table4[[#This Row],[Visitor]])</f>
        <v>New York Rangers</v>
      </c>
      <c r="L4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0.57995728592132423</v>
      </c>
      <c r="M435" t="str">
        <f>IF(OR((NHL2025_26Results[[#This Row],[Winning Team]]="")),"-",IF(Table4[[#This Row],[Predicted Winner]]=NHL2025_26Results[[#This Row],[Winning Team]],"YES","NO"))</f>
        <v>-</v>
      </c>
      <c r="N435" t="str">
        <f>IF(Table4[[#This Row],[Adjusted Correct]]="-", "",IF(Table4[[#This Row],[Adjusted Correct]]="YES",(Table4[[#This Row],[Strength of Win]]-1)^2,(Table4[[#This Row],[Strength of Win]]-0)^2))</f>
        <v/>
      </c>
      <c r="P435" s="11"/>
    </row>
    <row r="436" spans="4:16" x14ac:dyDescent="0.2">
      <c r="D436" s="1">
        <v>45995</v>
      </c>
      <c r="E436" s="2">
        <v>0.79166666666666663</v>
      </c>
      <c r="F436" t="s">
        <v>37</v>
      </c>
      <c r="G436">
        <f>VLOOKUP(Table4[[#This Row],[Home]],'NHL Model'!$A$6:$B$38,2,FALSE)</f>
        <v>0.51050494674660429</v>
      </c>
      <c r="H436" t="s">
        <v>14</v>
      </c>
      <c r="I436">
        <f>VLOOKUP(Table4[[#This Row],[Visitor]],'NHL Model'!$A$6:$B$38,2,FALSE)</f>
        <v>-0.14226422156549004</v>
      </c>
      <c r="J436">
        <f>($B$1+Table4[[#This Row],[Home Differential]])-Table4[[#This Row],[Away Differential]]</f>
        <v>0.70266991723525674</v>
      </c>
      <c r="K436" t="str">
        <f>IF(Table4[[#This Row],[HomeIce Differential]]&gt;0,Table4[[#This Row],[Home]],Table4[[#This Row],[Visitor]])</f>
        <v>Tampa Bay Lightning</v>
      </c>
      <c r="L4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0.61538041683836375</v>
      </c>
      <c r="M436" t="str">
        <f>IF(OR((NHL2025_26Results[[#This Row],[Winning Team]]="")),"-",IF(Table4[[#This Row],[Predicted Winner]]=NHL2025_26Results[[#This Row],[Winning Team]],"YES","NO"))</f>
        <v>-</v>
      </c>
      <c r="N436" t="str">
        <f>IF(Table4[[#This Row],[Adjusted Correct]]="-", "",IF(Table4[[#This Row],[Adjusted Correct]]="YES",(Table4[[#This Row],[Strength of Win]]-1)^2,(Table4[[#This Row],[Strength of Win]]-0)^2))</f>
        <v/>
      </c>
      <c r="P436" s="11"/>
    </row>
    <row r="437" spans="4:16" x14ac:dyDescent="0.2">
      <c r="D437" s="1">
        <v>45996</v>
      </c>
      <c r="E437" s="2">
        <v>0.91666666666666663</v>
      </c>
      <c r="F437" t="s">
        <v>31</v>
      </c>
      <c r="G437">
        <f>VLOOKUP(Table4[[#This Row],[Home]],'NHL Model'!$A$6:$B$38,2,FALSE)</f>
        <v>0.17870302183926629</v>
      </c>
      <c r="H437" t="s">
        <v>22</v>
      </c>
      <c r="I437">
        <f>VLOOKUP(Table4[[#This Row],[Visitor]],'NHL Model'!$A$6:$B$38,2,FALSE)</f>
        <v>0.4407072328537569</v>
      </c>
      <c r="J437">
        <f>($B$1+Table4[[#This Row],[Home Differential]])-Table4[[#This Row],[Away Differential]]</f>
        <v>-0.21210346209132816</v>
      </c>
      <c r="K437" t="str">
        <f>IF(Table4[[#This Row],[HomeIce Differential]]&gt;0,Table4[[#This Row],[Home]],Table4[[#This Row],[Visitor]])</f>
        <v>Washington Capitals</v>
      </c>
      <c r="L4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0.44581884120178911</v>
      </c>
      <c r="M437" t="str">
        <f>IF(OR((NHL2025_26Results[[#This Row],[Winning Team]]="")),"-",IF(Table4[[#This Row],[Predicted Winner]]=NHL2025_26Results[[#This Row],[Winning Team]],"YES","NO"))</f>
        <v>-</v>
      </c>
      <c r="N437" t="str">
        <f>IF(Table4[[#This Row],[Adjusted Correct]]="-", "",IF(Table4[[#This Row],[Adjusted Correct]]="YES",(Table4[[#This Row],[Strength of Win]]-1)^2,(Table4[[#This Row],[Strength of Win]]-0)^2))</f>
        <v/>
      </c>
      <c r="P437" s="11"/>
    </row>
    <row r="438" spans="4:16" x14ac:dyDescent="0.2">
      <c r="D438" s="1">
        <v>45996</v>
      </c>
      <c r="E438" s="2">
        <v>0.83333333333333337</v>
      </c>
      <c r="F438" t="s">
        <v>39</v>
      </c>
      <c r="G438">
        <f>VLOOKUP(Table4[[#This Row],[Home]],'NHL Model'!$A$6:$B$38,2,FALSE)</f>
        <v>0.41344250185511977</v>
      </c>
      <c r="H438" t="s">
        <v>33</v>
      </c>
      <c r="I438">
        <f>VLOOKUP(Table4[[#This Row],[Visitor]],'NHL Model'!$A$6:$B$38,2,FALSE)</f>
        <v>-0.45133099238224339</v>
      </c>
      <c r="J438">
        <f>($B$1+Table4[[#This Row],[Home Differential]])-Table4[[#This Row],[Away Differential]]</f>
        <v>0.9146742431605257</v>
      </c>
      <c r="K438" t="str">
        <f>IF(Table4[[#This Row],[HomeIce Differential]]&gt;0,Table4[[#This Row],[Home]],Table4[[#This Row],[Visitor]])</f>
        <v>Dallas Stars</v>
      </c>
      <c r="L4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0.67904778332563698</v>
      </c>
      <c r="M438" t="str">
        <f>IF(OR((NHL2025_26Results[[#This Row],[Winning Team]]="")),"-",IF(Table4[[#This Row],[Predicted Winner]]=NHL2025_26Results[[#This Row],[Winning Team]],"YES","NO"))</f>
        <v>-</v>
      </c>
      <c r="N438" t="str">
        <f>IF(Table4[[#This Row],[Adjusted Correct]]="-", "",IF(Table4[[#This Row],[Adjusted Correct]]="YES",(Table4[[#This Row],[Strength of Win]]-1)^2,(Table4[[#This Row],[Strength of Win]]-0)^2))</f>
        <v/>
      </c>
      <c r="P438" s="11"/>
    </row>
    <row r="439" spans="4:16" x14ac:dyDescent="0.2">
      <c r="D439" s="1">
        <v>45996</v>
      </c>
      <c r="E439" s="2">
        <v>0.79166666666666663</v>
      </c>
      <c r="F439" t="s">
        <v>24</v>
      </c>
      <c r="G439">
        <f>VLOOKUP(Table4[[#This Row],[Home]],'NHL Model'!$A$6:$B$38,2,FALSE)</f>
        <v>1.5302507646042616E-3</v>
      </c>
      <c r="H439" t="s">
        <v>20</v>
      </c>
      <c r="I439">
        <f>VLOOKUP(Table4[[#This Row],[Visitor]],'NHL Model'!$A$6:$B$38,2,FALSE)</f>
        <v>-0.24444083032063643</v>
      </c>
      <c r="J439">
        <f>($B$1+Table4[[#This Row],[Home Differential]])-Table4[[#This Row],[Away Differential]]</f>
        <v>0.29587183000840317</v>
      </c>
      <c r="K439" t="str">
        <f>IF(Table4[[#This Row],[HomeIce Differential]]&gt;0,Table4[[#This Row],[Home]],Table4[[#This Row],[Visitor]])</f>
        <v>New Jersey Devils</v>
      </c>
      <c r="L4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0.65438211365383414</v>
      </c>
      <c r="M439" t="str">
        <f>IF(OR((NHL2025_26Results[[#This Row],[Winning Team]]="")),"-",IF(Table4[[#This Row],[Predicted Winner]]=NHL2025_26Results[[#This Row],[Winning Team]],"YES","NO"))</f>
        <v>-</v>
      </c>
      <c r="N439" t="str">
        <f>IF(Table4[[#This Row],[Adjusted Correct]]="-", "",IF(Table4[[#This Row],[Adjusted Correct]]="YES",(Table4[[#This Row],[Strength of Win]]-1)^2,(Table4[[#This Row],[Strength of Win]]-0)^2))</f>
        <v/>
      </c>
      <c r="P439" s="11"/>
    </row>
    <row r="440" spans="4:16" x14ac:dyDescent="0.2">
      <c r="D440" s="1">
        <v>45996</v>
      </c>
      <c r="E440" s="2">
        <v>0.875</v>
      </c>
      <c r="F440" t="s">
        <v>38</v>
      </c>
      <c r="G440">
        <f>VLOOKUP(Table4[[#This Row],[Home]],'NHL Model'!$A$6:$B$38,2,FALSE)</f>
        <v>-0.9476777551108041</v>
      </c>
      <c r="H440" t="s">
        <v>55</v>
      </c>
      <c r="I440">
        <f>VLOOKUP(Table4[[#This Row],[Visitor]],'NHL Model'!$A$6:$B$38,2,FALSE)</f>
        <v>-0.4031232890211825</v>
      </c>
      <c r="J440">
        <f>($B$1+Table4[[#This Row],[Home Differential]])-Table4[[#This Row],[Away Differential]]</f>
        <v>-0.49465371716645917</v>
      </c>
      <c r="K440" t="str">
        <f>IF(Table4[[#This Row],[HomeIce Differential]]&gt;0,Table4[[#This Row],[Home]],Table4[[#This Row],[Visitor]])</f>
        <v>Utah Mammoth</v>
      </c>
      <c r="L4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0.51775812204700111</v>
      </c>
      <c r="M440" t="str">
        <f>IF(OR((NHL2025_26Results[[#This Row],[Winning Team]]="")),"-",IF(Table4[[#This Row],[Predicted Winner]]=NHL2025_26Results[[#This Row],[Winning Team]],"YES","NO"))</f>
        <v>-</v>
      </c>
      <c r="N440" t="str">
        <f>IF(Table4[[#This Row],[Adjusted Correct]]="-", "",IF(Table4[[#This Row],[Adjusted Correct]]="YES",(Table4[[#This Row],[Strength of Win]]-1)^2,(Table4[[#This Row],[Strength of Win]]-0)^2))</f>
        <v/>
      </c>
      <c r="P440" s="11"/>
    </row>
    <row r="441" spans="4:16" x14ac:dyDescent="0.2">
      <c r="D441" s="1">
        <v>45996</v>
      </c>
      <c r="E441" s="2">
        <v>0.79166666666666663</v>
      </c>
      <c r="F441" t="s">
        <v>40</v>
      </c>
      <c r="G441">
        <f>VLOOKUP(Table4[[#This Row],[Home]],'NHL Model'!$A$6:$B$38,2,FALSE)</f>
        <v>-0.31324182378279158</v>
      </c>
      <c r="H441" t="s">
        <v>23</v>
      </c>
      <c r="I441">
        <f>VLOOKUP(Table4[[#This Row],[Visitor]],'NHL Model'!$A$6:$B$38,2,FALSE)</f>
        <v>-0.4761104357405897</v>
      </c>
      <c r="J441">
        <f>($B$1+Table4[[#This Row],[Home Differential]])-Table4[[#This Row],[Away Differential]]</f>
        <v>0.2127693608809606</v>
      </c>
      <c r="K441" t="str">
        <f>IF(Table4[[#This Row],[HomeIce Differential]]&gt;0,Table4[[#This Row],[Home]],Table4[[#This Row],[Visitor]])</f>
        <v>Winnipeg Jets</v>
      </c>
      <c r="L4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0.56733944233883604</v>
      </c>
      <c r="M441" t="str">
        <f>IF(OR((NHL2025_26Results[[#This Row],[Winning Team]]="")),"-",IF(Table4[[#This Row],[Predicted Winner]]=NHL2025_26Results[[#This Row],[Winning Team]],"YES","NO"))</f>
        <v>-</v>
      </c>
      <c r="N441" t="str">
        <f>IF(Table4[[#This Row],[Adjusted Correct]]="-", "",IF(Table4[[#This Row],[Adjusted Correct]]="YES",(Table4[[#This Row],[Strength of Win]]-1)^2,(Table4[[#This Row],[Strength of Win]]-0)^2))</f>
        <v/>
      </c>
      <c r="P441" s="11"/>
    </row>
    <row r="442" spans="4:16" x14ac:dyDescent="0.2">
      <c r="D442" s="1">
        <v>45997</v>
      </c>
      <c r="E442" s="2">
        <v>0.79166666666666663</v>
      </c>
      <c r="F442" t="s">
        <v>21</v>
      </c>
      <c r="G442">
        <f>VLOOKUP(Table4[[#This Row],[Home]],'NHL Model'!$A$6:$B$38,2,FALSE)</f>
        <v>-0.21976976044773161</v>
      </c>
      <c r="H442" t="s">
        <v>24</v>
      </c>
      <c r="I442">
        <f>VLOOKUP(Table4[[#This Row],[Visitor]],'NHL Model'!$A$6:$B$38,2,FALSE)</f>
        <v>1.5302507646042616E-3</v>
      </c>
      <c r="J442">
        <f>($B$1+Table4[[#This Row],[Home Differential]])-Table4[[#This Row],[Away Differential]]</f>
        <v>-0.1713992622891734</v>
      </c>
      <c r="K442" t="str">
        <f>IF(Table4[[#This Row],[HomeIce Differential]]&gt;0,Table4[[#This Row],[Home]],Table4[[#This Row],[Visitor]])</f>
        <v>New Jersey Devils</v>
      </c>
      <c r="L4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0.45751339354482728</v>
      </c>
      <c r="M442" t="str">
        <f>IF(OR((NHL2025_26Results[[#This Row],[Winning Team]]="")),"-",IF(Table4[[#This Row],[Predicted Winner]]=NHL2025_26Results[[#This Row],[Winning Team]],"YES","NO"))</f>
        <v>-</v>
      </c>
      <c r="N442" t="str">
        <f>IF(Table4[[#This Row],[Adjusted Correct]]="-", "",IF(Table4[[#This Row],[Adjusted Correct]]="YES",(Table4[[#This Row],[Strength of Win]]-1)^2,(Table4[[#This Row],[Strength of Win]]-0)^2))</f>
        <v/>
      </c>
      <c r="P442" s="11"/>
    </row>
    <row r="443" spans="4:16" x14ac:dyDescent="0.2">
      <c r="D443" s="1">
        <v>45997</v>
      </c>
      <c r="E443" s="2">
        <v>0.79166666666666663</v>
      </c>
      <c r="F443" t="s">
        <v>25</v>
      </c>
      <c r="G443">
        <f>VLOOKUP(Table4[[#This Row],[Home]],'NHL Model'!$A$6:$B$38,2,FALSE)</f>
        <v>0.42567513732855267</v>
      </c>
      <c r="H443" t="s">
        <v>29</v>
      </c>
      <c r="I443">
        <f>VLOOKUP(Table4[[#This Row],[Visitor]],'NHL Model'!$A$6:$B$38,2,FALSE)</f>
        <v>-1.384917283810061</v>
      </c>
      <c r="J443">
        <f>($B$1+Table4[[#This Row],[Home Differential]])-Table4[[#This Row],[Away Differential]]</f>
        <v>1.8604931700617762</v>
      </c>
      <c r="K443" t="str">
        <f>IF(Table4[[#This Row],[HomeIce Differential]]&gt;0,Table4[[#This Row],[Home]],Table4[[#This Row],[Visitor]])</f>
        <v>Carolina Hurricanes</v>
      </c>
      <c r="L4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0.80895601285549457</v>
      </c>
      <c r="M443" t="str">
        <f>IF(OR((NHL2025_26Results[[#This Row],[Winning Team]]="")),"-",IF(Table4[[#This Row],[Predicted Winner]]=NHL2025_26Results[[#This Row],[Winning Team]],"YES","NO"))</f>
        <v>-</v>
      </c>
      <c r="N443" t="str">
        <f>IF(Table4[[#This Row],[Adjusted Correct]]="-", "",IF(Table4[[#This Row],[Adjusted Correct]]="YES",(Table4[[#This Row],[Strength of Win]]-1)^2,(Table4[[#This Row],[Strength of Win]]-0)^2))</f>
        <v/>
      </c>
      <c r="P443" s="11"/>
    </row>
    <row r="444" spans="4:16" x14ac:dyDescent="0.2">
      <c r="D444" s="1">
        <v>45997</v>
      </c>
      <c r="E444" s="2">
        <v>0.79166666666666663</v>
      </c>
      <c r="F444" t="s">
        <v>16</v>
      </c>
      <c r="G444">
        <f>VLOOKUP(Table4[[#This Row],[Home]],'NHL Model'!$A$6:$B$38,2,FALSE)</f>
        <v>-1.0657812790446208</v>
      </c>
      <c r="H444" t="s">
        <v>55</v>
      </c>
      <c r="I444">
        <f>VLOOKUP(Table4[[#This Row],[Visitor]],'NHL Model'!$A$6:$B$38,2,FALSE)</f>
        <v>-0.4031232890211825</v>
      </c>
      <c r="J444">
        <f>($B$1+Table4[[#This Row],[Home Differential]])-Table4[[#This Row],[Away Differential]]</f>
        <v>-0.61275724110027596</v>
      </c>
      <c r="K444" t="str">
        <f>IF(Table4[[#This Row],[HomeIce Differential]]&gt;0,Table4[[#This Row],[Home]],Table4[[#This Row],[Visitor]])</f>
        <v>Utah Mammoth</v>
      </c>
      <c r="L4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0.53154845154988206</v>
      </c>
      <c r="M444" t="str">
        <f>IF(OR((NHL2025_26Results[[#This Row],[Winning Team]]="")),"-",IF(Table4[[#This Row],[Predicted Winner]]=NHL2025_26Results[[#This Row],[Winning Team]],"YES","NO"))</f>
        <v>-</v>
      </c>
      <c r="N444" t="str">
        <f>IF(Table4[[#This Row],[Adjusted Correct]]="-", "",IF(Table4[[#This Row],[Adjusted Correct]]="YES",(Table4[[#This Row],[Strength of Win]]-1)^2,(Table4[[#This Row],[Strength of Win]]-0)^2))</f>
        <v/>
      </c>
      <c r="P444" s="11"/>
    </row>
    <row r="445" spans="4:16" x14ac:dyDescent="0.2">
      <c r="D445" s="1">
        <v>45997</v>
      </c>
      <c r="E445" s="2">
        <v>0.91666666666666663</v>
      </c>
      <c r="F445" t="s">
        <v>17</v>
      </c>
      <c r="G445">
        <f>VLOOKUP(Table4[[#This Row],[Home]],'NHL Model'!$A$6:$B$38,2,FALSE)</f>
        <v>-0.81774666423752174</v>
      </c>
      <c r="H445" t="s">
        <v>40</v>
      </c>
      <c r="I445">
        <f>VLOOKUP(Table4[[#This Row],[Visitor]],'NHL Model'!$A$6:$B$38,2,FALSE)</f>
        <v>-0.31324182378279158</v>
      </c>
      <c r="J445">
        <f>($B$1+Table4[[#This Row],[Home Differential]])-Table4[[#This Row],[Away Differential]]</f>
        <v>-0.45460409153156772</v>
      </c>
      <c r="K445" t="str">
        <f>IF(Table4[[#This Row],[HomeIce Differential]]&gt;0,Table4[[#This Row],[Home]],Table4[[#This Row],[Visitor]])</f>
        <v>Winnipeg Jets</v>
      </c>
      <c r="L4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0.52676594769015561</v>
      </c>
      <c r="M445" t="str">
        <f>IF(OR((NHL2025_26Results[[#This Row],[Winning Team]]="")),"-",IF(Table4[[#This Row],[Predicted Winner]]=NHL2025_26Results[[#This Row],[Winning Team]],"YES","NO"))</f>
        <v>-</v>
      </c>
      <c r="N445" t="str">
        <f>IF(Table4[[#This Row],[Adjusted Correct]]="-", "",IF(Table4[[#This Row],[Adjusted Correct]]="YES",(Table4[[#This Row],[Strength of Win]]-1)^2,(Table4[[#This Row],[Strength of Win]]-0)^2))</f>
        <v/>
      </c>
      <c r="P445" s="11"/>
    </row>
    <row r="446" spans="4:16" x14ac:dyDescent="0.2">
      <c r="D446" s="1">
        <v>45997</v>
      </c>
      <c r="E446" s="2">
        <v>0.64583333333333337</v>
      </c>
      <c r="F446" t="s">
        <v>11</v>
      </c>
      <c r="G446">
        <f>VLOOKUP(Table4[[#This Row],[Home]],'NHL Model'!$A$6:$B$38,2,FALSE)</f>
        <v>-0.39711829106410657</v>
      </c>
      <c r="H446" t="s">
        <v>28</v>
      </c>
      <c r="I446">
        <f>VLOOKUP(Table4[[#This Row],[Visitor]],'NHL Model'!$A$6:$B$38,2,FALSE)</f>
        <v>-0.59498940435054026</v>
      </c>
      <c r="J446">
        <f>($B$1+Table4[[#This Row],[Home Differential]])-Table4[[#This Row],[Away Differential]]</f>
        <v>0.24777186220959618</v>
      </c>
      <c r="K446" t="str">
        <f>IF(Table4[[#This Row],[HomeIce Differential]]&gt;0,Table4[[#This Row],[Home]],Table4[[#This Row],[Visitor]])</f>
        <v>Florida Panthers</v>
      </c>
      <c r="L4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0.57938973736099397</v>
      </c>
      <c r="M446" t="str">
        <f>IF(OR((NHL2025_26Results[[#This Row],[Winning Team]]="")),"-",IF(Table4[[#This Row],[Predicted Winner]]=NHL2025_26Results[[#This Row],[Winning Team]],"YES","NO"))</f>
        <v>-</v>
      </c>
      <c r="N446" t="str">
        <f>IF(Table4[[#This Row],[Adjusted Correct]]="-", "",IF(Table4[[#This Row],[Adjusted Correct]]="YES",(Table4[[#This Row],[Strength of Win]]-1)^2,(Table4[[#This Row],[Strength of Win]]-0)^2))</f>
        <v/>
      </c>
      <c r="P446" s="11"/>
    </row>
    <row r="447" spans="4:16" x14ac:dyDescent="0.2">
      <c r="D447" s="1">
        <v>45997</v>
      </c>
      <c r="E447" s="2">
        <v>0.875</v>
      </c>
      <c r="F447" t="s">
        <v>13</v>
      </c>
      <c r="G447">
        <f>VLOOKUP(Table4[[#This Row],[Home]],'NHL Model'!$A$6:$B$38,2,FALSE)</f>
        <v>-0.33828359867721369</v>
      </c>
      <c r="H447" t="s">
        <v>10</v>
      </c>
      <c r="I447">
        <f>VLOOKUP(Table4[[#This Row],[Visitor]],'NHL Model'!$A$6:$B$38,2,FALSE)</f>
        <v>-0.17619625518431364</v>
      </c>
      <c r="J447">
        <f>($B$1+Table4[[#This Row],[Home Differential]])-Table4[[#This Row],[Away Differential]]</f>
        <v>-0.11218659456973756</v>
      </c>
      <c r="K447" t="str">
        <f>IF(Table4[[#This Row],[HomeIce Differential]]&gt;0,Table4[[#This Row],[Home]],Table4[[#This Row],[Visitor]])</f>
        <v>Chicago Blackhawks</v>
      </c>
      <c r="L4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0.4730994406719799</v>
      </c>
      <c r="M447" t="str">
        <f>IF(OR((NHL2025_26Results[[#This Row],[Winning Team]]="")),"-",IF(Table4[[#This Row],[Predicted Winner]]=NHL2025_26Results[[#This Row],[Winning Team]],"YES","NO"))</f>
        <v>-</v>
      </c>
      <c r="N447" t="str">
        <f>IF(Table4[[#This Row],[Adjusted Correct]]="-", "",IF(Table4[[#This Row],[Adjusted Correct]]="YES",(Table4[[#This Row],[Strength of Win]]-1)^2,(Table4[[#This Row],[Strength of Win]]-0)^2))</f>
        <v/>
      </c>
      <c r="P447" s="11"/>
    </row>
    <row r="448" spans="4:16" x14ac:dyDescent="0.2">
      <c r="D448" s="1">
        <v>45997</v>
      </c>
      <c r="E448" s="2">
        <v>0.52083333333333337</v>
      </c>
      <c r="F448" t="s">
        <v>15</v>
      </c>
      <c r="G448">
        <f>VLOOKUP(Table4[[#This Row],[Home]],'NHL Model'!$A$6:$B$38,2,FALSE)</f>
        <v>-0.29003398448394263</v>
      </c>
      <c r="H448" t="s">
        <v>12</v>
      </c>
      <c r="I448">
        <f>VLOOKUP(Table4[[#This Row],[Visitor]],'NHL Model'!$A$6:$B$38,2,FALSE)</f>
        <v>1.6319036584269762</v>
      </c>
      <c r="J448">
        <f>($B$1+Table4[[#This Row],[Home Differential]])-Table4[[#This Row],[Away Differential]]</f>
        <v>-1.8720368939877563</v>
      </c>
      <c r="K448" t="str">
        <f>IF(Table4[[#This Row],[HomeIce Differential]]&gt;0,Table4[[#This Row],[Home]],Table4[[#This Row],[Visitor]])</f>
        <v>Colorado Avalanche</v>
      </c>
      <c r="L4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0.75121110577355354</v>
      </c>
      <c r="M448" t="str">
        <f>IF(OR((NHL2025_26Results[[#This Row],[Winning Team]]="")),"-",IF(Table4[[#This Row],[Predicted Winner]]=NHL2025_26Results[[#This Row],[Winning Team]],"YES","NO"))</f>
        <v>-</v>
      </c>
      <c r="N448" t="str">
        <f>IF(Table4[[#This Row],[Adjusted Correct]]="-", "",IF(Table4[[#This Row],[Adjusted Correct]]="YES",(Table4[[#This Row],[Strength of Win]]-1)^2,(Table4[[#This Row],[Strength of Win]]-0)^2))</f>
        <v/>
      </c>
      <c r="P448" s="11"/>
    </row>
    <row r="449" spans="4:16" x14ac:dyDescent="0.2">
      <c r="D449" s="1">
        <v>45997</v>
      </c>
      <c r="E449" s="2">
        <v>0.79166666666666663</v>
      </c>
      <c r="F449" t="s">
        <v>36</v>
      </c>
      <c r="G449">
        <f>VLOOKUP(Table4[[#This Row],[Home]],'NHL Model'!$A$6:$B$38,2,FALSE)</f>
        <v>-0.53137605086483863</v>
      </c>
      <c r="H449" t="s">
        <v>35</v>
      </c>
      <c r="I449">
        <f>VLOOKUP(Table4[[#This Row],[Visitor]],'NHL Model'!$A$6:$B$38,2,FALSE)</f>
        <v>-1.3944783719477225</v>
      </c>
      <c r="J449">
        <f>($B$1+Table4[[#This Row],[Home Differential]])-Table4[[#This Row],[Away Differential]]</f>
        <v>0.9130030700060463</v>
      </c>
      <c r="K449" t="str">
        <f>IF(Table4[[#This Row],[HomeIce Differential]]&gt;0,Table4[[#This Row],[Home]],Table4[[#This Row],[Visitor]])</f>
        <v>Ottawa Senators</v>
      </c>
      <c r="L4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0.64910206259113834</v>
      </c>
      <c r="M449" t="str">
        <f>IF(OR((NHL2025_26Results[[#This Row],[Winning Team]]="")),"-",IF(Table4[[#This Row],[Predicted Winner]]=NHL2025_26Results[[#This Row],[Winning Team]],"YES","NO"))</f>
        <v>-</v>
      </c>
      <c r="N449" t="str">
        <f>IF(Table4[[#This Row],[Adjusted Correct]]="-", "",IF(Table4[[#This Row],[Adjusted Correct]]="YES",(Table4[[#This Row],[Strength of Win]]-1)^2,(Table4[[#This Row],[Strength of Win]]-0)^2))</f>
        <v/>
      </c>
      <c r="P449" s="11"/>
    </row>
    <row r="450" spans="4:16" x14ac:dyDescent="0.2">
      <c r="D450" s="1">
        <v>45997</v>
      </c>
      <c r="E450" s="2">
        <v>0.91666666666666663</v>
      </c>
      <c r="F450" t="s">
        <v>32</v>
      </c>
      <c r="G450">
        <f>VLOOKUP(Table4[[#This Row],[Home]],'NHL Model'!$A$6:$B$38,2,FALSE)</f>
        <v>-0.64937723527808999</v>
      </c>
      <c r="H450" t="s">
        <v>26</v>
      </c>
      <c r="I450">
        <f>VLOOKUP(Table4[[#This Row],[Visitor]],'NHL Model'!$A$6:$B$38,2,FALSE)</f>
        <v>-0.87533956503230947</v>
      </c>
      <c r="J450">
        <f>($B$1+Table4[[#This Row],[Home Differential]])-Table4[[#This Row],[Away Differential]]</f>
        <v>0.27586307867738191</v>
      </c>
      <c r="K450" t="str">
        <f>IF(Table4[[#This Row],[HomeIce Differential]]&gt;0,Table4[[#This Row],[Home]],Table4[[#This Row],[Visitor]])</f>
        <v>Seattle Kraken</v>
      </c>
      <c r="L4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0.57221108588404257</v>
      </c>
      <c r="M450" t="str">
        <f>IF(OR((NHL2025_26Results[[#This Row],[Winning Team]]="")),"-",IF(Table4[[#This Row],[Predicted Winner]]=NHL2025_26Results[[#This Row],[Winning Team]],"YES","NO"))</f>
        <v>-</v>
      </c>
      <c r="N450" t="str">
        <f>IF(Table4[[#This Row],[Adjusted Correct]]="-", "",IF(Table4[[#This Row],[Adjusted Correct]]="YES",(Table4[[#This Row],[Strength of Win]]-1)^2,(Table4[[#This Row],[Strength of Win]]-0)^2))</f>
        <v/>
      </c>
      <c r="P450" s="11"/>
    </row>
    <row r="451" spans="4:16" x14ac:dyDescent="0.2">
      <c r="D451" s="1">
        <v>45997</v>
      </c>
      <c r="E451" s="2">
        <v>0.79166666666666663</v>
      </c>
      <c r="F451" t="s">
        <v>37</v>
      </c>
      <c r="G451">
        <f>VLOOKUP(Table4[[#This Row],[Home]],'NHL Model'!$A$6:$B$38,2,FALSE)</f>
        <v>0.51050494674660429</v>
      </c>
      <c r="H451" t="s">
        <v>30</v>
      </c>
      <c r="I451">
        <f>VLOOKUP(Table4[[#This Row],[Visitor]],'NHL Model'!$A$6:$B$38,2,FALSE)</f>
        <v>-0.24093199744133265</v>
      </c>
      <c r="J451">
        <f>($B$1+Table4[[#This Row],[Home Differential]])-Table4[[#This Row],[Away Differential]]</f>
        <v>0.80133769311109937</v>
      </c>
      <c r="K451" t="str">
        <f>IF(Table4[[#This Row],[HomeIce Differential]]&gt;0,Table4[[#This Row],[Home]],Table4[[#This Row],[Visitor]])</f>
        <v>Tampa Bay Lightning</v>
      </c>
      <c r="L4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0.5935680025709742</v>
      </c>
      <c r="M451" t="str">
        <f>IF(OR((NHL2025_26Results[[#This Row],[Winning Team]]="")),"-",IF(Table4[[#This Row],[Predicted Winner]]=NHL2025_26Results[[#This Row],[Winning Team]],"YES","NO"))</f>
        <v>-</v>
      </c>
      <c r="N451" t="str">
        <f>IF(Table4[[#This Row],[Adjusted Correct]]="-", "",IF(Table4[[#This Row],[Adjusted Correct]]="YES",(Table4[[#This Row],[Strength of Win]]-1)^2,(Table4[[#This Row],[Strength of Win]]-0)^2))</f>
        <v/>
      </c>
      <c r="P451" s="11"/>
    </row>
    <row r="452" spans="4:16" x14ac:dyDescent="0.2">
      <c r="D452" s="1">
        <v>45997</v>
      </c>
      <c r="E452" s="2">
        <v>0.79166666666666663</v>
      </c>
      <c r="F452" t="s">
        <v>19</v>
      </c>
      <c r="G452">
        <f>VLOOKUP(Table4[[#This Row],[Home]],'NHL Model'!$A$6:$B$38,2,FALSE)</f>
        <v>-0.63447859131898054</v>
      </c>
      <c r="H452" t="s">
        <v>18</v>
      </c>
      <c r="I452">
        <f>VLOOKUP(Table4[[#This Row],[Visitor]],'NHL Model'!$A$6:$B$38,2,FALSE)</f>
        <v>-0.59288962827382519</v>
      </c>
      <c r="J452">
        <f>($B$1+Table4[[#This Row],[Home Differential]])-Table4[[#This Row],[Away Differential]]</f>
        <v>8.3117858780070719E-3</v>
      </c>
      <c r="K452" t="str">
        <f>IF(Table4[[#This Row],[HomeIce Differential]]&gt;0,Table4[[#This Row],[Home]],Table4[[#This Row],[Visitor]])</f>
        <v>Toronto Maple Leafs</v>
      </c>
      <c r="L4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0.48168268984656837</v>
      </c>
      <c r="M452" t="str">
        <f>IF(OR((NHL2025_26Results[[#This Row],[Winning Team]]="")),"-",IF(Table4[[#This Row],[Predicted Winner]]=NHL2025_26Results[[#This Row],[Winning Team]],"YES","NO"))</f>
        <v>-</v>
      </c>
      <c r="N452" t="str">
        <f>IF(Table4[[#This Row],[Adjusted Correct]]="-", "",IF(Table4[[#This Row],[Adjusted Correct]]="YES",(Table4[[#This Row],[Strength of Win]]-1)^2,(Table4[[#This Row],[Strength of Win]]-0)^2))</f>
        <v/>
      </c>
      <c r="P452" s="11"/>
    </row>
    <row r="453" spans="4:16" x14ac:dyDescent="0.2">
      <c r="D453" s="1">
        <v>45997</v>
      </c>
      <c r="E453" s="2">
        <v>0.91666666666666663</v>
      </c>
      <c r="F453" t="s">
        <v>38</v>
      </c>
      <c r="G453">
        <f>VLOOKUP(Table4[[#This Row],[Home]],'NHL Model'!$A$6:$B$38,2,FALSE)</f>
        <v>-0.9476777551108041</v>
      </c>
      <c r="H453" t="s">
        <v>34</v>
      </c>
      <c r="I453">
        <f>VLOOKUP(Table4[[#This Row],[Visitor]],'NHL Model'!$A$6:$B$38,2,FALSE)</f>
        <v>-5.5124787449478845E-2</v>
      </c>
      <c r="J453">
        <f>($B$1+Table4[[#This Row],[Home Differential]])-Table4[[#This Row],[Away Differential]]</f>
        <v>-0.84265221873816287</v>
      </c>
      <c r="K453" t="str">
        <f>IF(Table4[[#This Row],[HomeIce Differential]]&gt;0,Table4[[#This Row],[Home]],Table4[[#This Row],[Visitor]])</f>
        <v>Minnesota Wild</v>
      </c>
      <c r="L4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0.60090464601088334</v>
      </c>
      <c r="M453" t="str">
        <f>IF(OR((NHL2025_26Results[[#This Row],[Winning Team]]="")),"-",IF(Table4[[#This Row],[Predicted Winner]]=NHL2025_26Results[[#This Row],[Winning Team]],"YES","NO"))</f>
        <v>-</v>
      </c>
      <c r="N453" t="str">
        <f>IF(Table4[[#This Row],[Adjusted Correct]]="-", "",IF(Table4[[#This Row],[Adjusted Correct]]="YES",(Table4[[#This Row],[Strength of Win]]-1)^2,(Table4[[#This Row],[Strength of Win]]-0)^2))</f>
        <v/>
      </c>
      <c r="P453" s="11"/>
    </row>
    <row r="454" spans="4:16" x14ac:dyDescent="0.2">
      <c r="D454" s="1">
        <v>45998</v>
      </c>
      <c r="E454" s="2">
        <v>0.83333333333333337</v>
      </c>
      <c r="F454" t="s">
        <v>31</v>
      </c>
      <c r="G454">
        <f>VLOOKUP(Table4[[#This Row],[Home]],'NHL Model'!$A$6:$B$38,2,FALSE)</f>
        <v>0.17870302183926629</v>
      </c>
      <c r="H454" t="s">
        <v>10</v>
      </c>
      <c r="I454">
        <f>VLOOKUP(Table4[[#This Row],[Visitor]],'NHL Model'!$A$6:$B$38,2,FALSE)</f>
        <v>-0.17619625518431364</v>
      </c>
      <c r="J454">
        <f>($B$1+Table4[[#This Row],[Home Differential]])-Table4[[#This Row],[Away Differential]]</f>
        <v>0.40480002594674236</v>
      </c>
      <c r="K454" t="str">
        <f>IF(Table4[[#This Row],[HomeIce Differential]]&gt;0,Table4[[#This Row],[Home]],Table4[[#This Row],[Visitor]])</f>
        <v>Anaheim Ducks</v>
      </c>
      <c r="L4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0.66710108819506675</v>
      </c>
      <c r="M454" t="str">
        <f>IF(OR((NHL2025_26Results[[#This Row],[Winning Team]]="")),"-",IF(Table4[[#This Row],[Predicted Winner]]=NHL2025_26Results[[#This Row],[Winning Team]],"YES","NO"))</f>
        <v>-</v>
      </c>
      <c r="N454" t="str">
        <f>IF(Table4[[#This Row],[Adjusted Correct]]="-", "",IF(Table4[[#This Row],[Adjusted Correct]]="YES",(Table4[[#This Row],[Strength of Win]]-1)^2,(Table4[[#This Row],[Strength of Win]]-0)^2))</f>
        <v/>
      </c>
      <c r="P454" s="11"/>
    </row>
    <row r="455" spans="4:16" x14ac:dyDescent="0.2">
      <c r="D455" s="1">
        <v>45998</v>
      </c>
      <c r="E455" s="2">
        <v>0.70833333333333337</v>
      </c>
      <c r="F455" t="s">
        <v>25</v>
      </c>
      <c r="G455">
        <f>VLOOKUP(Table4[[#This Row],[Home]],'NHL Model'!$A$6:$B$38,2,FALSE)</f>
        <v>0.42567513732855267</v>
      </c>
      <c r="H455" t="s">
        <v>33</v>
      </c>
      <c r="I455">
        <f>VLOOKUP(Table4[[#This Row],[Visitor]],'NHL Model'!$A$6:$B$38,2,FALSE)</f>
        <v>-0.45133099238224339</v>
      </c>
      <c r="J455">
        <f>($B$1+Table4[[#This Row],[Home Differential]])-Table4[[#This Row],[Away Differential]]</f>
        <v>0.92690687863395849</v>
      </c>
      <c r="K455" t="str">
        <f>IF(Table4[[#This Row],[HomeIce Differential]]&gt;0,Table4[[#This Row],[Home]],Table4[[#This Row],[Visitor]])</f>
        <v>Carolina Hurricanes</v>
      </c>
      <c r="L4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0.69994603458103766</v>
      </c>
      <c r="M455" t="str">
        <f>IF(OR((NHL2025_26Results[[#This Row],[Winning Team]]="")),"-",IF(Table4[[#This Row],[Predicted Winner]]=NHL2025_26Results[[#This Row],[Winning Team]],"YES","NO"))</f>
        <v>-</v>
      </c>
      <c r="N455" t="str">
        <f>IF(Table4[[#This Row],[Adjusted Correct]]="-", "",IF(Table4[[#This Row],[Adjusted Correct]]="YES",(Table4[[#This Row],[Strength of Win]]-1)^2,(Table4[[#This Row],[Strength of Win]]-0)^2))</f>
        <v/>
      </c>
      <c r="P455" s="11"/>
    </row>
    <row r="456" spans="4:16" x14ac:dyDescent="0.2">
      <c r="D456" s="1">
        <v>45998</v>
      </c>
      <c r="E456" s="2">
        <v>0.75</v>
      </c>
      <c r="F456" t="s">
        <v>39</v>
      </c>
      <c r="G456">
        <f>VLOOKUP(Table4[[#This Row],[Home]],'NHL Model'!$A$6:$B$38,2,FALSE)</f>
        <v>0.41344250185511977</v>
      </c>
      <c r="H456" t="s">
        <v>14</v>
      </c>
      <c r="I456">
        <f>VLOOKUP(Table4[[#This Row],[Visitor]],'NHL Model'!$A$6:$B$38,2,FALSE)</f>
        <v>-0.14226422156549004</v>
      </c>
      <c r="J456">
        <f>($B$1+Table4[[#This Row],[Home Differential]])-Table4[[#This Row],[Away Differential]]</f>
        <v>0.60560747234377232</v>
      </c>
      <c r="K456" t="str">
        <f>IF(Table4[[#This Row],[HomeIce Differential]]&gt;0,Table4[[#This Row],[Home]],Table4[[#This Row],[Visitor]])</f>
        <v>Dallas Stars</v>
      </c>
      <c r="L4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0.60404694385783808</v>
      </c>
      <c r="M456" t="str">
        <f>IF(OR((NHL2025_26Results[[#This Row],[Winning Team]]="")),"-",IF(Table4[[#This Row],[Predicted Winner]]=NHL2025_26Results[[#This Row],[Winning Team]],"YES","NO"))</f>
        <v>-</v>
      </c>
      <c r="N456" t="str">
        <f>IF(Table4[[#This Row],[Adjusted Correct]]="-", "",IF(Table4[[#This Row],[Adjusted Correct]]="YES",(Table4[[#This Row],[Strength of Win]]-1)^2,(Table4[[#This Row],[Strength of Win]]-0)^2))</f>
        <v/>
      </c>
      <c r="P456" s="11"/>
    </row>
    <row r="457" spans="4:16" x14ac:dyDescent="0.2">
      <c r="D457" s="1">
        <v>45998</v>
      </c>
      <c r="E457" s="2">
        <v>0.70833333333333337</v>
      </c>
      <c r="F457" t="s">
        <v>11</v>
      </c>
      <c r="G457">
        <f>VLOOKUP(Table4[[#This Row],[Home]],'NHL Model'!$A$6:$B$38,2,FALSE)</f>
        <v>-0.39711829106410657</v>
      </c>
      <c r="H457" t="s">
        <v>30</v>
      </c>
      <c r="I457">
        <f>VLOOKUP(Table4[[#This Row],[Visitor]],'NHL Model'!$A$6:$B$38,2,FALSE)</f>
        <v>-0.24093199744133265</v>
      </c>
      <c r="J457">
        <f>($B$1+Table4[[#This Row],[Home Differential]])-Table4[[#This Row],[Away Differential]]</f>
        <v>-0.10628554469961143</v>
      </c>
      <c r="K457" t="str">
        <f>IF(Table4[[#This Row],[HomeIce Differential]]&gt;0,Table4[[#This Row],[Home]],Table4[[#This Row],[Visitor]])</f>
        <v>New York Islanders</v>
      </c>
      <c r="L4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0.53092892452488105</v>
      </c>
      <c r="M457" t="str">
        <f>IF(OR((NHL2025_26Results[[#This Row],[Winning Team]]="")),"-",IF(Table4[[#This Row],[Predicted Winner]]=NHL2025_26Results[[#This Row],[Winning Team]],"YES","NO"))</f>
        <v>-</v>
      </c>
      <c r="N457" t="str">
        <f>IF(Table4[[#This Row],[Adjusted Correct]]="-", "",IF(Table4[[#This Row],[Adjusted Correct]]="YES",(Table4[[#This Row],[Strength of Win]]-1)^2,(Table4[[#This Row],[Strength of Win]]-0)^2))</f>
        <v/>
      </c>
      <c r="P457" s="11"/>
    </row>
    <row r="458" spans="4:16" x14ac:dyDescent="0.2">
      <c r="D458" s="1">
        <v>45998</v>
      </c>
      <c r="E458" s="2">
        <v>0.79166666666666663</v>
      </c>
      <c r="F458" t="s">
        <v>18</v>
      </c>
      <c r="G458">
        <f>VLOOKUP(Table4[[#This Row],[Home]],'NHL Model'!$A$6:$B$38,2,FALSE)</f>
        <v>-0.59288962827382519</v>
      </c>
      <c r="H458" t="s">
        <v>35</v>
      </c>
      <c r="I458">
        <f>VLOOKUP(Table4[[#This Row],[Visitor]],'NHL Model'!$A$6:$B$38,2,FALSE)</f>
        <v>-1.3944783719477225</v>
      </c>
      <c r="J458">
        <f>($B$1+Table4[[#This Row],[Home Differential]])-Table4[[#This Row],[Away Differential]]</f>
        <v>0.85148949259705975</v>
      </c>
      <c r="K458" t="str">
        <f>IF(Table4[[#This Row],[HomeIce Differential]]&gt;0,Table4[[#This Row],[Home]],Table4[[#This Row],[Visitor]])</f>
        <v>Montreal Canadiens</v>
      </c>
      <c r="L4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0.63942396534869261</v>
      </c>
      <c r="M458" t="str">
        <f>IF(OR((NHL2025_26Results[[#This Row],[Winning Team]]="")),"-",IF(Table4[[#This Row],[Predicted Winner]]=NHL2025_26Results[[#This Row],[Winning Team]],"YES","NO"))</f>
        <v>-</v>
      </c>
      <c r="N458" t="str">
        <f>IF(Table4[[#This Row],[Adjusted Correct]]="-", "",IF(Table4[[#This Row],[Adjusted Correct]]="YES",(Table4[[#This Row],[Strength of Win]]-1)^2,(Table4[[#This Row],[Strength of Win]]-0)^2))</f>
        <v/>
      </c>
      <c r="P458" s="11"/>
    </row>
    <row r="459" spans="4:16" x14ac:dyDescent="0.2">
      <c r="D459" s="1">
        <v>45998</v>
      </c>
      <c r="E459" s="2">
        <v>0.79166666666666663</v>
      </c>
      <c r="F459" t="s">
        <v>15</v>
      </c>
      <c r="G459">
        <f>VLOOKUP(Table4[[#This Row],[Home]],'NHL Model'!$A$6:$B$38,2,FALSE)</f>
        <v>-0.29003398448394263</v>
      </c>
      <c r="H459" t="s">
        <v>20</v>
      </c>
      <c r="I459">
        <f>VLOOKUP(Table4[[#This Row],[Visitor]],'NHL Model'!$A$6:$B$38,2,FALSE)</f>
        <v>-0.24444083032063643</v>
      </c>
      <c r="J459">
        <f>($B$1+Table4[[#This Row],[Home Differential]])-Table4[[#This Row],[Away Differential]]</f>
        <v>4.3075947598562592E-3</v>
      </c>
      <c r="K459" t="str">
        <f>IF(Table4[[#This Row],[HomeIce Differential]]&gt;0,Table4[[#This Row],[Home]],Table4[[#This Row],[Visitor]])</f>
        <v>New York Rangers</v>
      </c>
      <c r="L4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0.54050297526377444</v>
      </c>
      <c r="M459" t="str">
        <f>IF(OR((NHL2025_26Results[[#This Row],[Winning Team]]="")),"-",IF(Table4[[#This Row],[Predicted Winner]]=NHL2025_26Results[[#This Row],[Winning Team]],"YES","NO"))</f>
        <v>-</v>
      </c>
      <c r="N459" t="str">
        <f>IF(Table4[[#This Row],[Adjusted Correct]]="-", "",IF(Table4[[#This Row],[Adjusted Correct]]="YES",(Table4[[#This Row],[Strength of Win]]-1)^2,(Table4[[#This Row],[Strength of Win]]-0)^2))</f>
        <v/>
      </c>
      <c r="P459" s="11"/>
    </row>
    <row r="460" spans="4:16" x14ac:dyDescent="0.2">
      <c r="D460" s="1">
        <v>45998</v>
      </c>
      <c r="E460" s="2">
        <v>0.54166666666666663</v>
      </c>
      <c r="F460" t="s">
        <v>27</v>
      </c>
      <c r="G460">
        <f>VLOOKUP(Table4[[#This Row],[Home]],'NHL Model'!$A$6:$B$38,2,FALSE)</f>
        <v>-0.38023958350631604</v>
      </c>
      <c r="H460" t="s">
        <v>12</v>
      </c>
      <c r="I460">
        <f>VLOOKUP(Table4[[#This Row],[Visitor]],'NHL Model'!$A$6:$B$38,2,FALSE)</f>
        <v>1.6319036584269762</v>
      </c>
      <c r="J460">
        <f>($B$1+Table4[[#This Row],[Home Differential]])-Table4[[#This Row],[Away Differential]]</f>
        <v>-1.9622424930101297</v>
      </c>
      <c r="K460" t="str">
        <f>IF(Table4[[#This Row],[HomeIce Differential]]&gt;0,Table4[[#This Row],[Home]],Table4[[#This Row],[Visitor]])</f>
        <v>Colorado Avalanche</v>
      </c>
      <c r="L4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0.74763929020970066</v>
      </c>
      <c r="M460" t="str">
        <f>IF(OR((NHL2025_26Results[[#This Row],[Winning Team]]="")),"-",IF(Table4[[#This Row],[Predicted Winner]]=NHL2025_26Results[[#This Row],[Winning Team]],"YES","NO"))</f>
        <v>-</v>
      </c>
      <c r="N460" t="str">
        <f>IF(Table4[[#This Row],[Adjusted Correct]]="-", "",IF(Table4[[#This Row],[Adjusted Correct]]="YES",(Table4[[#This Row],[Strength of Win]]-1)^2,(Table4[[#This Row],[Strength of Win]]-0)^2))</f>
        <v/>
      </c>
      <c r="P460" s="11"/>
    </row>
    <row r="461" spans="4:16" x14ac:dyDescent="0.2">
      <c r="D461" s="1">
        <v>45998</v>
      </c>
      <c r="E461" s="2">
        <v>0.79166666666666663</v>
      </c>
      <c r="F461" t="s">
        <v>22</v>
      </c>
      <c r="G461">
        <f>VLOOKUP(Table4[[#This Row],[Home]],'NHL Model'!$A$6:$B$38,2,FALSE)</f>
        <v>0.4407072328537569</v>
      </c>
      <c r="H461" t="s">
        <v>28</v>
      </c>
      <c r="I461">
        <f>VLOOKUP(Table4[[#This Row],[Visitor]],'NHL Model'!$A$6:$B$38,2,FALSE)</f>
        <v>-0.59498940435054026</v>
      </c>
      <c r="J461">
        <f>($B$1+Table4[[#This Row],[Home Differential]])-Table4[[#This Row],[Away Differential]]</f>
        <v>1.0855973861274597</v>
      </c>
      <c r="K461" t="str">
        <f>IF(Table4[[#This Row],[HomeIce Differential]]&gt;0,Table4[[#This Row],[Home]],Table4[[#This Row],[Visitor]])</f>
        <v>Washington Capitals</v>
      </c>
      <c r="L4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0.68925951710427547</v>
      </c>
      <c r="M461" t="str">
        <f>IF(OR((NHL2025_26Results[[#This Row],[Winning Team]]="")),"-",IF(Table4[[#This Row],[Predicted Winner]]=NHL2025_26Results[[#This Row],[Winning Team]],"YES","NO"))</f>
        <v>-</v>
      </c>
      <c r="N461" t="str">
        <f>IF(Table4[[#This Row],[Adjusted Correct]]="-", "",IF(Table4[[#This Row],[Adjusted Correct]]="YES",(Table4[[#This Row],[Strength of Win]]-1)^2,(Table4[[#This Row],[Strength of Win]]-0)^2))</f>
        <v/>
      </c>
      <c r="P461" s="11"/>
    </row>
    <row r="462" spans="4:16" x14ac:dyDescent="0.2">
      <c r="D462" s="1">
        <v>45999</v>
      </c>
      <c r="E462" s="2">
        <v>0.875</v>
      </c>
      <c r="F462" t="s">
        <v>16</v>
      </c>
      <c r="G462">
        <f>VLOOKUP(Table4[[#This Row],[Home]],'NHL Model'!$A$6:$B$38,2,FALSE)</f>
        <v>-1.0657812790446208</v>
      </c>
      <c r="H462" t="s">
        <v>23</v>
      </c>
      <c r="I462">
        <f>VLOOKUP(Table4[[#This Row],[Visitor]],'NHL Model'!$A$6:$B$38,2,FALSE)</f>
        <v>-0.4761104357405897</v>
      </c>
      <c r="J462">
        <f>($B$1+Table4[[#This Row],[Home Differential]])-Table4[[#This Row],[Away Differential]]</f>
        <v>-0.53977009438086876</v>
      </c>
      <c r="K462" t="str">
        <f>IF(Table4[[#This Row],[HomeIce Differential]]&gt;0,Table4[[#This Row],[Home]],Table4[[#This Row],[Visitor]])</f>
        <v>Buffalo Sabres</v>
      </c>
      <c r="L4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0.52302612495698741</v>
      </c>
      <c r="M462" t="str">
        <f>IF(OR((NHL2025_26Results[[#This Row],[Winning Team]]="")),"-",IF(Table4[[#This Row],[Predicted Winner]]=NHL2025_26Results[[#This Row],[Winning Team]],"YES","NO"))</f>
        <v>-</v>
      </c>
      <c r="N462" t="str">
        <f>IF(Table4[[#This Row],[Adjusted Correct]]="-", "",IF(Table4[[#This Row],[Adjusted Correct]]="YES",(Table4[[#This Row],[Strength of Win]]-1)^2,(Table4[[#This Row],[Strength of Win]]-0)^2))</f>
        <v/>
      </c>
      <c r="P462" s="11"/>
    </row>
    <row r="463" spans="4:16" x14ac:dyDescent="0.2">
      <c r="D463" s="1">
        <v>45999</v>
      </c>
      <c r="E463" s="2">
        <v>0.91666666666666663</v>
      </c>
      <c r="F463" t="s">
        <v>32</v>
      </c>
      <c r="G463">
        <f>VLOOKUP(Table4[[#This Row],[Home]],'NHL Model'!$A$6:$B$38,2,FALSE)</f>
        <v>-0.64937723527808999</v>
      </c>
      <c r="H463" t="s">
        <v>34</v>
      </c>
      <c r="I463">
        <f>VLOOKUP(Table4[[#This Row],[Visitor]],'NHL Model'!$A$6:$B$38,2,FALSE)</f>
        <v>-5.5124787449478845E-2</v>
      </c>
      <c r="J463">
        <f>($B$1+Table4[[#This Row],[Home Differential]])-Table4[[#This Row],[Away Differential]]</f>
        <v>-0.54435169890544877</v>
      </c>
      <c r="K463" t="str">
        <f>IF(Table4[[#This Row],[HomeIce Differential]]&gt;0,Table4[[#This Row],[Home]],Table4[[#This Row],[Visitor]])</f>
        <v>Minnesota Wild</v>
      </c>
      <c r="L4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0.56607365771895912</v>
      </c>
      <c r="M463" t="str">
        <f>IF(OR((NHL2025_26Results[[#This Row],[Winning Team]]="")),"-",IF(Table4[[#This Row],[Predicted Winner]]=NHL2025_26Results[[#This Row],[Winning Team]],"YES","NO"))</f>
        <v>-</v>
      </c>
      <c r="N463" t="str">
        <f>IF(Table4[[#This Row],[Adjusted Correct]]="-", "",IF(Table4[[#This Row],[Adjusted Correct]]="YES",(Table4[[#This Row],[Strength of Win]]-1)^2,(Table4[[#This Row],[Strength of Win]]-0)^2))</f>
        <v/>
      </c>
      <c r="P463" s="11"/>
    </row>
    <row r="464" spans="4:16" x14ac:dyDescent="0.2">
      <c r="D464" s="1">
        <v>45999</v>
      </c>
      <c r="E464" s="2">
        <v>0.8125</v>
      </c>
      <c r="F464" t="s">
        <v>19</v>
      </c>
      <c r="G464">
        <f>VLOOKUP(Table4[[#This Row],[Home]],'NHL Model'!$A$6:$B$38,2,FALSE)</f>
        <v>-0.63447859131898054</v>
      </c>
      <c r="H464" t="s">
        <v>37</v>
      </c>
      <c r="I464">
        <f>VLOOKUP(Table4[[#This Row],[Visitor]],'NHL Model'!$A$6:$B$38,2,FALSE)</f>
        <v>0.51050494674660429</v>
      </c>
      <c r="J464">
        <f>($B$1+Table4[[#This Row],[Home Differential]])-Table4[[#This Row],[Away Differential]]</f>
        <v>-1.0950827891424224</v>
      </c>
      <c r="K464" t="str">
        <f>IF(Table4[[#This Row],[HomeIce Differential]]&gt;0,Table4[[#This Row],[Home]],Table4[[#This Row],[Visitor]])</f>
        <v>Tampa Bay Lightning</v>
      </c>
      <c r="L4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0.6803532657461332</v>
      </c>
      <c r="M464" t="str">
        <f>IF(OR((NHL2025_26Results[[#This Row],[Winning Team]]="")),"-",IF(Table4[[#This Row],[Predicted Winner]]=NHL2025_26Results[[#This Row],[Winning Team]],"YES","NO"))</f>
        <v>-</v>
      </c>
      <c r="N464" t="str">
        <f>IF(Table4[[#This Row],[Adjusted Correct]]="-", "",IF(Table4[[#This Row],[Adjusted Correct]]="YES",(Table4[[#This Row],[Strength of Win]]-1)^2,(Table4[[#This Row],[Strength of Win]]-0)^2))</f>
        <v/>
      </c>
      <c r="P464" s="11"/>
    </row>
    <row r="465" spans="4:16" x14ac:dyDescent="0.2">
      <c r="D465" s="1">
        <v>45999</v>
      </c>
      <c r="E465" s="2">
        <v>0.875</v>
      </c>
      <c r="F465" t="s">
        <v>55</v>
      </c>
      <c r="G465">
        <f>VLOOKUP(Table4[[#This Row],[Home]],'NHL Model'!$A$6:$B$38,2,FALSE)</f>
        <v>-0.4031232890211825</v>
      </c>
      <c r="H465" t="s">
        <v>13</v>
      </c>
      <c r="I465">
        <f>VLOOKUP(Table4[[#This Row],[Visitor]],'NHL Model'!$A$6:$B$38,2,FALSE)</f>
        <v>-0.33828359867721369</v>
      </c>
      <c r="J465">
        <f>($B$1+Table4[[#This Row],[Home Differential]])-Table4[[#This Row],[Away Differential]]</f>
        <v>-1.4938941420806318E-2</v>
      </c>
      <c r="K465" t="str">
        <f>IF(Table4[[#This Row],[HomeIce Differential]]&gt;0,Table4[[#This Row],[Home]],Table4[[#This Row],[Visitor]])</f>
        <v>Los Angeles Kings</v>
      </c>
      <c r="L4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0.48703845954097724</v>
      </c>
      <c r="M465" t="str">
        <f>IF(OR((NHL2025_26Results[[#This Row],[Winning Team]]="")),"-",IF(Table4[[#This Row],[Predicted Winner]]=NHL2025_26Results[[#This Row],[Winning Team]],"YES","NO"))</f>
        <v>-</v>
      </c>
      <c r="N465" t="str">
        <f>IF(Table4[[#This Row],[Adjusted Correct]]="-", "",IF(Table4[[#This Row],[Adjusted Correct]]="YES",(Table4[[#This Row],[Strength of Win]]-1)^2,(Table4[[#This Row],[Strength of Win]]-0)^2))</f>
        <v/>
      </c>
      <c r="P465" s="11"/>
    </row>
    <row r="466" spans="4:16" x14ac:dyDescent="0.2">
      <c r="D466" s="1">
        <v>45999</v>
      </c>
      <c r="E466" s="2">
        <v>0.91666666666666663</v>
      </c>
      <c r="F466" t="s">
        <v>38</v>
      </c>
      <c r="G466">
        <f>VLOOKUP(Table4[[#This Row],[Home]],'NHL Model'!$A$6:$B$38,2,FALSE)</f>
        <v>-0.9476777551108041</v>
      </c>
      <c r="H466" t="s">
        <v>26</v>
      </c>
      <c r="I466">
        <f>VLOOKUP(Table4[[#This Row],[Visitor]],'NHL Model'!$A$6:$B$38,2,FALSE)</f>
        <v>-0.87533956503230947</v>
      </c>
      <c r="J466">
        <f>($B$1+Table4[[#This Row],[Home Differential]])-Table4[[#This Row],[Away Differential]]</f>
        <v>-2.2437441155332194E-2</v>
      </c>
      <c r="K466" t="str">
        <f>IF(Table4[[#This Row],[HomeIce Differential]]&gt;0,Table4[[#This Row],[Home]],Table4[[#This Row],[Visitor]])</f>
        <v>Detroit Red Wings</v>
      </c>
      <c r="L4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0.46261990240788181</v>
      </c>
      <c r="M466" t="str">
        <f>IF(OR((NHL2025_26Results[[#This Row],[Winning Team]]="")),"-",IF(Table4[[#This Row],[Predicted Winner]]=NHL2025_26Results[[#This Row],[Winning Team]],"YES","NO"))</f>
        <v>-</v>
      </c>
      <c r="N466" t="str">
        <f>IF(Table4[[#This Row],[Adjusted Correct]]="-", "",IF(Table4[[#This Row],[Adjusted Correct]]="YES",(Table4[[#This Row],[Strength of Win]]-1)^2,(Table4[[#This Row],[Strength of Win]]-0)^2))</f>
        <v/>
      </c>
      <c r="P466" s="11"/>
    </row>
    <row r="467" spans="4:16" x14ac:dyDescent="0.2">
      <c r="D467" s="1">
        <v>46000</v>
      </c>
      <c r="E467" s="2">
        <v>0.8125</v>
      </c>
      <c r="F467" t="s">
        <v>25</v>
      </c>
      <c r="G467">
        <f>VLOOKUP(Table4[[#This Row],[Home]],'NHL Model'!$A$6:$B$38,2,FALSE)</f>
        <v>0.42567513732855267</v>
      </c>
      <c r="H467" t="s">
        <v>28</v>
      </c>
      <c r="I467">
        <f>VLOOKUP(Table4[[#This Row],[Visitor]],'NHL Model'!$A$6:$B$38,2,FALSE)</f>
        <v>-0.59498940435054026</v>
      </c>
      <c r="J467">
        <f>($B$1+Table4[[#This Row],[Home Differential]])-Table4[[#This Row],[Away Differential]]</f>
        <v>1.0705652906022554</v>
      </c>
      <c r="K467" t="str">
        <f>IF(Table4[[#This Row],[HomeIce Differential]]&gt;0,Table4[[#This Row],[Home]],Table4[[#This Row],[Visitor]])</f>
        <v>Carolina Hurricanes</v>
      </c>
      <c r="L4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0.71323959221145916</v>
      </c>
      <c r="M467" t="str">
        <f>IF(OR((NHL2025_26Results[[#This Row],[Winning Team]]="")),"-",IF(Table4[[#This Row],[Predicted Winner]]=NHL2025_26Results[[#This Row],[Winning Team]],"YES","NO"))</f>
        <v>-</v>
      </c>
      <c r="N467" t="str">
        <f>IF(Table4[[#This Row],[Adjusted Correct]]="-", "",IF(Table4[[#This Row],[Adjusted Correct]]="YES",(Table4[[#This Row],[Strength of Win]]-1)^2,(Table4[[#This Row],[Strength of Win]]-0)^2))</f>
        <v/>
      </c>
      <c r="P467" s="11"/>
    </row>
    <row r="468" spans="4:16" x14ac:dyDescent="0.2">
      <c r="D468" s="1">
        <v>46000</v>
      </c>
      <c r="E468" s="2">
        <v>0.875</v>
      </c>
      <c r="F468" t="s">
        <v>17</v>
      </c>
      <c r="G468">
        <f>VLOOKUP(Table4[[#This Row],[Home]],'NHL Model'!$A$6:$B$38,2,FALSE)</f>
        <v>-0.81774666423752174</v>
      </c>
      <c r="H468" t="s">
        <v>23</v>
      </c>
      <c r="I468">
        <f>VLOOKUP(Table4[[#This Row],[Visitor]],'NHL Model'!$A$6:$B$38,2,FALSE)</f>
        <v>-0.4761104357405897</v>
      </c>
      <c r="J468">
        <f>($B$1+Table4[[#This Row],[Home Differential]])-Table4[[#This Row],[Away Differential]]</f>
        <v>-0.29173547957376961</v>
      </c>
      <c r="K468" t="str">
        <f>IF(Table4[[#This Row],[HomeIce Differential]]&gt;0,Table4[[#This Row],[Home]],Table4[[#This Row],[Visitor]])</f>
        <v>Buffalo Sabres</v>
      </c>
      <c r="L4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0.48701847108865748</v>
      </c>
      <c r="M468" t="str">
        <f>IF(OR((NHL2025_26Results[[#This Row],[Winning Team]]="")),"-",IF(Table4[[#This Row],[Predicted Winner]]=NHL2025_26Results[[#This Row],[Winning Team]],"YES","NO"))</f>
        <v>-</v>
      </c>
      <c r="N468" t="str">
        <f>IF(Table4[[#This Row],[Adjusted Correct]]="-", "",IF(Table4[[#This Row],[Adjusted Correct]]="YES",(Table4[[#This Row],[Strength of Win]]-1)^2,(Table4[[#This Row],[Strength of Win]]-0)^2))</f>
        <v/>
      </c>
      <c r="P468" s="11"/>
    </row>
    <row r="469" spans="4:16" x14ac:dyDescent="0.2">
      <c r="D469" s="1">
        <v>46000</v>
      </c>
      <c r="E469" s="2">
        <v>0.79166666666666663</v>
      </c>
      <c r="F469" t="s">
        <v>18</v>
      </c>
      <c r="G469">
        <f>VLOOKUP(Table4[[#This Row],[Home]],'NHL Model'!$A$6:$B$38,2,FALSE)</f>
        <v>-0.59288962827382519</v>
      </c>
      <c r="H469" t="s">
        <v>37</v>
      </c>
      <c r="I469">
        <f>VLOOKUP(Table4[[#This Row],[Visitor]],'NHL Model'!$A$6:$B$38,2,FALSE)</f>
        <v>0.51050494674660429</v>
      </c>
      <c r="J469">
        <f>($B$1+Table4[[#This Row],[Home Differential]])-Table4[[#This Row],[Away Differential]]</f>
        <v>-1.053493826097267</v>
      </c>
      <c r="K469" t="str">
        <f>IF(Table4[[#This Row],[HomeIce Differential]]&gt;0,Table4[[#This Row],[Home]],Table4[[#This Row],[Visitor]])</f>
        <v>Tampa Bay Lightning</v>
      </c>
      <c r="L4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0.67549714050132492</v>
      </c>
      <c r="M469" t="str">
        <f>IF(OR((NHL2025_26Results[[#This Row],[Winning Team]]="")),"-",IF(Table4[[#This Row],[Predicted Winner]]=NHL2025_26Results[[#This Row],[Winning Team]],"YES","NO"))</f>
        <v>-</v>
      </c>
      <c r="N469" t="str">
        <f>IF(Table4[[#This Row],[Adjusted Correct]]="-", "",IF(Table4[[#This Row],[Adjusted Correct]]="YES",(Table4[[#This Row],[Strength of Win]]-1)^2,(Table4[[#This Row],[Strength of Win]]-0)^2))</f>
        <v/>
      </c>
      <c r="P469" s="11"/>
    </row>
    <row r="470" spans="4:16" x14ac:dyDescent="0.2">
      <c r="D470" s="1">
        <v>46000</v>
      </c>
      <c r="E470" s="2">
        <v>0.89583333333333337</v>
      </c>
      <c r="F470" t="s">
        <v>29</v>
      </c>
      <c r="G470">
        <f>VLOOKUP(Table4[[#This Row],[Home]],'NHL Model'!$A$6:$B$38,2,FALSE)</f>
        <v>-1.384917283810061</v>
      </c>
      <c r="H470" t="s">
        <v>12</v>
      </c>
      <c r="I470">
        <f>VLOOKUP(Table4[[#This Row],[Visitor]],'NHL Model'!$A$6:$B$38,2,FALSE)</f>
        <v>1.6319036584269762</v>
      </c>
      <c r="J470">
        <f>($B$1+Table4[[#This Row],[Home Differential]])-Table4[[#This Row],[Away Differential]]</f>
        <v>-2.9669201933138747</v>
      </c>
      <c r="K470" t="str">
        <f>IF(Table4[[#This Row],[HomeIce Differential]]&gt;0,Table4[[#This Row],[Home]],Table4[[#This Row],[Visitor]])</f>
        <v>Colorado Avalanche</v>
      </c>
      <c r="L4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0.8790548902940698</v>
      </c>
      <c r="M470" t="str">
        <f>IF(OR((NHL2025_26Results[[#This Row],[Winning Team]]="")),"-",IF(Table4[[#This Row],[Predicted Winner]]=NHL2025_26Results[[#This Row],[Winning Team]],"YES","NO"))</f>
        <v>-</v>
      </c>
      <c r="N470" t="str">
        <f>IF(Table4[[#This Row],[Adjusted Correct]]="-", "",IF(Table4[[#This Row],[Adjusted Correct]]="YES",(Table4[[#This Row],[Strength of Win]]-1)^2,(Table4[[#This Row],[Strength of Win]]-0)^2))</f>
        <v/>
      </c>
      <c r="P470" s="11"/>
    </row>
    <row r="471" spans="4:16" x14ac:dyDescent="0.2">
      <c r="D471" s="1">
        <v>46000</v>
      </c>
      <c r="E471" s="2">
        <v>0.79166666666666663</v>
      </c>
      <c r="F471" t="s">
        <v>30</v>
      </c>
      <c r="G471">
        <f>VLOOKUP(Table4[[#This Row],[Home]],'NHL Model'!$A$6:$B$38,2,FALSE)</f>
        <v>-0.24093199744133265</v>
      </c>
      <c r="H471" t="s">
        <v>20</v>
      </c>
      <c r="I471">
        <f>VLOOKUP(Table4[[#This Row],[Visitor]],'NHL Model'!$A$6:$B$38,2,FALSE)</f>
        <v>-0.24444083032063643</v>
      </c>
      <c r="J471">
        <f>($B$1+Table4[[#This Row],[Home Differential]])-Table4[[#This Row],[Away Differential]]</f>
        <v>5.3409581802466244E-2</v>
      </c>
      <c r="K471" t="str">
        <f>IF(Table4[[#This Row],[HomeIce Differential]]&gt;0,Table4[[#This Row],[Home]],Table4[[#This Row],[Visitor]])</f>
        <v>New York Islanders</v>
      </c>
      <c r="L4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0.54623635694460582</v>
      </c>
      <c r="M471" t="str">
        <f>IF(OR((NHL2025_26Results[[#This Row],[Winning Team]]="")),"-",IF(Table4[[#This Row],[Predicted Winner]]=NHL2025_26Results[[#This Row],[Winning Team]],"YES","NO"))</f>
        <v>-</v>
      </c>
      <c r="N471" t="str">
        <f>IF(Table4[[#This Row],[Adjusted Correct]]="-", "",IF(Table4[[#This Row],[Adjusted Correct]]="YES",(Table4[[#This Row],[Strength of Win]]-1)^2,(Table4[[#This Row],[Strength of Win]]-0)^2))</f>
        <v/>
      </c>
      <c r="P471" s="11"/>
    </row>
    <row r="472" spans="4:16" x14ac:dyDescent="0.2">
      <c r="D472" s="1">
        <v>46000</v>
      </c>
      <c r="E472" s="2">
        <v>0.79166666666666663</v>
      </c>
      <c r="F472" t="s">
        <v>36</v>
      </c>
      <c r="G472">
        <f>VLOOKUP(Table4[[#This Row],[Home]],'NHL Model'!$A$6:$B$38,2,FALSE)</f>
        <v>-0.53137605086483863</v>
      </c>
      <c r="H472" t="s">
        <v>24</v>
      </c>
      <c r="I472">
        <f>VLOOKUP(Table4[[#This Row],[Visitor]],'NHL Model'!$A$6:$B$38,2,FALSE)</f>
        <v>1.5302507646042616E-3</v>
      </c>
      <c r="J472">
        <f>($B$1+Table4[[#This Row],[Home Differential]])-Table4[[#This Row],[Away Differential]]</f>
        <v>-0.48300555270628043</v>
      </c>
      <c r="K472" t="str">
        <f>IF(Table4[[#This Row],[HomeIce Differential]]&gt;0,Table4[[#This Row],[Home]],Table4[[#This Row],[Visitor]])</f>
        <v>New Jersey Devils</v>
      </c>
      <c r="L4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0.53465889649685494</v>
      </c>
      <c r="M472" t="str">
        <f>IF(OR((NHL2025_26Results[[#This Row],[Winning Team]]="")),"-",IF(Table4[[#This Row],[Predicted Winner]]=NHL2025_26Results[[#This Row],[Winning Team]],"YES","NO"))</f>
        <v>-</v>
      </c>
      <c r="N472" t="str">
        <f>IF(Table4[[#This Row],[Adjusted Correct]]="-", "",IF(Table4[[#This Row],[Adjusted Correct]]="YES",(Table4[[#This Row],[Strength of Win]]-1)^2,(Table4[[#This Row],[Strength of Win]]-0)^2))</f>
        <v/>
      </c>
      <c r="P472" s="11"/>
    </row>
    <row r="473" spans="4:16" x14ac:dyDescent="0.2">
      <c r="D473" s="1">
        <v>46000</v>
      </c>
      <c r="E473" s="2">
        <v>0.79166666666666663</v>
      </c>
      <c r="F473" t="s">
        <v>27</v>
      </c>
      <c r="G473">
        <f>VLOOKUP(Table4[[#This Row],[Home]],'NHL Model'!$A$6:$B$38,2,FALSE)</f>
        <v>-0.38023958350631604</v>
      </c>
      <c r="H473" t="s">
        <v>33</v>
      </c>
      <c r="I473">
        <f>VLOOKUP(Table4[[#This Row],[Visitor]],'NHL Model'!$A$6:$B$38,2,FALSE)</f>
        <v>-0.45133099238224339</v>
      </c>
      <c r="J473">
        <f>($B$1+Table4[[#This Row],[Home Differential]])-Table4[[#This Row],[Away Differential]]</f>
        <v>0.12099215779908984</v>
      </c>
      <c r="K473" t="str">
        <f>IF(Table4[[#This Row],[HomeIce Differential]]&gt;0,Table4[[#This Row],[Home]],Table4[[#This Row],[Visitor]])</f>
        <v>Philadelphia Flyers</v>
      </c>
      <c r="L4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0.56814424063845959</v>
      </c>
      <c r="M473" t="str">
        <f>IF(OR((NHL2025_26Results[[#This Row],[Winning Team]]="")),"-",IF(Table4[[#This Row],[Predicted Winner]]=NHL2025_26Results[[#This Row],[Winning Team]],"YES","NO"))</f>
        <v>-</v>
      </c>
      <c r="N473" t="str">
        <f>IF(Table4[[#This Row],[Adjusted Correct]]="-", "",IF(Table4[[#This Row],[Adjusted Correct]]="YES",(Table4[[#This Row],[Strength of Win]]-1)^2,(Table4[[#This Row],[Strength of Win]]-0)^2))</f>
        <v/>
      </c>
      <c r="P473" s="11"/>
    </row>
    <row r="474" spans="4:16" x14ac:dyDescent="0.2">
      <c r="D474" s="1">
        <v>46000</v>
      </c>
      <c r="E474" s="2">
        <v>0.79166666666666663</v>
      </c>
      <c r="F474" t="s">
        <v>14</v>
      </c>
      <c r="G474">
        <f>VLOOKUP(Table4[[#This Row],[Home]],'NHL Model'!$A$6:$B$38,2,FALSE)</f>
        <v>-0.14226422156549004</v>
      </c>
      <c r="H474" t="s">
        <v>31</v>
      </c>
      <c r="I474">
        <f>VLOOKUP(Table4[[#This Row],[Visitor]],'NHL Model'!$A$6:$B$38,2,FALSE)</f>
        <v>0.17870302183926629</v>
      </c>
      <c r="J474">
        <f>($B$1+Table4[[#This Row],[Home Differential]])-Table4[[#This Row],[Away Differential]]</f>
        <v>-0.27106649448159387</v>
      </c>
      <c r="K474" t="str">
        <f>IF(Table4[[#This Row],[HomeIce Differential]]&gt;0,Table4[[#This Row],[Home]],Table4[[#This Row],[Visitor]])</f>
        <v>Anaheim Ducks</v>
      </c>
      <c r="L4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0.51242024465588476</v>
      </c>
      <c r="M474" t="str">
        <f>IF(OR((NHL2025_26Results[[#This Row],[Winning Team]]="")),"-",IF(Table4[[#This Row],[Predicted Winner]]=NHL2025_26Results[[#This Row],[Winning Team]],"YES","NO"))</f>
        <v>-</v>
      </c>
      <c r="N474" t="str">
        <f>IF(Table4[[#This Row],[Adjusted Correct]]="-", "",IF(Table4[[#This Row],[Adjusted Correct]]="YES",(Table4[[#This Row],[Strength of Win]]-1)^2,(Table4[[#This Row],[Strength of Win]]-0)^2))</f>
        <v/>
      </c>
      <c r="P474" s="11"/>
    </row>
    <row r="475" spans="4:16" x14ac:dyDescent="0.2">
      <c r="D475" s="1">
        <v>46000</v>
      </c>
      <c r="E475" s="2">
        <v>0.83333333333333337</v>
      </c>
      <c r="F475" t="s">
        <v>35</v>
      </c>
      <c r="G475">
        <f>VLOOKUP(Table4[[#This Row],[Home]],'NHL Model'!$A$6:$B$38,2,FALSE)</f>
        <v>-1.3944783719477225</v>
      </c>
      <c r="H475" t="s">
        <v>21</v>
      </c>
      <c r="I475">
        <f>VLOOKUP(Table4[[#This Row],[Visitor]],'NHL Model'!$A$6:$B$38,2,FALSE)</f>
        <v>-0.21976976044773161</v>
      </c>
      <c r="J475">
        <f>($B$1+Table4[[#This Row],[Home Differential]])-Table4[[#This Row],[Away Differential]]</f>
        <v>-1.1248078625768285</v>
      </c>
      <c r="K475" t="str">
        <f>IF(Table4[[#This Row],[HomeIce Differential]]&gt;0,Table4[[#This Row],[Home]],Table4[[#This Row],[Visitor]])</f>
        <v>Boston Bruins</v>
      </c>
      <c r="L4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0.59216741202262646</v>
      </c>
      <c r="M475" t="str">
        <f>IF(OR((NHL2025_26Results[[#This Row],[Winning Team]]="")),"-",IF(Table4[[#This Row],[Predicted Winner]]=NHL2025_26Results[[#This Row],[Winning Team]],"YES","NO"))</f>
        <v>-</v>
      </c>
      <c r="N475" t="str">
        <f>IF(Table4[[#This Row],[Adjusted Correct]]="-", "",IF(Table4[[#This Row],[Adjusted Correct]]="YES",(Table4[[#This Row],[Strength of Win]]-1)^2,(Table4[[#This Row],[Strength of Win]]-0)^2))</f>
        <v/>
      </c>
      <c r="P475" s="11"/>
    </row>
    <row r="476" spans="4:16" x14ac:dyDescent="0.2">
      <c r="D476" s="1">
        <v>46000</v>
      </c>
      <c r="E476" s="2">
        <v>0.83333333333333337</v>
      </c>
      <c r="F476" t="s">
        <v>40</v>
      </c>
      <c r="G476">
        <f>VLOOKUP(Table4[[#This Row],[Home]],'NHL Model'!$A$6:$B$38,2,FALSE)</f>
        <v>-0.31324182378279158</v>
      </c>
      <c r="H476" t="s">
        <v>39</v>
      </c>
      <c r="I476">
        <f>VLOOKUP(Table4[[#This Row],[Visitor]],'NHL Model'!$A$6:$B$38,2,FALSE)</f>
        <v>0.41344250185511977</v>
      </c>
      <c r="J476">
        <f>($B$1+Table4[[#This Row],[Home Differential]])-Table4[[#This Row],[Away Differential]]</f>
        <v>-0.67678357671474887</v>
      </c>
      <c r="K476" t="str">
        <f>IF(Table4[[#This Row],[HomeIce Differential]]&gt;0,Table4[[#This Row],[Home]],Table4[[#This Row],[Visitor]])</f>
        <v>Dallas Stars</v>
      </c>
      <c r="L4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0.63834650509244772</v>
      </c>
      <c r="M476" t="str">
        <f>IF(OR((NHL2025_26Results[[#This Row],[Winning Team]]="")),"-",IF(Table4[[#This Row],[Predicted Winner]]=NHL2025_26Results[[#This Row],[Winning Team]],"YES","NO"))</f>
        <v>-</v>
      </c>
      <c r="N476" t="str">
        <f>IF(Table4[[#This Row],[Adjusted Correct]]="-", "",IF(Table4[[#This Row],[Adjusted Correct]]="YES",(Table4[[#This Row],[Strength of Win]]-1)^2,(Table4[[#This Row],[Strength of Win]]-0)^2))</f>
        <v/>
      </c>
      <c r="P476" s="11"/>
    </row>
    <row r="477" spans="4:16" x14ac:dyDescent="0.2">
      <c r="D477" s="1">
        <v>46001</v>
      </c>
      <c r="E477" s="2">
        <v>0.85416666666666663</v>
      </c>
      <c r="F477" t="s">
        <v>16</v>
      </c>
      <c r="G477">
        <f>VLOOKUP(Table4[[#This Row],[Home]],'NHL Model'!$A$6:$B$38,2,FALSE)</f>
        <v>-1.0657812790446208</v>
      </c>
      <c r="H477" t="s">
        <v>26</v>
      </c>
      <c r="I477">
        <f>VLOOKUP(Table4[[#This Row],[Visitor]],'NHL Model'!$A$6:$B$38,2,FALSE)</f>
        <v>-0.87533956503230947</v>
      </c>
      <c r="J477">
        <f>($B$1+Table4[[#This Row],[Home Differential]])-Table4[[#This Row],[Away Differential]]</f>
        <v>-0.14054096508914893</v>
      </c>
      <c r="K477" t="str">
        <f>IF(Table4[[#This Row],[HomeIce Differential]]&gt;0,Table4[[#This Row],[Home]],Table4[[#This Row],[Visitor]])</f>
        <v>Detroit Red Wings</v>
      </c>
      <c r="L4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0.47641023191076265</v>
      </c>
      <c r="M477" t="str">
        <f>IF(OR((NHL2025_26Results[[#This Row],[Winning Team]]="")),"-",IF(Table4[[#This Row],[Predicted Winner]]=NHL2025_26Results[[#This Row],[Winning Team]],"YES","NO"))</f>
        <v>-</v>
      </c>
      <c r="N477" t="str">
        <f>IF(Table4[[#This Row],[Adjusted Correct]]="-", "",IF(Table4[[#This Row],[Adjusted Correct]]="YES",(Table4[[#This Row],[Strength of Win]]-1)^2,(Table4[[#This Row],[Strength of Win]]-0)^2))</f>
        <v/>
      </c>
      <c r="P477" s="11"/>
    </row>
    <row r="478" spans="4:16" x14ac:dyDescent="0.2">
      <c r="D478" s="1">
        <v>46001</v>
      </c>
      <c r="E478" s="2">
        <v>0.8125</v>
      </c>
      <c r="F478" t="s">
        <v>10</v>
      </c>
      <c r="G478">
        <f>VLOOKUP(Table4[[#This Row],[Home]],'NHL Model'!$A$6:$B$38,2,FALSE)</f>
        <v>-0.17619625518431364</v>
      </c>
      <c r="H478" t="s">
        <v>15</v>
      </c>
      <c r="I478">
        <f>VLOOKUP(Table4[[#This Row],[Visitor]],'NHL Model'!$A$6:$B$38,2,FALSE)</f>
        <v>-0.29003398448394263</v>
      </c>
      <c r="J478">
        <f>($B$1+Table4[[#This Row],[Home Differential]])-Table4[[#This Row],[Away Differential]]</f>
        <v>0.16373847822279144</v>
      </c>
      <c r="K478" t="str">
        <f>IF(Table4[[#This Row],[HomeIce Differential]]&gt;0,Table4[[#This Row],[Home]],Table4[[#This Row],[Visitor]])</f>
        <v>Chicago Blackhawks</v>
      </c>
      <c r="L4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0.45903741754486188</v>
      </c>
      <c r="M478" t="str">
        <f>IF(OR((NHL2025_26Results[[#This Row],[Winning Team]]="")),"-",IF(Table4[[#This Row],[Predicted Winner]]=NHL2025_26Results[[#This Row],[Winning Team]],"YES","NO"))</f>
        <v>-</v>
      </c>
      <c r="N478" t="str">
        <f>IF(Table4[[#This Row],[Adjusted Correct]]="-", "",IF(Table4[[#This Row],[Adjusted Correct]]="YES",(Table4[[#This Row],[Strength of Win]]-1)^2,(Table4[[#This Row],[Strength of Win]]-0)^2))</f>
        <v/>
      </c>
      <c r="P478" s="11"/>
    </row>
    <row r="479" spans="4:16" x14ac:dyDescent="0.2">
      <c r="D479" s="1">
        <v>46001</v>
      </c>
      <c r="E479" s="2">
        <v>0.91666666666666663</v>
      </c>
      <c r="F479" t="s">
        <v>32</v>
      </c>
      <c r="G479">
        <f>VLOOKUP(Table4[[#This Row],[Home]],'NHL Model'!$A$6:$B$38,2,FALSE)</f>
        <v>-0.64937723527808999</v>
      </c>
      <c r="H479" t="s">
        <v>13</v>
      </c>
      <c r="I479">
        <f>VLOOKUP(Table4[[#This Row],[Visitor]],'NHL Model'!$A$6:$B$38,2,FALSE)</f>
        <v>-0.33828359867721369</v>
      </c>
      <c r="J479">
        <f>($B$1+Table4[[#This Row],[Home Differential]])-Table4[[#This Row],[Away Differential]]</f>
        <v>-0.26119288767771387</v>
      </c>
      <c r="K479" t="str">
        <f>IF(Table4[[#This Row],[HomeIce Differential]]&gt;0,Table4[[#This Row],[Home]],Table4[[#This Row],[Visitor]])</f>
        <v>Los Angeles Kings</v>
      </c>
      <c r="L4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0.55681391404194935</v>
      </c>
      <c r="M479" t="str">
        <f>IF(OR((NHL2025_26Results[[#This Row],[Winning Team]]="")),"-",IF(Table4[[#This Row],[Predicted Winner]]=NHL2025_26Results[[#This Row],[Winning Team]],"YES","NO"))</f>
        <v>-</v>
      </c>
      <c r="N479" t="str">
        <f>IF(Table4[[#This Row],[Adjusted Correct]]="-", "",IF(Table4[[#This Row],[Adjusted Correct]]="YES",(Table4[[#This Row],[Strength of Win]]-1)^2,(Table4[[#This Row],[Strength of Win]]-0)^2))</f>
        <v/>
      </c>
      <c r="P479" s="11"/>
    </row>
    <row r="480" spans="4:16" x14ac:dyDescent="0.2">
      <c r="D480" s="1">
        <v>46001</v>
      </c>
      <c r="E480" s="2">
        <v>0.875</v>
      </c>
      <c r="F480" t="s">
        <v>55</v>
      </c>
      <c r="G480">
        <f>VLOOKUP(Table4[[#This Row],[Home]],'NHL Model'!$A$6:$B$38,2,FALSE)</f>
        <v>-0.4031232890211825</v>
      </c>
      <c r="H480" t="s">
        <v>11</v>
      </c>
      <c r="I480">
        <f>VLOOKUP(Table4[[#This Row],[Visitor]],'NHL Model'!$A$6:$B$38,2,FALSE)</f>
        <v>-0.39711829106410657</v>
      </c>
      <c r="J480">
        <f>($B$1+Table4[[#This Row],[Home Differential]])-Table4[[#This Row],[Away Differential]]</f>
        <v>4.3895750966086555E-2</v>
      </c>
      <c r="K480" t="str">
        <f>IF(Table4[[#This Row],[HomeIce Differential]]&gt;0,Table4[[#This Row],[Home]],Table4[[#This Row],[Visitor]])</f>
        <v>Utah Mammoth</v>
      </c>
      <c r="L4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0.58555665422643954</v>
      </c>
      <c r="M480" t="str">
        <f>IF(OR((NHL2025_26Results[[#This Row],[Winning Team]]="")),"-",IF(Table4[[#This Row],[Predicted Winner]]=NHL2025_26Results[[#This Row],[Winning Team]],"YES","NO"))</f>
        <v>-</v>
      </c>
      <c r="N480" t="str">
        <f>IF(Table4[[#This Row],[Adjusted Correct]]="-", "",IF(Table4[[#This Row],[Adjusted Correct]]="YES",(Table4[[#This Row],[Strength of Win]]-1)^2,(Table4[[#This Row],[Strength of Win]]-0)^2))</f>
        <v/>
      </c>
      <c r="P480" s="11"/>
    </row>
    <row r="481" spans="4:16" x14ac:dyDescent="0.2">
      <c r="D481" s="1">
        <v>46002</v>
      </c>
      <c r="E481" s="2">
        <v>0.79166666666666663</v>
      </c>
      <c r="F481" t="s">
        <v>28</v>
      </c>
      <c r="G481">
        <f>VLOOKUP(Table4[[#This Row],[Home]],'NHL Model'!$A$6:$B$38,2,FALSE)</f>
        <v>-0.59498940435054026</v>
      </c>
      <c r="H481" t="s">
        <v>36</v>
      </c>
      <c r="I481">
        <f>VLOOKUP(Table4[[#This Row],[Visitor]],'NHL Model'!$A$6:$B$38,2,FALSE)</f>
        <v>-0.53137605086483863</v>
      </c>
      <c r="J481">
        <f>($B$1+Table4[[#This Row],[Home Differential]])-Table4[[#This Row],[Away Differential]]</f>
        <v>-1.3712604562539199E-2</v>
      </c>
      <c r="K481" t="str">
        <f>IF(Table4[[#This Row],[HomeIce Differential]]&gt;0,Table4[[#This Row],[Home]],Table4[[#This Row],[Visitor]])</f>
        <v>Ottawa Senators</v>
      </c>
      <c r="L4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0.46160114896627552</v>
      </c>
      <c r="M481" t="str">
        <f>IF(OR((NHL2025_26Results[[#This Row],[Winning Team]]="")),"-",IF(Table4[[#This Row],[Predicted Winner]]=NHL2025_26Results[[#This Row],[Winning Team]],"YES","NO"))</f>
        <v>-</v>
      </c>
      <c r="N481" t="str">
        <f>IF(Table4[[#This Row],[Adjusted Correct]]="-", "",IF(Table4[[#This Row],[Adjusted Correct]]="YES",(Table4[[#This Row],[Strength of Win]]-1)^2,(Table4[[#This Row],[Strength of Win]]-0)^2))</f>
        <v/>
      </c>
      <c r="P481" s="11"/>
    </row>
    <row r="482" spans="4:16" x14ac:dyDescent="0.2">
      <c r="D482" s="1">
        <v>46002</v>
      </c>
      <c r="E482" s="2">
        <v>0.875</v>
      </c>
      <c r="F482" t="s">
        <v>12</v>
      </c>
      <c r="G482">
        <f>VLOOKUP(Table4[[#This Row],[Home]],'NHL Model'!$A$6:$B$38,2,FALSE)</f>
        <v>1.6319036584269762</v>
      </c>
      <c r="H482" t="s">
        <v>11</v>
      </c>
      <c r="I482">
        <f>VLOOKUP(Table4[[#This Row],[Visitor]],'NHL Model'!$A$6:$B$38,2,FALSE)</f>
        <v>-0.39711829106410657</v>
      </c>
      <c r="J482">
        <f>($B$1+Table4[[#This Row],[Home Differential]])-Table4[[#This Row],[Away Differential]]</f>
        <v>2.078922698414245</v>
      </c>
      <c r="K482" t="str">
        <f>IF(Table4[[#This Row],[HomeIce Differential]]&gt;0,Table4[[#This Row],[Home]],Table4[[#This Row],[Visitor]])</f>
        <v>Colorado Avalanche</v>
      </c>
      <c r="L4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0.88707480465625443</v>
      </c>
      <c r="M482" t="str">
        <f>IF(OR((NHL2025_26Results[[#This Row],[Winning Team]]="")),"-",IF(Table4[[#This Row],[Predicted Winner]]=NHL2025_26Results[[#This Row],[Winning Team]],"YES","NO"))</f>
        <v>-</v>
      </c>
      <c r="N482" t="str">
        <f>IF(Table4[[#This Row],[Adjusted Correct]]="-", "",IF(Table4[[#This Row],[Adjusted Correct]]="YES",(Table4[[#This Row],[Strength of Win]]-1)^2,(Table4[[#This Row],[Strength of Win]]-0)^2))</f>
        <v/>
      </c>
      <c r="P482" s="11"/>
    </row>
    <row r="483" spans="4:16" x14ac:dyDescent="0.2">
      <c r="D483" s="1">
        <v>46002</v>
      </c>
      <c r="E483" s="2">
        <v>0.875</v>
      </c>
      <c r="F483" t="s">
        <v>17</v>
      </c>
      <c r="G483">
        <f>VLOOKUP(Table4[[#This Row],[Home]],'NHL Model'!$A$6:$B$38,2,FALSE)</f>
        <v>-0.81774666423752174</v>
      </c>
      <c r="H483" t="s">
        <v>26</v>
      </c>
      <c r="I483">
        <f>VLOOKUP(Table4[[#This Row],[Visitor]],'NHL Model'!$A$6:$B$38,2,FALSE)</f>
        <v>-0.87533956503230947</v>
      </c>
      <c r="J483">
        <f>($B$1+Table4[[#This Row],[Home Differential]])-Table4[[#This Row],[Away Differential]]</f>
        <v>0.10749364971795017</v>
      </c>
      <c r="K483" t="str">
        <f>IF(Table4[[#This Row],[HomeIce Differential]]&gt;0,Table4[[#This Row],[Home]],Table4[[#This Row],[Visitor]])</f>
        <v>Edmonton Oilers</v>
      </c>
      <c r="L4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0.55959742195756734</v>
      </c>
      <c r="M483" t="str">
        <f>IF(OR((NHL2025_26Results[[#This Row],[Winning Team]]="")),"-",IF(Table4[[#This Row],[Predicted Winner]]=NHL2025_26Results[[#This Row],[Winning Team]],"YES","NO"))</f>
        <v>-</v>
      </c>
      <c r="N483" t="str">
        <f>IF(Table4[[#This Row],[Adjusted Correct]]="-", "",IF(Table4[[#This Row],[Adjusted Correct]]="YES",(Table4[[#This Row],[Strength of Win]]-1)^2,(Table4[[#This Row],[Strength of Win]]-0)^2))</f>
        <v/>
      </c>
      <c r="P483" s="11"/>
    </row>
    <row r="484" spans="4:16" x14ac:dyDescent="0.2">
      <c r="D484" s="1">
        <v>46002</v>
      </c>
      <c r="E484" s="2">
        <v>0.83333333333333337</v>
      </c>
      <c r="F484" t="s">
        <v>34</v>
      </c>
      <c r="G484">
        <f>VLOOKUP(Table4[[#This Row],[Home]],'NHL Model'!$A$6:$B$38,2,FALSE)</f>
        <v>-5.5124787449478845E-2</v>
      </c>
      <c r="H484" t="s">
        <v>39</v>
      </c>
      <c r="I484">
        <f>VLOOKUP(Table4[[#This Row],[Visitor]],'NHL Model'!$A$6:$B$38,2,FALSE)</f>
        <v>0.41344250185511977</v>
      </c>
      <c r="J484">
        <f>($B$1+Table4[[#This Row],[Home Differential]])-Table4[[#This Row],[Away Differential]]</f>
        <v>-0.41866654038143614</v>
      </c>
      <c r="K484" t="str">
        <f>IF(Table4[[#This Row],[HomeIce Differential]]&gt;0,Table4[[#This Row],[Home]],Table4[[#This Row],[Visitor]])</f>
        <v>Dallas Stars</v>
      </c>
      <c r="L4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0.61068325047565086</v>
      </c>
      <c r="M484" t="str">
        <f>IF(OR((NHL2025_26Results[[#This Row],[Winning Team]]="")),"-",IF(Table4[[#This Row],[Predicted Winner]]=NHL2025_26Results[[#This Row],[Winning Team]],"YES","NO"))</f>
        <v>-</v>
      </c>
      <c r="N484" t="str">
        <f>IF(Table4[[#This Row],[Adjusted Correct]]="-", "",IF(Table4[[#This Row],[Adjusted Correct]]="YES",(Table4[[#This Row],[Strength of Win]]-1)^2,(Table4[[#This Row],[Strength of Win]]-0)^2))</f>
        <v/>
      </c>
      <c r="P484" s="11"/>
    </row>
    <row r="485" spans="4:16" x14ac:dyDescent="0.2">
      <c r="D485" s="1">
        <v>46002</v>
      </c>
      <c r="E485" s="2">
        <v>0.79166666666666663</v>
      </c>
      <c r="F485" t="s">
        <v>24</v>
      </c>
      <c r="G485">
        <f>VLOOKUP(Table4[[#This Row],[Home]],'NHL Model'!$A$6:$B$38,2,FALSE)</f>
        <v>1.5302507646042616E-3</v>
      </c>
      <c r="H485" t="s">
        <v>37</v>
      </c>
      <c r="I485">
        <f>VLOOKUP(Table4[[#This Row],[Visitor]],'NHL Model'!$A$6:$B$38,2,FALSE)</f>
        <v>0.51050494674660429</v>
      </c>
      <c r="J485">
        <f>($B$1+Table4[[#This Row],[Home Differential]])-Table4[[#This Row],[Away Differential]]</f>
        <v>-0.45907394705883758</v>
      </c>
      <c r="K485" t="str">
        <f>IF(Table4[[#This Row],[HomeIce Differential]]&gt;0,Table4[[#This Row],[Home]],Table4[[#This Row],[Visitor]])</f>
        <v>Tampa Bay Lightning</v>
      </c>
      <c r="L4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0.52419189406112554</v>
      </c>
      <c r="M485" t="str">
        <f>IF(OR((NHL2025_26Results[[#This Row],[Winning Team]]="")),"-",IF(Table4[[#This Row],[Predicted Winner]]=NHL2025_26Results[[#This Row],[Winning Team]],"YES","NO"))</f>
        <v>-</v>
      </c>
      <c r="N485" t="str">
        <f>IF(Table4[[#This Row],[Adjusted Correct]]="-", "",IF(Table4[[#This Row],[Adjusted Correct]]="YES",(Table4[[#This Row],[Strength of Win]]-1)^2,(Table4[[#This Row],[Strength of Win]]-0)^2))</f>
        <v/>
      </c>
      <c r="P485" s="11"/>
    </row>
    <row r="486" spans="4:16" x14ac:dyDescent="0.2">
      <c r="D486" s="1">
        <v>46002</v>
      </c>
      <c r="E486" s="2">
        <v>0.83333333333333337</v>
      </c>
      <c r="F486" t="s">
        <v>29</v>
      </c>
      <c r="G486">
        <f>VLOOKUP(Table4[[#This Row],[Home]],'NHL Model'!$A$6:$B$38,2,FALSE)</f>
        <v>-1.384917283810061</v>
      </c>
      <c r="H486" t="s">
        <v>35</v>
      </c>
      <c r="I486">
        <f>VLOOKUP(Table4[[#This Row],[Visitor]],'NHL Model'!$A$6:$B$38,2,FALSE)</f>
        <v>-1.3944783719477225</v>
      </c>
      <c r="J486">
        <f>($B$1+Table4[[#This Row],[Home Differential]])-Table4[[#This Row],[Away Differential]]</f>
        <v>5.9461837060823974E-2</v>
      </c>
      <c r="K486" t="str">
        <f>IF(Table4[[#This Row],[HomeIce Differential]]&gt;0,Table4[[#This Row],[Home]],Table4[[#This Row],[Visitor]])</f>
        <v>Nashville Predators</v>
      </c>
      <c r="L4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0.54694304707093155</v>
      </c>
      <c r="M486" t="str">
        <f>IF(OR((NHL2025_26Results[[#This Row],[Winning Team]]="")),"-",IF(Table4[[#This Row],[Predicted Winner]]=NHL2025_26Results[[#This Row],[Winning Team]],"YES","NO"))</f>
        <v>-</v>
      </c>
      <c r="N486" t="str">
        <f>IF(Table4[[#This Row],[Adjusted Correct]]="-", "",IF(Table4[[#This Row],[Adjusted Correct]]="YES",(Table4[[#This Row],[Strength of Win]]-1)^2,(Table4[[#This Row],[Strength of Win]]-0)^2))</f>
        <v/>
      </c>
      <c r="P486" s="11"/>
    </row>
    <row r="487" spans="4:16" x14ac:dyDescent="0.2">
      <c r="D487" s="1">
        <v>46002</v>
      </c>
      <c r="E487" s="2">
        <v>0.79166666666666663</v>
      </c>
      <c r="F487" t="s">
        <v>30</v>
      </c>
      <c r="G487">
        <f>VLOOKUP(Table4[[#This Row],[Home]],'NHL Model'!$A$6:$B$38,2,FALSE)</f>
        <v>-0.24093199744133265</v>
      </c>
      <c r="H487" t="s">
        <v>31</v>
      </c>
      <c r="I487">
        <f>VLOOKUP(Table4[[#This Row],[Visitor]],'NHL Model'!$A$6:$B$38,2,FALSE)</f>
        <v>0.17870302183926629</v>
      </c>
      <c r="J487">
        <f>($B$1+Table4[[#This Row],[Home Differential]])-Table4[[#This Row],[Away Differential]]</f>
        <v>-0.36973427035743645</v>
      </c>
      <c r="K487" t="str">
        <f>IF(Table4[[#This Row],[HomeIce Differential]]&gt;0,Table4[[#This Row],[Home]],Table4[[#This Row],[Visitor]])</f>
        <v>Anaheim Ducks</v>
      </c>
      <c r="L4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0.52394116372182864</v>
      </c>
      <c r="M487" t="str">
        <f>IF(OR((NHL2025_26Results[[#This Row],[Winning Team]]="")),"-",IF(Table4[[#This Row],[Predicted Winner]]=NHL2025_26Results[[#This Row],[Winning Team]],"YES","NO"))</f>
        <v>-</v>
      </c>
      <c r="N487" t="str">
        <f>IF(Table4[[#This Row],[Adjusted Correct]]="-", "",IF(Table4[[#This Row],[Adjusted Correct]]="YES",(Table4[[#This Row],[Strength of Win]]-1)^2,(Table4[[#This Row],[Strength of Win]]-0)^2))</f>
        <v/>
      </c>
      <c r="P487" s="11"/>
    </row>
    <row r="488" spans="4:16" x14ac:dyDescent="0.2">
      <c r="D488" s="1">
        <v>46002</v>
      </c>
      <c r="E488" s="2">
        <v>0.79166666666666663</v>
      </c>
      <c r="F488" t="s">
        <v>27</v>
      </c>
      <c r="G488">
        <f>VLOOKUP(Table4[[#This Row],[Home]],'NHL Model'!$A$6:$B$38,2,FALSE)</f>
        <v>-0.38023958350631604</v>
      </c>
      <c r="H488" t="s">
        <v>20</v>
      </c>
      <c r="I488">
        <f>VLOOKUP(Table4[[#This Row],[Visitor]],'NHL Model'!$A$6:$B$38,2,FALSE)</f>
        <v>-0.24444083032063643</v>
      </c>
      <c r="J488">
        <f>($B$1+Table4[[#This Row],[Home Differential]])-Table4[[#This Row],[Away Differential]]</f>
        <v>-8.5898004262517119E-2</v>
      </c>
      <c r="K488" t="str">
        <f>IF(Table4[[#This Row],[HomeIce Differential]]&gt;0,Table4[[#This Row],[Home]],Table4[[#This Row],[Visitor]])</f>
        <v>Vegas Golden Knights</v>
      </c>
      <c r="L4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0.45601323926309539</v>
      </c>
      <c r="M488" t="str">
        <f>IF(OR((NHL2025_26Results[[#This Row],[Winning Team]]="")),"-",IF(Table4[[#This Row],[Predicted Winner]]=NHL2025_26Results[[#This Row],[Winning Team]],"YES","NO"))</f>
        <v>-</v>
      </c>
      <c r="N488" t="str">
        <f>IF(Table4[[#This Row],[Adjusted Correct]]="-", "",IF(Table4[[#This Row],[Adjusted Correct]]="YES",(Table4[[#This Row],[Strength of Win]]-1)^2,(Table4[[#This Row],[Strength of Win]]-0)^2))</f>
        <v/>
      </c>
      <c r="P488" s="11"/>
    </row>
    <row r="489" spans="4:16" x14ac:dyDescent="0.2">
      <c r="D489" s="1">
        <v>46002</v>
      </c>
      <c r="E489" s="2">
        <v>0.79166666666666663</v>
      </c>
      <c r="F489" t="s">
        <v>14</v>
      </c>
      <c r="G489">
        <f>VLOOKUP(Table4[[#This Row],[Home]],'NHL Model'!$A$6:$B$38,2,FALSE)</f>
        <v>-0.14226422156549004</v>
      </c>
      <c r="H489" t="s">
        <v>18</v>
      </c>
      <c r="I489">
        <f>VLOOKUP(Table4[[#This Row],[Visitor]],'NHL Model'!$A$6:$B$38,2,FALSE)</f>
        <v>-0.59288962827382519</v>
      </c>
      <c r="J489">
        <f>($B$1+Table4[[#This Row],[Home Differential]])-Table4[[#This Row],[Away Differential]]</f>
        <v>0.5005261556314976</v>
      </c>
      <c r="K489" t="str">
        <f>IF(Table4[[#This Row],[HomeIce Differential]]&gt;0,Table4[[#This Row],[Home]],Table4[[#This Row],[Visitor]])</f>
        <v>Pittsburgh Penguins</v>
      </c>
      <c r="L4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0.53915598208090709</v>
      </c>
      <c r="M489" t="str">
        <f>IF(OR((NHL2025_26Results[[#This Row],[Winning Team]]="")),"-",IF(Table4[[#This Row],[Predicted Winner]]=NHL2025_26Results[[#This Row],[Winning Team]],"YES","NO"))</f>
        <v>-</v>
      </c>
      <c r="N489" t="str">
        <f>IF(Table4[[#This Row],[Adjusted Correct]]="-", "",IF(Table4[[#This Row],[Adjusted Correct]]="YES",(Table4[[#This Row],[Strength of Win]]-1)^2,(Table4[[#This Row],[Strength of Win]]-0)^2))</f>
        <v/>
      </c>
      <c r="P489" s="11"/>
    </row>
    <row r="490" spans="4:16" x14ac:dyDescent="0.2">
      <c r="D490" s="1">
        <v>46002</v>
      </c>
      <c r="E490" s="2">
        <v>0.79166666666666663</v>
      </c>
      <c r="F490" t="s">
        <v>19</v>
      </c>
      <c r="G490">
        <f>VLOOKUP(Table4[[#This Row],[Home]],'NHL Model'!$A$6:$B$38,2,FALSE)</f>
        <v>-0.63447859131898054</v>
      </c>
      <c r="H490" t="s">
        <v>33</v>
      </c>
      <c r="I490">
        <f>VLOOKUP(Table4[[#This Row],[Visitor]],'NHL Model'!$A$6:$B$38,2,FALSE)</f>
        <v>-0.45133099238224339</v>
      </c>
      <c r="J490">
        <f>($B$1+Table4[[#This Row],[Home Differential]])-Table4[[#This Row],[Away Differential]]</f>
        <v>-0.13324685001357472</v>
      </c>
      <c r="K490" t="str">
        <f>IF(Table4[[#This Row],[HomeIce Differential]]&gt;0,Table4[[#This Row],[Home]],Table4[[#This Row],[Visitor]])</f>
        <v>San Jose Sharks</v>
      </c>
      <c r="L4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0.47555853632223422</v>
      </c>
      <c r="M490" t="str">
        <f>IF(OR((NHL2025_26Results[[#This Row],[Winning Team]]="")),"-",IF(Table4[[#This Row],[Predicted Winner]]=NHL2025_26Results[[#This Row],[Winning Team]],"YES","NO"))</f>
        <v>-</v>
      </c>
      <c r="N490" t="str">
        <f>IF(Table4[[#This Row],[Adjusted Correct]]="-", "",IF(Table4[[#This Row],[Adjusted Correct]]="YES",(Table4[[#This Row],[Strength of Win]]-1)^2,(Table4[[#This Row],[Strength of Win]]-0)^2))</f>
        <v/>
      </c>
      <c r="P490" s="11"/>
    </row>
    <row r="491" spans="4:16" x14ac:dyDescent="0.2">
      <c r="D491" s="1">
        <v>46002</v>
      </c>
      <c r="E491" s="2">
        <v>0.91666666666666663</v>
      </c>
      <c r="F491" t="s">
        <v>38</v>
      </c>
      <c r="G491">
        <f>VLOOKUP(Table4[[#This Row],[Home]],'NHL Model'!$A$6:$B$38,2,FALSE)</f>
        <v>-0.9476777551108041</v>
      </c>
      <c r="H491" t="s">
        <v>23</v>
      </c>
      <c r="I491">
        <f>VLOOKUP(Table4[[#This Row],[Visitor]],'NHL Model'!$A$6:$B$38,2,FALSE)</f>
        <v>-0.4761104357405897</v>
      </c>
      <c r="J491">
        <f>($B$1+Table4[[#This Row],[Home Differential]])-Table4[[#This Row],[Away Differential]]</f>
        <v>-0.42166657044705197</v>
      </c>
      <c r="K491" t="str">
        <f>IF(Table4[[#This Row],[HomeIce Differential]]&gt;0,Table4[[#This Row],[Home]],Table4[[#This Row],[Visitor]])</f>
        <v>Buffalo Sabres</v>
      </c>
      <c r="L4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0.50923579545410647</v>
      </c>
      <c r="M491" t="str">
        <f>IF(OR((NHL2025_26Results[[#This Row],[Winning Team]]="")),"-",IF(Table4[[#This Row],[Predicted Winner]]=NHL2025_26Results[[#This Row],[Winning Team]],"YES","NO"))</f>
        <v>-</v>
      </c>
      <c r="N491" t="str">
        <f>IF(Table4[[#This Row],[Adjusted Correct]]="-", "",IF(Table4[[#This Row],[Adjusted Correct]]="YES",(Table4[[#This Row],[Strength of Win]]-1)^2,(Table4[[#This Row],[Strength of Win]]-0)^2))</f>
        <v/>
      </c>
      <c r="P491" s="11"/>
    </row>
    <row r="492" spans="4:16" x14ac:dyDescent="0.2">
      <c r="D492" s="1">
        <v>46002</v>
      </c>
      <c r="E492" s="2">
        <v>0.83333333333333337</v>
      </c>
      <c r="F492" t="s">
        <v>40</v>
      </c>
      <c r="G492">
        <f>VLOOKUP(Table4[[#This Row],[Home]],'NHL Model'!$A$6:$B$38,2,FALSE)</f>
        <v>-0.31324182378279158</v>
      </c>
      <c r="H492" t="s">
        <v>21</v>
      </c>
      <c r="I492">
        <f>VLOOKUP(Table4[[#This Row],[Visitor]],'NHL Model'!$A$6:$B$38,2,FALSE)</f>
        <v>-0.21976976044773161</v>
      </c>
      <c r="J492">
        <f>($B$1+Table4[[#This Row],[Home Differential]])-Table4[[#This Row],[Away Differential]]</f>
        <v>-4.3571314411897488E-2</v>
      </c>
      <c r="K492" t="str">
        <f>IF(Table4[[#This Row],[HomeIce Differential]]&gt;0,Table4[[#This Row],[Home]],Table4[[#This Row],[Visitor]])</f>
        <v>Boston Bruins</v>
      </c>
      <c r="L4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0.4634209273576268</v>
      </c>
      <c r="M492" t="str">
        <f>IF(OR((NHL2025_26Results[[#This Row],[Winning Team]]="")),"-",IF(Table4[[#This Row],[Predicted Winner]]=NHL2025_26Results[[#This Row],[Winning Team]],"YES","NO"))</f>
        <v>-</v>
      </c>
      <c r="N492" t="str">
        <f>IF(Table4[[#This Row],[Adjusted Correct]]="-", "",IF(Table4[[#This Row],[Adjusted Correct]]="YES",(Table4[[#This Row],[Strength of Win]]-1)^2,(Table4[[#This Row],[Strength of Win]]-0)^2))</f>
        <v/>
      </c>
      <c r="P492" s="11"/>
    </row>
    <row r="493" spans="4:16" x14ac:dyDescent="0.2">
      <c r="D493" s="1">
        <v>46002</v>
      </c>
      <c r="E493" s="2">
        <v>0.79166666666666663</v>
      </c>
      <c r="F493" t="s">
        <v>22</v>
      </c>
      <c r="G493">
        <f>VLOOKUP(Table4[[#This Row],[Home]],'NHL Model'!$A$6:$B$38,2,FALSE)</f>
        <v>0.4407072328537569</v>
      </c>
      <c r="H493" t="s">
        <v>25</v>
      </c>
      <c r="I493">
        <f>VLOOKUP(Table4[[#This Row],[Visitor]],'NHL Model'!$A$6:$B$38,2,FALSE)</f>
        <v>0.42567513732855267</v>
      </c>
      <c r="J493">
        <f>($B$1+Table4[[#This Row],[Home Differential]])-Table4[[#This Row],[Away Differential]]</f>
        <v>6.4932844448366722E-2</v>
      </c>
      <c r="K493" t="str">
        <f>IF(Table4[[#This Row],[HomeIce Differential]]&gt;0,Table4[[#This Row],[Home]],Table4[[#This Row],[Visitor]])</f>
        <v>Washington Capitals</v>
      </c>
      <c r="L4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0.50125275400568248</v>
      </c>
      <c r="M493" t="str">
        <f>IF(OR((NHL2025_26Results[[#This Row],[Winning Team]]="")),"-",IF(Table4[[#This Row],[Predicted Winner]]=NHL2025_26Results[[#This Row],[Winning Team]],"YES","NO"))</f>
        <v>-</v>
      </c>
      <c r="N493" t="str">
        <f>IF(Table4[[#This Row],[Adjusted Correct]]="-", "",IF(Table4[[#This Row],[Adjusted Correct]]="YES",(Table4[[#This Row],[Strength of Win]]-1)^2,(Table4[[#This Row],[Strength of Win]]-0)^2))</f>
        <v/>
      </c>
      <c r="P493" s="11"/>
    </row>
    <row r="494" spans="4:16" x14ac:dyDescent="0.2">
      <c r="D494" s="1">
        <v>46003</v>
      </c>
      <c r="E494" s="2">
        <v>0.83333333333333337</v>
      </c>
      <c r="F494" t="s">
        <v>35</v>
      </c>
      <c r="G494">
        <f>VLOOKUP(Table4[[#This Row],[Home]],'NHL Model'!$A$6:$B$38,2,FALSE)</f>
        <v>-1.3944783719477225</v>
      </c>
      <c r="H494" t="s">
        <v>10</v>
      </c>
      <c r="I494">
        <f>VLOOKUP(Table4[[#This Row],[Visitor]],'NHL Model'!$A$6:$B$38,2,FALSE)</f>
        <v>-0.17619625518431364</v>
      </c>
      <c r="J494">
        <f>($B$1+Table4[[#This Row],[Home Differential]])-Table4[[#This Row],[Away Differential]]</f>
        <v>-1.1683813678402464</v>
      </c>
      <c r="K494" t="str">
        <f>IF(Table4[[#This Row],[HomeIce Differential]]&gt;0,Table4[[#This Row],[Home]],Table4[[#This Row],[Visitor]])</f>
        <v>Chicago Blackhawks</v>
      </c>
      <c r="L4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0.59642576877361209</v>
      </c>
      <c r="M494" t="str">
        <f>IF(OR((NHL2025_26Results[[#This Row],[Winning Team]]="")),"-",IF(Table4[[#This Row],[Predicted Winner]]=NHL2025_26Results[[#This Row],[Winning Team]],"YES","NO"))</f>
        <v>-</v>
      </c>
      <c r="N494" t="str">
        <f>IF(Table4[[#This Row],[Adjusted Correct]]="-", "",IF(Table4[[#This Row],[Adjusted Correct]]="YES",(Table4[[#This Row],[Strength of Win]]-1)^2,(Table4[[#This Row],[Strength of Win]]-0)^2))</f>
        <v/>
      </c>
      <c r="P494" s="11"/>
    </row>
    <row r="495" spans="4:16" x14ac:dyDescent="0.2">
      <c r="D495" s="1">
        <v>46003</v>
      </c>
      <c r="E495" s="2">
        <v>0.875</v>
      </c>
      <c r="F495" t="s">
        <v>55</v>
      </c>
      <c r="G495">
        <f>VLOOKUP(Table4[[#This Row],[Home]],'NHL Model'!$A$6:$B$38,2,FALSE)</f>
        <v>-0.4031232890211825</v>
      </c>
      <c r="H495" t="s">
        <v>32</v>
      </c>
      <c r="I495">
        <f>VLOOKUP(Table4[[#This Row],[Visitor]],'NHL Model'!$A$6:$B$38,2,FALSE)</f>
        <v>-0.64937723527808999</v>
      </c>
      <c r="J495">
        <f>($B$1+Table4[[#This Row],[Home Differential]])-Table4[[#This Row],[Away Differential]]</f>
        <v>0.29615469518006998</v>
      </c>
      <c r="K495" t="str">
        <f>IF(Table4[[#This Row],[HomeIce Differential]]&gt;0,Table4[[#This Row],[Home]],Table4[[#This Row],[Visitor]])</f>
        <v>Utah Mammoth</v>
      </c>
      <c r="L4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0.6150116090397193</v>
      </c>
      <c r="M495" t="str">
        <f>IF(OR((NHL2025_26Results[[#This Row],[Winning Team]]="")),"-",IF(Table4[[#This Row],[Predicted Winner]]=NHL2025_26Results[[#This Row],[Winning Team]],"YES","NO"))</f>
        <v>-</v>
      </c>
      <c r="N495" t="str">
        <f>IF(Table4[[#This Row],[Adjusted Correct]]="-", "",IF(Table4[[#This Row],[Adjusted Correct]]="YES",(Table4[[#This Row],[Strength of Win]]-1)^2,(Table4[[#This Row],[Strength of Win]]-0)^2))</f>
        <v/>
      </c>
      <c r="P495" s="11"/>
    </row>
    <row r="496" spans="4:16" x14ac:dyDescent="0.2">
      <c r="D496" s="1">
        <v>46004</v>
      </c>
      <c r="E496" s="2">
        <v>0.79166666666666663</v>
      </c>
      <c r="F496" t="s">
        <v>28</v>
      </c>
      <c r="G496">
        <f>VLOOKUP(Table4[[#This Row],[Home]],'NHL Model'!$A$6:$B$38,2,FALSE)</f>
        <v>-0.59498940435054026</v>
      </c>
      <c r="H496" t="s">
        <v>20</v>
      </c>
      <c r="I496">
        <f>VLOOKUP(Table4[[#This Row],[Visitor]],'NHL Model'!$A$6:$B$38,2,FALSE)</f>
        <v>-0.24444083032063643</v>
      </c>
      <c r="J496">
        <f>($B$1+Table4[[#This Row],[Home Differential]])-Table4[[#This Row],[Away Differential]]</f>
        <v>-0.30064782510674137</v>
      </c>
      <c r="K496" t="str">
        <f>IF(Table4[[#This Row],[HomeIce Differential]]&gt;0,Table4[[#This Row],[Home]],Table4[[#This Row],[Visitor]])</f>
        <v>Vegas Golden Knights</v>
      </c>
      <c r="L4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0.4951050708264203</v>
      </c>
      <c r="M496" t="str">
        <f>IF(OR((NHL2025_26Results[[#This Row],[Winning Team]]="")),"-",IF(Table4[[#This Row],[Predicted Winner]]=NHL2025_26Results[[#This Row],[Winning Team]],"YES","NO"))</f>
        <v>-</v>
      </c>
      <c r="N496" t="str">
        <f>IF(Table4[[#This Row],[Adjusted Correct]]="-", "",IF(Table4[[#This Row],[Adjusted Correct]]="YES",(Table4[[#This Row],[Strength of Win]]-1)^2,(Table4[[#This Row],[Strength of Win]]-0)^2))</f>
        <v/>
      </c>
      <c r="P496" s="11"/>
    </row>
    <row r="497" spans="4:16" x14ac:dyDescent="0.2">
      <c r="D497" s="1">
        <v>46004</v>
      </c>
      <c r="E497" s="2">
        <v>0.83333333333333337</v>
      </c>
      <c r="F497" t="s">
        <v>10</v>
      </c>
      <c r="G497">
        <f>VLOOKUP(Table4[[#This Row],[Home]],'NHL Model'!$A$6:$B$38,2,FALSE)</f>
        <v>-0.17619625518431364</v>
      </c>
      <c r="H497" t="s">
        <v>26</v>
      </c>
      <c r="I497">
        <f>VLOOKUP(Table4[[#This Row],[Visitor]],'NHL Model'!$A$6:$B$38,2,FALSE)</f>
        <v>-0.87533956503230947</v>
      </c>
      <c r="J497">
        <f>($B$1+Table4[[#This Row],[Home Differential]])-Table4[[#This Row],[Away Differential]]</f>
        <v>0.74904405877115832</v>
      </c>
      <c r="K497" t="str">
        <f>IF(Table4[[#This Row],[HomeIce Differential]]&gt;0,Table4[[#This Row],[Home]],Table4[[#This Row],[Visitor]])</f>
        <v>Chicago Blackhawks</v>
      </c>
      <c r="L4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0.62746194896282725</v>
      </c>
      <c r="M497" t="str">
        <f>IF(OR((NHL2025_26Results[[#This Row],[Winning Team]]="")),"-",IF(Table4[[#This Row],[Predicted Winner]]=NHL2025_26Results[[#This Row],[Winning Team]],"YES","NO"))</f>
        <v>-</v>
      </c>
      <c r="N497" t="str">
        <f>IF(Table4[[#This Row],[Adjusted Correct]]="-", "",IF(Table4[[#This Row],[Adjusted Correct]]="YES",(Table4[[#This Row],[Strength of Win]]-1)^2,(Table4[[#This Row],[Strength of Win]]-0)^2))</f>
        <v/>
      </c>
      <c r="P497" s="11"/>
    </row>
    <row r="498" spans="4:16" x14ac:dyDescent="0.2">
      <c r="D498" s="1">
        <v>46004</v>
      </c>
      <c r="E498" s="2">
        <v>0.875</v>
      </c>
      <c r="F498" t="s">
        <v>12</v>
      </c>
      <c r="G498">
        <f>VLOOKUP(Table4[[#This Row],[Home]],'NHL Model'!$A$6:$B$38,2,FALSE)</f>
        <v>1.6319036584269762</v>
      </c>
      <c r="H498" t="s">
        <v>29</v>
      </c>
      <c r="I498">
        <f>VLOOKUP(Table4[[#This Row],[Visitor]],'NHL Model'!$A$6:$B$38,2,FALSE)</f>
        <v>-1.384917283810061</v>
      </c>
      <c r="J498">
        <f>($B$1+Table4[[#This Row],[Home Differential]])-Table4[[#This Row],[Away Differential]]</f>
        <v>3.0667216911601995</v>
      </c>
      <c r="K498" t="str">
        <f>IF(Table4[[#This Row],[HomeIce Differential]]&gt;0,Table4[[#This Row],[Home]],Table4[[#This Row],[Visitor]])</f>
        <v>Colorado Avalanche</v>
      </c>
      <c r="L4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1</v>
      </c>
      <c r="M498" t="str">
        <f>IF(OR((NHL2025_26Results[[#This Row],[Winning Team]]="")),"-",IF(Table4[[#This Row],[Predicted Winner]]=NHL2025_26Results[[#This Row],[Winning Team]],"YES","NO"))</f>
        <v>-</v>
      </c>
      <c r="N498" t="str">
        <f>IF(Table4[[#This Row],[Adjusted Correct]]="-", "",IF(Table4[[#This Row],[Adjusted Correct]]="YES",(Table4[[#This Row],[Strength of Win]]-1)^2,(Table4[[#This Row],[Strength of Win]]-0)^2))</f>
        <v/>
      </c>
      <c r="P498" s="11"/>
    </row>
    <row r="499" spans="4:16" x14ac:dyDescent="0.2">
      <c r="D499" s="1">
        <v>46004</v>
      </c>
      <c r="E499" s="2">
        <v>0.83333333333333337</v>
      </c>
      <c r="F499" t="s">
        <v>39</v>
      </c>
      <c r="G499">
        <f>VLOOKUP(Table4[[#This Row],[Home]],'NHL Model'!$A$6:$B$38,2,FALSE)</f>
        <v>0.41344250185511977</v>
      </c>
      <c r="H499" t="s">
        <v>11</v>
      </c>
      <c r="I499">
        <f>VLOOKUP(Table4[[#This Row],[Visitor]],'NHL Model'!$A$6:$B$38,2,FALSE)</f>
        <v>-0.39711829106410657</v>
      </c>
      <c r="J499">
        <f>($B$1+Table4[[#This Row],[Home Differential]])-Table4[[#This Row],[Away Differential]]</f>
        <v>0.86046154184238888</v>
      </c>
      <c r="K499" t="str">
        <f>IF(Table4[[#This Row],[HomeIce Differential]]&gt;0,Table4[[#This Row],[Home]],Table4[[#This Row],[Visitor]])</f>
        <v>Dallas Stars</v>
      </c>
      <c r="L4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0.67271765032437847</v>
      </c>
      <c r="M499" t="str">
        <f>IF(OR((NHL2025_26Results[[#This Row],[Winning Team]]="")),"-",IF(Table4[[#This Row],[Predicted Winner]]=NHL2025_26Results[[#This Row],[Winning Team]],"YES","NO"))</f>
        <v>-</v>
      </c>
      <c r="N499" t="str">
        <f>IF(Table4[[#This Row],[Adjusted Correct]]="-", "",IF(Table4[[#This Row],[Adjusted Correct]]="YES",(Table4[[#This Row],[Strength of Win]]-1)^2,(Table4[[#This Row],[Strength of Win]]-0)^2))</f>
        <v/>
      </c>
      <c r="P499" s="11"/>
    </row>
    <row r="500" spans="4:16" x14ac:dyDescent="0.2">
      <c r="D500" s="1">
        <v>46004</v>
      </c>
      <c r="E500" s="2">
        <v>0.91666666666666663</v>
      </c>
      <c r="F500" t="s">
        <v>13</v>
      </c>
      <c r="G500">
        <f>VLOOKUP(Table4[[#This Row],[Home]],'NHL Model'!$A$6:$B$38,2,FALSE)</f>
        <v>-0.33828359867721369</v>
      </c>
      <c r="H500" t="s">
        <v>16</v>
      </c>
      <c r="I500">
        <f>VLOOKUP(Table4[[#This Row],[Visitor]],'NHL Model'!$A$6:$B$38,2,FALSE)</f>
        <v>-1.0657812790446208</v>
      </c>
      <c r="J500">
        <f>($B$1+Table4[[#This Row],[Home Differential]])-Table4[[#This Row],[Away Differential]]</f>
        <v>0.77739842929056957</v>
      </c>
      <c r="K500" t="str">
        <f>IF(Table4[[#This Row],[HomeIce Differential]]&gt;0,Table4[[#This Row],[Home]],Table4[[#This Row],[Visitor]])</f>
        <v>Los Angeles Kings</v>
      </c>
      <c r="L5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0.63077274020161012</v>
      </c>
      <c r="M500" t="str">
        <f>IF(OR((NHL2025_26Results[[#This Row],[Winning Team]]="")),"-",IF(Table4[[#This Row],[Predicted Winner]]=NHL2025_26Results[[#This Row],[Winning Team]],"YES","NO"))</f>
        <v>-</v>
      </c>
      <c r="N500" t="str">
        <f>IF(Table4[[#This Row],[Adjusted Correct]]="-", "",IF(Table4[[#This Row],[Adjusted Correct]]="YES",(Table4[[#This Row],[Strength of Win]]-1)^2,(Table4[[#This Row],[Strength of Win]]-0)^2))</f>
        <v/>
      </c>
      <c r="P500" s="11"/>
    </row>
    <row r="501" spans="4:16" x14ac:dyDescent="0.2">
      <c r="D501" s="1">
        <v>46004</v>
      </c>
      <c r="E501" s="2">
        <v>0.58333333333333337</v>
      </c>
      <c r="F501" t="s">
        <v>34</v>
      </c>
      <c r="G501">
        <f>VLOOKUP(Table4[[#This Row],[Home]],'NHL Model'!$A$6:$B$38,2,FALSE)</f>
        <v>-5.5124787449478845E-2</v>
      </c>
      <c r="H501" t="s">
        <v>36</v>
      </c>
      <c r="I501">
        <f>VLOOKUP(Table4[[#This Row],[Visitor]],'NHL Model'!$A$6:$B$38,2,FALSE)</f>
        <v>-0.53137605086483863</v>
      </c>
      <c r="J501">
        <f>($B$1+Table4[[#This Row],[Home Differential]])-Table4[[#This Row],[Away Differential]]</f>
        <v>0.52615201233852227</v>
      </c>
      <c r="K501" t="str">
        <f>IF(Table4[[#This Row],[HomeIce Differential]]&gt;0,Table4[[#This Row],[Home]],Table4[[#This Row],[Visitor]])</f>
        <v>Minnesota Wild</v>
      </c>
      <c r="L5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0.60143601288999726</v>
      </c>
      <c r="M501" t="str">
        <f>IF(OR((NHL2025_26Results[[#This Row],[Winning Team]]="")),"-",IF(Table4[[#This Row],[Predicted Winner]]=NHL2025_26Results[[#This Row],[Winning Team]],"YES","NO"))</f>
        <v>-</v>
      </c>
      <c r="N501" t="str">
        <f>IF(Table4[[#This Row],[Adjusted Correct]]="-", "",IF(Table4[[#This Row],[Adjusted Correct]]="YES",(Table4[[#This Row],[Strength of Win]]-1)^2,(Table4[[#This Row],[Strength of Win]]-0)^2))</f>
        <v/>
      </c>
      <c r="P501" s="11"/>
    </row>
    <row r="502" spans="4:16" x14ac:dyDescent="0.2">
      <c r="D502" s="1">
        <v>46004</v>
      </c>
      <c r="E502" s="2">
        <v>0.52083333333333337</v>
      </c>
      <c r="F502" t="s">
        <v>24</v>
      </c>
      <c r="G502">
        <f>VLOOKUP(Table4[[#This Row],[Home]],'NHL Model'!$A$6:$B$38,2,FALSE)</f>
        <v>1.5302507646042616E-3</v>
      </c>
      <c r="H502" t="s">
        <v>31</v>
      </c>
      <c r="I502">
        <f>VLOOKUP(Table4[[#This Row],[Visitor]],'NHL Model'!$A$6:$B$38,2,FALSE)</f>
        <v>0.17870302183926629</v>
      </c>
      <c r="J502">
        <f>($B$1+Table4[[#This Row],[Home Differential]])-Table4[[#This Row],[Away Differential]]</f>
        <v>-0.12727202215149958</v>
      </c>
      <c r="K502" t="str">
        <f>IF(Table4[[#This Row],[HomeIce Differential]]&gt;0,Table4[[#This Row],[Home]],Table4[[#This Row],[Visitor]])</f>
        <v>Anaheim Ducks</v>
      </c>
      <c r="L5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0.41486088698717133</v>
      </c>
      <c r="M502" t="str">
        <f>IF(OR((NHL2025_26Results[[#This Row],[Winning Team]]="")),"-",IF(Table4[[#This Row],[Predicted Winner]]=NHL2025_26Results[[#This Row],[Winning Team]],"YES","NO"))</f>
        <v>-</v>
      </c>
      <c r="N502" t="str">
        <f>IF(Table4[[#This Row],[Adjusted Correct]]="-", "",IF(Table4[[#This Row],[Adjusted Correct]]="YES",(Table4[[#This Row],[Strength of Win]]-1)^2,(Table4[[#This Row],[Strength of Win]]-0)^2))</f>
        <v/>
      </c>
      <c r="P502" s="11"/>
    </row>
    <row r="503" spans="4:16" x14ac:dyDescent="0.2">
      <c r="D503" s="1">
        <v>46004</v>
      </c>
      <c r="E503" s="2">
        <v>0.64583333333333337</v>
      </c>
      <c r="F503" t="s">
        <v>30</v>
      </c>
      <c r="G503">
        <f>VLOOKUP(Table4[[#This Row],[Home]],'NHL Model'!$A$6:$B$38,2,FALSE)</f>
        <v>-0.24093199744133265</v>
      </c>
      <c r="H503" t="s">
        <v>37</v>
      </c>
      <c r="I503">
        <f>VLOOKUP(Table4[[#This Row],[Visitor]],'NHL Model'!$A$6:$B$38,2,FALSE)</f>
        <v>0.51050494674660429</v>
      </c>
      <c r="J503">
        <f>($B$1+Table4[[#This Row],[Home Differential]])-Table4[[#This Row],[Away Differential]]</f>
        <v>-0.70153619526477451</v>
      </c>
      <c r="K503" t="str">
        <f>IF(Table4[[#This Row],[HomeIce Differential]]&gt;0,Table4[[#This Row],[Home]],Table4[[#This Row],[Visitor]])</f>
        <v>Tampa Bay Lightning</v>
      </c>
      <c r="L5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0.63440089257773835</v>
      </c>
      <c r="M503" t="str">
        <f>IF(OR((NHL2025_26Results[[#This Row],[Winning Team]]="")),"-",IF(Table4[[#This Row],[Predicted Winner]]=NHL2025_26Results[[#This Row],[Winning Team]],"YES","NO"))</f>
        <v>-</v>
      </c>
      <c r="N503" t="str">
        <f>IF(Table4[[#This Row],[Adjusted Correct]]="-", "",IF(Table4[[#This Row],[Adjusted Correct]]="YES",(Table4[[#This Row],[Strength of Win]]-1)^2,(Table4[[#This Row],[Strength of Win]]-0)^2))</f>
        <v/>
      </c>
      <c r="P503" s="11"/>
    </row>
    <row r="504" spans="4:16" x14ac:dyDescent="0.2">
      <c r="D504" s="1">
        <v>46004</v>
      </c>
      <c r="E504" s="2">
        <v>0.79166666666666663</v>
      </c>
      <c r="F504" t="s">
        <v>15</v>
      </c>
      <c r="G504">
        <f>VLOOKUP(Table4[[#This Row],[Home]],'NHL Model'!$A$6:$B$38,2,FALSE)</f>
        <v>-0.29003398448394263</v>
      </c>
      <c r="H504" t="s">
        <v>18</v>
      </c>
      <c r="I504">
        <f>VLOOKUP(Table4[[#This Row],[Visitor]],'NHL Model'!$A$6:$B$38,2,FALSE)</f>
        <v>-0.59288962827382519</v>
      </c>
      <c r="J504">
        <f>($B$1+Table4[[#This Row],[Home Differential]])-Table4[[#This Row],[Away Differential]]</f>
        <v>0.35275639271304504</v>
      </c>
      <c r="K504" t="str">
        <f>IF(Table4[[#This Row],[HomeIce Differential]]&gt;0,Table4[[#This Row],[Home]],Table4[[#This Row],[Visitor]])</f>
        <v>New York Rangers</v>
      </c>
      <c r="L5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0.52190168133413184</v>
      </c>
      <c r="M504" t="str">
        <f>IF(OR((NHL2025_26Results[[#This Row],[Winning Team]]="")),"-",IF(Table4[[#This Row],[Predicted Winner]]=NHL2025_26Results[[#This Row],[Winning Team]],"YES","NO"))</f>
        <v>-</v>
      </c>
      <c r="N504" t="str">
        <f>IF(Table4[[#This Row],[Adjusted Correct]]="-", "",IF(Table4[[#This Row],[Adjusted Correct]]="YES",(Table4[[#This Row],[Strength of Win]]-1)^2,(Table4[[#This Row],[Strength of Win]]-0)^2))</f>
        <v/>
      </c>
      <c r="P504" s="11"/>
    </row>
    <row r="505" spans="4:16" x14ac:dyDescent="0.2">
      <c r="D505" s="1">
        <v>46004</v>
      </c>
      <c r="E505" s="2">
        <v>0.79166666666666663</v>
      </c>
      <c r="F505" t="s">
        <v>27</v>
      </c>
      <c r="G505">
        <f>VLOOKUP(Table4[[#This Row],[Home]],'NHL Model'!$A$6:$B$38,2,FALSE)</f>
        <v>-0.38023958350631604</v>
      </c>
      <c r="H505" t="s">
        <v>25</v>
      </c>
      <c r="I505">
        <f>VLOOKUP(Table4[[#This Row],[Visitor]],'NHL Model'!$A$6:$B$38,2,FALSE)</f>
        <v>0.42567513732855267</v>
      </c>
      <c r="J505">
        <f>($B$1+Table4[[#This Row],[Home Differential]])-Table4[[#This Row],[Away Differential]]</f>
        <v>-0.75601397191170627</v>
      </c>
      <c r="K505" t="str">
        <f>IF(Table4[[#This Row],[HomeIce Differential]]&gt;0,Table4[[#This Row],[Home]],Table4[[#This Row],[Visitor]])</f>
        <v>Carolina Hurricanes</v>
      </c>
      <c r="L5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0.60679430770908094</v>
      </c>
      <c r="M505" t="str">
        <f>IF(OR((NHL2025_26Results[[#This Row],[Winning Team]]="")),"-",IF(Table4[[#This Row],[Predicted Winner]]=NHL2025_26Results[[#This Row],[Winning Team]],"YES","NO"))</f>
        <v>-</v>
      </c>
      <c r="N505" t="str">
        <f>IF(Table4[[#This Row],[Adjusted Correct]]="-", "",IF(Table4[[#This Row],[Adjusted Correct]]="YES",(Table4[[#This Row],[Strength of Win]]-1)^2,(Table4[[#This Row],[Strength of Win]]-0)^2))</f>
        <v/>
      </c>
      <c r="P505" s="11"/>
    </row>
    <row r="506" spans="4:16" x14ac:dyDescent="0.2">
      <c r="D506" s="1">
        <v>46004</v>
      </c>
      <c r="E506" s="2">
        <v>0.625</v>
      </c>
      <c r="F506" t="s">
        <v>14</v>
      </c>
      <c r="G506">
        <f>VLOOKUP(Table4[[#This Row],[Home]],'NHL Model'!$A$6:$B$38,2,FALSE)</f>
        <v>-0.14226422156549004</v>
      </c>
      <c r="H506" t="s">
        <v>33</v>
      </c>
      <c r="I506">
        <f>VLOOKUP(Table4[[#This Row],[Visitor]],'NHL Model'!$A$6:$B$38,2,FALSE)</f>
        <v>-0.45133099238224339</v>
      </c>
      <c r="J506">
        <f>($B$1+Table4[[#This Row],[Home Differential]])-Table4[[#This Row],[Away Differential]]</f>
        <v>0.35896751973991581</v>
      </c>
      <c r="K506" t="str">
        <f>IF(Table4[[#This Row],[HomeIce Differential]]&gt;0,Table4[[#This Row],[Home]],Table4[[#This Row],[Visitor]])</f>
        <v>Pittsburgh Penguins</v>
      </c>
      <c r="L5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0.58191475591210462</v>
      </c>
      <c r="M506" t="str">
        <f>IF(OR((NHL2025_26Results[[#This Row],[Winning Team]]="")),"-",IF(Table4[[#This Row],[Predicted Winner]]=NHL2025_26Results[[#This Row],[Winning Team]],"YES","NO"))</f>
        <v>-</v>
      </c>
      <c r="N506" t="str">
        <f>IF(Table4[[#This Row],[Adjusted Correct]]="-", "",IF(Table4[[#This Row],[Adjusted Correct]]="YES",(Table4[[#This Row],[Strength of Win]]-1)^2,(Table4[[#This Row],[Strength of Win]]-0)^2))</f>
        <v/>
      </c>
      <c r="P506" s="11"/>
    </row>
    <row r="507" spans="4:16" x14ac:dyDescent="0.2">
      <c r="D507" s="1">
        <v>46004</v>
      </c>
      <c r="E507" s="2">
        <v>0.79166666666666663</v>
      </c>
      <c r="F507" t="s">
        <v>19</v>
      </c>
      <c r="G507">
        <f>VLOOKUP(Table4[[#This Row],[Home]],'NHL Model'!$A$6:$B$38,2,FALSE)</f>
        <v>-0.63447859131898054</v>
      </c>
      <c r="H507" t="s">
        <v>17</v>
      </c>
      <c r="I507">
        <f>VLOOKUP(Table4[[#This Row],[Visitor]],'NHL Model'!$A$6:$B$38,2,FALSE)</f>
        <v>-0.81774666423752174</v>
      </c>
      <c r="J507">
        <f>($B$1+Table4[[#This Row],[Home Differential]])-Table4[[#This Row],[Away Differential]]</f>
        <v>0.23316882184170362</v>
      </c>
      <c r="K507" t="str">
        <f>IF(Table4[[#This Row],[HomeIce Differential]]&gt;0,Table4[[#This Row],[Home]],Table4[[#This Row],[Visitor]])</f>
        <v>Toronto Maple Leafs</v>
      </c>
      <c r="L5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0.56722590127621864</v>
      </c>
      <c r="M507" t="str">
        <f>IF(OR((NHL2025_26Results[[#This Row],[Winning Team]]="")),"-",IF(Table4[[#This Row],[Predicted Winner]]=NHL2025_26Results[[#This Row],[Winning Team]],"YES","NO"))</f>
        <v>-</v>
      </c>
      <c r="N507" t="str">
        <f>IF(Table4[[#This Row],[Adjusted Correct]]="-", "",IF(Table4[[#This Row],[Adjusted Correct]]="YES",(Table4[[#This Row],[Strength of Win]]-1)^2,(Table4[[#This Row],[Strength of Win]]-0)^2))</f>
        <v/>
      </c>
      <c r="P507" s="11"/>
    </row>
    <row r="508" spans="4:16" x14ac:dyDescent="0.2">
      <c r="D508" s="1">
        <v>46004</v>
      </c>
      <c r="E508" s="2">
        <v>0.79166666666666663</v>
      </c>
      <c r="F508" t="s">
        <v>40</v>
      </c>
      <c r="G508">
        <f>VLOOKUP(Table4[[#This Row],[Home]],'NHL Model'!$A$6:$B$38,2,FALSE)</f>
        <v>-0.31324182378279158</v>
      </c>
      <c r="H508" t="s">
        <v>22</v>
      </c>
      <c r="I508">
        <f>VLOOKUP(Table4[[#This Row],[Visitor]],'NHL Model'!$A$6:$B$38,2,FALSE)</f>
        <v>0.4407072328537569</v>
      </c>
      <c r="J508">
        <f>($B$1+Table4[[#This Row],[Home Differential]])-Table4[[#This Row],[Away Differential]]</f>
        <v>-0.704048307713386</v>
      </c>
      <c r="K508" t="str">
        <f>IF(Table4[[#This Row],[HomeIce Differential]]&gt;0,Table4[[#This Row],[Home]],Table4[[#This Row],[Visitor]])</f>
        <v>Washington Capitals</v>
      </c>
      <c r="L5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0.58220803093694351</v>
      </c>
      <c r="M508" t="str">
        <f>IF(OR((NHL2025_26Results[[#This Row],[Winning Team]]="")),"-",IF(Table4[[#This Row],[Predicted Winner]]=NHL2025_26Results[[#This Row],[Winning Team]],"YES","NO"))</f>
        <v>-</v>
      </c>
      <c r="N508" t="str">
        <f>IF(Table4[[#This Row],[Adjusted Correct]]="-", "",IF(Table4[[#This Row],[Adjusted Correct]]="YES",(Table4[[#This Row],[Strength of Win]]-1)^2,(Table4[[#This Row],[Strength of Win]]-0)^2))</f>
        <v/>
      </c>
      <c r="P508" s="11"/>
    </row>
    <row r="509" spans="4:16" x14ac:dyDescent="0.2">
      <c r="D509" s="1">
        <v>46005</v>
      </c>
      <c r="E509" s="2">
        <v>0.70833333333333337</v>
      </c>
      <c r="F509" t="s">
        <v>25</v>
      </c>
      <c r="G509">
        <f>VLOOKUP(Table4[[#This Row],[Home]],'NHL Model'!$A$6:$B$38,2,FALSE)</f>
        <v>0.42567513732855267</v>
      </c>
      <c r="H509" t="s">
        <v>27</v>
      </c>
      <c r="I509">
        <f>VLOOKUP(Table4[[#This Row],[Visitor]],'NHL Model'!$A$6:$B$38,2,FALSE)</f>
        <v>-0.38023958350631604</v>
      </c>
      <c r="J509">
        <f>($B$1+Table4[[#This Row],[Home Differential]])-Table4[[#This Row],[Away Differential]]</f>
        <v>0.85581546975803113</v>
      </c>
      <c r="K509" t="str">
        <f>IF(Table4[[#This Row],[HomeIce Differential]]&gt;0,Table4[[#This Row],[Home]],Table4[[#This Row],[Visitor]])</f>
        <v>Carolina Hurricanes</v>
      </c>
      <c r="L5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0.64992908702910213</v>
      </c>
      <c r="M509" t="str">
        <f>IF(OR((NHL2025_26Results[[#This Row],[Winning Team]]="")),"-",IF(Table4[[#This Row],[Predicted Winner]]=NHL2025_26Results[[#This Row],[Winning Team]],"YES","NO"))</f>
        <v>-</v>
      </c>
      <c r="N509" t="str">
        <f>IF(Table4[[#This Row],[Adjusted Correct]]="-", "",IF(Table4[[#This Row],[Adjusted Correct]]="YES",(Table4[[#This Row],[Strength of Win]]-1)^2,(Table4[[#This Row],[Strength of Win]]-0)^2))</f>
        <v/>
      </c>
      <c r="P509" s="11"/>
    </row>
    <row r="510" spans="4:16" x14ac:dyDescent="0.2">
      <c r="D510" s="1">
        <v>46005</v>
      </c>
      <c r="E510" s="2">
        <v>0.75</v>
      </c>
      <c r="F510" t="s">
        <v>34</v>
      </c>
      <c r="G510">
        <f>VLOOKUP(Table4[[#This Row],[Home]],'NHL Model'!$A$6:$B$38,2,FALSE)</f>
        <v>-5.5124787449478845E-2</v>
      </c>
      <c r="H510" t="s">
        <v>21</v>
      </c>
      <c r="I510">
        <f>VLOOKUP(Table4[[#This Row],[Visitor]],'NHL Model'!$A$6:$B$38,2,FALSE)</f>
        <v>-0.21976976044773161</v>
      </c>
      <c r="J510">
        <f>($B$1+Table4[[#This Row],[Home Differential]])-Table4[[#This Row],[Away Differential]]</f>
        <v>0.21454572192141524</v>
      </c>
      <c r="K510" t="str">
        <f>IF(Table4[[#This Row],[HomeIce Differential]]&gt;0,Table4[[#This Row],[Home]],Table4[[#This Row],[Visitor]])</f>
        <v>Minnesota Wild</v>
      </c>
      <c r="L5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0.56422188641562931</v>
      </c>
      <c r="M510" t="str">
        <f>IF(OR((NHL2025_26Results[[#This Row],[Winning Team]]="")),"-",IF(Table4[[#This Row],[Predicted Winner]]=NHL2025_26Results[[#This Row],[Winning Team]],"YES","NO"))</f>
        <v>-</v>
      </c>
      <c r="N510" t="str">
        <f>IF(Table4[[#This Row],[Adjusted Correct]]="-", "",IF(Table4[[#This Row],[Adjusted Correct]]="YES",(Table4[[#This Row],[Strength of Win]]-1)^2,(Table4[[#This Row],[Strength of Win]]-0)^2))</f>
        <v/>
      </c>
      <c r="P510" s="11"/>
    </row>
    <row r="511" spans="4:16" x14ac:dyDescent="0.2">
      <c r="D511" s="1">
        <v>46005</v>
      </c>
      <c r="E511" s="2">
        <v>0.79166666666666663</v>
      </c>
      <c r="F511" t="s">
        <v>18</v>
      </c>
      <c r="G511">
        <f>VLOOKUP(Table4[[#This Row],[Home]],'NHL Model'!$A$6:$B$38,2,FALSE)</f>
        <v>-0.59288962827382519</v>
      </c>
      <c r="H511" t="s">
        <v>17</v>
      </c>
      <c r="I511">
        <f>VLOOKUP(Table4[[#This Row],[Visitor]],'NHL Model'!$A$6:$B$38,2,FALSE)</f>
        <v>-0.81774666423752174</v>
      </c>
      <c r="J511">
        <f>($B$1+Table4[[#This Row],[Home Differential]])-Table4[[#This Row],[Away Differential]]</f>
        <v>0.27475778488685898</v>
      </c>
      <c r="K511" t="str">
        <f>IF(Table4[[#This Row],[HomeIce Differential]]&gt;0,Table4[[#This Row],[Home]],Table4[[#This Row],[Visitor]])</f>
        <v>Montreal Canadiens</v>
      </c>
      <c r="L5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0.57208202652102691</v>
      </c>
      <c r="M511" t="str">
        <f>IF(OR((NHL2025_26Results[[#This Row],[Winning Team]]="")),"-",IF(Table4[[#This Row],[Predicted Winner]]=NHL2025_26Results[[#This Row],[Winning Team]],"YES","NO"))</f>
        <v>-</v>
      </c>
      <c r="N511" t="str">
        <f>IF(Table4[[#This Row],[Adjusted Correct]]="-", "",IF(Table4[[#This Row],[Adjusted Correct]]="YES",(Table4[[#This Row],[Strength of Win]]-1)^2,(Table4[[#This Row],[Strength of Win]]-0)^2))</f>
        <v/>
      </c>
      <c r="P511" s="11"/>
    </row>
    <row r="512" spans="4:16" x14ac:dyDescent="0.2">
      <c r="D512" s="1">
        <v>46005</v>
      </c>
      <c r="E512" s="2">
        <v>0.52083333333333337</v>
      </c>
      <c r="F512" t="s">
        <v>24</v>
      </c>
      <c r="G512">
        <f>VLOOKUP(Table4[[#This Row],[Home]],'NHL Model'!$A$6:$B$38,2,FALSE)</f>
        <v>1.5302507646042616E-3</v>
      </c>
      <c r="H512" t="s">
        <v>38</v>
      </c>
      <c r="I512">
        <f>VLOOKUP(Table4[[#This Row],[Visitor]],'NHL Model'!$A$6:$B$38,2,FALSE)</f>
        <v>-0.9476777551108041</v>
      </c>
      <c r="J512">
        <f>($B$1+Table4[[#This Row],[Home Differential]])-Table4[[#This Row],[Away Differential]]</f>
        <v>0.99910875479857086</v>
      </c>
      <c r="K512" t="str">
        <f>IF(Table4[[#This Row],[HomeIce Differential]]&gt;0,Table4[[#This Row],[Home]],Table4[[#This Row],[Visitor]])</f>
        <v>New Jersey Devils</v>
      </c>
      <c r="L5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0.73309904907991641</v>
      </c>
      <c r="M512" t="str">
        <f>IF(OR((NHL2025_26Results[[#This Row],[Winning Team]]="")),"-",IF(Table4[[#This Row],[Predicted Winner]]=NHL2025_26Results[[#This Row],[Winning Team]],"YES","NO"))</f>
        <v>-</v>
      </c>
      <c r="N512" t="str">
        <f>IF(Table4[[#This Row],[Adjusted Correct]]="-", "",IF(Table4[[#This Row],[Adjusted Correct]]="YES",(Table4[[#This Row],[Strength of Win]]-1)^2,(Table4[[#This Row],[Strength of Win]]-0)^2))</f>
        <v/>
      </c>
      <c r="P512" s="11"/>
    </row>
    <row r="513" spans="4:16" x14ac:dyDescent="0.2">
      <c r="D513" s="1">
        <v>46005</v>
      </c>
      <c r="E513" s="2">
        <v>0.625</v>
      </c>
      <c r="F513" t="s">
        <v>14</v>
      </c>
      <c r="G513">
        <f>VLOOKUP(Table4[[#This Row],[Home]],'NHL Model'!$A$6:$B$38,2,FALSE)</f>
        <v>-0.14226422156549004</v>
      </c>
      <c r="H513" t="s">
        <v>55</v>
      </c>
      <c r="I513">
        <f>VLOOKUP(Table4[[#This Row],[Visitor]],'NHL Model'!$A$6:$B$38,2,FALSE)</f>
        <v>-0.4031232890211825</v>
      </c>
      <c r="J513">
        <f>($B$1+Table4[[#This Row],[Home Differential]])-Table4[[#This Row],[Away Differential]]</f>
        <v>0.31075981637885491</v>
      </c>
      <c r="K513" t="str">
        <f>IF(Table4[[#This Row],[HomeIce Differential]]&gt;0,Table4[[#This Row],[Home]],Table4[[#This Row],[Visitor]])</f>
        <v>Pittsburgh Penguins</v>
      </c>
      <c r="L5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0.57628579504977917</v>
      </c>
      <c r="M513" t="str">
        <f>IF(OR((NHL2025_26Results[[#This Row],[Winning Team]]="")),"-",IF(Table4[[#This Row],[Predicted Winner]]=NHL2025_26Results[[#This Row],[Winning Team]],"YES","NO"))</f>
        <v>-</v>
      </c>
      <c r="N513" t="str">
        <f>IF(Table4[[#This Row],[Adjusted Correct]]="-", "",IF(Table4[[#This Row],[Adjusted Correct]]="YES",(Table4[[#This Row],[Strength of Win]]-1)^2,(Table4[[#This Row],[Strength of Win]]-0)^2))</f>
        <v/>
      </c>
      <c r="P513" s="11"/>
    </row>
    <row r="514" spans="4:16" x14ac:dyDescent="0.2">
      <c r="D514" s="1">
        <v>46005</v>
      </c>
      <c r="E514" s="2">
        <v>0.83333333333333337</v>
      </c>
      <c r="F514" t="s">
        <v>32</v>
      </c>
      <c r="G514">
        <f>VLOOKUP(Table4[[#This Row],[Home]],'NHL Model'!$A$6:$B$38,2,FALSE)</f>
        <v>-0.64937723527808999</v>
      </c>
      <c r="H514" t="s">
        <v>23</v>
      </c>
      <c r="I514">
        <f>VLOOKUP(Table4[[#This Row],[Visitor]],'NHL Model'!$A$6:$B$38,2,FALSE)</f>
        <v>-0.4761104357405897</v>
      </c>
      <c r="J514">
        <f>($B$1+Table4[[#This Row],[Home Differential]])-Table4[[#This Row],[Away Differential]]</f>
        <v>-0.12336605061433786</v>
      </c>
      <c r="K514" t="str">
        <f>IF(Table4[[#This Row],[HomeIce Differential]]&gt;0,Table4[[#This Row],[Home]],Table4[[#This Row],[Visitor]])</f>
        <v>Buffalo Sabres</v>
      </c>
      <c r="L5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0.4744048071621822</v>
      </c>
      <c r="M514" t="str">
        <f>IF(OR((NHL2025_26Results[[#This Row],[Winning Team]]="")),"-",IF(Table4[[#This Row],[Predicted Winner]]=NHL2025_26Results[[#This Row],[Winning Team]],"YES","NO"))</f>
        <v>-</v>
      </c>
      <c r="N514" t="str">
        <f>IF(Table4[[#This Row],[Adjusted Correct]]="-", "",IF(Table4[[#This Row],[Adjusted Correct]]="YES",(Table4[[#This Row],[Strength of Win]]-1)^2,(Table4[[#This Row],[Strength of Win]]-0)^2))</f>
        <v/>
      </c>
      <c r="P514" s="11"/>
    </row>
    <row r="515" spans="4:16" x14ac:dyDescent="0.2">
      <c r="D515" s="1">
        <v>46006</v>
      </c>
      <c r="E515" s="2">
        <v>0.83333333333333337</v>
      </c>
      <c r="F515" t="s">
        <v>39</v>
      </c>
      <c r="G515">
        <f>VLOOKUP(Table4[[#This Row],[Home]],'NHL Model'!$A$6:$B$38,2,FALSE)</f>
        <v>0.41344250185511977</v>
      </c>
      <c r="H515" t="s">
        <v>13</v>
      </c>
      <c r="I515">
        <f>VLOOKUP(Table4[[#This Row],[Visitor]],'NHL Model'!$A$6:$B$38,2,FALSE)</f>
        <v>-0.33828359867721369</v>
      </c>
      <c r="J515">
        <f>($B$1+Table4[[#This Row],[Home Differential]])-Table4[[#This Row],[Away Differential]]</f>
        <v>0.80162684945549589</v>
      </c>
      <c r="K515" t="str">
        <f>IF(Table4[[#This Row],[HomeIce Differential]]&gt;0,Table4[[#This Row],[Home]],Table4[[#This Row],[Visitor]])</f>
        <v>Dallas Stars</v>
      </c>
      <c r="L5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0.59993087976587611</v>
      </c>
      <c r="M515" t="str">
        <f>IF(OR((NHL2025_26Results[[#This Row],[Winning Team]]="")),"-",IF(Table4[[#This Row],[Predicted Winner]]=NHL2025_26Results[[#This Row],[Winning Team]],"YES","NO"))</f>
        <v>-</v>
      </c>
      <c r="N515" t="str">
        <f>IF(Table4[[#This Row],[Adjusted Correct]]="-", "",IF(Table4[[#This Row],[Adjusted Correct]]="YES",(Table4[[#This Row],[Strength of Win]]-1)^2,(Table4[[#This Row],[Strength of Win]]-0)^2))</f>
        <v/>
      </c>
      <c r="P515" s="11"/>
    </row>
    <row r="516" spans="4:16" x14ac:dyDescent="0.2">
      <c r="D516" s="1">
        <v>46006</v>
      </c>
      <c r="E516" s="2">
        <v>0.79166666666666663</v>
      </c>
      <c r="F516" t="s">
        <v>15</v>
      </c>
      <c r="G516">
        <f>VLOOKUP(Table4[[#This Row],[Home]],'NHL Model'!$A$6:$B$38,2,FALSE)</f>
        <v>-0.29003398448394263</v>
      </c>
      <c r="H516" t="s">
        <v>31</v>
      </c>
      <c r="I516">
        <f>VLOOKUP(Table4[[#This Row],[Visitor]],'NHL Model'!$A$6:$B$38,2,FALSE)</f>
        <v>0.17870302183926629</v>
      </c>
      <c r="J516">
        <f>($B$1+Table4[[#This Row],[Home Differential]])-Table4[[#This Row],[Away Differential]]</f>
        <v>-0.41883625740004649</v>
      </c>
      <c r="K516" t="str">
        <f>IF(Table4[[#This Row],[HomeIce Differential]]&gt;0,Table4[[#This Row],[Home]],Table4[[#This Row],[Visitor]])</f>
        <v>Anaheim Ducks</v>
      </c>
      <c r="L5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0.52967454540266012</v>
      </c>
      <c r="M516" t="str">
        <f>IF(OR((NHL2025_26Results[[#This Row],[Winning Team]]="")),"-",IF(Table4[[#This Row],[Predicted Winner]]=NHL2025_26Results[[#This Row],[Winning Team]],"YES","NO"))</f>
        <v>-</v>
      </c>
      <c r="N516" t="str">
        <f>IF(Table4[[#This Row],[Adjusted Correct]]="-", "",IF(Table4[[#This Row],[Adjusted Correct]]="YES",(Table4[[#This Row],[Strength of Win]]-1)^2,(Table4[[#This Row],[Strength of Win]]-0)^2))</f>
        <v/>
      </c>
      <c r="P516" s="11"/>
    </row>
    <row r="517" spans="4:16" x14ac:dyDescent="0.2">
      <c r="D517" s="1">
        <v>46006</v>
      </c>
      <c r="E517" s="2">
        <v>0.83333333333333337</v>
      </c>
      <c r="F517" t="s">
        <v>35</v>
      </c>
      <c r="G517">
        <f>VLOOKUP(Table4[[#This Row],[Home]],'NHL Model'!$A$6:$B$38,2,FALSE)</f>
        <v>-1.3944783719477225</v>
      </c>
      <c r="H517" t="s">
        <v>29</v>
      </c>
      <c r="I517">
        <f>VLOOKUP(Table4[[#This Row],[Visitor]],'NHL Model'!$A$6:$B$38,2,FALSE)</f>
        <v>-1.384917283810061</v>
      </c>
      <c r="J517">
        <f>($B$1+Table4[[#This Row],[Home Differential]])-Table4[[#This Row],[Away Differential]]</f>
        <v>4.0339660785500886E-2</v>
      </c>
      <c r="K517" t="str">
        <f>IF(Table4[[#This Row],[HomeIce Differential]]&gt;0,Table4[[#This Row],[Home]],Table4[[#This Row],[Visitor]])</f>
        <v>St. Louis Blues</v>
      </c>
      <c r="L5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0.54471025076760826</v>
      </c>
      <c r="M517" t="str">
        <f>IF(OR((NHL2025_26Results[[#This Row],[Winning Team]]="")),"-",IF(Table4[[#This Row],[Predicted Winner]]=NHL2025_26Results[[#This Row],[Winning Team]],"YES","NO"))</f>
        <v>-</v>
      </c>
      <c r="N517" t="str">
        <f>IF(Table4[[#This Row],[Adjusted Correct]]="-", "",IF(Table4[[#This Row],[Adjusted Correct]]="YES",(Table4[[#This Row],[Strength of Win]]-1)^2,(Table4[[#This Row],[Strength of Win]]-0)^2))</f>
        <v/>
      </c>
      <c r="P517" s="11"/>
    </row>
    <row r="518" spans="4:16" x14ac:dyDescent="0.2">
      <c r="D518" s="1">
        <v>46006</v>
      </c>
      <c r="E518" s="2">
        <v>0.79166666666666663</v>
      </c>
      <c r="F518" t="s">
        <v>37</v>
      </c>
      <c r="G518">
        <f>VLOOKUP(Table4[[#This Row],[Home]],'NHL Model'!$A$6:$B$38,2,FALSE)</f>
        <v>0.51050494674660429</v>
      </c>
      <c r="H518" t="s">
        <v>11</v>
      </c>
      <c r="I518">
        <f>VLOOKUP(Table4[[#This Row],[Visitor]],'NHL Model'!$A$6:$B$38,2,FALSE)</f>
        <v>-0.39711829106410657</v>
      </c>
      <c r="J518">
        <f>($B$1+Table4[[#This Row],[Home Differential]])-Table4[[#This Row],[Away Differential]]</f>
        <v>0.95752398673387329</v>
      </c>
      <c r="K518" t="str">
        <f>IF(Table4[[#This Row],[HomeIce Differential]]&gt;0,Table4[[#This Row],[Home]],Table4[[#This Row],[Visitor]])</f>
        <v>Tampa Bay Lightning</v>
      </c>
      <c r="L5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0.68405112330490425</v>
      </c>
      <c r="M518" t="str">
        <f>IF(OR((NHL2025_26Results[[#This Row],[Winning Team]]="")),"-",IF(Table4[[#This Row],[Predicted Winner]]=NHL2025_26Results[[#This Row],[Winning Team]],"YES","NO"))</f>
        <v>-</v>
      </c>
      <c r="N518" t="str">
        <f>IF(Table4[[#This Row],[Adjusted Correct]]="-", "",IF(Table4[[#This Row],[Adjusted Correct]]="YES",(Table4[[#This Row],[Strength of Win]]-1)^2,(Table4[[#This Row],[Strength of Win]]-0)^2))</f>
        <v/>
      </c>
      <c r="P518" s="11"/>
    </row>
    <row r="519" spans="4:16" x14ac:dyDescent="0.2">
      <c r="D519" s="1">
        <v>46006</v>
      </c>
      <c r="E519" s="2">
        <v>0.8125</v>
      </c>
      <c r="F519" t="s">
        <v>40</v>
      </c>
      <c r="G519">
        <f>VLOOKUP(Table4[[#This Row],[Home]],'NHL Model'!$A$6:$B$38,2,FALSE)</f>
        <v>-0.31324182378279158</v>
      </c>
      <c r="H519" t="s">
        <v>36</v>
      </c>
      <c r="I519">
        <f>VLOOKUP(Table4[[#This Row],[Visitor]],'NHL Model'!$A$6:$B$38,2,FALSE)</f>
        <v>-0.53137605086483863</v>
      </c>
      <c r="J519">
        <f>($B$1+Table4[[#This Row],[Home Differential]])-Table4[[#This Row],[Away Differential]]</f>
        <v>0.26803497600520954</v>
      </c>
      <c r="K519" t="str">
        <f>IF(Table4[[#This Row],[HomeIce Differential]]&gt;0,Table4[[#This Row],[Home]],Table4[[#This Row],[Visitor]])</f>
        <v>Winnipeg Jets</v>
      </c>
      <c r="L5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0.57379251856685676</v>
      </c>
      <c r="M519" t="str">
        <f>IF(OR((NHL2025_26Results[[#This Row],[Winning Team]]="")),"-",IF(Table4[[#This Row],[Predicted Winner]]=NHL2025_26Results[[#This Row],[Winning Team]],"YES","NO"))</f>
        <v>-</v>
      </c>
      <c r="N519" t="str">
        <f>IF(Table4[[#This Row],[Adjusted Correct]]="-", "",IF(Table4[[#This Row],[Adjusted Correct]]="YES",(Table4[[#This Row],[Strength of Win]]-1)^2,(Table4[[#This Row],[Strength of Win]]-0)^2))</f>
        <v/>
      </c>
      <c r="P519" s="11"/>
    </row>
    <row r="520" spans="4:16" x14ac:dyDescent="0.2">
      <c r="D520" s="1">
        <v>46007</v>
      </c>
      <c r="E520" s="2">
        <v>0.79166666666666663</v>
      </c>
      <c r="F520" t="s">
        <v>21</v>
      </c>
      <c r="G520">
        <f>VLOOKUP(Table4[[#This Row],[Home]],'NHL Model'!$A$6:$B$38,2,FALSE)</f>
        <v>-0.21976976044773161</v>
      </c>
      <c r="H520" t="s">
        <v>55</v>
      </c>
      <c r="I520">
        <f>VLOOKUP(Table4[[#This Row],[Visitor]],'NHL Model'!$A$6:$B$38,2,FALSE)</f>
        <v>-0.4031232890211825</v>
      </c>
      <c r="J520">
        <f>($B$1+Table4[[#This Row],[Home Differential]])-Table4[[#This Row],[Away Differential]]</f>
        <v>0.23325427749661334</v>
      </c>
      <c r="K520" t="str">
        <f>IF(Table4[[#This Row],[HomeIce Differential]]&gt;0,Table4[[#This Row],[Home]],Table4[[#This Row],[Visitor]])</f>
        <v>Boston Bruins</v>
      </c>
      <c r="L5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0.61013743388930985</v>
      </c>
      <c r="M520" t="str">
        <f>IF(OR((NHL2025_26Results[[#This Row],[Winning Team]]="")),"-",IF(Table4[[#This Row],[Predicted Winner]]=NHL2025_26Results[[#This Row],[Winning Team]],"YES","NO"))</f>
        <v>-</v>
      </c>
      <c r="N520" t="str">
        <f>IF(Table4[[#This Row],[Adjusted Correct]]="-", "",IF(Table4[[#This Row],[Adjusted Correct]]="YES",(Table4[[#This Row],[Strength of Win]]-1)^2,(Table4[[#This Row],[Strength of Win]]-0)^2))</f>
        <v/>
      </c>
      <c r="P520" s="11"/>
    </row>
    <row r="521" spans="4:16" x14ac:dyDescent="0.2">
      <c r="D521" s="1">
        <v>46007</v>
      </c>
      <c r="E521" s="2">
        <v>0.79166666666666663</v>
      </c>
      <c r="F521" t="s">
        <v>28</v>
      </c>
      <c r="G521">
        <f>VLOOKUP(Table4[[#This Row],[Home]],'NHL Model'!$A$6:$B$38,2,FALSE)</f>
        <v>-0.59498940435054026</v>
      </c>
      <c r="H521" t="s">
        <v>31</v>
      </c>
      <c r="I521">
        <f>VLOOKUP(Table4[[#This Row],[Visitor]],'NHL Model'!$A$6:$B$38,2,FALSE)</f>
        <v>0.17870302183926629</v>
      </c>
      <c r="J521">
        <f>($B$1+Table4[[#This Row],[Home Differential]])-Table4[[#This Row],[Away Differential]]</f>
        <v>-0.72379167726664417</v>
      </c>
      <c r="K521" t="str">
        <f>IF(Table4[[#This Row],[HomeIce Differential]]&gt;0,Table4[[#This Row],[Home]],Table4[[#This Row],[Visitor]])</f>
        <v>Anaheim Ducks</v>
      </c>
      <c r="L5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0.56528259149285476</v>
      </c>
      <c r="M521" t="str">
        <f>IF(OR((NHL2025_26Results[[#This Row],[Winning Team]]="")),"-",IF(Table4[[#This Row],[Predicted Winner]]=NHL2025_26Results[[#This Row],[Winning Team]],"YES","NO"))</f>
        <v>-</v>
      </c>
      <c r="N521" t="str">
        <f>IF(Table4[[#This Row],[Adjusted Correct]]="-", "",IF(Table4[[#This Row],[Adjusted Correct]]="YES",(Table4[[#This Row],[Strength of Win]]-1)^2,(Table4[[#This Row],[Strength of Win]]-0)^2))</f>
        <v/>
      </c>
      <c r="P521" s="11"/>
    </row>
    <row r="522" spans="4:16" x14ac:dyDescent="0.2">
      <c r="D522" s="1">
        <v>46007</v>
      </c>
      <c r="E522" s="2">
        <v>0.79166666666666663</v>
      </c>
      <c r="F522" t="s">
        <v>26</v>
      </c>
      <c r="G522">
        <f>VLOOKUP(Table4[[#This Row],[Home]],'NHL Model'!$A$6:$B$38,2,FALSE)</f>
        <v>-0.87533956503230947</v>
      </c>
      <c r="H522" t="s">
        <v>30</v>
      </c>
      <c r="I522">
        <f>VLOOKUP(Table4[[#This Row],[Visitor]],'NHL Model'!$A$6:$B$38,2,FALSE)</f>
        <v>-0.24093199744133265</v>
      </c>
      <c r="J522">
        <f>($B$1+Table4[[#This Row],[Home Differential]])-Table4[[#This Row],[Away Differential]]</f>
        <v>-0.5845068186678144</v>
      </c>
      <c r="K522" t="str">
        <f>IF(Table4[[#This Row],[HomeIce Differential]]&gt;0,Table4[[#This Row],[Home]],Table4[[#This Row],[Visitor]])</f>
        <v>New York Islanders</v>
      </c>
      <c r="L5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0.6008729668922711</v>
      </c>
      <c r="M522" t="str">
        <f>IF(OR((NHL2025_26Results[[#This Row],[Winning Team]]="")),"-",IF(Table4[[#This Row],[Predicted Winner]]=NHL2025_26Results[[#This Row],[Winning Team]],"YES","NO"))</f>
        <v>-</v>
      </c>
      <c r="N522" t="str">
        <f>IF(Table4[[#This Row],[Adjusted Correct]]="-", "",IF(Table4[[#This Row],[Adjusted Correct]]="YES",(Table4[[#This Row],[Strength of Win]]-1)^2,(Table4[[#This Row],[Strength of Win]]-0)^2))</f>
        <v/>
      </c>
      <c r="P522" s="11"/>
    </row>
    <row r="523" spans="4:16" x14ac:dyDescent="0.2">
      <c r="D523" s="1">
        <v>46007</v>
      </c>
      <c r="E523" s="2">
        <v>0.83333333333333337</v>
      </c>
      <c r="F523" t="s">
        <v>34</v>
      </c>
      <c r="G523">
        <f>VLOOKUP(Table4[[#This Row],[Home]],'NHL Model'!$A$6:$B$38,2,FALSE)</f>
        <v>-5.5124787449478845E-2</v>
      </c>
      <c r="H523" t="s">
        <v>22</v>
      </c>
      <c r="I523">
        <f>VLOOKUP(Table4[[#This Row],[Visitor]],'NHL Model'!$A$6:$B$38,2,FALSE)</f>
        <v>0.4407072328537569</v>
      </c>
      <c r="J523">
        <f>($B$1+Table4[[#This Row],[Home Differential]])-Table4[[#This Row],[Away Differential]]</f>
        <v>-0.44593127138007327</v>
      </c>
      <c r="K523" t="str">
        <f>IF(Table4[[#This Row],[HomeIce Differential]]&gt;0,Table4[[#This Row],[Home]],Table4[[#This Row],[Visitor]])</f>
        <v>Washington Capitals</v>
      </c>
      <c r="L5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0.5545816202235333</v>
      </c>
      <c r="M523" t="str">
        <f>IF(OR((NHL2025_26Results[[#This Row],[Winning Team]]="")),"-",IF(Table4[[#This Row],[Predicted Winner]]=NHL2025_26Results[[#This Row],[Winning Team]],"YES","NO"))</f>
        <v>-</v>
      </c>
      <c r="N523" t="str">
        <f>IF(Table4[[#This Row],[Adjusted Correct]]="-", "",IF(Table4[[#This Row],[Adjusted Correct]]="YES",(Table4[[#This Row],[Strength of Win]]-1)^2,(Table4[[#This Row],[Strength of Win]]-0)^2))</f>
        <v/>
      </c>
      <c r="P523" s="11"/>
    </row>
    <row r="524" spans="4:16" x14ac:dyDescent="0.2">
      <c r="D524" s="1">
        <v>46007</v>
      </c>
      <c r="E524" s="2">
        <v>0.79166666666666663</v>
      </c>
      <c r="F524" t="s">
        <v>18</v>
      </c>
      <c r="G524">
        <f>VLOOKUP(Table4[[#This Row],[Home]],'NHL Model'!$A$6:$B$38,2,FALSE)</f>
        <v>-0.59288962827382519</v>
      </c>
      <c r="H524" t="s">
        <v>27</v>
      </c>
      <c r="I524">
        <f>VLOOKUP(Table4[[#This Row],[Visitor]],'NHL Model'!$A$6:$B$38,2,FALSE)</f>
        <v>-0.38023958350631604</v>
      </c>
      <c r="J524">
        <f>($B$1+Table4[[#This Row],[Home Differential]])-Table4[[#This Row],[Away Differential]]</f>
        <v>-0.16274929584434672</v>
      </c>
      <c r="K524" t="str">
        <f>IF(Table4[[#This Row],[HomeIce Differential]]&gt;0,Table4[[#This Row],[Home]],Table4[[#This Row],[Visitor]])</f>
        <v>Philadelphia Flyers</v>
      </c>
      <c r="L5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0.52151594511207089</v>
      </c>
      <c r="M524" t="str">
        <f>IF(OR((NHL2025_26Results[[#This Row],[Winning Team]]="")),"-",IF(Table4[[#This Row],[Predicted Winner]]=NHL2025_26Results[[#This Row],[Winning Team]],"YES","NO"))</f>
        <v>-</v>
      </c>
      <c r="N524" t="str">
        <f>IF(Table4[[#This Row],[Adjusted Correct]]="-", "",IF(Table4[[#This Row],[Adjusted Correct]]="YES",(Table4[[#This Row],[Strength of Win]]-1)^2,(Table4[[#This Row],[Strength of Win]]-0)^2))</f>
        <v/>
      </c>
      <c r="P524" s="11"/>
    </row>
    <row r="525" spans="4:16" x14ac:dyDescent="0.2">
      <c r="D525" s="1">
        <v>46007</v>
      </c>
      <c r="E525" s="2">
        <v>0.79166666666666663</v>
      </c>
      <c r="F525" t="s">
        <v>15</v>
      </c>
      <c r="G525">
        <f>VLOOKUP(Table4[[#This Row],[Home]],'NHL Model'!$A$6:$B$38,2,FALSE)</f>
        <v>-0.29003398448394263</v>
      </c>
      <c r="H525" t="s">
        <v>38</v>
      </c>
      <c r="I525">
        <f>VLOOKUP(Table4[[#This Row],[Visitor]],'NHL Model'!$A$6:$B$38,2,FALSE)</f>
        <v>-0.9476777551108041</v>
      </c>
      <c r="J525">
        <f>($B$1+Table4[[#This Row],[Home Differential]])-Table4[[#This Row],[Away Differential]]</f>
        <v>0.70754451955002395</v>
      </c>
      <c r="K525" t="str">
        <f>IF(Table4[[#This Row],[HomeIce Differential]]&gt;0,Table4[[#This Row],[Home]],Table4[[#This Row],[Visitor]])</f>
        <v>New York Rangers</v>
      </c>
      <c r="L5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0.61904010632887752</v>
      </c>
      <c r="M525" t="str">
        <f>IF(OR((NHL2025_26Results[[#This Row],[Winning Team]]="")),"-",IF(Table4[[#This Row],[Predicted Winner]]=NHL2025_26Results[[#This Row],[Winning Team]],"YES","NO"))</f>
        <v>-</v>
      </c>
      <c r="N525" t="str">
        <f>IF(Table4[[#This Row],[Adjusted Correct]]="-", "",IF(Table4[[#This Row],[Adjusted Correct]]="YES",(Table4[[#This Row],[Strength of Win]]-1)^2,(Table4[[#This Row],[Strength of Win]]-0)^2))</f>
        <v/>
      </c>
      <c r="P525" s="11"/>
    </row>
    <row r="526" spans="4:16" x14ac:dyDescent="0.2">
      <c r="D526" s="1">
        <v>46007</v>
      </c>
      <c r="E526" s="2">
        <v>0.8125</v>
      </c>
      <c r="F526" t="s">
        <v>14</v>
      </c>
      <c r="G526">
        <f>VLOOKUP(Table4[[#This Row],[Home]],'NHL Model'!$A$6:$B$38,2,FALSE)</f>
        <v>-0.14226422156549004</v>
      </c>
      <c r="H526" t="s">
        <v>17</v>
      </c>
      <c r="I526">
        <f>VLOOKUP(Table4[[#This Row],[Visitor]],'NHL Model'!$A$6:$B$38,2,FALSE)</f>
        <v>-0.81774666423752174</v>
      </c>
      <c r="J526">
        <f>($B$1+Table4[[#This Row],[Home Differential]])-Table4[[#This Row],[Away Differential]]</f>
        <v>0.72538319159519415</v>
      </c>
      <c r="K526" t="str">
        <f>IF(Table4[[#This Row],[HomeIce Differential]]&gt;0,Table4[[#This Row],[Home]],Table4[[#This Row],[Visitor]])</f>
        <v>Pittsburgh Penguins</v>
      </c>
      <c r="L5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0.62469919351055736</v>
      </c>
      <c r="M526" t="str">
        <f>IF(OR((NHL2025_26Results[[#This Row],[Winning Team]]="")),"-",IF(Table4[[#This Row],[Predicted Winner]]=NHL2025_26Results[[#This Row],[Winning Team]],"YES","NO"))</f>
        <v>-</v>
      </c>
      <c r="N526" t="str">
        <f>IF(Table4[[#This Row],[Adjusted Correct]]="-", "",IF(Table4[[#This Row],[Adjusted Correct]]="YES",(Table4[[#This Row],[Strength of Win]]-1)^2,(Table4[[#This Row],[Strength of Win]]-0)^2))</f>
        <v/>
      </c>
      <c r="P526" s="11"/>
    </row>
    <row r="527" spans="4:16" x14ac:dyDescent="0.2">
      <c r="D527" s="1">
        <v>46007</v>
      </c>
      <c r="E527" s="2">
        <v>0.91666666666666663</v>
      </c>
      <c r="F527" t="s">
        <v>32</v>
      </c>
      <c r="G527">
        <f>VLOOKUP(Table4[[#This Row],[Home]],'NHL Model'!$A$6:$B$38,2,FALSE)</f>
        <v>-0.64937723527808999</v>
      </c>
      <c r="H527" t="s">
        <v>12</v>
      </c>
      <c r="I527">
        <f>VLOOKUP(Table4[[#This Row],[Visitor]],'NHL Model'!$A$6:$B$38,2,FALSE)</f>
        <v>1.6319036584269762</v>
      </c>
      <c r="J527">
        <f>($B$1+Table4[[#This Row],[Home Differential]])-Table4[[#This Row],[Away Differential]]</f>
        <v>-2.2313801447819035</v>
      </c>
      <c r="K527" t="str">
        <f>IF(Table4[[#This Row],[HomeIce Differential]]&gt;0,Table4[[#This Row],[Home]],Table4[[#This Row],[Visitor]])</f>
        <v>Colorado Avalanche</v>
      </c>
      <c r="L5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0.79316973383163425</v>
      </c>
      <c r="M527" t="str">
        <f>IF(OR((NHL2025_26Results[[#This Row],[Winning Team]]="")),"-",IF(Table4[[#This Row],[Predicted Winner]]=NHL2025_26Results[[#This Row],[Winning Team]],"YES","NO"))</f>
        <v>-</v>
      </c>
      <c r="N527" t="str">
        <f>IF(Table4[[#This Row],[Adjusted Correct]]="-", "",IF(Table4[[#This Row],[Adjusted Correct]]="YES",(Table4[[#This Row],[Strength of Win]]-1)^2,(Table4[[#This Row],[Strength of Win]]-0)^2))</f>
        <v/>
      </c>
      <c r="P527" s="11"/>
    </row>
    <row r="528" spans="4:16" x14ac:dyDescent="0.2">
      <c r="D528" s="1">
        <v>46007</v>
      </c>
      <c r="E528" s="2">
        <v>0.91666666666666663</v>
      </c>
      <c r="F528" t="s">
        <v>33</v>
      </c>
      <c r="G528">
        <f>VLOOKUP(Table4[[#This Row],[Home]],'NHL Model'!$A$6:$B$38,2,FALSE)</f>
        <v>-0.45133099238224339</v>
      </c>
      <c r="H528" t="s">
        <v>16</v>
      </c>
      <c r="I528">
        <f>VLOOKUP(Table4[[#This Row],[Visitor]],'NHL Model'!$A$6:$B$38,2,FALSE)</f>
        <v>-1.0657812790446208</v>
      </c>
      <c r="J528">
        <f>($B$1+Table4[[#This Row],[Home Differential]])-Table4[[#This Row],[Away Differential]]</f>
        <v>0.66435103558553998</v>
      </c>
      <c r="K528" t="str">
        <f>IF(Table4[[#This Row],[HomeIce Differential]]&gt;0,Table4[[#This Row],[Home]],Table4[[#This Row],[Visitor]])</f>
        <v>San Jose Sharks</v>
      </c>
      <c r="L5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0.62769503791484937</v>
      </c>
      <c r="M528" t="str">
        <f>IF(OR((NHL2025_26Results[[#This Row],[Winning Team]]="")),"-",IF(Table4[[#This Row],[Predicted Winner]]=NHL2025_26Results[[#This Row],[Winning Team]],"YES","NO"))</f>
        <v>-</v>
      </c>
      <c r="N528" t="str">
        <f>IF(Table4[[#This Row],[Adjusted Correct]]="-", "",IF(Table4[[#This Row],[Adjusted Correct]]="YES",(Table4[[#This Row],[Strength of Win]]-1)^2,(Table4[[#This Row],[Strength of Win]]-0)^2))</f>
        <v/>
      </c>
      <c r="P528" s="11"/>
    </row>
    <row r="529" spans="4:16" x14ac:dyDescent="0.2">
      <c r="D529" s="1">
        <v>46007</v>
      </c>
      <c r="E529" s="2">
        <v>0.79166666666666663</v>
      </c>
      <c r="F529" t="s">
        <v>19</v>
      </c>
      <c r="G529">
        <f>VLOOKUP(Table4[[#This Row],[Home]],'NHL Model'!$A$6:$B$38,2,FALSE)</f>
        <v>-0.63447859131898054</v>
      </c>
      <c r="H529" t="s">
        <v>10</v>
      </c>
      <c r="I529">
        <f>VLOOKUP(Table4[[#This Row],[Visitor]],'NHL Model'!$A$6:$B$38,2,FALSE)</f>
        <v>-0.17619625518431364</v>
      </c>
      <c r="J529">
        <f>($B$1+Table4[[#This Row],[Home Differential]])-Table4[[#This Row],[Away Differential]]</f>
        <v>-0.40838158721150447</v>
      </c>
      <c r="K529" t="str">
        <f>IF(Table4[[#This Row],[HomeIce Differential]]&gt;0,Table4[[#This Row],[Home]],Table4[[#This Row],[Visitor]])</f>
        <v>Chicago Blackhawks</v>
      </c>
      <c r="L5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0.50768457758899765</v>
      </c>
      <c r="M529" t="str">
        <f>IF(OR((NHL2025_26Results[[#This Row],[Winning Team]]="")),"-",IF(Table4[[#This Row],[Predicted Winner]]=NHL2025_26Results[[#This Row],[Winning Team]],"YES","NO"))</f>
        <v>-</v>
      </c>
      <c r="N529" t="str">
        <f>IF(Table4[[#This Row],[Adjusted Correct]]="-", "",IF(Table4[[#This Row],[Adjusted Correct]]="YES",(Table4[[#This Row],[Strength of Win]]-1)^2,(Table4[[#This Row],[Strength of Win]]-0)^2))</f>
        <v/>
      </c>
      <c r="P529" s="11"/>
    </row>
    <row r="530" spans="4:16" x14ac:dyDescent="0.2">
      <c r="D530" s="1">
        <v>46008</v>
      </c>
      <c r="E530" s="2">
        <v>0.8125</v>
      </c>
      <c r="F530" t="s">
        <v>26</v>
      </c>
      <c r="G530">
        <f>VLOOKUP(Table4[[#This Row],[Home]],'NHL Model'!$A$6:$B$38,2,FALSE)</f>
        <v>-0.87533956503230947</v>
      </c>
      <c r="H530" t="s">
        <v>55</v>
      </c>
      <c r="I530">
        <f>VLOOKUP(Table4[[#This Row],[Visitor]],'NHL Model'!$A$6:$B$38,2,FALSE)</f>
        <v>-0.4031232890211825</v>
      </c>
      <c r="J530">
        <f>($B$1+Table4[[#This Row],[Home Differential]])-Table4[[#This Row],[Away Differential]]</f>
        <v>-0.42231552708796455</v>
      </c>
      <c r="K530" t="str">
        <f>IF(Table4[[#This Row],[HomeIce Differential]]&gt;0,Table4[[#This Row],[Home]],Table4[[#This Row],[Visitor]])</f>
        <v>Utah Mammoth</v>
      </c>
      <c r="L5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0.50931157071984945</v>
      </c>
      <c r="M530" t="str">
        <f>IF(OR((NHL2025_26Results[[#This Row],[Winning Team]]="")),"-",IF(Table4[[#This Row],[Predicted Winner]]=NHL2025_26Results[[#This Row],[Winning Team]],"YES","NO"))</f>
        <v>-</v>
      </c>
      <c r="N530" t="str">
        <f>IF(Table4[[#This Row],[Adjusted Correct]]="-", "",IF(Table4[[#This Row],[Adjusted Correct]]="YES",(Table4[[#This Row],[Strength of Win]]-1)^2,(Table4[[#This Row],[Strength of Win]]-0)^2))</f>
        <v/>
      </c>
      <c r="P530" s="11"/>
    </row>
    <row r="531" spans="4:16" x14ac:dyDescent="0.2">
      <c r="D531" s="1">
        <v>46008</v>
      </c>
      <c r="E531" s="2">
        <v>0.79166666666666663</v>
      </c>
      <c r="F531" t="s">
        <v>11</v>
      </c>
      <c r="G531">
        <f>VLOOKUP(Table4[[#This Row],[Home]],'NHL Model'!$A$6:$B$38,2,FALSE)</f>
        <v>-0.39711829106410657</v>
      </c>
      <c r="H531" t="s">
        <v>13</v>
      </c>
      <c r="I531">
        <f>VLOOKUP(Table4[[#This Row],[Visitor]],'NHL Model'!$A$6:$B$38,2,FALSE)</f>
        <v>-0.33828359867721369</v>
      </c>
      <c r="J531">
        <f>($B$1+Table4[[#This Row],[Home Differential]])-Table4[[#This Row],[Away Differential]]</f>
        <v>-8.9339434637303872E-3</v>
      </c>
      <c r="K531" t="str">
        <f>IF(Table4[[#This Row],[HomeIce Differential]]&gt;0,Table4[[#This Row],[Home]],Table4[[#This Row],[Visitor]])</f>
        <v>Los Angeles Kings</v>
      </c>
      <c r="L5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0.51323829170620494</v>
      </c>
      <c r="M531" t="str">
        <f>IF(OR((NHL2025_26Results[[#This Row],[Winning Team]]="")),"-",IF(Table4[[#This Row],[Predicted Winner]]=NHL2025_26Results[[#This Row],[Winning Team]],"YES","NO"))</f>
        <v>-</v>
      </c>
      <c r="N531" t="str">
        <f>IF(Table4[[#This Row],[Adjusted Correct]]="-", "",IF(Table4[[#This Row],[Adjusted Correct]]="YES",(Table4[[#This Row],[Strength of Win]]-1)^2,(Table4[[#This Row],[Strength of Win]]-0)^2))</f>
        <v/>
      </c>
      <c r="P531" s="11"/>
    </row>
    <row r="532" spans="4:16" x14ac:dyDescent="0.2">
      <c r="D532" s="1">
        <v>46008</v>
      </c>
      <c r="E532" s="2">
        <v>0.83333333333333337</v>
      </c>
      <c r="F532" t="s">
        <v>29</v>
      </c>
      <c r="G532">
        <f>VLOOKUP(Table4[[#This Row],[Home]],'NHL Model'!$A$6:$B$38,2,FALSE)</f>
        <v>-1.384917283810061</v>
      </c>
      <c r="H532" t="s">
        <v>25</v>
      </c>
      <c r="I532">
        <f>VLOOKUP(Table4[[#This Row],[Visitor]],'NHL Model'!$A$6:$B$38,2,FALSE)</f>
        <v>0.42567513732855267</v>
      </c>
      <c r="J532">
        <f>($B$1+Table4[[#This Row],[Home Differential]])-Table4[[#This Row],[Away Differential]]</f>
        <v>-1.7606916722154513</v>
      </c>
      <c r="K532" t="str">
        <f>IF(Table4[[#This Row],[HomeIce Differential]]&gt;0,Table4[[#This Row],[Home]],Table4[[#This Row],[Visitor]])</f>
        <v>Carolina Hurricanes</v>
      </c>
      <c r="L5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0.73820990779345019</v>
      </c>
      <c r="M532" t="str">
        <f>IF(OR((NHL2025_26Results[[#This Row],[Winning Team]]="")),"-",IF(Table4[[#This Row],[Predicted Winner]]=NHL2025_26Results[[#This Row],[Winning Team]],"YES","NO"))</f>
        <v>-</v>
      </c>
      <c r="N532" t="str">
        <f>IF(Table4[[#This Row],[Adjusted Correct]]="-", "",IF(Table4[[#This Row],[Adjusted Correct]]="YES",(Table4[[#This Row],[Strength of Win]]-1)^2,(Table4[[#This Row],[Strength of Win]]-0)^2))</f>
        <v/>
      </c>
      <c r="P532" s="11"/>
    </row>
    <row r="533" spans="4:16" x14ac:dyDescent="0.2">
      <c r="D533" s="1">
        <v>46008</v>
      </c>
      <c r="E533" s="2">
        <v>0.83333333333333337</v>
      </c>
      <c r="F533" t="s">
        <v>35</v>
      </c>
      <c r="G533">
        <f>VLOOKUP(Table4[[#This Row],[Home]],'NHL Model'!$A$6:$B$38,2,FALSE)</f>
        <v>-1.3944783719477225</v>
      </c>
      <c r="H533" t="s">
        <v>40</v>
      </c>
      <c r="I533">
        <f>VLOOKUP(Table4[[#This Row],[Visitor]],'NHL Model'!$A$6:$B$38,2,FALSE)</f>
        <v>-0.31324182378279158</v>
      </c>
      <c r="J533">
        <f>($B$1+Table4[[#This Row],[Home Differential]])-Table4[[#This Row],[Away Differential]]</f>
        <v>-1.0313357992417684</v>
      </c>
      <c r="K533" t="str">
        <f>IF(Table4[[#This Row],[HomeIce Differential]]&gt;0,Table4[[#This Row],[Home]],Table4[[#This Row],[Visitor]])</f>
        <v>Winnipeg Jets</v>
      </c>
      <c r="L5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0.60119290676073633</v>
      </c>
      <c r="M533" t="str">
        <f>IF(OR((NHL2025_26Results[[#This Row],[Winning Team]]="")),"-",IF(Table4[[#This Row],[Predicted Winner]]=NHL2025_26Results[[#This Row],[Winning Team]],"YES","NO"))</f>
        <v>-</v>
      </c>
      <c r="N533" t="str">
        <f>IF(Table4[[#This Row],[Adjusted Correct]]="-", "",IF(Table4[[#This Row],[Adjusted Correct]]="YES",(Table4[[#This Row],[Strength of Win]]-1)^2,(Table4[[#This Row],[Strength of Win]]-0)^2))</f>
        <v/>
      </c>
      <c r="P533" s="11"/>
    </row>
    <row r="534" spans="4:16" x14ac:dyDescent="0.2">
      <c r="D534" s="1">
        <v>46008</v>
      </c>
      <c r="E534" s="2">
        <v>0.91666666666666663</v>
      </c>
      <c r="F534" t="s">
        <v>20</v>
      </c>
      <c r="G534">
        <f>VLOOKUP(Table4[[#This Row],[Home]],'NHL Model'!$A$6:$B$38,2,FALSE)</f>
        <v>-0.24444083032063643</v>
      </c>
      <c r="H534" t="s">
        <v>24</v>
      </c>
      <c r="I534">
        <f>VLOOKUP(Table4[[#This Row],[Visitor]],'NHL Model'!$A$6:$B$38,2,FALSE)</f>
        <v>1.5302507646042616E-3</v>
      </c>
      <c r="J534">
        <f>($B$1+Table4[[#This Row],[Home Differential]])-Table4[[#This Row],[Away Differential]]</f>
        <v>-0.19607033216207823</v>
      </c>
      <c r="K534" t="str">
        <f>IF(Table4[[#This Row],[HomeIce Differential]]&gt;0,Table4[[#This Row],[Home]],Table4[[#This Row],[Visitor]])</f>
        <v>New Jersey Devils</v>
      </c>
      <c r="L5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0.50366333584072343</v>
      </c>
      <c r="M534" t="str">
        <f>IF(OR((NHL2025_26Results[[#This Row],[Winning Team]]="")),"-",IF(Table4[[#This Row],[Predicted Winner]]=NHL2025_26Results[[#This Row],[Winning Team]],"YES","NO"))</f>
        <v>-</v>
      </c>
      <c r="N534" t="str">
        <f>IF(Table4[[#This Row],[Adjusted Correct]]="-", "",IF(Table4[[#This Row],[Adjusted Correct]]="YES",(Table4[[#This Row],[Strength of Win]]-1)^2,(Table4[[#This Row],[Strength of Win]]-0)^2))</f>
        <v/>
      </c>
      <c r="P534" s="11"/>
    </row>
    <row r="535" spans="4:16" x14ac:dyDescent="0.2">
      <c r="D535" s="1">
        <v>46009</v>
      </c>
      <c r="E535" s="2">
        <v>0.79166666666666663</v>
      </c>
      <c r="F535" t="s">
        <v>21</v>
      </c>
      <c r="G535">
        <f>VLOOKUP(Table4[[#This Row],[Home]],'NHL Model'!$A$6:$B$38,2,FALSE)</f>
        <v>-0.21976976044773161</v>
      </c>
      <c r="H535" t="s">
        <v>17</v>
      </c>
      <c r="I535">
        <f>VLOOKUP(Table4[[#This Row],[Visitor]],'NHL Model'!$A$6:$B$38,2,FALSE)</f>
        <v>-0.81774666423752174</v>
      </c>
      <c r="J535">
        <f>($B$1+Table4[[#This Row],[Home Differential]])-Table4[[#This Row],[Away Differential]]</f>
        <v>0.64787765271295261</v>
      </c>
      <c r="K535" t="str">
        <f>IF(Table4[[#This Row],[HomeIce Differential]]&gt;0,Table4[[#This Row],[Home]],Table4[[#This Row],[Visitor]])</f>
        <v>Boston Bruins</v>
      </c>
      <c r="L5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0.65855083235008804</v>
      </c>
      <c r="M535" t="str">
        <f>IF(OR((NHL2025_26Results[[#This Row],[Winning Team]]="")),"-",IF(Table4[[#This Row],[Predicted Winner]]=NHL2025_26Results[[#This Row],[Winning Team]],"YES","NO"))</f>
        <v>-</v>
      </c>
      <c r="N535" t="str">
        <f>IF(Table4[[#This Row],[Adjusted Correct]]="-", "",IF(Table4[[#This Row],[Adjusted Correct]]="YES",(Table4[[#This Row],[Strength of Win]]-1)^2,(Table4[[#This Row],[Strength of Win]]-0)^2))</f>
        <v/>
      </c>
      <c r="P535" s="11"/>
    </row>
    <row r="536" spans="4:16" x14ac:dyDescent="0.2">
      <c r="D536" s="1">
        <v>46009</v>
      </c>
      <c r="E536" s="2">
        <v>0.8125</v>
      </c>
      <c r="F536" t="s">
        <v>23</v>
      </c>
      <c r="G536">
        <f>VLOOKUP(Table4[[#This Row],[Home]],'NHL Model'!$A$6:$B$38,2,FALSE)</f>
        <v>-0.4761104357405897</v>
      </c>
      <c r="H536" t="s">
        <v>27</v>
      </c>
      <c r="I536">
        <f>VLOOKUP(Table4[[#This Row],[Visitor]],'NHL Model'!$A$6:$B$38,2,FALSE)</f>
        <v>-0.38023958350631604</v>
      </c>
      <c r="J536">
        <f>($B$1+Table4[[#This Row],[Home Differential]])-Table4[[#This Row],[Away Differential]]</f>
        <v>-4.5970103311111177E-2</v>
      </c>
      <c r="K536" t="str">
        <f>IF(Table4[[#This Row],[HomeIce Differential]]&gt;0,Table4[[#This Row],[Home]],Table4[[#This Row],[Visitor]])</f>
        <v>Philadelphia Flyers</v>
      </c>
      <c r="L5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0.49767538033956632</v>
      </c>
      <c r="M536" t="str">
        <f>IF(OR((NHL2025_26Results[[#This Row],[Winning Team]]="")),"-",IF(Table4[[#This Row],[Predicted Winner]]=NHL2025_26Results[[#This Row],[Winning Team]],"YES","NO"))</f>
        <v>-</v>
      </c>
      <c r="N536" t="str">
        <f>IF(Table4[[#This Row],[Adjusted Correct]]="-", "",IF(Table4[[#This Row],[Adjusted Correct]]="YES",(Table4[[#This Row],[Strength of Win]]-1)^2,(Table4[[#This Row],[Strength of Win]]-0)^2))</f>
        <v/>
      </c>
      <c r="P536" s="11"/>
    </row>
    <row r="537" spans="4:16" x14ac:dyDescent="0.2">
      <c r="D537" s="1">
        <v>46009</v>
      </c>
      <c r="E537" s="2">
        <v>0.79166666666666663</v>
      </c>
      <c r="F537" t="s">
        <v>28</v>
      </c>
      <c r="G537">
        <f>VLOOKUP(Table4[[#This Row],[Home]],'NHL Model'!$A$6:$B$38,2,FALSE)</f>
        <v>-0.59498940435054026</v>
      </c>
      <c r="H537" t="s">
        <v>34</v>
      </c>
      <c r="I537">
        <f>VLOOKUP(Table4[[#This Row],[Visitor]],'NHL Model'!$A$6:$B$38,2,FALSE)</f>
        <v>-5.5124787449478845E-2</v>
      </c>
      <c r="J537">
        <f>($B$1+Table4[[#This Row],[Home Differential]])-Table4[[#This Row],[Away Differential]]</f>
        <v>-0.48996386797789898</v>
      </c>
      <c r="K537" t="str">
        <f>IF(Table4[[#This Row],[HomeIce Differential]]&gt;0,Table4[[#This Row],[Home]],Table4[[#This Row],[Visitor]])</f>
        <v>Minnesota Wild</v>
      </c>
      <c r="L5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0.55972307575107316</v>
      </c>
      <c r="M537" t="str">
        <f>IF(OR((NHL2025_26Results[[#This Row],[Winning Team]]="")),"-",IF(Table4[[#This Row],[Predicted Winner]]=NHL2025_26Results[[#This Row],[Winning Team]],"YES","NO"))</f>
        <v>-</v>
      </c>
      <c r="N537" t="str">
        <f>IF(Table4[[#This Row],[Adjusted Correct]]="-", "",IF(Table4[[#This Row],[Adjusted Correct]]="YES",(Table4[[#This Row],[Strength of Win]]-1)^2,(Table4[[#This Row],[Strength of Win]]-0)^2))</f>
        <v/>
      </c>
      <c r="P537" s="11"/>
    </row>
    <row r="538" spans="4:16" x14ac:dyDescent="0.2">
      <c r="D538" s="1">
        <v>46009</v>
      </c>
      <c r="E538" s="2">
        <v>0.875</v>
      </c>
      <c r="F538" t="s">
        <v>16</v>
      </c>
      <c r="G538">
        <f>VLOOKUP(Table4[[#This Row],[Home]],'NHL Model'!$A$6:$B$38,2,FALSE)</f>
        <v>-1.0657812790446208</v>
      </c>
      <c r="H538" t="s">
        <v>32</v>
      </c>
      <c r="I538">
        <f>VLOOKUP(Table4[[#This Row],[Visitor]],'NHL Model'!$A$6:$B$38,2,FALSE)</f>
        <v>-0.64937723527808999</v>
      </c>
      <c r="J538">
        <f>($B$1+Table4[[#This Row],[Home Differential]])-Table4[[#This Row],[Away Differential]]</f>
        <v>-0.36650329484336841</v>
      </c>
      <c r="K538" t="str">
        <f>IF(Table4[[#This Row],[HomeIce Differential]]&gt;0,Table4[[#This Row],[Home]],Table4[[#This Row],[Visitor]])</f>
        <v>Seattle Kraken</v>
      </c>
      <c r="L5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0.50279466887553537</v>
      </c>
      <c r="M538" t="str">
        <f>IF(OR((NHL2025_26Results[[#This Row],[Winning Team]]="")),"-",IF(Table4[[#This Row],[Predicted Winner]]=NHL2025_26Results[[#This Row],[Winning Team]],"YES","NO"))</f>
        <v>-</v>
      </c>
      <c r="N538" t="str">
        <f>IF(Table4[[#This Row],[Adjusted Correct]]="-", "",IF(Table4[[#This Row],[Adjusted Correct]]="YES",(Table4[[#This Row],[Strength of Win]]-1)^2,(Table4[[#This Row],[Strength of Win]]-0)^2))</f>
        <v/>
      </c>
      <c r="P538" s="11"/>
    </row>
    <row r="539" spans="4:16" x14ac:dyDescent="0.2">
      <c r="D539" s="1">
        <v>46009</v>
      </c>
      <c r="E539" s="2">
        <v>0.79166666666666663</v>
      </c>
      <c r="F539" t="s">
        <v>18</v>
      </c>
      <c r="G539">
        <f>VLOOKUP(Table4[[#This Row],[Home]],'NHL Model'!$A$6:$B$38,2,FALSE)</f>
        <v>-0.59288962827382519</v>
      </c>
      <c r="H539" t="s">
        <v>10</v>
      </c>
      <c r="I539">
        <f>VLOOKUP(Table4[[#This Row],[Visitor]],'NHL Model'!$A$6:$B$38,2,FALSE)</f>
        <v>-0.17619625518431364</v>
      </c>
      <c r="J539">
        <f>($B$1+Table4[[#This Row],[Home Differential]])-Table4[[#This Row],[Away Differential]]</f>
        <v>-0.36679262416634911</v>
      </c>
      <c r="K539" t="str">
        <f>IF(Table4[[#This Row],[HomeIce Differential]]&gt;0,Table4[[#This Row],[Home]],Table4[[#This Row],[Visitor]])</f>
        <v>Chicago Blackhawks</v>
      </c>
      <c r="L5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0.50282845234418938</v>
      </c>
      <c r="M539" t="str">
        <f>IF(OR((NHL2025_26Results[[#This Row],[Winning Team]]="")),"-",IF(Table4[[#This Row],[Predicted Winner]]=NHL2025_26Results[[#This Row],[Winning Team]],"YES","NO"))</f>
        <v>-</v>
      </c>
      <c r="N539" t="str">
        <f>IF(Table4[[#This Row],[Adjusted Correct]]="-", "",IF(Table4[[#This Row],[Adjusted Correct]]="YES",(Table4[[#This Row],[Strength of Win]]-1)^2,(Table4[[#This Row],[Strength of Win]]-0)^2))</f>
        <v/>
      </c>
      <c r="P539" s="11"/>
    </row>
    <row r="540" spans="4:16" x14ac:dyDescent="0.2">
      <c r="D540" s="1">
        <v>46009</v>
      </c>
      <c r="E540" s="2">
        <v>0.79166666666666663</v>
      </c>
      <c r="F540" t="s">
        <v>36</v>
      </c>
      <c r="G540">
        <f>VLOOKUP(Table4[[#This Row],[Home]],'NHL Model'!$A$6:$B$38,2,FALSE)</f>
        <v>-0.53137605086483863</v>
      </c>
      <c r="H540" t="s">
        <v>14</v>
      </c>
      <c r="I540">
        <f>VLOOKUP(Table4[[#This Row],[Visitor]],'NHL Model'!$A$6:$B$38,2,FALSE)</f>
        <v>-0.14226422156549004</v>
      </c>
      <c r="J540">
        <f>($B$1+Table4[[#This Row],[Home Differential]])-Table4[[#This Row],[Away Differential]]</f>
        <v>-0.33921108037618608</v>
      </c>
      <c r="K540" t="str">
        <f>IF(Table4[[#This Row],[HomeIce Differential]]&gt;0,Table4[[#This Row],[Home]],Table4[[#This Row],[Visitor]])</f>
        <v>Pittsburgh Penguins</v>
      </c>
      <c r="L5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0.5363820935805419</v>
      </c>
      <c r="M540" t="str">
        <f>IF(OR((NHL2025_26Results[[#This Row],[Winning Team]]="")),"-",IF(Table4[[#This Row],[Predicted Winner]]=NHL2025_26Results[[#This Row],[Winning Team]],"YES","NO"))</f>
        <v>-</v>
      </c>
      <c r="N540" t="str">
        <f>IF(Table4[[#This Row],[Adjusted Correct]]="-", "",IF(Table4[[#This Row],[Adjusted Correct]]="YES",(Table4[[#This Row],[Strength of Win]]-1)^2,(Table4[[#This Row],[Strength of Win]]-0)^2))</f>
        <v/>
      </c>
      <c r="P540" s="11"/>
    </row>
    <row r="541" spans="4:16" x14ac:dyDescent="0.2">
      <c r="D541" s="1">
        <v>46009</v>
      </c>
      <c r="E541" s="2">
        <v>0.91666666666666663</v>
      </c>
      <c r="F541" t="s">
        <v>33</v>
      </c>
      <c r="G541">
        <f>VLOOKUP(Table4[[#This Row],[Home]],'NHL Model'!$A$6:$B$38,2,FALSE)</f>
        <v>-0.45133099238224339</v>
      </c>
      <c r="H541" t="s">
        <v>39</v>
      </c>
      <c r="I541">
        <f>VLOOKUP(Table4[[#This Row],[Visitor]],'NHL Model'!$A$6:$B$38,2,FALSE)</f>
        <v>0.41344250185511977</v>
      </c>
      <c r="J541">
        <f>($B$1+Table4[[#This Row],[Home Differential]])-Table4[[#This Row],[Away Differential]]</f>
        <v>-0.81487274531420062</v>
      </c>
      <c r="K541" t="str">
        <f>IF(Table4[[#This Row],[HomeIce Differential]]&gt;0,Table4[[#This Row],[Home]],Table4[[#This Row],[Visitor]])</f>
        <v>Dallas Stars</v>
      </c>
      <c r="L5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0.64687255760983398</v>
      </c>
      <c r="M541" t="str">
        <f>IF(OR((NHL2025_26Results[[#This Row],[Winning Team]]="")),"-",IF(Table4[[#This Row],[Predicted Winner]]=NHL2025_26Results[[#This Row],[Winning Team]],"YES","NO"))</f>
        <v>-</v>
      </c>
      <c r="N541" t="str">
        <f>IF(Table4[[#This Row],[Adjusted Correct]]="-", "",IF(Table4[[#This Row],[Adjusted Correct]]="YES",(Table4[[#This Row],[Strength of Win]]-1)^2,(Table4[[#This Row],[Strength of Win]]-0)^2))</f>
        <v/>
      </c>
      <c r="P541" s="11"/>
    </row>
    <row r="542" spans="4:16" x14ac:dyDescent="0.2">
      <c r="D542" s="1">
        <v>46009</v>
      </c>
      <c r="E542" s="2">
        <v>0.83333333333333337</v>
      </c>
      <c r="F542" t="s">
        <v>35</v>
      </c>
      <c r="G542">
        <f>VLOOKUP(Table4[[#This Row],[Home]],'NHL Model'!$A$6:$B$38,2,FALSE)</f>
        <v>-1.3944783719477225</v>
      </c>
      <c r="H542" t="s">
        <v>15</v>
      </c>
      <c r="I542">
        <f>VLOOKUP(Table4[[#This Row],[Visitor]],'NHL Model'!$A$6:$B$38,2,FALSE)</f>
        <v>-0.29003398448394263</v>
      </c>
      <c r="J542">
        <f>($B$1+Table4[[#This Row],[Home Differential]])-Table4[[#This Row],[Away Differential]]</f>
        <v>-1.0545436385406175</v>
      </c>
      <c r="K542" t="str">
        <f>IF(Table4[[#This Row],[HomeIce Differential]]&gt;0,Table4[[#This Row],[Home]],Table4[[#This Row],[Visitor]])</f>
        <v>New York Rangers</v>
      </c>
      <c r="L5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0.68321500014802006</v>
      </c>
      <c r="M542" t="str">
        <f>IF(OR((NHL2025_26Results[[#This Row],[Winning Team]]="")),"-",IF(Table4[[#This Row],[Predicted Winner]]=NHL2025_26Results[[#This Row],[Winning Team]],"YES","NO"))</f>
        <v>-</v>
      </c>
      <c r="N542" t="str">
        <f>IF(Table4[[#This Row],[Adjusted Correct]]="-", "",IF(Table4[[#This Row],[Adjusted Correct]]="YES",(Table4[[#This Row],[Strength of Win]]-1)^2,(Table4[[#This Row],[Strength of Win]]-0)^2))</f>
        <v/>
      </c>
      <c r="P542" s="11"/>
    </row>
    <row r="543" spans="4:16" x14ac:dyDescent="0.2">
      <c r="D543" s="1">
        <v>46009</v>
      </c>
      <c r="E543" s="2">
        <v>0.79166666666666663</v>
      </c>
      <c r="F543" t="s">
        <v>37</v>
      </c>
      <c r="G543">
        <f>VLOOKUP(Table4[[#This Row],[Home]],'NHL Model'!$A$6:$B$38,2,FALSE)</f>
        <v>0.51050494674660429</v>
      </c>
      <c r="H543" t="s">
        <v>13</v>
      </c>
      <c r="I543">
        <f>VLOOKUP(Table4[[#This Row],[Visitor]],'NHL Model'!$A$6:$B$38,2,FALSE)</f>
        <v>-0.33828359867721369</v>
      </c>
      <c r="J543">
        <f>($B$1+Table4[[#This Row],[Home Differential]])-Table4[[#This Row],[Away Differential]]</f>
        <v>0.89868929434698042</v>
      </c>
      <c r="K543" t="str">
        <f>IF(Table4[[#This Row],[HomeIce Differential]]&gt;0,Table4[[#This Row],[Home]],Table4[[#This Row],[Visitor]])</f>
        <v>Tampa Bay Lightning</v>
      </c>
      <c r="L5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0.6112643527464019</v>
      </c>
      <c r="M543" t="str">
        <f>IF(OR((NHL2025_26Results[[#This Row],[Winning Team]]="")),"-",IF(Table4[[#This Row],[Predicted Winner]]=NHL2025_26Results[[#This Row],[Winning Team]],"YES","NO"))</f>
        <v>-</v>
      </c>
      <c r="N543" t="str">
        <f>IF(Table4[[#This Row],[Adjusted Correct]]="-", "",IF(Table4[[#This Row],[Adjusted Correct]]="YES",(Table4[[#This Row],[Strength of Win]]-1)^2,(Table4[[#This Row],[Strength of Win]]-0)^2))</f>
        <v/>
      </c>
      <c r="P543" s="11"/>
    </row>
    <row r="544" spans="4:16" x14ac:dyDescent="0.2">
      <c r="D544" s="1">
        <v>46009</v>
      </c>
      <c r="E544" s="2">
        <v>0.79166666666666663</v>
      </c>
      <c r="F544" t="s">
        <v>22</v>
      </c>
      <c r="G544">
        <f>VLOOKUP(Table4[[#This Row],[Home]],'NHL Model'!$A$6:$B$38,2,FALSE)</f>
        <v>0.4407072328537569</v>
      </c>
      <c r="H544" t="s">
        <v>19</v>
      </c>
      <c r="I544">
        <f>VLOOKUP(Table4[[#This Row],[Visitor]],'NHL Model'!$A$6:$B$38,2,FALSE)</f>
        <v>-0.63447859131898054</v>
      </c>
      <c r="J544">
        <f>($B$1+Table4[[#This Row],[Home Differential]])-Table4[[#This Row],[Away Differential]]</f>
        <v>1.1250865730958999</v>
      </c>
      <c r="K544" t="str">
        <f>IF(Table4[[#This Row],[HomeIce Differential]]&gt;0,Table4[[#This Row],[Home]],Table4[[#This Row],[Visitor]])</f>
        <v>Washington Capitals</v>
      </c>
      <c r="L5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0.69740819835070078</v>
      </c>
      <c r="M544" t="str">
        <f>IF(OR((NHL2025_26Results[[#This Row],[Winning Team]]="")),"-",IF(Table4[[#This Row],[Predicted Winner]]=NHL2025_26Results[[#This Row],[Winning Team]],"YES","NO"))</f>
        <v>-</v>
      </c>
      <c r="N544" t="str">
        <f>IF(Table4[[#This Row],[Adjusted Correct]]="-", "",IF(Table4[[#This Row],[Adjusted Correct]]="YES",(Table4[[#This Row],[Strength of Win]]-1)^2,(Table4[[#This Row],[Strength of Win]]-0)^2))</f>
        <v/>
      </c>
      <c r="P544" s="11"/>
    </row>
    <row r="545" spans="4:16" x14ac:dyDescent="0.2">
      <c r="D545" s="1">
        <v>46010</v>
      </c>
      <c r="E545" s="2">
        <v>0.91666666666666663</v>
      </c>
      <c r="F545" t="s">
        <v>31</v>
      </c>
      <c r="G545">
        <f>VLOOKUP(Table4[[#This Row],[Home]],'NHL Model'!$A$6:$B$38,2,FALSE)</f>
        <v>0.17870302183926629</v>
      </c>
      <c r="H545" t="s">
        <v>39</v>
      </c>
      <c r="I545">
        <f>VLOOKUP(Table4[[#This Row],[Visitor]],'NHL Model'!$A$6:$B$38,2,FALSE)</f>
        <v>0.41344250185511977</v>
      </c>
      <c r="J545">
        <f>($B$1+Table4[[#This Row],[Home Differential]])-Table4[[#This Row],[Away Differential]]</f>
        <v>-0.18483873109269103</v>
      </c>
      <c r="K545" t="str">
        <f>IF(Table4[[#This Row],[HomeIce Differential]]&gt;0,Table4[[#This Row],[Home]],Table4[[#This Row],[Visitor]])</f>
        <v>Dallas Stars</v>
      </c>
      <c r="L5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0.50158264988004087</v>
      </c>
      <c r="M545" t="str">
        <f>IF(OR((NHL2025_26Results[[#This Row],[Winning Team]]="")),"-",IF(Table4[[#This Row],[Predicted Winner]]=NHL2025_26Results[[#This Row],[Winning Team]],"YES","NO"))</f>
        <v>-</v>
      </c>
      <c r="N545" t="str">
        <f>IF(Table4[[#This Row],[Adjusted Correct]]="-", "",IF(Table4[[#This Row],[Adjusted Correct]]="YES",(Table4[[#This Row],[Strength of Win]]-1)^2,(Table4[[#This Row],[Strength of Win]]-0)^2))</f>
        <v/>
      </c>
      <c r="P545" s="11"/>
    </row>
    <row r="546" spans="4:16" x14ac:dyDescent="0.2">
      <c r="D546" s="1">
        <v>46010</v>
      </c>
      <c r="E546" s="2">
        <v>0.875</v>
      </c>
      <c r="F546" t="s">
        <v>12</v>
      </c>
      <c r="G546">
        <f>VLOOKUP(Table4[[#This Row],[Home]],'NHL Model'!$A$6:$B$38,2,FALSE)</f>
        <v>1.6319036584269762</v>
      </c>
      <c r="H546" t="s">
        <v>40</v>
      </c>
      <c r="I546">
        <f>VLOOKUP(Table4[[#This Row],[Visitor]],'NHL Model'!$A$6:$B$38,2,FALSE)</f>
        <v>-0.31324182378279158</v>
      </c>
      <c r="J546">
        <f>($B$1+Table4[[#This Row],[Home Differential]])-Table4[[#This Row],[Away Differential]]</f>
        <v>1.9950462311329302</v>
      </c>
      <c r="K546" t="str">
        <f>IF(Table4[[#This Row],[HomeIce Differential]]&gt;0,Table4[[#This Row],[Home]],Table4[[#This Row],[Visitor]])</f>
        <v>Colorado Avalanche</v>
      </c>
      <c r="L5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0.85795109226563959</v>
      </c>
      <c r="M546" t="str">
        <f>IF(OR((NHL2025_26Results[[#This Row],[Winning Team]]="")),"-",IF(Table4[[#This Row],[Predicted Winner]]=NHL2025_26Results[[#This Row],[Winning Team]],"YES","NO"))</f>
        <v>-</v>
      </c>
      <c r="N546" t="str">
        <f>IF(Table4[[#This Row],[Adjusted Correct]]="-", "",IF(Table4[[#This Row],[Adjusted Correct]]="YES",(Table4[[#This Row],[Strength of Win]]-1)^2,(Table4[[#This Row],[Strength of Win]]-0)^2))</f>
        <v/>
      </c>
      <c r="P546" s="11"/>
    </row>
    <row r="547" spans="4:16" x14ac:dyDescent="0.2">
      <c r="D547" s="1">
        <v>46010</v>
      </c>
      <c r="E547" s="2">
        <v>0.79166666666666663</v>
      </c>
      <c r="F547" t="s">
        <v>11</v>
      </c>
      <c r="G547">
        <f>VLOOKUP(Table4[[#This Row],[Home]],'NHL Model'!$A$6:$B$38,2,FALSE)</f>
        <v>-0.39711829106410657</v>
      </c>
      <c r="H547" t="s">
        <v>25</v>
      </c>
      <c r="I547">
        <f>VLOOKUP(Table4[[#This Row],[Visitor]],'NHL Model'!$A$6:$B$38,2,FALSE)</f>
        <v>0.42567513732855267</v>
      </c>
      <c r="J547">
        <f>($B$1+Table4[[#This Row],[Home Differential]])-Table4[[#This Row],[Away Differential]]</f>
        <v>-0.7728926794694968</v>
      </c>
      <c r="K547" t="str">
        <f>IF(Table4[[#This Row],[HomeIce Differential]]&gt;0,Table4[[#This Row],[Home]],Table4[[#This Row],[Visitor]])</f>
        <v>Carolina Hurricanes</v>
      </c>
      <c r="L5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0.60876514592839726</v>
      </c>
      <c r="M547" t="str">
        <f>IF(OR((NHL2025_26Results[[#This Row],[Winning Team]]="")),"-",IF(Table4[[#This Row],[Predicted Winner]]=NHL2025_26Results[[#This Row],[Winning Team]],"YES","NO"))</f>
        <v>-</v>
      </c>
      <c r="N547" t="str">
        <f>IF(Table4[[#This Row],[Adjusted Correct]]="-", "",IF(Table4[[#This Row],[Adjusted Correct]]="YES",(Table4[[#This Row],[Strength of Win]]-1)^2,(Table4[[#This Row],[Strength of Win]]-0)^2))</f>
        <v/>
      </c>
      <c r="P547" s="11"/>
    </row>
    <row r="548" spans="4:16" x14ac:dyDescent="0.2">
      <c r="D548" s="1">
        <v>46010</v>
      </c>
      <c r="E548" s="2">
        <v>0.79166666666666663</v>
      </c>
      <c r="F548" t="s">
        <v>30</v>
      </c>
      <c r="G548">
        <f>VLOOKUP(Table4[[#This Row],[Home]],'NHL Model'!$A$6:$B$38,2,FALSE)</f>
        <v>-0.24093199744133265</v>
      </c>
      <c r="H548" t="s">
        <v>38</v>
      </c>
      <c r="I548">
        <f>VLOOKUP(Table4[[#This Row],[Visitor]],'NHL Model'!$A$6:$B$38,2,FALSE)</f>
        <v>-0.9476777551108041</v>
      </c>
      <c r="J548">
        <f>($B$1+Table4[[#This Row],[Home Differential]])-Table4[[#This Row],[Away Differential]]</f>
        <v>0.75664650659263388</v>
      </c>
      <c r="K548" t="str">
        <f>IF(Table4[[#This Row],[HomeIce Differential]]&gt;0,Table4[[#This Row],[Home]],Table4[[#This Row],[Visitor]])</f>
        <v>New York Islanders</v>
      </c>
      <c r="L5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0.62477348800970889</v>
      </c>
      <c r="M548" t="str">
        <f>IF(OR((NHL2025_26Results[[#This Row],[Winning Team]]="")),"-",IF(Table4[[#This Row],[Predicted Winner]]=NHL2025_26Results[[#This Row],[Winning Team]],"YES","NO"))</f>
        <v>-</v>
      </c>
      <c r="N548" t="str">
        <f>IF(Table4[[#This Row],[Adjusted Correct]]="-", "",IF(Table4[[#This Row],[Adjusted Correct]]="YES",(Table4[[#This Row],[Strength of Win]]-1)^2,(Table4[[#This Row],[Strength of Win]]-0)^2))</f>
        <v/>
      </c>
      <c r="P548" s="11"/>
    </row>
    <row r="549" spans="4:16" x14ac:dyDescent="0.2">
      <c r="D549" s="1">
        <v>46010</v>
      </c>
      <c r="E549" s="2">
        <v>0.875</v>
      </c>
      <c r="F549" t="s">
        <v>55</v>
      </c>
      <c r="G549">
        <f>VLOOKUP(Table4[[#This Row],[Home]],'NHL Model'!$A$6:$B$38,2,FALSE)</f>
        <v>-0.4031232890211825</v>
      </c>
      <c r="H549" t="s">
        <v>24</v>
      </c>
      <c r="I549">
        <f>VLOOKUP(Table4[[#This Row],[Visitor]],'NHL Model'!$A$6:$B$38,2,FALSE)</f>
        <v>1.5302507646042616E-3</v>
      </c>
      <c r="J549">
        <f>($B$1+Table4[[#This Row],[Home Differential]])-Table4[[#This Row],[Away Differential]]</f>
        <v>-0.35475279086262429</v>
      </c>
      <c r="K549" t="str">
        <f>IF(Table4[[#This Row],[HomeIce Differential]]&gt;0,Table4[[#This Row],[Home]],Table4[[#This Row],[Visitor]])</f>
        <v>New Jersey Devils</v>
      </c>
      <c r="L5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0.48142262411072223</v>
      </c>
      <c r="M549" t="str">
        <f>IF(OR((NHL2025_26Results[[#This Row],[Winning Team]]="")),"-",IF(Table4[[#This Row],[Predicted Winner]]=NHL2025_26Results[[#This Row],[Winning Team]],"YES","NO"))</f>
        <v>-</v>
      </c>
      <c r="N549" t="str">
        <f>IF(Table4[[#This Row],[Adjusted Correct]]="-", "",IF(Table4[[#This Row],[Adjusted Correct]]="YES",(Table4[[#This Row],[Strength of Win]]-1)^2,(Table4[[#This Row],[Strength of Win]]-0)^2))</f>
        <v/>
      </c>
      <c r="P549" s="11"/>
    </row>
    <row r="550" spans="4:16" x14ac:dyDescent="0.2">
      <c r="D550" s="1">
        <v>46011</v>
      </c>
      <c r="E550" s="2">
        <v>0.91666666666666663</v>
      </c>
      <c r="F550" t="s">
        <v>31</v>
      </c>
      <c r="G550">
        <f>VLOOKUP(Table4[[#This Row],[Home]],'NHL Model'!$A$6:$B$38,2,FALSE)</f>
        <v>0.17870302183926629</v>
      </c>
      <c r="H550" t="s">
        <v>28</v>
      </c>
      <c r="I550">
        <f>VLOOKUP(Table4[[#This Row],[Visitor]],'NHL Model'!$A$6:$B$38,2,FALSE)</f>
        <v>-0.59498940435054026</v>
      </c>
      <c r="J550">
        <f>($B$1+Table4[[#This Row],[Home Differential]])-Table4[[#This Row],[Away Differential]]</f>
        <v>0.82359317511296903</v>
      </c>
      <c r="K550" t="str">
        <f>IF(Table4[[#This Row],[HomeIce Differential]]&gt;0,Table4[[#This Row],[Home]],Table4[[#This Row],[Visitor]])</f>
        <v>Anaheim Ducks</v>
      </c>
      <c r="L5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0.71260501472654725</v>
      </c>
      <c r="M550" t="str">
        <f>IF(OR((NHL2025_26Results[[#This Row],[Winning Team]]="")),"-",IF(Table4[[#This Row],[Predicted Winner]]=NHL2025_26Results[[#This Row],[Winning Team]],"YES","NO"))</f>
        <v>-</v>
      </c>
      <c r="N550" t="str">
        <f>IF(Table4[[#This Row],[Adjusted Correct]]="-", "",IF(Table4[[#This Row],[Adjusted Correct]]="YES",(Table4[[#This Row],[Strength of Win]]-1)^2,(Table4[[#This Row],[Strength of Win]]-0)^2))</f>
        <v/>
      </c>
      <c r="P550" s="11"/>
    </row>
    <row r="551" spans="4:16" x14ac:dyDescent="0.2">
      <c r="D551" s="1">
        <v>46011</v>
      </c>
      <c r="E551" s="2">
        <v>0.79166666666666663</v>
      </c>
      <c r="F551" t="s">
        <v>21</v>
      </c>
      <c r="G551">
        <f>VLOOKUP(Table4[[#This Row],[Home]],'NHL Model'!$A$6:$B$38,2,FALSE)</f>
        <v>-0.21976976044773161</v>
      </c>
      <c r="H551" t="s">
        <v>38</v>
      </c>
      <c r="I551">
        <f>VLOOKUP(Table4[[#This Row],[Visitor]],'NHL Model'!$A$6:$B$38,2,FALSE)</f>
        <v>-0.9476777551108041</v>
      </c>
      <c r="J551">
        <f>($B$1+Table4[[#This Row],[Home Differential]])-Table4[[#This Row],[Away Differential]]</f>
        <v>0.77780874358623497</v>
      </c>
      <c r="K551" t="str">
        <f>IF(Table4[[#This Row],[HomeIce Differential]]&gt;0,Table4[[#This Row],[Home]],Table4[[#This Row],[Visitor]])</f>
        <v>Boston Bruins</v>
      </c>
      <c r="L5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0.67021979208233717</v>
      </c>
      <c r="M551" t="str">
        <f>IF(OR((NHL2025_26Results[[#This Row],[Winning Team]]="")),"-",IF(Table4[[#This Row],[Predicted Winner]]=NHL2025_26Results[[#This Row],[Winning Team]],"YES","NO"))</f>
        <v>-</v>
      </c>
      <c r="N551" t="str">
        <f>IF(Table4[[#This Row],[Adjusted Correct]]="-", "",IF(Table4[[#This Row],[Adjusted Correct]]="YES",(Table4[[#This Row],[Strength of Win]]-1)^2,(Table4[[#This Row],[Strength of Win]]-0)^2))</f>
        <v/>
      </c>
      <c r="P551" s="11"/>
    </row>
    <row r="552" spans="4:16" x14ac:dyDescent="0.2">
      <c r="D552" s="1">
        <v>46011</v>
      </c>
      <c r="E552" s="2">
        <v>0.70833333333333337</v>
      </c>
      <c r="F552" t="s">
        <v>23</v>
      </c>
      <c r="G552">
        <f>VLOOKUP(Table4[[#This Row],[Home]],'NHL Model'!$A$6:$B$38,2,FALSE)</f>
        <v>-0.4761104357405897</v>
      </c>
      <c r="H552" t="s">
        <v>30</v>
      </c>
      <c r="I552">
        <f>VLOOKUP(Table4[[#This Row],[Visitor]],'NHL Model'!$A$6:$B$38,2,FALSE)</f>
        <v>-0.24093199744133265</v>
      </c>
      <c r="J552">
        <f>($B$1+Table4[[#This Row],[Home Differential]])-Table4[[#This Row],[Away Differential]]</f>
        <v>-0.18527768937609457</v>
      </c>
      <c r="K552" t="str">
        <f>IF(Table4[[#This Row],[HomeIce Differential]]&gt;0,Table4[[#This Row],[Home]],Table4[[#This Row],[Visitor]])</f>
        <v>New York Islanders</v>
      </c>
      <c r="L5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0.54408288433002694</v>
      </c>
      <c r="M552" t="str">
        <f>IF(OR((NHL2025_26Results[[#This Row],[Winning Team]]="")),"-",IF(Table4[[#This Row],[Predicted Winner]]=NHL2025_26Results[[#This Row],[Winning Team]],"YES","NO"))</f>
        <v>-</v>
      </c>
      <c r="N552" t="str">
        <f>IF(Table4[[#This Row],[Adjusted Correct]]="-", "",IF(Table4[[#This Row],[Adjusted Correct]]="YES",(Table4[[#This Row],[Strength of Win]]-1)^2,(Table4[[#This Row],[Strength of Win]]-0)^2))</f>
        <v/>
      </c>
      <c r="P552" s="11"/>
    </row>
    <row r="553" spans="4:16" x14ac:dyDescent="0.2">
      <c r="D553" s="1">
        <v>46011</v>
      </c>
      <c r="E553" s="2">
        <v>0.91666666666666663</v>
      </c>
      <c r="F553" t="s">
        <v>16</v>
      </c>
      <c r="G553">
        <f>VLOOKUP(Table4[[#This Row],[Home]],'NHL Model'!$A$6:$B$38,2,FALSE)</f>
        <v>-1.0657812790446208</v>
      </c>
      <c r="H553" t="s">
        <v>20</v>
      </c>
      <c r="I553">
        <f>VLOOKUP(Table4[[#This Row],[Visitor]],'NHL Model'!$A$6:$B$38,2,FALSE)</f>
        <v>-0.24444083032063643</v>
      </c>
      <c r="J553">
        <f>($B$1+Table4[[#This Row],[Home Differential]])-Table4[[#This Row],[Away Differential]]</f>
        <v>-0.77143969980082194</v>
      </c>
      <c r="K553" t="str">
        <f>IF(Table4[[#This Row],[HomeIce Differential]]&gt;0,Table4[[#This Row],[Home]],Table4[[#This Row],[Visitor]])</f>
        <v>Vegas Golden Knights</v>
      </c>
      <c r="L5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0.55007697058911142</v>
      </c>
      <c r="M553" t="str">
        <f>IF(OR((NHL2025_26Results[[#This Row],[Winning Team]]="")),"-",IF(Table4[[#This Row],[Predicted Winner]]=NHL2025_26Results[[#This Row],[Winning Team]],"YES","NO"))</f>
        <v>-</v>
      </c>
      <c r="N553" t="str">
        <f>IF(Table4[[#This Row],[Adjusted Correct]]="-", "",IF(Table4[[#This Row],[Adjusted Correct]]="YES",(Table4[[#This Row],[Strength of Win]]-1)^2,(Table4[[#This Row],[Strength of Win]]-0)^2))</f>
        <v/>
      </c>
      <c r="P553" s="11"/>
    </row>
    <row r="554" spans="4:16" x14ac:dyDescent="0.2">
      <c r="D554" s="1">
        <v>46011</v>
      </c>
      <c r="E554" s="2">
        <v>0.75</v>
      </c>
      <c r="F554" t="s">
        <v>11</v>
      </c>
      <c r="G554">
        <f>VLOOKUP(Table4[[#This Row],[Home]],'NHL Model'!$A$6:$B$38,2,FALSE)</f>
        <v>-0.39711829106410657</v>
      </c>
      <c r="H554" t="s">
        <v>35</v>
      </c>
      <c r="I554">
        <f>VLOOKUP(Table4[[#This Row],[Visitor]],'NHL Model'!$A$6:$B$38,2,FALSE)</f>
        <v>-1.3944783719477225</v>
      </c>
      <c r="J554">
        <f>($B$1+Table4[[#This Row],[Home Differential]])-Table4[[#This Row],[Away Differential]]</f>
        <v>1.0472608298067785</v>
      </c>
      <c r="K554" t="str">
        <f>IF(Table4[[#This Row],[HomeIce Differential]]&gt;0,Table4[[#This Row],[Home]],Table4[[#This Row],[Visitor]])</f>
        <v>Florida Panthers</v>
      </c>
      <c r="L5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0.67629977884526182</v>
      </c>
      <c r="M554" t="str">
        <f>IF(OR((NHL2025_26Results[[#This Row],[Winning Team]]="")),"-",IF(Table4[[#This Row],[Predicted Winner]]=NHL2025_26Results[[#This Row],[Winning Team]],"YES","NO"))</f>
        <v>-</v>
      </c>
      <c r="N554" t="str">
        <f>IF(Table4[[#This Row],[Adjusted Correct]]="-", "",IF(Table4[[#This Row],[Adjusted Correct]]="YES",(Table4[[#This Row],[Strength of Win]]-1)^2,(Table4[[#This Row],[Strength of Win]]-0)^2))</f>
        <v/>
      </c>
      <c r="P554" s="11"/>
    </row>
    <row r="555" spans="4:16" x14ac:dyDescent="0.2">
      <c r="D555" s="1">
        <v>46011</v>
      </c>
      <c r="E555" s="2">
        <v>0.625</v>
      </c>
      <c r="F555" t="s">
        <v>34</v>
      </c>
      <c r="G555">
        <f>VLOOKUP(Table4[[#This Row],[Home]],'NHL Model'!$A$6:$B$38,2,FALSE)</f>
        <v>-5.5124787449478845E-2</v>
      </c>
      <c r="H555" t="s">
        <v>17</v>
      </c>
      <c r="I555">
        <f>VLOOKUP(Table4[[#This Row],[Visitor]],'NHL Model'!$A$6:$B$38,2,FALSE)</f>
        <v>-0.81774666423752174</v>
      </c>
      <c r="J555">
        <f>($B$1+Table4[[#This Row],[Home Differential]])-Table4[[#This Row],[Away Differential]]</f>
        <v>0.81252262571120537</v>
      </c>
      <c r="K555" t="str">
        <f>IF(Table4[[#This Row],[HomeIce Differential]]&gt;0,Table4[[#This Row],[Home]],Table4[[#This Row],[Visitor]])</f>
        <v>Minnesota Wild</v>
      </c>
      <c r="L5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0.63487400852986009</v>
      </c>
      <c r="M555" t="str">
        <f>IF(OR((NHL2025_26Results[[#This Row],[Winning Team]]="")),"-",IF(Table4[[#This Row],[Predicted Winner]]=NHL2025_26Results[[#This Row],[Winning Team]],"YES","NO"))</f>
        <v>-</v>
      </c>
      <c r="N555" t="str">
        <f>IF(Table4[[#This Row],[Adjusted Correct]]="-", "",IF(Table4[[#This Row],[Adjusted Correct]]="YES",(Table4[[#This Row],[Strength of Win]]-1)^2,(Table4[[#This Row],[Strength of Win]]-0)^2))</f>
        <v/>
      </c>
      <c r="P555" s="11"/>
    </row>
    <row r="556" spans="4:16" x14ac:dyDescent="0.2">
      <c r="D556" s="1">
        <v>46011</v>
      </c>
      <c r="E556" s="2">
        <v>0.79166666666666663</v>
      </c>
      <c r="F556" t="s">
        <v>18</v>
      </c>
      <c r="G556">
        <f>VLOOKUP(Table4[[#This Row],[Home]],'NHL Model'!$A$6:$B$38,2,FALSE)</f>
        <v>-0.59288962827382519</v>
      </c>
      <c r="H556" t="s">
        <v>14</v>
      </c>
      <c r="I556">
        <f>VLOOKUP(Table4[[#This Row],[Visitor]],'NHL Model'!$A$6:$B$38,2,FALSE)</f>
        <v>-0.14226422156549004</v>
      </c>
      <c r="J556">
        <f>($B$1+Table4[[#This Row],[Home Differential]])-Table4[[#This Row],[Away Differential]]</f>
        <v>-0.40072465778517274</v>
      </c>
      <c r="K556" t="str">
        <f>IF(Table4[[#This Row],[HomeIce Differential]]&gt;0,Table4[[#This Row],[Home]],Table4[[#This Row],[Visitor]])</f>
        <v>Pittsburgh Penguins</v>
      </c>
      <c r="L5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0.54607725130849172</v>
      </c>
      <c r="M556" t="str">
        <f>IF(OR((NHL2025_26Results[[#This Row],[Winning Team]]="")),"-",IF(Table4[[#This Row],[Predicted Winner]]=NHL2025_26Results[[#This Row],[Winning Team]],"YES","NO"))</f>
        <v>-</v>
      </c>
      <c r="N556" t="str">
        <f>IF(Table4[[#This Row],[Adjusted Correct]]="-", "",IF(Table4[[#This Row],[Adjusted Correct]]="YES",(Table4[[#This Row],[Strength of Win]]-1)^2,(Table4[[#This Row],[Strength of Win]]-0)^2))</f>
        <v/>
      </c>
      <c r="P556" s="11"/>
    </row>
    <row r="557" spans="4:16" x14ac:dyDescent="0.2">
      <c r="D557" s="1">
        <v>46011</v>
      </c>
      <c r="E557" s="2">
        <v>0.79166666666666663</v>
      </c>
      <c r="F557" t="s">
        <v>29</v>
      </c>
      <c r="G557">
        <f>VLOOKUP(Table4[[#This Row],[Home]],'NHL Model'!$A$6:$B$38,2,FALSE)</f>
        <v>-1.384917283810061</v>
      </c>
      <c r="H557" t="s">
        <v>19</v>
      </c>
      <c r="I557">
        <f>VLOOKUP(Table4[[#This Row],[Visitor]],'NHL Model'!$A$6:$B$38,2,FALSE)</f>
        <v>-0.63447859131898054</v>
      </c>
      <c r="J557">
        <f>($B$1+Table4[[#This Row],[Home Differential]])-Table4[[#This Row],[Away Differential]]</f>
        <v>-0.70053794356791799</v>
      </c>
      <c r="K557" t="str">
        <f>IF(Table4[[#This Row],[HomeIce Differential]]&gt;0,Table4[[#This Row],[Home]],Table4[[#This Row],[Visitor]])</f>
        <v>Toronto Maple Leafs</v>
      </c>
      <c r="L5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0.54179814411368299</v>
      </c>
      <c r="M557" t="str">
        <f>IF(OR((NHL2025_26Results[[#This Row],[Winning Team]]="")),"-",IF(Table4[[#This Row],[Predicted Winner]]=NHL2025_26Results[[#This Row],[Winning Team]],"YES","NO"))</f>
        <v>-</v>
      </c>
      <c r="N557" t="str">
        <f>IF(Table4[[#This Row],[Adjusted Correct]]="-", "",IF(Table4[[#This Row],[Adjusted Correct]]="YES",(Table4[[#This Row],[Strength of Win]]-1)^2,(Table4[[#This Row],[Strength of Win]]-0)^2))</f>
        <v/>
      </c>
      <c r="P557" s="11"/>
    </row>
    <row r="558" spans="4:16" x14ac:dyDescent="0.2">
      <c r="D558" s="1">
        <v>46011</v>
      </c>
      <c r="E558" s="2">
        <v>0.52083333333333337</v>
      </c>
      <c r="F558" t="s">
        <v>15</v>
      </c>
      <c r="G558">
        <f>VLOOKUP(Table4[[#This Row],[Home]],'NHL Model'!$A$6:$B$38,2,FALSE)</f>
        <v>-0.29003398448394263</v>
      </c>
      <c r="H558" t="s">
        <v>27</v>
      </c>
      <c r="I558">
        <f>VLOOKUP(Table4[[#This Row],[Visitor]],'NHL Model'!$A$6:$B$38,2,FALSE)</f>
        <v>-0.38023958350631604</v>
      </c>
      <c r="J558">
        <f>($B$1+Table4[[#This Row],[Home Differential]])-Table4[[#This Row],[Away Differential]]</f>
        <v>0.14010634794553586</v>
      </c>
      <c r="K558" t="str">
        <f>IF(Table4[[#This Row],[HomeIce Differential]]&gt;0,Table4[[#This Row],[Home]],Table4[[#This Row],[Visitor]])</f>
        <v>New York Rangers</v>
      </c>
      <c r="L5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0.51384692113068431</v>
      </c>
      <c r="M558" t="str">
        <f>IF(OR((NHL2025_26Results[[#This Row],[Winning Team]]="")),"-",IF(Table4[[#This Row],[Predicted Winner]]=NHL2025_26Results[[#This Row],[Winning Team]],"YES","NO"))</f>
        <v>-</v>
      </c>
      <c r="N558" t="str">
        <f>IF(Table4[[#This Row],[Adjusted Correct]]="-", "",IF(Table4[[#This Row],[Adjusted Correct]]="YES",(Table4[[#This Row],[Strength of Win]]-1)^2,(Table4[[#This Row],[Strength of Win]]-0)^2))</f>
        <v/>
      </c>
      <c r="P558" s="11"/>
    </row>
    <row r="559" spans="4:16" x14ac:dyDescent="0.2">
      <c r="D559" s="1">
        <v>46011</v>
      </c>
      <c r="E559" s="2">
        <v>0.625</v>
      </c>
      <c r="F559" t="s">
        <v>36</v>
      </c>
      <c r="G559">
        <f>VLOOKUP(Table4[[#This Row],[Home]],'NHL Model'!$A$6:$B$38,2,FALSE)</f>
        <v>-0.53137605086483863</v>
      </c>
      <c r="H559" t="s">
        <v>10</v>
      </c>
      <c r="I559">
        <f>VLOOKUP(Table4[[#This Row],[Visitor]],'NHL Model'!$A$6:$B$38,2,FALSE)</f>
        <v>-0.17619625518431364</v>
      </c>
      <c r="J559">
        <f>($B$1+Table4[[#This Row],[Home Differential]])-Table4[[#This Row],[Away Differential]]</f>
        <v>-0.3052790467573625</v>
      </c>
      <c r="K559" t="str">
        <f>IF(Table4[[#This Row],[HomeIce Differential]]&gt;0,Table4[[#This Row],[Home]],Table4[[#This Row],[Visitor]])</f>
        <v>Chicago Blackhawks</v>
      </c>
      <c r="L5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0.4931503551017436</v>
      </c>
      <c r="M559" t="str">
        <f>IF(OR((NHL2025_26Results[[#This Row],[Winning Team]]="")),"-",IF(Table4[[#This Row],[Predicted Winner]]=NHL2025_26Results[[#This Row],[Winning Team]],"YES","NO"))</f>
        <v>-</v>
      </c>
      <c r="N559" t="str">
        <f>IF(Table4[[#This Row],[Adjusted Correct]]="-", "",IF(Table4[[#This Row],[Adjusted Correct]]="YES",(Table4[[#This Row],[Strength of Win]]-1)^2,(Table4[[#This Row],[Strength of Win]]-0)^2))</f>
        <v/>
      </c>
      <c r="P559" s="11"/>
    </row>
    <row r="560" spans="4:16" x14ac:dyDescent="0.2">
      <c r="D560" s="1">
        <v>46011</v>
      </c>
      <c r="E560" s="2">
        <v>0.91666666666666663</v>
      </c>
      <c r="F560" t="s">
        <v>33</v>
      </c>
      <c r="G560">
        <f>VLOOKUP(Table4[[#This Row],[Home]],'NHL Model'!$A$6:$B$38,2,FALSE)</f>
        <v>-0.45133099238224339</v>
      </c>
      <c r="H560" t="s">
        <v>32</v>
      </c>
      <c r="I560">
        <f>VLOOKUP(Table4[[#This Row],[Visitor]],'NHL Model'!$A$6:$B$38,2,FALSE)</f>
        <v>-0.64937723527808999</v>
      </c>
      <c r="J560">
        <f>($B$1+Table4[[#This Row],[Home Differential]])-Table4[[#This Row],[Away Differential]]</f>
        <v>0.24794699181900909</v>
      </c>
      <c r="K560" t="str">
        <f>IF(Table4[[#This Row],[HomeIce Differential]]&gt;0,Table4[[#This Row],[Home]],Table4[[#This Row],[Visitor]])</f>
        <v>San Jose Sharks</v>
      </c>
      <c r="L5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0.57907372012004421</v>
      </c>
      <c r="M560" t="str">
        <f>IF(OR((NHL2025_26Results[[#This Row],[Winning Team]]="")),"-",IF(Table4[[#This Row],[Predicted Winner]]=NHL2025_26Results[[#This Row],[Winning Team]],"YES","NO"))</f>
        <v>-</v>
      </c>
      <c r="N560" t="str">
        <f>IF(Table4[[#This Row],[Adjusted Correct]]="-", "",IF(Table4[[#This Row],[Adjusted Correct]]="YES",(Table4[[#This Row],[Strength of Win]]-1)^2,(Table4[[#This Row],[Strength of Win]]-0)^2))</f>
        <v/>
      </c>
      <c r="P560" s="11"/>
    </row>
    <row r="561" spans="4:16" x14ac:dyDescent="0.2">
      <c r="D561" s="1">
        <v>46011</v>
      </c>
      <c r="E561" s="2">
        <v>0.79166666666666663</v>
      </c>
      <c r="F561" t="s">
        <v>37</v>
      </c>
      <c r="G561">
        <f>VLOOKUP(Table4[[#This Row],[Home]],'NHL Model'!$A$6:$B$38,2,FALSE)</f>
        <v>0.51050494674660429</v>
      </c>
      <c r="H561" t="s">
        <v>25</v>
      </c>
      <c r="I561">
        <f>VLOOKUP(Table4[[#This Row],[Visitor]],'NHL Model'!$A$6:$B$38,2,FALSE)</f>
        <v>0.42567513732855267</v>
      </c>
      <c r="J561">
        <f>($B$1+Table4[[#This Row],[Home Differential]])-Table4[[#This Row],[Away Differential]]</f>
        <v>0.13473055834121406</v>
      </c>
      <c r="K561" t="str">
        <f>IF(Table4[[#This Row],[HomeIce Differential]]&gt;0,Table4[[#This Row],[Home]],Table4[[#This Row],[Visitor]])</f>
        <v>Tampa Bay Lightning</v>
      </c>
      <c r="L5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0.5157317811674581</v>
      </c>
      <c r="M561" t="str">
        <f>IF(OR((NHL2025_26Results[[#This Row],[Winning Team]]="")),"-",IF(Table4[[#This Row],[Predicted Winner]]=NHL2025_26Results[[#This Row],[Winning Team]],"YES","NO"))</f>
        <v>-</v>
      </c>
      <c r="N561" t="str">
        <f>IF(Table4[[#This Row],[Adjusted Correct]]="-", "",IF(Table4[[#This Row],[Adjusted Correct]]="YES",(Table4[[#This Row],[Strength of Win]]-1)^2,(Table4[[#This Row],[Strength of Win]]-0)^2))</f>
        <v/>
      </c>
      <c r="P561" s="11"/>
    </row>
    <row r="562" spans="4:16" x14ac:dyDescent="0.2">
      <c r="D562" s="1">
        <v>46011</v>
      </c>
      <c r="E562" s="2">
        <v>0.52083333333333337</v>
      </c>
      <c r="F562" t="s">
        <v>22</v>
      </c>
      <c r="G562">
        <f>VLOOKUP(Table4[[#This Row],[Home]],'NHL Model'!$A$6:$B$38,2,FALSE)</f>
        <v>0.4407072328537569</v>
      </c>
      <c r="H562" t="s">
        <v>26</v>
      </c>
      <c r="I562">
        <f>VLOOKUP(Table4[[#This Row],[Visitor]],'NHL Model'!$A$6:$B$38,2,FALSE)</f>
        <v>-0.87533956503230947</v>
      </c>
      <c r="J562">
        <f>($B$1+Table4[[#This Row],[Home Differential]])-Table4[[#This Row],[Away Differential]]</f>
        <v>1.3659475468092288</v>
      </c>
      <c r="K562" t="str">
        <f>IF(Table4[[#This Row],[HomeIce Differential]]&gt;0,Table4[[#This Row],[Home]],Table4[[#This Row],[Visitor]])</f>
        <v>Washington Capitals</v>
      </c>
      <c r="L5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0.72553227188599068</v>
      </c>
      <c r="M562" t="str">
        <f>IF(OR((NHL2025_26Results[[#This Row],[Winning Team]]="")),"-",IF(Table4[[#This Row],[Predicted Winner]]=NHL2025_26Results[[#This Row],[Winning Team]],"YES","NO"))</f>
        <v>-</v>
      </c>
      <c r="N562" t="str">
        <f>IF(Table4[[#This Row],[Adjusted Correct]]="-", "",IF(Table4[[#This Row],[Adjusted Correct]]="YES",(Table4[[#This Row],[Strength of Win]]-1)^2,(Table4[[#This Row],[Strength of Win]]-0)^2))</f>
        <v/>
      </c>
      <c r="P562" s="11"/>
    </row>
    <row r="563" spans="4:16" x14ac:dyDescent="0.2">
      <c r="D563" s="1">
        <v>46012</v>
      </c>
      <c r="E563" s="2">
        <v>0.79166666666666663</v>
      </c>
      <c r="F563" t="s">
        <v>21</v>
      </c>
      <c r="G563">
        <f>VLOOKUP(Table4[[#This Row],[Home]],'NHL Model'!$A$6:$B$38,2,FALSE)</f>
        <v>-0.21976976044773161</v>
      </c>
      <c r="H563" t="s">
        <v>36</v>
      </c>
      <c r="I563">
        <f>VLOOKUP(Table4[[#This Row],[Visitor]],'NHL Model'!$A$6:$B$38,2,FALSE)</f>
        <v>-0.53137605086483863</v>
      </c>
      <c r="J563">
        <f>($B$1+Table4[[#This Row],[Home Differential]])-Table4[[#This Row],[Away Differential]]</f>
        <v>0.36150703934026951</v>
      </c>
      <c r="K563" t="str">
        <f>IF(Table4[[#This Row],[HomeIce Differential]]&gt;0,Table4[[#This Row],[Home]],Table4[[#This Row],[Visitor]])</f>
        <v>Boston Bruins</v>
      </c>
      <c r="L5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0.62511283671022522</v>
      </c>
      <c r="M563" t="str">
        <f>IF(OR((NHL2025_26Results[[#This Row],[Winning Team]]="")),"-",IF(Table4[[#This Row],[Predicted Winner]]=NHL2025_26Results[[#This Row],[Winning Team]],"YES","NO"))</f>
        <v>-</v>
      </c>
      <c r="N563" t="str">
        <f>IF(Table4[[#This Row],[Adjusted Correct]]="-", "",IF(Table4[[#This Row],[Adjusted Correct]]="YES",(Table4[[#This Row],[Strength of Win]]-1)^2,(Table4[[#This Row],[Strength of Win]]-0)^2))</f>
        <v/>
      </c>
      <c r="P563" s="11"/>
    </row>
    <row r="564" spans="4:16" x14ac:dyDescent="0.2">
      <c r="D564" s="1">
        <v>46012</v>
      </c>
      <c r="E564" s="2">
        <v>0.79166666666666663</v>
      </c>
      <c r="F564" t="s">
        <v>39</v>
      </c>
      <c r="G564">
        <f>VLOOKUP(Table4[[#This Row],[Home]],'NHL Model'!$A$6:$B$38,2,FALSE)</f>
        <v>0.41344250185511977</v>
      </c>
      <c r="H564" t="s">
        <v>19</v>
      </c>
      <c r="I564">
        <f>VLOOKUP(Table4[[#This Row],[Visitor]],'NHL Model'!$A$6:$B$38,2,FALSE)</f>
        <v>-0.63447859131898054</v>
      </c>
      <c r="J564">
        <f>($B$1+Table4[[#This Row],[Home Differential]])-Table4[[#This Row],[Away Differential]]</f>
        <v>1.0978218420972627</v>
      </c>
      <c r="K564" t="str">
        <f>IF(Table4[[#This Row],[HomeIce Differential]]&gt;0,Table4[[#This Row],[Home]],Table4[[#This Row],[Visitor]])</f>
        <v>Dallas Stars</v>
      </c>
      <c r="L5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0.70043296856714099</v>
      </c>
      <c r="M564" t="str">
        <f>IF(OR((NHL2025_26Results[[#This Row],[Winning Team]]="")),"-",IF(Table4[[#This Row],[Predicted Winner]]=NHL2025_26Results[[#This Row],[Winning Team]],"YES","NO"))</f>
        <v>-</v>
      </c>
      <c r="N564" t="str">
        <f>IF(Table4[[#This Row],[Adjusted Correct]]="-", "",IF(Table4[[#This Row],[Adjusted Correct]]="YES",(Table4[[#This Row],[Strength of Win]]-1)^2,(Table4[[#This Row],[Strength of Win]]-0)^2))</f>
        <v/>
      </c>
      <c r="P564" s="11"/>
    </row>
    <row r="565" spans="4:16" x14ac:dyDescent="0.2">
      <c r="D565" s="1">
        <v>46012</v>
      </c>
      <c r="E565" s="2">
        <v>0.54166666666666663</v>
      </c>
      <c r="F565" t="s">
        <v>26</v>
      </c>
      <c r="G565">
        <f>VLOOKUP(Table4[[#This Row],[Home]],'NHL Model'!$A$6:$B$38,2,FALSE)</f>
        <v>-0.87533956503230947</v>
      </c>
      <c r="H565" t="s">
        <v>22</v>
      </c>
      <c r="I565">
        <f>VLOOKUP(Table4[[#This Row],[Visitor]],'NHL Model'!$A$6:$B$38,2,FALSE)</f>
        <v>0.4407072328537569</v>
      </c>
      <c r="J565">
        <f>($B$1+Table4[[#This Row],[Home Differential]])-Table4[[#This Row],[Away Differential]]</f>
        <v>-1.2661460489629039</v>
      </c>
      <c r="K565" t="str">
        <f>IF(Table4[[#This Row],[HomeIce Differential]]&gt;0,Table4[[#This Row],[Home]],Table4[[#This Row],[Visitor]])</f>
        <v>Washington Capitals</v>
      </c>
      <c r="L5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0.65035380101246465</v>
      </c>
      <c r="M565" t="str">
        <f>IF(OR((NHL2025_26Results[[#This Row],[Winning Team]]="")),"-",IF(Table4[[#This Row],[Predicted Winner]]=NHL2025_26Results[[#This Row],[Winning Team]],"YES","NO"))</f>
        <v>-</v>
      </c>
      <c r="N565" t="str">
        <f>IF(Table4[[#This Row],[Adjusted Correct]]="-", "",IF(Table4[[#This Row],[Adjusted Correct]]="YES",(Table4[[#This Row],[Strength of Win]]-1)^2,(Table4[[#This Row],[Strength of Win]]-0)^2))</f>
        <v/>
      </c>
      <c r="P565" s="11"/>
    </row>
    <row r="566" spans="4:16" x14ac:dyDescent="0.2">
      <c r="D566" s="1">
        <v>46012</v>
      </c>
      <c r="E566" s="2">
        <v>0.83333333333333337</v>
      </c>
      <c r="F566" t="s">
        <v>17</v>
      </c>
      <c r="G566">
        <f>VLOOKUP(Table4[[#This Row],[Home]],'NHL Model'!$A$6:$B$38,2,FALSE)</f>
        <v>-0.81774666423752174</v>
      </c>
      <c r="H566" t="s">
        <v>20</v>
      </c>
      <c r="I566">
        <f>VLOOKUP(Table4[[#This Row],[Visitor]],'NHL Model'!$A$6:$B$38,2,FALSE)</f>
        <v>-0.24444083032063643</v>
      </c>
      <c r="J566">
        <f>($B$1+Table4[[#This Row],[Home Differential]])-Table4[[#This Row],[Away Differential]]</f>
        <v>-0.52340508499372285</v>
      </c>
      <c r="K566" t="str">
        <f>IF(Table4[[#This Row],[HomeIce Differential]]&gt;0,Table4[[#This Row],[Home]],Table4[[#This Row],[Visitor]])</f>
        <v>Vegas Golden Knights</v>
      </c>
      <c r="L5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0.5140693167207816</v>
      </c>
      <c r="M566" t="str">
        <f>IF(OR((NHL2025_26Results[[#This Row],[Winning Team]]="")),"-",IF(Table4[[#This Row],[Predicted Winner]]=NHL2025_26Results[[#This Row],[Winning Team]],"YES","NO"))</f>
        <v>-</v>
      </c>
      <c r="N566" t="str">
        <f>IF(Table4[[#This Row],[Adjusted Correct]]="-", "",IF(Table4[[#This Row],[Adjusted Correct]]="YES",(Table4[[#This Row],[Strength of Win]]-1)^2,(Table4[[#This Row],[Strength of Win]]-0)^2))</f>
        <v/>
      </c>
      <c r="P566" s="11"/>
    </row>
    <row r="567" spans="4:16" x14ac:dyDescent="0.2">
      <c r="D567" s="1">
        <v>46012</v>
      </c>
      <c r="E567" s="2">
        <v>0.75</v>
      </c>
      <c r="F567" t="s">
        <v>34</v>
      </c>
      <c r="G567">
        <f>VLOOKUP(Table4[[#This Row],[Home]],'NHL Model'!$A$6:$B$38,2,FALSE)</f>
        <v>-5.5124787449478845E-2</v>
      </c>
      <c r="H567" t="s">
        <v>12</v>
      </c>
      <c r="I567">
        <f>VLOOKUP(Table4[[#This Row],[Visitor]],'NHL Model'!$A$6:$B$38,2,FALSE)</f>
        <v>1.6319036584269762</v>
      </c>
      <c r="J567">
        <f>($B$1+Table4[[#This Row],[Home Differential]])-Table4[[#This Row],[Away Differential]]</f>
        <v>-1.6371276969532926</v>
      </c>
      <c r="K567" t="str">
        <f>IF(Table4[[#This Row],[HomeIce Differential]]&gt;0,Table4[[#This Row],[Home]],Table4[[#This Row],[Visitor]])</f>
        <v>Colorado Avalanche</v>
      </c>
      <c r="L5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0.72378199000747556</v>
      </c>
      <c r="M567" t="str">
        <f>IF(OR((NHL2025_26Results[[#This Row],[Winning Team]]="")),"-",IF(Table4[[#This Row],[Predicted Winner]]=NHL2025_26Results[[#This Row],[Winning Team]],"YES","NO"))</f>
        <v>-</v>
      </c>
      <c r="N567" t="str">
        <f>IF(Table4[[#This Row],[Adjusted Correct]]="-", "",IF(Table4[[#This Row],[Adjusted Correct]]="YES",(Table4[[#This Row],[Strength of Win]]-1)^2,(Table4[[#This Row],[Strength of Win]]-0)^2))</f>
        <v/>
      </c>
      <c r="P567" s="11"/>
    </row>
    <row r="568" spans="4:16" x14ac:dyDescent="0.2">
      <c r="D568" s="1">
        <v>46012</v>
      </c>
      <c r="E568" s="2">
        <v>0.79166666666666663</v>
      </c>
      <c r="F568" t="s">
        <v>24</v>
      </c>
      <c r="G568">
        <f>VLOOKUP(Table4[[#This Row],[Home]],'NHL Model'!$A$6:$B$38,2,FALSE)</f>
        <v>1.5302507646042616E-3</v>
      </c>
      <c r="H568" t="s">
        <v>23</v>
      </c>
      <c r="I568">
        <f>VLOOKUP(Table4[[#This Row],[Visitor]],'NHL Model'!$A$6:$B$38,2,FALSE)</f>
        <v>-0.4761104357405897</v>
      </c>
      <c r="J568">
        <f>($B$1+Table4[[#This Row],[Home Differential]])-Table4[[#This Row],[Away Differential]]</f>
        <v>0.52754143542835641</v>
      </c>
      <c r="K568" t="str">
        <f>IF(Table4[[#This Row],[HomeIce Differential]]&gt;0,Table4[[#This Row],[Home]],Table4[[#This Row],[Visitor]])</f>
        <v>New Jersey Devils</v>
      </c>
      <c r="L5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0.68143295928595826</v>
      </c>
      <c r="M568" t="str">
        <f>IF(OR((NHL2025_26Results[[#This Row],[Winning Team]]="")),"-",IF(Table4[[#This Row],[Predicted Winner]]=NHL2025_26Results[[#This Row],[Winning Team]],"YES","NO"))</f>
        <v>-</v>
      </c>
      <c r="N568" t="str">
        <f>IF(Table4[[#This Row],[Adjusted Correct]]="-", "",IF(Table4[[#This Row],[Adjusted Correct]]="YES",(Table4[[#This Row],[Strength of Win]]-1)^2,(Table4[[#This Row],[Strength of Win]]-0)^2))</f>
        <v/>
      </c>
      <c r="P568" s="11"/>
    </row>
    <row r="569" spans="4:16" x14ac:dyDescent="0.2">
      <c r="D569" s="1">
        <v>46012</v>
      </c>
      <c r="E569" s="2">
        <v>0.79166666666666663</v>
      </c>
      <c r="F569" t="s">
        <v>29</v>
      </c>
      <c r="G569">
        <f>VLOOKUP(Table4[[#This Row],[Home]],'NHL Model'!$A$6:$B$38,2,FALSE)</f>
        <v>-1.384917283810061</v>
      </c>
      <c r="H569" t="s">
        <v>15</v>
      </c>
      <c r="I569">
        <f>VLOOKUP(Table4[[#This Row],[Visitor]],'NHL Model'!$A$6:$B$38,2,FALSE)</f>
        <v>-0.29003398448394263</v>
      </c>
      <c r="J569">
        <f>($B$1+Table4[[#This Row],[Home Differential]])-Table4[[#This Row],[Away Differential]]</f>
        <v>-1.044982550402956</v>
      </c>
      <c r="K569" t="str">
        <f>IF(Table4[[#This Row],[HomeIce Differential]]&gt;0,Table4[[#This Row],[Home]],Table4[[#This Row],[Visitor]])</f>
        <v>New York Rangers</v>
      </c>
      <c r="L5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0.68209860199635841</v>
      </c>
      <c r="M569" t="str">
        <f>IF(OR((NHL2025_26Results[[#This Row],[Winning Team]]="")),"-",IF(Table4[[#This Row],[Predicted Winner]]=NHL2025_26Results[[#This Row],[Winning Team]],"YES","NO"))</f>
        <v>-</v>
      </c>
      <c r="N569" t="str">
        <f>IF(Table4[[#This Row],[Adjusted Correct]]="-", "",IF(Table4[[#This Row],[Adjusted Correct]]="YES",(Table4[[#This Row],[Strength of Win]]-1)^2,(Table4[[#This Row],[Strength of Win]]-0)^2))</f>
        <v/>
      </c>
      <c r="P569" s="11"/>
    </row>
    <row r="570" spans="4:16" x14ac:dyDescent="0.2">
      <c r="D570" s="1">
        <v>46012</v>
      </c>
      <c r="E570" s="2">
        <v>0.79166666666666663</v>
      </c>
      <c r="F570" t="s">
        <v>14</v>
      </c>
      <c r="G570">
        <f>VLOOKUP(Table4[[#This Row],[Home]],'NHL Model'!$A$6:$B$38,2,FALSE)</f>
        <v>-0.14226422156549004</v>
      </c>
      <c r="H570" t="s">
        <v>18</v>
      </c>
      <c r="I570">
        <f>VLOOKUP(Table4[[#This Row],[Visitor]],'NHL Model'!$A$6:$B$38,2,FALSE)</f>
        <v>-0.59288962827382519</v>
      </c>
      <c r="J570">
        <f>($B$1+Table4[[#This Row],[Home Differential]])-Table4[[#This Row],[Away Differential]]</f>
        <v>0.5005261556314976</v>
      </c>
      <c r="K570" t="str">
        <f>IF(Table4[[#This Row],[HomeIce Differential]]&gt;0,Table4[[#This Row],[Home]],Table4[[#This Row],[Visitor]])</f>
        <v>Pittsburgh Penguins</v>
      </c>
      <c r="L5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0.53915598208090709</v>
      </c>
      <c r="M570" t="str">
        <f>IF(OR((NHL2025_26Results[[#This Row],[Winning Team]]="")),"-",IF(Table4[[#This Row],[Predicted Winner]]=NHL2025_26Results[[#This Row],[Winning Team]],"YES","NO"))</f>
        <v>-</v>
      </c>
      <c r="N570" t="str">
        <f>IF(Table4[[#This Row],[Adjusted Correct]]="-", "",IF(Table4[[#This Row],[Adjusted Correct]]="YES",(Table4[[#This Row],[Strength of Win]]-1)^2,(Table4[[#This Row],[Strength of Win]]-0)^2))</f>
        <v/>
      </c>
      <c r="P570" s="11"/>
    </row>
    <row r="571" spans="4:16" x14ac:dyDescent="0.2">
      <c r="D571" s="1">
        <v>46012</v>
      </c>
      <c r="E571" s="2">
        <v>0.79166666666666663</v>
      </c>
      <c r="F571" t="s">
        <v>55</v>
      </c>
      <c r="G571">
        <f>VLOOKUP(Table4[[#This Row],[Home]],'NHL Model'!$A$6:$B$38,2,FALSE)</f>
        <v>-0.4031232890211825</v>
      </c>
      <c r="H571" t="s">
        <v>40</v>
      </c>
      <c r="I571">
        <f>VLOOKUP(Table4[[#This Row],[Visitor]],'NHL Model'!$A$6:$B$38,2,FALSE)</f>
        <v>-0.31324182378279158</v>
      </c>
      <c r="J571">
        <f>($B$1+Table4[[#This Row],[Home Differential]])-Table4[[#This Row],[Away Differential]]</f>
        <v>-3.9980716315228426E-2</v>
      </c>
      <c r="K571" t="str">
        <f>IF(Table4[[#This Row],[HomeIce Differential]]&gt;0,Table4[[#This Row],[Home]],Table4[[#This Row],[Visitor]])</f>
        <v>Winnipeg Jets</v>
      </c>
      <c r="L5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0.44466833870306172</v>
      </c>
      <c r="M571" t="str">
        <f>IF(OR((NHL2025_26Results[[#This Row],[Winning Team]]="")),"-",IF(Table4[[#This Row],[Predicted Winner]]=NHL2025_26Results[[#This Row],[Winning Team]],"YES","NO"))</f>
        <v>-</v>
      </c>
      <c r="N571" t="str">
        <f>IF(Table4[[#This Row],[Adjusted Correct]]="-", "",IF(Table4[[#This Row],[Adjusted Correct]]="YES",(Table4[[#This Row],[Strength of Win]]-1)^2,(Table4[[#This Row],[Strength of Win]]-0)^2))</f>
        <v/>
      </c>
      <c r="P571" s="11"/>
    </row>
    <row r="572" spans="4:16" x14ac:dyDescent="0.2">
      <c r="D572" s="1">
        <v>46013</v>
      </c>
      <c r="E572" s="2">
        <v>0.91666666666666663</v>
      </c>
      <c r="F572" t="s">
        <v>31</v>
      </c>
      <c r="G572">
        <f>VLOOKUP(Table4[[#This Row],[Home]],'NHL Model'!$A$6:$B$38,2,FALSE)</f>
        <v>0.17870302183926629</v>
      </c>
      <c r="H572" t="s">
        <v>32</v>
      </c>
      <c r="I572">
        <f>VLOOKUP(Table4[[#This Row],[Visitor]],'NHL Model'!$A$6:$B$38,2,FALSE)</f>
        <v>-0.64937723527808999</v>
      </c>
      <c r="J572">
        <f>($B$1+Table4[[#This Row],[Home Differential]])-Table4[[#This Row],[Away Differential]]</f>
        <v>0.87798100604051876</v>
      </c>
      <c r="K572" t="str">
        <f>IF(Table4[[#This Row],[HomeIce Differential]]&gt;0,Table4[[#This Row],[Home]],Table4[[#This Row],[Visitor]])</f>
        <v>Anaheim Ducks</v>
      </c>
      <c r="L5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0.72235195127385143</v>
      </c>
      <c r="M572" t="str">
        <f>IF(OR((NHL2025_26Results[[#This Row],[Winning Team]]="")),"-",IF(Table4[[#This Row],[Predicted Winner]]=NHL2025_26Results[[#This Row],[Winning Team]],"YES","NO"))</f>
        <v>-</v>
      </c>
      <c r="N572" t="str">
        <f>IF(Table4[[#This Row],[Adjusted Correct]]="-", "",IF(Table4[[#This Row],[Adjusted Correct]]="YES",(Table4[[#This Row],[Strength of Win]]-1)^2,(Table4[[#This Row],[Strength of Win]]-0)^2))</f>
        <v/>
      </c>
      <c r="P572" s="11"/>
    </row>
    <row r="573" spans="4:16" x14ac:dyDescent="0.2">
      <c r="D573" s="1">
        <v>46013</v>
      </c>
      <c r="E573" s="2">
        <v>0.91666666666666663</v>
      </c>
      <c r="F573" t="s">
        <v>13</v>
      </c>
      <c r="G573">
        <f>VLOOKUP(Table4[[#This Row],[Home]],'NHL Model'!$A$6:$B$38,2,FALSE)</f>
        <v>-0.33828359867721369</v>
      </c>
      <c r="H573" t="s">
        <v>28</v>
      </c>
      <c r="I573">
        <f>VLOOKUP(Table4[[#This Row],[Visitor]],'NHL Model'!$A$6:$B$38,2,FALSE)</f>
        <v>-0.59498940435054026</v>
      </c>
      <c r="J573">
        <f>($B$1+Table4[[#This Row],[Home Differential]])-Table4[[#This Row],[Away Differential]]</f>
        <v>0.30660655459648906</v>
      </c>
      <c r="K573" t="str">
        <f>IF(Table4[[#This Row],[HomeIce Differential]]&gt;0,Table4[[#This Row],[Home]],Table4[[#This Row],[Visitor]])</f>
        <v>Los Angeles Kings</v>
      </c>
      <c r="L5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0.57222468149852157</v>
      </c>
      <c r="M573" t="str">
        <f>IF(OR((NHL2025_26Results[[#This Row],[Winning Team]]="")),"-",IF(Table4[[#This Row],[Predicted Winner]]=NHL2025_26Results[[#This Row],[Winning Team]],"YES","NO"))</f>
        <v>-</v>
      </c>
      <c r="N573" t="str">
        <f>IF(Table4[[#This Row],[Adjusted Correct]]="-", "",IF(Table4[[#This Row],[Adjusted Correct]]="YES",(Table4[[#This Row],[Strength of Win]]-1)^2,(Table4[[#This Row],[Strength of Win]]-0)^2))</f>
        <v/>
      </c>
      <c r="P573" s="11"/>
    </row>
    <row r="574" spans="4:16" x14ac:dyDescent="0.2">
      <c r="D574" s="1">
        <v>46013</v>
      </c>
      <c r="E574" s="2">
        <v>0.8125</v>
      </c>
      <c r="F574" t="s">
        <v>27</v>
      </c>
      <c r="G574">
        <f>VLOOKUP(Table4[[#This Row],[Home]],'NHL Model'!$A$6:$B$38,2,FALSE)</f>
        <v>-0.38023958350631604</v>
      </c>
      <c r="H574" t="s">
        <v>38</v>
      </c>
      <c r="I574">
        <f>VLOOKUP(Table4[[#This Row],[Visitor]],'NHL Model'!$A$6:$B$38,2,FALSE)</f>
        <v>-0.9476777551108041</v>
      </c>
      <c r="J574">
        <f>($B$1+Table4[[#This Row],[Home Differential]])-Table4[[#This Row],[Away Differential]]</f>
        <v>0.61733892052765049</v>
      </c>
      <c r="K574" t="str">
        <f>IF(Table4[[#This Row],[HomeIce Differential]]&gt;0,Table4[[#This Row],[Home]],Table4[[#This Row],[Visitor]])</f>
        <v>Philadelphia Flyers</v>
      </c>
      <c r="L5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0.62254214584012046</v>
      </c>
      <c r="M574" t="str">
        <f>IF(OR((NHL2025_26Results[[#This Row],[Winning Team]]="")),"-",IF(Table4[[#This Row],[Predicted Winner]]=NHL2025_26Results[[#This Row],[Winning Team]],"YES","NO"))</f>
        <v>-</v>
      </c>
      <c r="N574" t="str">
        <f>IF(Table4[[#This Row],[Adjusted Correct]]="-", "",IF(Table4[[#This Row],[Adjusted Correct]]="YES",(Table4[[#This Row],[Strength of Win]]-1)^2,(Table4[[#This Row],[Strength of Win]]-0)^2))</f>
        <v/>
      </c>
      <c r="P574" s="11"/>
    </row>
    <row r="575" spans="4:16" x14ac:dyDescent="0.2">
      <c r="D575" s="1">
        <v>46013</v>
      </c>
      <c r="E575" s="2">
        <v>0.79166666666666663</v>
      </c>
      <c r="F575" t="s">
        <v>37</v>
      </c>
      <c r="G575">
        <f>VLOOKUP(Table4[[#This Row],[Home]],'NHL Model'!$A$6:$B$38,2,FALSE)</f>
        <v>0.51050494674660429</v>
      </c>
      <c r="H575" t="s">
        <v>35</v>
      </c>
      <c r="I575">
        <f>VLOOKUP(Table4[[#This Row],[Visitor]],'NHL Model'!$A$6:$B$38,2,FALSE)</f>
        <v>-1.3944783719477225</v>
      </c>
      <c r="J575">
        <f>($B$1+Table4[[#This Row],[Home Differential]])-Table4[[#This Row],[Away Differential]]</f>
        <v>1.9548840676174892</v>
      </c>
      <c r="K575" t="str">
        <f>IF(Table4[[#This Row],[HomeIce Differential]]&gt;0,Table4[[#This Row],[Home]],Table4[[#This Row],[Visitor]])</f>
        <v>Tampa Bay Lightning</v>
      </c>
      <c r="L5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0.8005076327322812</v>
      </c>
      <c r="M575" t="str">
        <f>IF(OR((NHL2025_26Results[[#This Row],[Winning Team]]="")),"-",IF(Table4[[#This Row],[Predicted Winner]]=NHL2025_26Results[[#This Row],[Winning Team]],"YES","NO"))</f>
        <v>-</v>
      </c>
      <c r="N575" t="str">
        <f>IF(Table4[[#This Row],[Adjusted Correct]]="-", "",IF(Table4[[#This Row],[Adjusted Correct]]="YES",(Table4[[#This Row],[Strength of Win]]-1)^2,(Table4[[#This Row],[Strength of Win]]-0)^2))</f>
        <v/>
      </c>
      <c r="P575" s="11"/>
    </row>
    <row r="576" spans="4:16" x14ac:dyDescent="0.2">
      <c r="D576" s="1">
        <v>46014</v>
      </c>
      <c r="E576" s="2">
        <v>0.79166666666666663</v>
      </c>
      <c r="F576" t="s">
        <v>21</v>
      </c>
      <c r="G576">
        <f>VLOOKUP(Table4[[#This Row],[Home]],'NHL Model'!$A$6:$B$38,2,FALSE)</f>
        <v>-0.21976976044773161</v>
      </c>
      <c r="H576" t="s">
        <v>18</v>
      </c>
      <c r="I576">
        <f>VLOOKUP(Table4[[#This Row],[Visitor]],'NHL Model'!$A$6:$B$38,2,FALSE)</f>
        <v>-0.59288962827382519</v>
      </c>
      <c r="J576">
        <f>($B$1+Table4[[#This Row],[Home Differential]])-Table4[[#This Row],[Away Differential]]</f>
        <v>0.42302061674925606</v>
      </c>
      <c r="K576" t="str">
        <f>IF(Table4[[#This Row],[HomeIce Differential]]&gt;0,Table4[[#This Row],[Home]],Table4[[#This Row],[Visitor]])</f>
        <v>Boston Bruins</v>
      </c>
      <c r="L5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0.57366574500438006</v>
      </c>
      <c r="M576" t="str">
        <f>IF(OR((NHL2025_26Results[[#This Row],[Winning Team]]="")),"-",IF(Table4[[#This Row],[Predicted Winner]]=NHL2025_26Results[[#This Row],[Winning Team]],"YES","NO"))</f>
        <v>-</v>
      </c>
      <c r="N576" t="str">
        <f>IF(Table4[[#This Row],[Adjusted Correct]]="-", "",IF(Table4[[#This Row],[Adjusted Correct]]="YES",(Table4[[#This Row],[Strength of Win]]-1)^2,(Table4[[#This Row],[Strength of Win]]-0)^2))</f>
        <v/>
      </c>
      <c r="P576" s="11"/>
    </row>
    <row r="577" spans="4:16" x14ac:dyDescent="0.2">
      <c r="D577" s="1">
        <v>46014</v>
      </c>
      <c r="E577" s="2">
        <v>0.79166666666666663</v>
      </c>
      <c r="F577" t="s">
        <v>25</v>
      </c>
      <c r="G577">
        <f>VLOOKUP(Table4[[#This Row],[Home]],'NHL Model'!$A$6:$B$38,2,FALSE)</f>
        <v>0.42567513732855267</v>
      </c>
      <c r="H577" t="s">
        <v>11</v>
      </c>
      <c r="I577">
        <f>VLOOKUP(Table4[[#This Row],[Visitor]],'NHL Model'!$A$6:$B$38,2,FALSE)</f>
        <v>-0.39711829106410657</v>
      </c>
      <c r="J577">
        <f>($B$1+Table4[[#This Row],[Home Differential]])-Table4[[#This Row],[Away Differential]]</f>
        <v>0.87269417731582166</v>
      </c>
      <c r="K577" t="str">
        <f>IF(Table4[[#This Row],[HomeIce Differential]]&gt;0,Table4[[#This Row],[Home]],Table4[[#This Row],[Visitor]])</f>
        <v>Carolina Hurricanes</v>
      </c>
      <c r="L5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0.69361590157977926</v>
      </c>
      <c r="M577" t="str">
        <f>IF(OR((NHL2025_26Results[[#This Row],[Winning Team]]="")),"-",IF(Table4[[#This Row],[Predicted Winner]]=NHL2025_26Results[[#This Row],[Winning Team]],"YES","NO"))</f>
        <v>-</v>
      </c>
      <c r="N577" t="str">
        <f>IF(Table4[[#This Row],[Adjusted Correct]]="-", "",IF(Table4[[#This Row],[Adjusted Correct]]="YES",(Table4[[#This Row],[Strength of Win]]-1)^2,(Table4[[#This Row],[Strength of Win]]-0)^2))</f>
        <v/>
      </c>
      <c r="P577" s="11"/>
    </row>
    <row r="578" spans="4:16" x14ac:dyDescent="0.2">
      <c r="D578" s="1">
        <v>46014</v>
      </c>
      <c r="E578" s="2">
        <v>0.875</v>
      </c>
      <c r="F578" t="s">
        <v>10</v>
      </c>
      <c r="G578">
        <f>VLOOKUP(Table4[[#This Row],[Home]],'NHL Model'!$A$6:$B$38,2,FALSE)</f>
        <v>-0.17619625518431364</v>
      </c>
      <c r="H578" t="s">
        <v>27</v>
      </c>
      <c r="I578">
        <f>VLOOKUP(Table4[[#This Row],[Visitor]],'NHL Model'!$A$6:$B$38,2,FALSE)</f>
        <v>-0.38023958350631604</v>
      </c>
      <c r="J578">
        <f>($B$1+Table4[[#This Row],[Home Differential]])-Table4[[#This Row],[Away Differential]]</f>
        <v>0.25394407724516488</v>
      </c>
      <c r="K578" t="str">
        <f>IF(Table4[[#This Row],[HomeIce Differential]]&gt;0,Table4[[#This Row],[Home]],Table4[[#This Row],[Visitor]])</f>
        <v>Chicago Blackhawks</v>
      </c>
      <c r="L5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0.52713915615138829</v>
      </c>
      <c r="M578" t="str">
        <f>IF(OR((NHL2025_26Results[[#This Row],[Winning Team]]="")),"-",IF(Table4[[#This Row],[Predicted Winner]]=NHL2025_26Results[[#This Row],[Winning Team]],"YES","NO"))</f>
        <v>-</v>
      </c>
      <c r="N578" t="str">
        <f>IF(Table4[[#This Row],[Adjusted Correct]]="-", "",IF(Table4[[#This Row],[Adjusted Correct]]="YES",(Table4[[#This Row],[Strength of Win]]-1)^2,(Table4[[#This Row],[Strength of Win]]-0)^2))</f>
        <v/>
      </c>
      <c r="P578" s="11"/>
    </row>
    <row r="579" spans="4:16" x14ac:dyDescent="0.2">
      <c r="D579" s="1">
        <v>46014</v>
      </c>
      <c r="E579" s="2">
        <v>0.875</v>
      </c>
      <c r="F579" t="s">
        <v>12</v>
      </c>
      <c r="G579">
        <f>VLOOKUP(Table4[[#This Row],[Home]],'NHL Model'!$A$6:$B$38,2,FALSE)</f>
        <v>1.6319036584269762</v>
      </c>
      <c r="H579" t="s">
        <v>55</v>
      </c>
      <c r="I579">
        <f>VLOOKUP(Table4[[#This Row],[Visitor]],'NHL Model'!$A$6:$B$38,2,FALSE)</f>
        <v>-0.4031232890211825</v>
      </c>
      <c r="J579">
        <f>($B$1+Table4[[#This Row],[Home Differential]])-Table4[[#This Row],[Away Differential]]</f>
        <v>2.084927696371321</v>
      </c>
      <c r="K579" t="str">
        <f>IF(Table4[[#This Row],[HomeIce Differential]]&gt;0,Table4[[#This Row],[Home]],Table4[[#This Row],[Visitor]])</f>
        <v>Colorado Avalanche</v>
      </c>
      <c r="L5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0.88777597679518749</v>
      </c>
      <c r="M579" t="str">
        <f>IF(OR((NHL2025_26Results[[#This Row],[Winning Team]]="")),"-",IF(Table4[[#This Row],[Predicted Winner]]=NHL2025_26Results[[#This Row],[Winning Team]],"YES","NO"))</f>
        <v>-</v>
      </c>
      <c r="N579" t="str">
        <f>IF(Table4[[#This Row],[Adjusted Correct]]="-", "",IF(Table4[[#This Row],[Adjusted Correct]]="YES",(Table4[[#This Row],[Strength of Win]]-1)^2,(Table4[[#This Row],[Strength of Win]]-0)^2))</f>
        <v/>
      </c>
      <c r="P579" s="11"/>
    </row>
    <row r="580" spans="4:16" x14ac:dyDescent="0.2">
      <c r="D580" s="1">
        <v>46014</v>
      </c>
      <c r="E580" s="2">
        <v>0.77083333333333337</v>
      </c>
      <c r="F580" t="s">
        <v>26</v>
      </c>
      <c r="G580">
        <f>VLOOKUP(Table4[[#This Row],[Home]],'NHL Model'!$A$6:$B$38,2,FALSE)</f>
        <v>-0.87533956503230947</v>
      </c>
      <c r="H580" t="s">
        <v>39</v>
      </c>
      <c r="I580">
        <f>VLOOKUP(Table4[[#This Row],[Visitor]],'NHL Model'!$A$6:$B$38,2,FALSE)</f>
        <v>0.41344250185511977</v>
      </c>
      <c r="J580">
        <f>($B$1+Table4[[#This Row],[Home Differential]])-Table4[[#This Row],[Away Differential]]</f>
        <v>-1.2388813179642668</v>
      </c>
      <c r="K580" t="str">
        <f>IF(Table4[[#This Row],[HomeIce Differential]]&gt;0,Table4[[#This Row],[Home]],Table4[[#This Row],[Visitor]])</f>
        <v>Dallas Stars</v>
      </c>
      <c r="L5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0.70645543126458221</v>
      </c>
      <c r="M580" t="str">
        <f>IF(OR((NHL2025_26Results[[#This Row],[Winning Team]]="")),"-",IF(Table4[[#This Row],[Predicted Winner]]=NHL2025_26Results[[#This Row],[Winning Team]],"YES","NO"))</f>
        <v>-</v>
      </c>
      <c r="N580" t="str">
        <f>IF(Table4[[#This Row],[Adjusted Correct]]="-", "",IF(Table4[[#This Row],[Adjusted Correct]]="YES",(Table4[[#This Row],[Strength of Win]]-1)^2,(Table4[[#This Row],[Strength of Win]]-0)^2))</f>
        <v/>
      </c>
      <c r="P580" s="11"/>
    </row>
    <row r="581" spans="4:16" x14ac:dyDescent="0.2">
      <c r="D581" s="1">
        <v>46014</v>
      </c>
      <c r="E581" s="2">
        <v>0.875</v>
      </c>
      <c r="F581" t="s">
        <v>17</v>
      </c>
      <c r="G581">
        <f>VLOOKUP(Table4[[#This Row],[Home]],'NHL Model'!$A$6:$B$38,2,FALSE)</f>
        <v>-0.81774666423752174</v>
      </c>
      <c r="H581" t="s">
        <v>16</v>
      </c>
      <c r="I581">
        <f>VLOOKUP(Table4[[#This Row],[Visitor]],'NHL Model'!$A$6:$B$38,2,FALSE)</f>
        <v>-1.0657812790446208</v>
      </c>
      <c r="J581">
        <f>($B$1+Table4[[#This Row],[Home Differential]])-Table4[[#This Row],[Away Differential]]</f>
        <v>0.29793536373026153</v>
      </c>
      <c r="K581" t="str">
        <f>IF(Table4[[#This Row],[HomeIce Differential]]&gt;0,Table4[[#This Row],[Home]],Table4[[#This Row],[Visitor]])</f>
        <v>Edmonton Oilers</v>
      </c>
      <c r="L5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0.58183430278759984</v>
      </c>
      <c r="M581" t="str">
        <f>IF(OR((NHL2025_26Results[[#This Row],[Winning Team]]="")),"-",IF(Table4[[#This Row],[Predicted Winner]]=NHL2025_26Results[[#This Row],[Winning Team]],"YES","NO"))</f>
        <v>-</v>
      </c>
      <c r="N581" t="str">
        <f>IF(Table4[[#This Row],[Adjusted Correct]]="-", "",IF(Table4[[#This Row],[Adjusted Correct]]="YES",(Table4[[#This Row],[Strength of Win]]-1)^2,(Table4[[#This Row],[Strength of Win]]-0)^2))</f>
        <v/>
      </c>
      <c r="P581" s="11"/>
    </row>
    <row r="582" spans="4:16" x14ac:dyDescent="0.2">
      <c r="D582" s="1">
        <v>46014</v>
      </c>
      <c r="E582" s="2">
        <v>0.91666666666666663</v>
      </c>
      <c r="F582" t="s">
        <v>13</v>
      </c>
      <c r="G582">
        <f>VLOOKUP(Table4[[#This Row],[Home]],'NHL Model'!$A$6:$B$38,2,FALSE)</f>
        <v>-0.33828359867721369</v>
      </c>
      <c r="H582" t="s">
        <v>32</v>
      </c>
      <c r="I582">
        <f>VLOOKUP(Table4[[#This Row],[Visitor]],'NHL Model'!$A$6:$B$38,2,FALSE)</f>
        <v>-0.64937723527808999</v>
      </c>
      <c r="J582">
        <f>($B$1+Table4[[#This Row],[Home Differential]])-Table4[[#This Row],[Away Differential]]</f>
        <v>0.36099438552403879</v>
      </c>
      <c r="K582" t="str">
        <f>IF(Table4[[#This Row],[HomeIce Differential]]&gt;0,Table4[[#This Row],[Home]],Table4[[#This Row],[Visitor]])</f>
        <v>Los Angeles Kings</v>
      </c>
      <c r="L5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0.58215142240680495</v>
      </c>
      <c r="M582" t="str">
        <f>IF(OR((NHL2025_26Results[[#This Row],[Winning Team]]="")),"-",IF(Table4[[#This Row],[Predicted Winner]]=NHL2025_26Results[[#This Row],[Winning Team]],"YES","NO"))</f>
        <v>-</v>
      </c>
      <c r="N582" t="str">
        <f>IF(Table4[[#This Row],[Adjusted Correct]]="-", "",IF(Table4[[#This Row],[Adjusted Correct]]="YES",(Table4[[#This Row],[Strength of Win]]-1)^2,(Table4[[#This Row],[Strength of Win]]-0)^2))</f>
        <v/>
      </c>
      <c r="P582" s="11"/>
    </row>
    <row r="583" spans="4:16" x14ac:dyDescent="0.2">
      <c r="D583" s="1">
        <v>46014</v>
      </c>
      <c r="E583" s="2">
        <v>0.83333333333333337</v>
      </c>
      <c r="F583" t="s">
        <v>34</v>
      </c>
      <c r="G583">
        <f>VLOOKUP(Table4[[#This Row],[Home]],'NHL Model'!$A$6:$B$38,2,FALSE)</f>
        <v>-5.5124787449478845E-2</v>
      </c>
      <c r="H583" t="s">
        <v>29</v>
      </c>
      <c r="I583">
        <f>VLOOKUP(Table4[[#This Row],[Visitor]],'NHL Model'!$A$6:$B$38,2,FALSE)</f>
        <v>-1.384917283810061</v>
      </c>
      <c r="J583">
        <f>($B$1+Table4[[#This Row],[Home Differential]])-Table4[[#This Row],[Away Differential]]</f>
        <v>1.3796932452837445</v>
      </c>
      <c r="K583" t="str">
        <f>IF(Table4[[#This Row],[HomeIce Differential]]&gt;0,Table4[[#This Row],[Home]],Table4[[#This Row],[Visitor]])</f>
        <v>Minnesota Wild</v>
      </c>
      <c r="L5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0.70109954920586415</v>
      </c>
      <c r="M583" t="str">
        <f>IF(OR((NHL2025_26Results[[#This Row],[Winning Team]]="")),"-",IF(Table4[[#This Row],[Predicted Winner]]=NHL2025_26Results[[#This Row],[Winning Team]],"YES","NO"))</f>
        <v>-</v>
      </c>
      <c r="N583" t="str">
        <f>IF(Table4[[#This Row],[Adjusted Correct]]="-", "",IF(Table4[[#This Row],[Adjusted Correct]]="YES",(Table4[[#This Row],[Strength of Win]]-1)^2,(Table4[[#This Row],[Strength of Win]]-0)^2))</f>
        <v/>
      </c>
      <c r="P583" s="11"/>
    </row>
    <row r="584" spans="4:16" x14ac:dyDescent="0.2">
      <c r="D584" s="1">
        <v>46014</v>
      </c>
      <c r="E584" s="2">
        <v>0.79166666666666663</v>
      </c>
      <c r="F584" t="s">
        <v>30</v>
      </c>
      <c r="G584">
        <f>VLOOKUP(Table4[[#This Row],[Home]],'NHL Model'!$A$6:$B$38,2,FALSE)</f>
        <v>-0.24093199744133265</v>
      </c>
      <c r="H584" t="s">
        <v>24</v>
      </c>
      <c r="I584">
        <f>VLOOKUP(Table4[[#This Row],[Visitor]],'NHL Model'!$A$6:$B$38,2,FALSE)</f>
        <v>1.5302507646042616E-3</v>
      </c>
      <c r="J584">
        <f>($B$1+Table4[[#This Row],[Home Differential]])-Table4[[#This Row],[Away Differential]]</f>
        <v>-0.19256149928277444</v>
      </c>
      <c r="K584" t="str">
        <f>IF(Table4[[#This Row],[HomeIce Differential]]&gt;0,Table4[[#This Row],[Home]],Table4[[#This Row],[Visitor]])</f>
        <v>New Jersey Devils</v>
      </c>
      <c r="L5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0.50325362781538752</v>
      </c>
      <c r="M584" t="str">
        <f>IF(OR((NHL2025_26Results[[#This Row],[Winning Team]]="")),"-",IF(Table4[[#This Row],[Predicted Winner]]=NHL2025_26Results[[#This Row],[Winning Team]],"YES","NO"))</f>
        <v>-</v>
      </c>
      <c r="N584" t="str">
        <f>IF(Table4[[#This Row],[Adjusted Correct]]="-", "",IF(Table4[[#This Row],[Adjusted Correct]]="YES",(Table4[[#This Row],[Strength of Win]]-1)^2,(Table4[[#This Row],[Strength of Win]]-0)^2))</f>
        <v/>
      </c>
      <c r="P584" s="11"/>
    </row>
    <row r="585" spans="4:16" x14ac:dyDescent="0.2">
      <c r="D585" s="1">
        <v>46014</v>
      </c>
      <c r="E585" s="2">
        <v>0.79166666666666663</v>
      </c>
      <c r="F585" t="s">
        <v>36</v>
      </c>
      <c r="G585">
        <f>VLOOKUP(Table4[[#This Row],[Home]],'NHL Model'!$A$6:$B$38,2,FALSE)</f>
        <v>-0.53137605086483863</v>
      </c>
      <c r="H585" t="s">
        <v>23</v>
      </c>
      <c r="I585">
        <f>VLOOKUP(Table4[[#This Row],[Visitor]],'NHL Model'!$A$6:$B$38,2,FALSE)</f>
        <v>-0.4761104357405897</v>
      </c>
      <c r="J585">
        <f>($B$1+Table4[[#This Row],[Home Differential]])-Table4[[#This Row],[Away Differential]]</f>
        <v>-5.364866201086449E-3</v>
      </c>
      <c r="K585" t="str">
        <f>IF(Table4[[#This Row],[HomeIce Differential]]&gt;0,Table4[[#This Row],[Home]],Table4[[#This Row],[Visitor]])</f>
        <v>Buffalo Sabres</v>
      </c>
      <c r="L5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0.45813094810441091</v>
      </c>
      <c r="M585" t="str">
        <f>IF(OR((NHL2025_26Results[[#This Row],[Winning Team]]="")),"-",IF(Table4[[#This Row],[Predicted Winner]]=NHL2025_26Results[[#This Row],[Winning Team]],"YES","NO"))</f>
        <v>-</v>
      </c>
      <c r="N585" t="str">
        <f>IF(Table4[[#This Row],[Adjusted Correct]]="-", "",IF(Table4[[#This Row],[Adjusted Correct]]="YES",(Table4[[#This Row],[Strength of Win]]-1)^2,(Table4[[#This Row],[Strength of Win]]-0)^2))</f>
        <v/>
      </c>
      <c r="P585" s="11"/>
    </row>
    <row r="586" spans="4:16" x14ac:dyDescent="0.2">
      <c r="D586" s="1">
        <v>46014</v>
      </c>
      <c r="E586" s="2">
        <v>0.66666666666666663</v>
      </c>
      <c r="F586" t="s">
        <v>19</v>
      </c>
      <c r="G586">
        <f>VLOOKUP(Table4[[#This Row],[Home]],'NHL Model'!$A$6:$B$38,2,FALSE)</f>
        <v>-0.63447859131898054</v>
      </c>
      <c r="H586" t="s">
        <v>14</v>
      </c>
      <c r="I586">
        <f>VLOOKUP(Table4[[#This Row],[Visitor]],'NHL Model'!$A$6:$B$38,2,FALSE)</f>
        <v>-0.14226422156549004</v>
      </c>
      <c r="J586">
        <f>($B$1+Table4[[#This Row],[Home Differential]])-Table4[[#This Row],[Away Differential]]</f>
        <v>-0.4423136208303281</v>
      </c>
      <c r="K586" t="str">
        <f>IF(Table4[[#This Row],[HomeIce Differential]]&gt;0,Table4[[#This Row],[Home]],Table4[[#This Row],[Visitor]])</f>
        <v>Pittsburgh Penguins</v>
      </c>
      <c r="L5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0.55093337655329999</v>
      </c>
      <c r="M586" t="str">
        <f>IF(OR((NHL2025_26Results[[#This Row],[Winning Team]]="")),"-",IF(Table4[[#This Row],[Predicted Winner]]=NHL2025_26Results[[#This Row],[Winning Team]],"YES","NO"))</f>
        <v>-</v>
      </c>
      <c r="N586" t="str">
        <f>IF(Table4[[#This Row],[Adjusted Correct]]="-", "",IF(Table4[[#This Row],[Adjusted Correct]]="YES",(Table4[[#This Row],[Strength of Win]]-1)^2,(Table4[[#This Row],[Strength of Win]]-0)^2))</f>
        <v/>
      </c>
      <c r="P586" s="11"/>
    </row>
    <row r="587" spans="4:16" x14ac:dyDescent="0.2">
      <c r="D587" s="1">
        <v>46014</v>
      </c>
      <c r="E587" s="2">
        <v>0.91666666666666663</v>
      </c>
      <c r="F587" t="s">
        <v>20</v>
      </c>
      <c r="G587">
        <f>VLOOKUP(Table4[[#This Row],[Home]],'NHL Model'!$A$6:$B$38,2,FALSE)</f>
        <v>-0.24444083032063643</v>
      </c>
      <c r="H587" t="s">
        <v>33</v>
      </c>
      <c r="I587">
        <f>VLOOKUP(Table4[[#This Row],[Visitor]],'NHL Model'!$A$6:$B$38,2,FALSE)</f>
        <v>-0.45133099238224339</v>
      </c>
      <c r="J587">
        <f>($B$1+Table4[[#This Row],[Home Differential]])-Table4[[#This Row],[Away Differential]]</f>
        <v>0.25679091098476942</v>
      </c>
      <c r="K587" t="str">
        <f>IF(Table4[[#This Row],[HomeIce Differential]]&gt;0,Table4[[#This Row],[Home]],Table4[[#This Row],[Visitor]])</f>
        <v>Vegas Golden Knights</v>
      </c>
      <c r="L5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0.56998412882082472</v>
      </c>
      <c r="M587" t="str">
        <f>IF(OR((NHL2025_26Results[[#This Row],[Winning Team]]="")),"-",IF(Table4[[#This Row],[Predicted Winner]]=NHL2025_26Results[[#This Row],[Winning Team]],"YES","NO"))</f>
        <v>-</v>
      </c>
      <c r="N587" t="str">
        <f>IF(Table4[[#This Row],[Adjusted Correct]]="-", "",IF(Table4[[#This Row],[Adjusted Correct]]="YES",(Table4[[#This Row],[Strength of Win]]-1)^2,(Table4[[#This Row],[Strength of Win]]-0)^2))</f>
        <v/>
      </c>
      <c r="P587" s="11"/>
    </row>
    <row r="588" spans="4:16" x14ac:dyDescent="0.2">
      <c r="D588" s="1">
        <v>46014</v>
      </c>
      <c r="E588" s="2">
        <v>0.79166666666666663</v>
      </c>
      <c r="F588" t="s">
        <v>22</v>
      </c>
      <c r="G588">
        <f>VLOOKUP(Table4[[#This Row],[Home]],'NHL Model'!$A$6:$B$38,2,FALSE)</f>
        <v>0.4407072328537569</v>
      </c>
      <c r="H588" t="s">
        <v>15</v>
      </c>
      <c r="I588">
        <f>VLOOKUP(Table4[[#This Row],[Visitor]],'NHL Model'!$A$6:$B$38,2,FALSE)</f>
        <v>-0.29003398448394263</v>
      </c>
      <c r="J588">
        <f>($B$1+Table4[[#This Row],[Home Differential]])-Table4[[#This Row],[Away Differential]]</f>
        <v>0.78064196626086202</v>
      </c>
      <c r="K588" t="str">
        <f>IF(Table4[[#This Row],[HomeIce Differential]]&gt;0,Table4[[#This Row],[Home]],Table4[[#This Row],[Visitor]])</f>
        <v>Washington Capitals</v>
      </c>
      <c r="L5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0.55717088848980889</v>
      </c>
      <c r="M588" t="str">
        <f>IF(OR((NHL2025_26Results[[#This Row],[Winning Team]]="")),"-",IF(Table4[[#This Row],[Predicted Winner]]=NHL2025_26Results[[#This Row],[Winning Team]],"YES","NO"))</f>
        <v>-</v>
      </c>
      <c r="N588" t="str">
        <f>IF(Table4[[#This Row],[Adjusted Correct]]="-", "",IF(Table4[[#This Row],[Adjusted Correct]]="YES",(Table4[[#This Row],[Strength of Win]]-1)^2,(Table4[[#This Row],[Strength of Win]]-0)^2))</f>
        <v/>
      </c>
      <c r="P588" s="11"/>
    </row>
    <row r="589" spans="4:16" x14ac:dyDescent="0.2">
      <c r="D589" s="1">
        <v>46018</v>
      </c>
      <c r="E589" s="2">
        <v>0.79166666666666663</v>
      </c>
      <c r="F589" t="s">
        <v>23</v>
      </c>
      <c r="G589">
        <f>VLOOKUP(Table4[[#This Row],[Home]],'NHL Model'!$A$6:$B$38,2,FALSE)</f>
        <v>-0.4761104357405897</v>
      </c>
      <c r="H589" t="s">
        <v>21</v>
      </c>
      <c r="I589">
        <f>VLOOKUP(Table4[[#This Row],[Visitor]],'NHL Model'!$A$6:$B$38,2,FALSE)</f>
        <v>-0.21976976044773161</v>
      </c>
      <c r="J589">
        <f>($B$1+Table4[[#This Row],[Home Differential]])-Table4[[#This Row],[Away Differential]]</f>
        <v>-0.2064399263696956</v>
      </c>
      <c r="K589" t="str">
        <f>IF(Table4[[#This Row],[HomeIce Differential]]&gt;0,Table4[[#This Row],[Home]],Table4[[#This Row],[Visitor]])</f>
        <v>Boston Bruins</v>
      </c>
      <c r="L5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0.47480913359163229</v>
      </c>
      <c r="M589" t="str">
        <f>IF(OR((NHL2025_26Results[[#This Row],[Winning Team]]="")),"-",IF(Table4[[#This Row],[Predicted Winner]]=NHL2025_26Results[[#This Row],[Winning Team]],"YES","NO"))</f>
        <v>-</v>
      </c>
      <c r="N589" t="str">
        <f>IF(Table4[[#This Row],[Adjusted Correct]]="-", "",IF(Table4[[#This Row],[Adjusted Correct]]="YES",(Table4[[#This Row],[Strength of Win]]-1)^2,(Table4[[#This Row],[Strength of Win]]-0)^2))</f>
        <v/>
      </c>
      <c r="P589" s="11"/>
    </row>
    <row r="590" spans="4:16" x14ac:dyDescent="0.2">
      <c r="D590" s="1">
        <v>46018</v>
      </c>
      <c r="E590" s="2">
        <v>0.79166666666666663</v>
      </c>
      <c r="F590" t="s">
        <v>25</v>
      </c>
      <c r="G590">
        <f>VLOOKUP(Table4[[#This Row],[Home]],'NHL Model'!$A$6:$B$38,2,FALSE)</f>
        <v>0.42567513732855267</v>
      </c>
      <c r="H590" t="s">
        <v>26</v>
      </c>
      <c r="I590">
        <f>VLOOKUP(Table4[[#This Row],[Visitor]],'NHL Model'!$A$6:$B$38,2,FALSE)</f>
        <v>-0.87533956503230947</v>
      </c>
      <c r="J590">
        <f>($B$1+Table4[[#This Row],[Home Differential]])-Table4[[#This Row],[Away Differential]]</f>
        <v>1.3509154512840247</v>
      </c>
      <c r="K590" t="str">
        <f>IF(Table4[[#This Row],[HomeIce Differential]]&gt;0,Table4[[#This Row],[Home]],Table4[[#This Row],[Visitor]])</f>
        <v>Carolina Hurricanes</v>
      </c>
      <c r="L5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0.74945529335783156</v>
      </c>
      <c r="M590" t="str">
        <f>IF(OR((NHL2025_26Results[[#This Row],[Winning Team]]="")),"-",IF(Table4[[#This Row],[Predicted Winner]]=NHL2025_26Results[[#This Row],[Winning Team]],"YES","NO"))</f>
        <v>-</v>
      </c>
      <c r="N590" t="str">
        <f>IF(Table4[[#This Row],[Adjusted Correct]]="-", "",IF(Table4[[#This Row],[Adjusted Correct]]="YES",(Table4[[#This Row],[Strength of Win]]-1)^2,(Table4[[#This Row],[Strength of Win]]-0)^2))</f>
        <v/>
      </c>
      <c r="P590" s="11"/>
    </row>
    <row r="591" spans="4:16" x14ac:dyDescent="0.2">
      <c r="D591" s="1">
        <v>46018</v>
      </c>
      <c r="E591" s="2">
        <v>0.91666666666666663</v>
      </c>
      <c r="F591" t="s">
        <v>16</v>
      </c>
      <c r="G591">
        <f>VLOOKUP(Table4[[#This Row],[Home]],'NHL Model'!$A$6:$B$38,2,FALSE)</f>
        <v>-1.0657812790446208</v>
      </c>
      <c r="H591" t="s">
        <v>17</v>
      </c>
      <c r="I591">
        <f>VLOOKUP(Table4[[#This Row],[Visitor]],'NHL Model'!$A$6:$B$38,2,FALSE)</f>
        <v>-0.81774666423752174</v>
      </c>
      <c r="J591">
        <f>($B$1+Table4[[#This Row],[Home Differential]])-Table4[[#This Row],[Away Differential]]</f>
        <v>-0.19813386588393667</v>
      </c>
      <c r="K591" t="str">
        <f>IF(Table4[[#This Row],[HomeIce Differential]]&gt;0,Table4[[#This Row],[Home]],Table4[[#This Row],[Visitor]])</f>
        <v>Edmonton Oilers</v>
      </c>
      <c r="L5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0.48313505308910382</v>
      </c>
      <c r="M591" t="str">
        <f>IF(OR((NHL2025_26Results[[#This Row],[Winning Team]]="")),"-",IF(Table4[[#This Row],[Predicted Winner]]=NHL2025_26Results[[#This Row],[Winning Team]],"YES","NO"))</f>
        <v>-</v>
      </c>
      <c r="N591" t="str">
        <f>IF(Table4[[#This Row],[Adjusted Correct]]="-", "",IF(Table4[[#This Row],[Adjusted Correct]]="YES",(Table4[[#This Row],[Strength of Win]]-1)^2,(Table4[[#This Row],[Strength of Win]]-0)^2))</f>
        <v/>
      </c>
      <c r="P591" s="11"/>
    </row>
    <row r="592" spans="4:16" x14ac:dyDescent="0.2">
      <c r="D592" s="1">
        <v>46018</v>
      </c>
      <c r="E592" s="2">
        <v>0.83333333333333337</v>
      </c>
      <c r="F592" t="s">
        <v>39</v>
      </c>
      <c r="G592">
        <f>VLOOKUP(Table4[[#This Row],[Home]],'NHL Model'!$A$6:$B$38,2,FALSE)</f>
        <v>0.41344250185511977</v>
      </c>
      <c r="H592" t="s">
        <v>10</v>
      </c>
      <c r="I592">
        <f>VLOOKUP(Table4[[#This Row],[Visitor]],'NHL Model'!$A$6:$B$38,2,FALSE)</f>
        <v>-0.17619625518431364</v>
      </c>
      <c r="J592">
        <f>($B$1+Table4[[#This Row],[Home Differential]])-Table4[[#This Row],[Away Differential]]</f>
        <v>0.6395395059625959</v>
      </c>
      <c r="K592" t="str">
        <f>IF(Table4[[#This Row],[HomeIce Differential]]&gt;0,Table4[[#This Row],[Home]],Table4[[#This Row],[Visitor]])</f>
        <v>Dallas Stars</v>
      </c>
      <c r="L5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0.64692174205887343</v>
      </c>
      <c r="M592" t="str">
        <f>IF(OR((NHL2025_26Results[[#This Row],[Winning Team]]="")),"-",IF(Table4[[#This Row],[Predicted Winner]]=NHL2025_26Results[[#This Row],[Winning Team]],"YES","NO"))</f>
        <v>-</v>
      </c>
      <c r="N592" t="str">
        <f>IF(Table4[[#This Row],[Adjusted Correct]]="-", "",IF(Table4[[#This Row],[Adjusted Correct]]="YES",(Table4[[#This Row],[Strength of Win]]-1)^2,(Table4[[#This Row],[Strength of Win]]-0)^2))</f>
        <v/>
      </c>
      <c r="P592" s="11"/>
    </row>
    <row r="593" spans="4:16" x14ac:dyDescent="0.2">
      <c r="D593" s="1">
        <v>46018</v>
      </c>
      <c r="E593" s="2">
        <v>0.79166666666666663</v>
      </c>
      <c r="F593" t="s">
        <v>11</v>
      </c>
      <c r="G593">
        <f>VLOOKUP(Table4[[#This Row],[Home]],'NHL Model'!$A$6:$B$38,2,FALSE)</f>
        <v>-0.39711829106410657</v>
      </c>
      <c r="H593" t="s">
        <v>37</v>
      </c>
      <c r="I593">
        <f>VLOOKUP(Table4[[#This Row],[Visitor]],'NHL Model'!$A$6:$B$38,2,FALSE)</f>
        <v>0.51050494674660429</v>
      </c>
      <c r="J593">
        <f>($B$1+Table4[[#This Row],[Home Differential]])-Table4[[#This Row],[Away Differential]]</f>
        <v>-0.85772248888754832</v>
      </c>
      <c r="K593" t="str">
        <f>IF(Table4[[#This Row],[HomeIce Differential]]&gt;0,Table4[[#This Row],[Home]],Table4[[#This Row],[Visitor]])</f>
        <v>Tampa Bay Lightning</v>
      </c>
      <c r="L5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0.63861329811960532</v>
      </c>
      <c r="M593" t="str">
        <f>IF(OR((NHL2025_26Results[[#This Row],[Winning Team]]="")),"-",IF(Table4[[#This Row],[Predicted Winner]]=NHL2025_26Results[[#This Row],[Winning Team]],"YES","NO"))</f>
        <v>-</v>
      </c>
      <c r="N593" t="str">
        <f>IF(Table4[[#This Row],[Adjusted Correct]]="-", "",IF(Table4[[#This Row],[Adjusted Correct]]="YES",(Table4[[#This Row],[Strength of Win]]-1)^2,(Table4[[#This Row],[Strength of Win]]-0)^2))</f>
        <v/>
      </c>
      <c r="P593" s="11"/>
    </row>
    <row r="594" spans="4:16" x14ac:dyDescent="0.2">
      <c r="D594" s="1">
        <v>46018</v>
      </c>
      <c r="E594" s="2">
        <v>0.875</v>
      </c>
      <c r="F594" t="s">
        <v>13</v>
      </c>
      <c r="G594">
        <f>VLOOKUP(Table4[[#This Row],[Home]],'NHL Model'!$A$6:$B$38,2,FALSE)</f>
        <v>-0.33828359867721369</v>
      </c>
      <c r="H594" t="s">
        <v>31</v>
      </c>
      <c r="I594">
        <f>VLOOKUP(Table4[[#This Row],[Visitor]],'NHL Model'!$A$6:$B$38,2,FALSE)</f>
        <v>0.17870302183926629</v>
      </c>
      <c r="J594">
        <f>($B$1+Table4[[#This Row],[Home Differential]])-Table4[[#This Row],[Away Differential]]</f>
        <v>-0.46708587159331749</v>
      </c>
      <c r="K594" t="str">
        <f>IF(Table4[[#This Row],[HomeIce Differential]]&gt;0,Table4[[#This Row],[Home]],Table4[[#This Row],[Visitor]])</f>
        <v>Anaheim Ducks</v>
      </c>
      <c r="L5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0.53530839997320578</v>
      </c>
      <c r="M594" t="str">
        <f>IF(OR((NHL2025_26Results[[#This Row],[Winning Team]]="")),"-",IF(Table4[[#This Row],[Predicted Winner]]=NHL2025_26Results[[#This Row],[Winning Team]],"YES","NO"))</f>
        <v>-</v>
      </c>
      <c r="N594" t="str">
        <f>IF(Table4[[#This Row],[Adjusted Correct]]="-", "",IF(Table4[[#This Row],[Adjusted Correct]]="YES",(Table4[[#This Row],[Strength of Win]]-1)^2,(Table4[[#This Row],[Strength of Win]]-0)^2))</f>
        <v/>
      </c>
      <c r="P594" s="11"/>
    </row>
    <row r="595" spans="4:16" x14ac:dyDescent="0.2">
      <c r="D595" s="1">
        <v>46018</v>
      </c>
      <c r="E595" s="2">
        <v>0.79166666666666663</v>
      </c>
      <c r="F595" t="s">
        <v>24</v>
      </c>
      <c r="G595">
        <f>VLOOKUP(Table4[[#This Row],[Home]],'NHL Model'!$A$6:$B$38,2,FALSE)</f>
        <v>1.5302507646042616E-3</v>
      </c>
      <c r="H595" t="s">
        <v>22</v>
      </c>
      <c r="I595">
        <f>VLOOKUP(Table4[[#This Row],[Visitor]],'NHL Model'!$A$6:$B$38,2,FALSE)</f>
        <v>0.4407072328537569</v>
      </c>
      <c r="J595">
        <f>($B$1+Table4[[#This Row],[Home Differential]])-Table4[[#This Row],[Away Differential]]</f>
        <v>-0.38927623316599019</v>
      </c>
      <c r="K595" t="str">
        <f>IF(Table4[[#This Row],[HomeIce Differential]]&gt;0,Table4[[#This Row],[Home]],Table4[[#This Row],[Visitor]])</f>
        <v>Washington Capitals</v>
      </c>
      <c r="L5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0.46650637710823029</v>
      </c>
      <c r="M595" t="str">
        <f>IF(OR((NHL2025_26Results[[#This Row],[Winning Team]]="")),"-",IF(Table4[[#This Row],[Predicted Winner]]=NHL2025_26Results[[#This Row],[Winning Team]],"YES","NO"))</f>
        <v>-</v>
      </c>
      <c r="N595" t="str">
        <f>IF(Table4[[#This Row],[Adjusted Correct]]="-", "",IF(Table4[[#This Row],[Adjusted Correct]]="YES",(Table4[[#This Row],[Strength of Win]]-1)^2,(Table4[[#This Row],[Strength of Win]]-0)^2))</f>
        <v/>
      </c>
      <c r="P595" s="11"/>
    </row>
    <row r="596" spans="4:16" x14ac:dyDescent="0.2">
      <c r="D596" s="1">
        <v>46018</v>
      </c>
      <c r="E596" s="2">
        <v>0.75</v>
      </c>
      <c r="F596" t="s">
        <v>30</v>
      </c>
      <c r="G596">
        <f>VLOOKUP(Table4[[#This Row],[Home]],'NHL Model'!$A$6:$B$38,2,FALSE)</f>
        <v>-0.24093199744133265</v>
      </c>
      <c r="H596" t="s">
        <v>15</v>
      </c>
      <c r="I596">
        <f>VLOOKUP(Table4[[#This Row],[Visitor]],'NHL Model'!$A$6:$B$38,2,FALSE)</f>
        <v>-0.29003398448394263</v>
      </c>
      <c r="J596">
        <f>($B$1+Table4[[#This Row],[Home Differential]])-Table4[[#This Row],[Away Differential]]</f>
        <v>9.9002735965772443E-2</v>
      </c>
      <c r="K596" t="str">
        <f>IF(Table4[[#This Row],[HomeIce Differential]]&gt;0,Table4[[#This Row],[Home]],Table4[[#This Row],[Visitor]])</f>
        <v>New York Islanders</v>
      </c>
      <c r="L5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0.45147856420498927</v>
      </c>
      <c r="M596" t="str">
        <f>IF(OR((NHL2025_26Results[[#This Row],[Winning Team]]="")),"-",IF(Table4[[#This Row],[Predicted Winner]]=NHL2025_26Results[[#This Row],[Winning Team]],"YES","NO"))</f>
        <v>-</v>
      </c>
      <c r="N596" t="str">
        <f>IF(Table4[[#This Row],[Adjusted Correct]]="-", "",IF(Table4[[#This Row],[Adjusted Correct]]="YES",(Table4[[#This Row],[Strength of Win]]-1)^2,(Table4[[#This Row],[Strength of Win]]-0)^2))</f>
        <v/>
      </c>
      <c r="P596" s="11"/>
    </row>
    <row r="597" spans="4:16" x14ac:dyDescent="0.2">
      <c r="D597" s="1">
        <v>46018</v>
      </c>
      <c r="E597" s="2">
        <v>0.83333333333333337</v>
      </c>
      <c r="F597" t="s">
        <v>35</v>
      </c>
      <c r="G597">
        <f>VLOOKUP(Table4[[#This Row],[Home]],'NHL Model'!$A$6:$B$38,2,FALSE)</f>
        <v>-1.3944783719477225</v>
      </c>
      <c r="H597" t="s">
        <v>29</v>
      </c>
      <c r="I597">
        <f>VLOOKUP(Table4[[#This Row],[Visitor]],'NHL Model'!$A$6:$B$38,2,FALSE)</f>
        <v>-1.384917283810061</v>
      </c>
      <c r="J597">
        <f>($B$1+Table4[[#This Row],[Home Differential]])-Table4[[#This Row],[Away Differential]]</f>
        <v>4.0339660785500886E-2</v>
      </c>
      <c r="K597" t="str">
        <f>IF(Table4[[#This Row],[HomeIce Differential]]&gt;0,Table4[[#This Row],[Home]],Table4[[#This Row],[Visitor]])</f>
        <v>St. Louis Blues</v>
      </c>
      <c r="L5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0.54471025076760826</v>
      </c>
      <c r="M597" t="str">
        <f>IF(OR((NHL2025_26Results[[#This Row],[Winning Team]]="")),"-",IF(Table4[[#This Row],[Predicted Winner]]=NHL2025_26Results[[#This Row],[Winning Team]],"YES","NO"))</f>
        <v>-</v>
      </c>
      <c r="N597" t="str">
        <f>IF(Table4[[#This Row],[Adjusted Correct]]="-", "",IF(Table4[[#This Row],[Adjusted Correct]]="YES",(Table4[[#This Row],[Strength of Win]]-1)^2,(Table4[[#This Row],[Strength of Win]]-0)^2))</f>
        <v/>
      </c>
      <c r="P597" s="11"/>
    </row>
    <row r="598" spans="4:16" x14ac:dyDescent="0.2">
      <c r="D598" s="1">
        <v>46018</v>
      </c>
      <c r="E598" s="2">
        <v>0.79166666666666663</v>
      </c>
      <c r="F598" t="s">
        <v>19</v>
      </c>
      <c r="G598">
        <f>VLOOKUP(Table4[[#This Row],[Home]],'NHL Model'!$A$6:$B$38,2,FALSE)</f>
        <v>-0.63447859131898054</v>
      </c>
      <c r="H598" t="s">
        <v>36</v>
      </c>
      <c r="I598">
        <f>VLOOKUP(Table4[[#This Row],[Visitor]],'NHL Model'!$A$6:$B$38,2,FALSE)</f>
        <v>-0.53137605086483863</v>
      </c>
      <c r="J598">
        <f>($B$1+Table4[[#This Row],[Home Differential]])-Table4[[#This Row],[Away Differential]]</f>
        <v>-5.3201791530979481E-2</v>
      </c>
      <c r="K598" t="str">
        <f>IF(Table4[[#This Row],[HomeIce Differential]]&gt;0,Table4[[#This Row],[Home]],Table4[[#This Row],[Visitor]])</f>
        <v>Ottawa Senators</v>
      </c>
      <c r="L5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0.46621209436364425</v>
      </c>
      <c r="M598" t="str">
        <f>IF(OR((NHL2025_26Results[[#This Row],[Winning Team]]="")),"-",IF(Table4[[#This Row],[Predicted Winner]]=NHL2025_26Results[[#This Row],[Winning Team]],"YES","NO"))</f>
        <v>-</v>
      </c>
      <c r="N598" t="str">
        <f>IF(Table4[[#This Row],[Adjusted Correct]]="-", "",IF(Table4[[#This Row],[Adjusted Correct]]="YES",(Table4[[#This Row],[Strength of Win]]-1)^2,(Table4[[#This Row],[Strength of Win]]-0)^2))</f>
        <v/>
      </c>
      <c r="P598" s="11"/>
    </row>
    <row r="599" spans="4:16" x14ac:dyDescent="0.2">
      <c r="D599" s="1">
        <v>46018</v>
      </c>
      <c r="E599" s="2">
        <v>0.91666666666666663</v>
      </c>
      <c r="F599" t="s">
        <v>38</v>
      </c>
      <c r="G599">
        <f>VLOOKUP(Table4[[#This Row],[Home]],'NHL Model'!$A$6:$B$38,2,FALSE)</f>
        <v>-0.9476777551108041</v>
      </c>
      <c r="H599" t="s">
        <v>33</v>
      </c>
      <c r="I599">
        <f>VLOOKUP(Table4[[#This Row],[Visitor]],'NHL Model'!$A$6:$B$38,2,FALSE)</f>
        <v>-0.45133099238224339</v>
      </c>
      <c r="J599">
        <f>($B$1+Table4[[#This Row],[Home Differential]])-Table4[[#This Row],[Away Differential]]</f>
        <v>-0.44644601380539828</v>
      </c>
      <c r="K599" t="str">
        <f>IF(Table4[[#This Row],[HomeIce Differential]]&gt;0,Table4[[#This Row],[Home]],Table4[[#This Row],[Visitor]])</f>
        <v>San Jose Sharks</v>
      </c>
      <c r="L5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0.51212916118467577</v>
      </c>
      <c r="M599" t="str">
        <f>IF(OR((NHL2025_26Results[[#This Row],[Winning Team]]="")),"-",IF(Table4[[#This Row],[Predicted Winner]]=NHL2025_26Results[[#This Row],[Winning Team]],"YES","NO"))</f>
        <v>-</v>
      </c>
      <c r="N599" t="str">
        <f>IF(Table4[[#This Row],[Adjusted Correct]]="-", "",IF(Table4[[#This Row],[Adjusted Correct]]="YES",(Table4[[#This Row],[Strength of Win]]-1)^2,(Table4[[#This Row],[Strength of Win]]-0)^2))</f>
        <v/>
      </c>
      <c r="P599" s="11"/>
    </row>
    <row r="600" spans="4:16" x14ac:dyDescent="0.2">
      <c r="D600" s="1">
        <v>46018</v>
      </c>
      <c r="E600" s="2">
        <v>0.91666666666666663</v>
      </c>
      <c r="F600" t="s">
        <v>20</v>
      </c>
      <c r="G600">
        <f>VLOOKUP(Table4[[#This Row],[Home]],'NHL Model'!$A$6:$B$38,2,FALSE)</f>
        <v>-0.24444083032063643</v>
      </c>
      <c r="H600" t="s">
        <v>12</v>
      </c>
      <c r="I600">
        <f>VLOOKUP(Table4[[#This Row],[Visitor]],'NHL Model'!$A$6:$B$38,2,FALSE)</f>
        <v>1.6319036584269762</v>
      </c>
      <c r="J600">
        <f>($B$1+Table4[[#This Row],[Home Differential]])-Table4[[#This Row],[Away Differential]]</f>
        <v>-1.8264437398244502</v>
      </c>
      <c r="K600" t="str">
        <f>IF(Table4[[#This Row],[HomeIce Differential]]&gt;0,Table4[[#This Row],[Home]],Table4[[#This Row],[Visitor]])</f>
        <v>Colorado Avalanche</v>
      </c>
      <c r="L6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0.74588743211805819</v>
      </c>
      <c r="M600" t="str">
        <f>IF(OR((NHL2025_26Results[[#This Row],[Winning Team]]="")),"-",IF(Table4[[#This Row],[Predicted Winner]]=NHL2025_26Results[[#This Row],[Winning Team]],"YES","NO"))</f>
        <v>-</v>
      </c>
      <c r="N600" t="str">
        <f>IF(Table4[[#This Row],[Adjusted Correct]]="-", "",IF(Table4[[#This Row],[Adjusted Correct]]="YES",(Table4[[#This Row],[Strength of Win]]-1)^2,(Table4[[#This Row],[Strength of Win]]-0)^2))</f>
        <v/>
      </c>
      <c r="P600" s="11"/>
    </row>
    <row r="601" spans="4:16" x14ac:dyDescent="0.2">
      <c r="D601" s="1">
        <v>46018</v>
      </c>
      <c r="E601" s="2">
        <v>0.79166666666666663</v>
      </c>
      <c r="F601" t="s">
        <v>40</v>
      </c>
      <c r="G601">
        <f>VLOOKUP(Table4[[#This Row],[Home]],'NHL Model'!$A$6:$B$38,2,FALSE)</f>
        <v>-0.31324182378279158</v>
      </c>
      <c r="H601" t="s">
        <v>34</v>
      </c>
      <c r="I601">
        <f>VLOOKUP(Table4[[#This Row],[Visitor]],'NHL Model'!$A$6:$B$38,2,FALSE)</f>
        <v>-5.5124787449478845E-2</v>
      </c>
      <c r="J601">
        <f>($B$1+Table4[[#This Row],[Home Differential]])-Table4[[#This Row],[Away Differential]]</f>
        <v>-0.20821628741015025</v>
      </c>
      <c r="K601" t="str">
        <f>IF(Table4[[#This Row],[HomeIce Differential]]&gt;0,Table4[[#This Row],[Home]],Table4[[#This Row],[Visitor]])</f>
        <v>Minnesota Wild</v>
      </c>
      <c r="L6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0.52431232460821053</v>
      </c>
      <c r="M601" t="str">
        <f>IF(OR((NHL2025_26Results[[#This Row],[Winning Team]]="")),"-",IF(Table4[[#This Row],[Predicted Winner]]=NHL2025_26Results[[#This Row],[Winning Team]],"YES","NO"))</f>
        <v>-</v>
      </c>
      <c r="N601" t="str">
        <f>IF(Table4[[#This Row],[Adjusted Correct]]="-", "",IF(Table4[[#This Row],[Adjusted Correct]]="YES",(Table4[[#This Row],[Strength of Win]]-1)^2,(Table4[[#This Row],[Strength of Win]]-0)^2))</f>
        <v/>
      </c>
      <c r="P601" s="11"/>
    </row>
    <row r="602" spans="4:16" x14ac:dyDescent="0.2">
      <c r="D602" s="1">
        <v>46019</v>
      </c>
      <c r="E602" s="2">
        <v>0.70833333333333337</v>
      </c>
      <c r="F602" t="s">
        <v>28</v>
      </c>
      <c r="G602">
        <f>VLOOKUP(Table4[[#This Row],[Home]],'NHL Model'!$A$6:$B$38,2,FALSE)</f>
        <v>-0.59498940435054026</v>
      </c>
      <c r="H602" t="s">
        <v>30</v>
      </c>
      <c r="I602">
        <f>VLOOKUP(Table4[[#This Row],[Visitor]],'NHL Model'!$A$6:$B$38,2,FALSE)</f>
        <v>-0.24093199744133265</v>
      </c>
      <c r="J602">
        <f>($B$1+Table4[[#This Row],[Home Differential]])-Table4[[#This Row],[Away Differential]]</f>
        <v>-0.30415665798604519</v>
      </c>
      <c r="K602" t="str">
        <f>IF(Table4[[#This Row],[HomeIce Differential]]&gt;0,Table4[[#This Row],[Home]],Table4[[#This Row],[Visitor]])</f>
        <v>New York Islanders</v>
      </c>
      <c r="L6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0.56813794795961248</v>
      </c>
      <c r="M602" t="str">
        <f>IF(OR((NHL2025_26Results[[#This Row],[Winning Team]]="")),"-",IF(Table4[[#This Row],[Predicted Winner]]=NHL2025_26Results[[#This Row],[Winning Team]],"YES","NO"))</f>
        <v>-</v>
      </c>
      <c r="N602" t="str">
        <f>IF(Table4[[#This Row],[Adjusted Correct]]="-", "",IF(Table4[[#This Row],[Adjusted Correct]]="YES",(Table4[[#This Row],[Strength of Win]]-1)^2,(Table4[[#This Row],[Strength of Win]]-0)^2))</f>
        <v/>
      </c>
      <c r="P602" s="11"/>
    </row>
    <row r="603" spans="4:16" x14ac:dyDescent="0.2">
      <c r="D603" s="1">
        <v>46019</v>
      </c>
      <c r="E603" s="2">
        <v>0.79166666666666663</v>
      </c>
      <c r="F603" t="s">
        <v>10</v>
      </c>
      <c r="G603">
        <f>VLOOKUP(Table4[[#This Row],[Home]],'NHL Model'!$A$6:$B$38,2,FALSE)</f>
        <v>-0.17619625518431364</v>
      </c>
      <c r="H603" t="s">
        <v>14</v>
      </c>
      <c r="I603">
        <f>VLOOKUP(Table4[[#This Row],[Visitor]],'NHL Model'!$A$6:$B$38,2,FALSE)</f>
        <v>-0.14226422156549004</v>
      </c>
      <c r="J603">
        <f>($B$1+Table4[[#This Row],[Home Differential]])-Table4[[#This Row],[Away Differential]]</f>
        <v>1.5968715304338854E-2</v>
      </c>
      <c r="K603" t="str">
        <f>IF(Table4[[#This Row],[HomeIce Differential]]&gt;0,Table4[[#This Row],[Home]],Table4[[#This Row],[Visitor]])</f>
        <v>Chicago Blackhawks</v>
      </c>
      <c r="L6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0.50257784995496757</v>
      </c>
      <c r="M603" t="str">
        <f>IF(OR((NHL2025_26Results[[#This Row],[Winning Team]]="")),"-",IF(Table4[[#This Row],[Predicted Winner]]=NHL2025_26Results[[#This Row],[Winning Team]],"YES","NO"))</f>
        <v>-</v>
      </c>
      <c r="N603" t="str">
        <f>IF(Table4[[#This Row],[Adjusted Correct]]="-", "",IF(Table4[[#This Row],[Adjusted Correct]]="YES",(Table4[[#This Row],[Strength of Win]]-1)^2,(Table4[[#This Row],[Strength of Win]]-0)^2))</f>
        <v/>
      </c>
      <c r="P603" s="11"/>
    </row>
    <row r="604" spans="4:16" x14ac:dyDescent="0.2">
      <c r="D604" s="1">
        <v>46019</v>
      </c>
      <c r="E604" s="2">
        <v>0.79166666666666663</v>
      </c>
      <c r="F604" t="s">
        <v>26</v>
      </c>
      <c r="G604">
        <f>VLOOKUP(Table4[[#This Row],[Home]],'NHL Model'!$A$6:$B$38,2,FALSE)</f>
        <v>-0.87533956503230947</v>
      </c>
      <c r="H604" t="s">
        <v>19</v>
      </c>
      <c r="I604">
        <f>VLOOKUP(Table4[[#This Row],[Visitor]],'NHL Model'!$A$6:$B$38,2,FALSE)</f>
        <v>-0.63447859131898054</v>
      </c>
      <c r="J604">
        <f>($B$1+Table4[[#This Row],[Home Differential]])-Table4[[#This Row],[Away Differential]]</f>
        <v>-0.1909602247901665</v>
      </c>
      <c r="K604" t="str">
        <f>IF(Table4[[#This Row],[HomeIce Differential]]&gt;0,Table4[[#This Row],[Home]],Table4[[#This Row],[Visitor]])</f>
        <v>Toronto Maple Leafs</v>
      </c>
      <c r="L6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0.48229742461602004</v>
      </c>
      <c r="M604" t="str">
        <f>IF(OR((NHL2025_26Results[[#This Row],[Winning Team]]="")),"-",IF(Table4[[#This Row],[Predicted Winner]]=NHL2025_26Results[[#This Row],[Winning Team]],"YES","NO"))</f>
        <v>-</v>
      </c>
      <c r="N604" t="str">
        <f>IF(Table4[[#This Row],[Adjusted Correct]]="-", "",IF(Table4[[#This Row],[Adjusted Correct]]="YES",(Table4[[#This Row],[Strength of Win]]-1)^2,(Table4[[#This Row],[Strength of Win]]-0)^2))</f>
        <v/>
      </c>
      <c r="P604" s="11"/>
    </row>
    <row r="605" spans="4:16" x14ac:dyDescent="0.2">
      <c r="D605" s="1">
        <v>46019</v>
      </c>
      <c r="E605" s="2">
        <v>0.83333333333333337</v>
      </c>
      <c r="F605" t="s">
        <v>32</v>
      </c>
      <c r="G605">
        <f>VLOOKUP(Table4[[#This Row],[Home]],'NHL Model'!$A$6:$B$38,2,FALSE)</f>
        <v>-0.64937723527808999</v>
      </c>
      <c r="H605" t="s">
        <v>27</v>
      </c>
      <c r="I605">
        <f>VLOOKUP(Table4[[#This Row],[Visitor]],'NHL Model'!$A$6:$B$38,2,FALSE)</f>
        <v>-0.38023958350631604</v>
      </c>
      <c r="J605">
        <f>($B$1+Table4[[#This Row],[Home Differential]])-Table4[[#This Row],[Away Differential]]</f>
        <v>-0.21923690284861153</v>
      </c>
      <c r="K605" t="str">
        <f>IF(Table4[[#This Row],[HomeIce Differential]]&gt;0,Table4[[#This Row],[Home]],Table4[[#This Row],[Visitor]])</f>
        <v>Philadelphia Flyers</v>
      </c>
      <c r="L6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0.5281117069273964</v>
      </c>
      <c r="M605" t="str">
        <f>IF(OR((NHL2025_26Results[[#This Row],[Winning Team]]="")),"-",IF(Table4[[#This Row],[Predicted Winner]]=NHL2025_26Results[[#This Row],[Winning Team]],"YES","NO"))</f>
        <v>-</v>
      </c>
      <c r="N605" t="str">
        <f>IF(Table4[[#This Row],[Adjusted Correct]]="-", "",IF(Table4[[#This Row],[Adjusted Correct]]="YES",(Table4[[#This Row],[Strength of Win]]-1)^2,(Table4[[#This Row],[Strength of Win]]-0)^2))</f>
        <v/>
      </c>
      <c r="P605" s="11"/>
    </row>
    <row r="606" spans="4:16" x14ac:dyDescent="0.2">
      <c r="D606" s="1">
        <v>46019</v>
      </c>
      <c r="E606" s="2">
        <v>0.70833333333333337</v>
      </c>
      <c r="F606" t="s">
        <v>37</v>
      </c>
      <c r="G606">
        <f>VLOOKUP(Table4[[#This Row],[Home]],'NHL Model'!$A$6:$B$38,2,FALSE)</f>
        <v>0.51050494674660429</v>
      </c>
      <c r="H606" t="s">
        <v>18</v>
      </c>
      <c r="I606">
        <f>VLOOKUP(Table4[[#This Row],[Visitor]],'NHL Model'!$A$6:$B$38,2,FALSE)</f>
        <v>-0.59288962827382519</v>
      </c>
      <c r="J606">
        <f>($B$1+Table4[[#This Row],[Home Differential]])-Table4[[#This Row],[Away Differential]]</f>
        <v>1.1532953239435919</v>
      </c>
      <c r="K606" t="str">
        <f>IF(Table4[[#This Row],[HomeIce Differential]]&gt;0,Table4[[#This Row],[Home]],Table4[[#This Row],[Visitor]])</f>
        <v>Tampa Bay Lightning</v>
      </c>
      <c r="L6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0.64803323445177996</v>
      </c>
      <c r="M606" t="str">
        <f>IF(OR((NHL2025_26Results[[#This Row],[Winning Team]]="")),"-",IF(Table4[[#This Row],[Predicted Winner]]=NHL2025_26Results[[#This Row],[Winning Team]],"YES","NO"))</f>
        <v>-</v>
      </c>
      <c r="N606" t="str">
        <f>IF(Table4[[#This Row],[Adjusted Correct]]="-", "",IF(Table4[[#This Row],[Adjusted Correct]]="YES",(Table4[[#This Row],[Strength of Win]]-1)^2,(Table4[[#This Row],[Strength of Win]]-0)^2))</f>
        <v/>
      </c>
      <c r="P606" s="11"/>
    </row>
    <row r="607" spans="4:16" x14ac:dyDescent="0.2">
      <c r="D607" s="1">
        <v>46020</v>
      </c>
      <c r="E607" s="2">
        <v>0.91666666666666663</v>
      </c>
      <c r="F607" t="s">
        <v>31</v>
      </c>
      <c r="G607">
        <f>VLOOKUP(Table4[[#This Row],[Home]],'NHL Model'!$A$6:$B$38,2,FALSE)</f>
        <v>0.17870302183926629</v>
      </c>
      <c r="H607" t="s">
        <v>33</v>
      </c>
      <c r="I607">
        <f>VLOOKUP(Table4[[#This Row],[Visitor]],'NHL Model'!$A$6:$B$38,2,FALSE)</f>
        <v>-0.45133099238224339</v>
      </c>
      <c r="J607">
        <f>($B$1+Table4[[#This Row],[Home Differential]])-Table4[[#This Row],[Away Differential]]</f>
        <v>0.67993476314467216</v>
      </c>
      <c r="K607" t="str">
        <f>IF(Table4[[#This Row],[HomeIce Differential]]&gt;0,Table4[[#This Row],[Home]],Table4[[#This Row],[Visitor]])</f>
        <v>Anaheim Ducks</v>
      </c>
      <c r="L6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0.69922712946183019</v>
      </c>
      <c r="M607" t="str">
        <f>IF(OR((NHL2025_26Results[[#This Row],[Winning Team]]="")),"-",IF(Table4[[#This Row],[Predicted Winner]]=NHL2025_26Results[[#This Row],[Winning Team]],"YES","NO"))</f>
        <v>-</v>
      </c>
      <c r="N607" t="str">
        <f>IF(Table4[[#This Row],[Adjusted Correct]]="-", "",IF(Table4[[#This Row],[Adjusted Correct]]="YES",(Table4[[#This Row],[Strength of Win]]-1)^2,(Table4[[#This Row],[Strength of Win]]-0)^2))</f>
        <v/>
      </c>
      <c r="P607" s="11"/>
    </row>
    <row r="608" spans="4:16" x14ac:dyDescent="0.2">
      <c r="D608" s="1">
        <v>46020</v>
      </c>
      <c r="E608" s="2">
        <v>0.79166666666666663</v>
      </c>
      <c r="F608" t="s">
        <v>25</v>
      </c>
      <c r="G608">
        <f>VLOOKUP(Table4[[#This Row],[Home]],'NHL Model'!$A$6:$B$38,2,FALSE)</f>
        <v>0.42567513732855267</v>
      </c>
      <c r="H608" t="s">
        <v>15</v>
      </c>
      <c r="I608">
        <f>VLOOKUP(Table4[[#This Row],[Visitor]],'NHL Model'!$A$6:$B$38,2,FALSE)</f>
        <v>-0.29003398448394263</v>
      </c>
      <c r="J608">
        <f>($B$1+Table4[[#This Row],[Home Differential]])-Table4[[#This Row],[Away Differential]]</f>
        <v>0.76560987073565778</v>
      </c>
      <c r="K608" t="str">
        <f>IF(Table4[[#This Row],[HomeIce Differential]]&gt;0,Table4[[#This Row],[Home]],Table4[[#This Row],[Visitor]])</f>
        <v>Carolina Hurricanes</v>
      </c>
      <c r="L6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0.58170394431130978</v>
      </c>
      <c r="M608" t="str">
        <f>IF(OR((NHL2025_26Results[[#This Row],[Winning Team]]="")),"-",IF(Table4[[#This Row],[Predicted Winner]]=NHL2025_26Results[[#This Row],[Winning Team]],"YES","NO"))</f>
        <v>-</v>
      </c>
      <c r="N608" t="str">
        <f>IF(Table4[[#This Row],[Adjusted Correct]]="-", "",IF(Table4[[#This Row],[Adjusted Correct]]="YES",(Table4[[#This Row],[Strength of Win]]-1)^2,(Table4[[#This Row],[Strength of Win]]-0)^2))</f>
        <v/>
      </c>
      <c r="P608" s="11"/>
    </row>
    <row r="609" spans="4:16" x14ac:dyDescent="0.2">
      <c r="D609" s="1">
        <v>46020</v>
      </c>
      <c r="E609" s="2">
        <v>0.875</v>
      </c>
      <c r="F609" t="s">
        <v>16</v>
      </c>
      <c r="G609">
        <f>VLOOKUP(Table4[[#This Row],[Home]],'NHL Model'!$A$6:$B$38,2,FALSE)</f>
        <v>-1.0657812790446208</v>
      </c>
      <c r="H609" t="s">
        <v>21</v>
      </c>
      <c r="I609">
        <f>VLOOKUP(Table4[[#This Row],[Visitor]],'NHL Model'!$A$6:$B$38,2,FALSE)</f>
        <v>-0.21976976044773161</v>
      </c>
      <c r="J609">
        <f>($B$1+Table4[[#This Row],[Home Differential]])-Table4[[#This Row],[Away Differential]]</f>
        <v>-0.79611076967372685</v>
      </c>
      <c r="K609" t="str">
        <f>IF(Table4[[#This Row],[HomeIce Differential]]&gt;0,Table4[[#This Row],[Home]],Table4[[#This Row],[Visitor]])</f>
        <v>Boston Bruins</v>
      </c>
      <c r="L6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0.55378717520333443</v>
      </c>
      <c r="M609" t="str">
        <f>IF(OR((NHL2025_26Results[[#This Row],[Winning Team]]="")),"-",IF(Table4[[#This Row],[Predicted Winner]]=NHL2025_26Results[[#This Row],[Winning Team]],"YES","NO"))</f>
        <v>-</v>
      </c>
      <c r="N609" t="str">
        <f>IF(Table4[[#This Row],[Adjusted Correct]]="-", "",IF(Table4[[#This Row],[Adjusted Correct]]="YES",(Table4[[#This Row],[Strength of Win]]-1)^2,(Table4[[#This Row],[Strength of Win]]-0)^2))</f>
        <v/>
      </c>
      <c r="P609" s="11"/>
    </row>
    <row r="610" spans="4:16" x14ac:dyDescent="0.2">
      <c r="D610" s="1">
        <v>46020</v>
      </c>
      <c r="E610" s="2">
        <v>0.875</v>
      </c>
      <c r="F610" t="s">
        <v>12</v>
      </c>
      <c r="G610">
        <f>VLOOKUP(Table4[[#This Row],[Home]],'NHL Model'!$A$6:$B$38,2,FALSE)</f>
        <v>1.6319036584269762</v>
      </c>
      <c r="H610" t="s">
        <v>13</v>
      </c>
      <c r="I610">
        <f>VLOOKUP(Table4[[#This Row],[Visitor]],'NHL Model'!$A$6:$B$38,2,FALSE)</f>
        <v>-0.33828359867721369</v>
      </c>
      <c r="J610">
        <f>($B$1+Table4[[#This Row],[Home Differential]])-Table4[[#This Row],[Away Differential]]</f>
        <v>2.0200880060273523</v>
      </c>
      <c r="K610" t="str">
        <f>IF(Table4[[#This Row],[HomeIce Differential]]&gt;0,Table4[[#This Row],[Home]],Table4[[#This Row],[Visitor]])</f>
        <v>Colorado Avalanche</v>
      </c>
      <c r="L6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0.81727043791199216</v>
      </c>
      <c r="M610" t="str">
        <f>IF(OR((NHL2025_26Results[[#This Row],[Winning Team]]="")),"-",IF(Table4[[#This Row],[Predicted Winner]]=NHL2025_26Results[[#This Row],[Winning Team]],"YES","NO"))</f>
        <v>-</v>
      </c>
      <c r="N610" t="str">
        <f>IF(Table4[[#This Row],[Adjusted Correct]]="-", "",IF(Table4[[#This Row],[Adjusted Correct]]="YES",(Table4[[#This Row],[Strength of Win]]-1)^2,(Table4[[#This Row],[Strength of Win]]-0)^2))</f>
        <v/>
      </c>
      <c r="P610" s="11"/>
    </row>
    <row r="611" spans="4:16" x14ac:dyDescent="0.2">
      <c r="D611" s="1">
        <v>46020</v>
      </c>
      <c r="E611" s="2">
        <v>0.79166666666666663</v>
      </c>
      <c r="F611" t="s">
        <v>11</v>
      </c>
      <c r="G611">
        <f>VLOOKUP(Table4[[#This Row],[Home]],'NHL Model'!$A$6:$B$38,2,FALSE)</f>
        <v>-0.39711829106410657</v>
      </c>
      <c r="H611" t="s">
        <v>22</v>
      </c>
      <c r="I611">
        <f>VLOOKUP(Table4[[#This Row],[Visitor]],'NHL Model'!$A$6:$B$38,2,FALSE)</f>
        <v>0.4407072328537569</v>
      </c>
      <c r="J611">
        <f>($B$1+Table4[[#This Row],[Home Differential]])-Table4[[#This Row],[Away Differential]]</f>
        <v>-0.78792477499470093</v>
      </c>
      <c r="K611" t="str">
        <f>IF(Table4[[#This Row],[HomeIce Differential]]&gt;0,Table4[[#This Row],[Home]],Table4[[#This Row],[Visitor]])</f>
        <v>Washington Capitals</v>
      </c>
      <c r="L6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0.58037393944359772</v>
      </c>
      <c r="M611" t="str">
        <f>IF(OR((NHL2025_26Results[[#This Row],[Winning Team]]="")),"-",IF(Table4[[#This Row],[Predicted Winner]]=NHL2025_26Results[[#This Row],[Winning Team]],"YES","NO"))</f>
        <v>-</v>
      </c>
      <c r="N611" t="str">
        <f>IF(Table4[[#This Row],[Adjusted Correct]]="-", "",IF(Table4[[#This Row],[Adjusted Correct]]="YES",(Table4[[#This Row],[Strength of Win]]-1)^2,(Table4[[#This Row],[Strength of Win]]-0)^2))</f>
        <v/>
      </c>
      <c r="P611" s="11"/>
    </row>
    <row r="612" spans="4:16" x14ac:dyDescent="0.2">
      <c r="D612" s="1">
        <v>46020</v>
      </c>
      <c r="E612" s="2">
        <v>0.79166666666666663</v>
      </c>
      <c r="F612" t="s">
        <v>36</v>
      </c>
      <c r="G612">
        <f>VLOOKUP(Table4[[#This Row],[Home]],'NHL Model'!$A$6:$B$38,2,FALSE)</f>
        <v>-0.53137605086483863</v>
      </c>
      <c r="H612" t="s">
        <v>28</v>
      </c>
      <c r="I612">
        <f>VLOOKUP(Table4[[#This Row],[Visitor]],'NHL Model'!$A$6:$B$38,2,FALSE)</f>
        <v>-0.59498940435054026</v>
      </c>
      <c r="J612">
        <f>($B$1+Table4[[#This Row],[Home Differential]])-Table4[[#This Row],[Away Differential]]</f>
        <v>0.11351410240886411</v>
      </c>
      <c r="K612" t="str">
        <f>IF(Table4[[#This Row],[HomeIce Differential]]&gt;0,Table4[[#This Row],[Home]],Table4[[#This Row],[Visitor]])</f>
        <v>Ottawa Senators</v>
      </c>
      <c r="L6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0.55217660249343792</v>
      </c>
      <c r="M612" t="str">
        <f>IF(OR((NHL2025_26Results[[#This Row],[Winning Team]]="")),"-",IF(Table4[[#This Row],[Predicted Winner]]=NHL2025_26Results[[#This Row],[Winning Team]],"YES","NO"))</f>
        <v>-</v>
      </c>
      <c r="N612" t="str">
        <f>IF(Table4[[#This Row],[Adjusted Correct]]="-", "",IF(Table4[[#This Row],[Adjusted Correct]]="YES",(Table4[[#This Row],[Strength of Win]]-1)^2,(Table4[[#This Row],[Strength of Win]]-0)^2))</f>
        <v/>
      </c>
      <c r="P612" s="11"/>
    </row>
    <row r="613" spans="4:16" x14ac:dyDescent="0.2">
      <c r="D613" s="1">
        <v>46020</v>
      </c>
      <c r="E613" s="2">
        <v>0.91666666666666663</v>
      </c>
      <c r="F613" t="s">
        <v>32</v>
      </c>
      <c r="G613">
        <f>VLOOKUP(Table4[[#This Row],[Home]],'NHL Model'!$A$6:$B$38,2,FALSE)</f>
        <v>-0.64937723527808999</v>
      </c>
      <c r="H613" t="s">
        <v>38</v>
      </c>
      <c r="I613">
        <f>VLOOKUP(Table4[[#This Row],[Visitor]],'NHL Model'!$A$6:$B$38,2,FALSE)</f>
        <v>-0.9476777551108041</v>
      </c>
      <c r="J613">
        <f>($B$1+Table4[[#This Row],[Home Differential]])-Table4[[#This Row],[Away Differential]]</f>
        <v>0.34820126875587654</v>
      </c>
      <c r="K613" t="str">
        <f>IF(Table4[[#This Row],[HomeIce Differential]]&gt;0,Table4[[#This Row],[Home]],Table4[[#This Row],[Visitor]])</f>
        <v>Seattle Kraken</v>
      </c>
      <c r="L6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0.57708147827079681</v>
      </c>
      <c r="M613" t="str">
        <f>IF(OR((NHL2025_26Results[[#This Row],[Winning Team]]="")),"-",IF(Table4[[#This Row],[Predicted Winner]]=NHL2025_26Results[[#This Row],[Winning Team]],"YES","NO"))</f>
        <v>-</v>
      </c>
      <c r="N613" t="str">
        <f>IF(Table4[[#This Row],[Adjusted Correct]]="-", "",IF(Table4[[#This Row],[Adjusted Correct]]="YES",(Table4[[#This Row],[Strength of Win]]-1)^2,(Table4[[#This Row],[Strength of Win]]-0)^2))</f>
        <v/>
      </c>
      <c r="P613" s="11"/>
    </row>
    <row r="614" spans="4:16" x14ac:dyDescent="0.2">
      <c r="D614" s="1">
        <v>46020</v>
      </c>
      <c r="E614" s="2">
        <v>0.83333333333333337</v>
      </c>
      <c r="F614" t="s">
        <v>35</v>
      </c>
      <c r="G614">
        <f>VLOOKUP(Table4[[#This Row],[Home]],'NHL Model'!$A$6:$B$38,2,FALSE)</f>
        <v>-1.3944783719477225</v>
      </c>
      <c r="H614" t="s">
        <v>23</v>
      </c>
      <c r="I614">
        <f>VLOOKUP(Table4[[#This Row],[Visitor]],'NHL Model'!$A$6:$B$38,2,FALSE)</f>
        <v>-0.4761104357405897</v>
      </c>
      <c r="J614">
        <f>($B$1+Table4[[#This Row],[Home Differential]])-Table4[[#This Row],[Away Differential]]</f>
        <v>-0.86846718728397043</v>
      </c>
      <c r="K614" t="str">
        <f>IF(Table4[[#This Row],[HomeIce Differential]]&gt;0,Table4[[#This Row],[Home]],Table4[[#This Row],[Visitor]])</f>
        <v>Buffalo Sabres</v>
      </c>
      <c r="L6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0.56140636177627945</v>
      </c>
      <c r="M614" t="str">
        <f>IF(OR((NHL2025_26Results[[#This Row],[Winning Team]]="")),"-",IF(Table4[[#This Row],[Predicted Winner]]=NHL2025_26Results[[#This Row],[Winning Team]],"YES","NO"))</f>
        <v>-</v>
      </c>
      <c r="N614" t="str">
        <f>IF(Table4[[#This Row],[Adjusted Correct]]="-", "",IF(Table4[[#This Row],[Adjusted Correct]]="YES",(Table4[[#This Row],[Strength of Win]]-1)^2,(Table4[[#This Row],[Strength of Win]]-0)^2))</f>
        <v/>
      </c>
      <c r="P614" s="11"/>
    </row>
    <row r="615" spans="4:16" x14ac:dyDescent="0.2">
      <c r="D615" s="1">
        <v>46020</v>
      </c>
      <c r="E615" s="2">
        <v>0.875</v>
      </c>
      <c r="F615" t="s">
        <v>55</v>
      </c>
      <c r="G615">
        <f>VLOOKUP(Table4[[#This Row],[Home]],'NHL Model'!$A$6:$B$38,2,FALSE)</f>
        <v>-0.4031232890211825</v>
      </c>
      <c r="H615" t="s">
        <v>29</v>
      </c>
      <c r="I615">
        <f>VLOOKUP(Table4[[#This Row],[Visitor]],'NHL Model'!$A$6:$B$38,2,FALSE)</f>
        <v>-1.384917283810061</v>
      </c>
      <c r="J615">
        <f>($B$1+Table4[[#This Row],[Home Differential]])-Table4[[#This Row],[Away Differential]]</f>
        <v>1.031694743712041</v>
      </c>
      <c r="K615" t="str">
        <f>IF(Table4[[#This Row],[HomeIce Differential]]&gt;0,Table4[[#This Row],[Home]],Table4[[#This Row],[Visitor]])</f>
        <v>Utah Mammoth</v>
      </c>
      <c r="L6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0.70089676550215485</v>
      </c>
      <c r="M615" t="str">
        <f>IF(OR((NHL2025_26Results[[#This Row],[Winning Team]]="")),"-",IF(Table4[[#This Row],[Predicted Winner]]=NHL2025_26Results[[#This Row],[Winning Team]],"YES","NO"))</f>
        <v>-</v>
      </c>
      <c r="N615" t="str">
        <f>IF(Table4[[#This Row],[Adjusted Correct]]="-", "",IF(Table4[[#This Row],[Adjusted Correct]]="YES",(Table4[[#This Row],[Strength of Win]]-1)^2,(Table4[[#This Row],[Strength of Win]]-0)^2))</f>
        <v/>
      </c>
      <c r="P615" s="11"/>
    </row>
    <row r="616" spans="4:16" x14ac:dyDescent="0.2">
      <c r="D616" s="1">
        <v>46020</v>
      </c>
      <c r="E616" s="2">
        <v>0.91666666666666663</v>
      </c>
      <c r="F616" t="s">
        <v>20</v>
      </c>
      <c r="G616">
        <f>VLOOKUP(Table4[[#This Row],[Home]],'NHL Model'!$A$6:$B$38,2,FALSE)</f>
        <v>-0.24444083032063643</v>
      </c>
      <c r="H616" t="s">
        <v>34</v>
      </c>
      <c r="I616">
        <f>VLOOKUP(Table4[[#This Row],[Visitor]],'NHL Model'!$A$6:$B$38,2,FALSE)</f>
        <v>-5.5124787449478845E-2</v>
      </c>
      <c r="J616">
        <f>($B$1+Table4[[#This Row],[Home Differential]])-Table4[[#This Row],[Away Differential]]</f>
        <v>-0.13941529394799512</v>
      </c>
      <c r="K616" t="str">
        <f>IF(Table4[[#This Row],[HomeIce Differential]]&gt;0,Table4[[#This Row],[Home]],Table4[[#This Row],[Visitor]])</f>
        <v>Minnesota Wild</v>
      </c>
      <c r="L6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0.51879135600538295</v>
      </c>
      <c r="M616" t="str">
        <f>IF(OR((NHL2025_26Results[[#This Row],[Winning Team]]="")),"-",IF(Table4[[#This Row],[Predicted Winner]]=NHL2025_26Results[[#This Row],[Winning Team]],"YES","NO"))</f>
        <v>-</v>
      </c>
      <c r="N616" t="str">
        <f>IF(Table4[[#This Row],[Adjusted Correct]]="-", "",IF(Table4[[#This Row],[Adjusted Correct]]="YES",(Table4[[#This Row],[Strength of Win]]-1)^2,(Table4[[#This Row],[Strength of Win]]-0)^2))</f>
        <v/>
      </c>
      <c r="P616" s="11"/>
    </row>
    <row r="617" spans="4:16" x14ac:dyDescent="0.2">
      <c r="D617" s="1">
        <v>46020</v>
      </c>
      <c r="E617" s="2">
        <v>0.8125</v>
      </c>
      <c r="F617" t="s">
        <v>40</v>
      </c>
      <c r="G617">
        <f>VLOOKUP(Table4[[#This Row],[Home]],'NHL Model'!$A$6:$B$38,2,FALSE)</f>
        <v>-0.31324182378279158</v>
      </c>
      <c r="H617" t="s">
        <v>17</v>
      </c>
      <c r="I617">
        <f>VLOOKUP(Table4[[#This Row],[Visitor]],'NHL Model'!$A$6:$B$38,2,FALSE)</f>
        <v>-0.81774666423752174</v>
      </c>
      <c r="J617">
        <f>($B$1+Table4[[#This Row],[Home Differential]])-Table4[[#This Row],[Away Differential]]</f>
        <v>0.55440558937789264</v>
      </c>
      <c r="K617" t="str">
        <f>IF(Table4[[#This Row],[HomeIce Differential]]&gt;0,Table4[[#This Row],[Home]],Table4[[#This Row],[Visitor]])</f>
        <v>Winnipeg Jets</v>
      </c>
      <c r="L6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0.60723051420671958</v>
      </c>
      <c r="M617" t="str">
        <f>IF(OR((NHL2025_26Results[[#This Row],[Winning Team]]="")),"-",IF(Table4[[#This Row],[Predicted Winner]]=NHL2025_26Results[[#This Row],[Winning Team]],"YES","NO"))</f>
        <v>-</v>
      </c>
      <c r="N617" t="str">
        <f>IF(Table4[[#This Row],[Adjusted Correct]]="-", "",IF(Table4[[#This Row],[Adjusted Correct]]="YES",(Table4[[#This Row],[Strength of Win]]-1)^2,(Table4[[#This Row],[Strength of Win]]-0)^2))</f>
        <v/>
      </c>
      <c r="P617" s="11"/>
    </row>
    <row r="618" spans="4:16" x14ac:dyDescent="0.2">
      <c r="D618" s="1">
        <v>46021</v>
      </c>
      <c r="E618" s="2">
        <v>0.85416666666666663</v>
      </c>
      <c r="F618" t="s">
        <v>10</v>
      </c>
      <c r="G618">
        <f>VLOOKUP(Table4[[#This Row],[Home]],'NHL Model'!$A$6:$B$38,2,FALSE)</f>
        <v>-0.17619625518431364</v>
      </c>
      <c r="H618" t="s">
        <v>30</v>
      </c>
      <c r="I618">
        <f>VLOOKUP(Table4[[#This Row],[Visitor]],'NHL Model'!$A$6:$B$38,2,FALSE)</f>
        <v>-0.24093199744133265</v>
      </c>
      <c r="J618">
        <f>($B$1+Table4[[#This Row],[Home Differential]])-Table4[[#This Row],[Away Differential]]</f>
        <v>0.11463649118018146</v>
      </c>
      <c r="K618" t="str">
        <f>IF(Table4[[#This Row],[HomeIce Differential]]&gt;0,Table4[[#This Row],[Home]],Table4[[#This Row],[Visitor]])</f>
        <v>Chicago Blackhawks</v>
      </c>
      <c r="L6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0.48076233315128636</v>
      </c>
      <c r="M618" t="str">
        <f>IF(OR((NHL2025_26Results[[#This Row],[Winning Team]]="")),"-",IF(Table4[[#This Row],[Predicted Winner]]=NHL2025_26Results[[#This Row],[Winning Team]],"YES","NO"))</f>
        <v>-</v>
      </c>
      <c r="N618" t="str">
        <f>IF(Table4[[#This Row],[Adjusted Correct]]="-", "",IF(Table4[[#This Row],[Adjusted Correct]]="YES",(Table4[[#This Row],[Strength of Win]]-1)^2,(Table4[[#This Row],[Strength of Win]]-0)^2))</f>
        <v/>
      </c>
      <c r="P618" s="11"/>
    </row>
    <row r="619" spans="4:16" x14ac:dyDescent="0.2">
      <c r="D619" s="1">
        <v>46021</v>
      </c>
      <c r="E619" s="2">
        <v>0.79166666666666663</v>
      </c>
      <c r="F619" t="s">
        <v>11</v>
      </c>
      <c r="G619">
        <f>VLOOKUP(Table4[[#This Row],[Home]],'NHL Model'!$A$6:$B$38,2,FALSE)</f>
        <v>-0.39711829106410657</v>
      </c>
      <c r="H619" t="s">
        <v>18</v>
      </c>
      <c r="I619">
        <f>VLOOKUP(Table4[[#This Row],[Visitor]],'NHL Model'!$A$6:$B$38,2,FALSE)</f>
        <v>-0.59288962827382519</v>
      </c>
      <c r="J619">
        <f>($B$1+Table4[[#This Row],[Home Differential]])-Table4[[#This Row],[Away Differential]]</f>
        <v>0.24567208613288111</v>
      </c>
      <c r="K619" t="str">
        <f>IF(Table4[[#This Row],[HomeIce Differential]]&gt;0,Table4[[#This Row],[Home]],Table4[[#This Row],[Visitor]])</f>
        <v>Florida Panthers</v>
      </c>
      <c r="L6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0.52353120274196641</v>
      </c>
      <c r="M619" t="str">
        <f>IF(OR((NHL2025_26Results[[#This Row],[Winning Team]]="")),"-",IF(Table4[[#This Row],[Predicted Winner]]=NHL2025_26Results[[#This Row],[Winning Team]],"YES","NO"))</f>
        <v>-</v>
      </c>
      <c r="N619" t="str">
        <f>IF(Table4[[#This Row],[Adjusted Correct]]="-", "",IF(Table4[[#This Row],[Adjusted Correct]]="YES",(Table4[[#This Row],[Strength of Win]]-1)^2,(Table4[[#This Row],[Strength of Win]]-0)^2))</f>
        <v/>
      </c>
      <c r="P619" s="11"/>
    </row>
    <row r="620" spans="4:16" x14ac:dyDescent="0.2">
      <c r="D620" s="1">
        <v>46021</v>
      </c>
      <c r="E620" s="2">
        <v>0.79166666666666663</v>
      </c>
      <c r="F620" t="s">
        <v>14</v>
      </c>
      <c r="G620">
        <f>VLOOKUP(Table4[[#This Row],[Home]],'NHL Model'!$A$6:$B$38,2,FALSE)</f>
        <v>-0.14226422156549004</v>
      </c>
      <c r="H620" t="s">
        <v>25</v>
      </c>
      <c r="I620">
        <f>VLOOKUP(Table4[[#This Row],[Visitor]],'NHL Model'!$A$6:$B$38,2,FALSE)</f>
        <v>0.42567513732855267</v>
      </c>
      <c r="J620">
        <f>($B$1+Table4[[#This Row],[Home Differential]])-Table4[[#This Row],[Away Differential]]</f>
        <v>-0.51803860997088025</v>
      </c>
      <c r="K620" t="str">
        <f>IF(Table4[[#This Row],[HomeIce Differential]]&gt;0,Table4[[#This Row],[Home]],Table4[[#This Row],[Visitor]])</f>
        <v>Carolina Hurricanes</v>
      </c>
      <c r="L6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0.59311182252615857</v>
      </c>
      <c r="M620" t="str">
        <f>IF(OR((NHL2025_26Results[[#This Row],[Winning Team]]="")),"-",IF(Table4[[#This Row],[Predicted Winner]]=NHL2025_26Results[[#This Row],[Winning Team]],"YES","NO"))</f>
        <v>-</v>
      </c>
      <c r="N620" t="str">
        <f>IF(Table4[[#This Row],[Adjusted Correct]]="-", "",IF(Table4[[#This Row],[Adjusted Correct]]="YES",(Table4[[#This Row],[Strength of Win]]-1)^2,(Table4[[#This Row],[Strength of Win]]-0)^2))</f>
        <v/>
      </c>
      <c r="P620" s="11"/>
    </row>
    <row r="621" spans="4:16" x14ac:dyDescent="0.2">
      <c r="D621" s="1">
        <v>46021</v>
      </c>
      <c r="E621" s="2">
        <v>0.79166666666666663</v>
      </c>
      <c r="F621" t="s">
        <v>19</v>
      </c>
      <c r="G621">
        <f>VLOOKUP(Table4[[#This Row],[Home]],'NHL Model'!$A$6:$B$38,2,FALSE)</f>
        <v>-0.63447859131898054</v>
      </c>
      <c r="H621" t="s">
        <v>24</v>
      </c>
      <c r="I621">
        <f>VLOOKUP(Table4[[#This Row],[Visitor]],'NHL Model'!$A$6:$B$38,2,FALSE)</f>
        <v>1.5302507646042616E-3</v>
      </c>
      <c r="J621">
        <f>($B$1+Table4[[#This Row],[Home Differential]])-Table4[[#This Row],[Away Differential]]</f>
        <v>-0.58610809316042234</v>
      </c>
      <c r="K621" t="str">
        <f>IF(Table4[[#This Row],[HomeIce Differential]]&gt;0,Table4[[#This Row],[Home]],Table4[[#This Row],[Visitor]])</f>
        <v>New Jersey Devils</v>
      </c>
      <c r="L6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0.54920600098378236</v>
      </c>
      <c r="M621" t="str">
        <f>IF(OR((NHL2025_26Results[[#This Row],[Winning Team]]="")),"-",IF(Table4[[#This Row],[Predicted Winner]]=NHL2025_26Results[[#This Row],[Winning Team]],"YES","NO"))</f>
        <v>-</v>
      </c>
      <c r="N621" t="str">
        <f>IF(Table4[[#This Row],[Adjusted Correct]]="-", "",IF(Table4[[#This Row],[Adjusted Correct]]="YES",(Table4[[#This Row],[Strength of Win]]-1)^2,(Table4[[#This Row],[Strength of Win]]-0)^2))</f>
        <v/>
      </c>
      <c r="P621" s="11"/>
    </row>
    <row r="622" spans="4:16" x14ac:dyDescent="0.2">
      <c r="D622" s="1">
        <v>46021</v>
      </c>
      <c r="E622" s="2">
        <v>0.91666666666666663</v>
      </c>
      <c r="F622" t="s">
        <v>38</v>
      </c>
      <c r="G622">
        <f>VLOOKUP(Table4[[#This Row],[Home]],'NHL Model'!$A$6:$B$38,2,FALSE)</f>
        <v>-0.9476777551108041</v>
      </c>
      <c r="H622" t="s">
        <v>27</v>
      </c>
      <c r="I622">
        <f>VLOOKUP(Table4[[#This Row],[Visitor]],'NHL Model'!$A$6:$B$38,2,FALSE)</f>
        <v>-0.38023958350631604</v>
      </c>
      <c r="J622">
        <f>($B$1+Table4[[#This Row],[Home Differential]])-Table4[[#This Row],[Away Differential]]</f>
        <v>-0.51753742268132563</v>
      </c>
      <c r="K622" t="str">
        <f>IF(Table4[[#This Row],[HomeIce Differential]]&gt;0,Table4[[#This Row],[Home]],Table4[[#This Row],[Visitor]])</f>
        <v>Philadelphia Flyers</v>
      </c>
      <c r="L6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0.56294269521932072</v>
      </c>
      <c r="M622" t="str">
        <f>IF(OR((NHL2025_26Results[[#This Row],[Winning Team]]="")),"-",IF(Table4[[#This Row],[Predicted Winner]]=NHL2025_26Results[[#This Row],[Winning Team]],"YES","NO"))</f>
        <v>-</v>
      </c>
      <c r="N622" t="str">
        <f>IF(Table4[[#This Row],[Adjusted Correct]]="-", "",IF(Table4[[#This Row],[Adjusted Correct]]="YES",(Table4[[#This Row],[Strength of Win]]-1)^2,(Table4[[#This Row],[Strength of Win]]-0)^2))</f>
        <v/>
      </c>
      <c r="P622" s="11"/>
    </row>
    <row r="623" spans="4:16" x14ac:dyDescent="0.2">
      <c r="D623" s="1">
        <v>46022</v>
      </c>
      <c r="E623" s="2">
        <v>0.66666666666666663</v>
      </c>
      <c r="F623" t="s">
        <v>31</v>
      </c>
      <c r="G623">
        <f>VLOOKUP(Table4[[#This Row],[Home]],'NHL Model'!$A$6:$B$38,2,FALSE)</f>
        <v>0.17870302183926629</v>
      </c>
      <c r="H623" t="s">
        <v>37</v>
      </c>
      <c r="I623">
        <f>VLOOKUP(Table4[[#This Row],[Visitor]],'NHL Model'!$A$6:$B$38,2,FALSE)</f>
        <v>0.51050494674660429</v>
      </c>
      <c r="J623">
        <f>($B$1+Table4[[#This Row],[Home Differential]])-Table4[[#This Row],[Away Differential]]</f>
        <v>-0.28190117598417552</v>
      </c>
      <c r="K623" t="str">
        <f>IF(Table4[[#This Row],[HomeIce Differential]]&gt;0,Table4[[#This Row],[Home]],Table4[[#This Row],[Visitor]])</f>
        <v>Tampa Bay Lightning</v>
      </c>
      <c r="L6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0.50350435815468431</v>
      </c>
      <c r="M623" t="str">
        <f>IF(OR((NHL2025_26Results[[#This Row],[Winning Team]]="")),"-",IF(Table4[[#This Row],[Predicted Winner]]=NHL2025_26Results[[#This Row],[Winning Team]],"YES","NO"))</f>
        <v>-</v>
      </c>
      <c r="N623" t="str">
        <f>IF(Table4[[#This Row],[Adjusted Correct]]="-", "",IF(Table4[[#This Row],[Adjusted Correct]]="YES",(Table4[[#This Row],[Strength of Win]]-1)^2,(Table4[[#This Row],[Strength of Win]]-0)^2))</f>
        <v/>
      </c>
      <c r="P623" s="11"/>
    </row>
    <row r="624" spans="4:16" x14ac:dyDescent="0.2">
      <c r="D624" s="1">
        <v>46022</v>
      </c>
      <c r="E624" s="2">
        <v>0.79166666666666663</v>
      </c>
      <c r="F624" t="s">
        <v>28</v>
      </c>
      <c r="G624">
        <f>VLOOKUP(Table4[[#This Row],[Home]],'NHL Model'!$A$6:$B$38,2,FALSE)</f>
        <v>-0.59498940435054026</v>
      </c>
      <c r="H624" t="s">
        <v>24</v>
      </c>
      <c r="I624">
        <f>VLOOKUP(Table4[[#This Row],[Visitor]],'NHL Model'!$A$6:$B$38,2,FALSE)</f>
        <v>1.5302507646042616E-3</v>
      </c>
      <c r="J624">
        <f>($B$1+Table4[[#This Row],[Home Differential]])-Table4[[#This Row],[Away Differential]]</f>
        <v>-0.54661890619198206</v>
      </c>
      <c r="K624" t="str">
        <f>IF(Table4[[#This Row],[HomeIce Differential]]&gt;0,Table4[[#This Row],[Home]],Table4[[#This Row],[Visitor]])</f>
        <v>New Jersey Devils</v>
      </c>
      <c r="L6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0.54459505558641363</v>
      </c>
      <c r="M624" t="str">
        <f>IF(OR((NHL2025_26Results[[#This Row],[Winning Team]]="")),"-",IF(Table4[[#This Row],[Predicted Winner]]=NHL2025_26Results[[#This Row],[Winning Team]],"YES","NO"))</f>
        <v>-</v>
      </c>
      <c r="N624" t="str">
        <f>IF(Table4[[#This Row],[Adjusted Correct]]="-", "",IF(Table4[[#This Row],[Adjusted Correct]]="YES",(Table4[[#This Row],[Strength of Win]]-1)^2,(Table4[[#This Row],[Strength of Win]]-0)^2))</f>
        <v/>
      </c>
      <c r="P624" s="11"/>
    </row>
    <row r="625" spans="4:16" x14ac:dyDescent="0.2">
      <c r="D625" s="1">
        <v>46022</v>
      </c>
      <c r="E625" s="2">
        <v>0.89583333333333337</v>
      </c>
      <c r="F625" t="s">
        <v>16</v>
      </c>
      <c r="G625">
        <f>VLOOKUP(Table4[[#This Row],[Home]],'NHL Model'!$A$6:$B$38,2,FALSE)</f>
        <v>-1.0657812790446208</v>
      </c>
      <c r="H625" t="s">
        <v>27</v>
      </c>
      <c r="I625">
        <f>VLOOKUP(Table4[[#This Row],[Visitor]],'NHL Model'!$A$6:$B$38,2,FALSE)</f>
        <v>-0.38023958350631604</v>
      </c>
      <c r="J625">
        <f>($B$1+Table4[[#This Row],[Home Differential]])-Table4[[#This Row],[Away Differential]]</f>
        <v>-0.63564094661514237</v>
      </c>
      <c r="K625" t="str">
        <f>IF(Table4[[#This Row],[HomeIce Differential]]&gt;0,Table4[[#This Row],[Home]],Table4[[#This Row],[Visitor]])</f>
        <v>Philadelphia Flyers</v>
      </c>
      <c r="L6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0.57673302472220156</v>
      </c>
      <c r="M625" t="str">
        <f>IF(OR((NHL2025_26Results[[#This Row],[Winning Team]]="")),"-",IF(Table4[[#This Row],[Predicted Winner]]=NHL2025_26Results[[#This Row],[Winning Team]],"YES","NO"))</f>
        <v>-</v>
      </c>
      <c r="N625" t="str">
        <f>IF(Table4[[#This Row],[Adjusted Correct]]="-", "",IF(Table4[[#This Row],[Adjusted Correct]]="YES",(Table4[[#This Row],[Strength of Win]]-1)^2,(Table4[[#This Row],[Strength of Win]]-0)^2))</f>
        <v/>
      </c>
      <c r="P625" s="11"/>
    </row>
    <row r="626" spans="4:16" x14ac:dyDescent="0.2">
      <c r="D626" s="1">
        <v>46022</v>
      </c>
      <c r="E626" s="2">
        <v>0.875</v>
      </c>
      <c r="F626" t="s">
        <v>12</v>
      </c>
      <c r="G626">
        <f>VLOOKUP(Table4[[#This Row],[Home]],'NHL Model'!$A$6:$B$38,2,FALSE)</f>
        <v>1.6319036584269762</v>
      </c>
      <c r="H626" t="s">
        <v>35</v>
      </c>
      <c r="I626">
        <f>VLOOKUP(Table4[[#This Row],[Visitor]],'NHL Model'!$A$6:$B$38,2,FALSE)</f>
        <v>-1.3944783719477225</v>
      </c>
      <c r="J626">
        <f>($B$1+Table4[[#This Row],[Home Differential]])-Table4[[#This Row],[Away Differential]]</f>
        <v>3.0762827792978609</v>
      </c>
      <c r="K626" t="str">
        <f>IF(Table4[[#This Row],[HomeIce Differential]]&gt;0,Table4[[#This Row],[Home]],Table4[[#This Row],[Visitor]])</f>
        <v>Colorado Avalanche</v>
      </c>
      <c r="L6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1</v>
      </c>
      <c r="M626" t="str">
        <f>IF(OR((NHL2025_26Results[[#This Row],[Winning Team]]="")),"-",IF(Table4[[#This Row],[Predicted Winner]]=NHL2025_26Results[[#This Row],[Winning Team]],"YES","NO"))</f>
        <v>-</v>
      </c>
      <c r="N626" t="str">
        <f>IF(Table4[[#This Row],[Adjusted Correct]]="-", "",IF(Table4[[#This Row],[Adjusted Correct]]="YES",(Table4[[#This Row],[Strength of Win]]-1)^2,(Table4[[#This Row],[Strength of Win]]-0)^2))</f>
        <v/>
      </c>
      <c r="P626" s="11"/>
    </row>
    <row r="627" spans="4:16" x14ac:dyDescent="0.2">
      <c r="D627" s="1">
        <v>46022</v>
      </c>
      <c r="E627" s="2">
        <v>0.83333333333333337</v>
      </c>
      <c r="F627" t="s">
        <v>39</v>
      </c>
      <c r="G627">
        <f>VLOOKUP(Table4[[#This Row],[Home]],'NHL Model'!$A$6:$B$38,2,FALSE)</f>
        <v>0.41344250185511977</v>
      </c>
      <c r="H627" t="s">
        <v>23</v>
      </c>
      <c r="I627">
        <f>VLOOKUP(Table4[[#This Row],[Visitor]],'NHL Model'!$A$6:$B$38,2,FALSE)</f>
        <v>-0.4761104357405897</v>
      </c>
      <c r="J627">
        <f>($B$1+Table4[[#This Row],[Home Differential]])-Table4[[#This Row],[Away Differential]]</f>
        <v>0.93945368651887196</v>
      </c>
      <c r="K627" t="str">
        <f>IF(Table4[[#This Row],[HomeIce Differential]]&gt;0,Table4[[#This Row],[Home]],Table4[[#This Row],[Visitor]])</f>
        <v>Dallas Stars</v>
      </c>
      <c r="L6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0.68194114905620618</v>
      </c>
      <c r="M627" t="str">
        <f>IF(OR((NHL2025_26Results[[#This Row],[Winning Team]]="")),"-",IF(Table4[[#This Row],[Predicted Winner]]=NHL2025_26Results[[#This Row],[Winning Team]],"YES","NO"))</f>
        <v>-</v>
      </c>
      <c r="N627" t="str">
        <f>IF(Table4[[#This Row],[Adjusted Correct]]="-", "",IF(Table4[[#This Row],[Adjusted Correct]]="YES",(Table4[[#This Row],[Strength of Win]]-1)^2,(Table4[[#This Row],[Strength of Win]]-0)^2))</f>
        <v/>
      </c>
      <c r="P627" s="11"/>
    </row>
    <row r="628" spans="4:16" x14ac:dyDescent="0.2">
      <c r="D628" s="1">
        <v>46022</v>
      </c>
      <c r="E628" s="2">
        <v>0.77083333333333337</v>
      </c>
      <c r="F628" t="s">
        <v>26</v>
      </c>
      <c r="G628">
        <f>VLOOKUP(Table4[[#This Row],[Home]],'NHL Model'!$A$6:$B$38,2,FALSE)</f>
        <v>-0.87533956503230947</v>
      </c>
      <c r="H628" t="s">
        <v>40</v>
      </c>
      <c r="I628">
        <f>VLOOKUP(Table4[[#This Row],[Visitor]],'NHL Model'!$A$6:$B$38,2,FALSE)</f>
        <v>-0.31324182378279158</v>
      </c>
      <c r="J628">
        <f>($B$1+Table4[[#This Row],[Home Differential]])-Table4[[#This Row],[Away Differential]]</f>
        <v>-0.5121969923263554</v>
      </c>
      <c r="K628" t="str">
        <f>IF(Table4[[#This Row],[HomeIce Differential]]&gt;0,Table4[[#This Row],[Home]],Table4[[#This Row],[Visitor]])</f>
        <v>Winnipeg Jets</v>
      </c>
      <c r="L6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0.54057578911141169</v>
      </c>
      <c r="M628" t="str">
        <f>IF(OR((NHL2025_26Results[[#This Row],[Winning Team]]="")),"-",IF(Table4[[#This Row],[Predicted Winner]]=NHL2025_26Results[[#This Row],[Winning Team]],"YES","NO"))</f>
        <v>-</v>
      </c>
      <c r="N628" t="str">
        <f>IF(Table4[[#This Row],[Adjusted Correct]]="-", "",IF(Table4[[#This Row],[Adjusted Correct]]="YES",(Table4[[#This Row],[Strength of Win]]-1)^2,(Table4[[#This Row],[Strength of Win]]-0)^2))</f>
        <v/>
      </c>
      <c r="P628" s="11"/>
    </row>
    <row r="629" spans="4:16" x14ac:dyDescent="0.2">
      <c r="D629" s="1">
        <v>46022</v>
      </c>
      <c r="E629" s="2">
        <v>0.89583333333333337</v>
      </c>
      <c r="F629" t="s">
        <v>17</v>
      </c>
      <c r="G629">
        <f>VLOOKUP(Table4[[#This Row],[Home]],'NHL Model'!$A$6:$B$38,2,FALSE)</f>
        <v>-0.81774666423752174</v>
      </c>
      <c r="H629" t="s">
        <v>21</v>
      </c>
      <c r="I629">
        <f>VLOOKUP(Table4[[#This Row],[Visitor]],'NHL Model'!$A$6:$B$38,2,FALSE)</f>
        <v>-0.21976976044773161</v>
      </c>
      <c r="J629">
        <f>($B$1+Table4[[#This Row],[Home Differential]])-Table4[[#This Row],[Away Differential]]</f>
        <v>-0.54807615486662775</v>
      </c>
      <c r="K629" t="str">
        <f>IF(Table4[[#This Row],[HomeIce Differential]]&gt;0,Table4[[#This Row],[Home]],Table4[[#This Row],[Visitor]])</f>
        <v>Boston Bruins</v>
      </c>
      <c r="L6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0.51777749271244533</v>
      </c>
      <c r="M629" t="str">
        <f>IF(OR((NHL2025_26Results[[#This Row],[Winning Team]]="")),"-",IF(Table4[[#This Row],[Predicted Winner]]=NHL2025_26Results[[#This Row],[Winning Team]],"YES","NO"))</f>
        <v>-</v>
      </c>
      <c r="N629" t="str">
        <f>IF(Table4[[#This Row],[Adjusted Correct]]="-", "",IF(Table4[[#This Row],[Adjusted Correct]]="YES",(Table4[[#This Row],[Strength of Win]]-1)^2,(Table4[[#This Row],[Strength of Win]]-0)^2))</f>
        <v/>
      </c>
      <c r="P629" s="11"/>
    </row>
    <row r="630" spans="4:16" x14ac:dyDescent="0.2">
      <c r="D630" s="1">
        <v>46022</v>
      </c>
      <c r="E630" s="2">
        <v>0.66666666666666663</v>
      </c>
      <c r="F630" t="s">
        <v>33</v>
      </c>
      <c r="G630">
        <f>VLOOKUP(Table4[[#This Row],[Home]],'NHL Model'!$A$6:$B$38,2,FALSE)</f>
        <v>-0.45133099238224339</v>
      </c>
      <c r="H630" t="s">
        <v>34</v>
      </c>
      <c r="I630">
        <f>VLOOKUP(Table4[[#This Row],[Visitor]],'NHL Model'!$A$6:$B$38,2,FALSE)</f>
        <v>-5.5124787449478845E-2</v>
      </c>
      <c r="J630">
        <f>($B$1+Table4[[#This Row],[Home Differential]])-Table4[[#This Row],[Away Differential]]</f>
        <v>-0.34630545600960205</v>
      </c>
      <c r="K630" t="str">
        <f>IF(Table4[[#This Row],[HomeIce Differential]]&gt;0,Table4[[#This Row],[Home]],Table4[[#This Row],[Visitor]])</f>
        <v>Minnesota Wild</v>
      </c>
      <c r="L6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0.53274396540055979</v>
      </c>
      <c r="M630" t="str">
        <f>IF(OR((NHL2025_26Results[[#This Row],[Winning Team]]="")),"-",IF(Table4[[#This Row],[Predicted Winner]]=NHL2025_26Results[[#This Row],[Winning Team]],"YES","NO"))</f>
        <v>-</v>
      </c>
      <c r="N630" t="str">
        <f>IF(Table4[[#This Row],[Adjusted Correct]]="-", "",IF(Table4[[#This Row],[Adjusted Correct]]="YES",(Table4[[#This Row],[Strength of Win]]-1)^2,(Table4[[#This Row],[Strength of Win]]-0)^2))</f>
        <v/>
      </c>
      <c r="P630" s="11"/>
    </row>
    <row r="631" spans="4:16" x14ac:dyDescent="0.2">
      <c r="D631" s="1">
        <v>46022</v>
      </c>
      <c r="E631" s="2">
        <v>0.625</v>
      </c>
      <c r="F631" t="s">
        <v>20</v>
      </c>
      <c r="G631">
        <f>VLOOKUP(Table4[[#This Row],[Home]],'NHL Model'!$A$6:$B$38,2,FALSE)</f>
        <v>-0.24444083032063643</v>
      </c>
      <c r="H631" t="s">
        <v>29</v>
      </c>
      <c r="I631">
        <f>VLOOKUP(Table4[[#This Row],[Visitor]],'NHL Model'!$A$6:$B$38,2,FALSE)</f>
        <v>-1.384917283810061</v>
      </c>
      <c r="J631">
        <f>($B$1+Table4[[#This Row],[Home Differential]])-Table4[[#This Row],[Away Differential]]</f>
        <v>1.1903772024125869</v>
      </c>
      <c r="K631" t="str">
        <f>IF(Table4[[#This Row],[HomeIce Differential]]&gt;0,Table4[[#This Row],[Home]],Table4[[#This Row],[Visitor]])</f>
        <v>Vegas Golden Knights</v>
      </c>
      <c r="L6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0.67899410709528163</v>
      </c>
      <c r="M631" t="str">
        <f>IF(OR((NHL2025_26Results[[#This Row],[Winning Team]]="")),"-",IF(Table4[[#This Row],[Predicted Winner]]=NHL2025_26Results[[#This Row],[Winning Team]],"YES","NO"))</f>
        <v>-</v>
      </c>
      <c r="N631" t="str">
        <f>IF(Table4[[#This Row],[Adjusted Correct]]="-", "",IF(Table4[[#This Row],[Adjusted Correct]]="YES",(Table4[[#This Row],[Strength of Win]]-1)^2,(Table4[[#This Row],[Strength of Win]]-0)^2))</f>
        <v/>
      </c>
      <c r="P631" s="11"/>
    </row>
    <row r="632" spans="4:16" x14ac:dyDescent="0.2">
      <c r="D632" s="1">
        <v>46022</v>
      </c>
      <c r="E632" s="2">
        <v>0.52083333333333337</v>
      </c>
      <c r="F632" t="s">
        <v>22</v>
      </c>
      <c r="G632">
        <f>VLOOKUP(Table4[[#This Row],[Home]],'NHL Model'!$A$6:$B$38,2,FALSE)</f>
        <v>0.4407072328537569</v>
      </c>
      <c r="H632" t="s">
        <v>15</v>
      </c>
      <c r="I632">
        <f>VLOOKUP(Table4[[#This Row],[Visitor]],'NHL Model'!$A$6:$B$38,2,FALSE)</f>
        <v>-0.29003398448394263</v>
      </c>
      <c r="J632">
        <f>($B$1+Table4[[#This Row],[Home Differential]])-Table4[[#This Row],[Away Differential]]</f>
        <v>0.78064196626086202</v>
      </c>
      <c r="K632" t="str">
        <f>IF(Table4[[#This Row],[HomeIce Differential]]&gt;0,Table4[[#This Row],[Home]],Table4[[#This Row],[Visitor]])</f>
        <v>Washington Capitals</v>
      </c>
      <c r="L6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0.55717088848980889</v>
      </c>
      <c r="M632" t="str">
        <f>IF(OR((NHL2025_26Results[[#This Row],[Winning Team]]="")),"-",IF(Table4[[#This Row],[Predicted Winner]]=NHL2025_26Results[[#This Row],[Winning Team]],"YES","NO"))</f>
        <v>-</v>
      </c>
      <c r="N632" t="str">
        <f>IF(Table4[[#This Row],[Adjusted Correct]]="-", "",IF(Table4[[#This Row],[Adjusted Correct]]="YES",(Table4[[#This Row],[Strength of Win]]-1)^2,(Table4[[#This Row],[Strength of Win]]-0)^2))</f>
        <v/>
      </c>
      <c r="P632" s="11"/>
    </row>
    <row r="633" spans="4:16" x14ac:dyDescent="0.2">
      <c r="D633" s="1">
        <v>46023</v>
      </c>
      <c r="E633" s="2">
        <v>0.79166666666666663</v>
      </c>
      <c r="F633" t="s">
        <v>25</v>
      </c>
      <c r="G633">
        <f>VLOOKUP(Table4[[#This Row],[Home]],'NHL Model'!$A$6:$B$38,2,FALSE)</f>
        <v>0.42567513732855267</v>
      </c>
      <c r="H633" t="s">
        <v>18</v>
      </c>
      <c r="I633">
        <f>VLOOKUP(Table4[[#This Row],[Visitor]],'NHL Model'!$A$6:$B$38,2,FALSE)</f>
        <v>-0.59288962827382519</v>
      </c>
      <c r="J633">
        <f>($B$1+Table4[[#This Row],[Home Differential]])-Table4[[#This Row],[Away Differential]]</f>
        <v>1.0684655145255404</v>
      </c>
      <c r="K633" t="str">
        <f>IF(Table4[[#This Row],[HomeIce Differential]]&gt;0,Table4[[#This Row],[Home]],Table4[[#This Row],[Visitor]])</f>
        <v>Carolina Hurricanes</v>
      </c>
      <c r="L6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0.65809245157970586</v>
      </c>
      <c r="M633" t="str">
        <f>IF(OR((NHL2025_26Results[[#This Row],[Winning Team]]="")),"-",IF(Table4[[#This Row],[Predicted Winner]]=NHL2025_26Results[[#This Row],[Winning Team]],"YES","NO"))</f>
        <v>-</v>
      </c>
      <c r="N633" t="str">
        <f>IF(Table4[[#This Row],[Adjusted Correct]]="-", "",IF(Table4[[#This Row],[Adjusted Correct]]="YES",(Table4[[#This Row],[Strength of Win]]-1)^2,(Table4[[#This Row],[Strength of Win]]-0)^2))</f>
        <v/>
      </c>
      <c r="P633" s="11"/>
    </row>
    <row r="634" spans="4:16" x14ac:dyDescent="0.2">
      <c r="D634" s="1">
        <v>46023</v>
      </c>
      <c r="E634" s="2">
        <v>0.85416666666666663</v>
      </c>
      <c r="F634" t="s">
        <v>10</v>
      </c>
      <c r="G634">
        <f>VLOOKUP(Table4[[#This Row],[Home]],'NHL Model'!$A$6:$B$38,2,FALSE)</f>
        <v>-0.17619625518431364</v>
      </c>
      <c r="H634" t="s">
        <v>39</v>
      </c>
      <c r="I634">
        <f>VLOOKUP(Table4[[#This Row],[Visitor]],'NHL Model'!$A$6:$B$38,2,FALSE)</f>
        <v>0.41344250185511977</v>
      </c>
      <c r="J634">
        <f>($B$1+Table4[[#This Row],[Home Differential]])-Table4[[#This Row],[Away Differential]]</f>
        <v>-0.53973800811627093</v>
      </c>
      <c r="K634" t="str">
        <f>IF(Table4[[#This Row],[HomeIce Differential]]&gt;0,Table4[[#This Row],[Home]],Table4[[#This Row],[Visitor]])</f>
        <v>Dallas Stars</v>
      </c>
      <c r="L6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0.62482013122102475</v>
      </c>
      <c r="M634" t="str">
        <f>IF(OR((NHL2025_26Results[[#This Row],[Winning Team]]="")),"-",IF(Table4[[#This Row],[Predicted Winner]]=NHL2025_26Results[[#This Row],[Winning Team]],"YES","NO"))</f>
        <v>-</v>
      </c>
      <c r="N634" t="str">
        <f>IF(Table4[[#This Row],[Adjusted Correct]]="-", "",IF(Table4[[#This Row],[Adjusted Correct]]="YES",(Table4[[#This Row],[Strength of Win]]-1)^2,(Table4[[#This Row],[Strength of Win]]-0)^2))</f>
        <v/>
      </c>
      <c r="P634" s="11"/>
    </row>
    <row r="635" spans="4:16" x14ac:dyDescent="0.2">
      <c r="D635" s="1">
        <v>46023</v>
      </c>
      <c r="E635" s="2">
        <v>0.79166666666666663</v>
      </c>
      <c r="F635" t="s">
        <v>13</v>
      </c>
      <c r="G635">
        <f>VLOOKUP(Table4[[#This Row],[Home]],'NHL Model'!$A$6:$B$38,2,FALSE)</f>
        <v>-0.33828359867721369</v>
      </c>
      <c r="H635" t="s">
        <v>37</v>
      </c>
      <c r="I635">
        <f>VLOOKUP(Table4[[#This Row],[Visitor]],'NHL Model'!$A$6:$B$38,2,FALSE)</f>
        <v>0.51050494674660429</v>
      </c>
      <c r="J635">
        <f>($B$1+Table4[[#This Row],[Home Differential]])-Table4[[#This Row],[Away Differential]]</f>
        <v>-0.79888779650065556</v>
      </c>
      <c r="K635" t="str">
        <f>IF(Table4[[#This Row],[HomeIce Differential]]&gt;0,Table4[[#This Row],[Home]],Table4[[#This Row],[Visitor]])</f>
        <v>Tampa Bay Lightning</v>
      </c>
      <c r="L6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0.6457681288291155</v>
      </c>
      <c r="M635" t="str">
        <f>IF(OR((NHL2025_26Results[[#This Row],[Winning Team]]="")),"-",IF(Table4[[#This Row],[Predicted Winner]]=NHL2025_26Results[[#This Row],[Winning Team]],"YES","NO"))</f>
        <v>-</v>
      </c>
      <c r="N635" t="str">
        <f>IF(Table4[[#This Row],[Adjusted Correct]]="-", "",IF(Table4[[#This Row],[Adjusted Correct]]="YES",(Table4[[#This Row],[Strength of Win]]-1)^2,(Table4[[#This Row],[Strength of Win]]-0)^2))</f>
        <v/>
      </c>
      <c r="P635" s="11"/>
    </row>
    <row r="636" spans="4:16" x14ac:dyDescent="0.2">
      <c r="D636" s="1">
        <v>46023</v>
      </c>
      <c r="E636" s="2">
        <v>0.625</v>
      </c>
      <c r="F636" t="s">
        <v>30</v>
      </c>
      <c r="G636">
        <f>VLOOKUP(Table4[[#This Row],[Home]],'NHL Model'!$A$6:$B$38,2,FALSE)</f>
        <v>-0.24093199744133265</v>
      </c>
      <c r="H636" t="s">
        <v>55</v>
      </c>
      <c r="I636">
        <f>VLOOKUP(Table4[[#This Row],[Visitor]],'NHL Model'!$A$6:$B$38,2,FALSE)</f>
        <v>-0.4031232890211825</v>
      </c>
      <c r="J636">
        <f>($B$1+Table4[[#This Row],[Home Differential]])-Table4[[#This Row],[Away Differential]]</f>
        <v>0.21209204050301231</v>
      </c>
      <c r="K636" t="str">
        <f>IF(Table4[[#This Row],[HomeIce Differential]]&gt;0,Table4[[#This Row],[Home]],Table4[[#This Row],[Visitor]])</f>
        <v>New York Islanders</v>
      </c>
      <c r="L6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0.56476487598383529</v>
      </c>
      <c r="M636" t="str">
        <f>IF(OR((NHL2025_26Results[[#This Row],[Winning Team]]="")),"-",IF(Table4[[#This Row],[Predicted Winner]]=NHL2025_26Results[[#This Row],[Winning Team]],"YES","NO"))</f>
        <v>-</v>
      </c>
      <c r="N636" t="str">
        <f>IF(Table4[[#This Row],[Adjusted Correct]]="-", "",IF(Table4[[#This Row],[Adjusted Correct]]="YES",(Table4[[#This Row],[Strength of Win]]-1)^2,(Table4[[#This Row],[Strength of Win]]-0)^2))</f>
        <v/>
      </c>
      <c r="P636" s="11"/>
    </row>
    <row r="637" spans="4:16" x14ac:dyDescent="0.2">
      <c r="D637" s="1">
        <v>46023</v>
      </c>
      <c r="E637" s="2">
        <v>0.54166666666666663</v>
      </c>
      <c r="F637" t="s">
        <v>36</v>
      </c>
      <c r="G637">
        <f>VLOOKUP(Table4[[#This Row],[Home]],'NHL Model'!$A$6:$B$38,2,FALSE)</f>
        <v>-0.53137605086483863</v>
      </c>
      <c r="H637" t="s">
        <v>22</v>
      </c>
      <c r="I637">
        <f>VLOOKUP(Table4[[#This Row],[Visitor]],'NHL Model'!$A$6:$B$38,2,FALSE)</f>
        <v>0.4407072328537569</v>
      </c>
      <c r="J637">
        <f>($B$1+Table4[[#This Row],[Home Differential]])-Table4[[#This Row],[Away Differential]]</f>
        <v>-0.92218253479543311</v>
      </c>
      <c r="K637" t="str">
        <f>IF(Table4[[#This Row],[HomeIce Differential]]&gt;0,Table4[[#This Row],[Home]],Table4[[#This Row],[Visitor]])</f>
        <v>Washington Capitals</v>
      </c>
      <c r="L6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0.60767842138019035</v>
      </c>
      <c r="M637" t="str">
        <f>IF(OR((NHL2025_26Results[[#This Row],[Winning Team]]="")),"-",IF(Table4[[#This Row],[Predicted Winner]]=NHL2025_26Results[[#This Row],[Winning Team]],"YES","NO"))</f>
        <v>-</v>
      </c>
      <c r="N637" t="str">
        <f>IF(Table4[[#This Row],[Adjusted Correct]]="-", "",IF(Table4[[#This Row],[Adjusted Correct]]="YES",(Table4[[#This Row],[Strength of Win]]-1)^2,(Table4[[#This Row],[Strength of Win]]-0)^2))</f>
        <v/>
      </c>
      <c r="P637" s="11"/>
    </row>
    <row r="638" spans="4:16" x14ac:dyDescent="0.2">
      <c r="D638" s="1">
        <v>46023</v>
      </c>
      <c r="E638" s="2">
        <v>0.79166666666666663</v>
      </c>
      <c r="F638" t="s">
        <v>14</v>
      </c>
      <c r="G638">
        <f>VLOOKUP(Table4[[#This Row],[Home]],'NHL Model'!$A$6:$B$38,2,FALSE)</f>
        <v>-0.14226422156549004</v>
      </c>
      <c r="H638" t="s">
        <v>26</v>
      </c>
      <c r="I638">
        <f>VLOOKUP(Table4[[#This Row],[Visitor]],'NHL Model'!$A$6:$B$38,2,FALSE)</f>
        <v>-0.87533956503230947</v>
      </c>
      <c r="J638">
        <f>($B$1+Table4[[#This Row],[Home Differential]])-Table4[[#This Row],[Away Differential]]</f>
        <v>0.78297609238998189</v>
      </c>
      <c r="K638" t="str">
        <f>IF(Table4[[#This Row],[HomeIce Differential]]&gt;0,Table4[[#This Row],[Home]],Table4[[#This Row],[Visitor]])</f>
        <v>Pittsburgh Penguins</v>
      </c>
      <c r="L6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0.63142401468889853</v>
      </c>
      <c r="M638" t="str">
        <f>IF(OR((NHL2025_26Results[[#This Row],[Winning Team]]="")),"-",IF(Table4[[#This Row],[Predicted Winner]]=NHL2025_26Results[[#This Row],[Winning Team]],"YES","NO"))</f>
        <v>-</v>
      </c>
      <c r="N638" t="str">
        <f>IF(Table4[[#This Row],[Adjusted Correct]]="-", "",IF(Table4[[#This Row],[Adjusted Correct]]="YES",(Table4[[#This Row],[Strength of Win]]-1)^2,(Table4[[#This Row],[Strength of Win]]-0)^2))</f>
        <v/>
      </c>
      <c r="P638" s="11"/>
    </row>
    <row r="639" spans="4:16" x14ac:dyDescent="0.2">
      <c r="D639" s="1">
        <v>46023</v>
      </c>
      <c r="E639" s="2">
        <v>0.91666666666666663</v>
      </c>
      <c r="F639" t="s">
        <v>32</v>
      </c>
      <c r="G639">
        <f>VLOOKUP(Table4[[#This Row],[Home]],'NHL Model'!$A$6:$B$38,2,FALSE)</f>
        <v>-0.64937723527808999</v>
      </c>
      <c r="H639" t="s">
        <v>29</v>
      </c>
      <c r="I639">
        <f>VLOOKUP(Table4[[#This Row],[Visitor]],'NHL Model'!$A$6:$B$38,2,FALSE)</f>
        <v>-1.384917283810061</v>
      </c>
      <c r="J639">
        <f>($B$1+Table4[[#This Row],[Home Differential]])-Table4[[#This Row],[Away Differential]]</f>
        <v>0.7854407974551334</v>
      </c>
      <c r="K639" t="str">
        <f>IF(Table4[[#This Row],[HomeIce Differential]]&gt;0,Table4[[#This Row],[Home]],Table4[[#This Row],[Visitor]])</f>
        <v>Seattle Kraken</v>
      </c>
      <c r="L6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0.63171180538170546</v>
      </c>
      <c r="M639" t="str">
        <f>IF(OR((NHL2025_26Results[[#This Row],[Winning Team]]="")),"-",IF(Table4[[#This Row],[Predicted Winner]]=NHL2025_26Results[[#This Row],[Winning Team]],"YES","NO"))</f>
        <v>-</v>
      </c>
      <c r="N639" t="str">
        <f>IF(Table4[[#This Row],[Adjusted Correct]]="-", "",IF(Table4[[#This Row],[Adjusted Correct]]="YES",(Table4[[#This Row],[Strength of Win]]-1)^2,(Table4[[#This Row],[Strength of Win]]-0)^2))</f>
        <v/>
      </c>
      <c r="P639" s="11"/>
    </row>
    <row r="640" spans="4:16" x14ac:dyDescent="0.2">
      <c r="D640" s="1">
        <v>46023</v>
      </c>
      <c r="E640" s="2">
        <v>0.79166666666666663</v>
      </c>
      <c r="F640" t="s">
        <v>19</v>
      </c>
      <c r="G640">
        <f>VLOOKUP(Table4[[#This Row],[Home]],'NHL Model'!$A$6:$B$38,2,FALSE)</f>
        <v>-0.63447859131898054</v>
      </c>
      <c r="H640" t="s">
        <v>40</v>
      </c>
      <c r="I640">
        <f>VLOOKUP(Table4[[#This Row],[Visitor]],'NHL Model'!$A$6:$B$38,2,FALSE)</f>
        <v>-0.31324182378279158</v>
      </c>
      <c r="J640">
        <f>($B$1+Table4[[#This Row],[Home Differential]])-Table4[[#This Row],[Away Differential]]</f>
        <v>-0.27133601861302653</v>
      </c>
      <c r="K640" t="str">
        <f>IF(Table4[[#This Row],[HomeIce Differential]]&gt;0,Table4[[#This Row],[Home]],Table4[[#This Row],[Visitor]])</f>
        <v>Winnipeg Jets</v>
      </c>
      <c r="L6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0.51245171557612179</v>
      </c>
      <c r="M640" t="str">
        <f>IF(OR((NHL2025_26Results[[#This Row],[Winning Team]]="")),"-",IF(Table4[[#This Row],[Predicted Winner]]=NHL2025_26Results[[#This Row],[Winning Team]],"YES","NO"))</f>
        <v>-</v>
      </c>
      <c r="N640" t="str">
        <f>IF(Table4[[#This Row],[Adjusted Correct]]="-", "",IF(Table4[[#This Row],[Adjusted Correct]]="YES",(Table4[[#This Row],[Strength of Win]]-1)^2,(Table4[[#This Row],[Strength of Win]]-0)^2))</f>
        <v/>
      </c>
      <c r="P640" s="11"/>
    </row>
    <row r="641" spans="4:16" x14ac:dyDescent="0.2">
      <c r="D641" s="1">
        <v>46024</v>
      </c>
      <c r="E641" s="2">
        <v>0.9375</v>
      </c>
      <c r="F641" t="s">
        <v>31</v>
      </c>
      <c r="G641">
        <f>VLOOKUP(Table4[[#This Row],[Home]],'NHL Model'!$A$6:$B$38,2,FALSE)</f>
        <v>0.17870302183926629</v>
      </c>
      <c r="H641" t="s">
        <v>34</v>
      </c>
      <c r="I641">
        <f>VLOOKUP(Table4[[#This Row],[Visitor]],'NHL Model'!$A$6:$B$38,2,FALSE)</f>
        <v>-5.5124787449478845E-2</v>
      </c>
      <c r="J641">
        <f>($B$1+Table4[[#This Row],[Home Differential]])-Table4[[#This Row],[Away Differential]]</f>
        <v>0.28372855821190757</v>
      </c>
      <c r="K641" t="str">
        <f>IF(Table4[[#This Row],[HomeIce Differential]]&gt;0,Table4[[#This Row],[Home]],Table4[[#This Row],[Visitor]])</f>
        <v>Anaheim Ducks</v>
      </c>
      <c r="L6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0.61207686512694381</v>
      </c>
      <c r="M641" t="str">
        <f>IF(OR((NHL2025_26Results[[#This Row],[Winning Team]]="")),"-",IF(Table4[[#This Row],[Predicted Winner]]=NHL2025_26Results[[#This Row],[Winning Team]],"YES","NO"))</f>
        <v>-</v>
      </c>
      <c r="N641" t="str">
        <f>IF(Table4[[#This Row],[Adjusted Correct]]="-", "",IF(Table4[[#This Row],[Adjusted Correct]]="YES",(Table4[[#This Row],[Strength of Win]]-1)^2,(Table4[[#This Row],[Strength of Win]]-0)^2))</f>
        <v/>
      </c>
      <c r="P641" s="11"/>
    </row>
    <row r="642" spans="4:16" x14ac:dyDescent="0.2">
      <c r="D642" s="1">
        <v>46024</v>
      </c>
      <c r="E642" s="2">
        <v>0.83333333333333337</v>
      </c>
      <c r="F642" t="s">
        <v>11</v>
      </c>
      <c r="G642">
        <f>VLOOKUP(Table4[[#This Row],[Home]],'NHL Model'!$A$6:$B$38,2,FALSE)</f>
        <v>-0.39711829106410657</v>
      </c>
      <c r="H642" t="s">
        <v>15</v>
      </c>
      <c r="I642">
        <f>VLOOKUP(Table4[[#This Row],[Visitor]],'NHL Model'!$A$6:$B$38,2,FALSE)</f>
        <v>-0.29003398448394263</v>
      </c>
      <c r="J642">
        <f>($B$1+Table4[[#This Row],[Home Differential]])-Table4[[#This Row],[Away Differential]]</f>
        <v>-5.7183557657001449E-2</v>
      </c>
      <c r="K642" t="str">
        <f>IF(Table4[[#This Row],[HomeIce Differential]]&gt;0,Table4[[#This Row],[Home]],Table4[[#This Row],[Visitor]])</f>
        <v>New York Rangers</v>
      </c>
      <c r="L6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0.55277631510567293</v>
      </c>
      <c r="M642" t="str">
        <f>IF(OR((NHL2025_26Results[[#This Row],[Winning Team]]="")),"-",IF(Table4[[#This Row],[Predicted Winner]]=NHL2025_26Results[[#This Row],[Winning Team]],"YES","NO"))</f>
        <v>-</v>
      </c>
      <c r="N642" t="str">
        <f>IF(Table4[[#This Row],[Adjusted Correct]]="-", "",IF(Table4[[#This Row],[Adjusted Correct]]="YES",(Table4[[#This Row],[Strength of Win]]-1)^2,(Table4[[#This Row],[Strength of Win]]-0)^2))</f>
        <v/>
      </c>
      <c r="P642" s="11"/>
    </row>
    <row r="643" spans="4:16" x14ac:dyDescent="0.2">
      <c r="D643" s="1">
        <v>46024</v>
      </c>
      <c r="E643" s="2">
        <v>0.625</v>
      </c>
      <c r="F643" t="s">
        <v>35</v>
      </c>
      <c r="G643">
        <f>VLOOKUP(Table4[[#This Row],[Home]],'NHL Model'!$A$6:$B$38,2,FALSE)</f>
        <v>-1.3944783719477225</v>
      </c>
      <c r="H643" t="s">
        <v>20</v>
      </c>
      <c r="I643">
        <f>VLOOKUP(Table4[[#This Row],[Visitor]],'NHL Model'!$A$6:$B$38,2,FALSE)</f>
        <v>-0.24444083032063643</v>
      </c>
      <c r="J643">
        <f>($B$1+Table4[[#This Row],[Home Differential]])-Table4[[#This Row],[Away Differential]]</f>
        <v>-1.1001367927039236</v>
      </c>
      <c r="K643" t="str">
        <f>IF(Table4[[#This Row],[HomeIce Differential]]&gt;0,Table4[[#This Row],[Home]],Table4[[#This Row],[Visitor]])</f>
        <v>Vegas Golden Knights</v>
      </c>
      <c r="L6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0.58845720740840357</v>
      </c>
      <c r="M643" t="str">
        <f>IF(OR((NHL2025_26Results[[#This Row],[Winning Team]]="")),"-",IF(Table4[[#This Row],[Predicted Winner]]=NHL2025_26Results[[#This Row],[Winning Team]],"YES","NO"))</f>
        <v>-</v>
      </c>
      <c r="N643" t="str">
        <f>IF(Table4[[#This Row],[Adjusted Correct]]="-", "",IF(Table4[[#This Row],[Adjusted Correct]]="YES",(Table4[[#This Row],[Strength of Win]]-1)^2,(Table4[[#This Row],[Strength of Win]]-0)^2))</f>
        <v/>
      </c>
      <c r="P643" s="11"/>
    </row>
    <row r="644" spans="4:16" x14ac:dyDescent="0.2">
      <c r="D644" s="1">
        <v>46024</v>
      </c>
      <c r="E644" s="2">
        <v>0.9375</v>
      </c>
      <c r="F644" t="s">
        <v>38</v>
      </c>
      <c r="G644">
        <f>VLOOKUP(Table4[[#This Row],[Home]],'NHL Model'!$A$6:$B$38,2,FALSE)</f>
        <v>-0.9476777551108041</v>
      </c>
      <c r="H644" t="s">
        <v>32</v>
      </c>
      <c r="I644">
        <f>VLOOKUP(Table4[[#This Row],[Visitor]],'NHL Model'!$A$6:$B$38,2,FALSE)</f>
        <v>-0.64937723527808999</v>
      </c>
      <c r="J644">
        <f>($B$1+Table4[[#This Row],[Home Differential]])-Table4[[#This Row],[Away Differential]]</f>
        <v>-0.24839977090955168</v>
      </c>
      <c r="K644" t="str">
        <f>IF(Table4[[#This Row],[HomeIce Differential]]&gt;0,Table4[[#This Row],[Home]],Table4[[#This Row],[Visitor]])</f>
        <v>Seattle Kraken</v>
      </c>
      <c r="L6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0.48900433937265447</v>
      </c>
      <c r="M644" t="str">
        <f>IF(OR((NHL2025_26Results[[#This Row],[Winning Team]]="")),"-",IF(Table4[[#This Row],[Predicted Winner]]=NHL2025_26Results[[#This Row],[Winning Team]],"YES","NO"))</f>
        <v>-</v>
      </c>
      <c r="N644" t="str">
        <f>IF(Table4[[#This Row],[Adjusted Correct]]="-", "",IF(Table4[[#This Row],[Adjusted Correct]]="YES",(Table4[[#This Row],[Strength of Win]]-1)^2,(Table4[[#This Row],[Strength of Win]]-0)^2))</f>
        <v/>
      </c>
      <c r="P644" s="11"/>
    </row>
    <row r="645" spans="4:16" x14ac:dyDescent="0.2">
      <c r="D645" s="1">
        <v>46025</v>
      </c>
      <c r="E645" s="2">
        <v>0.79166666666666663</v>
      </c>
      <c r="F645" t="s">
        <v>25</v>
      </c>
      <c r="G645">
        <f>VLOOKUP(Table4[[#This Row],[Home]],'NHL Model'!$A$6:$B$38,2,FALSE)</f>
        <v>0.42567513732855267</v>
      </c>
      <c r="H645" t="s">
        <v>12</v>
      </c>
      <c r="I645">
        <f>VLOOKUP(Table4[[#This Row],[Visitor]],'NHL Model'!$A$6:$B$38,2,FALSE)</f>
        <v>1.6319036584269762</v>
      </c>
      <c r="J645">
        <f>($B$1+Table4[[#This Row],[Home Differential]])-Table4[[#This Row],[Away Differential]]</f>
        <v>-1.1563277721752609</v>
      </c>
      <c r="K645" t="str">
        <f>IF(Table4[[#This Row],[HomeIce Differential]]&gt;0,Table4[[#This Row],[Home]],Table4[[#This Row],[Visitor]])</f>
        <v>Colorado Avalanche</v>
      </c>
      <c r="L6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0.61501833358134994</v>
      </c>
      <c r="M645" t="str">
        <f>IF(OR((NHL2025_26Results[[#This Row],[Winning Team]]="")),"-",IF(Table4[[#This Row],[Predicted Winner]]=NHL2025_26Results[[#This Row],[Winning Team]],"YES","NO"))</f>
        <v>-</v>
      </c>
      <c r="N645" t="str">
        <f>IF(Table4[[#This Row],[Adjusted Correct]]="-", "",IF(Table4[[#This Row],[Adjusted Correct]]="YES",(Table4[[#This Row],[Strength of Win]]-1)^2,(Table4[[#This Row],[Strength of Win]]-0)^2))</f>
        <v/>
      </c>
      <c r="P645" s="11"/>
    </row>
    <row r="646" spans="4:16" x14ac:dyDescent="0.2">
      <c r="D646" s="1">
        <v>46025</v>
      </c>
      <c r="E646" s="2">
        <v>0.625</v>
      </c>
      <c r="F646" t="s">
        <v>28</v>
      </c>
      <c r="G646">
        <f>VLOOKUP(Table4[[#This Row],[Home]],'NHL Model'!$A$6:$B$38,2,FALSE)</f>
        <v>-0.59498940435054026</v>
      </c>
      <c r="H646" t="s">
        <v>23</v>
      </c>
      <c r="I646">
        <f>VLOOKUP(Table4[[#This Row],[Visitor]],'NHL Model'!$A$6:$B$38,2,FALSE)</f>
        <v>-0.4761104357405897</v>
      </c>
      <c r="J646">
        <f>($B$1+Table4[[#This Row],[Home Differential]])-Table4[[#This Row],[Away Differential]]</f>
        <v>-6.8978219686788134E-2</v>
      </c>
      <c r="K646" t="str">
        <f>IF(Table4[[#This Row],[HomeIce Differential]]&gt;0,Table4[[#This Row],[Home]],Table4[[#This Row],[Visitor]])</f>
        <v>Buffalo Sabres</v>
      </c>
      <c r="L6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0.46805422519429624</v>
      </c>
      <c r="M646" t="str">
        <f>IF(OR((NHL2025_26Results[[#This Row],[Winning Team]]="")),"-",IF(Table4[[#This Row],[Predicted Winner]]=NHL2025_26Results[[#This Row],[Winning Team]],"YES","NO"))</f>
        <v>-</v>
      </c>
      <c r="N646" t="str">
        <f>IF(Table4[[#This Row],[Adjusted Correct]]="-", "",IF(Table4[[#This Row],[Adjusted Correct]]="YES",(Table4[[#This Row],[Strength of Win]]-1)^2,(Table4[[#This Row],[Strength of Win]]-0)^2))</f>
        <v/>
      </c>
      <c r="P646" s="11"/>
    </row>
    <row r="647" spans="4:16" x14ac:dyDescent="0.2">
      <c r="D647" s="1">
        <v>46025</v>
      </c>
      <c r="E647" s="2">
        <v>0.79166666666666663</v>
      </c>
      <c r="F647" t="s">
        <v>16</v>
      </c>
      <c r="G647">
        <f>VLOOKUP(Table4[[#This Row],[Home]],'NHL Model'!$A$6:$B$38,2,FALSE)</f>
        <v>-1.0657812790446208</v>
      </c>
      <c r="H647" t="s">
        <v>29</v>
      </c>
      <c r="I647">
        <f>VLOOKUP(Table4[[#This Row],[Visitor]],'NHL Model'!$A$6:$B$38,2,FALSE)</f>
        <v>-1.384917283810061</v>
      </c>
      <c r="J647">
        <f>($B$1+Table4[[#This Row],[Home Differential]])-Table4[[#This Row],[Away Differential]]</f>
        <v>0.36903675368860256</v>
      </c>
      <c r="K647" t="str">
        <f>IF(Table4[[#This Row],[HomeIce Differential]]&gt;0,Table4[[#This Row],[Home]],Table4[[#This Row],[Visitor]])</f>
        <v>Calgary Flames</v>
      </c>
      <c r="L6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0.5830904875869003</v>
      </c>
      <c r="M647" t="str">
        <f>IF(OR((NHL2025_26Results[[#This Row],[Winning Team]]="")),"-",IF(Table4[[#This Row],[Predicted Winner]]=NHL2025_26Results[[#This Row],[Winning Team]],"YES","NO"))</f>
        <v>-</v>
      </c>
      <c r="N647" t="str">
        <f>IF(Table4[[#This Row],[Adjusted Correct]]="-", "",IF(Table4[[#This Row],[Adjusted Correct]]="YES",(Table4[[#This Row],[Strength of Win]]-1)^2,(Table4[[#This Row],[Strength of Win]]-0)^2))</f>
        <v/>
      </c>
      <c r="P647" s="11"/>
    </row>
    <row r="648" spans="4:16" x14ac:dyDescent="0.2">
      <c r="D648" s="1">
        <v>46025</v>
      </c>
      <c r="E648" s="2">
        <v>0.5</v>
      </c>
      <c r="F648" t="s">
        <v>26</v>
      </c>
      <c r="G648">
        <f>VLOOKUP(Table4[[#This Row],[Home]],'NHL Model'!$A$6:$B$38,2,FALSE)</f>
        <v>-0.87533956503230947</v>
      </c>
      <c r="H648" t="s">
        <v>14</v>
      </c>
      <c r="I648">
        <f>VLOOKUP(Table4[[#This Row],[Visitor]],'NHL Model'!$A$6:$B$38,2,FALSE)</f>
        <v>-0.14226422156549004</v>
      </c>
      <c r="J648">
        <f>($B$1+Table4[[#This Row],[Home Differential]])-Table4[[#This Row],[Away Differential]]</f>
        <v>-0.68317459454365703</v>
      </c>
      <c r="K648" t="str">
        <f>IF(Table4[[#This Row],[HomeIce Differential]]&gt;0,Table4[[#This Row],[Home]],Table4[[#This Row],[Visitor]])</f>
        <v>Pittsburgh Penguins</v>
      </c>
      <c r="L6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0.57905745008858989</v>
      </c>
      <c r="M648" t="str">
        <f>IF(OR((NHL2025_26Results[[#This Row],[Winning Team]]="")),"-",IF(Table4[[#This Row],[Predicted Winner]]=NHL2025_26Results[[#This Row],[Winning Team]],"YES","NO"))</f>
        <v>-</v>
      </c>
      <c r="N648" t="str">
        <f>IF(Table4[[#This Row],[Adjusted Correct]]="-", "",IF(Table4[[#This Row],[Adjusted Correct]]="YES",(Table4[[#This Row],[Strength of Win]]-1)^2,(Table4[[#This Row],[Strength of Win]]-0)^2))</f>
        <v/>
      </c>
      <c r="P648" s="11"/>
    </row>
    <row r="649" spans="4:16" x14ac:dyDescent="0.2">
      <c r="D649" s="1">
        <v>46025</v>
      </c>
      <c r="E649" s="2">
        <v>0.64583333333333337</v>
      </c>
      <c r="F649" t="s">
        <v>17</v>
      </c>
      <c r="G649">
        <f>VLOOKUP(Table4[[#This Row],[Home]],'NHL Model'!$A$6:$B$38,2,FALSE)</f>
        <v>-0.81774666423752174</v>
      </c>
      <c r="H649" t="s">
        <v>27</v>
      </c>
      <c r="I649">
        <f>VLOOKUP(Table4[[#This Row],[Visitor]],'NHL Model'!$A$6:$B$38,2,FALSE)</f>
        <v>-0.38023958350631604</v>
      </c>
      <c r="J649">
        <f>($B$1+Table4[[#This Row],[Home Differential]])-Table4[[#This Row],[Away Differential]]</f>
        <v>-0.38760633180804327</v>
      </c>
      <c r="K649" t="str">
        <f>IF(Table4[[#This Row],[HomeIce Differential]]&gt;0,Table4[[#This Row],[Home]],Table4[[#This Row],[Visitor]])</f>
        <v>Philadelphia Flyers</v>
      </c>
      <c r="L6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0.54067160393645486</v>
      </c>
      <c r="M649" t="str">
        <f>IF(OR((NHL2025_26Results[[#This Row],[Winning Team]]="")),"-",IF(Table4[[#This Row],[Predicted Winner]]=NHL2025_26Results[[#This Row],[Winning Team]],"YES","NO"))</f>
        <v>-</v>
      </c>
      <c r="N649" t="str">
        <f>IF(Table4[[#This Row],[Adjusted Correct]]="-", "",IF(Table4[[#This Row],[Adjusted Correct]]="YES",(Table4[[#This Row],[Strength of Win]]-1)^2,(Table4[[#This Row],[Strength of Win]]-0)^2))</f>
        <v/>
      </c>
      <c r="P649" s="11"/>
    </row>
    <row r="650" spans="4:16" x14ac:dyDescent="0.2">
      <c r="D650" s="1">
        <v>46025</v>
      </c>
      <c r="E650" s="2">
        <v>0.875</v>
      </c>
      <c r="F650" t="s">
        <v>13</v>
      </c>
      <c r="G650">
        <f>VLOOKUP(Table4[[#This Row],[Home]],'NHL Model'!$A$6:$B$38,2,FALSE)</f>
        <v>-0.33828359867721369</v>
      </c>
      <c r="H650" t="s">
        <v>34</v>
      </c>
      <c r="I650">
        <f>VLOOKUP(Table4[[#This Row],[Visitor]],'NHL Model'!$A$6:$B$38,2,FALSE)</f>
        <v>-5.5124787449478845E-2</v>
      </c>
      <c r="J650">
        <f>($B$1+Table4[[#This Row],[Home Differential]])-Table4[[#This Row],[Away Differential]]</f>
        <v>-0.23325806230457236</v>
      </c>
      <c r="K650" t="str">
        <f>IF(Table4[[#This Row],[HomeIce Differential]]&gt;0,Table4[[#This Row],[Home]],Table4[[#This Row],[Visitor]])</f>
        <v>Minnesota Wild</v>
      </c>
      <c r="L6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0.52974888423142408</v>
      </c>
      <c r="M650" t="str">
        <f>IF(OR((NHL2025_26Results[[#This Row],[Winning Team]]="")),"-",IF(Table4[[#This Row],[Predicted Winner]]=NHL2025_26Results[[#This Row],[Winning Team]],"YES","NO"))</f>
        <v>-</v>
      </c>
      <c r="N650" t="str">
        <f>IF(Table4[[#This Row],[Adjusted Correct]]="-", "",IF(Table4[[#This Row],[Adjusted Correct]]="YES",(Table4[[#This Row],[Strength of Win]]-1)^2,(Table4[[#This Row],[Strength of Win]]-0)^2))</f>
        <v/>
      </c>
      <c r="P650" s="11"/>
    </row>
    <row r="651" spans="4:16" x14ac:dyDescent="0.2">
      <c r="D651" s="1">
        <v>46025</v>
      </c>
      <c r="E651" s="2">
        <v>0.625</v>
      </c>
      <c r="F651" t="s">
        <v>24</v>
      </c>
      <c r="G651">
        <f>VLOOKUP(Table4[[#This Row],[Home]],'NHL Model'!$A$6:$B$38,2,FALSE)</f>
        <v>1.5302507646042616E-3</v>
      </c>
      <c r="H651" t="s">
        <v>55</v>
      </c>
      <c r="I651">
        <f>VLOOKUP(Table4[[#This Row],[Visitor]],'NHL Model'!$A$6:$B$38,2,FALSE)</f>
        <v>-0.4031232890211825</v>
      </c>
      <c r="J651">
        <f>($B$1+Table4[[#This Row],[Home Differential]])-Table4[[#This Row],[Away Differential]]</f>
        <v>0.45455428870894921</v>
      </c>
      <c r="K651" t="str">
        <f>IF(Table4[[#This Row],[HomeIce Differential]]&gt;0,Table4[[#This Row],[Home]],Table4[[#This Row],[Visitor]])</f>
        <v>New Jersey Devils</v>
      </c>
      <c r="L6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0.67291063269306362</v>
      </c>
      <c r="M651" t="str">
        <f>IF(OR((NHL2025_26Results[[#This Row],[Winning Team]]="")),"-",IF(Table4[[#This Row],[Predicted Winner]]=NHL2025_26Results[[#This Row],[Winning Team]],"YES","NO"))</f>
        <v>-</v>
      </c>
      <c r="N651" t="str">
        <f>IF(Table4[[#This Row],[Adjusted Correct]]="-", "",IF(Table4[[#This Row],[Adjusted Correct]]="YES",(Table4[[#This Row],[Strength of Win]]-1)^2,(Table4[[#This Row],[Strength of Win]]-0)^2))</f>
        <v/>
      </c>
      <c r="P651" s="11"/>
    </row>
    <row r="652" spans="4:16" x14ac:dyDescent="0.2">
      <c r="D652" s="1">
        <v>46025</v>
      </c>
      <c r="E652" s="2">
        <v>0.79166666666666663</v>
      </c>
      <c r="F652" t="s">
        <v>30</v>
      </c>
      <c r="G652">
        <f>VLOOKUP(Table4[[#This Row],[Home]],'NHL Model'!$A$6:$B$38,2,FALSE)</f>
        <v>-0.24093199744133265</v>
      </c>
      <c r="H652" t="s">
        <v>19</v>
      </c>
      <c r="I652">
        <f>VLOOKUP(Table4[[#This Row],[Visitor]],'NHL Model'!$A$6:$B$38,2,FALSE)</f>
        <v>-0.63447859131898054</v>
      </c>
      <c r="J652">
        <f>($B$1+Table4[[#This Row],[Home Differential]])-Table4[[#This Row],[Away Differential]]</f>
        <v>0.44344734280081033</v>
      </c>
      <c r="K652" t="str">
        <f>IF(Table4[[#This Row],[HomeIce Differential]]&gt;0,Table4[[#This Row],[Home]],Table4[[#This Row],[Visitor]])</f>
        <v>New York Islanders</v>
      </c>
      <c r="L6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0.59177902208766475</v>
      </c>
      <c r="M652" t="str">
        <f>IF(OR((NHL2025_26Results[[#This Row],[Winning Team]]="")),"-",IF(Table4[[#This Row],[Predicted Winner]]=NHL2025_26Results[[#This Row],[Winning Team]],"YES","NO"))</f>
        <v>-</v>
      </c>
      <c r="N652" t="str">
        <f>IF(Table4[[#This Row],[Adjusted Correct]]="-", "",IF(Table4[[#This Row],[Adjusted Correct]]="YES",(Table4[[#This Row],[Strength of Win]]-1)^2,(Table4[[#This Row],[Strength of Win]]-0)^2))</f>
        <v/>
      </c>
      <c r="P652" s="11"/>
    </row>
    <row r="653" spans="4:16" x14ac:dyDescent="0.2">
      <c r="D653" s="1">
        <v>46025</v>
      </c>
      <c r="E653" s="2">
        <v>0.79166666666666663</v>
      </c>
      <c r="F653" t="s">
        <v>36</v>
      </c>
      <c r="G653">
        <f>VLOOKUP(Table4[[#This Row],[Home]],'NHL Model'!$A$6:$B$38,2,FALSE)</f>
        <v>-0.53137605086483863</v>
      </c>
      <c r="H653" t="s">
        <v>40</v>
      </c>
      <c r="I653">
        <f>VLOOKUP(Table4[[#This Row],[Visitor]],'NHL Model'!$A$6:$B$38,2,FALSE)</f>
        <v>-0.31324182378279158</v>
      </c>
      <c r="J653">
        <f>($B$1+Table4[[#This Row],[Home Differential]])-Table4[[#This Row],[Away Differential]]</f>
        <v>-0.16823347815888456</v>
      </c>
      <c r="K653" t="str">
        <f>IF(Table4[[#This Row],[HomeIce Differential]]&gt;0,Table4[[#This Row],[Home]],Table4[[#This Row],[Visitor]])</f>
        <v>Winnipeg Jets</v>
      </c>
      <c r="L6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0.49790461108919443</v>
      </c>
      <c r="M653" t="str">
        <f>IF(OR((NHL2025_26Results[[#This Row],[Winning Team]]="")),"-",IF(Table4[[#This Row],[Predicted Winner]]=NHL2025_26Results[[#This Row],[Winning Team]],"YES","NO"))</f>
        <v>-</v>
      </c>
      <c r="N653" t="str">
        <f>IF(Table4[[#This Row],[Adjusted Correct]]="-", "",IF(Table4[[#This Row],[Adjusted Correct]]="YES",(Table4[[#This Row],[Strength of Win]]-1)^2,(Table4[[#This Row],[Strength of Win]]-0)^2))</f>
        <v/>
      </c>
      <c r="P653" s="11"/>
    </row>
    <row r="654" spans="4:16" x14ac:dyDescent="0.2">
      <c r="D654" s="1">
        <v>46025</v>
      </c>
      <c r="E654" s="2">
        <v>0.66666666666666663</v>
      </c>
      <c r="F654" t="s">
        <v>33</v>
      </c>
      <c r="G654">
        <f>VLOOKUP(Table4[[#This Row],[Home]],'NHL Model'!$A$6:$B$38,2,FALSE)</f>
        <v>-0.45133099238224339</v>
      </c>
      <c r="H654" t="s">
        <v>37</v>
      </c>
      <c r="I654">
        <f>VLOOKUP(Table4[[#This Row],[Visitor]],'NHL Model'!$A$6:$B$38,2,FALSE)</f>
        <v>0.51050494674660429</v>
      </c>
      <c r="J654">
        <f>($B$1+Table4[[#This Row],[Home Differential]])-Table4[[#This Row],[Away Differential]]</f>
        <v>-0.91193519020568514</v>
      </c>
      <c r="K654" t="str">
        <f>IF(Table4[[#This Row],[HomeIce Differential]]&gt;0,Table4[[#This Row],[Home]],Table4[[#This Row],[Visitor]])</f>
        <v>Tampa Bay Lightning</v>
      </c>
      <c r="L6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0.64885477401525748</v>
      </c>
      <c r="M654" t="str">
        <f>IF(OR((NHL2025_26Results[[#This Row],[Winning Team]]="")),"-",IF(Table4[[#This Row],[Predicted Winner]]=NHL2025_26Results[[#This Row],[Winning Team]],"YES","NO"))</f>
        <v>-</v>
      </c>
      <c r="N654" t="str">
        <f>IF(Table4[[#This Row],[Adjusted Correct]]="-", "",IF(Table4[[#This Row],[Adjusted Correct]]="YES",(Table4[[#This Row],[Strength of Win]]-1)^2,(Table4[[#This Row],[Strength of Win]]-0)^2))</f>
        <v/>
      </c>
      <c r="P654" s="11"/>
    </row>
    <row r="655" spans="4:16" x14ac:dyDescent="0.2">
      <c r="D655" s="1">
        <v>46025</v>
      </c>
      <c r="E655" s="2">
        <v>0.66666666666666663</v>
      </c>
      <c r="F655" t="s">
        <v>35</v>
      </c>
      <c r="G655">
        <f>VLOOKUP(Table4[[#This Row],[Home]],'NHL Model'!$A$6:$B$38,2,FALSE)</f>
        <v>-1.3944783719477225</v>
      </c>
      <c r="H655" t="s">
        <v>18</v>
      </c>
      <c r="I655">
        <f>VLOOKUP(Table4[[#This Row],[Visitor]],'NHL Model'!$A$6:$B$38,2,FALSE)</f>
        <v>-0.59288962827382519</v>
      </c>
      <c r="J655">
        <f>($B$1+Table4[[#This Row],[Home Differential]])-Table4[[#This Row],[Away Differential]]</f>
        <v>-0.75168799475073489</v>
      </c>
      <c r="K655" t="str">
        <f>IF(Table4[[#This Row],[HomeIce Differential]]&gt;0,Table4[[#This Row],[Home]],Table4[[#This Row],[Visitor]])</f>
        <v>Montreal Canadiens</v>
      </c>
      <c r="L6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0.60705850133804595</v>
      </c>
      <c r="M655" t="str">
        <f>IF(OR((NHL2025_26Results[[#This Row],[Winning Team]]="")),"-",IF(Table4[[#This Row],[Predicted Winner]]=NHL2025_26Results[[#This Row],[Winning Team]],"YES","NO"))</f>
        <v>-</v>
      </c>
      <c r="N655" t="str">
        <f>IF(Table4[[#This Row],[Adjusted Correct]]="-", "",IF(Table4[[#This Row],[Adjusted Correct]]="YES",(Table4[[#This Row],[Strength of Win]]-1)^2,(Table4[[#This Row],[Strength of Win]]-0)^2))</f>
        <v/>
      </c>
      <c r="P655" s="11"/>
    </row>
    <row r="656" spans="4:16" x14ac:dyDescent="0.2">
      <c r="D656" s="1">
        <v>46025</v>
      </c>
      <c r="E656" s="2">
        <v>0.91666666666666663</v>
      </c>
      <c r="F656" t="s">
        <v>38</v>
      </c>
      <c r="G656">
        <f>VLOOKUP(Table4[[#This Row],[Home]],'NHL Model'!$A$6:$B$38,2,FALSE)</f>
        <v>-0.9476777551108041</v>
      </c>
      <c r="H656" t="s">
        <v>21</v>
      </c>
      <c r="I656">
        <f>VLOOKUP(Table4[[#This Row],[Visitor]],'NHL Model'!$A$6:$B$38,2,FALSE)</f>
        <v>-0.21976976044773161</v>
      </c>
      <c r="J656">
        <f>($B$1+Table4[[#This Row],[Home Differential]])-Table4[[#This Row],[Away Differential]]</f>
        <v>-0.67800724573991</v>
      </c>
      <c r="K656" t="str">
        <f>IF(Table4[[#This Row],[HomeIce Differential]]&gt;0,Table4[[#This Row],[Home]],Table4[[#This Row],[Visitor]])</f>
        <v>Boston Bruins</v>
      </c>
      <c r="L6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0.53999684570045359</v>
      </c>
      <c r="M656" t="str">
        <f>IF(OR((NHL2025_26Results[[#This Row],[Winning Team]]="")),"-",IF(Table4[[#This Row],[Predicted Winner]]=NHL2025_26Results[[#This Row],[Winning Team]],"YES","NO"))</f>
        <v>-</v>
      </c>
      <c r="N656" t="str">
        <f>IF(Table4[[#This Row],[Adjusted Correct]]="-", "",IF(Table4[[#This Row],[Adjusted Correct]]="YES",(Table4[[#This Row],[Strength of Win]]-1)^2,(Table4[[#This Row],[Strength of Win]]-0)^2))</f>
        <v/>
      </c>
      <c r="P656" s="11"/>
    </row>
    <row r="657" spans="4:16" x14ac:dyDescent="0.2">
      <c r="D657" s="1">
        <v>46025</v>
      </c>
      <c r="E657" s="2">
        <v>0.79166666666666663</v>
      </c>
      <c r="F657" t="s">
        <v>22</v>
      </c>
      <c r="G657">
        <f>VLOOKUP(Table4[[#This Row],[Home]],'NHL Model'!$A$6:$B$38,2,FALSE)</f>
        <v>0.4407072328537569</v>
      </c>
      <c r="H657" t="s">
        <v>10</v>
      </c>
      <c r="I657">
        <f>VLOOKUP(Table4[[#This Row],[Visitor]],'NHL Model'!$A$6:$B$38,2,FALSE)</f>
        <v>-0.17619625518431364</v>
      </c>
      <c r="J657">
        <f>($B$1+Table4[[#This Row],[Home Differential]])-Table4[[#This Row],[Away Differential]]</f>
        <v>0.66680423696123303</v>
      </c>
      <c r="K657" t="str">
        <f>IF(Table4[[#This Row],[HomeIce Differential]]&gt;0,Table4[[#This Row],[Home]],Table4[[#This Row],[Visitor]])</f>
        <v>Washington Capitals</v>
      </c>
      <c r="L6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0.64389697184243333</v>
      </c>
      <c r="M657" t="str">
        <f>IF(OR((NHL2025_26Results[[#This Row],[Winning Team]]="")),"-",IF(Table4[[#This Row],[Predicted Winner]]=NHL2025_26Results[[#This Row],[Winning Team]],"YES","NO"))</f>
        <v>-</v>
      </c>
      <c r="N657" t="str">
        <f>IF(Table4[[#This Row],[Adjusted Correct]]="-", "",IF(Table4[[#This Row],[Adjusted Correct]]="YES",(Table4[[#This Row],[Strength of Win]]-1)^2,(Table4[[#This Row],[Strength of Win]]-0)^2))</f>
        <v/>
      </c>
      <c r="P657" s="11"/>
    </row>
    <row r="658" spans="4:16" x14ac:dyDescent="0.2">
      <c r="D658" s="1">
        <v>46026</v>
      </c>
      <c r="E658" s="2">
        <v>0.625</v>
      </c>
      <c r="F658" t="s">
        <v>28</v>
      </c>
      <c r="G658">
        <f>VLOOKUP(Table4[[#This Row],[Home]],'NHL Model'!$A$6:$B$38,2,FALSE)</f>
        <v>-0.59498940435054026</v>
      </c>
      <c r="H658" t="s">
        <v>14</v>
      </c>
      <c r="I658">
        <f>VLOOKUP(Table4[[#This Row],[Visitor]],'NHL Model'!$A$6:$B$38,2,FALSE)</f>
        <v>-0.14226422156549004</v>
      </c>
      <c r="J658">
        <f>($B$1+Table4[[#This Row],[Home Differential]])-Table4[[#This Row],[Away Differential]]</f>
        <v>-0.40282443386188782</v>
      </c>
      <c r="K658" t="str">
        <f>IF(Table4[[#This Row],[HomeIce Differential]]&gt;0,Table4[[#This Row],[Home]],Table4[[#This Row],[Visitor]])</f>
        <v>Pittsburgh Penguins</v>
      </c>
      <c r="L6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0.54632243115593127</v>
      </c>
      <c r="M658" t="str">
        <f>IF(OR((NHL2025_26Results[[#This Row],[Winning Team]]="")),"-",IF(Table4[[#This Row],[Predicted Winner]]=NHL2025_26Results[[#This Row],[Winning Team]],"YES","NO"))</f>
        <v>-</v>
      </c>
      <c r="N658" t="str">
        <f>IF(Table4[[#This Row],[Adjusted Correct]]="-", "",IF(Table4[[#This Row],[Adjusted Correct]]="YES",(Table4[[#This Row],[Strength of Win]]-1)^2,(Table4[[#This Row],[Strength of Win]]-0)^2))</f>
        <v/>
      </c>
      <c r="P658" s="11"/>
    </row>
    <row r="659" spans="4:16" x14ac:dyDescent="0.2">
      <c r="D659" s="1">
        <v>46026</v>
      </c>
      <c r="E659" s="2">
        <v>0.79166666666666663</v>
      </c>
      <c r="F659" t="s">
        <v>10</v>
      </c>
      <c r="G659">
        <f>VLOOKUP(Table4[[#This Row],[Home]],'NHL Model'!$A$6:$B$38,2,FALSE)</f>
        <v>-0.17619625518431364</v>
      </c>
      <c r="H659" t="s">
        <v>20</v>
      </c>
      <c r="I659">
        <f>VLOOKUP(Table4[[#This Row],[Visitor]],'NHL Model'!$A$6:$B$38,2,FALSE)</f>
        <v>-0.24444083032063643</v>
      </c>
      <c r="J659">
        <f>($B$1+Table4[[#This Row],[Home Differential]])-Table4[[#This Row],[Away Differential]]</f>
        <v>0.11814532405948525</v>
      </c>
      <c r="K659" t="str">
        <f>IF(Table4[[#This Row],[HomeIce Differential]]&gt;0,Table4[[#This Row],[Home]],Table4[[#This Row],[Visitor]])</f>
        <v>Chicago Blackhawks</v>
      </c>
      <c r="L6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0.55379521028447853</v>
      </c>
      <c r="M659" t="str">
        <f>IF(OR((NHL2025_26Results[[#This Row],[Winning Team]]="")),"-",IF(Table4[[#This Row],[Predicted Winner]]=NHL2025_26Results[[#This Row],[Winning Team]],"YES","NO"))</f>
        <v>-</v>
      </c>
      <c r="N659" t="str">
        <f>IF(Table4[[#This Row],[Adjusted Correct]]="-", "",IF(Table4[[#This Row],[Adjusted Correct]]="YES",(Table4[[#This Row],[Strength of Win]]-1)^2,(Table4[[#This Row],[Strength of Win]]-0)^2))</f>
        <v/>
      </c>
      <c r="P659" s="11"/>
    </row>
    <row r="660" spans="4:16" x14ac:dyDescent="0.2">
      <c r="D660" s="1">
        <v>46026</v>
      </c>
      <c r="E660" s="2">
        <v>0.58333333333333337</v>
      </c>
      <c r="F660" t="s">
        <v>39</v>
      </c>
      <c r="G660">
        <f>VLOOKUP(Table4[[#This Row],[Home]],'NHL Model'!$A$6:$B$38,2,FALSE)</f>
        <v>0.41344250185511977</v>
      </c>
      <c r="H660" t="s">
        <v>18</v>
      </c>
      <c r="I660">
        <f>VLOOKUP(Table4[[#This Row],[Visitor]],'NHL Model'!$A$6:$B$38,2,FALSE)</f>
        <v>-0.59288962827382519</v>
      </c>
      <c r="J660">
        <f>($B$1+Table4[[#This Row],[Home Differential]])-Table4[[#This Row],[Away Differential]]</f>
        <v>1.0562328790521074</v>
      </c>
      <c r="K660" t="str">
        <f>IF(Table4[[#This Row],[HomeIce Differential]]&gt;0,Table4[[#This Row],[Home]],Table4[[#This Row],[Visitor]])</f>
        <v>Dallas Stars</v>
      </c>
      <c r="L6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0.63669976147125429</v>
      </c>
      <c r="M660" t="str">
        <f>IF(OR((NHL2025_26Results[[#This Row],[Winning Team]]="")),"-",IF(Table4[[#This Row],[Predicted Winner]]=NHL2025_26Results[[#This Row],[Winning Team]],"YES","NO"))</f>
        <v>-</v>
      </c>
      <c r="N660" t="str">
        <f>IF(Table4[[#This Row],[Adjusted Correct]]="-", "",IF(Table4[[#This Row],[Adjusted Correct]]="YES",(Table4[[#This Row],[Strength of Win]]-1)^2,(Table4[[#This Row],[Strength of Win]]-0)^2))</f>
        <v/>
      </c>
      <c r="P660" s="11"/>
    </row>
    <row r="661" spans="4:16" x14ac:dyDescent="0.2">
      <c r="D661" s="1">
        <v>46026</v>
      </c>
      <c r="E661" s="2">
        <v>0.70833333333333337</v>
      </c>
      <c r="F661" t="s">
        <v>11</v>
      </c>
      <c r="G661">
        <f>VLOOKUP(Table4[[#This Row],[Home]],'NHL Model'!$A$6:$B$38,2,FALSE)</f>
        <v>-0.39711829106410657</v>
      </c>
      <c r="H661" t="s">
        <v>12</v>
      </c>
      <c r="I661">
        <f>VLOOKUP(Table4[[#This Row],[Visitor]],'NHL Model'!$A$6:$B$38,2,FALSE)</f>
        <v>1.6319036584269762</v>
      </c>
      <c r="J661">
        <f>($B$1+Table4[[#This Row],[Home Differential]])-Table4[[#This Row],[Away Differential]]</f>
        <v>-1.9791212005679202</v>
      </c>
      <c r="K661" t="str">
        <f>IF(Table4[[#This Row],[HomeIce Differential]]&gt;0,Table4[[#This Row],[Home]],Table4[[#This Row],[Visitor]])</f>
        <v>Colorado Avalanche</v>
      </c>
      <c r="L6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0.74961012842901686</v>
      </c>
      <c r="M661" t="str">
        <f>IF(OR((NHL2025_26Results[[#This Row],[Winning Team]]="")),"-",IF(Table4[[#This Row],[Predicted Winner]]=NHL2025_26Results[[#This Row],[Winning Team]],"YES","NO"))</f>
        <v>-</v>
      </c>
      <c r="N661" t="str">
        <f>IF(Table4[[#This Row],[Adjusted Correct]]="-", "",IF(Table4[[#This Row],[Adjusted Correct]]="YES",(Table4[[#This Row],[Strength of Win]]-1)^2,(Table4[[#This Row],[Strength of Win]]-0)^2))</f>
        <v/>
      </c>
      <c r="P661" s="11"/>
    </row>
    <row r="662" spans="4:16" x14ac:dyDescent="0.2">
      <c r="D662" s="1">
        <v>46026</v>
      </c>
      <c r="E662" s="2">
        <v>0.79166666666666663</v>
      </c>
      <c r="F662" t="s">
        <v>24</v>
      </c>
      <c r="G662">
        <f>VLOOKUP(Table4[[#This Row],[Home]],'NHL Model'!$A$6:$B$38,2,FALSE)</f>
        <v>1.5302507646042616E-3</v>
      </c>
      <c r="H662" t="s">
        <v>25</v>
      </c>
      <c r="I662">
        <f>VLOOKUP(Table4[[#This Row],[Visitor]],'NHL Model'!$A$6:$B$38,2,FALSE)</f>
        <v>0.42567513732855267</v>
      </c>
      <c r="J662">
        <f>($B$1+Table4[[#This Row],[Home Differential]])-Table4[[#This Row],[Away Differential]]</f>
        <v>-0.37424413764078596</v>
      </c>
      <c r="K662" t="str">
        <f>IF(Table4[[#This Row],[HomeIce Differential]]&gt;0,Table4[[#This Row],[Home]],Table4[[#This Row],[Visitor]])</f>
        <v>Carolina Hurricanes</v>
      </c>
      <c r="L6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0.4944027518709323</v>
      </c>
      <c r="M662" t="str">
        <f>IF(OR((NHL2025_26Results[[#This Row],[Winning Team]]="")),"-",IF(Table4[[#This Row],[Predicted Winner]]=NHL2025_26Results[[#This Row],[Winning Team]],"YES","NO"))</f>
        <v>-</v>
      </c>
      <c r="N662" t="str">
        <f>IF(Table4[[#This Row],[Adjusted Correct]]="-", "",IF(Table4[[#This Row],[Adjusted Correct]]="YES",(Table4[[#This Row],[Strength of Win]]-1)^2,(Table4[[#This Row],[Strength of Win]]-0)^2))</f>
        <v/>
      </c>
      <c r="P662" s="11"/>
    </row>
    <row r="663" spans="4:16" x14ac:dyDescent="0.2">
      <c r="D663" s="1">
        <v>46027</v>
      </c>
      <c r="E663" s="2">
        <v>0.89583333333333337</v>
      </c>
      <c r="F663" t="s">
        <v>16</v>
      </c>
      <c r="G663">
        <f>VLOOKUP(Table4[[#This Row],[Home]],'NHL Model'!$A$6:$B$38,2,FALSE)</f>
        <v>-1.0657812790446208</v>
      </c>
      <c r="H663" t="s">
        <v>32</v>
      </c>
      <c r="I663">
        <f>VLOOKUP(Table4[[#This Row],[Visitor]],'NHL Model'!$A$6:$B$38,2,FALSE)</f>
        <v>-0.64937723527808999</v>
      </c>
      <c r="J663">
        <f>($B$1+Table4[[#This Row],[Home Differential]])-Table4[[#This Row],[Away Differential]]</f>
        <v>-0.36650329484336841</v>
      </c>
      <c r="K663" t="str">
        <f>IF(Table4[[#This Row],[HomeIce Differential]]&gt;0,Table4[[#This Row],[Home]],Table4[[#This Row],[Visitor]])</f>
        <v>Seattle Kraken</v>
      </c>
      <c r="L6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0.50279466887553537</v>
      </c>
      <c r="M663" t="str">
        <f>IF(OR((NHL2025_26Results[[#This Row],[Winning Team]]="")),"-",IF(Table4[[#This Row],[Predicted Winner]]=NHL2025_26Results[[#This Row],[Winning Team]],"YES","NO"))</f>
        <v>-</v>
      </c>
      <c r="N663" t="str">
        <f>IF(Table4[[#This Row],[Adjusted Correct]]="-", "",IF(Table4[[#This Row],[Adjusted Correct]]="YES",(Table4[[#This Row],[Strength of Win]]-1)^2,(Table4[[#This Row],[Strength of Win]]-0)^2))</f>
        <v/>
      </c>
      <c r="P663" s="11"/>
    </row>
    <row r="664" spans="4:16" x14ac:dyDescent="0.2">
      <c r="D664" s="1">
        <v>46027</v>
      </c>
      <c r="E664" s="2">
        <v>0.9375</v>
      </c>
      <c r="F664" t="s">
        <v>13</v>
      </c>
      <c r="G664">
        <f>VLOOKUP(Table4[[#This Row],[Home]],'NHL Model'!$A$6:$B$38,2,FALSE)</f>
        <v>-0.33828359867721369</v>
      </c>
      <c r="H664" t="s">
        <v>34</v>
      </c>
      <c r="I664">
        <f>VLOOKUP(Table4[[#This Row],[Visitor]],'NHL Model'!$A$6:$B$38,2,FALSE)</f>
        <v>-5.5124787449478845E-2</v>
      </c>
      <c r="J664">
        <f>($B$1+Table4[[#This Row],[Home Differential]])-Table4[[#This Row],[Away Differential]]</f>
        <v>-0.23325806230457236</v>
      </c>
      <c r="K664" t="str">
        <f>IF(Table4[[#This Row],[HomeIce Differential]]&gt;0,Table4[[#This Row],[Home]],Table4[[#This Row],[Visitor]])</f>
        <v>Minnesota Wild</v>
      </c>
      <c r="L6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0.52974888423142408</v>
      </c>
      <c r="M664" t="str">
        <f>IF(OR((NHL2025_26Results[[#This Row],[Winning Team]]="")),"-",IF(Table4[[#This Row],[Predicted Winner]]=NHL2025_26Results[[#This Row],[Winning Team]],"YES","NO"))</f>
        <v>-</v>
      </c>
      <c r="N664" t="str">
        <f>IF(Table4[[#This Row],[Adjusted Correct]]="-", "",IF(Table4[[#This Row],[Adjusted Correct]]="YES",(Table4[[#This Row],[Strength of Win]]-1)^2,(Table4[[#This Row],[Strength of Win]]-0)^2))</f>
        <v/>
      </c>
      <c r="P664" s="11"/>
    </row>
    <row r="665" spans="4:16" x14ac:dyDescent="0.2">
      <c r="D665" s="1">
        <v>46027</v>
      </c>
      <c r="E665" s="2">
        <v>0.79166666666666663</v>
      </c>
      <c r="F665" t="s">
        <v>15</v>
      </c>
      <c r="G665">
        <f>VLOOKUP(Table4[[#This Row],[Home]],'NHL Model'!$A$6:$B$38,2,FALSE)</f>
        <v>-0.29003398448394263</v>
      </c>
      <c r="H665" t="s">
        <v>55</v>
      </c>
      <c r="I665">
        <f>VLOOKUP(Table4[[#This Row],[Visitor]],'NHL Model'!$A$6:$B$38,2,FALSE)</f>
        <v>-0.4031232890211825</v>
      </c>
      <c r="J665">
        <f>($B$1+Table4[[#This Row],[Home Differential]])-Table4[[#This Row],[Away Differential]]</f>
        <v>0.16299005346040232</v>
      </c>
      <c r="K665" t="str">
        <f>IF(Table4[[#This Row],[HomeIce Differential]]&gt;0,Table4[[#This Row],[Home]],Table4[[#This Row],[Visitor]])</f>
        <v>New York Rangers</v>
      </c>
      <c r="L6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0.55903149430300392</v>
      </c>
      <c r="M665" t="str">
        <f>IF(OR((NHL2025_26Results[[#This Row],[Winning Team]]="")),"-",IF(Table4[[#This Row],[Predicted Winner]]=NHL2025_26Results[[#This Row],[Winning Team]],"YES","NO"))</f>
        <v>-</v>
      </c>
      <c r="N665" t="str">
        <f>IF(Table4[[#This Row],[Adjusted Correct]]="-", "",IF(Table4[[#This Row],[Adjusted Correct]]="YES",(Table4[[#This Row],[Strength of Win]]-1)^2,(Table4[[#This Row],[Strength of Win]]-0)^2))</f>
        <v/>
      </c>
      <c r="P665" s="11"/>
    </row>
    <row r="666" spans="4:16" x14ac:dyDescent="0.2">
      <c r="D666" s="1">
        <v>46027</v>
      </c>
      <c r="E666" s="2">
        <v>0.8125</v>
      </c>
      <c r="F666" t="s">
        <v>36</v>
      </c>
      <c r="G666">
        <f>VLOOKUP(Table4[[#This Row],[Home]],'NHL Model'!$A$6:$B$38,2,FALSE)</f>
        <v>-0.53137605086483863</v>
      </c>
      <c r="H666" t="s">
        <v>26</v>
      </c>
      <c r="I666">
        <f>VLOOKUP(Table4[[#This Row],[Visitor]],'NHL Model'!$A$6:$B$38,2,FALSE)</f>
        <v>-0.87533956503230947</v>
      </c>
      <c r="J666">
        <f>($B$1+Table4[[#This Row],[Home Differential]])-Table4[[#This Row],[Away Differential]]</f>
        <v>0.39386426309063333</v>
      </c>
      <c r="K666" t="str">
        <f>IF(Table4[[#This Row],[HomeIce Differential]]&gt;0,Table4[[#This Row],[Home]],Table4[[#This Row],[Visitor]])</f>
        <v>Ottawa Senators</v>
      </c>
      <c r="L6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0.5884849449418138</v>
      </c>
      <c r="M666" t="str">
        <f>IF(OR((NHL2025_26Results[[#This Row],[Winning Team]]="")),"-",IF(Table4[[#This Row],[Predicted Winner]]=NHL2025_26Results[[#This Row],[Winning Team]],"YES","NO"))</f>
        <v>-</v>
      </c>
      <c r="N666" t="str">
        <f>IF(Table4[[#This Row],[Adjusted Correct]]="-", "",IF(Table4[[#This Row],[Adjusted Correct]]="YES",(Table4[[#This Row],[Strength of Win]]-1)^2,(Table4[[#This Row],[Strength of Win]]-0)^2))</f>
        <v/>
      </c>
      <c r="P666" s="11"/>
    </row>
    <row r="667" spans="4:16" x14ac:dyDescent="0.2">
      <c r="D667" s="1">
        <v>46027</v>
      </c>
      <c r="E667" s="2">
        <v>0.79166666666666663</v>
      </c>
      <c r="F667" t="s">
        <v>22</v>
      </c>
      <c r="G667">
        <f>VLOOKUP(Table4[[#This Row],[Home]],'NHL Model'!$A$6:$B$38,2,FALSE)</f>
        <v>0.4407072328537569</v>
      </c>
      <c r="H667" t="s">
        <v>31</v>
      </c>
      <c r="I667">
        <f>VLOOKUP(Table4[[#This Row],[Visitor]],'NHL Model'!$A$6:$B$38,2,FALSE)</f>
        <v>0.17870302183926629</v>
      </c>
      <c r="J667">
        <f>($B$1+Table4[[#This Row],[Home Differential]])-Table4[[#This Row],[Away Differential]]</f>
        <v>0.3119049599376531</v>
      </c>
      <c r="K667" t="str">
        <f>IF(Table4[[#This Row],[HomeIce Differential]]&gt;0,Table4[[#This Row],[Home]],Table4[[#This Row],[Visitor]])</f>
        <v>Washington Capitals</v>
      </c>
      <c r="L6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0.58187405291592698</v>
      </c>
      <c r="M667" t="str">
        <f>IF(OR((NHL2025_26Results[[#This Row],[Winning Team]]="")),"-",IF(Table4[[#This Row],[Predicted Winner]]=NHL2025_26Results[[#This Row],[Winning Team]],"YES","NO"))</f>
        <v>-</v>
      </c>
      <c r="N667" t="str">
        <f>IF(Table4[[#This Row],[Adjusted Correct]]="-", "",IF(Table4[[#This Row],[Adjusted Correct]]="YES",(Table4[[#This Row],[Strength of Win]]-1)^2,(Table4[[#This Row],[Strength of Win]]-0)^2))</f>
        <v/>
      </c>
      <c r="P667" s="11"/>
    </row>
    <row r="668" spans="4:16" x14ac:dyDescent="0.2">
      <c r="D668" s="1">
        <v>46028</v>
      </c>
      <c r="E668" s="2">
        <v>0.79166666666666663</v>
      </c>
      <c r="F668" t="s">
        <v>23</v>
      </c>
      <c r="G668">
        <f>VLOOKUP(Table4[[#This Row],[Home]],'NHL Model'!$A$6:$B$38,2,FALSE)</f>
        <v>-0.4761104357405897</v>
      </c>
      <c r="H668" t="s">
        <v>38</v>
      </c>
      <c r="I668">
        <f>VLOOKUP(Table4[[#This Row],[Visitor]],'NHL Model'!$A$6:$B$38,2,FALSE)</f>
        <v>-0.9476777551108041</v>
      </c>
      <c r="J668">
        <f>($B$1+Table4[[#This Row],[Home Differential]])-Table4[[#This Row],[Away Differential]]</f>
        <v>0.52146806829337689</v>
      </c>
      <c r="K668" t="str">
        <f>IF(Table4[[#This Row],[HomeIce Differential]]&gt;0,Table4[[#This Row],[Home]],Table4[[#This Row],[Visitor]])</f>
        <v>Buffalo Sabres</v>
      </c>
      <c r="L6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0.60744779774608748</v>
      </c>
      <c r="M668" t="str">
        <f>IF(OR((NHL2025_26Results[[#This Row],[Winning Team]]="")),"-",IF(Table4[[#This Row],[Predicted Winner]]=NHL2025_26Results[[#This Row],[Winning Team]],"YES","NO"))</f>
        <v>-</v>
      </c>
      <c r="N668" t="str">
        <f>IF(Table4[[#This Row],[Adjusted Correct]]="-", "",IF(Table4[[#This Row],[Adjusted Correct]]="YES",(Table4[[#This Row],[Strength of Win]]-1)^2,(Table4[[#This Row],[Strength of Win]]-0)^2))</f>
        <v/>
      </c>
      <c r="P668" s="11"/>
    </row>
    <row r="669" spans="4:16" x14ac:dyDescent="0.2">
      <c r="D669" s="1">
        <v>46028</v>
      </c>
      <c r="E669" s="2">
        <v>0.79166666666666663</v>
      </c>
      <c r="F669" t="s">
        <v>25</v>
      </c>
      <c r="G669">
        <f>VLOOKUP(Table4[[#This Row],[Home]],'NHL Model'!$A$6:$B$38,2,FALSE)</f>
        <v>0.42567513732855267</v>
      </c>
      <c r="H669" t="s">
        <v>39</v>
      </c>
      <c r="I669">
        <f>VLOOKUP(Table4[[#This Row],[Visitor]],'NHL Model'!$A$6:$B$38,2,FALSE)</f>
        <v>0.41344250185511977</v>
      </c>
      <c r="J669">
        <f>($B$1+Table4[[#This Row],[Home Differential]])-Table4[[#This Row],[Away Differential]]</f>
        <v>6.2133384396595381E-2</v>
      </c>
      <c r="K669" t="str">
        <f>IF(Table4[[#This Row],[HomeIce Differential]]&gt;0,Table4[[#This Row],[Home]],Table4[[#This Row],[Visitor]])</f>
        <v>Carolina Hurricanes</v>
      </c>
      <c r="L6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0.49782102738745637</v>
      </c>
      <c r="M669" t="str">
        <f>IF(OR((NHL2025_26Results[[#This Row],[Winning Team]]="")),"-",IF(Table4[[#This Row],[Predicted Winner]]=NHL2025_26Results[[#This Row],[Winning Team]],"YES","NO"))</f>
        <v>-</v>
      </c>
      <c r="N669" t="str">
        <f>IF(Table4[[#This Row],[Adjusted Correct]]="-", "",IF(Table4[[#This Row],[Adjusted Correct]]="YES",(Table4[[#This Row],[Strength of Win]]-1)^2,(Table4[[#This Row],[Strength of Win]]-0)^2))</f>
        <v/>
      </c>
      <c r="P669" s="11"/>
    </row>
    <row r="670" spans="4:16" x14ac:dyDescent="0.2">
      <c r="D670" s="1">
        <v>46028</v>
      </c>
      <c r="E670" s="2">
        <v>0.875</v>
      </c>
      <c r="F670" t="s">
        <v>17</v>
      </c>
      <c r="G670">
        <f>VLOOKUP(Table4[[#This Row],[Home]],'NHL Model'!$A$6:$B$38,2,FALSE)</f>
        <v>-0.81774666423752174</v>
      </c>
      <c r="H670" t="s">
        <v>29</v>
      </c>
      <c r="I670">
        <f>VLOOKUP(Table4[[#This Row],[Visitor]],'NHL Model'!$A$6:$B$38,2,FALSE)</f>
        <v>-1.384917283810061</v>
      </c>
      <c r="J670">
        <f>($B$1+Table4[[#This Row],[Home Differential]])-Table4[[#This Row],[Away Differential]]</f>
        <v>0.61707136849570166</v>
      </c>
      <c r="K670" t="str">
        <f>IF(Table4[[#This Row],[HomeIce Differential]]&gt;0,Table4[[#This Row],[Home]],Table4[[#This Row],[Visitor]])</f>
        <v>Edmonton Oilers</v>
      </c>
      <c r="L6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0.61909814145523023</v>
      </c>
      <c r="M670" t="str">
        <f>IF(OR((NHL2025_26Results[[#This Row],[Winning Team]]="")),"-",IF(Table4[[#This Row],[Predicted Winner]]=NHL2025_26Results[[#This Row],[Winning Team]],"YES","NO"))</f>
        <v>-</v>
      </c>
      <c r="N670" t="str">
        <f>IF(Table4[[#This Row],[Adjusted Correct]]="-", "",IF(Table4[[#This Row],[Adjusted Correct]]="YES",(Table4[[#This Row],[Strength of Win]]-1)^2,(Table4[[#This Row],[Strength of Win]]-0)^2))</f>
        <v/>
      </c>
      <c r="P670" s="11"/>
    </row>
    <row r="671" spans="4:16" x14ac:dyDescent="0.2">
      <c r="D671" s="1">
        <v>46028</v>
      </c>
      <c r="E671" s="2">
        <v>0.8125</v>
      </c>
      <c r="F671" t="s">
        <v>30</v>
      </c>
      <c r="G671">
        <f>VLOOKUP(Table4[[#This Row],[Home]],'NHL Model'!$A$6:$B$38,2,FALSE)</f>
        <v>-0.24093199744133265</v>
      </c>
      <c r="H671" t="s">
        <v>24</v>
      </c>
      <c r="I671">
        <f>VLOOKUP(Table4[[#This Row],[Visitor]],'NHL Model'!$A$6:$B$38,2,FALSE)</f>
        <v>1.5302507646042616E-3</v>
      </c>
      <c r="J671">
        <f>($B$1+Table4[[#This Row],[Home Differential]])-Table4[[#This Row],[Away Differential]]</f>
        <v>-0.19256149928277444</v>
      </c>
      <c r="K671" t="str">
        <f>IF(Table4[[#This Row],[HomeIce Differential]]&gt;0,Table4[[#This Row],[Home]],Table4[[#This Row],[Visitor]])</f>
        <v>New Jersey Devils</v>
      </c>
      <c r="L6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0.50325362781538752</v>
      </c>
      <c r="M671" t="str">
        <f>IF(OR((NHL2025_26Results[[#This Row],[Winning Team]]="")),"-",IF(Table4[[#This Row],[Predicted Winner]]=NHL2025_26Results[[#This Row],[Winning Team]],"YES","NO"))</f>
        <v>-</v>
      </c>
      <c r="N671" t="str">
        <f>IF(Table4[[#This Row],[Adjusted Correct]]="-", "",IF(Table4[[#This Row],[Adjusted Correct]]="YES",(Table4[[#This Row],[Strength of Win]]-1)^2,(Table4[[#This Row],[Strength of Win]]-0)^2))</f>
        <v/>
      </c>
      <c r="P671" s="11"/>
    </row>
    <row r="672" spans="4:16" x14ac:dyDescent="0.2">
      <c r="D672" s="1">
        <v>46028</v>
      </c>
      <c r="E672" s="2">
        <v>0.79166666666666663</v>
      </c>
      <c r="F672" t="s">
        <v>27</v>
      </c>
      <c r="G672">
        <f>VLOOKUP(Table4[[#This Row],[Home]],'NHL Model'!$A$6:$B$38,2,FALSE)</f>
        <v>-0.38023958350631604</v>
      </c>
      <c r="H672" t="s">
        <v>31</v>
      </c>
      <c r="I672">
        <f>VLOOKUP(Table4[[#This Row],[Visitor]],'NHL Model'!$A$6:$B$38,2,FALSE)</f>
        <v>0.17870302183926629</v>
      </c>
      <c r="J672">
        <f>($B$1+Table4[[#This Row],[Home Differential]])-Table4[[#This Row],[Away Differential]]</f>
        <v>-0.50904185642241984</v>
      </c>
      <c r="K672" t="str">
        <f>IF(Table4[[#This Row],[HomeIce Differential]]&gt;0,Table4[[#This Row],[Home]],Table4[[#This Row],[Visitor]])</f>
        <v>Anaheim Ducks</v>
      </c>
      <c r="L6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0.5261048163255807</v>
      </c>
      <c r="M672" t="str">
        <f>IF(OR((NHL2025_26Results[[#This Row],[Winning Team]]="")),"-",IF(Table4[[#This Row],[Predicted Winner]]=NHL2025_26Results[[#This Row],[Winning Team]],"YES","NO"))</f>
        <v>-</v>
      </c>
      <c r="N672" t="str">
        <f>IF(Table4[[#This Row],[Adjusted Correct]]="-", "",IF(Table4[[#This Row],[Adjusted Correct]]="YES",(Table4[[#This Row],[Strength of Win]]-1)^2,(Table4[[#This Row],[Strength of Win]]-0)^2))</f>
        <v/>
      </c>
      <c r="P672" s="11"/>
    </row>
    <row r="673" spans="4:16" x14ac:dyDescent="0.2">
      <c r="D673" s="1">
        <v>46028</v>
      </c>
      <c r="E673" s="2">
        <v>0.91666666666666663</v>
      </c>
      <c r="F673" t="s">
        <v>32</v>
      </c>
      <c r="G673">
        <f>VLOOKUP(Table4[[#This Row],[Home]],'NHL Model'!$A$6:$B$38,2,FALSE)</f>
        <v>-0.64937723527808999</v>
      </c>
      <c r="H673" t="s">
        <v>21</v>
      </c>
      <c r="I673">
        <f>VLOOKUP(Table4[[#This Row],[Visitor]],'NHL Model'!$A$6:$B$38,2,FALSE)</f>
        <v>-0.21976976044773161</v>
      </c>
      <c r="J673">
        <f>($B$1+Table4[[#This Row],[Home Differential]])-Table4[[#This Row],[Away Differential]]</f>
        <v>-0.37970672590719595</v>
      </c>
      <c r="K673" t="str">
        <f>IF(Table4[[#This Row],[HomeIce Differential]]&gt;0,Table4[[#This Row],[Home]],Table4[[#This Row],[Visitor]])</f>
        <v>Boston Bruins</v>
      </c>
      <c r="L6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0.50516585740852926</v>
      </c>
      <c r="M673" t="str">
        <f>IF(OR((NHL2025_26Results[[#This Row],[Winning Team]]="")),"-",IF(Table4[[#This Row],[Predicted Winner]]=NHL2025_26Results[[#This Row],[Winning Team]],"YES","NO"))</f>
        <v>-</v>
      </c>
      <c r="N673" t="str">
        <f>IF(Table4[[#This Row],[Adjusted Correct]]="-", "",IF(Table4[[#This Row],[Adjusted Correct]]="YES",(Table4[[#This Row],[Strength of Win]]-1)^2,(Table4[[#This Row],[Strength of Win]]-0)^2))</f>
        <v/>
      </c>
      <c r="P673" s="11"/>
    </row>
    <row r="674" spans="4:16" x14ac:dyDescent="0.2">
      <c r="D674" s="1">
        <v>46028</v>
      </c>
      <c r="E674" s="2">
        <v>0.91666666666666663</v>
      </c>
      <c r="F674" t="s">
        <v>33</v>
      </c>
      <c r="G674">
        <f>VLOOKUP(Table4[[#This Row],[Home]],'NHL Model'!$A$6:$B$38,2,FALSE)</f>
        <v>-0.45133099238224339</v>
      </c>
      <c r="H674" t="s">
        <v>28</v>
      </c>
      <c r="I674">
        <f>VLOOKUP(Table4[[#This Row],[Visitor]],'NHL Model'!$A$6:$B$38,2,FALSE)</f>
        <v>-0.59498940435054026</v>
      </c>
      <c r="J674">
        <f>($B$1+Table4[[#This Row],[Home Differential]])-Table4[[#This Row],[Away Differential]]</f>
        <v>0.19355916089145936</v>
      </c>
      <c r="K674" t="str">
        <f>IF(Table4[[#This Row],[HomeIce Differential]]&gt;0,Table4[[#This Row],[Home]],Table4[[#This Row],[Visitor]])</f>
        <v>San Jose Sharks</v>
      </c>
      <c r="L6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0.56915959321684639</v>
      </c>
      <c r="M674" t="str">
        <f>IF(OR((NHL2025_26Results[[#This Row],[Winning Team]]="")),"-",IF(Table4[[#This Row],[Predicted Winner]]=NHL2025_26Results[[#This Row],[Winning Team]],"YES","NO"))</f>
        <v>-</v>
      </c>
      <c r="N674" t="str">
        <f>IF(Table4[[#This Row],[Adjusted Correct]]="-", "",IF(Table4[[#This Row],[Adjusted Correct]]="YES",(Table4[[#This Row],[Strength of Win]]-1)^2,(Table4[[#This Row],[Strength of Win]]-0)^2))</f>
        <v/>
      </c>
      <c r="P674" s="11"/>
    </row>
    <row r="675" spans="4:16" x14ac:dyDescent="0.2">
      <c r="D675" s="1">
        <v>46028</v>
      </c>
      <c r="E675" s="2">
        <v>0.79166666666666663</v>
      </c>
      <c r="F675" t="s">
        <v>37</v>
      </c>
      <c r="G675">
        <f>VLOOKUP(Table4[[#This Row],[Home]],'NHL Model'!$A$6:$B$38,2,FALSE)</f>
        <v>0.51050494674660429</v>
      </c>
      <c r="H675" t="s">
        <v>12</v>
      </c>
      <c r="I675">
        <f>VLOOKUP(Table4[[#This Row],[Visitor]],'NHL Model'!$A$6:$B$38,2,FALSE)</f>
        <v>1.6319036584269762</v>
      </c>
      <c r="J675">
        <f>($B$1+Table4[[#This Row],[Home Differential]])-Table4[[#This Row],[Away Differential]]</f>
        <v>-1.0714979627572094</v>
      </c>
      <c r="K675" t="str">
        <f>IF(Table4[[#This Row],[HomeIce Differential]]&gt;0,Table4[[#This Row],[Home]],Table4[[#This Row],[Visitor]])</f>
        <v>Colorado Avalanche</v>
      </c>
      <c r="L6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0.62511320133316162</v>
      </c>
      <c r="M675" t="str">
        <f>IF(OR((NHL2025_26Results[[#This Row],[Winning Team]]="")),"-",IF(Table4[[#This Row],[Predicted Winner]]=NHL2025_26Results[[#This Row],[Winning Team]],"YES","NO"))</f>
        <v>-</v>
      </c>
      <c r="N675" t="str">
        <f>IF(Table4[[#This Row],[Adjusted Correct]]="-", "",IF(Table4[[#This Row],[Adjusted Correct]]="YES",(Table4[[#This Row],[Strength of Win]]-1)^2,(Table4[[#This Row],[Strength of Win]]-0)^2))</f>
        <v/>
      </c>
      <c r="P675" s="11"/>
    </row>
    <row r="676" spans="4:16" x14ac:dyDescent="0.2">
      <c r="D676" s="1">
        <v>46028</v>
      </c>
      <c r="E676" s="2">
        <v>0.8125</v>
      </c>
      <c r="F676" t="s">
        <v>19</v>
      </c>
      <c r="G676">
        <f>VLOOKUP(Table4[[#This Row],[Home]],'NHL Model'!$A$6:$B$38,2,FALSE)</f>
        <v>-0.63447859131898054</v>
      </c>
      <c r="H676" t="s">
        <v>11</v>
      </c>
      <c r="I676">
        <f>VLOOKUP(Table4[[#This Row],[Visitor]],'NHL Model'!$A$6:$B$38,2,FALSE)</f>
        <v>-0.39711829106410657</v>
      </c>
      <c r="J676">
        <f>($B$1+Table4[[#This Row],[Home Differential]])-Table4[[#This Row],[Away Differential]]</f>
        <v>-0.18745955133171155</v>
      </c>
      <c r="K676" t="str">
        <f>IF(Table4[[#This Row],[HomeIce Differential]]&gt;0,Table4[[#This Row],[Home]],Table4[[#This Row],[Visitor]])</f>
        <v>Florida Panthers</v>
      </c>
      <c r="L6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0.48188866932349261</v>
      </c>
      <c r="M676" t="str">
        <f>IF(OR((NHL2025_26Results[[#This Row],[Winning Team]]="")),"-",IF(Table4[[#This Row],[Predicted Winner]]=NHL2025_26Results[[#This Row],[Winning Team]],"YES","NO"))</f>
        <v>-</v>
      </c>
      <c r="N676" t="str">
        <f>IF(Table4[[#This Row],[Adjusted Correct]]="-", "",IF(Table4[[#This Row],[Adjusted Correct]]="YES",(Table4[[#This Row],[Strength of Win]]-1)^2,(Table4[[#This Row],[Strength of Win]]-0)^2))</f>
        <v/>
      </c>
      <c r="P676" s="11"/>
    </row>
    <row r="677" spans="4:16" x14ac:dyDescent="0.2">
      <c r="D677" s="1">
        <v>46028</v>
      </c>
      <c r="E677" s="2">
        <v>0.83333333333333337</v>
      </c>
      <c r="F677" t="s">
        <v>40</v>
      </c>
      <c r="G677">
        <f>VLOOKUP(Table4[[#This Row],[Home]],'NHL Model'!$A$6:$B$38,2,FALSE)</f>
        <v>-0.31324182378279158</v>
      </c>
      <c r="H677" t="s">
        <v>20</v>
      </c>
      <c r="I677">
        <f>VLOOKUP(Table4[[#This Row],[Visitor]],'NHL Model'!$A$6:$B$38,2,FALSE)</f>
        <v>-0.24444083032063643</v>
      </c>
      <c r="J677">
        <f>($B$1+Table4[[#This Row],[Home Differential]])-Table4[[#This Row],[Away Differential]]</f>
        <v>-1.8900244538992667E-2</v>
      </c>
      <c r="K677" t="str">
        <f>IF(Table4[[#This Row],[HomeIce Differential]]&gt;0,Table4[[#This Row],[Home]],Table4[[#This Row],[Visitor]])</f>
        <v>Vegas Golden Knights</v>
      </c>
      <c r="L6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0.45971140329328808</v>
      </c>
      <c r="M677" t="str">
        <f>IF(OR((NHL2025_26Results[[#This Row],[Winning Team]]="")),"-",IF(Table4[[#This Row],[Predicted Winner]]=NHL2025_26Results[[#This Row],[Winning Team]],"YES","NO"))</f>
        <v>-</v>
      </c>
      <c r="N677" t="str">
        <f>IF(Table4[[#This Row],[Adjusted Correct]]="-", "",IF(Table4[[#This Row],[Adjusted Correct]]="YES",(Table4[[#This Row],[Strength of Win]]-1)^2,(Table4[[#This Row],[Strength of Win]]-0)^2))</f>
        <v/>
      </c>
      <c r="P677" s="11"/>
    </row>
    <row r="678" spans="4:16" x14ac:dyDescent="0.2">
      <c r="D678" s="1">
        <v>46029</v>
      </c>
      <c r="E678" s="2">
        <v>0.89583333333333337</v>
      </c>
      <c r="F678" t="s">
        <v>10</v>
      </c>
      <c r="G678">
        <f>VLOOKUP(Table4[[#This Row],[Home]],'NHL Model'!$A$6:$B$38,2,FALSE)</f>
        <v>-0.17619625518431364</v>
      </c>
      <c r="H678" t="s">
        <v>35</v>
      </c>
      <c r="I678">
        <f>VLOOKUP(Table4[[#This Row],[Visitor]],'NHL Model'!$A$6:$B$38,2,FALSE)</f>
        <v>-1.3944783719477225</v>
      </c>
      <c r="J678">
        <f>($B$1+Table4[[#This Row],[Home Differential]])-Table4[[#This Row],[Away Differential]]</f>
        <v>1.2681828656865712</v>
      </c>
      <c r="K678" t="str">
        <f>IF(Table4[[#This Row],[HomeIce Differential]]&gt;0,Table4[[#This Row],[Home]],Table4[[#This Row],[Visitor]])</f>
        <v>Chicago Blackhawks</v>
      </c>
      <c r="L6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0.6880790666121519</v>
      </c>
      <c r="M678" t="str">
        <f>IF(OR((NHL2025_26Results[[#This Row],[Winning Team]]="")),"-",IF(Table4[[#This Row],[Predicted Winner]]=NHL2025_26Results[[#This Row],[Winning Team]],"YES","NO"))</f>
        <v>-</v>
      </c>
      <c r="N678" t="str">
        <f>IF(Table4[[#This Row],[Adjusted Correct]]="-", "",IF(Table4[[#This Row],[Adjusted Correct]]="YES",(Table4[[#This Row],[Strength of Win]]-1)^2,(Table4[[#This Row],[Strength of Win]]-0)^2))</f>
        <v/>
      </c>
      <c r="P678" s="11"/>
    </row>
    <row r="679" spans="4:16" x14ac:dyDescent="0.2">
      <c r="D679" s="1">
        <v>46029</v>
      </c>
      <c r="E679" s="2">
        <v>0.9375</v>
      </c>
      <c r="F679" t="s">
        <v>13</v>
      </c>
      <c r="G679">
        <f>VLOOKUP(Table4[[#This Row],[Home]],'NHL Model'!$A$6:$B$38,2,FALSE)</f>
        <v>-0.33828359867721369</v>
      </c>
      <c r="H679" t="s">
        <v>33</v>
      </c>
      <c r="I679">
        <f>VLOOKUP(Table4[[#This Row],[Visitor]],'NHL Model'!$A$6:$B$38,2,FALSE)</f>
        <v>-0.45133099238224339</v>
      </c>
      <c r="J679">
        <f>($B$1+Table4[[#This Row],[Home Differential]])-Table4[[#This Row],[Away Differential]]</f>
        <v>0.16294814262819218</v>
      </c>
      <c r="K679" t="str">
        <f>IF(Table4[[#This Row],[HomeIce Differential]]&gt;0,Table4[[#This Row],[Home]],Table4[[#This Row],[Visitor]])</f>
        <v>Los Angeles Kings</v>
      </c>
      <c r="L6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0.5590266005947836</v>
      </c>
      <c r="M679" t="str">
        <f>IF(OR((NHL2025_26Results[[#This Row],[Winning Team]]="")),"-",IF(Table4[[#This Row],[Predicted Winner]]=NHL2025_26Results[[#This Row],[Winning Team]],"YES","NO"))</f>
        <v>-</v>
      </c>
      <c r="N679" t="str">
        <f>IF(Table4[[#This Row],[Adjusted Correct]]="-", "",IF(Table4[[#This Row],[Adjusted Correct]]="YES",(Table4[[#This Row],[Strength of Win]]-1)^2,(Table4[[#This Row],[Strength of Win]]-0)^2))</f>
        <v/>
      </c>
      <c r="P679" s="11"/>
    </row>
    <row r="680" spans="4:16" x14ac:dyDescent="0.2">
      <c r="D680" s="1">
        <v>46029</v>
      </c>
      <c r="E680" s="2">
        <v>0.8125</v>
      </c>
      <c r="F680" t="s">
        <v>18</v>
      </c>
      <c r="G680">
        <f>VLOOKUP(Table4[[#This Row],[Home]],'NHL Model'!$A$6:$B$38,2,FALSE)</f>
        <v>-0.59288962827382519</v>
      </c>
      <c r="H680" t="s">
        <v>16</v>
      </c>
      <c r="I680">
        <f>VLOOKUP(Table4[[#This Row],[Visitor]],'NHL Model'!$A$6:$B$38,2,FALSE)</f>
        <v>-1.0657812790446208</v>
      </c>
      <c r="J680">
        <f>($B$1+Table4[[#This Row],[Home Differential]])-Table4[[#This Row],[Away Differential]]</f>
        <v>0.52279239969395808</v>
      </c>
      <c r="K680" t="str">
        <f>IF(Table4[[#This Row],[HomeIce Differential]]&gt;0,Table4[[#This Row],[Home]],Table4[[#This Row],[Visitor]])</f>
        <v>Montreal Canadiens</v>
      </c>
      <c r="L6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0.60104372852940058</v>
      </c>
      <c r="M680" t="str">
        <f>IF(OR((NHL2025_26Results[[#This Row],[Winning Team]]="")),"-",IF(Table4[[#This Row],[Predicted Winner]]=NHL2025_26Results[[#This Row],[Winning Team]],"YES","NO"))</f>
        <v>-</v>
      </c>
      <c r="N680" t="str">
        <f>IF(Table4[[#This Row],[Adjusted Correct]]="-", "",IF(Table4[[#This Row],[Adjusted Correct]]="YES",(Table4[[#This Row],[Strength of Win]]-1)^2,(Table4[[#This Row],[Strength of Win]]-0)^2))</f>
        <v/>
      </c>
      <c r="P680" s="11"/>
    </row>
    <row r="681" spans="4:16" x14ac:dyDescent="0.2">
      <c r="D681" s="1">
        <v>46029</v>
      </c>
      <c r="E681" s="2">
        <v>0.89583333333333337</v>
      </c>
      <c r="F681" t="s">
        <v>55</v>
      </c>
      <c r="G681">
        <f>VLOOKUP(Table4[[#This Row],[Home]],'NHL Model'!$A$6:$B$38,2,FALSE)</f>
        <v>-0.4031232890211825</v>
      </c>
      <c r="H681" t="s">
        <v>36</v>
      </c>
      <c r="I681">
        <f>VLOOKUP(Table4[[#This Row],[Visitor]],'NHL Model'!$A$6:$B$38,2,FALSE)</f>
        <v>-0.53137605086483863</v>
      </c>
      <c r="J681">
        <f>($B$1+Table4[[#This Row],[Home Differential]])-Table4[[#This Row],[Away Differential]]</f>
        <v>0.17815351076681862</v>
      </c>
      <c r="K681" t="str">
        <f>IF(Table4[[#This Row],[HomeIce Differential]]&gt;0,Table4[[#This Row],[Home]],Table4[[#This Row],[Visitor]])</f>
        <v>Utah Mammoth</v>
      </c>
      <c r="L6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0.60123322918628797</v>
      </c>
      <c r="M681" t="str">
        <f>IF(OR((NHL2025_26Results[[#This Row],[Winning Team]]="")),"-",IF(Table4[[#This Row],[Predicted Winner]]=NHL2025_26Results[[#This Row],[Winning Team]],"YES","NO"))</f>
        <v>-</v>
      </c>
      <c r="N681" t="str">
        <f>IF(Table4[[#This Row],[Adjusted Correct]]="-", "",IF(Table4[[#This Row],[Adjusted Correct]]="YES",(Table4[[#This Row],[Strength of Win]]-1)^2,(Table4[[#This Row],[Strength of Win]]-0)^2))</f>
        <v/>
      </c>
      <c r="P681" s="11"/>
    </row>
    <row r="682" spans="4:16" x14ac:dyDescent="0.2">
      <c r="D682" s="1">
        <v>46029</v>
      </c>
      <c r="E682" s="2">
        <v>0.79166666666666663</v>
      </c>
      <c r="F682" t="s">
        <v>22</v>
      </c>
      <c r="G682">
        <f>VLOOKUP(Table4[[#This Row],[Home]],'NHL Model'!$A$6:$B$38,2,FALSE)</f>
        <v>0.4407072328537569</v>
      </c>
      <c r="H682" t="s">
        <v>39</v>
      </c>
      <c r="I682">
        <f>VLOOKUP(Table4[[#This Row],[Visitor]],'NHL Model'!$A$6:$B$38,2,FALSE)</f>
        <v>0.41344250185511977</v>
      </c>
      <c r="J682">
        <f>($B$1+Table4[[#This Row],[Home Differential]])-Table4[[#This Row],[Away Differential]]</f>
        <v>7.7165479921799618E-2</v>
      </c>
      <c r="K682" t="str">
        <f>IF(Table4[[#This Row],[HomeIce Differential]]&gt;0,Table4[[#This Row],[Home]],Table4[[#This Row],[Visitor]])</f>
        <v>Washington Capitals</v>
      </c>
      <c r="L6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0.47329592294778505</v>
      </c>
      <c r="M682" t="str">
        <f>IF(OR((NHL2025_26Results[[#This Row],[Winning Team]]="")),"-",IF(Table4[[#This Row],[Predicted Winner]]=NHL2025_26Results[[#This Row],[Winning Team]],"YES","NO"))</f>
        <v>-</v>
      </c>
      <c r="N682" t="str">
        <f>IF(Table4[[#This Row],[Adjusted Correct]]="-", "",IF(Table4[[#This Row],[Adjusted Correct]]="YES",(Table4[[#This Row],[Strength of Win]]-1)^2,(Table4[[#This Row],[Strength of Win]]-0)^2))</f>
        <v/>
      </c>
      <c r="P682" s="11"/>
    </row>
    <row r="683" spans="4:16" x14ac:dyDescent="0.2">
      <c r="D683" s="1">
        <v>46030</v>
      </c>
      <c r="E683" s="2">
        <v>0.79166666666666663</v>
      </c>
      <c r="F683" t="s">
        <v>21</v>
      </c>
      <c r="G683">
        <f>VLOOKUP(Table4[[#This Row],[Home]],'NHL Model'!$A$6:$B$38,2,FALSE)</f>
        <v>-0.21976976044773161</v>
      </c>
      <c r="H683" t="s">
        <v>16</v>
      </c>
      <c r="I683">
        <f>VLOOKUP(Table4[[#This Row],[Visitor]],'NHL Model'!$A$6:$B$38,2,FALSE)</f>
        <v>-1.0657812790446208</v>
      </c>
      <c r="J683">
        <f>($B$1+Table4[[#This Row],[Home Differential]])-Table4[[#This Row],[Away Differential]]</f>
        <v>0.89591226752005171</v>
      </c>
      <c r="K683" t="str">
        <f>IF(Table4[[#This Row],[HomeIce Differential]]&gt;0,Table4[[#This Row],[Home]],Table4[[#This Row],[Visitor]])</f>
        <v>Boston Bruins</v>
      </c>
      <c r="L6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0.68751253435846171</v>
      </c>
      <c r="M683" t="str">
        <f>IF(OR((NHL2025_26Results[[#This Row],[Winning Team]]="")),"-",IF(Table4[[#This Row],[Predicted Winner]]=NHL2025_26Results[[#This Row],[Winning Team]],"YES","NO"))</f>
        <v>-</v>
      </c>
      <c r="N683" t="str">
        <f>IF(Table4[[#This Row],[Adjusted Correct]]="-", "",IF(Table4[[#This Row],[Adjusted Correct]]="YES",(Table4[[#This Row],[Strength of Win]]-1)^2,(Table4[[#This Row],[Strength of Win]]-0)^2))</f>
        <v/>
      </c>
      <c r="P683" s="11"/>
    </row>
    <row r="684" spans="4:16" x14ac:dyDescent="0.2">
      <c r="D684" s="1">
        <v>46030</v>
      </c>
      <c r="E684" s="2">
        <v>0.79166666666666663</v>
      </c>
      <c r="F684" t="s">
        <v>25</v>
      </c>
      <c r="G684">
        <f>VLOOKUP(Table4[[#This Row],[Home]],'NHL Model'!$A$6:$B$38,2,FALSE)</f>
        <v>0.42567513732855267</v>
      </c>
      <c r="H684" t="s">
        <v>31</v>
      </c>
      <c r="I684">
        <f>VLOOKUP(Table4[[#This Row],[Visitor]],'NHL Model'!$A$6:$B$38,2,FALSE)</f>
        <v>0.17870302183926629</v>
      </c>
      <c r="J684">
        <f>($B$1+Table4[[#This Row],[Home Differential]])-Table4[[#This Row],[Away Differential]]</f>
        <v>0.29687286441244887</v>
      </c>
      <c r="K684" t="str">
        <f>IF(Table4[[#This Row],[HomeIce Differential]]&gt;0,Table4[[#This Row],[Home]],Table4[[#This Row],[Visitor]])</f>
        <v>Carolina Hurricanes</v>
      </c>
      <c r="L6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0.60609285987948969</v>
      </c>
      <c r="M684" t="str">
        <f>IF(OR((NHL2025_26Results[[#This Row],[Winning Team]]="")),"-",IF(Table4[[#This Row],[Predicted Winner]]=NHL2025_26Results[[#This Row],[Winning Team]],"YES","NO"))</f>
        <v>-</v>
      </c>
      <c r="N684" t="str">
        <f>IF(Table4[[#This Row],[Adjusted Correct]]="-", "",IF(Table4[[#This Row],[Adjusted Correct]]="YES",(Table4[[#This Row],[Strength of Win]]-1)^2,(Table4[[#This Row],[Strength of Win]]-0)^2))</f>
        <v/>
      </c>
      <c r="P684" s="11"/>
    </row>
    <row r="685" spans="4:16" x14ac:dyDescent="0.2">
      <c r="D685" s="1">
        <v>46030</v>
      </c>
      <c r="E685" s="2">
        <v>0.875</v>
      </c>
      <c r="F685" t="s">
        <v>12</v>
      </c>
      <c r="G685">
        <f>VLOOKUP(Table4[[#This Row],[Home]],'NHL Model'!$A$6:$B$38,2,FALSE)</f>
        <v>1.6319036584269762</v>
      </c>
      <c r="H685" t="s">
        <v>36</v>
      </c>
      <c r="I685">
        <f>VLOOKUP(Table4[[#This Row],[Visitor]],'NHL Model'!$A$6:$B$38,2,FALSE)</f>
        <v>-0.53137605086483863</v>
      </c>
      <c r="J685">
        <f>($B$1+Table4[[#This Row],[Home Differential]])-Table4[[#This Row],[Away Differential]]</f>
        <v>2.2131804582149774</v>
      </c>
      <c r="K685" t="str">
        <f>IF(Table4[[#This Row],[HomeIce Differential]]&gt;0,Table4[[#This Row],[Home]],Table4[[#This Row],[Visitor]])</f>
        <v>Colorado Avalanche</v>
      </c>
      <c r="L6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0.90275137961610286</v>
      </c>
      <c r="M685" t="str">
        <f>IF(OR((NHL2025_26Results[[#This Row],[Winning Team]]="")),"-",IF(Table4[[#This Row],[Predicted Winner]]=NHL2025_26Results[[#This Row],[Winning Team]],"YES","NO"))</f>
        <v>-</v>
      </c>
      <c r="N685" t="str">
        <f>IF(Table4[[#This Row],[Adjusted Correct]]="-", "",IF(Table4[[#This Row],[Adjusted Correct]]="YES",(Table4[[#This Row],[Strength of Win]]-1)^2,(Table4[[#This Row],[Strength of Win]]-0)^2))</f>
        <v/>
      </c>
      <c r="P685" s="11"/>
    </row>
    <row r="686" spans="4:16" x14ac:dyDescent="0.2">
      <c r="D686" s="1">
        <v>46030</v>
      </c>
      <c r="E686" s="2">
        <v>0.79166666666666663</v>
      </c>
      <c r="F686" t="s">
        <v>26</v>
      </c>
      <c r="G686">
        <f>VLOOKUP(Table4[[#This Row],[Home]],'NHL Model'!$A$6:$B$38,2,FALSE)</f>
        <v>-0.87533956503230947</v>
      </c>
      <c r="H686" t="s">
        <v>38</v>
      </c>
      <c r="I686">
        <f>VLOOKUP(Table4[[#This Row],[Visitor]],'NHL Model'!$A$6:$B$38,2,FALSE)</f>
        <v>-0.9476777551108041</v>
      </c>
      <c r="J686">
        <f>($B$1+Table4[[#This Row],[Home Differential]])-Table4[[#This Row],[Away Differential]]</f>
        <v>0.12223893900165705</v>
      </c>
      <c r="K686" t="str">
        <f>IF(Table4[[#This Row],[HomeIce Differential]]&gt;0,Table4[[#This Row],[Home]],Table4[[#This Row],[Visitor]])</f>
        <v>Detroit Red Wings</v>
      </c>
      <c r="L6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0.55069704130602415</v>
      </c>
      <c r="M686" t="str">
        <f>IF(OR((NHL2025_26Results[[#This Row],[Winning Team]]="")),"-",IF(Table4[[#This Row],[Predicted Winner]]=NHL2025_26Results[[#This Row],[Winning Team]],"YES","NO"))</f>
        <v>-</v>
      </c>
      <c r="N686" t="str">
        <f>IF(Table4[[#This Row],[Adjusted Correct]]="-", "",IF(Table4[[#This Row],[Adjusted Correct]]="YES",(Table4[[#This Row],[Strength of Win]]-1)^2,(Table4[[#This Row],[Strength of Win]]-0)^2))</f>
        <v/>
      </c>
      <c r="P686" s="11"/>
    </row>
    <row r="687" spans="4:16" x14ac:dyDescent="0.2">
      <c r="D687" s="1">
        <v>46030</v>
      </c>
      <c r="E687" s="2">
        <v>0.79166666666666663</v>
      </c>
      <c r="F687" t="s">
        <v>18</v>
      </c>
      <c r="G687">
        <f>VLOOKUP(Table4[[#This Row],[Home]],'NHL Model'!$A$6:$B$38,2,FALSE)</f>
        <v>-0.59288962827382519</v>
      </c>
      <c r="H687" t="s">
        <v>11</v>
      </c>
      <c r="I687">
        <f>VLOOKUP(Table4[[#This Row],[Visitor]],'NHL Model'!$A$6:$B$38,2,FALSE)</f>
        <v>-0.39711829106410657</v>
      </c>
      <c r="J687">
        <f>($B$1+Table4[[#This Row],[Home Differential]])-Table4[[#This Row],[Away Differential]]</f>
        <v>-0.14587058828655619</v>
      </c>
      <c r="K687" t="str">
        <f>IF(Table4[[#This Row],[HomeIce Differential]]&gt;0,Table4[[#This Row],[Home]],Table4[[#This Row],[Visitor]])</f>
        <v>Florida Panthers</v>
      </c>
      <c r="L6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0.47703254407868434</v>
      </c>
      <c r="M687" t="str">
        <f>IF(OR((NHL2025_26Results[[#This Row],[Winning Team]]="")),"-",IF(Table4[[#This Row],[Predicted Winner]]=NHL2025_26Results[[#This Row],[Winning Team]],"YES","NO"))</f>
        <v>-</v>
      </c>
      <c r="N687" t="str">
        <f>IF(Table4[[#This Row],[Adjusted Correct]]="-", "",IF(Table4[[#This Row],[Adjusted Correct]]="YES",(Table4[[#This Row],[Strength of Win]]-1)^2,(Table4[[#This Row],[Strength of Win]]-0)^2))</f>
        <v/>
      </c>
      <c r="P687" s="11"/>
    </row>
    <row r="688" spans="4:16" x14ac:dyDescent="0.2">
      <c r="D688" s="1">
        <v>46030</v>
      </c>
      <c r="E688" s="2">
        <v>0.83333333333333337</v>
      </c>
      <c r="F688" t="s">
        <v>29</v>
      </c>
      <c r="G688">
        <f>VLOOKUP(Table4[[#This Row],[Home]],'NHL Model'!$A$6:$B$38,2,FALSE)</f>
        <v>-1.384917283810061</v>
      </c>
      <c r="H688" t="s">
        <v>30</v>
      </c>
      <c r="I688">
        <f>VLOOKUP(Table4[[#This Row],[Visitor]],'NHL Model'!$A$6:$B$38,2,FALSE)</f>
        <v>-0.24093199744133265</v>
      </c>
      <c r="J688">
        <f>($B$1+Table4[[#This Row],[Home Differential]])-Table4[[#This Row],[Away Differential]]</f>
        <v>-1.0940845374455659</v>
      </c>
      <c r="K688" t="str">
        <f>IF(Table4[[#This Row],[HomeIce Differential]]&gt;0,Table4[[#This Row],[Home]],Table4[[#This Row],[Visitor]])</f>
        <v>New York Islanders</v>
      </c>
      <c r="L6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0.6603736863899341</v>
      </c>
      <c r="M688" t="str">
        <f>IF(OR((NHL2025_26Results[[#This Row],[Winning Team]]="")),"-",IF(Table4[[#This Row],[Predicted Winner]]=NHL2025_26Results[[#This Row],[Winning Team]],"YES","NO"))</f>
        <v>-</v>
      </c>
      <c r="N688" t="str">
        <f>IF(Table4[[#This Row],[Adjusted Correct]]="-", "",IF(Table4[[#This Row],[Adjusted Correct]]="YES",(Table4[[#This Row],[Strength of Win]]-1)^2,(Table4[[#This Row],[Strength of Win]]-0)^2))</f>
        <v/>
      </c>
      <c r="P688" s="11"/>
    </row>
    <row r="689" spans="4:16" x14ac:dyDescent="0.2">
      <c r="D689" s="1">
        <v>46030</v>
      </c>
      <c r="E689" s="2">
        <v>0.79166666666666663</v>
      </c>
      <c r="F689" t="s">
        <v>15</v>
      </c>
      <c r="G689">
        <f>VLOOKUP(Table4[[#This Row],[Home]],'NHL Model'!$A$6:$B$38,2,FALSE)</f>
        <v>-0.29003398448394263</v>
      </c>
      <c r="H689" t="s">
        <v>23</v>
      </c>
      <c r="I689">
        <f>VLOOKUP(Table4[[#This Row],[Visitor]],'NHL Model'!$A$6:$B$38,2,FALSE)</f>
        <v>-0.4761104357405897</v>
      </c>
      <c r="J689">
        <f>($B$1+Table4[[#This Row],[Home Differential]])-Table4[[#This Row],[Away Differential]]</f>
        <v>0.23597720017980953</v>
      </c>
      <c r="K689" t="str">
        <f>IF(Table4[[#This Row],[HomeIce Differential]]&gt;0,Table4[[#This Row],[Home]],Table4[[#This Row],[Visitor]])</f>
        <v>New York Rangers</v>
      </c>
      <c r="L6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0.56755382089589856</v>
      </c>
      <c r="M689" t="str">
        <f>IF(OR((NHL2025_26Results[[#This Row],[Winning Team]]="")),"-",IF(Table4[[#This Row],[Predicted Winner]]=NHL2025_26Results[[#This Row],[Winning Team]],"YES","NO"))</f>
        <v>-</v>
      </c>
      <c r="N689" t="str">
        <f>IF(Table4[[#This Row],[Adjusted Correct]]="-", "",IF(Table4[[#This Row],[Adjusted Correct]]="YES",(Table4[[#This Row],[Strength of Win]]-1)^2,(Table4[[#This Row],[Strength of Win]]-0)^2))</f>
        <v/>
      </c>
      <c r="P689" s="11"/>
    </row>
    <row r="690" spans="4:16" x14ac:dyDescent="0.2">
      <c r="D690" s="1">
        <v>46030</v>
      </c>
      <c r="E690" s="2">
        <v>0.79166666666666663</v>
      </c>
      <c r="F690" t="s">
        <v>27</v>
      </c>
      <c r="G690">
        <f>VLOOKUP(Table4[[#This Row],[Home]],'NHL Model'!$A$6:$B$38,2,FALSE)</f>
        <v>-0.38023958350631604</v>
      </c>
      <c r="H690" t="s">
        <v>19</v>
      </c>
      <c r="I690">
        <f>VLOOKUP(Table4[[#This Row],[Visitor]],'NHL Model'!$A$6:$B$38,2,FALSE)</f>
        <v>-0.63447859131898054</v>
      </c>
      <c r="J690">
        <f>($B$1+Table4[[#This Row],[Home Differential]])-Table4[[#This Row],[Away Differential]]</f>
        <v>0.30413975673582699</v>
      </c>
      <c r="K690" t="str">
        <f>IF(Table4[[#This Row],[HomeIce Differential]]&gt;0,Table4[[#This Row],[Home]],Table4[[#This Row],[Visitor]])</f>
        <v>Philadelphia Flyers</v>
      </c>
      <c r="L6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0.5895294258799636</v>
      </c>
      <c r="M690" t="str">
        <f>IF(OR((NHL2025_26Results[[#This Row],[Winning Team]]="")),"-",IF(Table4[[#This Row],[Predicted Winner]]=NHL2025_26Results[[#This Row],[Winning Team]],"YES","NO"))</f>
        <v>-</v>
      </c>
      <c r="N690" t="str">
        <f>IF(Table4[[#This Row],[Adjusted Correct]]="-", "",IF(Table4[[#This Row],[Adjusted Correct]]="YES",(Table4[[#This Row],[Strength of Win]]-1)^2,(Table4[[#This Row],[Strength of Win]]-0)^2))</f>
        <v/>
      </c>
      <c r="P690" s="11"/>
    </row>
    <row r="691" spans="4:16" x14ac:dyDescent="0.2">
      <c r="D691" s="1">
        <v>46030</v>
      </c>
      <c r="E691" s="2">
        <v>0.79166666666666663</v>
      </c>
      <c r="F691" t="s">
        <v>14</v>
      </c>
      <c r="G691">
        <f>VLOOKUP(Table4[[#This Row],[Home]],'NHL Model'!$A$6:$B$38,2,FALSE)</f>
        <v>-0.14226422156549004</v>
      </c>
      <c r="H691" t="s">
        <v>24</v>
      </c>
      <c r="I691">
        <f>VLOOKUP(Table4[[#This Row],[Visitor]],'NHL Model'!$A$6:$B$38,2,FALSE)</f>
        <v>1.5302507646042616E-3</v>
      </c>
      <c r="J691">
        <f>($B$1+Table4[[#This Row],[Home Differential]])-Table4[[#This Row],[Away Differential]]</f>
        <v>-9.3893723406931848E-2</v>
      </c>
      <c r="K691" t="str">
        <f>IF(Table4[[#This Row],[HomeIce Differential]]&gt;0,Table4[[#This Row],[Home]],Table4[[#This Row],[Visitor]])</f>
        <v>New Jersey Devils</v>
      </c>
      <c r="L6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0.49173270874944364</v>
      </c>
      <c r="M691" t="str">
        <f>IF(OR((NHL2025_26Results[[#This Row],[Winning Team]]="")),"-",IF(Table4[[#This Row],[Predicted Winner]]=NHL2025_26Results[[#This Row],[Winning Team]],"YES","NO"))</f>
        <v>-</v>
      </c>
      <c r="N691" t="str">
        <f>IF(Table4[[#This Row],[Adjusted Correct]]="-", "",IF(Table4[[#This Row],[Adjusted Correct]]="YES",(Table4[[#This Row],[Strength of Win]]-1)^2,(Table4[[#This Row],[Strength of Win]]-0)^2))</f>
        <v/>
      </c>
      <c r="P691" s="11"/>
    </row>
    <row r="692" spans="4:16" x14ac:dyDescent="0.2">
      <c r="D692" s="1">
        <v>46030</v>
      </c>
      <c r="E692" s="2">
        <v>0.91666666666666663</v>
      </c>
      <c r="F692" t="s">
        <v>32</v>
      </c>
      <c r="G692">
        <f>VLOOKUP(Table4[[#This Row],[Home]],'NHL Model'!$A$6:$B$38,2,FALSE)</f>
        <v>-0.64937723527808999</v>
      </c>
      <c r="H692" t="s">
        <v>34</v>
      </c>
      <c r="I692">
        <f>VLOOKUP(Table4[[#This Row],[Visitor]],'NHL Model'!$A$6:$B$38,2,FALSE)</f>
        <v>-5.5124787449478845E-2</v>
      </c>
      <c r="J692">
        <f>($B$1+Table4[[#This Row],[Home Differential]])-Table4[[#This Row],[Away Differential]]</f>
        <v>-0.54435169890544877</v>
      </c>
      <c r="K692" t="str">
        <f>IF(Table4[[#This Row],[HomeIce Differential]]&gt;0,Table4[[#This Row],[Home]],Table4[[#This Row],[Visitor]])</f>
        <v>Minnesota Wild</v>
      </c>
      <c r="L6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0.56607365771895912</v>
      </c>
      <c r="M692" t="str">
        <f>IF(OR((NHL2025_26Results[[#This Row],[Winning Team]]="")),"-",IF(Table4[[#This Row],[Predicted Winner]]=NHL2025_26Results[[#This Row],[Winning Team]],"YES","NO"))</f>
        <v>-</v>
      </c>
      <c r="N692" t="str">
        <f>IF(Table4[[#This Row],[Adjusted Correct]]="-", "",IF(Table4[[#This Row],[Adjusted Correct]]="YES",(Table4[[#This Row],[Strength of Win]]-1)^2,(Table4[[#This Row],[Strength of Win]]-0)^2))</f>
        <v/>
      </c>
      <c r="P692" s="11"/>
    </row>
    <row r="693" spans="4:16" x14ac:dyDescent="0.2">
      <c r="D693" s="1">
        <v>46030</v>
      </c>
      <c r="E693" s="2">
        <v>0.91666666666666663</v>
      </c>
      <c r="F693" t="s">
        <v>20</v>
      </c>
      <c r="G693">
        <f>VLOOKUP(Table4[[#This Row],[Home]],'NHL Model'!$A$6:$B$38,2,FALSE)</f>
        <v>-0.24444083032063643</v>
      </c>
      <c r="H693" t="s">
        <v>28</v>
      </c>
      <c r="I693">
        <f>VLOOKUP(Table4[[#This Row],[Visitor]],'NHL Model'!$A$6:$B$38,2,FALSE)</f>
        <v>-0.59498940435054026</v>
      </c>
      <c r="J693">
        <f>($B$1+Table4[[#This Row],[Home Differential]])-Table4[[#This Row],[Away Differential]]</f>
        <v>0.40044932295306629</v>
      </c>
      <c r="K693" t="str">
        <f>IF(Table4[[#This Row],[HomeIce Differential]]&gt;0,Table4[[#This Row],[Home]],Table4[[#This Row],[Visitor]])</f>
        <v>Vegas Golden Knights</v>
      </c>
      <c r="L6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0.58318220972456269</v>
      </c>
      <c r="M693" t="str">
        <f>IF(OR((NHL2025_26Results[[#This Row],[Winning Team]]="")),"-",IF(Table4[[#This Row],[Predicted Winner]]=NHL2025_26Results[[#This Row],[Winning Team]],"YES","NO"))</f>
        <v>-</v>
      </c>
      <c r="N693" t="str">
        <f>IF(Table4[[#This Row],[Adjusted Correct]]="-", "",IF(Table4[[#This Row],[Adjusted Correct]]="YES",(Table4[[#This Row],[Strength of Win]]-1)^2,(Table4[[#This Row],[Strength of Win]]-0)^2))</f>
        <v/>
      </c>
      <c r="P693" s="11"/>
    </row>
    <row r="694" spans="4:16" x14ac:dyDescent="0.2">
      <c r="D694" s="1">
        <v>46030</v>
      </c>
      <c r="E694" s="2">
        <v>0.83333333333333337</v>
      </c>
      <c r="F694" t="s">
        <v>40</v>
      </c>
      <c r="G694">
        <f>VLOOKUP(Table4[[#This Row],[Home]],'NHL Model'!$A$6:$B$38,2,FALSE)</f>
        <v>-0.31324182378279158</v>
      </c>
      <c r="H694" t="s">
        <v>17</v>
      </c>
      <c r="I694">
        <f>VLOOKUP(Table4[[#This Row],[Visitor]],'NHL Model'!$A$6:$B$38,2,FALSE)</f>
        <v>-0.81774666423752174</v>
      </c>
      <c r="J694">
        <f>($B$1+Table4[[#This Row],[Home Differential]])-Table4[[#This Row],[Away Differential]]</f>
        <v>0.55440558937789264</v>
      </c>
      <c r="K694" t="str">
        <f>IF(Table4[[#This Row],[HomeIce Differential]]&gt;0,Table4[[#This Row],[Home]],Table4[[#This Row],[Visitor]])</f>
        <v>Winnipeg Jets</v>
      </c>
      <c r="L6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0.60723051420671958</v>
      </c>
      <c r="M694" t="str">
        <f>IF(OR((NHL2025_26Results[[#This Row],[Winning Team]]="")),"-",IF(Table4[[#This Row],[Predicted Winner]]=NHL2025_26Results[[#This Row],[Winning Team]],"YES","NO"))</f>
        <v>-</v>
      </c>
      <c r="N694" t="str">
        <f>IF(Table4[[#This Row],[Adjusted Correct]]="-", "",IF(Table4[[#This Row],[Adjusted Correct]]="YES",(Table4[[#This Row],[Strength of Win]]-1)^2,(Table4[[#This Row],[Strength of Win]]-0)^2))</f>
        <v/>
      </c>
      <c r="P694" s="11"/>
    </row>
    <row r="695" spans="4:16" x14ac:dyDescent="0.2">
      <c r="D695" s="1">
        <v>46031</v>
      </c>
      <c r="E695" s="2">
        <v>0.83333333333333337</v>
      </c>
      <c r="F695" t="s">
        <v>10</v>
      </c>
      <c r="G695">
        <f>VLOOKUP(Table4[[#This Row],[Home]],'NHL Model'!$A$6:$B$38,2,FALSE)</f>
        <v>-0.17619625518431364</v>
      </c>
      <c r="H695" t="s">
        <v>22</v>
      </c>
      <c r="I695">
        <f>VLOOKUP(Table4[[#This Row],[Visitor]],'NHL Model'!$A$6:$B$38,2,FALSE)</f>
        <v>0.4407072328537569</v>
      </c>
      <c r="J695">
        <f>($B$1+Table4[[#This Row],[Home Differential]])-Table4[[#This Row],[Away Differential]]</f>
        <v>-0.56700273911490806</v>
      </c>
      <c r="K695" t="str">
        <f>IF(Table4[[#This Row],[HomeIce Differential]]&gt;0,Table4[[#This Row],[Home]],Table4[[#This Row],[Visitor]])</f>
        <v>Washington Capitals</v>
      </c>
      <c r="L6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0.5687185009689073</v>
      </c>
      <c r="M695" t="str">
        <f>IF(OR((NHL2025_26Results[[#This Row],[Winning Team]]="")),"-",IF(Table4[[#This Row],[Predicted Winner]]=NHL2025_26Results[[#This Row],[Winning Team]],"YES","NO"))</f>
        <v>-</v>
      </c>
      <c r="N695" t="str">
        <f>IF(Table4[[#This Row],[Adjusted Correct]]="-", "",IF(Table4[[#This Row],[Adjusted Correct]]="YES",(Table4[[#This Row],[Strength of Win]]-1)^2,(Table4[[#This Row],[Strength of Win]]-0)^2))</f>
        <v/>
      </c>
      <c r="P695" s="11"/>
    </row>
    <row r="696" spans="4:16" x14ac:dyDescent="0.2">
      <c r="D696" s="1">
        <v>46031</v>
      </c>
      <c r="E696" s="2">
        <v>0.875</v>
      </c>
      <c r="F696" t="s">
        <v>55</v>
      </c>
      <c r="G696">
        <f>VLOOKUP(Table4[[#This Row],[Home]],'NHL Model'!$A$6:$B$38,2,FALSE)</f>
        <v>-0.4031232890211825</v>
      </c>
      <c r="H696" t="s">
        <v>35</v>
      </c>
      <c r="I696">
        <f>VLOOKUP(Table4[[#This Row],[Visitor]],'NHL Model'!$A$6:$B$38,2,FALSE)</f>
        <v>-1.3944783719477225</v>
      </c>
      <c r="J696">
        <f>($B$1+Table4[[#This Row],[Home Differential]])-Table4[[#This Row],[Away Differential]]</f>
        <v>1.0412558318497025</v>
      </c>
      <c r="K696" t="str">
        <f>IF(Table4[[#This Row],[HomeIce Differential]]&gt;0,Table4[[#This Row],[Home]],Table4[[#This Row],[Visitor]])</f>
        <v>Utah Mammoth</v>
      </c>
      <c r="L6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0.7020131636538165</v>
      </c>
      <c r="M696" t="str">
        <f>IF(OR((NHL2025_26Results[[#This Row],[Winning Team]]="")),"-",IF(Table4[[#This Row],[Predicted Winner]]=NHL2025_26Results[[#This Row],[Winning Team]],"YES","NO"))</f>
        <v>-</v>
      </c>
      <c r="N696" t="str">
        <f>IF(Table4[[#This Row],[Adjusted Correct]]="-", "",IF(Table4[[#This Row],[Adjusted Correct]]="YES",(Table4[[#This Row],[Strength of Win]]-1)^2,(Table4[[#This Row],[Strength of Win]]-0)^2))</f>
        <v/>
      </c>
      <c r="P696" s="11"/>
    </row>
    <row r="697" spans="4:16" x14ac:dyDescent="0.2">
      <c r="D697" s="1">
        <v>46031</v>
      </c>
      <c r="E697" s="2">
        <v>0.83333333333333337</v>
      </c>
      <c r="F697" t="s">
        <v>40</v>
      </c>
      <c r="G697">
        <f>VLOOKUP(Table4[[#This Row],[Home]],'NHL Model'!$A$6:$B$38,2,FALSE)</f>
        <v>-0.31324182378279158</v>
      </c>
      <c r="H697" t="s">
        <v>13</v>
      </c>
      <c r="I697">
        <f>VLOOKUP(Table4[[#This Row],[Visitor]],'NHL Model'!$A$6:$B$38,2,FALSE)</f>
        <v>-0.33828359867721369</v>
      </c>
      <c r="J697">
        <f>($B$1+Table4[[#This Row],[Home Differential]])-Table4[[#This Row],[Away Differential]]</f>
        <v>7.4942523817584594E-2</v>
      </c>
      <c r="K697" t="str">
        <f>IF(Table4[[#This Row],[HomeIce Differential]]&gt;0,Table4[[#This Row],[Home]],Table4[[#This Row],[Visitor]])</f>
        <v>Winnipeg Jets</v>
      </c>
      <c r="L6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0.48494112191888922</v>
      </c>
      <c r="M697" t="str">
        <f>IF(OR((NHL2025_26Results[[#This Row],[Winning Team]]="")),"-",IF(Table4[[#This Row],[Predicted Winner]]=NHL2025_26Results[[#This Row],[Winning Team]],"YES","NO"))</f>
        <v>-</v>
      </c>
      <c r="N697" t="str">
        <f>IF(Table4[[#This Row],[Adjusted Correct]]="-", "",IF(Table4[[#This Row],[Adjusted Correct]]="YES",(Table4[[#This Row],[Strength of Win]]-1)^2,(Table4[[#This Row],[Strength of Win]]-0)^2))</f>
        <v/>
      </c>
      <c r="P697" s="11"/>
    </row>
    <row r="698" spans="4:16" x14ac:dyDescent="0.2">
      <c r="D698" s="1">
        <v>46032</v>
      </c>
      <c r="E698" s="2">
        <v>0.54166666666666663</v>
      </c>
      <c r="F698" t="s">
        <v>21</v>
      </c>
      <c r="G698">
        <f>VLOOKUP(Table4[[#This Row],[Home]],'NHL Model'!$A$6:$B$38,2,FALSE)</f>
        <v>-0.21976976044773161</v>
      </c>
      <c r="H698" t="s">
        <v>15</v>
      </c>
      <c r="I698">
        <f>VLOOKUP(Table4[[#This Row],[Visitor]],'NHL Model'!$A$6:$B$38,2,FALSE)</f>
        <v>-0.29003398448394263</v>
      </c>
      <c r="J698">
        <f>($B$1+Table4[[#This Row],[Home Differential]])-Table4[[#This Row],[Away Differential]]</f>
        <v>0.12016497295937348</v>
      </c>
      <c r="K698" t="str">
        <f>IF(Table4[[#This Row],[HomeIce Differential]]&gt;0,Table4[[#This Row],[Home]],Table4[[#This Row],[Visitor]])</f>
        <v>Boston Bruins</v>
      </c>
      <c r="L6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0.497252510611498</v>
      </c>
      <c r="M698" t="str">
        <f>IF(OR((NHL2025_26Results[[#This Row],[Winning Team]]="")),"-",IF(Table4[[#This Row],[Predicted Winner]]=NHL2025_26Results[[#This Row],[Winning Team]],"YES","NO"))</f>
        <v>-</v>
      </c>
      <c r="N698" t="str">
        <f>IF(Table4[[#This Row],[Adjusted Correct]]="-", "",IF(Table4[[#This Row],[Adjusted Correct]]="YES",(Table4[[#This Row],[Strength of Win]]-1)^2,(Table4[[#This Row],[Strength of Win]]-0)^2))</f>
        <v/>
      </c>
      <c r="P698" s="11"/>
    </row>
    <row r="699" spans="4:16" x14ac:dyDescent="0.2">
      <c r="D699" s="1">
        <v>46032</v>
      </c>
      <c r="E699" s="2">
        <v>0.79166666666666663</v>
      </c>
      <c r="F699" t="s">
        <v>23</v>
      </c>
      <c r="G699">
        <f>VLOOKUP(Table4[[#This Row],[Home]],'NHL Model'!$A$6:$B$38,2,FALSE)</f>
        <v>-0.4761104357405897</v>
      </c>
      <c r="H699" t="s">
        <v>31</v>
      </c>
      <c r="I699">
        <f>VLOOKUP(Table4[[#This Row],[Visitor]],'NHL Model'!$A$6:$B$38,2,FALSE)</f>
        <v>0.17870302183926629</v>
      </c>
      <c r="J699">
        <f>($B$1+Table4[[#This Row],[Home Differential]])-Table4[[#This Row],[Away Differential]]</f>
        <v>-0.60491270865669344</v>
      </c>
      <c r="K699" t="str">
        <f>IF(Table4[[#This Row],[HomeIce Differential]]&gt;0,Table4[[#This Row],[Home]],Table4[[#This Row],[Visitor]])</f>
        <v>Anaheim Ducks</v>
      </c>
      <c r="L6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0.54122072190417558</v>
      </c>
      <c r="M699" t="str">
        <f>IF(OR((NHL2025_26Results[[#This Row],[Winning Team]]="")),"-",IF(Table4[[#This Row],[Predicted Winner]]=NHL2025_26Results[[#This Row],[Winning Team]],"YES","NO"))</f>
        <v>-</v>
      </c>
      <c r="N699" t="str">
        <f>IF(Table4[[#This Row],[Adjusted Correct]]="-", "",IF(Table4[[#This Row],[Adjusted Correct]]="YES",(Table4[[#This Row],[Strength of Win]]-1)^2,(Table4[[#This Row],[Strength of Win]]-0)^2))</f>
        <v/>
      </c>
      <c r="P699" s="11"/>
    </row>
    <row r="700" spans="4:16" x14ac:dyDescent="0.2">
      <c r="D700" s="1">
        <v>46032</v>
      </c>
      <c r="E700" s="2">
        <v>0.79166666666666663</v>
      </c>
      <c r="F700" t="s">
        <v>25</v>
      </c>
      <c r="G700">
        <f>VLOOKUP(Table4[[#This Row],[Home]],'NHL Model'!$A$6:$B$38,2,FALSE)</f>
        <v>0.42567513732855267</v>
      </c>
      <c r="H700" t="s">
        <v>32</v>
      </c>
      <c r="I700">
        <f>VLOOKUP(Table4[[#This Row],[Visitor]],'NHL Model'!$A$6:$B$38,2,FALSE)</f>
        <v>-0.64937723527808999</v>
      </c>
      <c r="J700">
        <f>($B$1+Table4[[#This Row],[Home Differential]])-Table4[[#This Row],[Away Differential]]</f>
        <v>1.1249531215298052</v>
      </c>
      <c r="K700" t="str">
        <f>IF(Table4[[#This Row],[HomeIce Differential]]&gt;0,Table4[[#This Row],[Home]],Table4[[#This Row],[Visitor]])</f>
        <v>Carolina Hurricanes</v>
      </c>
      <c r="L7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0.72307085639305901</v>
      </c>
      <c r="M700" t="str">
        <f>IF(OR((NHL2025_26Results[[#This Row],[Winning Team]]="")),"-",IF(Table4[[#This Row],[Predicted Winner]]=NHL2025_26Results[[#This Row],[Winning Team]],"YES","NO"))</f>
        <v>-</v>
      </c>
      <c r="N700" t="str">
        <f>IF(Table4[[#This Row],[Adjusted Correct]]="-", "",IF(Table4[[#This Row],[Adjusted Correct]]="YES",(Table4[[#This Row],[Strength of Win]]-1)^2,(Table4[[#This Row],[Strength of Win]]-0)^2))</f>
        <v/>
      </c>
      <c r="P700" s="11"/>
    </row>
    <row r="701" spans="4:16" x14ac:dyDescent="0.2">
      <c r="D701" s="1">
        <v>46032</v>
      </c>
      <c r="E701" s="2">
        <v>0.66666666666666663</v>
      </c>
      <c r="F701" t="s">
        <v>12</v>
      </c>
      <c r="G701">
        <f>VLOOKUP(Table4[[#This Row],[Home]],'NHL Model'!$A$6:$B$38,2,FALSE)</f>
        <v>1.6319036584269762</v>
      </c>
      <c r="H701" t="s">
        <v>28</v>
      </c>
      <c r="I701">
        <f>VLOOKUP(Table4[[#This Row],[Visitor]],'NHL Model'!$A$6:$B$38,2,FALSE)</f>
        <v>-0.59498940435054026</v>
      </c>
      <c r="J701">
        <f>($B$1+Table4[[#This Row],[Home Differential]])-Table4[[#This Row],[Away Differential]]</f>
        <v>2.2767938117006787</v>
      </c>
      <c r="K701" t="str">
        <f>IF(Table4[[#This Row],[HomeIce Differential]]&gt;0,Table4[[#This Row],[Home]],Table4[[#This Row],[Visitor]])</f>
        <v>Colorado Avalanche</v>
      </c>
      <c r="L7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0.90687492162007288</v>
      </c>
      <c r="M701" t="str">
        <f>IF(OR((NHL2025_26Results[[#This Row],[Winning Team]]="")),"-",IF(Table4[[#This Row],[Predicted Winner]]=NHL2025_26Results[[#This Row],[Winning Team]],"YES","NO"))</f>
        <v>-</v>
      </c>
      <c r="N701" t="str">
        <f>IF(Table4[[#This Row],[Adjusted Correct]]="-", "",IF(Table4[[#This Row],[Adjusted Correct]]="YES",(Table4[[#This Row],[Strength of Win]]-1)^2,(Table4[[#This Row],[Strength of Win]]-0)^2))</f>
        <v/>
      </c>
      <c r="P701" s="11"/>
    </row>
    <row r="702" spans="4:16" x14ac:dyDescent="0.2">
      <c r="D702" s="1">
        <v>46032</v>
      </c>
      <c r="E702" s="2">
        <v>0.91666666666666663</v>
      </c>
      <c r="F702" t="s">
        <v>17</v>
      </c>
      <c r="G702">
        <f>VLOOKUP(Table4[[#This Row],[Home]],'NHL Model'!$A$6:$B$38,2,FALSE)</f>
        <v>-0.81774666423752174</v>
      </c>
      <c r="H702" t="s">
        <v>13</v>
      </c>
      <c r="I702">
        <f>VLOOKUP(Table4[[#This Row],[Visitor]],'NHL Model'!$A$6:$B$38,2,FALSE)</f>
        <v>-0.33828359867721369</v>
      </c>
      <c r="J702">
        <f>($B$1+Table4[[#This Row],[Home Differential]])-Table4[[#This Row],[Away Differential]]</f>
        <v>-0.42956231663714561</v>
      </c>
      <c r="K702" t="str">
        <f>IF(Table4[[#This Row],[HomeIce Differential]]&gt;0,Table4[[#This Row],[Home]],Table4[[#This Row],[Visitor]])</f>
        <v>Los Angeles Kings</v>
      </c>
      <c r="L7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0.56938850958546594</v>
      </c>
      <c r="M702" t="str">
        <f>IF(OR((NHL2025_26Results[[#This Row],[Winning Team]]="")),"-",IF(Table4[[#This Row],[Predicted Winner]]=NHL2025_26Results[[#This Row],[Winning Team]],"YES","NO"))</f>
        <v>-</v>
      </c>
      <c r="N702" t="str">
        <f>IF(Table4[[#This Row],[Adjusted Correct]]="-", "",IF(Table4[[#This Row],[Adjusted Correct]]="YES",(Table4[[#This Row],[Strength of Win]]-1)^2,(Table4[[#This Row],[Strength of Win]]-0)^2))</f>
        <v/>
      </c>
      <c r="P702" s="11"/>
    </row>
    <row r="703" spans="4:16" x14ac:dyDescent="0.2">
      <c r="D703" s="1">
        <v>46032</v>
      </c>
      <c r="E703" s="2">
        <v>0.83333333333333337</v>
      </c>
      <c r="F703" t="s">
        <v>34</v>
      </c>
      <c r="G703">
        <f>VLOOKUP(Table4[[#This Row],[Home]],'NHL Model'!$A$6:$B$38,2,FALSE)</f>
        <v>-5.5124787449478845E-2</v>
      </c>
      <c r="H703" t="s">
        <v>30</v>
      </c>
      <c r="I703">
        <f>VLOOKUP(Table4[[#This Row],[Visitor]],'NHL Model'!$A$6:$B$38,2,FALSE)</f>
        <v>-0.24093199744133265</v>
      </c>
      <c r="J703">
        <f>($B$1+Table4[[#This Row],[Home Differential]])-Table4[[#This Row],[Away Differential]]</f>
        <v>0.23570795891501628</v>
      </c>
      <c r="K703" t="str">
        <f>IF(Table4[[#This Row],[HomeIce Differential]]&gt;0,Table4[[#This Row],[Home]],Table4[[#This Row],[Visitor]])</f>
        <v>Minnesota Wild</v>
      </c>
      <c r="L7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0.49489921389666025</v>
      </c>
      <c r="M703" t="str">
        <f>IF(OR((NHL2025_26Results[[#This Row],[Winning Team]]="")),"-",IF(Table4[[#This Row],[Predicted Winner]]=NHL2025_26Results[[#This Row],[Winning Team]],"YES","NO"))</f>
        <v>-</v>
      </c>
      <c r="N703" t="str">
        <f>IF(Table4[[#This Row],[Adjusted Correct]]="-", "",IF(Table4[[#This Row],[Adjusted Correct]]="YES",(Table4[[#This Row],[Strength of Win]]-1)^2,(Table4[[#This Row],[Strength of Win]]-0)^2))</f>
        <v/>
      </c>
      <c r="P703" s="11"/>
    </row>
    <row r="704" spans="4:16" x14ac:dyDescent="0.2">
      <c r="D704" s="1">
        <v>46032</v>
      </c>
      <c r="E704" s="2">
        <v>0.79166666666666663</v>
      </c>
      <c r="F704" t="s">
        <v>18</v>
      </c>
      <c r="G704">
        <f>VLOOKUP(Table4[[#This Row],[Home]],'NHL Model'!$A$6:$B$38,2,FALSE)</f>
        <v>-0.59288962827382519</v>
      </c>
      <c r="H704" t="s">
        <v>26</v>
      </c>
      <c r="I704">
        <f>VLOOKUP(Table4[[#This Row],[Visitor]],'NHL Model'!$A$6:$B$38,2,FALSE)</f>
        <v>-0.87533956503230947</v>
      </c>
      <c r="J704">
        <f>($B$1+Table4[[#This Row],[Home Differential]])-Table4[[#This Row],[Away Differential]]</f>
        <v>0.33235068568164672</v>
      </c>
      <c r="K704" t="str">
        <f>IF(Table4[[#This Row],[HomeIce Differential]]&gt;0,Table4[[#This Row],[Home]],Table4[[#This Row],[Visitor]])</f>
        <v>Montreal Canadiens</v>
      </c>
      <c r="L7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0.57880684769936808</v>
      </c>
      <c r="M704" t="str">
        <f>IF(OR((NHL2025_26Results[[#This Row],[Winning Team]]="")),"-",IF(Table4[[#This Row],[Predicted Winner]]=NHL2025_26Results[[#This Row],[Winning Team]],"YES","NO"))</f>
        <v>-</v>
      </c>
      <c r="N704" t="str">
        <f>IF(Table4[[#This Row],[Adjusted Correct]]="-", "",IF(Table4[[#This Row],[Adjusted Correct]]="YES",(Table4[[#This Row],[Strength of Win]]-1)^2,(Table4[[#This Row],[Strength of Win]]-0)^2))</f>
        <v/>
      </c>
      <c r="P704" s="11"/>
    </row>
    <row r="705" spans="4:16" x14ac:dyDescent="0.2">
      <c r="D705" s="1">
        <v>46032</v>
      </c>
      <c r="E705" s="2">
        <v>0.83333333333333337</v>
      </c>
      <c r="F705" t="s">
        <v>29</v>
      </c>
      <c r="G705">
        <f>VLOOKUP(Table4[[#This Row],[Home]],'NHL Model'!$A$6:$B$38,2,FALSE)</f>
        <v>-1.384917283810061</v>
      </c>
      <c r="H705" t="s">
        <v>10</v>
      </c>
      <c r="I705">
        <f>VLOOKUP(Table4[[#This Row],[Visitor]],'NHL Model'!$A$6:$B$38,2,FALSE)</f>
        <v>-0.17619625518431364</v>
      </c>
      <c r="J705">
        <f>($B$1+Table4[[#This Row],[Home Differential]])-Table4[[#This Row],[Away Differential]]</f>
        <v>-1.1588202797025848</v>
      </c>
      <c r="K705" t="str">
        <f>IF(Table4[[#This Row],[HomeIce Differential]]&gt;0,Table4[[#This Row],[Home]],Table4[[#This Row],[Visitor]])</f>
        <v>Chicago Blackhawks</v>
      </c>
      <c r="L7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0.59530937062195044</v>
      </c>
      <c r="M705" t="str">
        <f>IF(OR((NHL2025_26Results[[#This Row],[Winning Team]]="")),"-",IF(Table4[[#This Row],[Predicted Winner]]=NHL2025_26Results[[#This Row],[Winning Team]],"YES","NO"))</f>
        <v>-</v>
      </c>
      <c r="N705" t="str">
        <f>IF(Table4[[#This Row],[Adjusted Correct]]="-", "",IF(Table4[[#This Row],[Adjusted Correct]]="YES",(Table4[[#This Row],[Strength of Win]]-1)^2,(Table4[[#This Row],[Strength of Win]]-0)^2))</f>
        <v/>
      </c>
      <c r="P705" s="11"/>
    </row>
    <row r="706" spans="4:16" x14ac:dyDescent="0.2">
      <c r="D706" s="1">
        <v>46032</v>
      </c>
      <c r="E706" s="2">
        <v>0.79166666666666663</v>
      </c>
      <c r="F706" t="s">
        <v>36</v>
      </c>
      <c r="G706">
        <f>VLOOKUP(Table4[[#This Row],[Home]],'NHL Model'!$A$6:$B$38,2,FALSE)</f>
        <v>-0.53137605086483863</v>
      </c>
      <c r="H706" t="s">
        <v>11</v>
      </c>
      <c r="I706">
        <f>VLOOKUP(Table4[[#This Row],[Visitor]],'NHL Model'!$A$6:$B$38,2,FALSE)</f>
        <v>-0.39711829106410657</v>
      </c>
      <c r="J706">
        <f>($B$1+Table4[[#This Row],[Home Differential]])-Table4[[#This Row],[Away Differential]]</f>
        <v>-8.4357010877569583E-2</v>
      </c>
      <c r="K706" t="str">
        <f>IF(Table4[[#This Row],[HomeIce Differential]]&gt;0,Table4[[#This Row],[Home]],Table4[[#This Row],[Visitor]])</f>
        <v>Florida Panthers</v>
      </c>
      <c r="L7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0.46735444683623856</v>
      </c>
      <c r="M706" t="str">
        <f>IF(OR((NHL2025_26Results[[#This Row],[Winning Team]]="")),"-",IF(Table4[[#This Row],[Predicted Winner]]=NHL2025_26Results[[#This Row],[Winning Team]],"YES","NO"))</f>
        <v>-</v>
      </c>
      <c r="N706" t="str">
        <f>IF(Table4[[#This Row],[Adjusted Correct]]="-", "",IF(Table4[[#This Row],[Adjusted Correct]]="YES",(Table4[[#This Row],[Strength of Win]]-1)^2,(Table4[[#This Row],[Strength of Win]]-0)^2))</f>
        <v/>
      </c>
      <c r="P706" s="11"/>
    </row>
    <row r="707" spans="4:16" x14ac:dyDescent="0.2">
      <c r="D707" s="1">
        <v>46032</v>
      </c>
      <c r="E707" s="2">
        <v>0.79166666666666663</v>
      </c>
      <c r="F707" t="s">
        <v>27</v>
      </c>
      <c r="G707">
        <f>VLOOKUP(Table4[[#This Row],[Home]],'NHL Model'!$A$6:$B$38,2,FALSE)</f>
        <v>-0.38023958350631604</v>
      </c>
      <c r="H707" t="s">
        <v>37</v>
      </c>
      <c r="I707">
        <f>VLOOKUP(Table4[[#This Row],[Visitor]],'NHL Model'!$A$6:$B$38,2,FALSE)</f>
        <v>0.51050494674660429</v>
      </c>
      <c r="J707">
        <f>($B$1+Table4[[#This Row],[Home Differential]])-Table4[[#This Row],[Away Differential]]</f>
        <v>-0.84084378132975779</v>
      </c>
      <c r="K707" t="str">
        <f>IF(Table4[[#This Row],[HomeIce Differential]]&gt;0,Table4[[#This Row],[Home]],Table4[[#This Row],[Visitor]])</f>
        <v>Tampa Bay Lightning</v>
      </c>
      <c r="L7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0.636642459900289</v>
      </c>
      <c r="M707" t="str">
        <f>IF(OR((NHL2025_26Results[[#This Row],[Winning Team]]="")),"-",IF(Table4[[#This Row],[Predicted Winner]]=NHL2025_26Results[[#This Row],[Winning Team]],"YES","NO"))</f>
        <v>-</v>
      </c>
      <c r="N707" t="str">
        <f>IF(Table4[[#This Row],[Adjusted Correct]]="-", "",IF(Table4[[#This Row],[Adjusted Correct]]="YES",(Table4[[#This Row],[Strength of Win]]-1)^2,(Table4[[#This Row],[Strength of Win]]-0)^2))</f>
        <v/>
      </c>
      <c r="P707" s="11"/>
    </row>
    <row r="708" spans="4:16" x14ac:dyDescent="0.2">
      <c r="D708" s="1">
        <v>46032</v>
      </c>
      <c r="E708" s="2">
        <v>0.64583333333333337</v>
      </c>
      <c r="F708" t="s">
        <v>14</v>
      </c>
      <c r="G708">
        <f>VLOOKUP(Table4[[#This Row],[Home]],'NHL Model'!$A$6:$B$38,2,FALSE)</f>
        <v>-0.14226422156549004</v>
      </c>
      <c r="H708" t="s">
        <v>16</v>
      </c>
      <c r="I708">
        <f>VLOOKUP(Table4[[#This Row],[Visitor]],'NHL Model'!$A$6:$B$38,2,FALSE)</f>
        <v>-1.0657812790446208</v>
      </c>
      <c r="J708">
        <f>($B$1+Table4[[#This Row],[Home Differential]])-Table4[[#This Row],[Away Differential]]</f>
        <v>0.97341780640229325</v>
      </c>
      <c r="K708" t="str">
        <f>IF(Table4[[#This Row],[HomeIce Differential]]&gt;0,Table4[[#This Row],[Home]],Table4[[#This Row],[Visitor]])</f>
        <v>Pittsburgh Penguins</v>
      </c>
      <c r="L7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0.65366089551893103</v>
      </c>
      <c r="M708" t="str">
        <f>IF(OR((NHL2025_26Results[[#This Row],[Winning Team]]="")),"-",IF(Table4[[#This Row],[Predicted Winner]]=NHL2025_26Results[[#This Row],[Winning Team]],"YES","NO"))</f>
        <v>-</v>
      </c>
      <c r="N708" t="str">
        <f>IF(Table4[[#This Row],[Adjusted Correct]]="-", "",IF(Table4[[#This Row],[Adjusted Correct]]="YES",(Table4[[#This Row],[Strength of Win]]-1)^2,(Table4[[#This Row],[Strength of Win]]-0)^2))</f>
        <v/>
      </c>
      <c r="P708" s="11"/>
    </row>
    <row r="709" spans="4:16" x14ac:dyDescent="0.2">
      <c r="D709" s="1">
        <v>46032</v>
      </c>
      <c r="E709" s="2">
        <v>0.66666666666666663</v>
      </c>
      <c r="F709" t="s">
        <v>33</v>
      </c>
      <c r="G709">
        <f>VLOOKUP(Table4[[#This Row],[Home]],'NHL Model'!$A$6:$B$38,2,FALSE)</f>
        <v>-0.45133099238224339</v>
      </c>
      <c r="H709" t="s">
        <v>39</v>
      </c>
      <c r="I709">
        <f>VLOOKUP(Table4[[#This Row],[Visitor]],'NHL Model'!$A$6:$B$38,2,FALSE)</f>
        <v>0.41344250185511977</v>
      </c>
      <c r="J709">
        <f>($B$1+Table4[[#This Row],[Home Differential]])-Table4[[#This Row],[Away Differential]]</f>
        <v>-0.81487274531420062</v>
      </c>
      <c r="K709" t="str">
        <f>IF(Table4[[#This Row],[HomeIce Differential]]&gt;0,Table4[[#This Row],[Home]],Table4[[#This Row],[Visitor]])</f>
        <v>Dallas Stars</v>
      </c>
      <c r="L7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0.64687255760983398</v>
      </c>
      <c r="M709" t="str">
        <f>IF(OR((NHL2025_26Results[[#This Row],[Winning Team]]="")),"-",IF(Table4[[#This Row],[Predicted Winner]]=NHL2025_26Results[[#This Row],[Winning Team]],"YES","NO"))</f>
        <v>-</v>
      </c>
      <c r="N709" t="str">
        <f>IF(Table4[[#This Row],[Adjusted Correct]]="-", "",IF(Table4[[#This Row],[Adjusted Correct]]="YES",(Table4[[#This Row],[Strength of Win]]-1)^2,(Table4[[#This Row],[Strength of Win]]-0)^2))</f>
        <v/>
      </c>
      <c r="P709" s="11"/>
    </row>
    <row r="710" spans="4:16" x14ac:dyDescent="0.2">
      <c r="D710" s="1">
        <v>46032</v>
      </c>
      <c r="E710" s="2">
        <v>0.79166666666666663</v>
      </c>
      <c r="F710" t="s">
        <v>19</v>
      </c>
      <c r="G710">
        <f>VLOOKUP(Table4[[#This Row],[Home]],'NHL Model'!$A$6:$B$38,2,FALSE)</f>
        <v>-0.63447859131898054</v>
      </c>
      <c r="H710" t="s">
        <v>38</v>
      </c>
      <c r="I710">
        <f>VLOOKUP(Table4[[#This Row],[Visitor]],'NHL Model'!$A$6:$B$38,2,FALSE)</f>
        <v>-0.9476777551108041</v>
      </c>
      <c r="J710">
        <f>($B$1+Table4[[#This Row],[Home Differential]])-Table4[[#This Row],[Away Differential]]</f>
        <v>0.36309991271498598</v>
      </c>
      <c r="K710" t="str">
        <f>IF(Table4[[#This Row],[HomeIce Differential]]&gt;0,Table4[[#This Row],[Home]],Table4[[#This Row],[Visitor]])</f>
        <v>Toronto Maple Leafs</v>
      </c>
      <c r="L7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0.57882111484131404</v>
      </c>
      <c r="M710" t="str">
        <f>IF(OR((NHL2025_26Results[[#This Row],[Winning Team]]="")),"-",IF(Table4[[#This Row],[Predicted Winner]]=NHL2025_26Results[[#This Row],[Winning Team]],"YES","NO"))</f>
        <v>-</v>
      </c>
      <c r="N710" t="str">
        <f>IF(Table4[[#This Row],[Adjusted Correct]]="-", "",IF(Table4[[#This Row],[Adjusted Correct]]="YES",(Table4[[#This Row],[Strength of Win]]-1)^2,(Table4[[#This Row],[Strength of Win]]-0)^2))</f>
        <v/>
      </c>
      <c r="P710" s="11"/>
    </row>
    <row r="711" spans="4:16" x14ac:dyDescent="0.2">
      <c r="D711" s="1">
        <v>46032</v>
      </c>
      <c r="E711" s="2">
        <v>0.91666666666666663</v>
      </c>
      <c r="F711" t="s">
        <v>20</v>
      </c>
      <c r="G711">
        <f>VLOOKUP(Table4[[#This Row],[Home]],'NHL Model'!$A$6:$B$38,2,FALSE)</f>
        <v>-0.24444083032063643</v>
      </c>
      <c r="H711" t="s">
        <v>35</v>
      </c>
      <c r="I711">
        <f>VLOOKUP(Table4[[#This Row],[Visitor]],'NHL Model'!$A$6:$B$38,2,FALSE)</f>
        <v>-1.3944783719477225</v>
      </c>
      <c r="J711">
        <f>($B$1+Table4[[#This Row],[Home Differential]])-Table4[[#This Row],[Away Differential]]</f>
        <v>1.1999382905502485</v>
      </c>
      <c r="K711" t="str">
        <f>IF(Table4[[#This Row],[HomeIce Differential]]&gt;0,Table4[[#This Row],[Home]],Table4[[#This Row],[Visitor]])</f>
        <v>Vegas Golden Knights</v>
      </c>
      <c r="L7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0.68011050524694328</v>
      </c>
      <c r="M711" t="str">
        <f>IF(OR((NHL2025_26Results[[#This Row],[Winning Team]]="")),"-",IF(Table4[[#This Row],[Predicted Winner]]=NHL2025_26Results[[#This Row],[Winning Team]],"YES","NO"))</f>
        <v>-</v>
      </c>
      <c r="N711" t="str">
        <f>IF(Table4[[#This Row],[Adjusted Correct]]="-", "",IF(Table4[[#This Row],[Adjusted Correct]]="YES",(Table4[[#This Row],[Strength of Win]]-1)^2,(Table4[[#This Row],[Strength of Win]]-0)^2))</f>
        <v/>
      </c>
      <c r="P711" s="11"/>
    </row>
    <row r="712" spans="4:16" x14ac:dyDescent="0.2">
      <c r="D712" s="1">
        <v>46033</v>
      </c>
      <c r="E712" s="2">
        <v>0.70833333333333337</v>
      </c>
      <c r="F712" t="s">
        <v>21</v>
      </c>
      <c r="G712">
        <f>VLOOKUP(Table4[[#This Row],[Home]],'NHL Model'!$A$6:$B$38,2,FALSE)</f>
        <v>-0.21976976044773161</v>
      </c>
      <c r="H712" t="s">
        <v>14</v>
      </c>
      <c r="I712">
        <f>VLOOKUP(Table4[[#This Row],[Visitor]],'NHL Model'!$A$6:$B$38,2,FALSE)</f>
        <v>-0.14226422156549004</v>
      </c>
      <c r="J712">
        <f>($B$1+Table4[[#This Row],[Home Differential]])-Table4[[#This Row],[Away Differential]]</f>
        <v>-2.7604789959079112E-2</v>
      </c>
      <c r="K712" t="str">
        <f>IF(Table4[[#This Row],[HomeIce Differential]]&gt;0,Table4[[#This Row],[Home]],Table4[[#This Row],[Visitor]])</f>
        <v>Pittsburgh Penguins</v>
      </c>
      <c r="L7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0.45903722013371656</v>
      </c>
      <c r="M712" t="str">
        <f>IF(OR((NHL2025_26Results[[#This Row],[Winning Team]]="")),"-",IF(Table4[[#This Row],[Predicted Winner]]=NHL2025_26Results[[#This Row],[Winning Team]],"YES","NO"))</f>
        <v>-</v>
      </c>
      <c r="N712" t="str">
        <f>IF(Table4[[#This Row],[Adjusted Correct]]="-", "",IF(Table4[[#This Row],[Adjusted Correct]]="YES",(Table4[[#This Row],[Strength of Win]]-1)^2,(Table4[[#This Row],[Strength of Win]]-0)^2))</f>
        <v/>
      </c>
      <c r="P712" s="11"/>
    </row>
    <row r="713" spans="4:16" x14ac:dyDescent="0.2">
      <c r="D713" s="1">
        <v>46033</v>
      </c>
      <c r="E713" s="2">
        <v>0.79166666666666663</v>
      </c>
      <c r="F713" t="s">
        <v>29</v>
      </c>
      <c r="G713">
        <f>VLOOKUP(Table4[[#This Row],[Home]],'NHL Model'!$A$6:$B$38,2,FALSE)</f>
        <v>-1.384917283810061</v>
      </c>
      <c r="H713" t="s">
        <v>22</v>
      </c>
      <c r="I713">
        <f>VLOOKUP(Table4[[#This Row],[Visitor]],'NHL Model'!$A$6:$B$38,2,FALSE)</f>
        <v>0.4407072328537569</v>
      </c>
      <c r="J713">
        <f>($B$1+Table4[[#This Row],[Home Differential]])-Table4[[#This Row],[Away Differential]]</f>
        <v>-1.7757237677406554</v>
      </c>
      <c r="K713" t="str">
        <f>IF(Table4[[#This Row],[HomeIce Differential]]&gt;0,Table4[[#This Row],[Home]],Table4[[#This Row],[Visitor]])</f>
        <v>Washington Capitals</v>
      </c>
      <c r="L7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0.70985452051012765</v>
      </c>
      <c r="M713" t="str">
        <f>IF(OR((NHL2025_26Results[[#This Row],[Winning Team]]="")),"-",IF(Table4[[#This Row],[Predicted Winner]]=NHL2025_26Results[[#This Row],[Winning Team]],"YES","NO"))</f>
        <v>-</v>
      </c>
      <c r="N713" t="str">
        <f>IF(Table4[[#This Row],[Adjusted Correct]]="-", "",IF(Table4[[#This Row],[Adjusted Correct]]="YES",(Table4[[#This Row],[Strength of Win]]-1)^2,(Table4[[#This Row],[Strength of Win]]-0)^2))</f>
        <v/>
      </c>
      <c r="P713" s="11"/>
    </row>
    <row r="714" spans="4:16" x14ac:dyDescent="0.2">
      <c r="D714" s="1">
        <v>46033</v>
      </c>
      <c r="E714" s="2">
        <v>0.83333333333333337</v>
      </c>
      <c r="F714" t="s">
        <v>33</v>
      </c>
      <c r="G714">
        <f>VLOOKUP(Table4[[#This Row],[Home]],'NHL Model'!$A$6:$B$38,2,FALSE)</f>
        <v>-0.45133099238224339</v>
      </c>
      <c r="H714" t="s">
        <v>20</v>
      </c>
      <c r="I714">
        <f>VLOOKUP(Table4[[#This Row],[Visitor]],'NHL Model'!$A$6:$B$38,2,FALSE)</f>
        <v>-0.24444083032063643</v>
      </c>
      <c r="J714">
        <f>($B$1+Table4[[#This Row],[Home Differential]])-Table4[[#This Row],[Away Differential]]</f>
        <v>-0.15698941313844447</v>
      </c>
      <c r="K714" t="str">
        <f>IF(Table4[[#This Row],[HomeIce Differential]]&gt;0,Table4[[#This Row],[Home]],Table4[[#This Row],[Visitor]])</f>
        <v>Vegas Golden Knights</v>
      </c>
      <c r="L7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0.46820858159353196</v>
      </c>
      <c r="M714" t="str">
        <f>IF(OR((NHL2025_26Results[[#This Row],[Winning Team]]="")),"-",IF(Table4[[#This Row],[Predicted Winner]]=NHL2025_26Results[[#This Row],[Winning Team]],"YES","NO"))</f>
        <v>-</v>
      </c>
      <c r="N714" t="str">
        <f>IF(Table4[[#This Row],[Adjusted Correct]]="-", "",IF(Table4[[#This Row],[Adjusted Correct]]="YES",(Table4[[#This Row],[Strength of Win]]-1)^2,(Table4[[#This Row],[Strength of Win]]-0)^2))</f>
        <v/>
      </c>
      <c r="P714" s="11"/>
    </row>
    <row r="715" spans="4:16" x14ac:dyDescent="0.2">
      <c r="D715" s="1">
        <v>46033</v>
      </c>
      <c r="E715" s="2">
        <v>0.79166666666666663</v>
      </c>
      <c r="F715" t="s">
        <v>55</v>
      </c>
      <c r="G715">
        <f>VLOOKUP(Table4[[#This Row],[Home]],'NHL Model'!$A$6:$B$38,2,FALSE)</f>
        <v>-0.4031232890211825</v>
      </c>
      <c r="H715" t="s">
        <v>28</v>
      </c>
      <c r="I715">
        <f>VLOOKUP(Table4[[#This Row],[Visitor]],'NHL Model'!$A$6:$B$38,2,FALSE)</f>
        <v>-0.59498940435054026</v>
      </c>
      <c r="J715">
        <f>($B$1+Table4[[#This Row],[Home Differential]])-Table4[[#This Row],[Away Differential]]</f>
        <v>0.24176686425252025</v>
      </c>
      <c r="K715" t="str">
        <f>IF(Table4[[#This Row],[HomeIce Differential]]&gt;0,Table4[[#This Row],[Home]],Table4[[#This Row],[Visitor]])</f>
        <v>Utah Mammoth</v>
      </c>
      <c r="L7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0.60515292654880748</v>
      </c>
      <c r="M715" t="str">
        <f>IF(OR((NHL2025_26Results[[#This Row],[Winning Team]]="")),"-",IF(Table4[[#This Row],[Predicted Winner]]=NHL2025_26Results[[#This Row],[Winning Team]],"YES","NO"))</f>
        <v>-</v>
      </c>
      <c r="N715" t="str">
        <f>IF(Table4[[#This Row],[Adjusted Correct]]="-", "",IF(Table4[[#This Row],[Adjusted Correct]]="YES",(Table4[[#This Row],[Strength of Win]]-1)^2,(Table4[[#This Row],[Strength of Win]]-0)^2))</f>
        <v/>
      </c>
      <c r="P715" s="11"/>
    </row>
    <row r="716" spans="4:16" x14ac:dyDescent="0.2">
      <c r="D716" s="1">
        <v>46033</v>
      </c>
      <c r="E716" s="2">
        <v>0.58333333333333337</v>
      </c>
      <c r="F716" t="s">
        <v>40</v>
      </c>
      <c r="G716">
        <f>VLOOKUP(Table4[[#This Row],[Home]],'NHL Model'!$A$6:$B$38,2,FALSE)</f>
        <v>-0.31324182378279158</v>
      </c>
      <c r="H716" t="s">
        <v>24</v>
      </c>
      <c r="I716">
        <f>VLOOKUP(Table4[[#This Row],[Visitor]],'NHL Model'!$A$6:$B$38,2,FALSE)</f>
        <v>1.5302507646042616E-3</v>
      </c>
      <c r="J716">
        <f>($B$1+Table4[[#This Row],[Home Differential]])-Table4[[#This Row],[Away Differential]]</f>
        <v>-0.26487132562423338</v>
      </c>
      <c r="K716" t="str">
        <f>IF(Table4[[#This Row],[HomeIce Differential]]&gt;0,Table4[[#This Row],[Home]],Table4[[#This Row],[Visitor]])</f>
        <v>New Jersey Devils</v>
      </c>
      <c r="L7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0.5091885060536081</v>
      </c>
      <c r="M716" t="str">
        <f>IF(OR((NHL2025_26Results[[#This Row],[Winning Team]]="")),"-",IF(Table4[[#This Row],[Predicted Winner]]=NHL2025_26Results[[#This Row],[Winning Team]],"YES","NO"))</f>
        <v>-</v>
      </c>
      <c r="N716" t="str">
        <f>IF(Table4[[#This Row],[Adjusted Correct]]="-", "",IF(Table4[[#This Row],[Adjusted Correct]]="YES",(Table4[[#This Row],[Strength of Win]]-1)^2,(Table4[[#This Row],[Strength of Win]]-0)^2))</f>
        <v/>
      </c>
      <c r="P716" s="11"/>
    </row>
    <row r="717" spans="4:16" x14ac:dyDescent="0.2">
      <c r="D717" s="1">
        <v>46034</v>
      </c>
      <c r="E717" s="2">
        <v>0.79166666666666663</v>
      </c>
      <c r="F717" t="s">
        <v>23</v>
      </c>
      <c r="G717">
        <f>VLOOKUP(Table4[[#This Row],[Home]],'NHL Model'!$A$6:$B$38,2,FALSE)</f>
        <v>-0.4761104357405897</v>
      </c>
      <c r="H717" t="s">
        <v>11</v>
      </c>
      <c r="I717">
        <f>VLOOKUP(Table4[[#This Row],[Visitor]],'NHL Model'!$A$6:$B$38,2,FALSE)</f>
        <v>-0.39711829106410657</v>
      </c>
      <c r="J717">
        <f>($B$1+Table4[[#This Row],[Home Differential]])-Table4[[#This Row],[Away Differential]]</f>
        <v>-2.9091395753320648E-2</v>
      </c>
      <c r="K717" t="str">
        <f>IF(Table4[[#This Row],[HomeIce Differential]]&gt;0,Table4[[#This Row],[Home]],Table4[[#This Row],[Visitor]])</f>
        <v>Florida Panthers</v>
      </c>
      <c r="L7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0.45327460042380474</v>
      </c>
      <c r="M717" t="str">
        <f>IF(OR((NHL2025_26Results[[#This Row],[Winning Team]]="")),"-",IF(Table4[[#This Row],[Predicted Winner]]=NHL2025_26Results[[#This Row],[Winning Team]],"YES","NO"))</f>
        <v>-</v>
      </c>
      <c r="N717" t="str">
        <f>IF(Table4[[#This Row],[Adjusted Correct]]="-", "",IF(Table4[[#This Row],[Adjusted Correct]]="YES",(Table4[[#This Row],[Strength of Win]]-1)^2,(Table4[[#This Row],[Strength of Win]]-0)^2))</f>
        <v/>
      </c>
      <c r="P717" s="11"/>
    </row>
    <row r="718" spans="4:16" x14ac:dyDescent="0.2">
      <c r="D718" s="1">
        <v>46034</v>
      </c>
      <c r="E718" s="2">
        <v>0.85416666666666663</v>
      </c>
      <c r="F718" t="s">
        <v>10</v>
      </c>
      <c r="G718">
        <f>VLOOKUP(Table4[[#This Row],[Home]],'NHL Model'!$A$6:$B$38,2,FALSE)</f>
        <v>-0.17619625518431364</v>
      </c>
      <c r="H718" t="s">
        <v>17</v>
      </c>
      <c r="I718">
        <f>VLOOKUP(Table4[[#This Row],[Visitor]],'NHL Model'!$A$6:$B$38,2,FALSE)</f>
        <v>-0.81774666423752174</v>
      </c>
      <c r="J718">
        <f>($B$1+Table4[[#This Row],[Home Differential]])-Table4[[#This Row],[Away Differential]]</f>
        <v>0.69145115797637058</v>
      </c>
      <c r="K718" t="str">
        <f>IF(Table4[[#This Row],[HomeIce Differential]]&gt;0,Table4[[#This Row],[Home]],Table4[[#This Row],[Visitor]])</f>
        <v>Chicago Blackhawks</v>
      </c>
      <c r="L7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0.6207371277844862</v>
      </c>
      <c r="M718" t="str">
        <f>IF(OR((NHL2025_26Results[[#This Row],[Winning Team]]="")),"-",IF(Table4[[#This Row],[Predicted Winner]]=NHL2025_26Results[[#This Row],[Winning Team]],"YES","NO"))</f>
        <v>-</v>
      </c>
      <c r="N718" t="str">
        <f>IF(Table4[[#This Row],[Adjusted Correct]]="-", "",IF(Table4[[#This Row],[Adjusted Correct]]="YES",(Table4[[#This Row],[Strength of Win]]-1)^2,(Table4[[#This Row],[Strength of Win]]-0)^2))</f>
        <v/>
      </c>
      <c r="P718" s="11"/>
    </row>
    <row r="719" spans="4:16" x14ac:dyDescent="0.2">
      <c r="D719" s="1">
        <v>46034</v>
      </c>
      <c r="E719" s="2">
        <v>0.91666666666666663</v>
      </c>
      <c r="F719" t="s">
        <v>12</v>
      </c>
      <c r="G719">
        <f>VLOOKUP(Table4[[#This Row],[Home]],'NHL Model'!$A$6:$B$38,2,FALSE)</f>
        <v>1.6319036584269762</v>
      </c>
      <c r="H719" t="s">
        <v>19</v>
      </c>
      <c r="I719">
        <f>VLOOKUP(Table4[[#This Row],[Visitor]],'NHL Model'!$A$6:$B$38,2,FALSE)</f>
        <v>-0.63447859131898054</v>
      </c>
      <c r="J719">
        <f>($B$1+Table4[[#This Row],[Home Differential]])-Table4[[#This Row],[Away Differential]]</f>
        <v>2.3162829986691191</v>
      </c>
      <c r="K719" t="str">
        <f>IF(Table4[[#This Row],[HomeIce Differential]]&gt;0,Table4[[#This Row],[Home]],Table4[[#This Row],[Visitor]])</f>
        <v>Colorado Avalanche</v>
      </c>
      <c r="L7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0.91479012289901696</v>
      </c>
      <c r="M719" t="str">
        <f>IF(OR((NHL2025_26Results[[#This Row],[Winning Team]]="")),"-",IF(Table4[[#This Row],[Predicted Winner]]=NHL2025_26Results[[#This Row],[Winning Team]],"YES","NO"))</f>
        <v>-</v>
      </c>
      <c r="N719" t="str">
        <f>IF(Table4[[#This Row],[Adjusted Correct]]="-", "",IF(Table4[[#This Row],[Adjusted Correct]]="YES",(Table4[[#This Row],[Strength of Win]]-1)^2,(Table4[[#This Row],[Strength of Win]]-0)^2))</f>
        <v/>
      </c>
      <c r="P719" s="11"/>
    </row>
    <row r="720" spans="4:16" x14ac:dyDescent="0.2">
      <c r="D720" s="1">
        <v>46034</v>
      </c>
      <c r="E720" s="2">
        <v>0.79166666666666663</v>
      </c>
      <c r="F720" t="s">
        <v>26</v>
      </c>
      <c r="G720">
        <f>VLOOKUP(Table4[[#This Row],[Home]],'NHL Model'!$A$6:$B$38,2,FALSE)</f>
        <v>-0.87533956503230947</v>
      </c>
      <c r="H720" t="s">
        <v>25</v>
      </c>
      <c r="I720">
        <f>VLOOKUP(Table4[[#This Row],[Visitor]],'NHL Model'!$A$6:$B$38,2,FALSE)</f>
        <v>0.42567513732855267</v>
      </c>
      <c r="J720">
        <f>($B$1+Table4[[#This Row],[Home Differential]])-Table4[[#This Row],[Away Differential]]</f>
        <v>-1.2511139534376996</v>
      </c>
      <c r="K720" t="str">
        <f>IF(Table4[[#This Row],[HomeIce Differential]]&gt;0,Table4[[#This Row],[Home]],Table4[[#This Row],[Visitor]])</f>
        <v>Carolina Hurricanes</v>
      </c>
      <c r="L7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0.67870918829578719</v>
      </c>
      <c r="M720" t="str">
        <f>IF(OR((NHL2025_26Results[[#This Row],[Winning Team]]="")),"-",IF(Table4[[#This Row],[Predicted Winner]]=NHL2025_26Results[[#This Row],[Winning Team]],"YES","NO"))</f>
        <v>-</v>
      </c>
      <c r="N720" t="str">
        <f>IF(Table4[[#This Row],[Adjusted Correct]]="-", "",IF(Table4[[#This Row],[Adjusted Correct]]="YES",(Table4[[#This Row],[Strength of Win]]-1)^2,(Table4[[#This Row],[Strength of Win]]-0)^2))</f>
        <v/>
      </c>
      <c r="P720" s="11"/>
    </row>
    <row r="721" spans="4:16" x14ac:dyDescent="0.2">
      <c r="D721" s="1">
        <v>46034</v>
      </c>
      <c r="E721" s="2">
        <v>0.91666666666666663</v>
      </c>
      <c r="F721" t="s">
        <v>13</v>
      </c>
      <c r="G721">
        <f>VLOOKUP(Table4[[#This Row],[Home]],'NHL Model'!$A$6:$B$38,2,FALSE)</f>
        <v>-0.33828359867721369</v>
      </c>
      <c r="H721" t="s">
        <v>39</v>
      </c>
      <c r="I721">
        <f>VLOOKUP(Table4[[#This Row],[Visitor]],'NHL Model'!$A$6:$B$38,2,FALSE)</f>
        <v>0.41344250185511977</v>
      </c>
      <c r="J721">
        <f>($B$1+Table4[[#This Row],[Home Differential]])-Table4[[#This Row],[Away Differential]]</f>
        <v>-0.70182535160917103</v>
      </c>
      <c r="K721" t="str">
        <f>IF(Table4[[#This Row],[HomeIce Differential]]&gt;0,Table4[[#This Row],[Home]],Table4[[#This Row],[Visitor]])</f>
        <v>Dallas Stars</v>
      </c>
      <c r="L7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0.64374622081227451</v>
      </c>
      <c r="M721" t="str">
        <f>IF(OR((NHL2025_26Results[[#This Row],[Winning Team]]="")),"-",IF(Table4[[#This Row],[Predicted Winner]]=NHL2025_26Results[[#This Row],[Winning Team]],"YES","NO"))</f>
        <v>-</v>
      </c>
      <c r="N721" t="str">
        <f>IF(Table4[[#This Row],[Adjusted Correct]]="-", "",IF(Table4[[#This Row],[Adjusted Correct]]="YES",(Table4[[#This Row],[Strength of Win]]-1)^2,(Table4[[#This Row],[Strength of Win]]-0)^2))</f>
        <v/>
      </c>
      <c r="P721" s="11"/>
    </row>
    <row r="722" spans="4:16" x14ac:dyDescent="0.2">
      <c r="D722" s="1">
        <v>46034</v>
      </c>
      <c r="E722" s="2">
        <v>0.83333333333333337</v>
      </c>
      <c r="F722" t="s">
        <v>34</v>
      </c>
      <c r="G722">
        <f>VLOOKUP(Table4[[#This Row],[Home]],'NHL Model'!$A$6:$B$38,2,FALSE)</f>
        <v>-5.5124787449478845E-2</v>
      </c>
      <c r="H722" t="s">
        <v>24</v>
      </c>
      <c r="I722">
        <f>VLOOKUP(Table4[[#This Row],[Visitor]],'NHL Model'!$A$6:$B$38,2,FALSE)</f>
        <v>1.5302507646042616E-3</v>
      </c>
      <c r="J722">
        <f>($B$1+Table4[[#This Row],[Home Differential]])-Table4[[#This Row],[Away Differential]]</f>
        <v>-6.754289290920641E-3</v>
      </c>
      <c r="K722" t="str">
        <f>IF(Table4[[#This Row],[HomeIce Differential]]&gt;0,Table4[[#This Row],[Home]],Table4[[#This Row],[Visitor]])</f>
        <v>New Jersey Devils</v>
      </c>
      <c r="L7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0.48155789373014096</v>
      </c>
      <c r="M722" t="str">
        <f>IF(OR((NHL2025_26Results[[#This Row],[Winning Team]]="")),"-",IF(Table4[[#This Row],[Predicted Winner]]=NHL2025_26Results[[#This Row],[Winning Team]],"YES","NO"))</f>
        <v>-</v>
      </c>
      <c r="N722" t="str">
        <f>IF(Table4[[#This Row],[Adjusted Correct]]="-", "",IF(Table4[[#This Row],[Adjusted Correct]]="YES",(Table4[[#This Row],[Strength of Win]]-1)^2,(Table4[[#This Row],[Strength of Win]]-0)^2))</f>
        <v/>
      </c>
      <c r="P722" s="11"/>
    </row>
    <row r="723" spans="4:16" x14ac:dyDescent="0.2">
      <c r="D723" s="1">
        <v>46034</v>
      </c>
      <c r="E723" s="2">
        <v>0.8125</v>
      </c>
      <c r="F723" t="s">
        <v>18</v>
      </c>
      <c r="G723">
        <f>VLOOKUP(Table4[[#This Row],[Home]],'NHL Model'!$A$6:$B$38,2,FALSE)</f>
        <v>-0.59288962827382519</v>
      </c>
      <c r="H723" t="s">
        <v>38</v>
      </c>
      <c r="I723">
        <f>VLOOKUP(Table4[[#This Row],[Visitor]],'NHL Model'!$A$6:$B$38,2,FALSE)</f>
        <v>-0.9476777551108041</v>
      </c>
      <c r="J723">
        <f>($B$1+Table4[[#This Row],[Home Differential]])-Table4[[#This Row],[Away Differential]]</f>
        <v>0.40468887576014134</v>
      </c>
      <c r="K723" t="str">
        <f>IF(Table4[[#This Row],[HomeIce Differential]]&gt;0,Table4[[#This Row],[Home]],Table4[[#This Row],[Visitor]])</f>
        <v>Montreal Canadiens</v>
      </c>
      <c r="L7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0.58367724008612232</v>
      </c>
      <c r="M723" t="str">
        <f>IF(OR((NHL2025_26Results[[#This Row],[Winning Team]]="")),"-",IF(Table4[[#This Row],[Predicted Winner]]=NHL2025_26Results[[#This Row],[Winning Team]],"YES","NO"))</f>
        <v>-</v>
      </c>
      <c r="N723" t="str">
        <f>IF(Table4[[#This Row],[Adjusted Correct]]="-", "",IF(Table4[[#This Row],[Adjusted Correct]]="YES",(Table4[[#This Row],[Strength of Win]]-1)^2,(Table4[[#This Row],[Strength of Win]]-0)^2))</f>
        <v/>
      </c>
      <c r="P723" s="11"/>
    </row>
    <row r="724" spans="4:16" x14ac:dyDescent="0.2">
      <c r="D724" s="1">
        <v>46034</v>
      </c>
      <c r="E724" s="2">
        <v>0.79166666666666663</v>
      </c>
      <c r="F724" t="s">
        <v>15</v>
      </c>
      <c r="G724">
        <f>VLOOKUP(Table4[[#This Row],[Home]],'NHL Model'!$A$6:$B$38,2,FALSE)</f>
        <v>-0.29003398448394263</v>
      </c>
      <c r="H724" t="s">
        <v>32</v>
      </c>
      <c r="I724">
        <f>VLOOKUP(Table4[[#This Row],[Visitor]],'NHL Model'!$A$6:$B$38,2,FALSE)</f>
        <v>-0.64937723527808999</v>
      </c>
      <c r="J724">
        <f>($B$1+Table4[[#This Row],[Home Differential]])-Table4[[#This Row],[Away Differential]]</f>
        <v>0.40924399971730985</v>
      </c>
      <c r="K724" t="str">
        <f>IF(Table4[[#This Row],[HomeIce Differential]]&gt;0,Table4[[#This Row],[Home]],Table4[[#This Row],[Visitor]])</f>
        <v>New York Rangers</v>
      </c>
      <c r="L7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0.58778527697735061</v>
      </c>
      <c r="M724" t="str">
        <f>IF(OR((NHL2025_26Results[[#This Row],[Winning Team]]="")),"-",IF(Table4[[#This Row],[Predicted Winner]]=NHL2025_26Results[[#This Row],[Winning Team]],"YES","NO"))</f>
        <v>-</v>
      </c>
      <c r="N724" t="str">
        <f>IF(Table4[[#This Row],[Adjusted Correct]]="-", "",IF(Table4[[#This Row],[Adjusted Correct]]="YES",(Table4[[#This Row],[Strength of Win]]-1)^2,(Table4[[#This Row],[Strength of Win]]-0)^2))</f>
        <v/>
      </c>
      <c r="P724" s="11"/>
    </row>
    <row r="725" spans="4:16" x14ac:dyDescent="0.2">
      <c r="D725" s="1">
        <v>46034</v>
      </c>
      <c r="E725" s="2">
        <v>0.79166666666666663</v>
      </c>
      <c r="F725" t="s">
        <v>27</v>
      </c>
      <c r="G725">
        <f>VLOOKUP(Table4[[#This Row],[Home]],'NHL Model'!$A$6:$B$38,2,FALSE)</f>
        <v>-0.38023958350631604</v>
      </c>
      <c r="H725" t="s">
        <v>37</v>
      </c>
      <c r="I725">
        <f>VLOOKUP(Table4[[#This Row],[Visitor]],'NHL Model'!$A$6:$B$38,2,FALSE)</f>
        <v>0.51050494674660429</v>
      </c>
      <c r="J725">
        <f>($B$1+Table4[[#This Row],[Home Differential]])-Table4[[#This Row],[Away Differential]]</f>
        <v>-0.84084378132975779</v>
      </c>
      <c r="K725" t="str">
        <f>IF(Table4[[#This Row],[HomeIce Differential]]&gt;0,Table4[[#This Row],[Home]],Table4[[#This Row],[Visitor]])</f>
        <v>Tampa Bay Lightning</v>
      </c>
      <c r="L7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0.636642459900289</v>
      </c>
      <c r="M725" t="str">
        <f>IF(OR((NHL2025_26Results[[#This Row],[Winning Team]]="")),"-",IF(Table4[[#This Row],[Predicted Winner]]=NHL2025_26Results[[#This Row],[Winning Team]],"YES","NO"))</f>
        <v>-</v>
      </c>
      <c r="N725" t="str">
        <f>IF(Table4[[#This Row],[Adjusted Correct]]="-", "",IF(Table4[[#This Row],[Adjusted Correct]]="YES",(Table4[[#This Row],[Strength of Win]]-1)^2,(Table4[[#This Row],[Strength of Win]]-0)^2))</f>
        <v/>
      </c>
      <c r="P725" s="11"/>
    </row>
    <row r="726" spans="4:16" x14ac:dyDescent="0.2">
      <c r="D726" s="1">
        <v>46035</v>
      </c>
      <c r="E726" s="2">
        <v>0.91666666666666663</v>
      </c>
      <c r="F726" t="s">
        <v>31</v>
      </c>
      <c r="G726">
        <f>VLOOKUP(Table4[[#This Row],[Home]],'NHL Model'!$A$6:$B$38,2,FALSE)</f>
        <v>0.17870302183926629</v>
      </c>
      <c r="H726" t="s">
        <v>39</v>
      </c>
      <c r="I726">
        <f>VLOOKUP(Table4[[#This Row],[Visitor]],'NHL Model'!$A$6:$B$38,2,FALSE)</f>
        <v>0.41344250185511977</v>
      </c>
      <c r="J726">
        <f>($B$1+Table4[[#This Row],[Home Differential]])-Table4[[#This Row],[Away Differential]]</f>
        <v>-0.18483873109269103</v>
      </c>
      <c r="K726" t="str">
        <f>IF(Table4[[#This Row],[HomeIce Differential]]&gt;0,Table4[[#This Row],[Home]],Table4[[#This Row],[Visitor]])</f>
        <v>Dallas Stars</v>
      </c>
      <c r="L7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0.50158264988004087</v>
      </c>
      <c r="M726" t="str">
        <f>IF(OR((NHL2025_26Results[[#This Row],[Winning Team]]="")),"-",IF(Table4[[#This Row],[Predicted Winner]]=NHL2025_26Results[[#This Row],[Winning Team]],"YES","NO"))</f>
        <v>-</v>
      </c>
      <c r="N726" t="str">
        <f>IF(Table4[[#This Row],[Adjusted Correct]]="-", "",IF(Table4[[#This Row],[Adjusted Correct]]="YES",(Table4[[#This Row],[Strength of Win]]-1)^2,(Table4[[#This Row],[Strength of Win]]-0)^2))</f>
        <v/>
      </c>
      <c r="P726" s="11"/>
    </row>
    <row r="727" spans="4:16" x14ac:dyDescent="0.2">
      <c r="D727" s="1">
        <v>46035</v>
      </c>
      <c r="E727" s="2">
        <v>0.8125</v>
      </c>
      <c r="F727" t="s">
        <v>21</v>
      </c>
      <c r="G727">
        <f>VLOOKUP(Table4[[#This Row],[Home]],'NHL Model'!$A$6:$B$38,2,FALSE)</f>
        <v>-0.21976976044773161</v>
      </c>
      <c r="H727" t="s">
        <v>26</v>
      </c>
      <c r="I727">
        <f>VLOOKUP(Table4[[#This Row],[Visitor]],'NHL Model'!$A$6:$B$38,2,FALSE)</f>
        <v>-0.87533956503230947</v>
      </c>
      <c r="J727">
        <f>($B$1+Table4[[#This Row],[Home Differential]])-Table4[[#This Row],[Away Differential]]</f>
        <v>0.70547055350774035</v>
      </c>
      <c r="K727" t="str">
        <f>IF(Table4[[#This Row],[HomeIce Differential]]&gt;0,Table4[[#This Row],[Home]],Table4[[#This Row],[Visitor]])</f>
        <v>Boston Bruins</v>
      </c>
      <c r="L7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0.66527565352842921</v>
      </c>
      <c r="M727" t="str">
        <f>IF(OR((NHL2025_26Results[[#This Row],[Winning Team]]="")),"-",IF(Table4[[#This Row],[Predicted Winner]]=NHL2025_26Results[[#This Row],[Winning Team]],"YES","NO"))</f>
        <v>-</v>
      </c>
      <c r="N727" t="str">
        <f>IF(Table4[[#This Row],[Adjusted Correct]]="-", "",IF(Table4[[#This Row],[Adjusted Correct]]="YES",(Table4[[#This Row],[Strength of Win]]-1)^2,(Table4[[#This Row],[Strength of Win]]-0)^2))</f>
        <v/>
      </c>
      <c r="P727" s="11"/>
    </row>
    <row r="728" spans="4:16" x14ac:dyDescent="0.2">
      <c r="D728" s="1">
        <v>46035</v>
      </c>
      <c r="E728" s="2">
        <v>0.79166666666666663</v>
      </c>
      <c r="F728" t="s">
        <v>28</v>
      </c>
      <c r="G728">
        <f>VLOOKUP(Table4[[#This Row],[Home]],'NHL Model'!$A$6:$B$38,2,FALSE)</f>
        <v>-0.59498940435054026</v>
      </c>
      <c r="H728" t="s">
        <v>16</v>
      </c>
      <c r="I728">
        <f>VLOOKUP(Table4[[#This Row],[Visitor]],'NHL Model'!$A$6:$B$38,2,FALSE)</f>
        <v>-1.0657812790446208</v>
      </c>
      <c r="J728">
        <f>($B$1+Table4[[#This Row],[Home Differential]])-Table4[[#This Row],[Away Differential]]</f>
        <v>0.520692623617243</v>
      </c>
      <c r="K728" t="str">
        <f>IF(Table4[[#This Row],[HomeIce Differential]]&gt;0,Table4[[#This Row],[Home]],Table4[[#This Row],[Visitor]])</f>
        <v>Columbus Blue Jackets</v>
      </c>
      <c r="L7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0.60079854868196103</v>
      </c>
      <c r="M728" t="str">
        <f>IF(OR((NHL2025_26Results[[#This Row],[Winning Team]]="")),"-",IF(Table4[[#This Row],[Predicted Winner]]=NHL2025_26Results[[#This Row],[Winning Team]],"YES","NO"))</f>
        <v>-</v>
      </c>
      <c r="N728" t="str">
        <f>IF(Table4[[#This Row],[Adjusted Correct]]="-", "",IF(Table4[[#This Row],[Adjusted Correct]]="YES",(Table4[[#This Row],[Strength of Win]]-1)^2,(Table4[[#This Row],[Strength of Win]]-0)^2))</f>
        <v/>
      </c>
      <c r="P728" s="11"/>
    </row>
    <row r="729" spans="4:16" x14ac:dyDescent="0.2">
      <c r="D729" s="1">
        <v>46035</v>
      </c>
      <c r="E729" s="2">
        <v>0.83333333333333337</v>
      </c>
      <c r="F729" t="s">
        <v>29</v>
      </c>
      <c r="G729">
        <f>VLOOKUP(Table4[[#This Row],[Home]],'NHL Model'!$A$6:$B$38,2,FALSE)</f>
        <v>-1.384917283810061</v>
      </c>
      <c r="H729" t="s">
        <v>17</v>
      </c>
      <c r="I729">
        <f>VLOOKUP(Table4[[#This Row],[Visitor]],'NHL Model'!$A$6:$B$38,2,FALSE)</f>
        <v>-0.81774666423752174</v>
      </c>
      <c r="J729">
        <f>($B$1+Table4[[#This Row],[Home Differential]])-Table4[[#This Row],[Away Differential]]</f>
        <v>-0.5172698706493768</v>
      </c>
      <c r="K729" t="str">
        <f>IF(Table4[[#This Row],[HomeIce Differential]]&gt;0,Table4[[#This Row],[Home]],Table4[[#This Row],[Visitor]])</f>
        <v>Edmonton Oilers</v>
      </c>
      <c r="L7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0.52039889175673426</v>
      </c>
      <c r="M729" t="str">
        <f>IF(OR((NHL2025_26Results[[#This Row],[Winning Team]]="")),"-",IF(Table4[[#This Row],[Predicted Winner]]=NHL2025_26Results[[#This Row],[Winning Team]],"YES","NO"))</f>
        <v>-</v>
      </c>
      <c r="N729" t="str">
        <f>IF(Table4[[#This Row],[Adjusted Correct]]="-", "",IF(Table4[[#This Row],[Adjusted Correct]]="YES",(Table4[[#This Row],[Strength of Win]]-1)^2,(Table4[[#This Row],[Strength of Win]]-0)^2))</f>
        <v/>
      </c>
      <c r="P729" s="11"/>
    </row>
    <row r="730" spans="4:16" x14ac:dyDescent="0.2">
      <c r="D730" s="1">
        <v>46035</v>
      </c>
      <c r="E730" s="2">
        <v>0.79166666666666663</v>
      </c>
      <c r="F730" t="s">
        <v>36</v>
      </c>
      <c r="G730">
        <f>VLOOKUP(Table4[[#This Row],[Home]],'NHL Model'!$A$6:$B$38,2,FALSE)</f>
        <v>-0.53137605086483863</v>
      </c>
      <c r="H730" t="s">
        <v>38</v>
      </c>
      <c r="I730">
        <f>VLOOKUP(Table4[[#This Row],[Visitor]],'NHL Model'!$A$6:$B$38,2,FALSE)</f>
        <v>-0.9476777551108041</v>
      </c>
      <c r="J730">
        <f>($B$1+Table4[[#This Row],[Home Differential]])-Table4[[#This Row],[Away Differential]]</f>
        <v>0.46620245316912795</v>
      </c>
      <c r="K730" t="str">
        <f>IF(Table4[[#This Row],[HomeIce Differential]]&gt;0,Table4[[#This Row],[Home]],Table4[[#This Row],[Visitor]])</f>
        <v>Ottawa Senators</v>
      </c>
      <c r="L7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0.5933581727532482</v>
      </c>
      <c r="M730" t="str">
        <f>IF(OR((NHL2025_26Results[[#This Row],[Winning Team]]="")),"-",IF(Table4[[#This Row],[Predicted Winner]]=NHL2025_26Results[[#This Row],[Winning Team]],"YES","NO"))</f>
        <v>-</v>
      </c>
      <c r="N730" t="str">
        <f>IF(Table4[[#This Row],[Adjusted Correct]]="-", "",IF(Table4[[#This Row],[Adjusted Correct]]="YES",(Table4[[#This Row],[Strength of Win]]-1)^2,(Table4[[#This Row],[Strength of Win]]-0)^2))</f>
        <v/>
      </c>
      <c r="P730" s="11"/>
    </row>
    <row r="731" spans="4:16" x14ac:dyDescent="0.2">
      <c r="D731" s="1">
        <v>46035</v>
      </c>
      <c r="E731" s="2">
        <v>0.79166666666666663</v>
      </c>
      <c r="F731" t="s">
        <v>14</v>
      </c>
      <c r="G731">
        <f>VLOOKUP(Table4[[#This Row],[Home]],'NHL Model'!$A$6:$B$38,2,FALSE)</f>
        <v>-0.14226422156549004</v>
      </c>
      <c r="H731" t="s">
        <v>37</v>
      </c>
      <c r="I731">
        <f>VLOOKUP(Table4[[#This Row],[Visitor]],'NHL Model'!$A$6:$B$38,2,FALSE)</f>
        <v>0.51050494674660429</v>
      </c>
      <c r="J731">
        <f>($B$1+Table4[[#This Row],[Home Differential]])-Table4[[#This Row],[Away Differential]]</f>
        <v>-0.60286841938893188</v>
      </c>
      <c r="K731" t="str">
        <f>IF(Table4[[#This Row],[HomeIce Differential]]&gt;0,Table4[[#This Row],[Home]],Table4[[#This Row],[Visitor]])</f>
        <v>Tampa Bay Lightning</v>
      </c>
      <c r="L7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0.62287997351179447</v>
      </c>
      <c r="M731" t="str">
        <f>IF(OR((NHL2025_26Results[[#This Row],[Winning Team]]="")),"-",IF(Table4[[#This Row],[Predicted Winner]]=NHL2025_26Results[[#This Row],[Winning Team]],"YES","NO"))</f>
        <v>-</v>
      </c>
      <c r="N731" t="str">
        <f>IF(Table4[[#This Row],[Adjusted Correct]]="-", "",IF(Table4[[#This Row],[Adjusted Correct]]="YES",(Table4[[#This Row],[Strength of Win]]-1)^2,(Table4[[#This Row],[Strength of Win]]-0)^2))</f>
        <v/>
      </c>
      <c r="P731" s="11"/>
    </row>
    <row r="732" spans="4:16" x14ac:dyDescent="0.2">
      <c r="D732" s="1">
        <v>46035</v>
      </c>
      <c r="E732" s="2">
        <v>0.8125</v>
      </c>
      <c r="F732" t="s">
        <v>35</v>
      </c>
      <c r="G732">
        <f>VLOOKUP(Table4[[#This Row],[Home]],'NHL Model'!$A$6:$B$38,2,FALSE)</f>
        <v>-1.3944783719477225</v>
      </c>
      <c r="H732" t="s">
        <v>25</v>
      </c>
      <c r="I732">
        <f>VLOOKUP(Table4[[#This Row],[Visitor]],'NHL Model'!$A$6:$B$38,2,FALSE)</f>
        <v>0.42567513732855267</v>
      </c>
      <c r="J732">
        <f>($B$1+Table4[[#This Row],[Home Differential]])-Table4[[#This Row],[Away Differential]]</f>
        <v>-1.7702527603531126</v>
      </c>
      <c r="K732" t="str">
        <f>IF(Table4[[#This Row],[HomeIce Differential]]&gt;0,Table4[[#This Row],[Home]],Table4[[#This Row],[Visitor]])</f>
        <v>Carolina Hurricanes</v>
      </c>
      <c r="L7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0.73932630594511184</v>
      </c>
      <c r="M732" t="str">
        <f>IF(OR((NHL2025_26Results[[#This Row],[Winning Team]]="")),"-",IF(Table4[[#This Row],[Predicted Winner]]=NHL2025_26Results[[#This Row],[Winning Team]],"YES","NO"))</f>
        <v>-</v>
      </c>
      <c r="N732" t="str">
        <f>IF(Table4[[#This Row],[Adjusted Correct]]="-", "",IF(Table4[[#This Row],[Adjusted Correct]]="YES",(Table4[[#This Row],[Strength of Win]]-1)^2,(Table4[[#This Row],[Strength of Win]]-0)^2))</f>
        <v/>
      </c>
      <c r="P732" s="11"/>
    </row>
    <row r="733" spans="4:16" x14ac:dyDescent="0.2">
      <c r="D733" s="1">
        <v>46035</v>
      </c>
      <c r="E733" s="2">
        <v>0.91666666666666663</v>
      </c>
      <c r="F733" t="s">
        <v>55</v>
      </c>
      <c r="G733">
        <f>VLOOKUP(Table4[[#This Row],[Home]],'NHL Model'!$A$6:$B$38,2,FALSE)</f>
        <v>-0.4031232890211825</v>
      </c>
      <c r="H733" t="s">
        <v>19</v>
      </c>
      <c r="I733">
        <f>VLOOKUP(Table4[[#This Row],[Visitor]],'NHL Model'!$A$6:$B$38,2,FALSE)</f>
        <v>-0.63447859131898054</v>
      </c>
      <c r="J733">
        <f>($B$1+Table4[[#This Row],[Home Differential]])-Table4[[#This Row],[Away Differential]]</f>
        <v>0.28125605122096053</v>
      </c>
      <c r="K733" t="str">
        <f>IF(Table4[[#This Row],[HomeIce Differential]]&gt;0,Table4[[#This Row],[Home]],Table4[[#This Row],[Visitor]])</f>
        <v>Utah Mammoth</v>
      </c>
      <c r="L7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0.61327197246920206</v>
      </c>
      <c r="M733" t="str">
        <f>IF(OR((NHL2025_26Results[[#This Row],[Winning Team]]="")),"-",IF(Table4[[#This Row],[Predicted Winner]]=NHL2025_26Results[[#This Row],[Winning Team]],"YES","NO"))</f>
        <v>-</v>
      </c>
      <c r="N733" t="str">
        <f>IF(Table4[[#This Row],[Adjusted Correct]]="-", "",IF(Table4[[#This Row],[Adjusted Correct]]="YES",(Table4[[#This Row],[Strength of Win]]-1)^2,(Table4[[#This Row],[Strength of Win]]-0)^2))</f>
        <v/>
      </c>
      <c r="P733" s="11"/>
    </row>
    <row r="734" spans="4:16" x14ac:dyDescent="0.2">
      <c r="D734" s="1">
        <v>46035</v>
      </c>
      <c r="E734" s="2">
        <v>0.83333333333333337</v>
      </c>
      <c r="F734" t="s">
        <v>40</v>
      </c>
      <c r="G734">
        <f>VLOOKUP(Table4[[#This Row],[Home]],'NHL Model'!$A$6:$B$38,2,FALSE)</f>
        <v>-0.31324182378279158</v>
      </c>
      <c r="H734" t="s">
        <v>30</v>
      </c>
      <c r="I734">
        <f>VLOOKUP(Table4[[#This Row],[Visitor]],'NHL Model'!$A$6:$B$38,2,FALSE)</f>
        <v>-0.24093199744133265</v>
      </c>
      <c r="J734">
        <f>($B$1+Table4[[#This Row],[Home Differential]])-Table4[[#This Row],[Away Differential]]</f>
        <v>-2.2409077418296452E-2</v>
      </c>
      <c r="K734" t="str">
        <f>IF(Table4[[#This Row],[HomeIce Differential]]&gt;0,Table4[[#This Row],[Home]],Table4[[#This Row],[Visitor]])</f>
        <v>New York Islanders</v>
      </c>
      <c r="L7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0.53273707245067492</v>
      </c>
      <c r="M734" t="str">
        <f>IF(OR((NHL2025_26Results[[#This Row],[Winning Team]]="")),"-",IF(Table4[[#This Row],[Predicted Winner]]=NHL2025_26Results[[#This Row],[Winning Team]],"YES","NO"))</f>
        <v>-</v>
      </c>
      <c r="N734" t="str">
        <f>IF(Table4[[#This Row],[Adjusted Correct]]="-", "",IF(Table4[[#This Row],[Adjusted Correct]]="YES",(Table4[[#This Row],[Strength of Win]]-1)^2,(Table4[[#This Row],[Strength of Win]]-0)^2))</f>
        <v/>
      </c>
      <c r="P734" s="11"/>
    </row>
    <row r="735" spans="4:16" x14ac:dyDescent="0.2">
      <c r="D735" s="1">
        <v>46035</v>
      </c>
      <c r="E735" s="2">
        <v>0.79166666666666663</v>
      </c>
      <c r="F735" t="s">
        <v>22</v>
      </c>
      <c r="G735">
        <f>VLOOKUP(Table4[[#This Row],[Home]],'NHL Model'!$A$6:$B$38,2,FALSE)</f>
        <v>0.4407072328537569</v>
      </c>
      <c r="H735" t="s">
        <v>18</v>
      </c>
      <c r="I735">
        <f>VLOOKUP(Table4[[#This Row],[Visitor]],'NHL Model'!$A$6:$B$38,2,FALSE)</f>
        <v>-0.59288962827382519</v>
      </c>
      <c r="J735">
        <f>($B$1+Table4[[#This Row],[Home Differential]])-Table4[[#This Row],[Away Differential]]</f>
        <v>1.0834976100507445</v>
      </c>
      <c r="K735" t="str">
        <f>IF(Table4[[#This Row],[HomeIce Differential]]&gt;0,Table4[[#This Row],[Home]],Table4[[#This Row],[Visitor]])</f>
        <v>Washington Capitals</v>
      </c>
      <c r="L7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0.63355659077796267</v>
      </c>
      <c r="M735" t="str">
        <f>IF(OR((NHL2025_26Results[[#This Row],[Winning Team]]="")),"-",IF(Table4[[#This Row],[Predicted Winner]]=NHL2025_26Results[[#This Row],[Winning Team]],"YES","NO"))</f>
        <v>-</v>
      </c>
      <c r="N735" t="str">
        <f>IF(Table4[[#This Row],[Adjusted Correct]]="-", "",IF(Table4[[#This Row],[Adjusted Correct]]="YES",(Table4[[#This Row],[Strength of Win]]-1)^2,(Table4[[#This Row],[Strength of Win]]-0)^2))</f>
        <v/>
      </c>
      <c r="P735" s="11"/>
    </row>
    <row r="736" spans="4:16" x14ac:dyDescent="0.2">
      <c r="D736" s="1">
        <v>46036</v>
      </c>
      <c r="E736" s="2">
        <v>0.8125</v>
      </c>
      <c r="F736" t="s">
        <v>23</v>
      </c>
      <c r="G736">
        <f>VLOOKUP(Table4[[#This Row],[Home]],'NHL Model'!$A$6:$B$38,2,FALSE)</f>
        <v>-0.4761104357405897</v>
      </c>
      <c r="H736" t="s">
        <v>27</v>
      </c>
      <c r="I736">
        <f>VLOOKUP(Table4[[#This Row],[Visitor]],'NHL Model'!$A$6:$B$38,2,FALSE)</f>
        <v>-0.38023958350631604</v>
      </c>
      <c r="J736">
        <f>($B$1+Table4[[#This Row],[Home Differential]])-Table4[[#This Row],[Away Differential]]</f>
        <v>-4.5970103311111177E-2</v>
      </c>
      <c r="K736" t="str">
        <f>IF(Table4[[#This Row],[HomeIce Differential]]&gt;0,Table4[[#This Row],[Home]],Table4[[#This Row],[Visitor]])</f>
        <v>Philadelphia Flyers</v>
      </c>
      <c r="L7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0.49767538033956632</v>
      </c>
      <c r="M736" t="str">
        <f>IF(OR((NHL2025_26Results[[#This Row],[Winning Team]]="")),"-",IF(Table4[[#This Row],[Predicted Winner]]=NHL2025_26Results[[#This Row],[Winning Team]],"YES","NO"))</f>
        <v>-</v>
      </c>
      <c r="N736" t="str">
        <f>IF(Table4[[#This Row],[Adjusted Correct]]="-", "",IF(Table4[[#This Row],[Adjusted Correct]]="YES",(Table4[[#This Row],[Strength of Win]]-1)^2,(Table4[[#This Row],[Strength of Win]]-0)^2))</f>
        <v/>
      </c>
      <c r="P736" s="11"/>
    </row>
    <row r="737" spans="4:16" x14ac:dyDescent="0.2">
      <c r="D737" s="1">
        <v>46036</v>
      </c>
      <c r="E737" s="2">
        <v>0.91666666666666663</v>
      </c>
      <c r="F737" t="s">
        <v>13</v>
      </c>
      <c r="G737">
        <f>VLOOKUP(Table4[[#This Row],[Home]],'NHL Model'!$A$6:$B$38,2,FALSE)</f>
        <v>-0.33828359867721369</v>
      </c>
      <c r="H737" t="s">
        <v>20</v>
      </c>
      <c r="I737">
        <f>VLOOKUP(Table4[[#This Row],[Visitor]],'NHL Model'!$A$6:$B$38,2,FALSE)</f>
        <v>-0.24444083032063643</v>
      </c>
      <c r="J737">
        <f>($B$1+Table4[[#This Row],[Home Differential]])-Table4[[#This Row],[Away Differential]]</f>
        <v>-4.3942019433414775E-2</v>
      </c>
      <c r="K737" t="str">
        <f>IF(Table4[[#This Row],[HomeIce Differential]]&gt;0,Table4[[#This Row],[Home]],Table4[[#This Row],[Visitor]])</f>
        <v>Vegas Golden Knights</v>
      </c>
      <c r="L7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0.46513087930677127</v>
      </c>
      <c r="M737" t="str">
        <f>IF(OR((NHL2025_26Results[[#This Row],[Winning Team]]="")),"-",IF(Table4[[#This Row],[Predicted Winner]]=NHL2025_26Results[[#This Row],[Winning Team]],"YES","NO"))</f>
        <v>-</v>
      </c>
      <c r="N737" t="str">
        <f>IF(Table4[[#This Row],[Adjusted Correct]]="-", "",IF(Table4[[#This Row],[Adjusted Correct]]="YES",(Table4[[#This Row],[Strength of Win]]-1)^2,(Table4[[#This Row],[Strength of Win]]-0)^2))</f>
        <v/>
      </c>
      <c r="P737" s="11"/>
    </row>
    <row r="738" spans="4:16" x14ac:dyDescent="0.2">
      <c r="D738" s="1">
        <v>46036</v>
      </c>
      <c r="E738" s="2">
        <v>0.79166666666666663</v>
      </c>
      <c r="F738" t="s">
        <v>24</v>
      </c>
      <c r="G738">
        <f>VLOOKUP(Table4[[#This Row],[Home]],'NHL Model'!$A$6:$B$38,2,FALSE)</f>
        <v>1.5302507646042616E-3</v>
      </c>
      <c r="H738" t="s">
        <v>32</v>
      </c>
      <c r="I738">
        <f>VLOOKUP(Table4[[#This Row],[Visitor]],'NHL Model'!$A$6:$B$38,2,FALSE)</f>
        <v>-0.64937723527808999</v>
      </c>
      <c r="J738">
        <f>($B$1+Table4[[#This Row],[Home Differential]])-Table4[[#This Row],[Away Differential]]</f>
        <v>0.70080823496585676</v>
      </c>
      <c r="K738" t="str">
        <f>IF(Table4[[#This Row],[HomeIce Differential]]&gt;0,Table4[[#This Row],[Home]],Table4[[#This Row],[Visitor]])</f>
        <v>New Jersey Devils</v>
      </c>
      <c r="L7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0.70166441536741031</v>
      </c>
      <c r="M738" t="str">
        <f>IF(OR((NHL2025_26Results[[#This Row],[Winning Team]]="")),"-",IF(Table4[[#This Row],[Predicted Winner]]=NHL2025_26Results[[#This Row],[Winning Team]],"YES","NO"))</f>
        <v>-</v>
      </c>
      <c r="N738" t="str">
        <f>IF(Table4[[#This Row],[Adjusted Correct]]="-", "",IF(Table4[[#This Row],[Adjusted Correct]]="YES",(Table4[[#This Row],[Strength of Win]]-1)^2,(Table4[[#This Row],[Strength of Win]]-0)^2))</f>
        <v/>
      </c>
      <c r="P738" s="11"/>
    </row>
    <row r="739" spans="4:16" x14ac:dyDescent="0.2">
      <c r="D739" s="1">
        <v>46036</v>
      </c>
      <c r="E739" s="2">
        <v>0.8125</v>
      </c>
      <c r="F739" t="s">
        <v>15</v>
      </c>
      <c r="G739">
        <f>VLOOKUP(Table4[[#This Row],[Home]],'NHL Model'!$A$6:$B$38,2,FALSE)</f>
        <v>-0.29003398448394263</v>
      </c>
      <c r="H739" t="s">
        <v>36</v>
      </c>
      <c r="I739">
        <f>VLOOKUP(Table4[[#This Row],[Visitor]],'NHL Model'!$A$6:$B$38,2,FALSE)</f>
        <v>-0.53137605086483863</v>
      </c>
      <c r="J739">
        <f>($B$1+Table4[[#This Row],[Home Differential]])-Table4[[#This Row],[Away Differential]]</f>
        <v>0.29124281530405849</v>
      </c>
      <c r="K739" t="str">
        <f>IF(Table4[[#This Row],[HomeIce Differential]]&gt;0,Table4[[#This Row],[Home]],Table4[[#This Row],[Visitor]])</f>
        <v>New York Rangers</v>
      </c>
      <c r="L7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0.57400689712391928</v>
      </c>
      <c r="M739" t="str">
        <f>IF(OR((NHL2025_26Results[[#This Row],[Winning Team]]="")),"-",IF(Table4[[#This Row],[Predicted Winner]]=NHL2025_26Results[[#This Row],[Winning Team]],"YES","NO"))</f>
        <v>-</v>
      </c>
      <c r="N739" t="str">
        <f>IF(Table4[[#This Row],[Adjusted Correct]]="-", "",IF(Table4[[#This Row],[Adjusted Correct]]="YES",(Table4[[#This Row],[Strength of Win]]-1)^2,(Table4[[#This Row],[Strength of Win]]-0)^2))</f>
        <v/>
      </c>
      <c r="P739" s="11"/>
    </row>
    <row r="740" spans="4:16" x14ac:dyDescent="0.2">
      <c r="D740" s="1">
        <v>46037</v>
      </c>
      <c r="E740" s="2">
        <v>0.79166666666666663</v>
      </c>
      <c r="F740" t="s">
        <v>21</v>
      </c>
      <c r="G740">
        <f>VLOOKUP(Table4[[#This Row],[Home]],'NHL Model'!$A$6:$B$38,2,FALSE)</f>
        <v>-0.21976976044773161</v>
      </c>
      <c r="H740" t="s">
        <v>32</v>
      </c>
      <c r="I740">
        <f>VLOOKUP(Table4[[#This Row],[Visitor]],'NHL Model'!$A$6:$B$38,2,FALSE)</f>
        <v>-0.64937723527808999</v>
      </c>
      <c r="J740">
        <f>($B$1+Table4[[#This Row],[Home Differential]])-Table4[[#This Row],[Away Differential]]</f>
        <v>0.47950822375352087</v>
      </c>
      <c r="K740" t="str">
        <f>IF(Table4[[#This Row],[HomeIce Differential]]&gt;0,Table4[[#This Row],[Home]],Table4[[#This Row],[Visitor]])</f>
        <v>Boston Bruins</v>
      </c>
      <c r="L7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0.63889121656365655</v>
      </c>
      <c r="M740" t="str">
        <f>IF(OR((NHL2025_26Results[[#This Row],[Winning Team]]="")),"-",IF(Table4[[#This Row],[Predicted Winner]]=NHL2025_26Results[[#This Row],[Winning Team]],"YES","NO"))</f>
        <v>-</v>
      </c>
      <c r="N740" t="str">
        <f>IF(Table4[[#This Row],[Adjusted Correct]]="-", "",IF(Table4[[#This Row],[Adjusted Correct]]="YES",(Table4[[#This Row],[Strength of Win]]-1)^2,(Table4[[#This Row],[Strength of Win]]-0)^2))</f>
        <v/>
      </c>
      <c r="P740" s="11"/>
    </row>
    <row r="741" spans="4:16" x14ac:dyDescent="0.2">
      <c r="D741" s="1">
        <v>46037</v>
      </c>
      <c r="E741" s="2">
        <v>0.79166666666666663</v>
      </c>
      <c r="F741" t="s">
        <v>23</v>
      </c>
      <c r="G741">
        <f>VLOOKUP(Table4[[#This Row],[Home]],'NHL Model'!$A$6:$B$38,2,FALSE)</f>
        <v>-0.4761104357405897</v>
      </c>
      <c r="H741" t="s">
        <v>18</v>
      </c>
      <c r="I741">
        <f>VLOOKUP(Table4[[#This Row],[Visitor]],'NHL Model'!$A$6:$B$38,2,FALSE)</f>
        <v>-0.59288962827382519</v>
      </c>
      <c r="J741">
        <f>($B$1+Table4[[#This Row],[Home Differential]])-Table4[[#This Row],[Away Differential]]</f>
        <v>0.16667994145639797</v>
      </c>
      <c r="K741" t="str">
        <f>IF(Table4[[#This Row],[HomeIce Differential]]&gt;0,Table4[[#This Row],[Home]],Table4[[#This Row],[Visitor]])</f>
        <v>Buffalo Sabres</v>
      </c>
      <c r="L7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0.51037143409448726</v>
      </c>
      <c r="M741" t="str">
        <f>IF(OR((NHL2025_26Results[[#This Row],[Winning Team]]="")),"-",IF(Table4[[#This Row],[Predicted Winner]]=NHL2025_26Results[[#This Row],[Winning Team]],"YES","NO"))</f>
        <v>-</v>
      </c>
      <c r="N741" t="str">
        <f>IF(Table4[[#This Row],[Adjusted Correct]]="-", "",IF(Table4[[#This Row],[Adjusted Correct]]="YES",(Table4[[#This Row],[Strength of Win]]-1)^2,(Table4[[#This Row],[Strength of Win]]-0)^2))</f>
        <v/>
      </c>
      <c r="P741" s="11"/>
    </row>
    <row r="742" spans="4:16" x14ac:dyDescent="0.2">
      <c r="D742" s="1">
        <v>46037</v>
      </c>
      <c r="E742" s="2">
        <v>0.79166666666666663</v>
      </c>
      <c r="F742" t="s">
        <v>28</v>
      </c>
      <c r="G742">
        <f>VLOOKUP(Table4[[#This Row],[Home]],'NHL Model'!$A$6:$B$38,2,FALSE)</f>
        <v>-0.59498940435054026</v>
      </c>
      <c r="H742" t="s">
        <v>38</v>
      </c>
      <c r="I742">
        <f>VLOOKUP(Table4[[#This Row],[Visitor]],'NHL Model'!$A$6:$B$38,2,FALSE)</f>
        <v>-0.9476777551108041</v>
      </c>
      <c r="J742">
        <f>($B$1+Table4[[#This Row],[Home Differential]])-Table4[[#This Row],[Away Differential]]</f>
        <v>0.40258909968342627</v>
      </c>
      <c r="K742" t="str">
        <f>IF(Table4[[#This Row],[HomeIce Differential]]&gt;0,Table4[[#This Row],[Home]],Table4[[#This Row],[Visitor]])</f>
        <v>Columbus Blue Jackets</v>
      </c>
      <c r="L7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0.58343206023868277</v>
      </c>
      <c r="M742" t="str">
        <f>IF(OR((NHL2025_26Results[[#This Row],[Winning Team]]="")),"-",IF(Table4[[#This Row],[Predicted Winner]]=NHL2025_26Results[[#This Row],[Winning Team]],"YES","NO"))</f>
        <v>-</v>
      </c>
      <c r="N742" t="str">
        <f>IF(Table4[[#This Row],[Adjusted Correct]]="-", "",IF(Table4[[#This Row],[Adjusted Correct]]="YES",(Table4[[#This Row],[Strength of Win]]-1)^2,(Table4[[#This Row],[Strength of Win]]-0)^2))</f>
        <v/>
      </c>
      <c r="P742" s="11"/>
    </row>
    <row r="743" spans="4:16" x14ac:dyDescent="0.2">
      <c r="D743" s="1">
        <v>46037</v>
      </c>
      <c r="E743" s="2">
        <v>0.85416666666666663</v>
      </c>
      <c r="F743" t="s">
        <v>10</v>
      </c>
      <c r="G743">
        <f>VLOOKUP(Table4[[#This Row],[Home]],'NHL Model'!$A$6:$B$38,2,FALSE)</f>
        <v>-0.17619625518431364</v>
      </c>
      <c r="H743" t="s">
        <v>16</v>
      </c>
      <c r="I743">
        <f>VLOOKUP(Table4[[#This Row],[Visitor]],'NHL Model'!$A$6:$B$38,2,FALSE)</f>
        <v>-1.0657812790446208</v>
      </c>
      <c r="J743">
        <f>($B$1+Table4[[#This Row],[Home Differential]])-Table4[[#This Row],[Away Differential]]</f>
        <v>0.93948577278346967</v>
      </c>
      <c r="K743" t="str">
        <f>IF(Table4[[#This Row],[HomeIce Differential]]&gt;0,Table4[[#This Row],[Home]],Table4[[#This Row],[Visitor]])</f>
        <v>Chicago Blackhawks</v>
      </c>
      <c r="L7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0.64969882979285987</v>
      </c>
      <c r="M743" t="str">
        <f>IF(OR((NHL2025_26Results[[#This Row],[Winning Team]]="")),"-",IF(Table4[[#This Row],[Predicted Winner]]=NHL2025_26Results[[#This Row],[Winning Team]],"YES","NO"))</f>
        <v>-</v>
      </c>
      <c r="N743" t="str">
        <f>IF(Table4[[#This Row],[Adjusted Correct]]="-", "",IF(Table4[[#This Row],[Adjusted Correct]]="YES",(Table4[[#This Row],[Strength of Win]]-1)^2,(Table4[[#This Row],[Strength of Win]]-0)^2))</f>
        <v/>
      </c>
      <c r="P743" s="11"/>
    </row>
    <row r="744" spans="4:16" x14ac:dyDescent="0.2">
      <c r="D744" s="1">
        <v>46037</v>
      </c>
      <c r="E744" s="2">
        <v>0.875</v>
      </c>
      <c r="F744" t="s">
        <v>17</v>
      </c>
      <c r="G744">
        <f>VLOOKUP(Table4[[#This Row],[Home]],'NHL Model'!$A$6:$B$38,2,FALSE)</f>
        <v>-0.81774666423752174</v>
      </c>
      <c r="H744" t="s">
        <v>30</v>
      </c>
      <c r="I744">
        <f>VLOOKUP(Table4[[#This Row],[Visitor]],'NHL Model'!$A$6:$B$38,2,FALSE)</f>
        <v>-0.24093199744133265</v>
      </c>
      <c r="J744">
        <f>($B$1+Table4[[#This Row],[Home Differential]])-Table4[[#This Row],[Away Differential]]</f>
        <v>-0.52691391787302666</v>
      </c>
      <c r="K744" t="str">
        <f>IF(Table4[[#This Row],[HomeIce Differential]]&gt;0,Table4[[#This Row],[Home]],Table4[[#This Row],[Visitor]])</f>
        <v>New York Islanders</v>
      </c>
      <c r="L7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0.58707242186154818</v>
      </c>
      <c r="M744" t="str">
        <f>IF(OR((NHL2025_26Results[[#This Row],[Winning Team]]="")),"-",IF(Table4[[#This Row],[Predicted Winner]]=NHL2025_26Results[[#This Row],[Winning Team]],"YES","NO"))</f>
        <v>-</v>
      </c>
      <c r="N744" t="str">
        <f>IF(Table4[[#This Row],[Adjusted Correct]]="-", "",IF(Table4[[#This Row],[Adjusted Correct]]="YES",(Table4[[#This Row],[Strength of Win]]-1)^2,(Table4[[#This Row],[Strength of Win]]-0)^2))</f>
        <v/>
      </c>
      <c r="P744" s="11"/>
    </row>
    <row r="745" spans="4:16" x14ac:dyDescent="0.2">
      <c r="D745" s="1">
        <v>46037</v>
      </c>
      <c r="E745" s="2">
        <v>0.83333333333333337</v>
      </c>
      <c r="F745" t="s">
        <v>34</v>
      </c>
      <c r="G745">
        <f>VLOOKUP(Table4[[#This Row],[Home]],'NHL Model'!$A$6:$B$38,2,FALSE)</f>
        <v>-5.5124787449478845E-2</v>
      </c>
      <c r="H745" t="s">
        <v>40</v>
      </c>
      <c r="I745">
        <f>VLOOKUP(Table4[[#This Row],[Visitor]],'NHL Model'!$A$6:$B$38,2,FALSE)</f>
        <v>-0.31324182378279158</v>
      </c>
      <c r="J745">
        <f>($B$1+Table4[[#This Row],[Home Differential]])-Table4[[#This Row],[Away Differential]]</f>
        <v>0.30801778525647522</v>
      </c>
      <c r="K745" t="str">
        <f>IF(Table4[[#This Row],[HomeIce Differential]]&gt;0,Table4[[#This Row],[Home]],Table4[[#This Row],[Visitor]])</f>
        <v>Minnesota Wild</v>
      </c>
      <c r="L7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0.55519639167751955</v>
      </c>
      <c r="M745" t="str">
        <f>IF(OR((NHL2025_26Results[[#This Row],[Winning Team]]="")),"-",IF(Table4[[#This Row],[Predicted Winner]]=NHL2025_26Results[[#This Row],[Winning Team]],"YES","NO"))</f>
        <v>-</v>
      </c>
      <c r="N745" t="str">
        <f>IF(Table4[[#This Row],[Adjusted Correct]]="-", "",IF(Table4[[#This Row],[Adjusted Correct]]="YES",(Table4[[#This Row],[Strength of Win]]-1)^2,(Table4[[#This Row],[Strength of Win]]-0)^2))</f>
        <v/>
      </c>
      <c r="P745" s="11"/>
    </row>
    <row r="746" spans="4:16" x14ac:dyDescent="0.2">
      <c r="D746" s="1">
        <v>46037</v>
      </c>
      <c r="E746" s="2">
        <v>0.79166666666666663</v>
      </c>
      <c r="F746" t="s">
        <v>14</v>
      </c>
      <c r="G746">
        <f>VLOOKUP(Table4[[#This Row],[Home]],'NHL Model'!$A$6:$B$38,2,FALSE)</f>
        <v>-0.14226422156549004</v>
      </c>
      <c r="H746" t="s">
        <v>27</v>
      </c>
      <c r="I746">
        <f>VLOOKUP(Table4[[#This Row],[Visitor]],'NHL Model'!$A$6:$B$38,2,FALSE)</f>
        <v>-0.38023958350631604</v>
      </c>
      <c r="J746">
        <f>($B$1+Table4[[#This Row],[Home Differential]])-Table4[[#This Row],[Away Differential]]</f>
        <v>0.28787611086398845</v>
      </c>
      <c r="K746" t="str">
        <f>IF(Table4[[#This Row],[HomeIce Differential]]&gt;0,Table4[[#This Row],[Home]],Table4[[#This Row],[Visitor]])</f>
        <v>Pittsburgh Penguins</v>
      </c>
      <c r="L7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0.53110122187745956</v>
      </c>
      <c r="M746" t="str">
        <f>IF(OR((NHL2025_26Results[[#This Row],[Winning Team]]="")),"-",IF(Table4[[#This Row],[Predicted Winner]]=NHL2025_26Results[[#This Row],[Winning Team]],"YES","NO"))</f>
        <v>-</v>
      </c>
      <c r="N746" t="str">
        <f>IF(Table4[[#This Row],[Adjusted Correct]]="-", "",IF(Table4[[#This Row],[Adjusted Correct]]="YES",(Table4[[#This Row],[Strength of Win]]-1)^2,(Table4[[#This Row],[Strength of Win]]-0)^2))</f>
        <v/>
      </c>
      <c r="P746" s="11"/>
    </row>
    <row r="747" spans="4:16" x14ac:dyDescent="0.2">
      <c r="D747" s="1">
        <v>46037</v>
      </c>
      <c r="E747" s="2">
        <v>0.875</v>
      </c>
      <c r="F747" t="s">
        <v>55</v>
      </c>
      <c r="G747">
        <f>VLOOKUP(Table4[[#This Row],[Home]],'NHL Model'!$A$6:$B$38,2,FALSE)</f>
        <v>-0.4031232890211825</v>
      </c>
      <c r="H747" t="s">
        <v>39</v>
      </c>
      <c r="I747">
        <f>VLOOKUP(Table4[[#This Row],[Visitor]],'NHL Model'!$A$6:$B$38,2,FALSE)</f>
        <v>0.41344250185511977</v>
      </c>
      <c r="J747">
        <f>($B$1+Table4[[#This Row],[Home Differential]])-Table4[[#This Row],[Away Differential]]</f>
        <v>-0.76666504195313978</v>
      </c>
      <c r="K747" t="str">
        <f>IF(Table4[[#This Row],[HomeIce Differential]]&gt;0,Table4[[#This Row],[Home]],Table4[[#This Row],[Visitor]])</f>
        <v>Dallas Stars</v>
      </c>
      <c r="L7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0.61057209039542149</v>
      </c>
      <c r="M747" t="str">
        <f>IF(OR((NHL2025_26Results[[#This Row],[Winning Team]]="")),"-",IF(Table4[[#This Row],[Predicted Winner]]=NHL2025_26Results[[#This Row],[Winning Team]],"YES","NO"))</f>
        <v>-</v>
      </c>
      <c r="N747" t="str">
        <f>IF(Table4[[#This Row],[Adjusted Correct]]="-", "",IF(Table4[[#This Row],[Adjusted Correct]]="YES",(Table4[[#This Row],[Strength of Win]]-1)^2,(Table4[[#This Row],[Strength of Win]]-0)^2))</f>
        <v/>
      </c>
      <c r="P747" s="11"/>
    </row>
    <row r="748" spans="4:16" x14ac:dyDescent="0.2">
      <c r="D748" s="1">
        <v>46037</v>
      </c>
      <c r="E748" s="2">
        <v>0.89583333333333337</v>
      </c>
      <c r="F748" t="s">
        <v>20</v>
      </c>
      <c r="G748">
        <f>VLOOKUP(Table4[[#This Row],[Home]],'NHL Model'!$A$6:$B$38,2,FALSE)</f>
        <v>-0.24444083032063643</v>
      </c>
      <c r="H748" t="s">
        <v>19</v>
      </c>
      <c r="I748">
        <f>VLOOKUP(Table4[[#This Row],[Visitor]],'NHL Model'!$A$6:$B$38,2,FALSE)</f>
        <v>-0.63447859131898054</v>
      </c>
      <c r="J748">
        <f>($B$1+Table4[[#This Row],[Home Differential]])-Table4[[#This Row],[Away Differential]]</f>
        <v>0.43993850992150657</v>
      </c>
      <c r="K748" t="str">
        <f>IF(Table4[[#This Row],[HomeIce Differential]]&gt;0,Table4[[#This Row],[Home]],Table4[[#This Row],[Visitor]])</f>
        <v>Vegas Golden Knights</v>
      </c>
      <c r="L7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0.59136931406232884</v>
      </c>
      <c r="M748" t="str">
        <f>IF(OR((NHL2025_26Results[[#This Row],[Winning Team]]="")),"-",IF(Table4[[#This Row],[Predicted Winner]]=NHL2025_26Results[[#This Row],[Winning Team]],"YES","NO"))</f>
        <v>-</v>
      </c>
      <c r="N748" t="str">
        <f>IF(Table4[[#This Row],[Adjusted Correct]]="-", "",IF(Table4[[#This Row],[Adjusted Correct]]="YES",(Table4[[#This Row],[Strength of Win]]-1)^2,(Table4[[#This Row],[Strength of Win]]-0)^2))</f>
        <v/>
      </c>
      <c r="P748" s="11"/>
    </row>
    <row r="749" spans="4:16" x14ac:dyDescent="0.2">
      <c r="D749" s="1">
        <v>46037</v>
      </c>
      <c r="E749" s="2">
        <v>0.79166666666666663</v>
      </c>
      <c r="F749" t="s">
        <v>22</v>
      </c>
      <c r="G749">
        <f>VLOOKUP(Table4[[#This Row],[Home]],'NHL Model'!$A$6:$B$38,2,FALSE)</f>
        <v>0.4407072328537569</v>
      </c>
      <c r="H749" t="s">
        <v>33</v>
      </c>
      <c r="I749">
        <f>VLOOKUP(Table4[[#This Row],[Visitor]],'NHL Model'!$A$6:$B$38,2,FALSE)</f>
        <v>-0.45133099238224339</v>
      </c>
      <c r="J749">
        <f>($B$1+Table4[[#This Row],[Home Differential]])-Table4[[#This Row],[Away Differential]]</f>
        <v>0.94193897415916283</v>
      </c>
      <c r="K749" t="str">
        <f>IF(Table4[[#This Row],[HomeIce Differential]]&gt;0,Table4[[#This Row],[Home]],Table4[[#This Row],[Visitor]])</f>
        <v>Washington Capitals</v>
      </c>
      <c r="L7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0.67602301310919677</v>
      </c>
      <c r="M749" t="str">
        <f>IF(OR((NHL2025_26Results[[#This Row],[Winning Team]]="")),"-",IF(Table4[[#This Row],[Predicted Winner]]=NHL2025_26Results[[#This Row],[Winning Team]],"YES","NO"))</f>
        <v>-</v>
      </c>
      <c r="N749" t="str">
        <f>IF(Table4[[#This Row],[Adjusted Correct]]="-", "",IF(Table4[[#This Row],[Adjusted Correct]]="YES",(Table4[[#This Row],[Strength of Win]]-1)^2,(Table4[[#This Row],[Strength of Win]]-0)^2))</f>
        <v/>
      </c>
      <c r="P749" s="11"/>
    </row>
    <row r="750" spans="4:16" x14ac:dyDescent="0.2">
      <c r="D750" s="1">
        <v>46038</v>
      </c>
      <c r="E750" s="2">
        <v>0.79166666666666663</v>
      </c>
      <c r="F750" t="s">
        <v>25</v>
      </c>
      <c r="G750">
        <f>VLOOKUP(Table4[[#This Row],[Home]],'NHL Model'!$A$6:$B$38,2,FALSE)</f>
        <v>0.42567513732855267</v>
      </c>
      <c r="H750" t="s">
        <v>11</v>
      </c>
      <c r="I750">
        <f>VLOOKUP(Table4[[#This Row],[Visitor]],'NHL Model'!$A$6:$B$38,2,FALSE)</f>
        <v>-0.39711829106410657</v>
      </c>
      <c r="J750">
        <f>($B$1+Table4[[#This Row],[Home Differential]])-Table4[[#This Row],[Away Differential]]</f>
        <v>0.87269417731582166</v>
      </c>
      <c r="K750" t="str">
        <f>IF(Table4[[#This Row],[HomeIce Differential]]&gt;0,Table4[[#This Row],[Home]],Table4[[#This Row],[Visitor]])</f>
        <v>Carolina Hurricanes</v>
      </c>
      <c r="L7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0.69361590157977926</v>
      </c>
      <c r="M750" t="str">
        <f>IF(OR((NHL2025_26Results[[#This Row],[Winning Team]]="")),"-",IF(Table4[[#This Row],[Predicted Winner]]=NHL2025_26Results[[#This Row],[Winning Team]],"YES","NO"))</f>
        <v>-</v>
      </c>
      <c r="N750" t="str">
        <f>IF(Table4[[#This Row],[Adjusted Correct]]="-", "",IF(Table4[[#This Row],[Adjusted Correct]]="YES",(Table4[[#This Row],[Strength of Win]]-1)^2,(Table4[[#This Row],[Strength of Win]]-0)^2))</f>
        <v/>
      </c>
      <c r="P750" s="11"/>
    </row>
    <row r="751" spans="4:16" x14ac:dyDescent="0.2">
      <c r="D751" s="1">
        <v>46038</v>
      </c>
      <c r="E751" s="2">
        <v>0.875</v>
      </c>
      <c r="F751" t="s">
        <v>12</v>
      </c>
      <c r="G751">
        <f>VLOOKUP(Table4[[#This Row],[Home]],'NHL Model'!$A$6:$B$38,2,FALSE)</f>
        <v>1.6319036584269762</v>
      </c>
      <c r="H751" t="s">
        <v>29</v>
      </c>
      <c r="I751">
        <f>VLOOKUP(Table4[[#This Row],[Visitor]],'NHL Model'!$A$6:$B$38,2,FALSE)</f>
        <v>-1.384917283810061</v>
      </c>
      <c r="J751">
        <f>($B$1+Table4[[#This Row],[Home Differential]])-Table4[[#This Row],[Away Differential]]</f>
        <v>3.0667216911601995</v>
      </c>
      <c r="K751" t="str">
        <f>IF(Table4[[#This Row],[HomeIce Differential]]&gt;0,Table4[[#This Row],[Home]],Table4[[#This Row],[Visitor]])</f>
        <v>Colorado Avalanche</v>
      </c>
      <c r="L7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1</v>
      </c>
      <c r="M751" t="str">
        <f>IF(OR((NHL2025_26Results[[#This Row],[Winning Team]]="")),"-",IF(Table4[[#This Row],[Predicted Winner]]=NHL2025_26Results[[#This Row],[Winning Team]],"YES","NO"))</f>
        <v>-</v>
      </c>
      <c r="N751" t="str">
        <f>IF(Table4[[#This Row],[Adjusted Correct]]="-", "",IF(Table4[[#This Row],[Adjusted Correct]]="YES",(Table4[[#This Row],[Strength of Win]]-1)^2,(Table4[[#This Row],[Strength of Win]]-0)^2))</f>
        <v/>
      </c>
      <c r="P751" s="11"/>
    </row>
    <row r="752" spans="4:16" x14ac:dyDescent="0.2">
      <c r="D752" s="1">
        <v>46038</v>
      </c>
      <c r="E752" s="2">
        <v>0.79166666666666663</v>
      </c>
      <c r="F752" t="s">
        <v>26</v>
      </c>
      <c r="G752">
        <f>VLOOKUP(Table4[[#This Row],[Home]],'NHL Model'!$A$6:$B$38,2,FALSE)</f>
        <v>-0.87533956503230947</v>
      </c>
      <c r="H752" t="s">
        <v>33</v>
      </c>
      <c r="I752">
        <f>VLOOKUP(Table4[[#This Row],[Visitor]],'NHL Model'!$A$6:$B$38,2,FALSE)</f>
        <v>-0.45133099238224339</v>
      </c>
      <c r="J752">
        <f>($B$1+Table4[[#This Row],[Home Differential]])-Table4[[#This Row],[Away Differential]]</f>
        <v>-0.37410782372690365</v>
      </c>
      <c r="K752" t="str">
        <f>IF(Table4[[#This Row],[HomeIce Differential]]&gt;0,Table4[[#This Row],[Home]],Table4[[#This Row],[Visitor]])</f>
        <v>San Jose Sharks</v>
      </c>
      <c r="L7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0.50368260985752411</v>
      </c>
      <c r="M752" t="str">
        <f>IF(OR((NHL2025_26Results[[#This Row],[Winning Team]]="")),"-",IF(Table4[[#This Row],[Predicted Winner]]=NHL2025_26Results[[#This Row],[Winning Team]],"YES","NO"))</f>
        <v>-</v>
      </c>
      <c r="N752" t="str">
        <f>IF(Table4[[#This Row],[Adjusted Correct]]="-", "",IF(Table4[[#This Row],[Adjusted Correct]]="YES",(Table4[[#This Row],[Strength of Win]]-1)^2,(Table4[[#This Row],[Strength of Win]]-0)^2))</f>
        <v/>
      </c>
      <c r="P752" s="11"/>
    </row>
    <row r="753" spans="4:16" x14ac:dyDescent="0.2">
      <c r="D753" s="1">
        <v>46038</v>
      </c>
      <c r="E753" s="2">
        <v>0.9375</v>
      </c>
      <c r="F753" t="s">
        <v>13</v>
      </c>
      <c r="G753">
        <f>VLOOKUP(Table4[[#This Row],[Home]],'NHL Model'!$A$6:$B$38,2,FALSE)</f>
        <v>-0.33828359867721369</v>
      </c>
      <c r="H753" t="s">
        <v>31</v>
      </c>
      <c r="I753">
        <f>VLOOKUP(Table4[[#This Row],[Visitor]],'NHL Model'!$A$6:$B$38,2,FALSE)</f>
        <v>0.17870302183926629</v>
      </c>
      <c r="J753">
        <f>($B$1+Table4[[#This Row],[Home Differential]])-Table4[[#This Row],[Away Differential]]</f>
        <v>-0.46708587159331749</v>
      </c>
      <c r="K753" t="str">
        <f>IF(Table4[[#This Row],[HomeIce Differential]]&gt;0,Table4[[#This Row],[Home]],Table4[[#This Row],[Visitor]])</f>
        <v>Anaheim Ducks</v>
      </c>
      <c r="L7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0.53530839997320578</v>
      </c>
      <c r="M753" t="str">
        <f>IF(OR((NHL2025_26Results[[#This Row],[Winning Team]]="")),"-",IF(Table4[[#This Row],[Predicted Winner]]=NHL2025_26Results[[#This Row],[Winning Team]],"YES","NO"))</f>
        <v>-</v>
      </c>
      <c r="N753" t="str">
        <f>IF(Table4[[#This Row],[Adjusted Correct]]="-", "",IF(Table4[[#This Row],[Adjusted Correct]]="YES",(Table4[[#This Row],[Strength of Win]]-1)^2,(Table4[[#This Row],[Strength of Win]]-0)^2))</f>
        <v/>
      </c>
      <c r="P753" s="11"/>
    </row>
    <row r="754" spans="4:16" x14ac:dyDescent="0.2">
      <c r="D754" s="1">
        <v>46038</v>
      </c>
      <c r="E754" s="2">
        <v>0.83333333333333337</v>
      </c>
      <c r="F754" t="s">
        <v>35</v>
      </c>
      <c r="G754">
        <f>VLOOKUP(Table4[[#This Row],[Home]],'NHL Model'!$A$6:$B$38,2,FALSE)</f>
        <v>-1.3944783719477225</v>
      </c>
      <c r="H754" t="s">
        <v>37</v>
      </c>
      <c r="I754">
        <f>VLOOKUP(Table4[[#This Row],[Visitor]],'NHL Model'!$A$6:$B$38,2,FALSE)</f>
        <v>0.51050494674660429</v>
      </c>
      <c r="J754">
        <f>($B$1+Table4[[#This Row],[Home Differential]])-Table4[[#This Row],[Away Differential]]</f>
        <v>-1.8550825697711644</v>
      </c>
      <c r="K754" t="str">
        <f>IF(Table4[[#This Row],[HomeIce Differential]]&gt;0,Table4[[#This Row],[Home]],Table4[[#This Row],[Visitor]])</f>
        <v>Tampa Bay Lightning</v>
      </c>
      <c r="L7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0.76909445693074763</v>
      </c>
      <c r="M754" t="str">
        <f>IF(OR((NHL2025_26Results[[#This Row],[Winning Team]]="")),"-",IF(Table4[[#This Row],[Predicted Winner]]=NHL2025_26Results[[#This Row],[Winning Team]],"YES","NO"))</f>
        <v>-</v>
      </c>
      <c r="N754" t="str">
        <f>IF(Table4[[#This Row],[Adjusted Correct]]="-", "",IF(Table4[[#This Row],[Adjusted Correct]]="YES",(Table4[[#This Row],[Strength of Win]]-1)^2,(Table4[[#This Row],[Strength of Win]]-0)^2))</f>
        <v/>
      </c>
      <c r="P754" s="11"/>
    </row>
    <row r="755" spans="4:16" x14ac:dyDescent="0.2">
      <c r="D755" s="1">
        <v>46039</v>
      </c>
      <c r="E755" s="2">
        <v>0.91666666666666663</v>
      </c>
      <c r="F755" t="s">
        <v>31</v>
      </c>
      <c r="G755">
        <f>VLOOKUP(Table4[[#This Row],[Home]],'NHL Model'!$A$6:$B$38,2,FALSE)</f>
        <v>0.17870302183926629</v>
      </c>
      <c r="H755" t="s">
        <v>13</v>
      </c>
      <c r="I755">
        <f>VLOOKUP(Table4[[#This Row],[Visitor]],'NHL Model'!$A$6:$B$38,2,FALSE)</f>
        <v>-0.33828359867721369</v>
      </c>
      <c r="J755">
        <f>($B$1+Table4[[#This Row],[Home Differential]])-Table4[[#This Row],[Away Differential]]</f>
        <v>0.56688736943964246</v>
      </c>
      <c r="K755" t="str">
        <f>IF(Table4[[#This Row],[HomeIce Differential]]&gt;0,Table4[[#This Row],[Home]],Table4[[#This Row],[Visitor]])</f>
        <v>Anaheim Ducks</v>
      </c>
      <c r="L7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0.62174802259807027</v>
      </c>
      <c r="M755" t="str">
        <f>IF(OR((NHL2025_26Results[[#This Row],[Winning Team]]="")),"-",IF(Table4[[#This Row],[Predicted Winner]]=NHL2025_26Results[[#This Row],[Winning Team]],"YES","NO"))</f>
        <v>-</v>
      </c>
      <c r="N755" t="str">
        <f>IF(Table4[[#This Row],[Adjusted Correct]]="-", "",IF(Table4[[#This Row],[Adjusted Correct]]="YES",(Table4[[#This Row],[Strength of Win]]-1)^2,(Table4[[#This Row],[Strength of Win]]-0)^2))</f>
        <v/>
      </c>
      <c r="P755" s="11"/>
    </row>
    <row r="756" spans="4:16" x14ac:dyDescent="0.2">
      <c r="D756" s="1">
        <v>46039</v>
      </c>
      <c r="E756" s="2">
        <v>0.52083333333333337</v>
      </c>
      <c r="F756" t="s">
        <v>23</v>
      </c>
      <c r="G756">
        <f>VLOOKUP(Table4[[#This Row],[Home]],'NHL Model'!$A$6:$B$38,2,FALSE)</f>
        <v>-0.4761104357405897</v>
      </c>
      <c r="H756" t="s">
        <v>34</v>
      </c>
      <c r="I756">
        <f>VLOOKUP(Table4[[#This Row],[Visitor]],'NHL Model'!$A$6:$B$38,2,FALSE)</f>
        <v>-5.5124787449478845E-2</v>
      </c>
      <c r="J756">
        <f>($B$1+Table4[[#This Row],[Home Differential]])-Table4[[#This Row],[Away Differential]]</f>
        <v>-0.37108489936794836</v>
      </c>
      <c r="K756" t="str">
        <f>IF(Table4[[#This Row],[HomeIce Differential]]&gt;0,Table4[[#This Row],[Home]],Table4[[#This Row],[Visitor]])</f>
        <v>Minnesota Wild</v>
      </c>
      <c r="L7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0.53563733113112899</v>
      </c>
      <c r="M756" t="str">
        <f>IF(OR((NHL2025_26Results[[#This Row],[Winning Team]]="")),"-",IF(Table4[[#This Row],[Predicted Winner]]=NHL2025_26Results[[#This Row],[Winning Team]],"YES","NO"))</f>
        <v>-</v>
      </c>
      <c r="N756" t="str">
        <f>IF(Table4[[#This Row],[Adjusted Correct]]="-", "",IF(Table4[[#This Row],[Adjusted Correct]]="YES",(Table4[[#This Row],[Strength of Win]]-1)^2,(Table4[[#This Row],[Strength of Win]]-0)^2))</f>
        <v/>
      </c>
      <c r="P756" s="11"/>
    </row>
    <row r="757" spans="4:16" x14ac:dyDescent="0.2">
      <c r="D757" s="1">
        <v>46039</v>
      </c>
      <c r="E757" s="2">
        <v>0.625</v>
      </c>
      <c r="F757" t="s">
        <v>16</v>
      </c>
      <c r="G757">
        <f>VLOOKUP(Table4[[#This Row],[Home]],'NHL Model'!$A$6:$B$38,2,FALSE)</f>
        <v>-1.0657812790446208</v>
      </c>
      <c r="H757" t="s">
        <v>30</v>
      </c>
      <c r="I757">
        <f>VLOOKUP(Table4[[#This Row],[Visitor]],'NHL Model'!$A$6:$B$38,2,FALSE)</f>
        <v>-0.24093199744133265</v>
      </c>
      <c r="J757">
        <f>($B$1+Table4[[#This Row],[Home Differential]])-Table4[[#This Row],[Away Differential]]</f>
        <v>-0.77494853268012576</v>
      </c>
      <c r="K757" t="str">
        <f>IF(Table4[[#This Row],[HomeIce Differential]]&gt;0,Table4[[#This Row],[Home]],Table4[[#This Row],[Visitor]])</f>
        <v>New York Islanders</v>
      </c>
      <c r="L7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0.6231098477223036</v>
      </c>
      <c r="M757" t="str">
        <f>IF(OR((NHL2025_26Results[[#This Row],[Winning Team]]="")),"-",IF(Table4[[#This Row],[Predicted Winner]]=NHL2025_26Results[[#This Row],[Winning Team]],"YES","NO"))</f>
        <v>-</v>
      </c>
      <c r="N757" t="str">
        <f>IF(Table4[[#This Row],[Adjusted Correct]]="-", "",IF(Table4[[#This Row],[Adjusted Correct]]="YES",(Table4[[#This Row],[Strength of Win]]-1)^2,(Table4[[#This Row],[Strength of Win]]-0)^2))</f>
        <v/>
      </c>
      <c r="P757" s="11"/>
    </row>
    <row r="758" spans="4:16" x14ac:dyDescent="0.2">
      <c r="D758" s="1">
        <v>46039</v>
      </c>
      <c r="E758" s="2">
        <v>0.83333333333333337</v>
      </c>
      <c r="F758" t="s">
        <v>10</v>
      </c>
      <c r="G758">
        <f>VLOOKUP(Table4[[#This Row],[Home]],'NHL Model'!$A$6:$B$38,2,FALSE)</f>
        <v>-0.17619625518431364</v>
      </c>
      <c r="H758" t="s">
        <v>21</v>
      </c>
      <c r="I758">
        <f>VLOOKUP(Table4[[#This Row],[Visitor]],'NHL Model'!$A$6:$B$38,2,FALSE)</f>
        <v>-0.21976976044773161</v>
      </c>
      <c r="J758">
        <f>($B$1+Table4[[#This Row],[Home Differential]])-Table4[[#This Row],[Away Differential]]</f>
        <v>9.3474254186580424E-2</v>
      </c>
      <c r="K758" t="str">
        <f>IF(Table4[[#This Row],[HomeIce Differential]]&gt;0,Table4[[#This Row],[Home]],Table4[[#This Row],[Visitor]])</f>
        <v>Chicago Blackhawks</v>
      </c>
      <c r="L7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0.55008500567025542</v>
      </c>
      <c r="M758" t="str">
        <f>IF(OR((NHL2025_26Results[[#This Row],[Winning Team]]="")),"-",IF(Table4[[#This Row],[Predicted Winner]]=NHL2025_26Results[[#This Row],[Winning Team]],"YES","NO"))</f>
        <v>-</v>
      </c>
      <c r="N758" t="str">
        <f>IF(Table4[[#This Row],[Adjusted Correct]]="-", "",IF(Table4[[#This Row],[Adjusted Correct]]="YES",(Table4[[#This Row],[Strength of Win]]-1)^2,(Table4[[#This Row],[Strength of Win]]-0)^2))</f>
        <v/>
      </c>
      <c r="P758" s="11"/>
    </row>
    <row r="759" spans="4:16" x14ac:dyDescent="0.2">
      <c r="D759" s="1">
        <v>46039</v>
      </c>
      <c r="E759" s="2">
        <v>0.79166666666666663</v>
      </c>
      <c r="F759" t="s">
        <v>24</v>
      </c>
      <c r="G759">
        <f>VLOOKUP(Table4[[#This Row],[Home]],'NHL Model'!$A$6:$B$38,2,FALSE)</f>
        <v>1.5302507646042616E-3</v>
      </c>
      <c r="H759" t="s">
        <v>25</v>
      </c>
      <c r="I759">
        <f>VLOOKUP(Table4[[#This Row],[Visitor]],'NHL Model'!$A$6:$B$38,2,FALSE)</f>
        <v>0.42567513732855267</v>
      </c>
      <c r="J759">
        <f>($B$1+Table4[[#This Row],[Home Differential]])-Table4[[#This Row],[Away Differential]]</f>
        <v>-0.37424413764078596</v>
      </c>
      <c r="K759" t="str">
        <f>IF(Table4[[#This Row],[HomeIce Differential]]&gt;0,Table4[[#This Row],[Home]],Table4[[#This Row],[Visitor]])</f>
        <v>Carolina Hurricanes</v>
      </c>
      <c r="L7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0.4944027518709323</v>
      </c>
      <c r="M759" t="str">
        <f>IF(OR((NHL2025_26Results[[#This Row],[Winning Team]]="")),"-",IF(Table4[[#This Row],[Predicted Winner]]=NHL2025_26Results[[#This Row],[Winning Team]],"YES","NO"))</f>
        <v>-</v>
      </c>
      <c r="N759" t="str">
        <f>IF(Table4[[#This Row],[Adjusted Correct]]="-", "",IF(Table4[[#This Row],[Adjusted Correct]]="YES",(Table4[[#This Row],[Strength of Win]]-1)^2,(Table4[[#This Row],[Strength of Win]]-0)^2))</f>
        <v/>
      </c>
      <c r="P759" s="11"/>
    </row>
    <row r="760" spans="4:16" x14ac:dyDescent="0.2">
      <c r="D760" s="1">
        <v>46039</v>
      </c>
      <c r="E760" s="2">
        <v>0.79166666666666663</v>
      </c>
      <c r="F760" t="s">
        <v>36</v>
      </c>
      <c r="G760">
        <f>VLOOKUP(Table4[[#This Row],[Home]],'NHL Model'!$A$6:$B$38,2,FALSE)</f>
        <v>-0.53137605086483863</v>
      </c>
      <c r="H760" t="s">
        <v>18</v>
      </c>
      <c r="I760">
        <f>VLOOKUP(Table4[[#This Row],[Visitor]],'NHL Model'!$A$6:$B$38,2,FALSE)</f>
        <v>-0.59288962827382519</v>
      </c>
      <c r="J760">
        <f>($B$1+Table4[[#This Row],[Home Differential]])-Table4[[#This Row],[Away Differential]]</f>
        <v>0.11141432633214904</v>
      </c>
      <c r="K760" t="str">
        <f>IF(Table4[[#This Row],[HomeIce Differential]]&gt;0,Table4[[#This Row],[Home]],Table4[[#This Row],[Visitor]])</f>
        <v>Ottawa Senators</v>
      </c>
      <c r="L7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0.49623074346744273</v>
      </c>
      <c r="M760" t="str">
        <f>IF(OR((NHL2025_26Results[[#This Row],[Winning Team]]="")),"-",IF(Table4[[#This Row],[Predicted Winner]]=NHL2025_26Results[[#This Row],[Winning Team]],"YES","NO"))</f>
        <v>-</v>
      </c>
      <c r="N760" t="str">
        <f>IF(Table4[[#This Row],[Adjusted Correct]]="-", "",IF(Table4[[#This Row],[Adjusted Correct]]="YES",(Table4[[#This Row],[Strength of Win]]-1)^2,(Table4[[#This Row],[Strength of Win]]-0)^2))</f>
        <v/>
      </c>
      <c r="P760" s="11"/>
    </row>
    <row r="761" spans="4:16" x14ac:dyDescent="0.2">
      <c r="D761" s="1">
        <v>46039</v>
      </c>
      <c r="E761" s="2">
        <v>0.54166666666666663</v>
      </c>
      <c r="F761" t="s">
        <v>27</v>
      </c>
      <c r="G761">
        <f>VLOOKUP(Table4[[#This Row],[Home]],'NHL Model'!$A$6:$B$38,2,FALSE)</f>
        <v>-0.38023958350631604</v>
      </c>
      <c r="H761" t="s">
        <v>15</v>
      </c>
      <c r="I761">
        <f>VLOOKUP(Table4[[#This Row],[Visitor]],'NHL Model'!$A$6:$B$38,2,FALSE)</f>
        <v>-0.29003398448394263</v>
      </c>
      <c r="J761">
        <f>($B$1+Table4[[#This Row],[Home Differential]])-Table4[[#This Row],[Away Differential]]</f>
        <v>-4.030485009921092E-2</v>
      </c>
      <c r="K761" t="str">
        <f>IF(Table4[[#This Row],[HomeIce Differential]]&gt;0,Table4[[#This Row],[Home]],Table4[[#This Row],[Visitor]])</f>
        <v>New York Rangers</v>
      </c>
      <c r="L7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0.55080547688635673</v>
      </c>
      <c r="M761" t="str">
        <f>IF(OR((NHL2025_26Results[[#This Row],[Winning Team]]="")),"-",IF(Table4[[#This Row],[Predicted Winner]]=NHL2025_26Results[[#This Row],[Winning Team]],"YES","NO"))</f>
        <v>-</v>
      </c>
      <c r="N761" t="str">
        <f>IF(Table4[[#This Row],[Adjusted Correct]]="-", "",IF(Table4[[#This Row],[Adjusted Correct]]="YES",(Table4[[#This Row],[Strength of Win]]-1)^2,(Table4[[#This Row],[Strength of Win]]-0)^2))</f>
        <v/>
      </c>
      <c r="P761" s="11"/>
    </row>
    <row r="762" spans="4:16" x14ac:dyDescent="0.2">
      <c r="D762" s="1">
        <v>46039</v>
      </c>
      <c r="E762" s="2">
        <v>0.79166666666666663</v>
      </c>
      <c r="F762" t="s">
        <v>14</v>
      </c>
      <c r="G762">
        <f>VLOOKUP(Table4[[#This Row],[Home]],'NHL Model'!$A$6:$B$38,2,FALSE)</f>
        <v>-0.14226422156549004</v>
      </c>
      <c r="H762" t="s">
        <v>28</v>
      </c>
      <c r="I762">
        <f>VLOOKUP(Table4[[#This Row],[Visitor]],'NHL Model'!$A$6:$B$38,2,FALSE)</f>
        <v>-0.59498940435054026</v>
      </c>
      <c r="J762">
        <f>($B$1+Table4[[#This Row],[Home Differential]])-Table4[[#This Row],[Away Differential]]</f>
        <v>0.50262593170821268</v>
      </c>
      <c r="K762" t="str">
        <f>IF(Table4[[#This Row],[HomeIce Differential]]&gt;0,Table4[[#This Row],[Home]],Table4[[#This Row],[Visitor]])</f>
        <v>Pittsburgh Penguins</v>
      </c>
      <c r="L7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0.59511283681584248</v>
      </c>
      <c r="M762" t="str">
        <f>IF(OR((NHL2025_26Results[[#This Row],[Winning Team]]="")),"-",IF(Table4[[#This Row],[Predicted Winner]]=NHL2025_26Results[[#This Row],[Winning Team]],"YES","NO"))</f>
        <v>-</v>
      </c>
      <c r="N762" t="str">
        <f>IF(Table4[[#This Row],[Adjusted Correct]]="-", "",IF(Table4[[#This Row],[Adjusted Correct]]="YES",(Table4[[#This Row],[Strength of Win]]-1)^2,(Table4[[#This Row],[Strength of Win]]-0)^2))</f>
        <v/>
      </c>
      <c r="P762" s="11"/>
    </row>
    <row r="763" spans="4:16" x14ac:dyDescent="0.2">
      <c r="D763" s="1">
        <v>46039</v>
      </c>
      <c r="E763" s="2">
        <v>0.70833333333333337</v>
      </c>
      <c r="F763" t="s">
        <v>55</v>
      </c>
      <c r="G763">
        <f>VLOOKUP(Table4[[#This Row],[Home]],'NHL Model'!$A$6:$B$38,2,FALSE)</f>
        <v>-0.4031232890211825</v>
      </c>
      <c r="H763" t="s">
        <v>32</v>
      </c>
      <c r="I763">
        <f>VLOOKUP(Table4[[#This Row],[Visitor]],'NHL Model'!$A$6:$B$38,2,FALSE)</f>
        <v>-0.64937723527808999</v>
      </c>
      <c r="J763">
        <f>($B$1+Table4[[#This Row],[Home Differential]])-Table4[[#This Row],[Away Differential]]</f>
        <v>0.29615469518006998</v>
      </c>
      <c r="K763" t="str">
        <f>IF(Table4[[#This Row],[HomeIce Differential]]&gt;0,Table4[[#This Row],[Home]],Table4[[#This Row],[Visitor]])</f>
        <v>Utah Mammoth</v>
      </c>
      <c r="L7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0.6150116090397193</v>
      </c>
      <c r="M763" t="str">
        <f>IF(OR((NHL2025_26Results[[#This Row],[Winning Team]]="")),"-",IF(Table4[[#This Row],[Predicted Winner]]=NHL2025_26Results[[#This Row],[Winning Team]],"YES","NO"))</f>
        <v>-</v>
      </c>
      <c r="N763" t="str">
        <f>IF(Table4[[#This Row],[Adjusted Correct]]="-", "",IF(Table4[[#This Row],[Adjusted Correct]]="YES",(Table4[[#This Row],[Strength of Win]]-1)^2,(Table4[[#This Row],[Strength of Win]]-0)^2))</f>
        <v/>
      </c>
      <c r="P763" s="11"/>
    </row>
    <row r="764" spans="4:16" x14ac:dyDescent="0.2">
      <c r="D764" s="1">
        <v>46039</v>
      </c>
      <c r="E764" s="2">
        <v>0.91666666666666663</v>
      </c>
      <c r="F764" t="s">
        <v>38</v>
      </c>
      <c r="G764">
        <f>VLOOKUP(Table4[[#This Row],[Home]],'NHL Model'!$A$6:$B$38,2,FALSE)</f>
        <v>-0.9476777551108041</v>
      </c>
      <c r="H764" t="s">
        <v>17</v>
      </c>
      <c r="I764">
        <f>VLOOKUP(Table4[[#This Row],[Visitor]],'NHL Model'!$A$6:$B$38,2,FALSE)</f>
        <v>-0.81774666423752174</v>
      </c>
      <c r="J764">
        <f>($B$1+Table4[[#This Row],[Home Differential]])-Table4[[#This Row],[Away Differential]]</f>
        <v>-8.0030341950119932E-2</v>
      </c>
      <c r="K764" t="str">
        <f>IF(Table4[[#This Row],[HomeIce Differential]]&gt;0,Table4[[#This Row],[Home]],Table4[[#This Row],[Visitor]])</f>
        <v>Edmonton Oilers</v>
      </c>
      <c r="L7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0.46934472358622298</v>
      </c>
      <c r="M764" t="str">
        <f>IF(OR((NHL2025_26Results[[#This Row],[Winning Team]]="")),"-",IF(Table4[[#This Row],[Predicted Winner]]=NHL2025_26Results[[#This Row],[Winning Team]],"YES","NO"))</f>
        <v>-</v>
      </c>
      <c r="N764" t="str">
        <f>IF(Table4[[#This Row],[Adjusted Correct]]="-", "",IF(Table4[[#This Row],[Adjusted Correct]]="YES",(Table4[[#This Row],[Strength of Win]]-1)^2,(Table4[[#This Row],[Strength of Win]]-0)^2))</f>
        <v/>
      </c>
      <c r="P764" s="11"/>
    </row>
    <row r="765" spans="4:16" x14ac:dyDescent="0.2">
      <c r="D765" s="1">
        <v>46039</v>
      </c>
      <c r="E765" s="2">
        <v>0.91666666666666663</v>
      </c>
      <c r="F765" t="s">
        <v>20</v>
      </c>
      <c r="G765">
        <f>VLOOKUP(Table4[[#This Row],[Home]],'NHL Model'!$A$6:$B$38,2,FALSE)</f>
        <v>-0.24444083032063643</v>
      </c>
      <c r="H765" t="s">
        <v>29</v>
      </c>
      <c r="I765">
        <f>VLOOKUP(Table4[[#This Row],[Visitor]],'NHL Model'!$A$6:$B$38,2,FALSE)</f>
        <v>-1.384917283810061</v>
      </c>
      <c r="J765">
        <f>($B$1+Table4[[#This Row],[Home Differential]])-Table4[[#This Row],[Away Differential]]</f>
        <v>1.1903772024125869</v>
      </c>
      <c r="K765" t="str">
        <f>IF(Table4[[#This Row],[HomeIce Differential]]&gt;0,Table4[[#This Row],[Home]],Table4[[#This Row],[Visitor]])</f>
        <v>Vegas Golden Knights</v>
      </c>
      <c r="L7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0.67899410709528163</v>
      </c>
      <c r="M765" t="str">
        <f>IF(OR((NHL2025_26Results[[#This Row],[Winning Team]]="")),"-",IF(Table4[[#This Row],[Predicted Winner]]=NHL2025_26Results[[#This Row],[Winning Team]],"YES","NO"))</f>
        <v>-</v>
      </c>
      <c r="N765" t="str">
        <f>IF(Table4[[#This Row],[Adjusted Correct]]="-", "",IF(Table4[[#This Row],[Adjusted Correct]]="YES",(Table4[[#This Row],[Strength of Win]]-1)^2,(Table4[[#This Row],[Strength of Win]]-0)^2))</f>
        <v/>
      </c>
      <c r="P765" s="11"/>
    </row>
    <row r="766" spans="4:16" x14ac:dyDescent="0.2">
      <c r="D766" s="1">
        <v>46039</v>
      </c>
      <c r="E766" s="2">
        <v>0.79166666666666663</v>
      </c>
      <c r="F766" t="s">
        <v>40</v>
      </c>
      <c r="G766">
        <f>VLOOKUP(Table4[[#This Row],[Home]],'NHL Model'!$A$6:$B$38,2,FALSE)</f>
        <v>-0.31324182378279158</v>
      </c>
      <c r="H766" t="s">
        <v>19</v>
      </c>
      <c r="I766">
        <f>VLOOKUP(Table4[[#This Row],[Visitor]],'NHL Model'!$A$6:$B$38,2,FALSE)</f>
        <v>-0.63447859131898054</v>
      </c>
      <c r="J766">
        <f>($B$1+Table4[[#This Row],[Home Differential]])-Table4[[#This Row],[Away Differential]]</f>
        <v>0.37113751645935145</v>
      </c>
      <c r="K766" t="str">
        <f>IF(Table4[[#This Row],[HomeIce Differential]]&gt;0,Table4[[#This Row],[Home]],Table4[[#This Row],[Visitor]])</f>
        <v>Winnipeg Jets</v>
      </c>
      <c r="L7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0.58583126184977086</v>
      </c>
      <c r="M766" t="str">
        <f>IF(OR((NHL2025_26Results[[#This Row],[Winning Team]]="")),"-",IF(Table4[[#This Row],[Predicted Winner]]=NHL2025_26Results[[#This Row],[Winning Team]],"YES","NO"))</f>
        <v>-</v>
      </c>
      <c r="N766" t="str">
        <f>IF(Table4[[#This Row],[Adjusted Correct]]="-", "",IF(Table4[[#This Row],[Adjusted Correct]]="YES",(Table4[[#This Row],[Strength of Win]]-1)^2,(Table4[[#This Row],[Strength of Win]]-0)^2))</f>
        <v/>
      </c>
      <c r="P766" s="11"/>
    </row>
    <row r="767" spans="4:16" x14ac:dyDescent="0.2">
      <c r="D767" s="1">
        <v>46039</v>
      </c>
      <c r="E767" s="2">
        <v>0.79166666666666663</v>
      </c>
      <c r="F767" t="s">
        <v>22</v>
      </c>
      <c r="G767">
        <f>VLOOKUP(Table4[[#This Row],[Home]],'NHL Model'!$A$6:$B$38,2,FALSE)</f>
        <v>0.4407072328537569</v>
      </c>
      <c r="H767" t="s">
        <v>11</v>
      </c>
      <c r="I767">
        <f>VLOOKUP(Table4[[#This Row],[Visitor]],'NHL Model'!$A$6:$B$38,2,FALSE)</f>
        <v>-0.39711829106410657</v>
      </c>
      <c r="J767">
        <f>($B$1+Table4[[#This Row],[Home Differential]])-Table4[[#This Row],[Away Differential]]</f>
        <v>0.88772627284102601</v>
      </c>
      <c r="K767" t="str">
        <f>IF(Table4[[#This Row],[HomeIce Differential]]&gt;0,Table4[[#This Row],[Home]],Table4[[#This Row],[Visitor]])</f>
        <v>Washington Capitals</v>
      </c>
      <c r="L7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0.66969288010793826</v>
      </c>
      <c r="M767" t="str">
        <f>IF(OR((NHL2025_26Results[[#This Row],[Winning Team]]="")),"-",IF(Table4[[#This Row],[Predicted Winner]]=NHL2025_26Results[[#This Row],[Winning Team]],"YES","NO"))</f>
        <v>-</v>
      </c>
      <c r="N767" t="str">
        <f>IF(Table4[[#This Row],[Adjusted Correct]]="-", "",IF(Table4[[#This Row],[Adjusted Correct]]="YES",(Table4[[#This Row],[Strength of Win]]-1)^2,(Table4[[#This Row],[Strength of Win]]-0)^2))</f>
        <v/>
      </c>
      <c r="P767" s="11"/>
    </row>
    <row r="768" spans="4:16" x14ac:dyDescent="0.2">
      <c r="D768" s="1">
        <v>46040</v>
      </c>
      <c r="E768" s="2">
        <v>0.58333333333333337</v>
      </c>
      <c r="F768" t="s">
        <v>39</v>
      </c>
      <c r="G768">
        <f>VLOOKUP(Table4[[#This Row],[Home]],'NHL Model'!$A$6:$B$38,2,FALSE)</f>
        <v>0.41344250185511977</v>
      </c>
      <c r="H768" t="s">
        <v>37</v>
      </c>
      <c r="I768">
        <f>VLOOKUP(Table4[[#This Row],[Visitor]],'NHL Model'!$A$6:$B$38,2,FALSE)</f>
        <v>0.51050494674660429</v>
      </c>
      <c r="J768">
        <f>($B$1+Table4[[#This Row],[Home Differential]])-Table4[[#This Row],[Away Differential]]</f>
        <v>-4.7161695968322037E-2</v>
      </c>
      <c r="K768" t="str">
        <f>IF(Table4[[#This Row],[HomeIce Differential]]&gt;0,Table4[[#This Row],[Home]],Table4[[#This Row],[Visitor]])</f>
        <v>Tampa Bay Lightning</v>
      </c>
      <c r="L7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0.52550682406125582</v>
      </c>
      <c r="M768" t="str">
        <f>IF(OR((NHL2025_26Results[[#This Row],[Winning Team]]="")),"-",IF(Table4[[#This Row],[Predicted Winner]]=NHL2025_26Results[[#This Row],[Winning Team]],"YES","NO"))</f>
        <v>-</v>
      </c>
      <c r="N768" t="str">
        <f>IF(Table4[[#This Row],[Adjusted Correct]]="-", "",IF(Table4[[#This Row],[Adjusted Correct]]="YES",(Table4[[#This Row],[Strength of Win]]-1)^2,(Table4[[#This Row],[Strength of Win]]-0)^2))</f>
        <v/>
      </c>
      <c r="P768" s="11"/>
    </row>
    <row r="769" spans="4:16" x14ac:dyDescent="0.2">
      <c r="D769" s="1">
        <v>46040</v>
      </c>
      <c r="E769" s="2">
        <v>0.70833333333333337</v>
      </c>
      <c r="F769" t="s">
        <v>26</v>
      </c>
      <c r="G769">
        <f>VLOOKUP(Table4[[#This Row],[Home]],'NHL Model'!$A$6:$B$38,2,FALSE)</f>
        <v>-0.87533956503230947</v>
      </c>
      <c r="H769" t="s">
        <v>36</v>
      </c>
      <c r="I769">
        <f>VLOOKUP(Table4[[#This Row],[Visitor]],'NHL Model'!$A$6:$B$38,2,FALSE)</f>
        <v>-0.53137605086483863</v>
      </c>
      <c r="J769">
        <f>($B$1+Table4[[#This Row],[Home Differential]])-Table4[[#This Row],[Away Differential]]</f>
        <v>-0.29406276524430841</v>
      </c>
      <c r="K769" t="str">
        <f>IF(Table4[[#This Row],[HomeIce Differential]]&gt;0,Table4[[#This Row],[Home]],Table4[[#This Row],[Visitor]])</f>
        <v>Ottawa Senators</v>
      </c>
      <c r="L7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0.49433616789893414</v>
      </c>
      <c r="M769" t="str">
        <f>IF(OR((NHL2025_26Results[[#This Row],[Winning Team]]="")),"-",IF(Table4[[#This Row],[Predicted Winner]]=NHL2025_26Results[[#This Row],[Winning Team]],"YES","NO"))</f>
        <v>-</v>
      </c>
      <c r="N769" t="str">
        <f>IF(Table4[[#This Row],[Adjusted Correct]]="-", "",IF(Table4[[#This Row],[Adjusted Correct]]="YES",(Table4[[#This Row],[Strength of Win]]-1)^2,(Table4[[#This Row],[Strength of Win]]-0)^2))</f>
        <v/>
      </c>
      <c r="P769" s="11"/>
    </row>
    <row r="770" spans="4:16" x14ac:dyDescent="0.2">
      <c r="D770" s="1">
        <v>46040</v>
      </c>
      <c r="E770" s="2">
        <v>0.83333333333333337</v>
      </c>
      <c r="F770" t="s">
        <v>17</v>
      </c>
      <c r="G770">
        <f>VLOOKUP(Table4[[#This Row],[Home]],'NHL Model'!$A$6:$B$38,2,FALSE)</f>
        <v>-0.81774666423752174</v>
      </c>
      <c r="H770" t="s">
        <v>35</v>
      </c>
      <c r="I770">
        <f>VLOOKUP(Table4[[#This Row],[Visitor]],'NHL Model'!$A$6:$B$38,2,FALSE)</f>
        <v>-1.3944783719477225</v>
      </c>
      <c r="J770">
        <f>($B$1+Table4[[#This Row],[Home Differential]])-Table4[[#This Row],[Away Differential]]</f>
        <v>0.6266324566333632</v>
      </c>
      <c r="K770" t="str">
        <f>IF(Table4[[#This Row],[HomeIce Differential]]&gt;0,Table4[[#This Row],[Home]],Table4[[#This Row],[Visitor]])</f>
        <v>Edmonton Oilers</v>
      </c>
      <c r="L7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0.62021453960689188</v>
      </c>
      <c r="M770" t="str">
        <f>IF(OR((NHL2025_26Results[[#This Row],[Winning Team]]="")),"-",IF(Table4[[#This Row],[Predicted Winner]]=NHL2025_26Results[[#This Row],[Winning Team]],"YES","NO"))</f>
        <v>-</v>
      </c>
      <c r="N770" t="str">
        <f>IF(Table4[[#This Row],[Adjusted Correct]]="-", "",IF(Table4[[#This Row],[Adjusted Correct]]="YES",(Table4[[#This Row],[Strength of Win]]-1)^2,(Table4[[#This Row],[Strength of Win]]-0)^2))</f>
        <v/>
      </c>
      <c r="P770" s="11"/>
    </row>
    <row r="771" spans="4:16" x14ac:dyDescent="0.2">
      <c r="D771" s="1">
        <v>46041</v>
      </c>
      <c r="E771" s="2">
        <v>0.91666666666666663</v>
      </c>
      <c r="F771" t="s">
        <v>31</v>
      </c>
      <c r="G771">
        <f>VLOOKUP(Table4[[#This Row],[Home]],'NHL Model'!$A$6:$B$38,2,FALSE)</f>
        <v>0.17870302183926629</v>
      </c>
      <c r="H771" t="s">
        <v>15</v>
      </c>
      <c r="I771">
        <f>VLOOKUP(Table4[[#This Row],[Visitor]],'NHL Model'!$A$6:$B$38,2,FALSE)</f>
        <v>-0.29003398448394263</v>
      </c>
      <c r="J771">
        <f>($B$1+Table4[[#This Row],[Home Differential]])-Table4[[#This Row],[Away Differential]]</f>
        <v>0.51863775524637135</v>
      </c>
      <c r="K771" t="str">
        <f>IF(Table4[[#This Row],[HomeIce Differential]]&gt;0,Table4[[#This Row],[Home]],Table4[[#This Row],[Visitor]])</f>
        <v>Anaheim Ducks</v>
      </c>
      <c r="L7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0.58229774290675174</v>
      </c>
      <c r="M771" t="str">
        <f>IF(OR((NHL2025_26Results[[#This Row],[Winning Team]]="")),"-",IF(Table4[[#This Row],[Predicted Winner]]=NHL2025_26Results[[#This Row],[Winning Team]],"YES","NO"))</f>
        <v>-</v>
      </c>
      <c r="N771" t="str">
        <f>IF(Table4[[#This Row],[Adjusted Correct]]="-", "",IF(Table4[[#This Row],[Adjusted Correct]]="YES",(Table4[[#This Row],[Strength of Win]]-1)^2,(Table4[[#This Row],[Strength of Win]]-0)^2))</f>
        <v/>
      </c>
      <c r="P771" s="11"/>
    </row>
    <row r="772" spans="4:16" x14ac:dyDescent="0.2">
      <c r="D772" s="1">
        <v>46041</v>
      </c>
      <c r="E772" s="2">
        <v>0.5625</v>
      </c>
      <c r="F772" t="s">
        <v>25</v>
      </c>
      <c r="G772">
        <f>VLOOKUP(Table4[[#This Row],[Home]],'NHL Model'!$A$6:$B$38,2,FALSE)</f>
        <v>0.42567513732855267</v>
      </c>
      <c r="H772" t="s">
        <v>23</v>
      </c>
      <c r="I772">
        <f>VLOOKUP(Table4[[#This Row],[Visitor]],'NHL Model'!$A$6:$B$38,2,FALSE)</f>
        <v>-0.4761104357405897</v>
      </c>
      <c r="J772">
        <f>($B$1+Table4[[#This Row],[Home Differential]])-Table4[[#This Row],[Away Differential]]</f>
        <v>0.95168632199230485</v>
      </c>
      <c r="K772" t="str">
        <f>IF(Table4[[#This Row],[HomeIce Differential]]&gt;0,Table4[[#This Row],[Home]],Table4[[#This Row],[Visitor]])</f>
        <v>Carolina Hurricanes</v>
      </c>
      <c r="L7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0.70283940031160697</v>
      </c>
      <c r="M772" t="str">
        <f>IF(OR((NHL2025_26Results[[#This Row],[Winning Team]]="")),"-",IF(Table4[[#This Row],[Predicted Winner]]=NHL2025_26Results[[#This Row],[Winning Team]],"YES","NO"))</f>
        <v>-</v>
      </c>
      <c r="N772" t="str">
        <f>IF(Table4[[#This Row],[Adjusted Correct]]="-", "",IF(Table4[[#This Row],[Adjusted Correct]]="YES",(Table4[[#This Row],[Strength of Win]]-1)^2,(Table4[[#This Row],[Strength of Win]]-0)^2))</f>
        <v/>
      </c>
      <c r="P772" s="11"/>
    </row>
    <row r="773" spans="4:16" x14ac:dyDescent="0.2">
      <c r="D773" s="1">
        <v>46041</v>
      </c>
      <c r="E773" s="2">
        <v>0.875</v>
      </c>
      <c r="F773" t="s">
        <v>16</v>
      </c>
      <c r="G773">
        <f>VLOOKUP(Table4[[#This Row],[Home]],'NHL Model'!$A$6:$B$38,2,FALSE)</f>
        <v>-1.0657812790446208</v>
      </c>
      <c r="H773" t="s">
        <v>24</v>
      </c>
      <c r="I773">
        <f>VLOOKUP(Table4[[#This Row],[Visitor]],'NHL Model'!$A$6:$B$38,2,FALSE)</f>
        <v>1.5302507646042616E-3</v>
      </c>
      <c r="J773">
        <f>($B$1+Table4[[#This Row],[Home Differential]])-Table4[[#This Row],[Away Differential]]</f>
        <v>-1.0174107808860626</v>
      </c>
      <c r="K773" t="str">
        <f>IF(Table4[[#This Row],[HomeIce Differential]]&gt;0,Table4[[#This Row],[Home]],Table4[[#This Row],[Visitor]])</f>
        <v>New Jersey Devils</v>
      </c>
      <c r="L7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0.59956695534910476</v>
      </c>
      <c r="M773" t="str">
        <f>IF(OR((NHL2025_26Results[[#This Row],[Winning Team]]="")),"-",IF(Table4[[#This Row],[Predicted Winner]]=NHL2025_26Results[[#This Row],[Winning Team]],"YES","NO"))</f>
        <v>-</v>
      </c>
      <c r="N773" t="str">
        <f>IF(Table4[[#This Row],[Adjusted Correct]]="-", "",IF(Table4[[#This Row],[Adjusted Correct]]="YES",(Table4[[#This Row],[Strength of Win]]-1)^2,(Table4[[#This Row],[Strength of Win]]-0)^2))</f>
        <v/>
      </c>
      <c r="P773" s="11"/>
    </row>
    <row r="774" spans="4:16" x14ac:dyDescent="0.2">
      <c r="D774" s="1">
        <v>46041</v>
      </c>
      <c r="E774" s="2">
        <v>0.85416666666666663</v>
      </c>
      <c r="F774" t="s">
        <v>10</v>
      </c>
      <c r="G774">
        <f>VLOOKUP(Table4[[#This Row],[Home]],'NHL Model'!$A$6:$B$38,2,FALSE)</f>
        <v>-0.17619625518431364</v>
      </c>
      <c r="H774" t="s">
        <v>40</v>
      </c>
      <c r="I774">
        <f>VLOOKUP(Table4[[#This Row],[Visitor]],'NHL Model'!$A$6:$B$38,2,FALSE)</f>
        <v>-0.31324182378279158</v>
      </c>
      <c r="J774">
        <f>($B$1+Table4[[#This Row],[Home Differential]])-Table4[[#This Row],[Away Differential]]</f>
        <v>0.1869463175216404</v>
      </c>
      <c r="K774" t="str">
        <f>IF(Table4[[#This Row],[HomeIce Differential]]&gt;0,Table4[[#This Row],[Home]],Table4[[#This Row],[Visitor]])</f>
        <v>Chicago Blackhawks</v>
      </c>
      <c r="L7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0.54105951093214566</v>
      </c>
      <c r="M774" t="str">
        <f>IF(OR((NHL2025_26Results[[#This Row],[Winning Team]]="")),"-",IF(Table4[[#This Row],[Predicted Winner]]=NHL2025_26Results[[#This Row],[Winning Team]],"YES","NO"))</f>
        <v>-</v>
      </c>
      <c r="N774" t="str">
        <f>IF(Table4[[#This Row],[Adjusted Correct]]="-", "",IF(Table4[[#This Row],[Adjusted Correct]]="YES",(Table4[[#This Row],[Strength of Win]]-1)^2,(Table4[[#This Row],[Strength of Win]]-0)^2))</f>
        <v/>
      </c>
      <c r="P774" s="11"/>
    </row>
    <row r="775" spans="4:16" x14ac:dyDescent="0.2">
      <c r="D775" s="1">
        <v>46041</v>
      </c>
      <c r="E775" s="2">
        <v>0.66666666666666663</v>
      </c>
      <c r="F775" t="s">
        <v>12</v>
      </c>
      <c r="G775">
        <f>VLOOKUP(Table4[[#This Row],[Home]],'NHL Model'!$A$6:$B$38,2,FALSE)</f>
        <v>1.6319036584269762</v>
      </c>
      <c r="H775" t="s">
        <v>22</v>
      </c>
      <c r="I775">
        <f>VLOOKUP(Table4[[#This Row],[Visitor]],'NHL Model'!$A$6:$B$38,2,FALSE)</f>
        <v>0.4407072328537569</v>
      </c>
      <c r="J775">
        <f>($B$1+Table4[[#This Row],[Home Differential]])-Table4[[#This Row],[Away Differential]]</f>
        <v>1.2410971744963817</v>
      </c>
      <c r="K775" t="str">
        <f>IF(Table4[[#This Row],[HomeIce Differential]]&gt;0,Table4[[#This Row],[Home]],Table4[[#This Row],[Visitor]])</f>
        <v>Colorado Avalanche</v>
      </c>
      <c r="L7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0.74931201680503057</v>
      </c>
      <c r="M775" t="str">
        <f>IF(OR((NHL2025_26Results[[#This Row],[Winning Team]]="")),"-",IF(Table4[[#This Row],[Predicted Winner]]=NHL2025_26Results[[#This Row],[Winning Team]],"YES","NO"))</f>
        <v>-</v>
      </c>
      <c r="N775" t="str">
        <f>IF(Table4[[#This Row],[Adjusted Correct]]="-", "",IF(Table4[[#This Row],[Adjusted Correct]]="YES",(Table4[[#This Row],[Strength of Win]]-1)^2,(Table4[[#This Row],[Strength of Win]]-0)^2))</f>
        <v/>
      </c>
      <c r="P775" s="11"/>
    </row>
    <row r="776" spans="4:16" x14ac:dyDescent="0.2">
      <c r="D776" s="1">
        <v>46041</v>
      </c>
      <c r="E776" s="2">
        <v>0.79166666666666663</v>
      </c>
      <c r="F776" t="s">
        <v>11</v>
      </c>
      <c r="G776">
        <f>VLOOKUP(Table4[[#This Row],[Home]],'NHL Model'!$A$6:$B$38,2,FALSE)</f>
        <v>-0.39711829106410657</v>
      </c>
      <c r="H776" t="s">
        <v>33</v>
      </c>
      <c r="I776">
        <f>VLOOKUP(Table4[[#This Row],[Visitor]],'NHL Model'!$A$6:$B$38,2,FALSE)</f>
        <v>-0.45133099238224339</v>
      </c>
      <c r="J776">
        <f>($B$1+Table4[[#This Row],[Home Differential]])-Table4[[#This Row],[Away Differential]]</f>
        <v>0.10411345024129931</v>
      </c>
      <c r="K776" t="str">
        <f>IF(Table4[[#This Row],[HomeIce Differential]]&gt;0,Table4[[#This Row],[Home]],Table4[[#This Row],[Visitor]])</f>
        <v>Florida Panthers</v>
      </c>
      <c r="L7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0.56617340241914338</v>
      </c>
      <c r="M776" t="str">
        <f>IF(OR((NHL2025_26Results[[#This Row],[Winning Team]]="")),"-",IF(Table4[[#This Row],[Predicted Winner]]=NHL2025_26Results[[#This Row],[Winning Team]],"YES","NO"))</f>
        <v>-</v>
      </c>
      <c r="N776" t="str">
        <f>IF(Table4[[#This Row],[Adjusted Correct]]="-", "",IF(Table4[[#This Row],[Adjusted Correct]]="YES",(Table4[[#This Row],[Strength of Win]]-1)^2,(Table4[[#This Row],[Strength of Win]]-0)^2))</f>
        <v/>
      </c>
      <c r="P776" s="11"/>
    </row>
    <row r="777" spans="4:16" x14ac:dyDescent="0.2">
      <c r="D777" s="1">
        <v>46041</v>
      </c>
      <c r="E777" s="2">
        <v>0.70833333333333337</v>
      </c>
      <c r="F777" t="s">
        <v>32</v>
      </c>
      <c r="G777">
        <f>VLOOKUP(Table4[[#This Row],[Home]],'NHL Model'!$A$6:$B$38,2,FALSE)</f>
        <v>-0.64937723527808999</v>
      </c>
      <c r="H777" t="s">
        <v>14</v>
      </c>
      <c r="I777">
        <f>VLOOKUP(Table4[[#This Row],[Visitor]],'NHL Model'!$A$6:$B$38,2,FALSE)</f>
        <v>-0.14226422156549004</v>
      </c>
      <c r="J777">
        <f>($B$1+Table4[[#This Row],[Home Differential]])-Table4[[#This Row],[Away Differential]]</f>
        <v>-0.45721226478943755</v>
      </c>
      <c r="K777" t="str">
        <f>IF(Table4[[#This Row],[HomeIce Differential]]&gt;0,Table4[[#This Row],[Home]],Table4[[#This Row],[Visitor]])</f>
        <v>Pittsburgh Penguins</v>
      </c>
      <c r="L7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0.55267301312381723</v>
      </c>
      <c r="M777" t="str">
        <f>IF(OR((NHL2025_26Results[[#This Row],[Winning Team]]="")),"-",IF(Table4[[#This Row],[Predicted Winner]]=NHL2025_26Results[[#This Row],[Winning Team]],"YES","NO"))</f>
        <v>-</v>
      </c>
      <c r="N777" t="str">
        <f>IF(Table4[[#This Row],[Adjusted Correct]]="-", "",IF(Table4[[#This Row],[Adjusted Correct]]="YES",(Table4[[#This Row],[Strength of Win]]-1)^2,(Table4[[#This Row],[Strength of Win]]-0)^2))</f>
        <v/>
      </c>
      <c r="P777" s="11"/>
    </row>
    <row r="778" spans="4:16" x14ac:dyDescent="0.2">
      <c r="D778" s="1">
        <v>46041</v>
      </c>
      <c r="E778" s="2">
        <v>0.8125</v>
      </c>
      <c r="F778" t="s">
        <v>19</v>
      </c>
      <c r="G778">
        <f>VLOOKUP(Table4[[#This Row],[Home]],'NHL Model'!$A$6:$B$38,2,FALSE)</f>
        <v>-0.63447859131898054</v>
      </c>
      <c r="H778" t="s">
        <v>34</v>
      </c>
      <c r="I778">
        <f>VLOOKUP(Table4[[#This Row],[Visitor]],'NHL Model'!$A$6:$B$38,2,FALSE)</f>
        <v>-5.5124787449478845E-2</v>
      </c>
      <c r="J778">
        <f>($B$1+Table4[[#This Row],[Home Differential]])-Table4[[#This Row],[Away Differential]]</f>
        <v>-0.52945305494633932</v>
      </c>
      <c r="K778" t="str">
        <f>IF(Table4[[#This Row],[HomeIce Differential]]&gt;0,Table4[[#This Row],[Home]],Table4[[#This Row],[Visitor]])</f>
        <v>Minnesota Wild</v>
      </c>
      <c r="L7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0.56433402114844189</v>
      </c>
      <c r="M778" t="str">
        <f>IF(OR((NHL2025_26Results[[#This Row],[Winning Team]]="")),"-",IF(Table4[[#This Row],[Predicted Winner]]=NHL2025_26Results[[#This Row],[Winning Team]],"YES","NO"))</f>
        <v>-</v>
      </c>
      <c r="N778" t="str">
        <f>IF(Table4[[#This Row],[Adjusted Correct]]="-", "",IF(Table4[[#This Row],[Adjusted Correct]]="YES",(Table4[[#This Row],[Strength of Win]]-1)^2,(Table4[[#This Row],[Strength of Win]]-0)^2))</f>
        <v/>
      </c>
      <c r="P778" s="11"/>
    </row>
    <row r="779" spans="4:16" x14ac:dyDescent="0.2">
      <c r="D779" s="1">
        <v>46041</v>
      </c>
      <c r="E779" s="2">
        <v>0.91666666666666663</v>
      </c>
      <c r="F779" t="s">
        <v>38</v>
      </c>
      <c r="G779">
        <f>VLOOKUP(Table4[[#This Row],[Home]],'NHL Model'!$A$6:$B$38,2,FALSE)</f>
        <v>-0.9476777551108041</v>
      </c>
      <c r="H779" t="s">
        <v>30</v>
      </c>
      <c r="I779">
        <f>VLOOKUP(Table4[[#This Row],[Visitor]],'NHL Model'!$A$6:$B$38,2,FALSE)</f>
        <v>-0.24093199744133265</v>
      </c>
      <c r="J779">
        <f>($B$1+Table4[[#This Row],[Home Differential]])-Table4[[#This Row],[Away Differential]]</f>
        <v>-0.65684500874630902</v>
      </c>
      <c r="K779" t="str">
        <f>IF(Table4[[#This Row],[HomeIce Differential]]&gt;0,Table4[[#This Row],[Home]],Table4[[#This Row],[Visitor]])</f>
        <v>New York Islanders</v>
      </c>
      <c r="L7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0.60931951821942276</v>
      </c>
      <c r="M779" t="str">
        <f>IF(OR((NHL2025_26Results[[#This Row],[Winning Team]]="")),"-",IF(Table4[[#This Row],[Predicted Winner]]=NHL2025_26Results[[#This Row],[Winning Team]],"YES","NO"))</f>
        <v>-</v>
      </c>
      <c r="N779" t="str">
        <f>IF(Table4[[#This Row],[Adjusted Correct]]="-", "",IF(Table4[[#This Row],[Adjusted Correct]]="YES",(Table4[[#This Row],[Strength of Win]]-1)^2,(Table4[[#This Row],[Strength of Win]]-0)^2))</f>
        <v/>
      </c>
      <c r="P779" s="11"/>
    </row>
    <row r="780" spans="4:16" x14ac:dyDescent="0.2">
      <c r="D780" s="1">
        <v>46041</v>
      </c>
      <c r="E780" s="2">
        <v>0.83333333333333337</v>
      </c>
      <c r="F780" t="s">
        <v>20</v>
      </c>
      <c r="G780">
        <f>VLOOKUP(Table4[[#This Row],[Home]],'NHL Model'!$A$6:$B$38,2,FALSE)</f>
        <v>-0.24444083032063643</v>
      </c>
      <c r="H780" t="s">
        <v>27</v>
      </c>
      <c r="I780">
        <f>VLOOKUP(Table4[[#This Row],[Visitor]],'NHL Model'!$A$6:$B$38,2,FALSE)</f>
        <v>-0.38023958350631604</v>
      </c>
      <c r="J780">
        <f>($B$1+Table4[[#This Row],[Home Differential]])-Table4[[#This Row],[Away Differential]]</f>
        <v>0.18569950210884206</v>
      </c>
      <c r="K780" t="str">
        <f>IF(Table4[[#This Row],[HomeIce Differential]]&gt;0,Table4[[#This Row],[Home]],Table4[[#This Row],[Visitor]])</f>
        <v>Vegas Golden Knights</v>
      </c>
      <c r="L7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0.51917059478617977</v>
      </c>
      <c r="M780" t="str">
        <f>IF(OR((NHL2025_26Results[[#This Row],[Winning Team]]="")),"-",IF(Table4[[#This Row],[Predicted Winner]]=NHL2025_26Results[[#This Row],[Winning Team]],"YES","NO"))</f>
        <v>-</v>
      </c>
      <c r="N780" t="str">
        <f>IF(Table4[[#This Row],[Adjusted Correct]]="-", "",IF(Table4[[#This Row],[Adjusted Correct]]="YES",(Table4[[#This Row],[Strength of Win]]-1)^2,(Table4[[#This Row],[Strength of Win]]-0)^2))</f>
        <v/>
      </c>
      <c r="P780" s="11"/>
    </row>
    <row r="781" spans="4:16" x14ac:dyDescent="0.2">
      <c r="D781" s="1">
        <v>46042</v>
      </c>
      <c r="E781" s="2">
        <v>0.79166666666666663</v>
      </c>
      <c r="F781" t="s">
        <v>28</v>
      </c>
      <c r="G781">
        <f>VLOOKUP(Table4[[#This Row],[Home]],'NHL Model'!$A$6:$B$38,2,FALSE)</f>
        <v>-0.59498940435054026</v>
      </c>
      <c r="H781" t="s">
        <v>36</v>
      </c>
      <c r="I781">
        <f>VLOOKUP(Table4[[#This Row],[Visitor]],'NHL Model'!$A$6:$B$38,2,FALSE)</f>
        <v>-0.53137605086483863</v>
      </c>
      <c r="J781">
        <f>($B$1+Table4[[#This Row],[Home Differential]])-Table4[[#This Row],[Away Differential]]</f>
        <v>-1.3712604562539199E-2</v>
      </c>
      <c r="K781" t="str">
        <f>IF(Table4[[#This Row],[HomeIce Differential]]&gt;0,Table4[[#This Row],[Home]],Table4[[#This Row],[Visitor]])</f>
        <v>Ottawa Senators</v>
      </c>
      <c r="L7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0.46160114896627552</v>
      </c>
      <c r="M781" t="str">
        <f>IF(OR((NHL2025_26Results[[#This Row],[Winning Team]]="")),"-",IF(Table4[[#This Row],[Predicted Winner]]=NHL2025_26Results[[#This Row],[Winning Team]],"YES","NO"))</f>
        <v>-</v>
      </c>
      <c r="N781" t="str">
        <f>IF(Table4[[#This Row],[Adjusted Correct]]="-", "",IF(Table4[[#This Row],[Adjusted Correct]]="YES",(Table4[[#This Row],[Strength of Win]]-1)^2,(Table4[[#This Row],[Strength of Win]]-0)^2))</f>
        <v/>
      </c>
      <c r="P781" s="11"/>
    </row>
    <row r="782" spans="4:16" x14ac:dyDescent="0.2">
      <c r="D782" s="1">
        <v>46042</v>
      </c>
      <c r="E782" s="2">
        <v>0.8125</v>
      </c>
      <c r="F782" t="s">
        <v>39</v>
      </c>
      <c r="G782">
        <f>VLOOKUP(Table4[[#This Row],[Home]],'NHL Model'!$A$6:$B$38,2,FALSE)</f>
        <v>0.41344250185511977</v>
      </c>
      <c r="H782" t="s">
        <v>21</v>
      </c>
      <c r="I782">
        <f>VLOOKUP(Table4[[#This Row],[Visitor]],'NHL Model'!$A$6:$B$38,2,FALSE)</f>
        <v>-0.21976976044773161</v>
      </c>
      <c r="J782">
        <f>($B$1+Table4[[#This Row],[Home Differential]])-Table4[[#This Row],[Away Differential]]</f>
        <v>0.68311301122601387</v>
      </c>
      <c r="K782" t="str">
        <f>IF(Table4[[#This Row],[HomeIce Differential]]&gt;0,Table4[[#This Row],[Home]],Table4[[#This Row],[Visitor]])</f>
        <v>Dallas Stars</v>
      </c>
      <c r="L7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0.65119209751769036</v>
      </c>
      <c r="M782" t="str">
        <f>IF(OR((NHL2025_26Results[[#This Row],[Winning Team]]="")),"-",IF(Table4[[#This Row],[Predicted Winner]]=NHL2025_26Results[[#This Row],[Winning Team]],"YES","NO"))</f>
        <v>-</v>
      </c>
      <c r="N782" t="str">
        <f>IF(Table4[[#This Row],[Adjusted Correct]]="-", "",IF(Table4[[#This Row],[Adjusted Correct]]="YES",(Table4[[#This Row],[Strength of Win]]-1)^2,(Table4[[#This Row],[Strength of Win]]-0)^2))</f>
        <v/>
      </c>
      <c r="P782" s="11"/>
    </row>
    <row r="783" spans="4:16" x14ac:dyDescent="0.2">
      <c r="D783" s="1">
        <v>46042</v>
      </c>
      <c r="E783" s="2">
        <v>0.91666666666666663</v>
      </c>
      <c r="F783" t="s">
        <v>17</v>
      </c>
      <c r="G783">
        <f>VLOOKUP(Table4[[#This Row],[Home]],'NHL Model'!$A$6:$B$38,2,FALSE)</f>
        <v>-0.81774666423752174</v>
      </c>
      <c r="H783" t="s">
        <v>24</v>
      </c>
      <c r="I783">
        <f>VLOOKUP(Table4[[#This Row],[Visitor]],'NHL Model'!$A$6:$B$38,2,FALSE)</f>
        <v>1.5302507646042616E-3</v>
      </c>
      <c r="J783">
        <f>($B$1+Table4[[#This Row],[Home Differential]])-Table4[[#This Row],[Away Differential]]</f>
        <v>-0.76937616607896353</v>
      </c>
      <c r="K783" t="str">
        <f>IF(Table4[[#This Row],[HomeIce Differential]]&gt;0,Table4[[#This Row],[Home]],Table4[[#This Row],[Visitor]])</f>
        <v>New Jersey Devils</v>
      </c>
      <c r="L7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0.56352023309781618</v>
      </c>
      <c r="M783" t="str">
        <f>IF(OR((NHL2025_26Results[[#This Row],[Winning Team]]="")),"-",IF(Table4[[#This Row],[Predicted Winner]]=NHL2025_26Results[[#This Row],[Winning Team]],"YES","NO"))</f>
        <v>-</v>
      </c>
      <c r="N783" t="str">
        <f>IF(Table4[[#This Row],[Adjusted Correct]]="-", "",IF(Table4[[#This Row],[Adjusted Correct]]="YES",(Table4[[#This Row],[Strength of Win]]-1)^2,(Table4[[#This Row],[Strength of Win]]-0)^2))</f>
        <v/>
      </c>
      <c r="P783" s="11"/>
    </row>
    <row r="784" spans="4:16" x14ac:dyDescent="0.2">
      <c r="D784" s="1">
        <v>46042</v>
      </c>
      <c r="E784" s="2">
        <v>0.91666666666666663</v>
      </c>
      <c r="F784" t="s">
        <v>13</v>
      </c>
      <c r="G784">
        <f>VLOOKUP(Table4[[#This Row],[Home]],'NHL Model'!$A$6:$B$38,2,FALSE)</f>
        <v>-0.33828359867721369</v>
      </c>
      <c r="H784" t="s">
        <v>15</v>
      </c>
      <c r="I784">
        <f>VLOOKUP(Table4[[#This Row],[Visitor]],'NHL Model'!$A$6:$B$38,2,FALSE)</f>
        <v>-0.29003398448394263</v>
      </c>
      <c r="J784">
        <f>($B$1+Table4[[#This Row],[Home Differential]])-Table4[[#This Row],[Away Differential]]</f>
        <v>1.6511347298914236E-3</v>
      </c>
      <c r="K784" t="str">
        <f>IF(Table4[[#This Row],[HomeIce Differential]]&gt;0,Table4[[#This Row],[Home]],Table4[[#This Row],[Visitor]])</f>
        <v>Los Angeles Kings</v>
      </c>
      <c r="L7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0.44011132795361219</v>
      </c>
      <c r="M784" t="str">
        <f>IF(OR((NHL2025_26Results[[#This Row],[Winning Team]]="")),"-",IF(Table4[[#This Row],[Predicted Winner]]=NHL2025_26Results[[#This Row],[Winning Team]],"YES","NO"))</f>
        <v>-</v>
      </c>
      <c r="N784" t="str">
        <f>IF(Table4[[#This Row],[Adjusted Correct]]="-", "",IF(Table4[[#This Row],[Adjusted Correct]]="YES",(Table4[[#This Row],[Strength of Win]]-1)^2,(Table4[[#This Row],[Strength of Win]]-0)^2))</f>
        <v/>
      </c>
      <c r="P784" s="11"/>
    </row>
    <row r="785" spans="4:16" x14ac:dyDescent="0.2">
      <c r="D785" s="1">
        <v>46042</v>
      </c>
      <c r="E785" s="2">
        <v>0.79166666666666663</v>
      </c>
      <c r="F785" t="s">
        <v>18</v>
      </c>
      <c r="G785">
        <f>VLOOKUP(Table4[[#This Row],[Home]],'NHL Model'!$A$6:$B$38,2,FALSE)</f>
        <v>-0.59288962827382519</v>
      </c>
      <c r="H785" t="s">
        <v>34</v>
      </c>
      <c r="I785">
        <f>VLOOKUP(Table4[[#This Row],[Visitor]],'NHL Model'!$A$6:$B$38,2,FALSE)</f>
        <v>-5.5124787449478845E-2</v>
      </c>
      <c r="J785">
        <f>($B$1+Table4[[#This Row],[Home Differential]])-Table4[[#This Row],[Away Differential]]</f>
        <v>-0.4878640919011839</v>
      </c>
      <c r="K785" t="str">
        <f>IF(Table4[[#This Row],[HomeIce Differential]]&gt;0,Table4[[#This Row],[Home]],Table4[[#This Row],[Visitor]])</f>
        <v>Minnesota Wild</v>
      </c>
      <c r="L7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0.5594778959036335</v>
      </c>
      <c r="M785" t="str">
        <f>IF(OR((NHL2025_26Results[[#This Row],[Winning Team]]="")),"-",IF(Table4[[#This Row],[Predicted Winner]]=NHL2025_26Results[[#This Row],[Winning Team]],"YES","NO"))</f>
        <v>-</v>
      </c>
      <c r="N785" t="str">
        <f>IF(Table4[[#This Row],[Adjusted Correct]]="-", "",IF(Table4[[#This Row],[Adjusted Correct]]="YES",(Table4[[#This Row],[Strength of Win]]-1)^2,(Table4[[#This Row],[Strength of Win]]-0)^2))</f>
        <v/>
      </c>
      <c r="P785" s="11"/>
    </row>
    <row r="786" spans="4:16" x14ac:dyDescent="0.2">
      <c r="D786" s="1">
        <v>46042</v>
      </c>
      <c r="E786" s="2">
        <v>0.83333333333333337</v>
      </c>
      <c r="F786" t="s">
        <v>29</v>
      </c>
      <c r="G786">
        <f>VLOOKUP(Table4[[#This Row],[Home]],'NHL Model'!$A$6:$B$38,2,FALSE)</f>
        <v>-1.384917283810061</v>
      </c>
      <c r="H786" t="s">
        <v>23</v>
      </c>
      <c r="I786">
        <f>VLOOKUP(Table4[[#This Row],[Visitor]],'NHL Model'!$A$6:$B$38,2,FALSE)</f>
        <v>-0.4761104357405897</v>
      </c>
      <c r="J786">
        <f>($B$1+Table4[[#This Row],[Home Differential]])-Table4[[#This Row],[Away Differential]]</f>
        <v>-0.85890609914630889</v>
      </c>
      <c r="K786" t="str">
        <f>IF(Table4[[#This Row],[HomeIce Differential]]&gt;0,Table4[[#This Row],[Home]],Table4[[#This Row],[Visitor]])</f>
        <v>Buffalo Sabres</v>
      </c>
      <c r="L7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0.5602899636246178</v>
      </c>
      <c r="M786" t="str">
        <f>IF(OR((NHL2025_26Results[[#This Row],[Winning Team]]="")),"-",IF(Table4[[#This Row],[Predicted Winner]]=NHL2025_26Results[[#This Row],[Winning Team]],"YES","NO"))</f>
        <v>-</v>
      </c>
      <c r="N786" t="str">
        <f>IF(Table4[[#This Row],[Adjusted Correct]]="-", "",IF(Table4[[#This Row],[Adjusted Correct]]="YES",(Table4[[#This Row],[Strength of Win]]-1)^2,(Table4[[#This Row],[Strength of Win]]-0)^2))</f>
        <v/>
      </c>
      <c r="P786" s="11"/>
    </row>
    <row r="787" spans="4:16" x14ac:dyDescent="0.2">
      <c r="D787" s="1">
        <v>46042</v>
      </c>
      <c r="E787" s="2">
        <v>0.79166666666666663</v>
      </c>
      <c r="F787" t="s">
        <v>37</v>
      </c>
      <c r="G787">
        <f>VLOOKUP(Table4[[#This Row],[Home]],'NHL Model'!$A$6:$B$38,2,FALSE)</f>
        <v>0.51050494674660429</v>
      </c>
      <c r="H787" t="s">
        <v>33</v>
      </c>
      <c r="I787">
        <f>VLOOKUP(Table4[[#This Row],[Visitor]],'NHL Model'!$A$6:$B$38,2,FALSE)</f>
        <v>-0.45133099238224339</v>
      </c>
      <c r="J787">
        <f>($B$1+Table4[[#This Row],[Home Differential]])-Table4[[#This Row],[Away Differential]]</f>
        <v>1.01173668805201</v>
      </c>
      <c r="K787" t="str">
        <f>IF(Table4[[#This Row],[HomeIce Differential]]&gt;0,Table4[[#This Row],[Home]],Table4[[#This Row],[Visitor]])</f>
        <v>Tampa Bay Lightning</v>
      </c>
      <c r="L7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0.69038125630616265</v>
      </c>
      <c r="M787" t="str">
        <f>IF(OR((NHL2025_26Results[[#This Row],[Winning Team]]="")),"-",IF(Table4[[#This Row],[Predicted Winner]]=NHL2025_26Results[[#This Row],[Winning Team]],"YES","NO"))</f>
        <v>-</v>
      </c>
      <c r="N787" t="str">
        <f>IF(Table4[[#This Row],[Adjusted Correct]]="-", "",IF(Table4[[#This Row],[Adjusted Correct]]="YES",(Table4[[#This Row],[Strength of Win]]-1)^2,(Table4[[#This Row],[Strength of Win]]-0)^2))</f>
        <v/>
      </c>
      <c r="P787" s="11"/>
    </row>
    <row r="788" spans="4:16" x14ac:dyDescent="0.2">
      <c r="D788" s="1">
        <v>46042</v>
      </c>
      <c r="E788" s="2">
        <v>0.83333333333333337</v>
      </c>
      <c r="F788" t="s">
        <v>40</v>
      </c>
      <c r="G788">
        <f>VLOOKUP(Table4[[#This Row],[Home]],'NHL Model'!$A$6:$B$38,2,FALSE)</f>
        <v>-0.31324182378279158</v>
      </c>
      <c r="H788" t="s">
        <v>35</v>
      </c>
      <c r="I788">
        <f>VLOOKUP(Table4[[#This Row],[Visitor]],'NHL Model'!$A$6:$B$38,2,FALSE)</f>
        <v>-1.3944783719477225</v>
      </c>
      <c r="J788">
        <f>($B$1+Table4[[#This Row],[Home Differential]])-Table4[[#This Row],[Away Differential]]</f>
        <v>1.1311372970880935</v>
      </c>
      <c r="K788" t="str">
        <f>IF(Table4[[#This Row],[HomeIce Differential]]&gt;0,Table4[[#This Row],[Home]],Table4[[#This Row],[Visitor]])</f>
        <v>Winnipeg Jets</v>
      </c>
      <c r="L7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0.67457245303438529</v>
      </c>
      <c r="M788" t="str">
        <f>IF(OR((NHL2025_26Results[[#This Row],[Winning Team]]="")),"-",IF(Table4[[#This Row],[Predicted Winner]]=NHL2025_26Results[[#This Row],[Winning Team]],"YES","NO"))</f>
        <v>-</v>
      </c>
      <c r="N788" t="str">
        <f>IF(Table4[[#This Row],[Adjusted Correct]]="-", "",IF(Table4[[#This Row],[Adjusted Correct]]="YES",(Table4[[#This Row],[Strength of Win]]-1)^2,(Table4[[#This Row],[Strength of Win]]-0)^2))</f>
        <v/>
      </c>
      <c r="P788" s="11"/>
    </row>
    <row r="789" spans="4:16" x14ac:dyDescent="0.2">
      <c r="D789" s="1">
        <v>46043</v>
      </c>
      <c r="E789" s="2">
        <v>0.89583333333333337</v>
      </c>
      <c r="F789" t="s">
        <v>16</v>
      </c>
      <c r="G789">
        <f>VLOOKUP(Table4[[#This Row],[Home]],'NHL Model'!$A$6:$B$38,2,FALSE)</f>
        <v>-1.0657812790446208</v>
      </c>
      <c r="H789" t="s">
        <v>14</v>
      </c>
      <c r="I789">
        <f>VLOOKUP(Table4[[#This Row],[Visitor]],'NHL Model'!$A$6:$B$38,2,FALSE)</f>
        <v>-0.14226422156549004</v>
      </c>
      <c r="J789">
        <f>($B$1+Table4[[#This Row],[Home Differential]])-Table4[[#This Row],[Away Differential]]</f>
        <v>-0.87361630855596839</v>
      </c>
      <c r="K789" t="str">
        <f>IF(Table4[[#This Row],[HomeIce Differential]]&gt;0,Table4[[#This Row],[Home]],Table4[[#This Row],[Visitor]])</f>
        <v>Pittsburgh Penguins</v>
      </c>
      <c r="L7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0.60129433091862239</v>
      </c>
      <c r="M789" t="str">
        <f>IF(OR((NHL2025_26Results[[#This Row],[Winning Team]]="")),"-",IF(Table4[[#This Row],[Predicted Winner]]=NHL2025_26Results[[#This Row],[Winning Team]],"YES","NO"))</f>
        <v>-</v>
      </c>
      <c r="N789" t="str">
        <f>IF(Table4[[#This Row],[Adjusted Correct]]="-", "",IF(Table4[[#This Row],[Adjusted Correct]]="YES",(Table4[[#This Row],[Strength of Win]]-1)^2,(Table4[[#This Row],[Strength of Win]]-0)^2))</f>
        <v/>
      </c>
      <c r="P789" s="11"/>
    </row>
    <row r="790" spans="4:16" x14ac:dyDescent="0.2">
      <c r="D790" s="1">
        <v>46043</v>
      </c>
      <c r="E790" s="2">
        <v>0.875</v>
      </c>
      <c r="F790" t="s">
        <v>12</v>
      </c>
      <c r="G790">
        <f>VLOOKUP(Table4[[#This Row],[Home]],'NHL Model'!$A$6:$B$38,2,FALSE)</f>
        <v>1.6319036584269762</v>
      </c>
      <c r="H790" t="s">
        <v>31</v>
      </c>
      <c r="I790">
        <f>VLOOKUP(Table4[[#This Row],[Visitor]],'NHL Model'!$A$6:$B$38,2,FALSE)</f>
        <v>0.17870302183926629</v>
      </c>
      <c r="J790">
        <f>($B$1+Table4[[#This Row],[Home Differential]])-Table4[[#This Row],[Away Differential]]</f>
        <v>1.5031013855108724</v>
      </c>
      <c r="K790" t="str">
        <f>IF(Table4[[#This Row],[HomeIce Differential]]&gt;0,Table4[[#This Row],[Home]],Table4[[#This Row],[Visitor]])</f>
        <v>Colorado Avalanche</v>
      </c>
      <c r="L7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0.8005092709515379</v>
      </c>
      <c r="M790" t="str">
        <f>IF(OR((NHL2025_26Results[[#This Row],[Winning Team]]="")),"-",IF(Table4[[#This Row],[Predicted Winner]]=NHL2025_26Results[[#This Row],[Winning Team]],"YES","NO"))</f>
        <v>-</v>
      </c>
      <c r="N790" t="str">
        <f>IF(Table4[[#This Row],[Adjusted Correct]]="-", "",IF(Table4[[#This Row],[Adjusted Correct]]="YES",(Table4[[#This Row],[Strength of Win]]-1)^2,(Table4[[#This Row],[Strength of Win]]-0)^2))</f>
        <v/>
      </c>
      <c r="P790" s="11"/>
    </row>
    <row r="791" spans="4:16" x14ac:dyDescent="0.2">
      <c r="D791" s="1">
        <v>46043</v>
      </c>
      <c r="E791" s="2">
        <v>0.89583333333333337</v>
      </c>
      <c r="F791" t="s">
        <v>32</v>
      </c>
      <c r="G791">
        <f>VLOOKUP(Table4[[#This Row],[Home]],'NHL Model'!$A$6:$B$38,2,FALSE)</f>
        <v>-0.64937723527808999</v>
      </c>
      <c r="H791" t="s">
        <v>30</v>
      </c>
      <c r="I791">
        <f>VLOOKUP(Table4[[#This Row],[Visitor]],'NHL Model'!$A$6:$B$38,2,FALSE)</f>
        <v>-0.24093199744133265</v>
      </c>
      <c r="J791">
        <f>($B$1+Table4[[#This Row],[Home Differential]])-Table4[[#This Row],[Away Differential]]</f>
        <v>-0.35854448891359492</v>
      </c>
      <c r="K791" t="str">
        <f>IF(Table4[[#This Row],[HomeIce Differential]]&gt;0,Table4[[#This Row],[Home]],Table4[[#This Row],[Visitor]])</f>
        <v>New York Islanders</v>
      </c>
      <c r="L7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0.57448852992749844</v>
      </c>
      <c r="M791" t="str">
        <f>IF(OR((NHL2025_26Results[[#This Row],[Winning Team]]="")),"-",IF(Table4[[#This Row],[Predicted Winner]]=NHL2025_26Results[[#This Row],[Winning Team]],"YES","NO"))</f>
        <v>-</v>
      </c>
      <c r="N791" t="str">
        <f>IF(Table4[[#This Row],[Adjusted Correct]]="-", "",IF(Table4[[#This Row],[Adjusted Correct]]="YES",(Table4[[#This Row],[Strength of Win]]-1)^2,(Table4[[#This Row],[Strength of Win]]-0)^2))</f>
        <v/>
      </c>
      <c r="P791" s="11"/>
    </row>
    <row r="792" spans="4:16" x14ac:dyDescent="0.2">
      <c r="D792" s="1">
        <v>46043</v>
      </c>
      <c r="E792" s="2">
        <v>0.79166666666666663</v>
      </c>
      <c r="F792" t="s">
        <v>19</v>
      </c>
      <c r="G792">
        <f>VLOOKUP(Table4[[#This Row],[Home]],'NHL Model'!$A$6:$B$38,2,FALSE)</f>
        <v>-0.63447859131898054</v>
      </c>
      <c r="H792" t="s">
        <v>26</v>
      </c>
      <c r="I792">
        <f>VLOOKUP(Table4[[#This Row],[Visitor]],'NHL Model'!$A$6:$B$38,2,FALSE)</f>
        <v>-0.87533956503230947</v>
      </c>
      <c r="J792">
        <f>($B$1+Table4[[#This Row],[Home Differential]])-Table4[[#This Row],[Away Differential]]</f>
        <v>0.29076172263649136</v>
      </c>
      <c r="K792" t="str">
        <f>IF(Table4[[#This Row],[HomeIce Differential]]&gt;0,Table4[[#This Row],[Home]],Table4[[#This Row],[Visitor]])</f>
        <v>Toronto Maple Leafs</v>
      </c>
      <c r="L7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0.5739507224545598</v>
      </c>
      <c r="M792" t="str">
        <f>IF(OR((NHL2025_26Results[[#This Row],[Winning Team]]="")),"-",IF(Table4[[#This Row],[Predicted Winner]]=NHL2025_26Results[[#This Row],[Winning Team]],"YES","NO"))</f>
        <v>-</v>
      </c>
      <c r="N792" t="str">
        <f>IF(Table4[[#This Row],[Adjusted Correct]]="-", "",IF(Table4[[#This Row],[Adjusted Correct]]="YES",(Table4[[#This Row],[Strength of Win]]-1)^2,(Table4[[#This Row],[Strength of Win]]-0)^2))</f>
        <v/>
      </c>
      <c r="P792" s="11"/>
    </row>
    <row r="793" spans="4:16" x14ac:dyDescent="0.2">
      <c r="D793" s="1">
        <v>46043</v>
      </c>
      <c r="E793" s="2">
        <v>0.875</v>
      </c>
      <c r="F793" t="s">
        <v>55</v>
      </c>
      <c r="G793">
        <f>VLOOKUP(Table4[[#This Row],[Home]],'NHL Model'!$A$6:$B$38,2,FALSE)</f>
        <v>-0.4031232890211825</v>
      </c>
      <c r="H793" t="s">
        <v>27</v>
      </c>
      <c r="I793">
        <f>VLOOKUP(Table4[[#This Row],[Visitor]],'NHL Model'!$A$6:$B$38,2,FALSE)</f>
        <v>-0.38023958350631604</v>
      </c>
      <c r="J793">
        <f>($B$1+Table4[[#This Row],[Home Differential]])-Table4[[#This Row],[Away Differential]]</f>
        <v>2.7017043408296026E-2</v>
      </c>
      <c r="K793" t="str">
        <f>IF(Table4[[#This Row],[HomeIce Differential]]&gt;0,Table4[[#This Row],[Home]],Table4[[#This Row],[Visitor]])</f>
        <v>Utah Mammoth</v>
      </c>
      <c r="L7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0.54161617702255915</v>
      </c>
      <c r="M793" t="str">
        <f>IF(OR((NHL2025_26Results[[#This Row],[Winning Team]]="")),"-",IF(Table4[[#This Row],[Predicted Winner]]=NHL2025_26Results[[#This Row],[Winning Team]],"YES","NO"))</f>
        <v>-</v>
      </c>
      <c r="N793" t="str">
        <f>IF(Table4[[#This Row],[Adjusted Correct]]="-", "",IF(Table4[[#This Row],[Adjusted Correct]]="YES",(Table4[[#This Row],[Strength of Win]]-1)^2,(Table4[[#This Row],[Strength of Win]]-0)^2))</f>
        <v/>
      </c>
      <c r="P793" s="11"/>
    </row>
    <row r="794" spans="4:16" x14ac:dyDescent="0.2">
      <c r="D794" s="1">
        <v>46043</v>
      </c>
      <c r="E794" s="2">
        <v>0.91666666666666663</v>
      </c>
      <c r="F794" t="s">
        <v>38</v>
      </c>
      <c r="G794">
        <f>VLOOKUP(Table4[[#This Row],[Home]],'NHL Model'!$A$6:$B$38,2,FALSE)</f>
        <v>-0.9476777551108041</v>
      </c>
      <c r="H794" t="s">
        <v>22</v>
      </c>
      <c r="I794">
        <f>VLOOKUP(Table4[[#This Row],[Visitor]],'NHL Model'!$A$6:$B$38,2,FALSE)</f>
        <v>0.4407072328537569</v>
      </c>
      <c r="J794">
        <f>($B$1+Table4[[#This Row],[Home Differential]])-Table4[[#This Row],[Away Differential]]</f>
        <v>-1.3384842390413985</v>
      </c>
      <c r="K794" t="str">
        <f>IF(Table4[[#This Row],[HomeIce Differential]]&gt;0,Table4[[#This Row],[Home]],Table4[[#This Row],[Visitor]])</f>
        <v>Washington Capitals</v>
      </c>
      <c r="L7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0.65880035233961631</v>
      </c>
      <c r="M794" t="str">
        <f>IF(OR((NHL2025_26Results[[#This Row],[Winning Team]]="")),"-",IF(Table4[[#This Row],[Predicted Winner]]=NHL2025_26Results[[#This Row],[Winning Team]],"YES","NO"))</f>
        <v>-</v>
      </c>
      <c r="N794" t="str">
        <f>IF(Table4[[#This Row],[Adjusted Correct]]="-", "",IF(Table4[[#This Row],[Adjusted Correct]]="YES",(Table4[[#This Row],[Strength of Win]]-1)^2,(Table4[[#This Row],[Strength of Win]]-0)^2))</f>
        <v/>
      </c>
      <c r="P794" s="11"/>
    </row>
    <row r="795" spans="4:16" x14ac:dyDescent="0.2">
      <c r="D795" s="1">
        <v>46044</v>
      </c>
      <c r="E795" s="2">
        <v>0.79166666666666663</v>
      </c>
      <c r="F795" t="s">
        <v>21</v>
      </c>
      <c r="G795">
        <f>VLOOKUP(Table4[[#This Row],[Home]],'NHL Model'!$A$6:$B$38,2,FALSE)</f>
        <v>-0.21976976044773161</v>
      </c>
      <c r="H795" t="s">
        <v>20</v>
      </c>
      <c r="I795">
        <f>VLOOKUP(Table4[[#This Row],[Visitor]],'NHL Model'!$A$6:$B$38,2,FALSE)</f>
        <v>-0.24444083032063643</v>
      </c>
      <c r="J795">
        <f>($B$1+Table4[[#This Row],[Home Differential]])-Table4[[#This Row],[Away Differential]]</f>
        <v>7.457181879606728E-2</v>
      </c>
      <c r="K795" t="str">
        <f>IF(Table4[[#This Row],[HomeIce Differential]]&gt;0,Table4[[#This Row],[Home]],Table4[[#This Row],[Visitor]])</f>
        <v>Boston Bruins</v>
      </c>
      <c r="L7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0.59160891485008038</v>
      </c>
      <c r="M795" t="str">
        <f>IF(OR((NHL2025_26Results[[#This Row],[Winning Team]]="")),"-",IF(Table4[[#This Row],[Predicted Winner]]=NHL2025_26Results[[#This Row],[Winning Team]],"YES","NO"))</f>
        <v>-</v>
      </c>
      <c r="N795" t="str">
        <f>IF(Table4[[#This Row],[Adjusted Correct]]="-", "",IF(Table4[[#This Row],[Adjusted Correct]]="YES",(Table4[[#This Row],[Strength of Win]]-1)^2,(Table4[[#This Row],[Strength of Win]]-0)^2))</f>
        <v/>
      </c>
      <c r="P795" s="11"/>
    </row>
    <row r="796" spans="4:16" x14ac:dyDescent="0.2">
      <c r="D796" s="1">
        <v>46044</v>
      </c>
      <c r="E796" s="2">
        <v>0.79166666666666663</v>
      </c>
      <c r="F796" t="s">
        <v>25</v>
      </c>
      <c r="G796">
        <f>VLOOKUP(Table4[[#This Row],[Home]],'NHL Model'!$A$6:$B$38,2,FALSE)</f>
        <v>0.42567513732855267</v>
      </c>
      <c r="H796" t="s">
        <v>10</v>
      </c>
      <c r="I796">
        <f>VLOOKUP(Table4[[#This Row],[Visitor]],'NHL Model'!$A$6:$B$38,2,FALSE)</f>
        <v>-0.17619625518431364</v>
      </c>
      <c r="J796">
        <f>($B$1+Table4[[#This Row],[Home Differential]])-Table4[[#This Row],[Away Differential]]</f>
        <v>0.6517721414360288</v>
      </c>
      <c r="K796" t="str">
        <f>IF(Table4[[#This Row],[HomeIce Differential]]&gt;0,Table4[[#This Row],[Home]],Table4[[#This Row],[Visitor]])</f>
        <v>Carolina Hurricanes</v>
      </c>
      <c r="L7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0.66781999331427422</v>
      </c>
      <c r="M796" t="str">
        <f>IF(OR((NHL2025_26Results[[#This Row],[Winning Team]]="")),"-",IF(Table4[[#This Row],[Predicted Winner]]=NHL2025_26Results[[#This Row],[Winning Team]],"YES","NO"))</f>
        <v>-</v>
      </c>
      <c r="N796" t="str">
        <f>IF(Table4[[#This Row],[Adjusted Correct]]="-", "",IF(Table4[[#This Row],[Adjusted Correct]]="YES",(Table4[[#This Row],[Strength of Win]]-1)^2,(Table4[[#This Row],[Strength of Win]]-0)^2))</f>
        <v/>
      </c>
      <c r="P796" s="11"/>
    </row>
    <row r="797" spans="4:16" x14ac:dyDescent="0.2">
      <c r="D797" s="1">
        <v>46044</v>
      </c>
      <c r="E797" s="2">
        <v>0.79166666666666663</v>
      </c>
      <c r="F797" t="s">
        <v>28</v>
      </c>
      <c r="G797">
        <f>VLOOKUP(Table4[[#This Row],[Home]],'NHL Model'!$A$6:$B$38,2,FALSE)</f>
        <v>-0.59498940435054026</v>
      </c>
      <c r="H797" t="s">
        <v>39</v>
      </c>
      <c r="I797">
        <f>VLOOKUP(Table4[[#This Row],[Visitor]],'NHL Model'!$A$6:$B$38,2,FALSE)</f>
        <v>0.41344250185511977</v>
      </c>
      <c r="J797">
        <f>($B$1+Table4[[#This Row],[Home Differential]])-Table4[[#This Row],[Away Differential]]</f>
        <v>-0.9585311572824976</v>
      </c>
      <c r="K797" t="str">
        <f>IF(Table4[[#This Row],[HomeIce Differential]]&gt;0,Table4[[#This Row],[Home]],Table4[[#This Row],[Visitor]])</f>
        <v>Dallas Stars</v>
      </c>
      <c r="L7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0.67372041233192359</v>
      </c>
      <c r="M797" t="str">
        <f>IF(OR((NHL2025_26Results[[#This Row],[Winning Team]]="")),"-",IF(Table4[[#This Row],[Predicted Winner]]=NHL2025_26Results[[#This Row],[Winning Team]],"YES","NO"))</f>
        <v>-</v>
      </c>
      <c r="N797" t="str">
        <f>IF(Table4[[#This Row],[Adjusted Correct]]="-", "",IF(Table4[[#This Row],[Adjusted Correct]]="YES",(Table4[[#This Row],[Strength of Win]]-1)^2,(Table4[[#This Row],[Strength of Win]]-0)^2))</f>
        <v/>
      </c>
      <c r="P797" s="11"/>
    </row>
    <row r="798" spans="4:16" x14ac:dyDescent="0.2">
      <c r="D798" s="1">
        <v>46044</v>
      </c>
      <c r="E798" s="2">
        <v>0.875</v>
      </c>
      <c r="F798" t="s">
        <v>17</v>
      </c>
      <c r="G798">
        <f>VLOOKUP(Table4[[#This Row],[Home]],'NHL Model'!$A$6:$B$38,2,FALSE)</f>
        <v>-0.81774666423752174</v>
      </c>
      <c r="H798" t="s">
        <v>14</v>
      </c>
      <c r="I798">
        <f>VLOOKUP(Table4[[#This Row],[Visitor]],'NHL Model'!$A$6:$B$38,2,FALSE)</f>
        <v>-0.14226422156549004</v>
      </c>
      <c r="J798">
        <f>($B$1+Table4[[#This Row],[Home Differential]])-Table4[[#This Row],[Away Differential]]</f>
        <v>-0.62558169374886929</v>
      </c>
      <c r="K798" t="str">
        <f>IF(Table4[[#This Row],[HomeIce Differential]]&gt;0,Table4[[#This Row],[Home]],Table4[[#This Row],[Visitor]])</f>
        <v>Pittsburgh Penguins</v>
      </c>
      <c r="L7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0.56523339567201758</v>
      </c>
      <c r="M798" t="str">
        <f>IF(OR((NHL2025_26Results[[#This Row],[Winning Team]]="")),"-",IF(Table4[[#This Row],[Predicted Winner]]=NHL2025_26Results[[#This Row],[Winning Team]],"YES","NO"))</f>
        <v>-</v>
      </c>
      <c r="N798" t="str">
        <f>IF(Table4[[#This Row],[Adjusted Correct]]="-", "",IF(Table4[[#This Row],[Adjusted Correct]]="YES",(Table4[[#This Row],[Strength of Win]]-1)^2,(Table4[[#This Row],[Strength of Win]]-0)^2))</f>
        <v/>
      </c>
      <c r="P798" s="11"/>
    </row>
    <row r="799" spans="4:16" x14ac:dyDescent="0.2">
      <c r="D799" s="1">
        <v>46044</v>
      </c>
      <c r="E799" s="2">
        <v>0.89583333333333337</v>
      </c>
      <c r="F799" t="s">
        <v>34</v>
      </c>
      <c r="G799">
        <f>VLOOKUP(Table4[[#This Row],[Home]],'NHL Model'!$A$6:$B$38,2,FALSE)</f>
        <v>-5.5124787449478845E-2</v>
      </c>
      <c r="H799" t="s">
        <v>26</v>
      </c>
      <c r="I799">
        <f>VLOOKUP(Table4[[#This Row],[Visitor]],'NHL Model'!$A$6:$B$38,2,FALSE)</f>
        <v>-0.87533956503230947</v>
      </c>
      <c r="J799">
        <f>($B$1+Table4[[#This Row],[Home Differential]])-Table4[[#This Row],[Away Differential]]</f>
        <v>0.87011552650599311</v>
      </c>
      <c r="K799" t="str">
        <f>IF(Table4[[#This Row],[HomeIce Differential]]&gt;0,Table4[[#This Row],[Home]],Table4[[#This Row],[Visitor]])</f>
        <v>Minnesota Wild</v>
      </c>
      <c r="L7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0.64159882970820126</v>
      </c>
      <c r="M799" t="str">
        <f>IF(OR((NHL2025_26Results[[#This Row],[Winning Team]]="")),"-",IF(Table4[[#This Row],[Predicted Winner]]=NHL2025_26Results[[#This Row],[Winning Team]],"YES","NO"))</f>
        <v>-</v>
      </c>
      <c r="N799" t="str">
        <f>IF(Table4[[#This Row],[Adjusted Correct]]="-", "",IF(Table4[[#This Row],[Adjusted Correct]]="YES",(Table4[[#This Row],[Strength of Win]]-1)^2,(Table4[[#This Row],[Strength of Win]]-0)^2))</f>
        <v/>
      </c>
      <c r="P799" s="11"/>
    </row>
    <row r="800" spans="4:16" x14ac:dyDescent="0.2">
      <c r="D800" s="1">
        <v>46044</v>
      </c>
      <c r="E800" s="2">
        <v>0.79166666666666663</v>
      </c>
      <c r="F800" t="s">
        <v>18</v>
      </c>
      <c r="G800">
        <f>VLOOKUP(Table4[[#This Row],[Home]],'NHL Model'!$A$6:$B$38,2,FALSE)</f>
        <v>-0.59288962827382519</v>
      </c>
      <c r="H800" t="s">
        <v>23</v>
      </c>
      <c r="I800">
        <f>VLOOKUP(Table4[[#This Row],[Visitor]],'NHL Model'!$A$6:$B$38,2,FALSE)</f>
        <v>-0.4761104357405897</v>
      </c>
      <c r="J800">
        <f>($B$1+Table4[[#This Row],[Home Differential]])-Table4[[#This Row],[Away Differential]]</f>
        <v>-6.6878443610073057E-2</v>
      </c>
      <c r="K800" t="str">
        <f>IF(Table4[[#This Row],[HomeIce Differential]]&gt;0,Table4[[#This Row],[Home]],Table4[[#This Row],[Visitor]])</f>
        <v>Buffalo Sabres</v>
      </c>
      <c r="L8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0.46780904534685669</v>
      </c>
      <c r="M800" t="str">
        <f>IF(OR((NHL2025_26Results[[#This Row],[Winning Team]]="")),"-",IF(Table4[[#This Row],[Predicted Winner]]=NHL2025_26Results[[#This Row],[Winning Team]],"YES","NO"))</f>
        <v>-</v>
      </c>
      <c r="N800" t="str">
        <f>IF(Table4[[#This Row],[Adjusted Correct]]="-", "",IF(Table4[[#This Row],[Adjusted Correct]]="YES",(Table4[[#This Row],[Strength of Win]]-1)^2,(Table4[[#This Row],[Strength of Win]]-0)^2))</f>
        <v/>
      </c>
      <c r="P800" s="11"/>
    </row>
    <row r="801" spans="4:16" x14ac:dyDescent="0.2">
      <c r="D801" s="1">
        <v>46044</v>
      </c>
      <c r="E801" s="2">
        <v>0.83333333333333337</v>
      </c>
      <c r="F801" t="s">
        <v>29</v>
      </c>
      <c r="G801">
        <f>VLOOKUP(Table4[[#This Row],[Home]],'NHL Model'!$A$6:$B$38,2,FALSE)</f>
        <v>-1.384917283810061</v>
      </c>
      <c r="H801" t="s">
        <v>36</v>
      </c>
      <c r="I801">
        <f>VLOOKUP(Table4[[#This Row],[Visitor]],'NHL Model'!$A$6:$B$38,2,FALSE)</f>
        <v>-0.53137605086483863</v>
      </c>
      <c r="J801">
        <f>($B$1+Table4[[#This Row],[Home Differential]])-Table4[[#This Row],[Away Differential]]</f>
        <v>-0.8036404840220599</v>
      </c>
      <c r="K801" t="str">
        <f>IF(Table4[[#This Row],[HomeIce Differential]]&gt;0,Table4[[#This Row],[Home]],Table4[[#This Row],[Visitor]])</f>
        <v>Ottawa Senators</v>
      </c>
      <c r="L8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0.55383688739659709</v>
      </c>
      <c r="M801" t="str">
        <f>IF(OR((NHL2025_26Results[[#This Row],[Winning Team]]="")),"-",IF(Table4[[#This Row],[Predicted Winner]]=NHL2025_26Results[[#This Row],[Winning Team]],"YES","NO"))</f>
        <v>-</v>
      </c>
      <c r="N801" t="str">
        <f>IF(Table4[[#This Row],[Adjusted Correct]]="-", "",IF(Table4[[#This Row],[Adjusted Correct]]="YES",(Table4[[#This Row],[Strength of Win]]-1)^2,(Table4[[#This Row],[Strength of Win]]-0)^2))</f>
        <v/>
      </c>
      <c r="P801" s="11"/>
    </row>
    <row r="802" spans="4:16" x14ac:dyDescent="0.2">
      <c r="D802" s="1">
        <v>46044</v>
      </c>
      <c r="E802" s="2">
        <v>0.83333333333333337</v>
      </c>
      <c r="F802" t="s">
        <v>40</v>
      </c>
      <c r="G802">
        <f>VLOOKUP(Table4[[#This Row],[Home]],'NHL Model'!$A$6:$B$38,2,FALSE)</f>
        <v>-0.31324182378279158</v>
      </c>
      <c r="H802" t="s">
        <v>11</v>
      </c>
      <c r="I802">
        <f>VLOOKUP(Table4[[#This Row],[Visitor]],'NHL Model'!$A$6:$B$38,2,FALSE)</f>
        <v>-0.39711829106410657</v>
      </c>
      <c r="J802">
        <f>($B$1+Table4[[#This Row],[Home Differential]])-Table4[[#This Row],[Away Differential]]</f>
        <v>0.13377721620447747</v>
      </c>
      <c r="K802" t="str">
        <f>IF(Table4[[#This Row],[HomeIce Differential]]&gt;0,Table4[[#This Row],[Home]],Table4[[#This Row],[Visitor]])</f>
        <v>Winnipeg Jets</v>
      </c>
      <c r="L8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0.55811594360700834</v>
      </c>
      <c r="M802" t="str">
        <f>IF(OR((NHL2025_26Results[[#This Row],[Winning Team]]="")),"-",IF(Table4[[#This Row],[Predicted Winner]]=NHL2025_26Results[[#This Row],[Winning Team]],"YES","NO"))</f>
        <v>-</v>
      </c>
      <c r="N802" t="str">
        <f>IF(Table4[[#This Row],[Adjusted Correct]]="-", "",IF(Table4[[#This Row],[Adjusted Correct]]="YES",(Table4[[#This Row],[Strength of Win]]-1)^2,(Table4[[#This Row],[Strength of Win]]-0)^2))</f>
        <v/>
      </c>
      <c r="P802" s="11"/>
    </row>
    <row r="803" spans="4:16" x14ac:dyDescent="0.2">
      <c r="D803" s="1">
        <v>46045</v>
      </c>
      <c r="E803" s="2">
        <v>0.875</v>
      </c>
      <c r="F803" t="s">
        <v>16</v>
      </c>
      <c r="G803">
        <f>VLOOKUP(Table4[[#This Row],[Home]],'NHL Model'!$A$6:$B$38,2,FALSE)</f>
        <v>-1.0657812790446208</v>
      </c>
      <c r="H803" t="s">
        <v>22</v>
      </c>
      <c r="I803">
        <f>VLOOKUP(Table4[[#This Row],[Visitor]],'NHL Model'!$A$6:$B$38,2,FALSE)</f>
        <v>0.4407072328537569</v>
      </c>
      <c r="J803">
        <f>($B$1+Table4[[#This Row],[Home Differential]])-Table4[[#This Row],[Away Differential]]</f>
        <v>-1.4565877629752153</v>
      </c>
      <c r="K803" t="str">
        <f>IF(Table4[[#This Row],[HomeIce Differential]]&gt;0,Table4[[#This Row],[Home]],Table4[[#This Row],[Visitor]])</f>
        <v>Washington Capitals</v>
      </c>
      <c r="L8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0.67259068184249715</v>
      </c>
      <c r="M803" t="str">
        <f>IF(OR((NHL2025_26Results[[#This Row],[Winning Team]]="")),"-",IF(Table4[[#This Row],[Predicted Winner]]=NHL2025_26Results[[#This Row],[Winning Team]],"YES","NO"))</f>
        <v>-</v>
      </c>
      <c r="N803" t="str">
        <f>IF(Table4[[#This Row],[Adjusted Correct]]="-", "",IF(Table4[[#This Row],[Adjusted Correct]]="YES",(Table4[[#This Row],[Strength of Win]]-1)^2,(Table4[[#This Row],[Strength of Win]]-0)^2))</f>
        <v/>
      </c>
      <c r="P803" s="11"/>
    </row>
    <row r="804" spans="4:16" x14ac:dyDescent="0.2">
      <c r="D804" s="1">
        <v>46045</v>
      </c>
      <c r="E804" s="2">
        <v>0.79166666666666663</v>
      </c>
      <c r="F804" t="s">
        <v>10</v>
      </c>
      <c r="G804">
        <f>VLOOKUP(Table4[[#This Row],[Home]],'NHL Model'!$A$6:$B$38,2,FALSE)</f>
        <v>-0.17619625518431364</v>
      </c>
      <c r="H804" t="s">
        <v>37</v>
      </c>
      <c r="I804">
        <f>VLOOKUP(Table4[[#This Row],[Visitor]],'NHL Model'!$A$6:$B$38,2,FALSE)</f>
        <v>0.51050494674660429</v>
      </c>
      <c r="J804">
        <f>($B$1+Table4[[#This Row],[Home Differential]])-Table4[[#This Row],[Away Differential]]</f>
        <v>-0.63680045300775545</v>
      </c>
      <c r="K804" t="str">
        <f>IF(Table4[[#This Row],[HomeIce Differential]]&gt;0,Table4[[#This Row],[Home]],Table4[[#This Row],[Visitor]])</f>
        <v>Tampa Bay Lightning</v>
      </c>
      <c r="L8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0.62684203923786574</v>
      </c>
      <c r="M804" t="str">
        <f>IF(OR((NHL2025_26Results[[#This Row],[Winning Team]]="")),"-",IF(Table4[[#This Row],[Predicted Winner]]=NHL2025_26Results[[#This Row],[Winning Team]],"YES","NO"))</f>
        <v>-</v>
      </c>
      <c r="N804" t="str">
        <f>IF(Table4[[#This Row],[Adjusted Correct]]="-", "",IF(Table4[[#This Row],[Adjusted Correct]]="YES",(Table4[[#This Row],[Strength of Win]]-1)^2,(Table4[[#This Row],[Strength of Win]]-0)^2))</f>
        <v/>
      </c>
      <c r="P804" s="11"/>
    </row>
    <row r="805" spans="4:16" x14ac:dyDescent="0.2">
      <c r="D805" s="1">
        <v>46045</v>
      </c>
      <c r="E805" s="2">
        <v>0.875</v>
      </c>
      <c r="F805" t="s">
        <v>12</v>
      </c>
      <c r="G805">
        <f>VLOOKUP(Table4[[#This Row],[Home]],'NHL Model'!$A$6:$B$38,2,FALSE)</f>
        <v>1.6319036584269762</v>
      </c>
      <c r="H805" t="s">
        <v>27</v>
      </c>
      <c r="I805">
        <f>VLOOKUP(Table4[[#This Row],[Visitor]],'NHL Model'!$A$6:$B$38,2,FALSE)</f>
        <v>-0.38023958350631604</v>
      </c>
      <c r="J805">
        <f>($B$1+Table4[[#This Row],[Home Differential]])-Table4[[#This Row],[Away Differential]]</f>
        <v>2.0620439908564547</v>
      </c>
      <c r="K805" t="str">
        <f>IF(Table4[[#This Row],[HomeIce Differential]]&gt;0,Table4[[#This Row],[Home]],Table4[[#This Row],[Visitor]])</f>
        <v>Colorado Avalanche</v>
      </c>
      <c r="L8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0.84516967392532616</v>
      </c>
      <c r="M805" t="str">
        <f>IF(OR((NHL2025_26Results[[#This Row],[Winning Team]]="")),"-",IF(Table4[[#This Row],[Predicted Winner]]=NHL2025_26Results[[#This Row],[Winning Team]],"YES","NO"))</f>
        <v>-</v>
      </c>
      <c r="N805" t="str">
        <f>IF(Table4[[#This Row],[Adjusted Correct]]="-", "",IF(Table4[[#This Row],[Adjusted Correct]]="YES",(Table4[[#This Row],[Strength of Win]]-1)^2,(Table4[[#This Row],[Strength of Win]]-0)^2))</f>
        <v/>
      </c>
      <c r="P805" s="11"/>
    </row>
    <row r="806" spans="4:16" x14ac:dyDescent="0.2">
      <c r="D806" s="1">
        <v>46045</v>
      </c>
      <c r="E806" s="2">
        <v>0.83333333333333337</v>
      </c>
      <c r="F806" t="s">
        <v>39</v>
      </c>
      <c r="G806">
        <f>VLOOKUP(Table4[[#This Row],[Home]],'NHL Model'!$A$6:$B$38,2,FALSE)</f>
        <v>0.41344250185511977</v>
      </c>
      <c r="H806" t="s">
        <v>35</v>
      </c>
      <c r="I806">
        <f>VLOOKUP(Table4[[#This Row],[Visitor]],'NHL Model'!$A$6:$B$38,2,FALSE)</f>
        <v>-1.3944783719477225</v>
      </c>
      <c r="J806">
        <f>($B$1+Table4[[#This Row],[Home Differential]])-Table4[[#This Row],[Away Differential]]</f>
        <v>1.8578216227260047</v>
      </c>
      <c r="K806" t="str">
        <f>IF(Table4[[#This Row],[HomeIce Differential]]&gt;0,Table4[[#This Row],[Home]],Table4[[#This Row],[Visitor]])</f>
        <v>Dallas Stars</v>
      </c>
      <c r="L8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0.78917415975175542</v>
      </c>
      <c r="M806" t="str">
        <f>IF(OR((NHL2025_26Results[[#This Row],[Winning Team]]="")),"-",IF(Table4[[#This Row],[Predicted Winner]]=NHL2025_26Results[[#This Row],[Winning Team]],"YES","NO"))</f>
        <v>-</v>
      </c>
      <c r="N806" t="str">
        <f>IF(Table4[[#This Row],[Adjusted Correct]]="-", "",IF(Table4[[#This Row],[Adjusted Correct]]="YES",(Table4[[#This Row],[Strength of Win]]-1)^2,(Table4[[#This Row],[Strength of Win]]-0)^2))</f>
        <v/>
      </c>
      <c r="P806" s="11"/>
    </row>
    <row r="807" spans="4:16" x14ac:dyDescent="0.2">
      <c r="D807" s="1">
        <v>46045</v>
      </c>
      <c r="E807" s="2">
        <v>0.91666666666666663</v>
      </c>
      <c r="F807" t="s">
        <v>32</v>
      </c>
      <c r="G807">
        <f>VLOOKUP(Table4[[#This Row],[Home]],'NHL Model'!$A$6:$B$38,2,FALSE)</f>
        <v>-0.64937723527808999</v>
      </c>
      <c r="H807" t="s">
        <v>31</v>
      </c>
      <c r="I807">
        <f>VLOOKUP(Table4[[#This Row],[Visitor]],'NHL Model'!$A$6:$B$38,2,FALSE)</f>
        <v>0.17870302183926629</v>
      </c>
      <c r="J807">
        <f>($B$1+Table4[[#This Row],[Home Differential]])-Table4[[#This Row],[Away Differential]]</f>
        <v>-0.77817950819419379</v>
      </c>
      <c r="K807" t="str">
        <f>IF(Table4[[#This Row],[HomeIce Differential]]&gt;0,Table4[[#This Row],[Home]],Table4[[#This Row],[Visitor]])</f>
        <v>Anaheim Ducks</v>
      </c>
      <c r="L8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0.57163317346074072</v>
      </c>
      <c r="M807" t="str">
        <f>IF(OR((NHL2025_26Results[[#This Row],[Winning Team]]="")),"-",IF(Table4[[#This Row],[Predicted Winner]]=NHL2025_26Results[[#This Row],[Winning Team]],"YES","NO"))</f>
        <v>-</v>
      </c>
      <c r="N807" t="str">
        <f>IF(Table4[[#This Row],[Adjusted Correct]]="-", "",IF(Table4[[#This Row],[Adjusted Correct]]="YES",(Table4[[#This Row],[Strength of Win]]-1)^2,(Table4[[#This Row],[Strength of Win]]-0)^2))</f>
        <v/>
      </c>
      <c r="P807" s="11"/>
    </row>
    <row r="808" spans="4:16" x14ac:dyDescent="0.2">
      <c r="D808" s="1">
        <v>46045</v>
      </c>
      <c r="E808" s="2">
        <v>0.91666666666666663</v>
      </c>
      <c r="F808" t="s">
        <v>33</v>
      </c>
      <c r="G808">
        <f>VLOOKUP(Table4[[#This Row],[Home]],'NHL Model'!$A$6:$B$38,2,FALSE)</f>
        <v>-0.45133099238224339</v>
      </c>
      <c r="H808" t="s">
        <v>15</v>
      </c>
      <c r="I808">
        <f>VLOOKUP(Table4[[#This Row],[Visitor]],'NHL Model'!$A$6:$B$38,2,FALSE)</f>
        <v>-0.29003398448394263</v>
      </c>
      <c r="J808">
        <f>($B$1+Table4[[#This Row],[Home Differential]])-Table4[[#This Row],[Away Differential]]</f>
        <v>-0.11139625897513827</v>
      </c>
      <c r="K808" t="str">
        <f>IF(Table4[[#This Row],[HomeIce Differential]]&gt;0,Table4[[#This Row],[Home]],Table4[[#This Row],[Visitor]])</f>
        <v>New York Rangers</v>
      </c>
      <c r="L8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0.56300715732678952</v>
      </c>
      <c r="M808" t="str">
        <f>IF(OR((NHL2025_26Results[[#This Row],[Winning Team]]="")),"-",IF(Table4[[#This Row],[Predicted Winner]]=NHL2025_26Results[[#This Row],[Winning Team]],"YES","NO"))</f>
        <v>-</v>
      </c>
      <c r="N808" t="str">
        <f>IF(Table4[[#This Row],[Adjusted Correct]]="-", "",IF(Table4[[#This Row],[Adjusted Correct]]="YES",(Table4[[#This Row],[Strength of Win]]-1)^2,(Table4[[#This Row],[Strength of Win]]-0)^2))</f>
        <v/>
      </c>
      <c r="P808" s="11"/>
    </row>
    <row r="809" spans="4:16" x14ac:dyDescent="0.2">
      <c r="D809" s="1">
        <v>46045</v>
      </c>
      <c r="E809" s="2">
        <v>0.79166666666666663</v>
      </c>
      <c r="F809" t="s">
        <v>19</v>
      </c>
      <c r="G809">
        <f>VLOOKUP(Table4[[#This Row],[Home]],'NHL Model'!$A$6:$B$38,2,FALSE)</f>
        <v>-0.63447859131898054</v>
      </c>
      <c r="H809" t="s">
        <v>20</v>
      </c>
      <c r="I809">
        <f>VLOOKUP(Table4[[#This Row],[Visitor]],'NHL Model'!$A$6:$B$38,2,FALSE)</f>
        <v>-0.24444083032063643</v>
      </c>
      <c r="J809">
        <f>($B$1+Table4[[#This Row],[Home Differential]])-Table4[[#This Row],[Away Differential]]</f>
        <v>-0.34013701207518166</v>
      </c>
      <c r="K809" t="str">
        <f>IF(Table4[[#This Row],[HomeIce Differential]]&gt;0,Table4[[#This Row],[Home]],Table4[[#This Row],[Visitor]])</f>
        <v>Vegas Golden Knights</v>
      </c>
      <c r="L8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0.49971601622378903</v>
      </c>
      <c r="M809" t="str">
        <f>IF(OR((NHL2025_26Results[[#This Row],[Winning Team]]="")),"-",IF(Table4[[#This Row],[Predicted Winner]]=NHL2025_26Results[[#This Row],[Winning Team]],"YES","NO"))</f>
        <v>-</v>
      </c>
      <c r="N809" t="str">
        <f>IF(Table4[[#This Row],[Adjusted Correct]]="-", "",IF(Table4[[#This Row],[Adjusted Correct]]="YES",(Table4[[#This Row],[Strength of Win]]-1)^2,(Table4[[#This Row],[Strength of Win]]-0)^2))</f>
        <v/>
      </c>
      <c r="P809" s="11"/>
    </row>
    <row r="810" spans="4:16" x14ac:dyDescent="0.2">
      <c r="D810" s="1">
        <v>46045</v>
      </c>
      <c r="E810" s="2">
        <v>0.91666666666666663</v>
      </c>
      <c r="F810" t="s">
        <v>38</v>
      </c>
      <c r="G810">
        <f>VLOOKUP(Table4[[#This Row],[Home]],'NHL Model'!$A$6:$B$38,2,FALSE)</f>
        <v>-0.9476777551108041</v>
      </c>
      <c r="H810" t="s">
        <v>24</v>
      </c>
      <c r="I810">
        <f>VLOOKUP(Table4[[#This Row],[Visitor]],'NHL Model'!$A$6:$B$38,2,FALSE)</f>
        <v>1.5302507646042616E-3</v>
      </c>
      <c r="J810">
        <f>($B$1+Table4[[#This Row],[Home Differential]])-Table4[[#This Row],[Away Differential]]</f>
        <v>-0.89930725695224589</v>
      </c>
      <c r="K810" t="str">
        <f>IF(Table4[[#This Row],[HomeIce Differential]]&gt;0,Table4[[#This Row],[Home]],Table4[[#This Row],[Visitor]])</f>
        <v>New Jersey Devils</v>
      </c>
      <c r="L8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0.58577662584622392</v>
      </c>
      <c r="M810" t="str">
        <f>IF(OR((NHL2025_26Results[[#This Row],[Winning Team]]="")),"-",IF(Table4[[#This Row],[Predicted Winner]]=NHL2025_26Results[[#This Row],[Winning Team]],"YES","NO"))</f>
        <v>-</v>
      </c>
      <c r="N810" t="str">
        <f>IF(Table4[[#This Row],[Adjusted Correct]]="-", "",IF(Table4[[#This Row],[Adjusted Correct]]="YES",(Table4[[#This Row],[Strength of Win]]-1)^2,(Table4[[#This Row],[Strength of Win]]-0)^2))</f>
        <v/>
      </c>
      <c r="P810" s="11"/>
    </row>
    <row r="811" spans="4:16" x14ac:dyDescent="0.2">
      <c r="D811" s="1">
        <v>46046</v>
      </c>
      <c r="E811" s="2">
        <v>0.79166666666666663</v>
      </c>
      <c r="F811" t="s">
        <v>21</v>
      </c>
      <c r="G811">
        <f>VLOOKUP(Table4[[#This Row],[Home]],'NHL Model'!$A$6:$B$38,2,FALSE)</f>
        <v>-0.21976976044773161</v>
      </c>
      <c r="H811" t="s">
        <v>18</v>
      </c>
      <c r="I811">
        <f>VLOOKUP(Table4[[#This Row],[Visitor]],'NHL Model'!$A$6:$B$38,2,FALSE)</f>
        <v>-0.59288962827382519</v>
      </c>
      <c r="J811">
        <f>($B$1+Table4[[#This Row],[Home Differential]])-Table4[[#This Row],[Away Differential]]</f>
        <v>0.42302061674925606</v>
      </c>
      <c r="K811" t="str">
        <f>IF(Table4[[#This Row],[HomeIce Differential]]&gt;0,Table4[[#This Row],[Home]],Table4[[#This Row],[Visitor]])</f>
        <v>Boston Bruins</v>
      </c>
      <c r="L8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0.57366574500438006</v>
      </c>
      <c r="M811" t="str">
        <f>IF(OR((NHL2025_26Results[[#This Row],[Winning Team]]="")),"-",IF(Table4[[#This Row],[Predicted Winner]]=NHL2025_26Results[[#This Row],[Winning Team]],"YES","NO"))</f>
        <v>-</v>
      </c>
      <c r="N811" t="str">
        <f>IF(Table4[[#This Row],[Adjusted Correct]]="-", "",IF(Table4[[#This Row],[Adjusted Correct]]="YES",(Table4[[#This Row],[Strength of Win]]-1)^2,(Table4[[#This Row],[Strength of Win]]-0)^2))</f>
        <v/>
      </c>
      <c r="P811" s="11"/>
    </row>
    <row r="812" spans="4:16" x14ac:dyDescent="0.2">
      <c r="D812" s="1">
        <v>46046</v>
      </c>
      <c r="E812" s="2">
        <v>0.79166666666666663</v>
      </c>
      <c r="F812" t="s">
        <v>28</v>
      </c>
      <c r="G812">
        <f>VLOOKUP(Table4[[#This Row],[Home]],'NHL Model'!$A$6:$B$38,2,FALSE)</f>
        <v>-0.59498940435054026</v>
      </c>
      <c r="H812" t="s">
        <v>37</v>
      </c>
      <c r="I812">
        <f>VLOOKUP(Table4[[#This Row],[Visitor]],'NHL Model'!$A$6:$B$38,2,FALSE)</f>
        <v>0.51050494674660429</v>
      </c>
      <c r="J812">
        <f>($B$1+Table4[[#This Row],[Home Differential]])-Table4[[#This Row],[Away Differential]]</f>
        <v>-1.0555936021739822</v>
      </c>
      <c r="K812" t="str">
        <f>IF(Table4[[#This Row],[HomeIce Differential]]&gt;0,Table4[[#This Row],[Home]],Table4[[#This Row],[Visitor]])</f>
        <v>Tampa Bay Lightning</v>
      </c>
      <c r="L8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0.67574232034876447</v>
      </c>
      <c r="M812" t="str">
        <f>IF(OR((NHL2025_26Results[[#This Row],[Winning Team]]="")),"-",IF(Table4[[#This Row],[Predicted Winner]]=NHL2025_26Results[[#This Row],[Winning Team]],"YES","NO"))</f>
        <v>-</v>
      </c>
      <c r="N812" t="str">
        <f>IF(Table4[[#This Row],[Adjusted Correct]]="-", "",IF(Table4[[#This Row],[Adjusted Correct]]="YES",(Table4[[#This Row],[Strength of Win]]-1)^2,(Table4[[#This Row],[Strength of Win]]-0)^2))</f>
        <v/>
      </c>
      <c r="P812" s="11"/>
    </row>
    <row r="813" spans="4:16" x14ac:dyDescent="0.2">
      <c r="D813" s="1">
        <v>46046</v>
      </c>
      <c r="E813" s="2">
        <v>0.91666666666666663</v>
      </c>
      <c r="F813" t="s">
        <v>17</v>
      </c>
      <c r="G813">
        <f>VLOOKUP(Table4[[#This Row],[Home]],'NHL Model'!$A$6:$B$38,2,FALSE)</f>
        <v>-0.81774666423752174</v>
      </c>
      <c r="H813" t="s">
        <v>22</v>
      </c>
      <c r="I813">
        <f>VLOOKUP(Table4[[#This Row],[Visitor]],'NHL Model'!$A$6:$B$38,2,FALSE)</f>
        <v>0.4407072328537569</v>
      </c>
      <c r="J813">
        <f>($B$1+Table4[[#This Row],[Home Differential]])-Table4[[#This Row],[Away Differential]]</f>
        <v>-1.2085531481681162</v>
      </c>
      <c r="K813" t="str">
        <f>IF(Table4[[#This Row],[HomeIce Differential]]&gt;0,Table4[[#This Row],[Home]],Table4[[#This Row],[Visitor]])</f>
        <v>Washington Capitals</v>
      </c>
      <c r="L8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0.63652926105675034</v>
      </c>
      <c r="M813" t="str">
        <f>IF(OR((NHL2025_26Results[[#This Row],[Winning Team]]="")),"-",IF(Table4[[#This Row],[Predicted Winner]]=NHL2025_26Results[[#This Row],[Winning Team]],"YES","NO"))</f>
        <v>-</v>
      </c>
      <c r="N813" t="str">
        <f>IF(Table4[[#This Row],[Adjusted Correct]]="-", "",IF(Table4[[#This Row],[Adjusted Correct]]="YES",(Table4[[#This Row],[Strength of Win]]-1)^2,(Table4[[#This Row],[Strength of Win]]-0)^2))</f>
        <v/>
      </c>
      <c r="P813" s="11"/>
    </row>
    <row r="814" spans="4:16" x14ac:dyDescent="0.2">
      <c r="D814" s="1">
        <v>46046</v>
      </c>
      <c r="E814" s="2">
        <v>0.875</v>
      </c>
      <c r="F814" t="s">
        <v>34</v>
      </c>
      <c r="G814">
        <f>VLOOKUP(Table4[[#This Row],[Home]],'NHL Model'!$A$6:$B$38,2,FALSE)</f>
        <v>-5.5124787449478845E-2</v>
      </c>
      <c r="H814" t="s">
        <v>11</v>
      </c>
      <c r="I814">
        <f>VLOOKUP(Table4[[#This Row],[Visitor]],'NHL Model'!$A$6:$B$38,2,FALSE)</f>
        <v>-0.39711829106410657</v>
      </c>
      <c r="J814">
        <f>($B$1+Table4[[#This Row],[Home Differential]])-Table4[[#This Row],[Away Differential]]</f>
        <v>0.3918942525377902</v>
      </c>
      <c r="K814" t="str">
        <f>IF(Table4[[#This Row],[HomeIce Differential]]&gt;0,Table4[[#This Row],[Home]],Table4[[#This Row],[Visitor]])</f>
        <v>Minnesota Wild</v>
      </c>
      <c r="L8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0.58575943793014884</v>
      </c>
      <c r="M814" t="str">
        <f>IF(OR((NHL2025_26Results[[#This Row],[Winning Team]]="")),"-",IF(Table4[[#This Row],[Predicted Winner]]=NHL2025_26Results[[#This Row],[Winning Team]],"YES","NO"))</f>
        <v>-</v>
      </c>
      <c r="N814" t="str">
        <f>IF(Table4[[#This Row],[Adjusted Correct]]="-", "",IF(Table4[[#This Row],[Adjusted Correct]]="YES",(Table4[[#This Row],[Strength of Win]]-1)^2,(Table4[[#This Row],[Strength of Win]]-0)^2))</f>
        <v/>
      </c>
      <c r="P814" s="11"/>
    </row>
    <row r="815" spans="4:16" x14ac:dyDescent="0.2">
      <c r="D815" s="1">
        <v>46046</v>
      </c>
      <c r="E815" s="2">
        <v>0.64583333333333337</v>
      </c>
      <c r="F815" t="s">
        <v>29</v>
      </c>
      <c r="G815">
        <f>VLOOKUP(Table4[[#This Row],[Home]],'NHL Model'!$A$6:$B$38,2,FALSE)</f>
        <v>-1.384917283810061</v>
      </c>
      <c r="H815" t="s">
        <v>55</v>
      </c>
      <c r="I815">
        <f>VLOOKUP(Table4[[#This Row],[Visitor]],'NHL Model'!$A$6:$B$38,2,FALSE)</f>
        <v>-0.4031232890211825</v>
      </c>
      <c r="J815">
        <f>($B$1+Table4[[#This Row],[Home Differential]])-Table4[[#This Row],[Away Differential]]</f>
        <v>-0.93189324586571609</v>
      </c>
      <c r="K815" t="str">
        <f>IF(Table4[[#This Row],[HomeIce Differential]]&gt;0,Table4[[#This Row],[Home]],Table4[[#This Row],[Visitor]])</f>
        <v>Utah Mammoth</v>
      </c>
      <c r="L8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0.56881229021751245</v>
      </c>
      <c r="M815" t="str">
        <f>IF(OR((NHL2025_26Results[[#This Row],[Winning Team]]="")),"-",IF(Table4[[#This Row],[Predicted Winner]]=NHL2025_26Results[[#This Row],[Winning Team]],"YES","NO"))</f>
        <v>-</v>
      </c>
      <c r="N815" t="str">
        <f>IF(Table4[[#This Row],[Adjusted Correct]]="-", "",IF(Table4[[#This Row],[Adjusted Correct]]="YES",(Table4[[#This Row],[Strength of Win]]-1)^2,(Table4[[#This Row],[Strength of Win]]-0)^2))</f>
        <v/>
      </c>
      <c r="P815" s="11"/>
    </row>
    <row r="816" spans="4:16" x14ac:dyDescent="0.2">
      <c r="D816" s="1">
        <v>46046</v>
      </c>
      <c r="E816" s="2">
        <v>0.54166666666666663</v>
      </c>
      <c r="F816" t="s">
        <v>30</v>
      </c>
      <c r="G816">
        <f>VLOOKUP(Table4[[#This Row],[Home]],'NHL Model'!$A$6:$B$38,2,FALSE)</f>
        <v>-0.24093199744133265</v>
      </c>
      <c r="H816" t="s">
        <v>23</v>
      </c>
      <c r="I816">
        <f>VLOOKUP(Table4[[#This Row],[Visitor]],'NHL Model'!$A$6:$B$38,2,FALSE)</f>
        <v>-0.4761104357405897</v>
      </c>
      <c r="J816">
        <f>($B$1+Table4[[#This Row],[Home Differential]])-Table4[[#This Row],[Away Differential]]</f>
        <v>0.28507918722241954</v>
      </c>
      <c r="K816" t="str">
        <f>IF(Table4[[#This Row],[HomeIce Differential]]&gt;0,Table4[[#This Row],[Home]],Table4[[#This Row],[Visitor]])</f>
        <v>New York Islanders</v>
      </c>
      <c r="L8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0.57328720257672994</v>
      </c>
      <c r="M816" t="str">
        <f>IF(OR((NHL2025_26Results[[#This Row],[Winning Team]]="")),"-",IF(Table4[[#This Row],[Predicted Winner]]=NHL2025_26Results[[#This Row],[Winning Team]],"YES","NO"))</f>
        <v>-</v>
      </c>
      <c r="N816" t="str">
        <f>IF(Table4[[#This Row],[Adjusted Correct]]="-", "",IF(Table4[[#This Row],[Adjusted Correct]]="YES",(Table4[[#This Row],[Strength of Win]]-1)^2,(Table4[[#This Row],[Strength of Win]]-0)^2))</f>
        <v/>
      </c>
      <c r="P816" s="11"/>
    </row>
    <row r="817" spans="4:16" x14ac:dyDescent="0.2">
      <c r="D817" s="1">
        <v>46046</v>
      </c>
      <c r="E817" s="2">
        <v>0.79166666666666663</v>
      </c>
      <c r="F817" t="s">
        <v>36</v>
      </c>
      <c r="G817">
        <f>VLOOKUP(Table4[[#This Row],[Home]],'NHL Model'!$A$6:$B$38,2,FALSE)</f>
        <v>-0.53137605086483863</v>
      </c>
      <c r="H817" t="s">
        <v>25</v>
      </c>
      <c r="I817">
        <f>VLOOKUP(Table4[[#This Row],[Visitor]],'NHL Model'!$A$6:$B$38,2,FALSE)</f>
        <v>0.42567513732855267</v>
      </c>
      <c r="J817">
        <f>($B$1+Table4[[#This Row],[Home Differential]])-Table4[[#This Row],[Away Differential]]</f>
        <v>-0.90715043927022876</v>
      </c>
      <c r="K817" t="str">
        <f>IF(Table4[[#This Row],[HomeIce Differential]]&gt;0,Table4[[#This Row],[Home]],Table4[[#This Row],[Visitor]])</f>
        <v>Carolina Hurricanes</v>
      </c>
      <c r="L8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0.63604368429743785</v>
      </c>
      <c r="M817" t="str">
        <f>IF(OR((NHL2025_26Results[[#This Row],[Winning Team]]="")),"-",IF(Table4[[#This Row],[Predicted Winner]]=NHL2025_26Results[[#This Row],[Winning Team]],"YES","NO"))</f>
        <v>-</v>
      </c>
      <c r="N817" t="str">
        <f>IF(Table4[[#This Row],[Adjusted Correct]]="-", "",IF(Table4[[#This Row],[Adjusted Correct]]="YES",(Table4[[#This Row],[Strength of Win]]-1)^2,(Table4[[#This Row],[Strength of Win]]-0)^2))</f>
        <v/>
      </c>
      <c r="P817" s="11"/>
    </row>
    <row r="818" spans="4:16" x14ac:dyDescent="0.2">
      <c r="D818" s="1">
        <v>46046</v>
      </c>
      <c r="E818" s="2">
        <v>0.83333333333333337</v>
      </c>
      <c r="F818" t="s">
        <v>35</v>
      </c>
      <c r="G818">
        <f>VLOOKUP(Table4[[#This Row],[Home]],'NHL Model'!$A$6:$B$38,2,FALSE)</f>
        <v>-1.3944783719477225</v>
      </c>
      <c r="H818" t="s">
        <v>13</v>
      </c>
      <c r="I818">
        <f>VLOOKUP(Table4[[#This Row],[Visitor]],'NHL Model'!$A$6:$B$38,2,FALSE)</f>
        <v>-0.33828359867721369</v>
      </c>
      <c r="J818">
        <f>($B$1+Table4[[#This Row],[Home Differential]])-Table4[[#This Row],[Away Differential]]</f>
        <v>-1.0062940243473464</v>
      </c>
      <c r="K818" t="str">
        <f>IF(Table4[[#This Row],[HomeIce Differential]]&gt;0,Table4[[#This Row],[Home]],Table4[[#This Row],[Visitor]])</f>
        <v>Los Angeles Kings</v>
      </c>
      <c r="L8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0.64381546865604655</v>
      </c>
      <c r="M818" t="str">
        <f>IF(OR((NHL2025_26Results[[#This Row],[Winning Team]]="")),"-",IF(Table4[[#This Row],[Predicted Winner]]=NHL2025_26Results[[#This Row],[Winning Team]],"YES","NO"))</f>
        <v>-</v>
      </c>
      <c r="N818" t="str">
        <f>IF(Table4[[#This Row],[Adjusted Correct]]="-", "",IF(Table4[[#This Row],[Adjusted Correct]]="YES",(Table4[[#This Row],[Strength of Win]]-1)^2,(Table4[[#This Row],[Strength of Win]]-0)^2))</f>
        <v/>
      </c>
      <c r="P818" s="11"/>
    </row>
    <row r="819" spans="4:16" x14ac:dyDescent="0.2">
      <c r="D819" s="1">
        <v>46046</v>
      </c>
      <c r="E819" s="2">
        <v>0.79166666666666663</v>
      </c>
      <c r="F819" t="s">
        <v>40</v>
      </c>
      <c r="G819">
        <f>VLOOKUP(Table4[[#This Row],[Home]],'NHL Model'!$A$6:$B$38,2,FALSE)</f>
        <v>-0.31324182378279158</v>
      </c>
      <c r="H819" t="s">
        <v>26</v>
      </c>
      <c r="I819">
        <f>VLOOKUP(Table4[[#This Row],[Visitor]],'NHL Model'!$A$6:$B$38,2,FALSE)</f>
        <v>-0.87533956503230947</v>
      </c>
      <c r="J819">
        <f>($B$1+Table4[[#This Row],[Home Differential]])-Table4[[#This Row],[Away Differential]]</f>
        <v>0.61199849017268038</v>
      </c>
      <c r="K819" t="str">
        <f>IF(Table4[[#This Row],[HomeIce Differential]]&gt;0,Table4[[#This Row],[Home]],Table4[[#This Row],[Visitor]])</f>
        <v>Winnipeg Jets</v>
      </c>
      <c r="L8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0.61395533538506064</v>
      </c>
      <c r="M819" t="str">
        <f>IF(OR((NHL2025_26Results[[#This Row],[Winning Team]]="")),"-",IF(Table4[[#This Row],[Predicted Winner]]=NHL2025_26Results[[#This Row],[Winning Team]],"YES","NO"))</f>
        <v>-</v>
      </c>
      <c r="N819" t="str">
        <f>IF(Table4[[#This Row],[Adjusted Correct]]="-", "",IF(Table4[[#This Row],[Adjusted Correct]]="YES",(Table4[[#This Row],[Strength of Win]]-1)^2,(Table4[[#This Row],[Strength of Win]]-0)^2))</f>
        <v/>
      </c>
      <c r="P819" s="11"/>
    </row>
    <row r="820" spans="4:16" x14ac:dyDescent="0.2">
      <c r="D820" s="1">
        <v>46047</v>
      </c>
      <c r="E820" s="2">
        <v>0.83333333333333337</v>
      </c>
      <c r="F820" t="s">
        <v>16</v>
      </c>
      <c r="G820">
        <f>VLOOKUP(Table4[[#This Row],[Home]],'NHL Model'!$A$6:$B$38,2,FALSE)</f>
        <v>-1.0657812790446208</v>
      </c>
      <c r="H820" t="s">
        <v>31</v>
      </c>
      <c r="I820">
        <f>VLOOKUP(Table4[[#This Row],[Visitor]],'NHL Model'!$A$6:$B$38,2,FALSE)</f>
        <v>0.17870302183926629</v>
      </c>
      <c r="J820">
        <f>($B$1+Table4[[#This Row],[Home Differential]])-Table4[[#This Row],[Away Differential]]</f>
        <v>-1.1945835519607246</v>
      </c>
      <c r="K820" t="str">
        <f>IF(Table4[[#This Row],[HomeIce Differential]]&gt;0,Table4[[#This Row],[Home]],Table4[[#This Row],[Visitor]])</f>
        <v>Anaheim Ducks</v>
      </c>
      <c r="L8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0.62025449125554588</v>
      </c>
      <c r="M820" t="str">
        <f>IF(OR((NHL2025_26Results[[#This Row],[Winning Team]]="")),"-",IF(Table4[[#This Row],[Predicted Winner]]=NHL2025_26Results[[#This Row],[Winning Team]],"YES","NO"))</f>
        <v>-</v>
      </c>
      <c r="N820" t="str">
        <f>IF(Table4[[#This Row],[Adjusted Correct]]="-", "",IF(Table4[[#This Row],[Adjusted Correct]]="YES",(Table4[[#This Row],[Strength of Win]]-1)^2,(Table4[[#This Row],[Strength of Win]]-0)^2))</f>
        <v/>
      </c>
      <c r="P820" s="11"/>
    </row>
    <row r="821" spans="4:16" x14ac:dyDescent="0.2">
      <c r="D821" s="1">
        <v>46047</v>
      </c>
      <c r="E821" s="2">
        <v>0.79166666666666663</v>
      </c>
      <c r="F821" t="s">
        <v>10</v>
      </c>
      <c r="G821">
        <f>VLOOKUP(Table4[[#This Row],[Home]],'NHL Model'!$A$6:$B$38,2,FALSE)</f>
        <v>-0.17619625518431364</v>
      </c>
      <c r="H821" t="s">
        <v>11</v>
      </c>
      <c r="I821">
        <f>VLOOKUP(Table4[[#This Row],[Visitor]],'NHL Model'!$A$6:$B$38,2,FALSE)</f>
        <v>-0.39711829106410657</v>
      </c>
      <c r="J821">
        <f>($B$1+Table4[[#This Row],[Home Differential]])-Table4[[#This Row],[Away Differential]]</f>
        <v>0.27082278480295541</v>
      </c>
      <c r="K821" t="str">
        <f>IF(Table4[[#This Row],[HomeIce Differential]]&gt;0,Table4[[#This Row],[Home]],Table4[[#This Row],[Visitor]])</f>
        <v>Chicago Blackhawks</v>
      </c>
      <c r="L8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0.57162255718477495</v>
      </c>
      <c r="M821" t="str">
        <f>IF(OR((NHL2025_26Results[[#This Row],[Winning Team]]="")),"-",IF(Table4[[#This Row],[Predicted Winner]]=NHL2025_26Results[[#This Row],[Winning Team]],"YES","NO"))</f>
        <v>-</v>
      </c>
      <c r="N821" t="str">
        <f>IF(Table4[[#This Row],[Adjusted Correct]]="-", "",IF(Table4[[#This Row],[Adjusted Correct]]="YES",(Table4[[#This Row],[Strength of Win]]-1)^2,(Table4[[#This Row],[Strength of Win]]-0)^2))</f>
        <v/>
      </c>
      <c r="P821" s="11"/>
    </row>
    <row r="822" spans="4:16" x14ac:dyDescent="0.2">
      <c r="D822" s="1">
        <v>46047</v>
      </c>
      <c r="E822" s="2">
        <v>0.70833333333333337</v>
      </c>
      <c r="F822" t="s">
        <v>36</v>
      </c>
      <c r="G822">
        <f>VLOOKUP(Table4[[#This Row],[Home]],'NHL Model'!$A$6:$B$38,2,FALSE)</f>
        <v>-0.53137605086483863</v>
      </c>
      <c r="H822" t="s">
        <v>20</v>
      </c>
      <c r="I822">
        <f>VLOOKUP(Table4[[#This Row],[Visitor]],'NHL Model'!$A$6:$B$38,2,FALSE)</f>
        <v>-0.24444083032063643</v>
      </c>
      <c r="J822">
        <f>($B$1+Table4[[#This Row],[Home Differential]])-Table4[[#This Row],[Away Differential]]</f>
        <v>-0.23703447162103972</v>
      </c>
      <c r="K822" t="str">
        <f>IF(Table4[[#This Row],[HomeIce Differential]]&gt;0,Table4[[#This Row],[Home]],Table4[[#This Row],[Visitor]])</f>
        <v>Vegas Golden Knights</v>
      </c>
      <c r="L8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0.48518179373653497</v>
      </c>
      <c r="M822" t="str">
        <f>IF(OR((NHL2025_26Results[[#This Row],[Winning Team]]="")),"-",IF(Table4[[#This Row],[Predicted Winner]]=NHL2025_26Results[[#This Row],[Winning Team]],"YES","NO"))</f>
        <v>-</v>
      </c>
      <c r="N822" t="str">
        <f>IF(Table4[[#This Row],[Adjusted Correct]]="-", "",IF(Table4[[#This Row],[Adjusted Correct]]="YES",(Table4[[#This Row],[Strength of Win]]-1)^2,(Table4[[#This Row],[Strength of Win]]-0)^2))</f>
        <v/>
      </c>
      <c r="P822" s="11"/>
    </row>
    <row r="823" spans="4:16" x14ac:dyDescent="0.2">
      <c r="D823" s="1">
        <v>46047</v>
      </c>
      <c r="E823" s="2">
        <v>0.66666666666666663</v>
      </c>
      <c r="F823" t="s">
        <v>32</v>
      </c>
      <c r="G823">
        <f>VLOOKUP(Table4[[#This Row],[Home]],'NHL Model'!$A$6:$B$38,2,FALSE)</f>
        <v>-0.64937723527808999</v>
      </c>
      <c r="H823" t="s">
        <v>24</v>
      </c>
      <c r="I823">
        <f>VLOOKUP(Table4[[#This Row],[Visitor]],'NHL Model'!$A$6:$B$38,2,FALSE)</f>
        <v>1.5302507646042616E-3</v>
      </c>
      <c r="J823">
        <f>($B$1+Table4[[#This Row],[Home Differential]])-Table4[[#This Row],[Away Differential]]</f>
        <v>-0.60100673711953179</v>
      </c>
      <c r="K823" t="str">
        <f>IF(Table4[[#This Row],[HomeIce Differential]]&gt;0,Table4[[#This Row],[Home]],Table4[[#This Row],[Visitor]])</f>
        <v>New Jersey Devils</v>
      </c>
      <c r="L8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0.55094563755429959</v>
      </c>
      <c r="M823" t="str">
        <f>IF(OR((NHL2025_26Results[[#This Row],[Winning Team]]="")),"-",IF(Table4[[#This Row],[Predicted Winner]]=NHL2025_26Results[[#This Row],[Winning Team]],"YES","NO"))</f>
        <v>-</v>
      </c>
      <c r="N823" t="str">
        <f>IF(Table4[[#This Row],[Adjusted Correct]]="-", "",IF(Table4[[#This Row],[Adjusted Correct]]="YES",(Table4[[#This Row],[Strength of Win]]-1)^2,(Table4[[#This Row],[Strength of Win]]-0)^2))</f>
        <v/>
      </c>
      <c r="P823" s="11"/>
    </row>
    <row r="824" spans="4:16" x14ac:dyDescent="0.2">
      <c r="D824" s="1">
        <v>46047</v>
      </c>
      <c r="E824" s="2">
        <v>0.5625</v>
      </c>
      <c r="F824" t="s">
        <v>19</v>
      </c>
      <c r="G824">
        <f>VLOOKUP(Table4[[#This Row],[Home]],'NHL Model'!$A$6:$B$38,2,FALSE)</f>
        <v>-0.63447859131898054</v>
      </c>
      <c r="H824" t="s">
        <v>12</v>
      </c>
      <c r="I824">
        <f>VLOOKUP(Table4[[#This Row],[Visitor]],'NHL Model'!$A$6:$B$38,2,FALSE)</f>
        <v>1.6319036584269762</v>
      </c>
      <c r="J824">
        <f>($B$1+Table4[[#This Row],[Home Differential]])-Table4[[#This Row],[Away Differential]]</f>
        <v>-2.2164815008227943</v>
      </c>
      <c r="K824" t="str">
        <f>IF(Table4[[#This Row],[HomeIce Differential]]&gt;0,Table4[[#This Row],[Home]],Table4[[#This Row],[Visitor]])</f>
        <v>Colorado Avalanche</v>
      </c>
      <c r="L8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0.79143009726111702</v>
      </c>
      <c r="M824" t="str">
        <f>IF(OR((NHL2025_26Results[[#This Row],[Winning Team]]="")),"-",IF(Table4[[#This Row],[Predicted Winner]]=NHL2025_26Results[[#This Row],[Winning Team]],"YES","NO"))</f>
        <v>-</v>
      </c>
      <c r="N824" t="str">
        <f>IF(Table4[[#This Row],[Adjusted Correct]]="-", "",IF(Table4[[#This Row],[Adjusted Correct]]="YES",(Table4[[#This Row],[Strength of Win]]-1)^2,(Table4[[#This Row],[Strength of Win]]-0)^2))</f>
        <v/>
      </c>
      <c r="P824" s="11"/>
    </row>
    <row r="825" spans="4:16" x14ac:dyDescent="0.2">
      <c r="D825" s="1">
        <v>46047</v>
      </c>
      <c r="E825" s="2">
        <v>0.75</v>
      </c>
      <c r="F825" t="s">
        <v>38</v>
      </c>
      <c r="G825">
        <f>VLOOKUP(Table4[[#This Row],[Home]],'NHL Model'!$A$6:$B$38,2,FALSE)</f>
        <v>-0.9476777551108041</v>
      </c>
      <c r="H825" t="s">
        <v>14</v>
      </c>
      <c r="I825">
        <f>VLOOKUP(Table4[[#This Row],[Visitor]],'NHL Model'!$A$6:$B$38,2,FALSE)</f>
        <v>-0.14226422156549004</v>
      </c>
      <c r="J825">
        <f>($B$1+Table4[[#This Row],[Home Differential]])-Table4[[#This Row],[Away Differential]]</f>
        <v>-0.75551278462215166</v>
      </c>
      <c r="K825" t="str">
        <f>IF(Table4[[#This Row],[HomeIce Differential]]&gt;0,Table4[[#This Row],[Home]],Table4[[#This Row],[Visitor]])</f>
        <v>Pittsburgh Penguins</v>
      </c>
      <c r="L8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0.58750400141574155</v>
      </c>
      <c r="M825" t="str">
        <f>IF(OR((NHL2025_26Results[[#This Row],[Winning Team]]="")),"-",IF(Table4[[#This Row],[Predicted Winner]]=NHL2025_26Results[[#This Row],[Winning Team]],"YES","NO"))</f>
        <v>-</v>
      </c>
      <c r="N825" t="str">
        <f>IF(Table4[[#This Row],[Adjusted Correct]]="-", "",IF(Table4[[#This Row],[Adjusted Correct]]="YES",(Table4[[#This Row],[Strength of Win]]-1)^2,(Table4[[#This Row],[Strength of Win]]-0)^2))</f>
        <v/>
      </c>
      <c r="P825" s="11"/>
    </row>
    <row r="826" spans="4:16" x14ac:dyDescent="0.2">
      <c r="D826" s="1">
        <v>46048</v>
      </c>
      <c r="E826" s="2">
        <v>0.79166666666666663</v>
      </c>
      <c r="F826" t="s">
        <v>28</v>
      </c>
      <c r="G826">
        <f>VLOOKUP(Table4[[#This Row],[Home]],'NHL Model'!$A$6:$B$38,2,FALSE)</f>
        <v>-0.59498940435054026</v>
      </c>
      <c r="H826" t="s">
        <v>13</v>
      </c>
      <c r="I826">
        <f>VLOOKUP(Table4[[#This Row],[Visitor]],'NHL Model'!$A$6:$B$38,2,FALSE)</f>
        <v>-0.33828359867721369</v>
      </c>
      <c r="J826">
        <f>($B$1+Table4[[#This Row],[Home Differential]])-Table4[[#This Row],[Away Differential]]</f>
        <v>-0.20680505675016414</v>
      </c>
      <c r="K826" t="str">
        <f>IF(Table4[[#This Row],[HomeIce Differential]]&gt;0,Table4[[#This Row],[Home]],Table4[[#This Row],[Visitor]])</f>
        <v>Los Angeles Kings</v>
      </c>
      <c r="L8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0.55046333207406328</v>
      </c>
      <c r="M826" t="str">
        <f>IF(OR((NHL2025_26Results[[#This Row],[Winning Team]]="")),"-",IF(Table4[[#This Row],[Predicted Winner]]=NHL2025_26Results[[#This Row],[Winning Team]],"YES","NO"))</f>
        <v>-</v>
      </c>
      <c r="N826" t="str">
        <f>IF(Table4[[#This Row],[Adjusted Correct]]="-", "",IF(Table4[[#This Row],[Adjusted Correct]]="YES",(Table4[[#This Row],[Strength of Win]]-1)^2,(Table4[[#This Row],[Strength of Win]]-0)^2))</f>
        <v/>
      </c>
      <c r="P826" s="11"/>
    </row>
    <row r="827" spans="4:16" x14ac:dyDescent="0.2">
      <c r="D827" s="1">
        <v>46048</v>
      </c>
      <c r="E827" s="2">
        <v>0.85416666666666663</v>
      </c>
      <c r="F827" t="s">
        <v>17</v>
      </c>
      <c r="G827">
        <f>VLOOKUP(Table4[[#This Row],[Home]],'NHL Model'!$A$6:$B$38,2,FALSE)</f>
        <v>-0.81774666423752174</v>
      </c>
      <c r="H827" t="s">
        <v>31</v>
      </c>
      <c r="I827">
        <f>VLOOKUP(Table4[[#This Row],[Visitor]],'NHL Model'!$A$6:$B$38,2,FALSE)</f>
        <v>0.17870302183926629</v>
      </c>
      <c r="J827">
        <f>($B$1+Table4[[#This Row],[Home Differential]])-Table4[[#This Row],[Away Differential]]</f>
        <v>-0.94654893715362554</v>
      </c>
      <c r="K827" t="str">
        <f>IF(Table4[[#This Row],[HomeIce Differential]]&gt;0,Table4[[#This Row],[Home]],Table4[[#This Row],[Visitor]])</f>
        <v>Anaheim Ducks</v>
      </c>
      <c r="L8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0.5842077690042573</v>
      </c>
      <c r="M827" t="str">
        <f>IF(OR((NHL2025_26Results[[#This Row],[Winning Team]]="")),"-",IF(Table4[[#This Row],[Predicted Winner]]=NHL2025_26Results[[#This Row],[Winning Team]],"YES","NO"))</f>
        <v>-</v>
      </c>
      <c r="N827" t="str">
        <f>IF(Table4[[#This Row],[Adjusted Correct]]="-", "",IF(Table4[[#This Row],[Adjusted Correct]]="YES",(Table4[[#This Row],[Strength of Win]]-1)^2,(Table4[[#This Row],[Strength of Win]]-0)^2))</f>
        <v/>
      </c>
      <c r="P827" s="11"/>
    </row>
    <row r="828" spans="4:16" x14ac:dyDescent="0.2">
      <c r="D828" s="1">
        <v>46048</v>
      </c>
      <c r="E828" s="2">
        <v>0.79166666666666663</v>
      </c>
      <c r="F828" t="s">
        <v>15</v>
      </c>
      <c r="G828">
        <f>VLOOKUP(Table4[[#This Row],[Home]],'NHL Model'!$A$6:$B$38,2,FALSE)</f>
        <v>-0.29003398448394263</v>
      </c>
      <c r="H828" t="s">
        <v>21</v>
      </c>
      <c r="I828">
        <f>VLOOKUP(Table4[[#This Row],[Visitor]],'NHL Model'!$A$6:$B$38,2,FALSE)</f>
        <v>-0.21976976044773161</v>
      </c>
      <c r="J828">
        <f>($B$1+Table4[[#This Row],[Home Differential]])-Table4[[#This Row],[Away Differential]]</f>
        <v>-2.0363475113048563E-2</v>
      </c>
      <c r="K828" t="str">
        <f>IF(Table4[[#This Row],[HomeIce Differential]]&gt;0,Table4[[#This Row],[Home]],Table4[[#This Row],[Visitor]])</f>
        <v>Boston Bruins</v>
      </c>
      <c r="L8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0.46320722935044856</v>
      </c>
      <c r="M828" t="str">
        <f>IF(OR((NHL2025_26Results[[#This Row],[Winning Team]]="")),"-",IF(Table4[[#This Row],[Predicted Winner]]=NHL2025_26Results[[#This Row],[Winning Team]],"YES","NO"))</f>
        <v>-</v>
      </c>
      <c r="N828" t="str">
        <f>IF(Table4[[#This Row],[Adjusted Correct]]="-", "",IF(Table4[[#This Row],[Adjusted Correct]]="YES",(Table4[[#This Row],[Strength of Win]]-1)^2,(Table4[[#This Row],[Strength of Win]]-0)^2))</f>
        <v/>
      </c>
      <c r="P828" s="11"/>
    </row>
    <row r="829" spans="4:16" x14ac:dyDescent="0.2">
      <c r="D829" s="1">
        <v>46048</v>
      </c>
      <c r="E829" s="2">
        <v>0.79166666666666663</v>
      </c>
      <c r="F829" t="s">
        <v>27</v>
      </c>
      <c r="G829">
        <f>VLOOKUP(Table4[[#This Row],[Home]],'NHL Model'!$A$6:$B$38,2,FALSE)</f>
        <v>-0.38023958350631604</v>
      </c>
      <c r="H829" t="s">
        <v>30</v>
      </c>
      <c r="I829">
        <f>VLOOKUP(Table4[[#This Row],[Visitor]],'NHL Model'!$A$6:$B$38,2,FALSE)</f>
        <v>-0.24093199744133265</v>
      </c>
      <c r="J829">
        <f>($B$1+Table4[[#This Row],[Home Differential]])-Table4[[#This Row],[Away Differential]]</f>
        <v>-8.9406837141820905E-2</v>
      </c>
      <c r="K829" t="str">
        <f>IF(Table4[[#This Row],[HomeIce Differential]]&gt;0,Table4[[#This Row],[Home]],Table4[[#This Row],[Visitor]])</f>
        <v>New York Islanders</v>
      </c>
      <c r="L8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0.52895808630556485</v>
      </c>
      <c r="M829" t="str">
        <f>IF(OR((NHL2025_26Results[[#This Row],[Winning Team]]="")),"-",IF(Table4[[#This Row],[Predicted Winner]]=NHL2025_26Results[[#This Row],[Winning Team]],"YES","NO"))</f>
        <v>-</v>
      </c>
      <c r="N829" t="str">
        <f>IF(Table4[[#This Row],[Adjusted Correct]]="-", "",IF(Table4[[#This Row],[Adjusted Correct]]="YES",(Table4[[#This Row],[Strength of Win]]-1)^2,(Table4[[#This Row],[Strength of Win]]-0)^2))</f>
        <v/>
      </c>
      <c r="P829" s="11"/>
    </row>
    <row r="830" spans="4:16" x14ac:dyDescent="0.2">
      <c r="D830" s="1">
        <v>46048</v>
      </c>
      <c r="E830" s="2">
        <v>0.79166666666666663</v>
      </c>
      <c r="F830" t="s">
        <v>37</v>
      </c>
      <c r="G830">
        <f>VLOOKUP(Table4[[#This Row],[Home]],'NHL Model'!$A$6:$B$38,2,FALSE)</f>
        <v>0.51050494674660429</v>
      </c>
      <c r="H830" t="s">
        <v>55</v>
      </c>
      <c r="I830">
        <f>VLOOKUP(Table4[[#This Row],[Visitor]],'NHL Model'!$A$6:$B$38,2,FALSE)</f>
        <v>-0.4031232890211825</v>
      </c>
      <c r="J830">
        <f>($B$1+Table4[[#This Row],[Home Differential]])-Table4[[#This Row],[Away Differential]]</f>
        <v>0.96352898469094916</v>
      </c>
      <c r="K830" t="str">
        <f>IF(Table4[[#This Row],[HomeIce Differential]]&gt;0,Table4[[#This Row],[Home]],Table4[[#This Row],[Visitor]])</f>
        <v>Tampa Bay Lightning</v>
      </c>
      <c r="L8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0.6847522954438372</v>
      </c>
      <c r="M830" t="str">
        <f>IF(OR((NHL2025_26Results[[#This Row],[Winning Team]]="")),"-",IF(Table4[[#This Row],[Predicted Winner]]=NHL2025_26Results[[#This Row],[Winning Team]],"YES","NO"))</f>
        <v>-</v>
      </c>
      <c r="N830" t="str">
        <f>IF(Table4[[#This Row],[Adjusted Correct]]="-", "",IF(Table4[[#This Row],[Adjusted Correct]]="YES",(Table4[[#This Row],[Strength of Win]]-1)^2,(Table4[[#This Row],[Strength of Win]]-0)^2))</f>
        <v/>
      </c>
      <c r="P830" s="11"/>
    </row>
    <row r="831" spans="4:16" x14ac:dyDescent="0.2">
      <c r="D831" s="1">
        <v>46049</v>
      </c>
      <c r="E831" s="2">
        <v>0.79166666666666663</v>
      </c>
      <c r="F831" t="s">
        <v>21</v>
      </c>
      <c r="G831">
        <f>VLOOKUP(Table4[[#This Row],[Home]],'NHL Model'!$A$6:$B$38,2,FALSE)</f>
        <v>-0.21976976044773161</v>
      </c>
      <c r="H831" t="s">
        <v>29</v>
      </c>
      <c r="I831">
        <f>VLOOKUP(Table4[[#This Row],[Visitor]],'NHL Model'!$A$6:$B$38,2,FALSE)</f>
        <v>-1.384917283810061</v>
      </c>
      <c r="J831">
        <f>($B$1+Table4[[#This Row],[Home Differential]])-Table4[[#This Row],[Away Differential]]</f>
        <v>1.2150482722854918</v>
      </c>
      <c r="K831" t="str">
        <f>IF(Table4[[#This Row],[HomeIce Differential]]&gt;0,Table4[[#This Row],[Home]],Table4[[#This Row],[Visitor]])</f>
        <v>Boston Bruins</v>
      </c>
      <c r="L8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0.7247763730260921</v>
      </c>
      <c r="M831" t="str">
        <f>IF(OR((NHL2025_26Results[[#This Row],[Winning Team]]="")),"-",IF(Table4[[#This Row],[Predicted Winner]]=NHL2025_26Results[[#This Row],[Winning Team]],"YES","NO"))</f>
        <v>-</v>
      </c>
      <c r="N831" t="str">
        <f>IF(Table4[[#This Row],[Adjusted Correct]]="-", "",IF(Table4[[#This Row],[Adjusted Correct]]="YES",(Table4[[#This Row],[Strength of Win]]-1)^2,(Table4[[#This Row],[Strength of Win]]-0)^2))</f>
        <v/>
      </c>
      <c r="P831" s="11"/>
    </row>
    <row r="832" spans="4:16" x14ac:dyDescent="0.2">
      <c r="D832" s="1">
        <v>46049</v>
      </c>
      <c r="E832" s="2">
        <v>0.79166666666666663</v>
      </c>
      <c r="F832" t="s">
        <v>26</v>
      </c>
      <c r="G832">
        <f>VLOOKUP(Table4[[#This Row],[Home]],'NHL Model'!$A$6:$B$38,2,FALSE)</f>
        <v>-0.87533956503230947</v>
      </c>
      <c r="H832" t="s">
        <v>13</v>
      </c>
      <c r="I832">
        <f>VLOOKUP(Table4[[#This Row],[Visitor]],'NHL Model'!$A$6:$B$38,2,FALSE)</f>
        <v>-0.33828359867721369</v>
      </c>
      <c r="J832">
        <f>($B$1+Table4[[#This Row],[Home Differential]])-Table4[[#This Row],[Away Differential]]</f>
        <v>-0.48715521743193335</v>
      </c>
      <c r="K832" t="str">
        <f>IF(Table4[[#This Row],[HomeIce Differential]]&gt;0,Table4[[#This Row],[Home]],Table4[[#This Row],[Visitor]])</f>
        <v>Los Angeles Kings</v>
      </c>
      <c r="L8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0.5831983510067219</v>
      </c>
      <c r="M832" t="str">
        <f>IF(OR((NHL2025_26Results[[#This Row],[Winning Team]]="")),"-",IF(Table4[[#This Row],[Predicted Winner]]=NHL2025_26Results[[#This Row],[Winning Team]],"YES","NO"))</f>
        <v>-</v>
      </c>
      <c r="N832" t="str">
        <f>IF(Table4[[#This Row],[Adjusted Correct]]="-", "",IF(Table4[[#This Row],[Adjusted Correct]]="YES",(Table4[[#This Row],[Strength of Win]]-1)^2,(Table4[[#This Row],[Strength of Win]]-0)^2))</f>
        <v/>
      </c>
      <c r="P832" s="11"/>
    </row>
    <row r="833" spans="4:16" x14ac:dyDescent="0.2">
      <c r="D833" s="1">
        <v>46049</v>
      </c>
      <c r="E833" s="2">
        <v>0.79166666666666663</v>
      </c>
      <c r="F833" t="s">
        <v>11</v>
      </c>
      <c r="G833">
        <f>VLOOKUP(Table4[[#This Row],[Home]],'NHL Model'!$A$6:$B$38,2,FALSE)</f>
        <v>-0.39711829106410657</v>
      </c>
      <c r="H833" t="s">
        <v>55</v>
      </c>
      <c r="I833">
        <f>VLOOKUP(Table4[[#This Row],[Visitor]],'NHL Model'!$A$6:$B$38,2,FALSE)</f>
        <v>-0.4031232890211825</v>
      </c>
      <c r="J833">
        <f>($B$1+Table4[[#This Row],[Home Differential]])-Table4[[#This Row],[Away Differential]]</f>
        <v>5.5905746880238416E-2</v>
      </c>
      <c r="K833" t="str">
        <f>IF(Table4[[#This Row],[HomeIce Differential]]&gt;0,Table4[[#This Row],[Home]],Table4[[#This Row],[Visitor]])</f>
        <v>Florida Panthers</v>
      </c>
      <c r="L8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0.56054444155681793</v>
      </c>
      <c r="M833" t="str">
        <f>IF(OR((NHL2025_26Results[[#This Row],[Winning Team]]="")),"-",IF(Table4[[#This Row],[Predicted Winner]]=NHL2025_26Results[[#This Row],[Winning Team]],"YES","NO"))</f>
        <v>-</v>
      </c>
      <c r="N833" t="str">
        <f>IF(Table4[[#This Row],[Adjusted Correct]]="-", "",IF(Table4[[#This Row],[Adjusted Correct]]="YES",(Table4[[#This Row],[Strength of Win]]-1)^2,(Table4[[#This Row],[Strength of Win]]-0)^2))</f>
        <v/>
      </c>
      <c r="P833" s="11"/>
    </row>
    <row r="834" spans="4:16" x14ac:dyDescent="0.2">
      <c r="D834" s="1">
        <v>46049</v>
      </c>
      <c r="E834" s="2">
        <v>0.83333333333333337</v>
      </c>
      <c r="F834" t="s">
        <v>34</v>
      </c>
      <c r="G834">
        <f>VLOOKUP(Table4[[#This Row],[Home]],'NHL Model'!$A$6:$B$38,2,FALSE)</f>
        <v>-5.5124787449478845E-2</v>
      </c>
      <c r="H834" t="s">
        <v>10</v>
      </c>
      <c r="I834">
        <f>VLOOKUP(Table4[[#This Row],[Visitor]],'NHL Model'!$A$6:$B$38,2,FALSE)</f>
        <v>-0.17619625518431364</v>
      </c>
      <c r="J834">
        <f>($B$1+Table4[[#This Row],[Home Differential]])-Table4[[#This Row],[Away Differential]]</f>
        <v>0.17097221665799728</v>
      </c>
      <c r="K834" t="str">
        <f>IF(Table4[[#This Row],[HomeIce Differential]]&gt;0,Table4[[#This Row],[Home]],Table4[[#This Row],[Visitor]])</f>
        <v>Minnesota Wild</v>
      </c>
      <c r="L8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0.5599635296646438</v>
      </c>
      <c r="M834" t="str">
        <f>IF(OR((NHL2025_26Results[[#This Row],[Winning Team]]="")),"-",IF(Table4[[#This Row],[Predicted Winner]]=NHL2025_26Results[[#This Row],[Winning Team]],"YES","NO"))</f>
        <v>-</v>
      </c>
      <c r="N834" t="str">
        <f>IF(Table4[[#This Row],[Adjusted Correct]]="-", "",IF(Table4[[#This Row],[Adjusted Correct]]="YES",(Table4[[#This Row],[Strength of Win]]-1)^2,(Table4[[#This Row],[Strength of Win]]-0)^2))</f>
        <v/>
      </c>
      <c r="P834" s="11"/>
    </row>
    <row r="835" spans="4:16" x14ac:dyDescent="0.2">
      <c r="D835" s="1">
        <v>46049</v>
      </c>
      <c r="E835" s="2">
        <v>0.79166666666666663</v>
      </c>
      <c r="F835" t="s">
        <v>18</v>
      </c>
      <c r="G835">
        <f>VLOOKUP(Table4[[#This Row],[Home]],'NHL Model'!$A$6:$B$38,2,FALSE)</f>
        <v>-0.59288962827382519</v>
      </c>
      <c r="H835" t="s">
        <v>20</v>
      </c>
      <c r="I835">
        <f>VLOOKUP(Table4[[#This Row],[Visitor]],'NHL Model'!$A$6:$B$38,2,FALSE)</f>
        <v>-0.24444083032063643</v>
      </c>
      <c r="J835">
        <f>($B$1+Table4[[#This Row],[Home Differential]])-Table4[[#This Row],[Away Differential]]</f>
        <v>-0.2985480490300263</v>
      </c>
      <c r="K835" t="str">
        <f>IF(Table4[[#This Row],[HomeIce Differential]]&gt;0,Table4[[#This Row],[Home]],Table4[[#This Row],[Visitor]])</f>
        <v>Vegas Golden Knights</v>
      </c>
      <c r="L8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0.49485989097898075</v>
      </c>
      <c r="M835" t="str">
        <f>IF(OR((NHL2025_26Results[[#This Row],[Winning Team]]="")),"-",IF(Table4[[#This Row],[Predicted Winner]]=NHL2025_26Results[[#This Row],[Winning Team]],"YES","NO"))</f>
        <v>-</v>
      </c>
      <c r="N835" t="str">
        <f>IF(Table4[[#This Row],[Adjusted Correct]]="-", "",IF(Table4[[#This Row],[Adjusted Correct]]="YES",(Table4[[#This Row],[Strength of Win]]-1)^2,(Table4[[#This Row],[Strength of Win]]-0)^2))</f>
        <v/>
      </c>
      <c r="P835" s="11"/>
    </row>
    <row r="836" spans="4:16" x14ac:dyDescent="0.2">
      <c r="D836" s="1">
        <v>46049</v>
      </c>
      <c r="E836" s="2">
        <v>0.79166666666666663</v>
      </c>
      <c r="F836" t="s">
        <v>24</v>
      </c>
      <c r="G836">
        <f>VLOOKUP(Table4[[#This Row],[Home]],'NHL Model'!$A$6:$B$38,2,FALSE)</f>
        <v>1.5302507646042616E-3</v>
      </c>
      <c r="H836" t="s">
        <v>40</v>
      </c>
      <c r="I836">
        <f>VLOOKUP(Table4[[#This Row],[Visitor]],'NHL Model'!$A$6:$B$38,2,FALSE)</f>
        <v>-0.31324182378279158</v>
      </c>
      <c r="J836">
        <f>($B$1+Table4[[#This Row],[Home Differential]])-Table4[[#This Row],[Away Differential]]</f>
        <v>0.36467282347055829</v>
      </c>
      <c r="K836" t="str">
        <f>IF(Table4[[#This Row],[HomeIce Differential]]&gt;0,Table4[[#This Row],[Home]],Table4[[#This Row],[Visitor]])</f>
        <v>New Jersey Devils</v>
      </c>
      <c r="L8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0.64258093432693042</v>
      </c>
      <c r="M836" t="str">
        <f>IF(OR((NHL2025_26Results[[#This Row],[Winning Team]]="")),"-",IF(Table4[[#This Row],[Predicted Winner]]=NHL2025_26Results[[#This Row],[Winning Team]],"YES","NO"))</f>
        <v>-</v>
      </c>
      <c r="N836" t="str">
        <f>IF(Table4[[#This Row],[Adjusted Correct]]="-", "",IF(Table4[[#This Row],[Adjusted Correct]]="YES",(Table4[[#This Row],[Strength of Win]]-1)^2,(Table4[[#This Row],[Strength of Win]]-0)^2))</f>
        <v/>
      </c>
      <c r="P836" s="11"/>
    </row>
    <row r="837" spans="4:16" x14ac:dyDescent="0.2">
      <c r="D837" s="1">
        <v>46049</v>
      </c>
      <c r="E837" s="2">
        <v>0.91666666666666663</v>
      </c>
      <c r="F837" t="s">
        <v>32</v>
      </c>
      <c r="G837">
        <f>VLOOKUP(Table4[[#This Row],[Home]],'NHL Model'!$A$6:$B$38,2,FALSE)</f>
        <v>-0.64937723527808999</v>
      </c>
      <c r="H837" t="s">
        <v>22</v>
      </c>
      <c r="I837">
        <f>VLOOKUP(Table4[[#This Row],[Visitor]],'NHL Model'!$A$6:$B$38,2,FALSE)</f>
        <v>0.4407072328537569</v>
      </c>
      <c r="J837">
        <f>($B$1+Table4[[#This Row],[Home Differential]])-Table4[[#This Row],[Away Differential]]</f>
        <v>-1.0401837192086845</v>
      </c>
      <c r="K837" t="str">
        <f>IF(Table4[[#This Row],[HomeIce Differential]]&gt;0,Table4[[#This Row],[Home]],Table4[[#This Row],[Visitor]])</f>
        <v>Washington Capitals</v>
      </c>
      <c r="L8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0.62396936404769199</v>
      </c>
      <c r="M837" t="str">
        <f>IF(OR((NHL2025_26Results[[#This Row],[Winning Team]]="")),"-",IF(Table4[[#This Row],[Predicted Winner]]=NHL2025_26Results[[#This Row],[Winning Team]],"YES","NO"))</f>
        <v>-</v>
      </c>
      <c r="N837" t="str">
        <f>IF(Table4[[#This Row],[Adjusted Correct]]="-", "",IF(Table4[[#This Row],[Adjusted Correct]]="YES",(Table4[[#This Row],[Strength of Win]]-1)^2,(Table4[[#This Row],[Strength of Win]]-0)^2))</f>
        <v/>
      </c>
      <c r="P837" s="11"/>
    </row>
    <row r="838" spans="4:16" x14ac:dyDescent="0.2">
      <c r="D838" s="1">
        <v>46049</v>
      </c>
      <c r="E838" s="2">
        <v>0.83333333333333337</v>
      </c>
      <c r="F838" t="s">
        <v>35</v>
      </c>
      <c r="G838">
        <f>VLOOKUP(Table4[[#This Row],[Home]],'NHL Model'!$A$6:$B$38,2,FALSE)</f>
        <v>-1.3944783719477225</v>
      </c>
      <c r="H838" t="s">
        <v>39</v>
      </c>
      <c r="I838">
        <f>VLOOKUP(Table4[[#This Row],[Visitor]],'NHL Model'!$A$6:$B$38,2,FALSE)</f>
        <v>0.41344250185511977</v>
      </c>
      <c r="J838">
        <f>($B$1+Table4[[#This Row],[Home Differential]])-Table4[[#This Row],[Away Differential]]</f>
        <v>-1.7580201248796798</v>
      </c>
      <c r="K838" t="str">
        <f>IF(Table4[[#This Row],[HomeIce Differential]]&gt;0,Table4[[#This Row],[Home]],Table4[[#This Row],[Visitor]])</f>
        <v>Dallas Stars</v>
      </c>
      <c r="L8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0.76707254891390675</v>
      </c>
      <c r="M838" t="str">
        <f>IF(OR((NHL2025_26Results[[#This Row],[Winning Team]]="")),"-",IF(Table4[[#This Row],[Predicted Winner]]=NHL2025_26Results[[#This Row],[Winning Team]],"YES","NO"))</f>
        <v>-</v>
      </c>
      <c r="N838" t="str">
        <f>IF(Table4[[#This Row],[Adjusted Correct]]="-", "",IF(Table4[[#This Row],[Adjusted Correct]]="YES",(Table4[[#This Row],[Strength of Win]]-1)^2,(Table4[[#This Row],[Strength of Win]]-0)^2))</f>
        <v/>
      </c>
      <c r="P838" s="11"/>
    </row>
    <row r="839" spans="4:16" x14ac:dyDescent="0.2">
      <c r="D839" s="1">
        <v>46049</v>
      </c>
      <c r="E839" s="2">
        <v>0.79166666666666663</v>
      </c>
      <c r="F839" t="s">
        <v>19</v>
      </c>
      <c r="G839">
        <f>VLOOKUP(Table4[[#This Row],[Home]],'NHL Model'!$A$6:$B$38,2,FALSE)</f>
        <v>-0.63447859131898054</v>
      </c>
      <c r="H839" t="s">
        <v>23</v>
      </c>
      <c r="I839">
        <f>VLOOKUP(Table4[[#This Row],[Visitor]],'NHL Model'!$A$6:$B$38,2,FALSE)</f>
        <v>-0.4761104357405897</v>
      </c>
      <c r="J839">
        <f>($B$1+Table4[[#This Row],[Home Differential]])-Table4[[#This Row],[Away Differential]]</f>
        <v>-0.10846740665522842</v>
      </c>
      <c r="K839" t="str">
        <f>IF(Table4[[#This Row],[HomeIce Differential]]&gt;0,Table4[[#This Row],[Home]],Table4[[#This Row],[Visitor]])</f>
        <v>Buffalo Sabres</v>
      </c>
      <c r="L8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0.47266517059166496</v>
      </c>
      <c r="M839" t="str">
        <f>IF(OR((NHL2025_26Results[[#This Row],[Winning Team]]="")),"-",IF(Table4[[#This Row],[Predicted Winner]]=NHL2025_26Results[[#This Row],[Winning Team]],"YES","NO"))</f>
        <v>-</v>
      </c>
      <c r="N839" t="str">
        <f>IF(Table4[[#This Row],[Adjusted Correct]]="-", "",IF(Table4[[#This Row],[Adjusted Correct]]="YES",(Table4[[#This Row],[Strength of Win]]-1)^2,(Table4[[#This Row],[Strength of Win]]-0)^2))</f>
        <v/>
      </c>
      <c r="P839" s="11"/>
    </row>
    <row r="840" spans="4:16" x14ac:dyDescent="0.2">
      <c r="D840" s="1">
        <v>46049</v>
      </c>
      <c r="E840" s="2">
        <v>0.91666666666666663</v>
      </c>
      <c r="F840" t="s">
        <v>38</v>
      </c>
      <c r="G840">
        <f>VLOOKUP(Table4[[#This Row],[Home]],'NHL Model'!$A$6:$B$38,2,FALSE)</f>
        <v>-0.9476777551108041</v>
      </c>
      <c r="H840" t="s">
        <v>33</v>
      </c>
      <c r="I840">
        <f>VLOOKUP(Table4[[#This Row],[Visitor]],'NHL Model'!$A$6:$B$38,2,FALSE)</f>
        <v>-0.45133099238224339</v>
      </c>
      <c r="J840">
        <f>($B$1+Table4[[#This Row],[Home Differential]])-Table4[[#This Row],[Away Differential]]</f>
        <v>-0.44644601380539828</v>
      </c>
      <c r="K840" t="str">
        <f>IF(Table4[[#This Row],[HomeIce Differential]]&gt;0,Table4[[#This Row],[Home]],Table4[[#This Row],[Visitor]])</f>
        <v>San Jose Sharks</v>
      </c>
      <c r="L8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0.51212916118467577</v>
      </c>
      <c r="M840" t="str">
        <f>IF(OR((NHL2025_26Results[[#This Row],[Winning Team]]="")),"-",IF(Table4[[#This Row],[Predicted Winner]]=NHL2025_26Results[[#This Row],[Winning Team]],"YES","NO"))</f>
        <v>-</v>
      </c>
      <c r="N840" t="str">
        <f>IF(Table4[[#This Row],[Adjusted Correct]]="-", "",IF(Table4[[#This Row],[Adjusted Correct]]="YES",(Table4[[#This Row],[Strength of Win]]-1)^2,(Table4[[#This Row],[Strength of Win]]-0)^2))</f>
        <v/>
      </c>
      <c r="P840" s="11"/>
    </row>
    <row r="841" spans="4:16" x14ac:dyDescent="0.2">
      <c r="D841" s="1">
        <v>46050</v>
      </c>
      <c r="E841" s="2">
        <v>0.79166666666666663</v>
      </c>
      <c r="F841" t="s">
        <v>28</v>
      </c>
      <c r="G841">
        <f>VLOOKUP(Table4[[#This Row],[Home]],'NHL Model'!$A$6:$B$38,2,FALSE)</f>
        <v>-0.59498940435054026</v>
      </c>
      <c r="H841" t="s">
        <v>27</v>
      </c>
      <c r="I841">
        <f>VLOOKUP(Table4[[#This Row],[Visitor]],'NHL Model'!$A$6:$B$38,2,FALSE)</f>
        <v>-0.38023958350631604</v>
      </c>
      <c r="J841">
        <f>($B$1+Table4[[#This Row],[Home Differential]])-Table4[[#This Row],[Away Differential]]</f>
        <v>-0.1648490719210618</v>
      </c>
      <c r="K841" t="str">
        <f>IF(Table4[[#This Row],[HomeIce Differential]]&gt;0,Table4[[#This Row],[Home]],Table4[[#This Row],[Visitor]])</f>
        <v>Philadelphia Flyers</v>
      </c>
      <c r="L8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0.52176112495951044</v>
      </c>
      <c r="M841" t="str">
        <f>IF(OR((NHL2025_26Results[[#This Row],[Winning Team]]="")),"-",IF(Table4[[#This Row],[Predicted Winner]]=NHL2025_26Results[[#This Row],[Winning Team]],"YES","NO"))</f>
        <v>-</v>
      </c>
      <c r="N841" t="str">
        <f>IF(Table4[[#This Row],[Adjusted Correct]]="-", "",IF(Table4[[#This Row],[Adjusted Correct]]="YES",(Table4[[#This Row],[Strength of Win]]-1)^2,(Table4[[#This Row],[Strength of Win]]-0)^2))</f>
        <v/>
      </c>
      <c r="P841" s="11"/>
    </row>
    <row r="842" spans="4:16" x14ac:dyDescent="0.2">
      <c r="D842" s="1">
        <v>46050</v>
      </c>
      <c r="E842" s="2">
        <v>0.8125</v>
      </c>
      <c r="F842" t="s">
        <v>30</v>
      </c>
      <c r="G842">
        <f>VLOOKUP(Table4[[#This Row],[Home]],'NHL Model'!$A$6:$B$38,2,FALSE)</f>
        <v>-0.24093199744133265</v>
      </c>
      <c r="H842" t="s">
        <v>15</v>
      </c>
      <c r="I842">
        <f>VLOOKUP(Table4[[#This Row],[Visitor]],'NHL Model'!$A$6:$B$38,2,FALSE)</f>
        <v>-0.29003398448394263</v>
      </c>
      <c r="J842">
        <f>($B$1+Table4[[#This Row],[Home Differential]])-Table4[[#This Row],[Away Differential]]</f>
        <v>9.9002735965772443E-2</v>
      </c>
      <c r="K842" t="str">
        <f>IF(Table4[[#This Row],[HomeIce Differential]]&gt;0,Table4[[#This Row],[Home]],Table4[[#This Row],[Visitor]])</f>
        <v>New York Islanders</v>
      </c>
      <c r="L8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0.45147856420498927</v>
      </c>
      <c r="M842" t="str">
        <f>IF(OR((NHL2025_26Results[[#This Row],[Winning Team]]="")),"-",IF(Table4[[#This Row],[Predicted Winner]]=NHL2025_26Results[[#This Row],[Winning Team]],"YES","NO"))</f>
        <v>-</v>
      </c>
      <c r="N842" t="str">
        <f>IF(Table4[[#This Row],[Adjusted Correct]]="-", "",IF(Table4[[#This Row],[Adjusted Correct]]="YES",(Table4[[#This Row],[Strength of Win]]-1)^2,(Table4[[#This Row],[Strength of Win]]-0)^2))</f>
        <v/>
      </c>
      <c r="P842" s="11"/>
    </row>
    <row r="843" spans="4:16" x14ac:dyDescent="0.2">
      <c r="D843" s="1">
        <v>46050</v>
      </c>
      <c r="E843" s="2">
        <v>0.8125</v>
      </c>
      <c r="F843" t="s">
        <v>36</v>
      </c>
      <c r="G843">
        <f>VLOOKUP(Table4[[#This Row],[Home]],'NHL Model'!$A$6:$B$38,2,FALSE)</f>
        <v>-0.53137605086483863</v>
      </c>
      <c r="H843" t="s">
        <v>12</v>
      </c>
      <c r="I843">
        <f>VLOOKUP(Table4[[#This Row],[Visitor]],'NHL Model'!$A$6:$B$38,2,FALSE)</f>
        <v>1.6319036584269762</v>
      </c>
      <c r="J843">
        <f>($B$1+Table4[[#This Row],[Home Differential]])-Table4[[#This Row],[Away Differential]]</f>
        <v>-2.1133789603686521</v>
      </c>
      <c r="K843" t="str">
        <f>IF(Table4[[#This Row],[HomeIce Differential]]&gt;0,Table4[[#This Row],[Home]],Table4[[#This Row],[Visitor]])</f>
        <v>Colorado Avalanche</v>
      </c>
      <c r="L8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0.77688866679805757</v>
      </c>
      <c r="M843" t="str">
        <f>IF(OR((NHL2025_26Results[[#This Row],[Winning Team]]="")),"-",IF(Table4[[#This Row],[Predicted Winner]]=NHL2025_26Results[[#This Row],[Winning Team]],"YES","NO"))</f>
        <v>-</v>
      </c>
      <c r="N843" t="str">
        <f>IF(Table4[[#This Row],[Adjusted Correct]]="-", "",IF(Table4[[#This Row],[Adjusted Correct]]="YES",(Table4[[#This Row],[Strength of Win]]-1)^2,(Table4[[#This Row],[Strength of Win]]-0)^2))</f>
        <v/>
      </c>
      <c r="P843" s="11"/>
    </row>
    <row r="844" spans="4:16" x14ac:dyDescent="0.2">
      <c r="D844" s="1">
        <v>46051</v>
      </c>
      <c r="E844" s="2">
        <v>0.79166666666666663</v>
      </c>
      <c r="F844" t="s">
        <v>21</v>
      </c>
      <c r="G844">
        <f>VLOOKUP(Table4[[#This Row],[Home]],'NHL Model'!$A$6:$B$38,2,FALSE)</f>
        <v>-0.21976976044773161</v>
      </c>
      <c r="H844" t="s">
        <v>27</v>
      </c>
      <c r="I844">
        <f>VLOOKUP(Table4[[#This Row],[Visitor]],'NHL Model'!$A$6:$B$38,2,FALSE)</f>
        <v>-0.38023958350631604</v>
      </c>
      <c r="J844">
        <f>($B$1+Table4[[#This Row],[Home Differential]])-Table4[[#This Row],[Away Differential]]</f>
        <v>0.21037057198174688</v>
      </c>
      <c r="K844" t="str">
        <f>IF(Table4[[#This Row],[HomeIce Differential]]&gt;0,Table4[[#This Row],[Home]],Table4[[#This Row],[Visitor]])</f>
        <v>Boston Bruins</v>
      </c>
      <c r="L8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0.56554747568429253</v>
      </c>
      <c r="M844" t="str">
        <f>IF(OR((NHL2025_26Results[[#This Row],[Winning Team]]="")),"-",IF(Table4[[#This Row],[Predicted Winner]]=NHL2025_26Results[[#This Row],[Winning Team]],"YES","NO"))</f>
        <v>-</v>
      </c>
      <c r="N844" t="str">
        <f>IF(Table4[[#This Row],[Adjusted Correct]]="-", "",IF(Table4[[#This Row],[Adjusted Correct]]="YES",(Table4[[#This Row],[Strength of Win]]-1)^2,(Table4[[#This Row],[Strength of Win]]-0)^2))</f>
        <v/>
      </c>
      <c r="P844" s="11"/>
    </row>
    <row r="845" spans="4:16" x14ac:dyDescent="0.2">
      <c r="D845" s="1">
        <v>46051</v>
      </c>
      <c r="E845" s="2">
        <v>0.79166666666666663</v>
      </c>
      <c r="F845" t="s">
        <v>23</v>
      </c>
      <c r="G845">
        <f>VLOOKUP(Table4[[#This Row],[Home]],'NHL Model'!$A$6:$B$38,2,FALSE)</f>
        <v>-0.4761104357405897</v>
      </c>
      <c r="H845" t="s">
        <v>13</v>
      </c>
      <c r="I845">
        <f>VLOOKUP(Table4[[#This Row],[Visitor]],'NHL Model'!$A$6:$B$38,2,FALSE)</f>
        <v>-0.33828359867721369</v>
      </c>
      <c r="J845">
        <f>($B$1+Table4[[#This Row],[Home Differential]])-Table4[[#This Row],[Away Differential]]</f>
        <v>-8.7926088140213521E-2</v>
      </c>
      <c r="K845" t="str">
        <f>IF(Table4[[#This Row],[HomeIce Differential]]&gt;0,Table4[[#This Row],[Home]],Table4[[#This Row],[Visitor]])</f>
        <v>Los Angeles Kings</v>
      </c>
      <c r="L8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0.52639570074487763</v>
      </c>
      <c r="M845" t="str">
        <f>IF(OR((NHL2025_26Results[[#This Row],[Winning Team]]="")),"-",IF(Table4[[#This Row],[Predicted Winner]]=NHL2025_26Results[[#This Row],[Winning Team]],"YES","NO"))</f>
        <v>-</v>
      </c>
      <c r="N845" t="str">
        <f>IF(Table4[[#This Row],[Adjusted Correct]]="-", "",IF(Table4[[#This Row],[Adjusted Correct]]="YES",(Table4[[#This Row],[Strength of Win]]-1)^2,(Table4[[#This Row],[Strength of Win]]-0)^2))</f>
        <v/>
      </c>
      <c r="P845" s="11"/>
    </row>
    <row r="846" spans="4:16" x14ac:dyDescent="0.2">
      <c r="D846" s="1">
        <v>46051</v>
      </c>
      <c r="E846" s="2">
        <v>0.79166666666666663</v>
      </c>
      <c r="F846" t="s">
        <v>25</v>
      </c>
      <c r="G846">
        <f>VLOOKUP(Table4[[#This Row],[Home]],'NHL Model'!$A$6:$B$38,2,FALSE)</f>
        <v>0.42567513732855267</v>
      </c>
      <c r="H846" t="s">
        <v>55</v>
      </c>
      <c r="I846">
        <f>VLOOKUP(Table4[[#This Row],[Visitor]],'NHL Model'!$A$6:$B$38,2,FALSE)</f>
        <v>-0.4031232890211825</v>
      </c>
      <c r="J846">
        <f>($B$1+Table4[[#This Row],[Home Differential]])-Table4[[#This Row],[Away Differential]]</f>
        <v>0.87869917527289765</v>
      </c>
      <c r="K846" t="str">
        <f>IF(Table4[[#This Row],[HomeIce Differential]]&gt;0,Table4[[#This Row],[Home]],Table4[[#This Row],[Visitor]])</f>
        <v>Carolina Hurricanes</v>
      </c>
      <c r="L8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0.69431707371871232</v>
      </c>
      <c r="M846" t="str">
        <f>IF(OR((NHL2025_26Results[[#This Row],[Winning Team]]="")),"-",IF(Table4[[#This Row],[Predicted Winner]]=NHL2025_26Results[[#This Row],[Winning Team]],"YES","NO"))</f>
        <v>-</v>
      </c>
      <c r="N846" t="str">
        <f>IF(Table4[[#This Row],[Adjusted Correct]]="-", "",IF(Table4[[#This Row],[Adjusted Correct]]="YES",(Table4[[#This Row],[Strength of Win]]-1)^2,(Table4[[#This Row],[Strength of Win]]-0)^2))</f>
        <v/>
      </c>
      <c r="P846" s="11"/>
    </row>
    <row r="847" spans="4:16" x14ac:dyDescent="0.2">
      <c r="D847" s="1">
        <v>46051</v>
      </c>
      <c r="E847" s="2">
        <v>0.8125</v>
      </c>
      <c r="F847" t="s">
        <v>26</v>
      </c>
      <c r="G847">
        <f>VLOOKUP(Table4[[#This Row],[Home]],'NHL Model'!$A$6:$B$38,2,FALSE)</f>
        <v>-0.87533956503230947</v>
      </c>
      <c r="H847" t="s">
        <v>22</v>
      </c>
      <c r="I847">
        <f>VLOOKUP(Table4[[#This Row],[Visitor]],'NHL Model'!$A$6:$B$38,2,FALSE)</f>
        <v>0.4407072328537569</v>
      </c>
      <c r="J847">
        <f>($B$1+Table4[[#This Row],[Home Differential]])-Table4[[#This Row],[Away Differential]]</f>
        <v>-1.2661460489629039</v>
      </c>
      <c r="K847" t="str">
        <f>IF(Table4[[#This Row],[HomeIce Differential]]&gt;0,Table4[[#This Row],[Home]],Table4[[#This Row],[Visitor]])</f>
        <v>Washington Capitals</v>
      </c>
      <c r="L8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0.65035380101246465</v>
      </c>
      <c r="M847" t="str">
        <f>IF(OR((NHL2025_26Results[[#This Row],[Winning Team]]="")),"-",IF(Table4[[#This Row],[Predicted Winner]]=NHL2025_26Results[[#This Row],[Winning Team]],"YES","NO"))</f>
        <v>-</v>
      </c>
      <c r="N847" t="str">
        <f>IF(Table4[[#This Row],[Adjusted Correct]]="-", "",IF(Table4[[#This Row],[Adjusted Correct]]="YES",(Table4[[#This Row],[Strength of Win]]-1)^2,(Table4[[#This Row],[Strength of Win]]-0)^2))</f>
        <v/>
      </c>
      <c r="P847" s="11"/>
    </row>
    <row r="848" spans="4:16" x14ac:dyDescent="0.2">
      <c r="D848" s="1">
        <v>46051</v>
      </c>
      <c r="E848" s="2">
        <v>0.875</v>
      </c>
      <c r="F848" t="s">
        <v>17</v>
      </c>
      <c r="G848">
        <f>VLOOKUP(Table4[[#This Row],[Home]],'NHL Model'!$A$6:$B$38,2,FALSE)</f>
        <v>-0.81774666423752174</v>
      </c>
      <c r="H848" t="s">
        <v>33</v>
      </c>
      <c r="I848">
        <f>VLOOKUP(Table4[[#This Row],[Visitor]],'NHL Model'!$A$6:$B$38,2,FALSE)</f>
        <v>-0.45133099238224339</v>
      </c>
      <c r="J848">
        <f>($B$1+Table4[[#This Row],[Home Differential]])-Table4[[#This Row],[Away Differential]]</f>
        <v>-0.31651492293211592</v>
      </c>
      <c r="K848" t="str">
        <f>IF(Table4[[#This Row],[HomeIce Differential]]&gt;0,Table4[[#This Row],[Home]],Table4[[#This Row],[Visitor]])</f>
        <v>San Jose Sharks</v>
      </c>
      <c r="L8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0.48991183681922673</v>
      </c>
      <c r="M848" t="str">
        <f>IF(OR((NHL2025_26Results[[#This Row],[Winning Team]]="")),"-",IF(Table4[[#This Row],[Predicted Winner]]=NHL2025_26Results[[#This Row],[Winning Team]],"YES","NO"))</f>
        <v>-</v>
      </c>
      <c r="N848" t="str">
        <f>IF(Table4[[#This Row],[Adjusted Correct]]="-", "",IF(Table4[[#This Row],[Adjusted Correct]]="YES",(Table4[[#This Row],[Strength of Win]]-1)^2,(Table4[[#This Row],[Strength of Win]]-0)^2))</f>
        <v/>
      </c>
      <c r="P848" s="11"/>
    </row>
    <row r="849" spans="4:16" x14ac:dyDescent="0.2">
      <c r="D849" s="1">
        <v>46051</v>
      </c>
      <c r="E849" s="2">
        <v>0.83333333333333337</v>
      </c>
      <c r="F849" t="s">
        <v>34</v>
      </c>
      <c r="G849">
        <f>VLOOKUP(Table4[[#This Row],[Home]],'NHL Model'!$A$6:$B$38,2,FALSE)</f>
        <v>-5.5124787449478845E-2</v>
      </c>
      <c r="H849" t="s">
        <v>16</v>
      </c>
      <c r="I849">
        <f>VLOOKUP(Table4[[#This Row],[Visitor]],'NHL Model'!$A$6:$B$38,2,FALSE)</f>
        <v>-1.0657812790446208</v>
      </c>
      <c r="J849">
        <f>($B$1+Table4[[#This Row],[Home Differential]])-Table4[[#This Row],[Away Differential]]</f>
        <v>1.0605572405183044</v>
      </c>
      <c r="K849" t="str">
        <f>IF(Table4[[#This Row],[HomeIce Differential]]&gt;0,Table4[[#This Row],[Home]],Table4[[#This Row],[Visitor]])</f>
        <v>Minnesota Wild</v>
      </c>
      <c r="L8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0.66383571053823376</v>
      </c>
      <c r="M849" t="str">
        <f>IF(OR((NHL2025_26Results[[#This Row],[Winning Team]]="")),"-",IF(Table4[[#This Row],[Predicted Winner]]=NHL2025_26Results[[#This Row],[Winning Team]],"YES","NO"))</f>
        <v>-</v>
      </c>
      <c r="N849" t="str">
        <f>IF(Table4[[#This Row],[Adjusted Correct]]="-", "",IF(Table4[[#This Row],[Adjusted Correct]]="YES",(Table4[[#This Row],[Strength of Win]]-1)^2,(Table4[[#This Row],[Strength of Win]]-0)^2))</f>
        <v/>
      </c>
      <c r="P849" s="11"/>
    </row>
    <row r="850" spans="4:16" x14ac:dyDescent="0.2">
      <c r="D850" s="1">
        <v>46051</v>
      </c>
      <c r="E850" s="2">
        <v>0.79166666666666663</v>
      </c>
      <c r="F850" t="s">
        <v>18</v>
      </c>
      <c r="G850">
        <f>VLOOKUP(Table4[[#This Row],[Home]],'NHL Model'!$A$6:$B$38,2,FALSE)</f>
        <v>-0.59288962827382519</v>
      </c>
      <c r="H850" t="s">
        <v>12</v>
      </c>
      <c r="I850">
        <f>VLOOKUP(Table4[[#This Row],[Visitor]],'NHL Model'!$A$6:$B$38,2,FALSE)</f>
        <v>1.6319036584269762</v>
      </c>
      <c r="J850">
        <f>($B$1+Table4[[#This Row],[Home Differential]])-Table4[[#This Row],[Away Differential]]</f>
        <v>-2.1748925377776391</v>
      </c>
      <c r="K850" t="str">
        <f>IF(Table4[[#This Row],[HomeIce Differential]]&gt;0,Table4[[#This Row],[Home]],Table4[[#This Row],[Visitor]])</f>
        <v>Colorado Avalanche</v>
      </c>
      <c r="L8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0.78657397201630874</v>
      </c>
      <c r="M850" t="str">
        <f>IF(OR((NHL2025_26Results[[#This Row],[Winning Team]]="")),"-",IF(Table4[[#This Row],[Predicted Winner]]=NHL2025_26Results[[#This Row],[Winning Team]],"YES","NO"))</f>
        <v>-</v>
      </c>
      <c r="N850" t="str">
        <f>IF(Table4[[#This Row],[Adjusted Correct]]="-", "",IF(Table4[[#This Row],[Adjusted Correct]]="YES",(Table4[[#This Row],[Strength of Win]]-1)^2,(Table4[[#This Row],[Strength of Win]]-0)^2))</f>
        <v/>
      </c>
      <c r="P850" s="11"/>
    </row>
    <row r="851" spans="4:16" x14ac:dyDescent="0.2">
      <c r="D851" s="1">
        <v>46051</v>
      </c>
      <c r="E851" s="2">
        <v>0.79166666666666663</v>
      </c>
      <c r="F851" t="s">
        <v>24</v>
      </c>
      <c r="G851">
        <f>VLOOKUP(Table4[[#This Row],[Home]],'NHL Model'!$A$6:$B$38,2,FALSE)</f>
        <v>1.5302507646042616E-3</v>
      </c>
      <c r="H851" t="s">
        <v>29</v>
      </c>
      <c r="I851">
        <f>VLOOKUP(Table4[[#This Row],[Visitor]],'NHL Model'!$A$6:$B$38,2,FALSE)</f>
        <v>-1.384917283810061</v>
      </c>
      <c r="J851">
        <f>($B$1+Table4[[#This Row],[Home Differential]])-Table4[[#This Row],[Away Differential]]</f>
        <v>1.4363482834978276</v>
      </c>
      <c r="K851" t="str">
        <f>IF(Table4[[#This Row],[HomeIce Differential]]&gt;0,Table4[[#This Row],[Home]],Table4[[#This Row],[Visitor]])</f>
        <v>New Jersey Devils</v>
      </c>
      <c r="L8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0.78754957182984597</v>
      </c>
      <c r="M851" t="str">
        <f>IF(OR((NHL2025_26Results[[#This Row],[Winning Team]]="")),"-",IF(Table4[[#This Row],[Predicted Winner]]=NHL2025_26Results[[#This Row],[Winning Team]],"YES","NO"))</f>
        <v>-</v>
      </c>
      <c r="N851" t="str">
        <f>IF(Table4[[#This Row],[Adjusted Correct]]="-", "",IF(Table4[[#This Row],[Adjusted Correct]]="YES",(Table4[[#This Row],[Strength of Win]]-1)^2,(Table4[[#This Row],[Strength of Win]]-0)^2))</f>
        <v/>
      </c>
      <c r="P851" s="11"/>
    </row>
    <row r="852" spans="4:16" x14ac:dyDescent="0.2">
      <c r="D852" s="1">
        <v>46051</v>
      </c>
      <c r="E852" s="2">
        <v>0.79166666666666663</v>
      </c>
      <c r="F852" t="s">
        <v>15</v>
      </c>
      <c r="G852">
        <f>VLOOKUP(Table4[[#This Row],[Home]],'NHL Model'!$A$6:$B$38,2,FALSE)</f>
        <v>-0.29003398448394263</v>
      </c>
      <c r="H852" t="s">
        <v>30</v>
      </c>
      <c r="I852">
        <f>VLOOKUP(Table4[[#This Row],[Visitor]],'NHL Model'!$A$6:$B$38,2,FALSE)</f>
        <v>-0.24093199744133265</v>
      </c>
      <c r="J852">
        <f>($B$1+Table4[[#This Row],[Home Differential]])-Table4[[#This Row],[Away Differential]]</f>
        <v>7.9876188055247321E-4</v>
      </c>
      <c r="K852" t="str">
        <f>IF(Table4[[#This Row],[HomeIce Differential]]&gt;0,Table4[[#This Row],[Home]],Table4[[#This Row],[Visitor]])</f>
        <v>New York Rangers</v>
      </c>
      <c r="L8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0.46747009813058232</v>
      </c>
      <c r="M852" t="str">
        <f>IF(OR((NHL2025_26Results[[#This Row],[Winning Team]]="")),"-",IF(Table4[[#This Row],[Predicted Winner]]=NHL2025_26Results[[#This Row],[Winning Team]],"YES","NO"))</f>
        <v>-</v>
      </c>
      <c r="N852" t="str">
        <f>IF(Table4[[#This Row],[Adjusted Correct]]="-", "",IF(Table4[[#This Row],[Adjusted Correct]]="YES",(Table4[[#This Row],[Strength of Win]]-1)^2,(Table4[[#This Row],[Strength of Win]]-0)^2))</f>
        <v/>
      </c>
      <c r="P852" s="11"/>
    </row>
    <row r="853" spans="4:16" x14ac:dyDescent="0.2">
      <c r="D853" s="1">
        <v>46051</v>
      </c>
      <c r="E853" s="2">
        <v>0.79166666666666663</v>
      </c>
      <c r="F853" t="s">
        <v>14</v>
      </c>
      <c r="G853">
        <f>VLOOKUP(Table4[[#This Row],[Home]],'NHL Model'!$A$6:$B$38,2,FALSE)</f>
        <v>-0.14226422156549004</v>
      </c>
      <c r="H853" t="s">
        <v>10</v>
      </c>
      <c r="I853">
        <f>VLOOKUP(Table4[[#This Row],[Visitor]],'NHL Model'!$A$6:$B$38,2,FALSE)</f>
        <v>-0.17619625518431364</v>
      </c>
      <c r="J853">
        <f>($B$1+Table4[[#This Row],[Home Differential]])-Table4[[#This Row],[Away Differential]]</f>
        <v>8.3832782541986062E-2</v>
      </c>
      <c r="K853" t="str">
        <f>IF(Table4[[#This Row],[HomeIce Differential]]&gt;0,Table4[[#This Row],[Home]],Table4[[#This Row],[Visitor]])</f>
        <v>Pittsburgh Penguins</v>
      </c>
      <c r="L8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0.54978871464534118</v>
      </c>
      <c r="M853" t="str">
        <f>IF(OR((NHL2025_26Results[[#This Row],[Winning Team]]="")),"-",IF(Table4[[#This Row],[Predicted Winner]]=NHL2025_26Results[[#This Row],[Winning Team]],"YES","NO"))</f>
        <v>-</v>
      </c>
      <c r="N853" t="str">
        <f>IF(Table4[[#This Row],[Adjusted Correct]]="-", "",IF(Table4[[#This Row],[Adjusted Correct]]="YES",(Table4[[#This Row],[Strength of Win]]-1)^2,(Table4[[#This Row],[Strength of Win]]-0)^2))</f>
        <v/>
      </c>
      <c r="P853" s="11"/>
    </row>
    <row r="854" spans="4:16" x14ac:dyDescent="0.2">
      <c r="D854" s="1">
        <v>46051</v>
      </c>
      <c r="E854" s="2">
        <v>0.91666666666666663</v>
      </c>
      <c r="F854" t="s">
        <v>32</v>
      </c>
      <c r="G854">
        <f>VLOOKUP(Table4[[#This Row],[Home]],'NHL Model'!$A$6:$B$38,2,FALSE)</f>
        <v>-0.64937723527808999</v>
      </c>
      <c r="H854" t="s">
        <v>19</v>
      </c>
      <c r="I854">
        <f>VLOOKUP(Table4[[#This Row],[Visitor]],'NHL Model'!$A$6:$B$38,2,FALSE)</f>
        <v>-0.63447859131898054</v>
      </c>
      <c r="J854">
        <f>($B$1+Table4[[#This Row],[Home Differential]])-Table4[[#This Row],[Away Differential]]</f>
        <v>3.5002104964052982E-2</v>
      </c>
      <c r="K854" t="str">
        <f>IF(Table4[[#This Row],[HomeIce Differential]]&gt;0,Table4[[#This Row],[Home]],Table4[[#This Row],[Visitor]])</f>
        <v>Seattle Kraken</v>
      </c>
      <c r="L8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0.54408701234875267</v>
      </c>
      <c r="M854" t="str">
        <f>IF(OR((NHL2025_26Results[[#This Row],[Winning Team]]="")),"-",IF(Table4[[#This Row],[Predicted Winner]]=NHL2025_26Results[[#This Row],[Winning Team]],"YES","NO"))</f>
        <v>-</v>
      </c>
      <c r="N854" t="str">
        <f>IF(Table4[[#This Row],[Adjusted Correct]]="-", "",IF(Table4[[#This Row],[Adjusted Correct]]="YES",(Table4[[#This Row],[Strength of Win]]-1)^2,(Table4[[#This Row],[Strength of Win]]-0)^2))</f>
        <v/>
      </c>
      <c r="P854" s="11"/>
    </row>
    <row r="855" spans="4:16" x14ac:dyDescent="0.2">
      <c r="D855" s="1">
        <v>46051</v>
      </c>
      <c r="E855" s="2">
        <v>0.83333333333333337</v>
      </c>
      <c r="F855" t="s">
        <v>35</v>
      </c>
      <c r="G855">
        <f>VLOOKUP(Table4[[#This Row],[Home]],'NHL Model'!$A$6:$B$38,2,FALSE)</f>
        <v>-1.3944783719477225</v>
      </c>
      <c r="H855" t="s">
        <v>11</v>
      </c>
      <c r="I855">
        <f>VLOOKUP(Table4[[#This Row],[Visitor]],'NHL Model'!$A$6:$B$38,2,FALSE)</f>
        <v>-0.39711829106410657</v>
      </c>
      <c r="J855">
        <f>($B$1+Table4[[#This Row],[Home Differential]])-Table4[[#This Row],[Away Differential]]</f>
        <v>-0.94745933196045351</v>
      </c>
      <c r="K855" t="str">
        <f>IF(Table4[[#This Row],[HomeIce Differential]]&gt;0,Table4[[#This Row],[Home]],Table4[[#This Row],[Visitor]])</f>
        <v>Florida Panthers</v>
      </c>
      <c r="L8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0.57062986050810705</v>
      </c>
      <c r="M855" t="str">
        <f>IF(OR((NHL2025_26Results[[#This Row],[Winning Team]]="")),"-",IF(Table4[[#This Row],[Predicted Winner]]=NHL2025_26Results[[#This Row],[Winning Team]],"YES","NO"))</f>
        <v>-</v>
      </c>
      <c r="N855" t="str">
        <f>IF(Table4[[#This Row],[Adjusted Correct]]="-", "",IF(Table4[[#This Row],[Adjusted Correct]]="YES",(Table4[[#This Row],[Strength of Win]]-1)^2,(Table4[[#This Row],[Strength of Win]]-0)^2))</f>
        <v/>
      </c>
      <c r="P855" s="11"/>
    </row>
    <row r="856" spans="4:16" x14ac:dyDescent="0.2">
      <c r="D856" s="1">
        <v>46051</v>
      </c>
      <c r="E856" s="2">
        <v>0.79166666666666663</v>
      </c>
      <c r="F856" t="s">
        <v>37</v>
      </c>
      <c r="G856">
        <f>VLOOKUP(Table4[[#This Row],[Home]],'NHL Model'!$A$6:$B$38,2,FALSE)</f>
        <v>0.51050494674660429</v>
      </c>
      <c r="H856" t="s">
        <v>40</v>
      </c>
      <c r="I856">
        <f>VLOOKUP(Table4[[#This Row],[Visitor]],'NHL Model'!$A$6:$B$38,2,FALSE)</f>
        <v>-0.31324182378279158</v>
      </c>
      <c r="J856">
        <f>($B$1+Table4[[#This Row],[Home Differential]])-Table4[[#This Row],[Away Differential]]</f>
        <v>0.87364751945255836</v>
      </c>
      <c r="K856" t="str">
        <f>IF(Table4[[#This Row],[HomeIce Differential]]&gt;0,Table4[[#This Row],[Home]],Table4[[#This Row],[Visitor]])</f>
        <v>Tampa Bay Lightning</v>
      </c>
      <c r="L8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0.65373537994424258</v>
      </c>
      <c r="M856" t="str">
        <f>IF(OR((NHL2025_26Results[[#This Row],[Winning Team]]="")),"-",IF(Table4[[#This Row],[Predicted Winner]]=NHL2025_26Results[[#This Row],[Winning Team]],"YES","NO"))</f>
        <v>-</v>
      </c>
      <c r="N856" t="str">
        <f>IF(Table4[[#This Row],[Adjusted Correct]]="-", "",IF(Table4[[#This Row],[Adjusted Correct]]="YES",(Table4[[#This Row],[Strength of Win]]-1)^2,(Table4[[#This Row],[Strength of Win]]-0)^2))</f>
        <v/>
      </c>
      <c r="P856" s="11"/>
    </row>
    <row r="857" spans="4:16" x14ac:dyDescent="0.2">
      <c r="D857" s="1">
        <v>46051</v>
      </c>
      <c r="E857" s="2">
        <v>0.91666666666666663</v>
      </c>
      <c r="F857" t="s">
        <v>38</v>
      </c>
      <c r="G857">
        <f>VLOOKUP(Table4[[#This Row],[Home]],'NHL Model'!$A$6:$B$38,2,FALSE)</f>
        <v>-0.9476777551108041</v>
      </c>
      <c r="H857" t="s">
        <v>31</v>
      </c>
      <c r="I857">
        <f>VLOOKUP(Table4[[#This Row],[Visitor]],'NHL Model'!$A$6:$B$38,2,FALSE)</f>
        <v>0.17870302183926629</v>
      </c>
      <c r="J857">
        <f>($B$1+Table4[[#This Row],[Home Differential]])-Table4[[#This Row],[Away Differential]]</f>
        <v>-1.076480028026908</v>
      </c>
      <c r="K857" t="str">
        <f>IF(Table4[[#This Row],[HomeIce Differential]]&gt;0,Table4[[#This Row],[Home]],Table4[[#This Row],[Visitor]])</f>
        <v>Anaheim Ducks</v>
      </c>
      <c r="L8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0.60646416175266515</v>
      </c>
      <c r="M857" t="str">
        <f>IF(OR((NHL2025_26Results[[#This Row],[Winning Team]]="")),"-",IF(Table4[[#This Row],[Predicted Winner]]=NHL2025_26Results[[#This Row],[Winning Team]],"YES","NO"))</f>
        <v>-</v>
      </c>
      <c r="N857" t="str">
        <f>IF(Table4[[#This Row],[Adjusted Correct]]="-", "",IF(Table4[[#This Row],[Adjusted Correct]]="YES",(Table4[[#This Row],[Strength of Win]]-1)^2,(Table4[[#This Row],[Strength of Win]]-0)^2))</f>
        <v/>
      </c>
      <c r="P857" s="11"/>
    </row>
    <row r="858" spans="4:16" x14ac:dyDescent="0.2">
      <c r="D858" s="1">
        <v>46051</v>
      </c>
      <c r="E858" s="2">
        <v>0.91666666666666663</v>
      </c>
      <c r="F858" t="s">
        <v>20</v>
      </c>
      <c r="G858">
        <f>VLOOKUP(Table4[[#This Row],[Home]],'NHL Model'!$A$6:$B$38,2,FALSE)</f>
        <v>-0.24444083032063643</v>
      </c>
      <c r="H858" t="s">
        <v>39</v>
      </c>
      <c r="I858">
        <f>VLOOKUP(Table4[[#This Row],[Visitor]],'NHL Model'!$A$6:$B$38,2,FALSE)</f>
        <v>0.41344250185511977</v>
      </c>
      <c r="J858">
        <f>($B$1+Table4[[#This Row],[Home Differential]])-Table4[[#This Row],[Away Differential]]</f>
        <v>-0.6079825832525938</v>
      </c>
      <c r="K858" t="str">
        <f>IF(Table4[[#This Row],[HomeIce Differential]]&gt;0,Table4[[#This Row],[Home]],Table4[[#This Row],[Visitor]])</f>
        <v>Dallas Stars</v>
      </c>
      <c r="L8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0.63278869258623338</v>
      </c>
      <c r="M858" t="str">
        <f>IF(OR((NHL2025_26Results[[#This Row],[Winning Team]]="")),"-",IF(Table4[[#This Row],[Predicted Winner]]=NHL2025_26Results[[#This Row],[Winning Team]],"YES","NO"))</f>
        <v>-</v>
      </c>
      <c r="N858" t="str">
        <f>IF(Table4[[#This Row],[Adjusted Correct]]="-", "",IF(Table4[[#This Row],[Adjusted Correct]]="YES",(Table4[[#This Row],[Strength of Win]]-1)^2,(Table4[[#This Row],[Strength of Win]]-0)^2))</f>
        <v/>
      </c>
      <c r="P858" s="11"/>
    </row>
    <row r="859" spans="4:16" x14ac:dyDescent="0.2">
      <c r="D859" s="1">
        <v>46052</v>
      </c>
      <c r="E859" s="2">
        <v>0.85416666666666663</v>
      </c>
      <c r="F859" t="s">
        <v>10</v>
      </c>
      <c r="G859">
        <f>VLOOKUP(Table4[[#This Row],[Home]],'NHL Model'!$A$6:$B$38,2,FALSE)</f>
        <v>-0.17619625518431364</v>
      </c>
      <c r="H859" t="s">
        <v>28</v>
      </c>
      <c r="I859">
        <f>VLOOKUP(Table4[[#This Row],[Visitor]],'NHL Model'!$A$6:$B$38,2,FALSE)</f>
        <v>-0.59498940435054026</v>
      </c>
      <c r="J859">
        <f>($B$1+Table4[[#This Row],[Home Differential]])-Table4[[#This Row],[Away Differential]]</f>
        <v>0.4686938980893891</v>
      </c>
      <c r="K859" t="str">
        <f>IF(Table4[[#This Row],[HomeIce Differential]]&gt;0,Table4[[#This Row],[Home]],Table4[[#This Row],[Visitor]])</f>
        <v>Chicago Blackhawks</v>
      </c>
      <c r="L8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0.59115077108977121</v>
      </c>
      <c r="M859" t="str">
        <f>IF(OR((NHL2025_26Results[[#This Row],[Winning Team]]="")),"-",IF(Table4[[#This Row],[Predicted Winner]]=NHL2025_26Results[[#This Row],[Winning Team]],"YES","NO"))</f>
        <v>-</v>
      </c>
      <c r="N859" t="str">
        <f>IF(Table4[[#This Row],[Adjusted Correct]]="-", "",IF(Table4[[#This Row],[Adjusted Correct]]="YES",(Table4[[#This Row],[Strength of Win]]-1)^2,(Table4[[#This Row],[Strength of Win]]-0)^2))</f>
        <v/>
      </c>
      <c r="P859" s="11"/>
    </row>
    <row r="860" spans="4:16" x14ac:dyDescent="0.2">
      <c r="D860" s="1">
        <v>46053</v>
      </c>
      <c r="E860" s="2">
        <v>0.79166666666666663</v>
      </c>
      <c r="F860" t="s">
        <v>23</v>
      </c>
      <c r="G860">
        <f>VLOOKUP(Table4[[#This Row],[Home]],'NHL Model'!$A$6:$B$38,2,FALSE)</f>
        <v>-0.4761104357405897</v>
      </c>
      <c r="H860" t="s">
        <v>18</v>
      </c>
      <c r="I860">
        <f>VLOOKUP(Table4[[#This Row],[Visitor]],'NHL Model'!$A$6:$B$38,2,FALSE)</f>
        <v>-0.59288962827382519</v>
      </c>
      <c r="J860">
        <f>($B$1+Table4[[#This Row],[Home Differential]])-Table4[[#This Row],[Away Differential]]</f>
        <v>0.16667994145639797</v>
      </c>
      <c r="K860" t="str">
        <f>IF(Table4[[#This Row],[HomeIce Differential]]&gt;0,Table4[[#This Row],[Home]],Table4[[#This Row],[Visitor]])</f>
        <v>Buffalo Sabres</v>
      </c>
      <c r="L8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0.51037143409448726</v>
      </c>
      <c r="M860" t="str">
        <f>IF(OR((NHL2025_26Results[[#This Row],[Winning Team]]="")),"-",IF(Table4[[#This Row],[Predicted Winner]]=NHL2025_26Results[[#This Row],[Winning Team]],"YES","NO"))</f>
        <v>-</v>
      </c>
      <c r="N860" t="str">
        <f>IF(Table4[[#This Row],[Adjusted Correct]]="-", "",IF(Table4[[#This Row],[Adjusted Correct]]="YES",(Table4[[#This Row],[Strength of Win]]-1)^2,(Table4[[#This Row],[Strength of Win]]-0)^2))</f>
        <v/>
      </c>
      <c r="P860" s="11"/>
    </row>
    <row r="861" spans="4:16" x14ac:dyDescent="0.2">
      <c r="D861" s="1">
        <v>46053</v>
      </c>
      <c r="E861" s="2">
        <v>0.66666666666666663</v>
      </c>
      <c r="F861" t="s">
        <v>16</v>
      </c>
      <c r="G861">
        <f>VLOOKUP(Table4[[#This Row],[Home]],'NHL Model'!$A$6:$B$38,2,FALSE)</f>
        <v>-1.0657812790446208</v>
      </c>
      <c r="H861" t="s">
        <v>33</v>
      </c>
      <c r="I861">
        <f>VLOOKUP(Table4[[#This Row],[Visitor]],'NHL Model'!$A$6:$B$38,2,FALSE)</f>
        <v>-0.45133099238224339</v>
      </c>
      <c r="J861">
        <f>($B$1+Table4[[#This Row],[Home Differential]])-Table4[[#This Row],[Away Differential]]</f>
        <v>-0.56454953773921501</v>
      </c>
      <c r="K861" t="str">
        <f>IF(Table4[[#This Row],[HomeIce Differential]]&gt;0,Table4[[#This Row],[Home]],Table4[[#This Row],[Visitor]])</f>
        <v>San Jose Sharks</v>
      </c>
      <c r="L8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0.52591949068755661</v>
      </c>
      <c r="M861" t="str">
        <f>IF(OR((NHL2025_26Results[[#This Row],[Winning Team]]="")),"-",IF(Table4[[#This Row],[Predicted Winner]]=NHL2025_26Results[[#This Row],[Winning Team]],"YES","NO"))</f>
        <v>-</v>
      </c>
      <c r="N861" t="str">
        <f>IF(Table4[[#This Row],[Adjusted Correct]]="-", "",IF(Table4[[#This Row],[Adjusted Correct]]="YES",(Table4[[#This Row],[Strength of Win]]-1)^2,(Table4[[#This Row],[Strength of Win]]-0)^2))</f>
        <v/>
      </c>
      <c r="P861" s="11"/>
    </row>
    <row r="862" spans="4:16" x14ac:dyDescent="0.2">
      <c r="D862" s="1">
        <v>46053</v>
      </c>
      <c r="E862" s="2">
        <v>0.54166666666666663</v>
      </c>
      <c r="F862" t="s">
        <v>26</v>
      </c>
      <c r="G862">
        <f>VLOOKUP(Table4[[#This Row],[Home]],'NHL Model'!$A$6:$B$38,2,FALSE)</f>
        <v>-0.87533956503230947</v>
      </c>
      <c r="H862" t="s">
        <v>12</v>
      </c>
      <c r="I862">
        <f>VLOOKUP(Table4[[#This Row],[Visitor]],'NHL Model'!$A$6:$B$38,2,FALSE)</f>
        <v>1.6319036584269762</v>
      </c>
      <c r="J862">
        <f>($B$1+Table4[[#This Row],[Home Differential]])-Table4[[#This Row],[Away Differential]]</f>
        <v>-2.457342474536123</v>
      </c>
      <c r="K862" t="str">
        <f>IF(Table4[[#This Row],[HomeIce Differential]]&gt;0,Table4[[#This Row],[Home]],Table4[[#This Row],[Visitor]])</f>
        <v>Colorado Avalanche</v>
      </c>
      <c r="L8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0.81955417079640691</v>
      </c>
      <c r="M862" t="str">
        <f>IF(OR((NHL2025_26Results[[#This Row],[Winning Team]]="")),"-",IF(Table4[[#This Row],[Predicted Winner]]=NHL2025_26Results[[#This Row],[Winning Team]],"YES","NO"))</f>
        <v>-</v>
      </c>
      <c r="N862" t="str">
        <f>IF(Table4[[#This Row],[Adjusted Correct]]="-", "",IF(Table4[[#This Row],[Adjusted Correct]]="YES",(Table4[[#This Row],[Strength of Win]]-1)^2,(Table4[[#This Row],[Strength of Win]]-0)^2))</f>
        <v/>
      </c>
      <c r="P862" s="11"/>
    </row>
    <row r="863" spans="4:16" x14ac:dyDescent="0.2">
      <c r="D863" s="1">
        <v>46053</v>
      </c>
      <c r="E863" s="2">
        <v>0.91666666666666663</v>
      </c>
      <c r="F863" t="s">
        <v>17</v>
      </c>
      <c r="G863">
        <f>VLOOKUP(Table4[[#This Row],[Home]],'NHL Model'!$A$6:$B$38,2,FALSE)</f>
        <v>-0.81774666423752174</v>
      </c>
      <c r="H863" t="s">
        <v>34</v>
      </c>
      <c r="I863">
        <f>VLOOKUP(Table4[[#This Row],[Visitor]],'NHL Model'!$A$6:$B$38,2,FALSE)</f>
        <v>-5.5124787449478845E-2</v>
      </c>
      <c r="J863">
        <f>($B$1+Table4[[#This Row],[Home Differential]])-Table4[[#This Row],[Away Differential]]</f>
        <v>-0.71272112786488051</v>
      </c>
      <c r="K863" t="str">
        <f>IF(Table4[[#This Row],[HomeIce Differential]]&gt;0,Table4[[#This Row],[Home]],Table4[[#This Row],[Visitor]])</f>
        <v>Minnesota Wild</v>
      </c>
      <c r="L8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0.57863355472801747</v>
      </c>
      <c r="M863" t="str">
        <f>IF(OR((NHL2025_26Results[[#This Row],[Winning Team]]="")),"-",IF(Table4[[#This Row],[Predicted Winner]]=NHL2025_26Results[[#This Row],[Winning Team]],"YES","NO"))</f>
        <v>-</v>
      </c>
      <c r="N863" t="str">
        <f>IF(Table4[[#This Row],[Adjusted Correct]]="-", "",IF(Table4[[#This Row],[Adjusted Correct]]="YES",(Table4[[#This Row],[Strength of Win]]-1)^2,(Table4[[#This Row],[Strength of Win]]-0)^2))</f>
        <v/>
      </c>
      <c r="P863" s="11"/>
    </row>
    <row r="864" spans="4:16" x14ac:dyDescent="0.2">
      <c r="D864" s="1">
        <v>46053</v>
      </c>
      <c r="E864" s="2">
        <v>0.66666666666666663</v>
      </c>
      <c r="F864" t="s">
        <v>11</v>
      </c>
      <c r="G864">
        <f>VLOOKUP(Table4[[#This Row],[Home]],'NHL Model'!$A$6:$B$38,2,FALSE)</f>
        <v>-0.39711829106410657</v>
      </c>
      <c r="H864" t="s">
        <v>40</v>
      </c>
      <c r="I864">
        <f>VLOOKUP(Table4[[#This Row],[Visitor]],'NHL Model'!$A$6:$B$38,2,FALSE)</f>
        <v>-0.31324182378279158</v>
      </c>
      <c r="J864">
        <f>($B$1+Table4[[#This Row],[Home Differential]])-Table4[[#This Row],[Away Differential]]</f>
        <v>-3.3975718358152496E-2</v>
      </c>
      <c r="K864" t="str">
        <f>IF(Table4[[#This Row],[HomeIce Differential]]&gt;0,Table4[[#This Row],[Home]],Table4[[#This Row],[Visitor]])</f>
        <v>Winnipeg Jets</v>
      </c>
      <c r="L8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0.47063383323079527</v>
      </c>
      <c r="M864" t="str">
        <f>IF(OR((NHL2025_26Results[[#This Row],[Winning Team]]="")),"-",IF(Table4[[#This Row],[Predicted Winner]]=NHL2025_26Results[[#This Row],[Winning Team]],"YES","NO"))</f>
        <v>-</v>
      </c>
      <c r="N864" t="str">
        <f>IF(Table4[[#This Row],[Adjusted Correct]]="-", "",IF(Table4[[#This Row],[Adjusted Correct]]="YES",(Table4[[#This Row],[Strength of Win]]-1)^2,(Table4[[#This Row],[Strength of Win]]-0)^2))</f>
        <v/>
      </c>
      <c r="P864" s="11"/>
    </row>
    <row r="865" spans="4:16" x14ac:dyDescent="0.2">
      <c r="D865" s="1">
        <v>46053</v>
      </c>
      <c r="E865" s="2">
        <v>0.79166666666666663</v>
      </c>
      <c r="F865" t="s">
        <v>30</v>
      </c>
      <c r="G865">
        <f>VLOOKUP(Table4[[#This Row],[Home]],'NHL Model'!$A$6:$B$38,2,FALSE)</f>
        <v>-0.24093199744133265</v>
      </c>
      <c r="H865" t="s">
        <v>29</v>
      </c>
      <c r="I865">
        <f>VLOOKUP(Table4[[#This Row],[Visitor]],'NHL Model'!$A$6:$B$38,2,FALSE)</f>
        <v>-1.384917283810061</v>
      </c>
      <c r="J865">
        <f>($B$1+Table4[[#This Row],[Home Differential]])-Table4[[#This Row],[Away Differential]]</f>
        <v>1.1938860352918907</v>
      </c>
      <c r="K865" t="str">
        <f>IF(Table4[[#This Row],[HomeIce Differential]]&gt;0,Table4[[#This Row],[Home]],Table4[[#This Row],[Visitor]])</f>
        <v>New York Islanders</v>
      </c>
      <c r="L8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0.67940381512061765</v>
      </c>
      <c r="M865" t="str">
        <f>IF(OR((NHL2025_26Results[[#This Row],[Winning Team]]="")),"-",IF(Table4[[#This Row],[Predicted Winner]]=NHL2025_26Results[[#This Row],[Winning Team]],"YES","NO"))</f>
        <v>-</v>
      </c>
      <c r="N865" t="str">
        <f>IF(Table4[[#This Row],[Adjusted Correct]]="-", "",IF(Table4[[#This Row],[Adjusted Correct]]="YES",(Table4[[#This Row],[Strength of Win]]-1)^2,(Table4[[#This Row],[Strength of Win]]-0)^2))</f>
        <v/>
      </c>
      <c r="P865" s="11"/>
    </row>
    <row r="866" spans="4:16" x14ac:dyDescent="0.2">
      <c r="D866" s="1">
        <v>46053</v>
      </c>
      <c r="E866" s="2">
        <v>0.79166666666666663</v>
      </c>
      <c r="F866" t="s">
        <v>36</v>
      </c>
      <c r="G866">
        <f>VLOOKUP(Table4[[#This Row],[Home]],'NHL Model'!$A$6:$B$38,2,FALSE)</f>
        <v>-0.53137605086483863</v>
      </c>
      <c r="H866" t="s">
        <v>24</v>
      </c>
      <c r="I866">
        <f>VLOOKUP(Table4[[#This Row],[Visitor]],'NHL Model'!$A$6:$B$38,2,FALSE)</f>
        <v>1.5302507646042616E-3</v>
      </c>
      <c r="J866">
        <f>($B$1+Table4[[#This Row],[Home Differential]])-Table4[[#This Row],[Away Differential]]</f>
        <v>-0.48300555270628043</v>
      </c>
      <c r="K866" t="str">
        <f>IF(Table4[[#This Row],[HomeIce Differential]]&gt;0,Table4[[#This Row],[Home]],Table4[[#This Row],[Visitor]])</f>
        <v>New Jersey Devils</v>
      </c>
      <c r="L8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0.53465889649685494</v>
      </c>
      <c r="M866" t="str">
        <f>IF(OR((NHL2025_26Results[[#This Row],[Winning Team]]="")),"-",IF(Table4[[#This Row],[Predicted Winner]]=NHL2025_26Results[[#This Row],[Winning Team]],"YES","NO"))</f>
        <v>-</v>
      </c>
      <c r="N866" t="str">
        <f>IF(Table4[[#This Row],[Adjusted Correct]]="-", "",IF(Table4[[#This Row],[Adjusted Correct]]="YES",(Table4[[#This Row],[Strength of Win]]-1)^2,(Table4[[#This Row],[Strength of Win]]-0)^2))</f>
        <v/>
      </c>
      <c r="P866" s="11"/>
    </row>
    <row r="867" spans="4:16" x14ac:dyDescent="0.2">
      <c r="D867" s="1">
        <v>46053</v>
      </c>
      <c r="E867" s="2">
        <v>0.52083333333333337</v>
      </c>
      <c r="F867" t="s">
        <v>27</v>
      </c>
      <c r="G867">
        <f>VLOOKUP(Table4[[#This Row],[Home]],'NHL Model'!$A$6:$B$38,2,FALSE)</f>
        <v>-0.38023958350631604</v>
      </c>
      <c r="H867" t="s">
        <v>13</v>
      </c>
      <c r="I867">
        <f>VLOOKUP(Table4[[#This Row],[Visitor]],'NHL Model'!$A$6:$B$38,2,FALSE)</f>
        <v>-0.33828359867721369</v>
      </c>
      <c r="J867">
        <f>($B$1+Table4[[#This Row],[Home Differential]])-Table4[[#This Row],[Away Differential]]</f>
        <v>7.9447640940601416E-3</v>
      </c>
      <c r="K867" t="str">
        <f>IF(Table4[[#This Row],[HomeIce Differential]]&gt;0,Table4[[#This Row],[Home]],Table4[[#This Row],[Visitor]])</f>
        <v>Philadelphia Flyers</v>
      </c>
      <c r="L8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0.48873254651311138</v>
      </c>
      <c r="M867" t="str">
        <f>IF(OR((NHL2025_26Results[[#This Row],[Winning Team]]="")),"-",IF(Table4[[#This Row],[Predicted Winner]]=NHL2025_26Results[[#This Row],[Winning Team]],"YES","NO"))</f>
        <v>-</v>
      </c>
      <c r="N867" t="str">
        <f>IF(Table4[[#This Row],[Adjusted Correct]]="-", "",IF(Table4[[#This Row],[Adjusted Correct]]="YES",(Table4[[#This Row],[Strength of Win]]-1)^2,(Table4[[#This Row],[Strength of Win]]-0)^2))</f>
        <v/>
      </c>
      <c r="P867" s="11"/>
    </row>
    <row r="868" spans="4:16" x14ac:dyDescent="0.2">
      <c r="D868" s="1">
        <v>46053</v>
      </c>
      <c r="E868" s="2">
        <v>0.64583333333333337</v>
      </c>
      <c r="F868" t="s">
        <v>14</v>
      </c>
      <c r="G868">
        <f>VLOOKUP(Table4[[#This Row],[Home]],'NHL Model'!$A$6:$B$38,2,FALSE)</f>
        <v>-0.14226422156549004</v>
      </c>
      <c r="H868" t="s">
        <v>15</v>
      </c>
      <c r="I868">
        <f>VLOOKUP(Table4[[#This Row],[Visitor]],'NHL Model'!$A$6:$B$38,2,FALSE)</f>
        <v>-0.29003398448394263</v>
      </c>
      <c r="J868">
        <f>($B$1+Table4[[#This Row],[Home Differential]])-Table4[[#This Row],[Away Differential]]</f>
        <v>0.19767051184161505</v>
      </c>
      <c r="K868" t="str">
        <f>IF(Table4[[#This Row],[HomeIce Differential]]&gt;0,Table4[[#This Row],[Home]],Table4[[#This Row],[Visitor]])</f>
        <v>Pittsburgh Penguins</v>
      </c>
      <c r="L8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0.46299948327093315</v>
      </c>
      <c r="M868" t="str">
        <f>IF(OR((NHL2025_26Results[[#This Row],[Winning Team]]="")),"-",IF(Table4[[#This Row],[Predicted Winner]]=NHL2025_26Results[[#This Row],[Winning Team]],"YES","NO"))</f>
        <v>-</v>
      </c>
      <c r="N868" t="str">
        <f>IF(Table4[[#This Row],[Adjusted Correct]]="-", "",IF(Table4[[#This Row],[Adjusted Correct]]="YES",(Table4[[#This Row],[Strength of Win]]-1)^2,(Table4[[#This Row],[Strength of Win]]-0)^2))</f>
        <v/>
      </c>
      <c r="P868" s="11"/>
    </row>
    <row r="869" spans="4:16" x14ac:dyDescent="0.2">
      <c r="D869" s="1">
        <v>46053</v>
      </c>
      <c r="E869" s="2">
        <v>0.79166666666666663</v>
      </c>
      <c r="F869" t="s">
        <v>35</v>
      </c>
      <c r="G869">
        <f>VLOOKUP(Table4[[#This Row],[Home]],'NHL Model'!$A$6:$B$38,2,FALSE)</f>
        <v>-1.3944783719477225</v>
      </c>
      <c r="H869" t="s">
        <v>28</v>
      </c>
      <c r="I869">
        <f>VLOOKUP(Table4[[#This Row],[Visitor]],'NHL Model'!$A$6:$B$38,2,FALSE)</f>
        <v>-0.59498940435054026</v>
      </c>
      <c r="J869">
        <f>($B$1+Table4[[#This Row],[Home Differential]])-Table4[[#This Row],[Away Differential]]</f>
        <v>-0.74958821867401981</v>
      </c>
      <c r="K869" t="str">
        <f>IF(Table4[[#This Row],[HomeIce Differential]]&gt;0,Table4[[#This Row],[Home]],Table4[[#This Row],[Visitor]])</f>
        <v>Columbus Blue Jackets</v>
      </c>
      <c r="L8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0.55110164660311056</v>
      </c>
      <c r="M869" t="str">
        <f>IF(OR((NHL2025_26Results[[#This Row],[Winning Team]]="")),"-",IF(Table4[[#This Row],[Predicted Winner]]=NHL2025_26Results[[#This Row],[Winning Team]],"YES","NO"))</f>
        <v>-</v>
      </c>
      <c r="N869" t="str">
        <f>IF(Table4[[#This Row],[Adjusted Correct]]="-", "",IF(Table4[[#This Row],[Adjusted Correct]]="YES",(Table4[[#This Row],[Strength of Win]]-1)^2,(Table4[[#This Row],[Strength of Win]]-0)^2))</f>
        <v/>
      </c>
      <c r="P869" s="11"/>
    </row>
    <row r="870" spans="4:16" x14ac:dyDescent="0.2">
      <c r="D870" s="1">
        <v>46053</v>
      </c>
      <c r="E870" s="2">
        <v>0.875</v>
      </c>
      <c r="F870" t="s">
        <v>55</v>
      </c>
      <c r="G870">
        <f>VLOOKUP(Table4[[#This Row],[Home]],'NHL Model'!$A$6:$B$38,2,FALSE)</f>
        <v>-0.4031232890211825</v>
      </c>
      <c r="H870" t="s">
        <v>39</v>
      </c>
      <c r="I870">
        <f>VLOOKUP(Table4[[#This Row],[Visitor]],'NHL Model'!$A$6:$B$38,2,FALSE)</f>
        <v>0.41344250185511977</v>
      </c>
      <c r="J870">
        <f>($B$1+Table4[[#This Row],[Home Differential]])-Table4[[#This Row],[Away Differential]]</f>
        <v>-0.76666504195313978</v>
      </c>
      <c r="K870" t="str">
        <f>IF(Table4[[#This Row],[HomeIce Differential]]&gt;0,Table4[[#This Row],[Home]],Table4[[#This Row],[Visitor]])</f>
        <v>Dallas Stars</v>
      </c>
      <c r="L8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0.61057209039542149</v>
      </c>
      <c r="M870" t="str">
        <f>IF(OR((NHL2025_26Results[[#This Row],[Winning Team]]="")),"-",IF(Table4[[#This Row],[Predicted Winner]]=NHL2025_26Results[[#This Row],[Winning Team]],"YES","NO"))</f>
        <v>-</v>
      </c>
      <c r="N870" t="str">
        <f>IF(Table4[[#This Row],[Adjusted Correct]]="-", "",IF(Table4[[#This Row],[Adjusted Correct]]="YES",(Table4[[#This Row],[Strength of Win]]-1)^2,(Table4[[#This Row],[Strength of Win]]-0)^2))</f>
        <v/>
      </c>
      <c r="P870" s="11"/>
    </row>
    <row r="871" spans="4:16" x14ac:dyDescent="0.2">
      <c r="D871" s="1">
        <v>46053</v>
      </c>
      <c r="E871" s="2">
        <v>0.79166666666666663</v>
      </c>
      <c r="F871" t="s">
        <v>38</v>
      </c>
      <c r="G871">
        <f>VLOOKUP(Table4[[#This Row],[Home]],'NHL Model'!$A$6:$B$38,2,FALSE)</f>
        <v>-0.9476777551108041</v>
      </c>
      <c r="H871" t="s">
        <v>19</v>
      </c>
      <c r="I871">
        <f>VLOOKUP(Table4[[#This Row],[Visitor]],'NHL Model'!$A$6:$B$38,2,FALSE)</f>
        <v>-0.63447859131898054</v>
      </c>
      <c r="J871">
        <f>($B$1+Table4[[#This Row],[Home Differential]])-Table4[[#This Row],[Away Differential]]</f>
        <v>-0.26329841486866112</v>
      </c>
      <c r="K871" t="str">
        <f>IF(Table4[[#This Row],[HomeIce Differential]]&gt;0,Table4[[#This Row],[Home]],Table4[[#This Row],[Visitor]])</f>
        <v>Toronto Maple Leafs</v>
      </c>
      <c r="L8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0.49074397594317171</v>
      </c>
      <c r="M871" t="str">
        <f>IF(OR((NHL2025_26Results[[#This Row],[Winning Team]]="")),"-",IF(Table4[[#This Row],[Predicted Winner]]=NHL2025_26Results[[#This Row],[Winning Team]],"YES","NO"))</f>
        <v>-</v>
      </c>
      <c r="N871" t="str">
        <f>IF(Table4[[#This Row],[Adjusted Correct]]="-", "",IF(Table4[[#This Row],[Adjusted Correct]]="YES",(Table4[[#This Row],[Strength of Win]]-1)^2,(Table4[[#This Row],[Strength of Win]]-0)^2))</f>
        <v/>
      </c>
      <c r="P871" s="11"/>
    </row>
    <row r="872" spans="4:16" x14ac:dyDescent="0.2">
      <c r="D872" s="1">
        <v>46053</v>
      </c>
      <c r="E872" s="2">
        <v>0.91666666666666663</v>
      </c>
      <c r="F872" t="s">
        <v>20</v>
      </c>
      <c r="G872">
        <f>VLOOKUP(Table4[[#This Row],[Home]],'NHL Model'!$A$6:$B$38,2,FALSE)</f>
        <v>-0.24444083032063643</v>
      </c>
      <c r="H872" t="s">
        <v>32</v>
      </c>
      <c r="I872">
        <f>VLOOKUP(Table4[[#This Row],[Visitor]],'NHL Model'!$A$6:$B$38,2,FALSE)</f>
        <v>-0.64937723527808999</v>
      </c>
      <c r="J872">
        <f>($B$1+Table4[[#This Row],[Home Differential]])-Table4[[#This Row],[Away Differential]]</f>
        <v>0.45483715388061602</v>
      </c>
      <c r="K872" t="str">
        <f>IF(Table4[[#This Row],[HomeIce Differential]]&gt;0,Table4[[#This Row],[Home]],Table4[[#This Row],[Visitor]])</f>
        <v>Vegas Golden Knights</v>
      </c>
      <c r="L8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0.59310895063284608</v>
      </c>
      <c r="M872" t="str">
        <f>IF(OR((NHL2025_26Results[[#This Row],[Winning Team]]="")),"-",IF(Table4[[#This Row],[Predicted Winner]]=NHL2025_26Results[[#This Row],[Winning Team]],"YES","NO"))</f>
        <v>-</v>
      </c>
      <c r="N872" t="str">
        <f>IF(Table4[[#This Row],[Adjusted Correct]]="-", "",IF(Table4[[#This Row],[Adjusted Correct]]="YES",(Table4[[#This Row],[Strength of Win]]-1)^2,(Table4[[#This Row],[Strength of Win]]-0)^2))</f>
        <v/>
      </c>
      <c r="P872" s="11"/>
    </row>
    <row r="873" spans="4:16" x14ac:dyDescent="0.2">
      <c r="D873" s="1">
        <v>46053</v>
      </c>
      <c r="E873" s="2">
        <v>0.70833333333333337</v>
      </c>
      <c r="F873" t="s">
        <v>22</v>
      </c>
      <c r="G873">
        <f>VLOOKUP(Table4[[#This Row],[Home]],'NHL Model'!$A$6:$B$38,2,FALSE)</f>
        <v>0.4407072328537569</v>
      </c>
      <c r="H873" t="s">
        <v>25</v>
      </c>
      <c r="I873">
        <f>VLOOKUP(Table4[[#This Row],[Visitor]],'NHL Model'!$A$6:$B$38,2,FALSE)</f>
        <v>0.42567513732855267</v>
      </c>
      <c r="J873">
        <f>($B$1+Table4[[#This Row],[Home Differential]])-Table4[[#This Row],[Away Differential]]</f>
        <v>6.4932844448366722E-2</v>
      </c>
      <c r="K873" t="str">
        <f>IF(Table4[[#This Row],[HomeIce Differential]]&gt;0,Table4[[#This Row],[Home]],Table4[[#This Row],[Visitor]])</f>
        <v>Washington Capitals</v>
      </c>
      <c r="L8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0.50125275400568248</v>
      </c>
      <c r="M873" t="str">
        <f>IF(OR((NHL2025_26Results[[#This Row],[Winning Team]]="")),"-",IF(Table4[[#This Row],[Predicted Winner]]=NHL2025_26Results[[#This Row],[Winning Team]],"YES","NO"))</f>
        <v>-</v>
      </c>
      <c r="N873" t="str">
        <f>IF(Table4[[#This Row],[Adjusted Correct]]="-", "",IF(Table4[[#This Row],[Adjusted Correct]]="YES",(Table4[[#This Row],[Strength of Win]]-1)^2,(Table4[[#This Row],[Strength of Win]]-0)^2))</f>
        <v/>
      </c>
      <c r="P873" s="11"/>
    </row>
    <row r="874" spans="4:16" x14ac:dyDescent="0.2">
      <c r="D874" s="1">
        <v>46054</v>
      </c>
      <c r="E874" s="2">
        <v>0.89583333333333337</v>
      </c>
      <c r="F874" t="s">
        <v>31</v>
      </c>
      <c r="G874">
        <f>VLOOKUP(Table4[[#This Row],[Home]],'NHL Model'!$A$6:$B$38,2,FALSE)</f>
        <v>0.17870302183926629</v>
      </c>
      <c r="H874" t="s">
        <v>20</v>
      </c>
      <c r="I874">
        <f>VLOOKUP(Table4[[#This Row],[Visitor]],'NHL Model'!$A$6:$B$38,2,FALSE)</f>
        <v>-0.24444083032063643</v>
      </c>
      <c r="J874">
        <f>($B$1+Table4[[#This Row],[Home Differential]])-Table4[[#This Row],[Away Differential]]</f>
        <v>0.47304460108306517</v>
      </c>
      <c r="K874" t="str">
        <f>IF(Table4[[#This Row],[HomeIce Differential]]&gt;0,Table4[[#This Row],[Home]],Table4[[#This Row],[Visitor]])</f>
        <v>Anaheim Ducks</v>
      </c>
      <c r="L8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0.67506964956027538</v>
      </c>
      <c r="M874" t="str">
        <f>IF(OR((NHL2025_26Results[[#This Row],[Winning Team]]="")),"-",IF(Table4[[#This Row],[Predicted Winner]]=NHL2025_26Results[[#This Row],[Winning Team]],"YES","NO"))</f>
        <v>-</v>
      </c>
      <c r="N874" t="str">
        <f>IF(Table4[[#This Row],[Adjusted Correct]]="-", "",IF(Table4[[#This Row],[Adjusted Correct]]="YES",(Table4[[#This Row],[Strength of Win]]-1)^2,(Table4[[#This Row],[Strength of Win]]-0)^2))</f>
        <v/>
      </c>
      <c r="P874" s="11"/>
    </row>
    <row r="875" spans="4:16" x14ac:dyDescent="0.2">
      <c r="D875" s="1">
        <v>46054</v>
      </c>
      <c r="E875" s="2">
        <v>0.625</v>
      </c>
      <c r="F875" t="s">
        <v>25</v>
      </c>
      <c r="G875">
        <f>VLOOKUP(Table4[[#This Row],[Home]],'NHL Model'!$A$6:$B$38,2,FALSE)</f>
        <v>0.42567513732855267</v>
      </c>
      <c r="H875" t="s">
        <v>13</v>
      </c>
      <c r="I875">
        <f>VLOOKUP(Table4[[#This Row],[Visitor]],'NHL Model'!$A$6:$B$38,2,FALSE)</f>
        <v>-0.33828359867721369</v>
      </c>
      <c r="J875">
        <f>($B$1+Table4[[#This Row],[Home Differential]])-Table4[[#This Row],[Away Differential]]</f>
        <v>0.8138594849289289</v>
      </c>
      <c r="K875" t="str">
        <f>IF(Table4[[#This Row],[HomeIce Differential]]&gt;0,Table4[[#This Row],[Home]],Table4[[#This Row],[Visitor]])</f>
        <v>Carolina Hurricanes</v>
      </c>
      <c r="L8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0.62134589604784729</v>
      </c>
      <c r="M875" t="str">
        <f>IF(OR((NHL2025_26Results[[#This Row],[Winning Team]]="")),"-",IF(Table4[[#This Row],[Predicted Winner]]=NHL2025_26Results[[#This Row],[Winning Team]],"YES","NO"))</f>
        <v>-</v>
      </c>
      <c r="N875" t="str">
        <f>IF(Table4[[#This Row],[Adjusted Correct]]="-", "",IF(Table4[[#This Row],[Adjusted Correct]]="YES",(Table4[[#This Row],[Strength of Win]]-1)^2,(Table4[[#This Row],[Strength of Win]]-0)^2))</f>
        <v/>
      </c>
      <c r="P875" s="11"/>
    </row>
    <row r="876" spans="4:16" x14ac:dyDescent="0.2">
      <c r="D876" s="1">
        <v>46054</v>
      </c>
      <c r="E876" s="2">
        <v>0.54166666666666663</v>
      </c>
      <c r="F876" t="s">
        <v>37</v>
      </c>
      <c r="G876">
        <f>VLOOKUP(Table4[[#This Row],[Home]],'NHL Model'!$A$6:$B$38,2,FALSE)</f>
        <v>0.51050494674660429</v>
      </c>
      <c r="H876" t="s">
        <v>21</v>
      </c>
      <c r="I876">
        <f>VLOOKUP(Table4[[#This Row],[Visitor]],'NHL Model'!$A$6:$B$38,2,FALSE)</f>
        <v>-0.21976976044773161</v>
      </c>
      <c r="J876">
        <f>($B$1+Table4[[#This Row],[Home Differential]])-Table4[[#This Row],[Away Differential]]</f>
        <v>0.78017545611749828</v>
      </c>
      <c r="K876" t="str">
        <f>IF(Table4[[#This Row],[HomeIce Differential]]&gt;0,Table4[[#This Row],[Home]],Table4[[#This Row],[Visitor]])</f>
        <v>Tampa Bay Lightning</v>
      </c>
      <c r="L8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0.66252557049821614</v>
      </c>
      <c r="M876" t="str">
        <f>IF(OR((NHL2025_26Results[[#This Row],[Winning Team]]="")),"-",IF(Table4[[#This Row],[Predicted Winner]]=NHL2025_26Results[[#This Row],[Winning Team]],"YES","NO"))</f>
        <v>-</v>
      </c>
      <c r="N876" t="str">
        <f>IF(Table4[[#This Row],[Adjusted Correct]]="-", "",IF(Table4[[#This Row],[Adjusted Correct]]="YES",(Table4[[#This Row],[Strength of Win]]-1)^2,(Table4[[#This Row],[Strength of Win]]-0)^2))</f>
        <v/>
      </c>
      <c r="P876" s="11"/>
    </row>
    <row r="877" spans="4:16" x14ac:dyDescent="0.2">
      <c r="D877" s="1">
        <v>46055</v>
      </c>
      <c r="E877" s="2">
        <v>0.91666666666666663</v>
      </c>
      <c r="F877" t="s">
        <v>16</v>
      </c>
      <c r="G877">
        <f>VLOOKUP(Table4[[#This Row],[Home]],'NHL Model'!$A$6:$B$38,2,FALSE)</f>
        <v>-1.0657812790446208</v>
      </c>
      <c r="H877" t="s">
        <v>19</v>
      </c>
      <c r="I877">
        <f>VLOOKUP(Table4[[#This Row],[Visitor]],'NHL Model'!$A$6:$B$38,2,FALSE)</f>
        <v>-0.63447859131898054</v>
      </c>
      <c r="J877">
        <f>($B$1+Table4[[#This Row],[Home Differential]])-Table4[[#This Row],[Away Differential]]</f>
        <v>-0.38140193880247786</v>
      </c>
      <c r="K877" t="str">
        <f>IF(Table4[[#This Row],[HomeIce Differential]]&gt;0,Table4[[#This Row],[Home]],Table4[[#This Row],[Visitor]])</f>
        <v>Toronto Maple Leafs</v>
      </c>
      <c r="L8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0.5045343054460526</v>
      </c>
      <c r="M877" t="str">
        <f>IF(OR((NHL2025_26Results[[#This Row],[Winning Team]]="")),"-",IF(Table4[[#This Row],[Predicted Winner]]=NHL2025_26Results[[#This Row],[Winning Team]],"YES","NO"))</f>
        <v>-</v>
      </c>
      <c r="N877" t="str">
        <f>IF(Table4[[#This Row],[Adjusted Correct]]="-", "",IF(Table4[[#This Row],[Adjusted Correct]]="YES",(Table4[[#This Row],[Strength of Win]]-1)^2,(Table4[[#This Row],[Strength of Win]]-0)^2))</f>
        <v/>
      </c>
      <c r="P877" s="11"/>
    </row>
    <row r="878" spans="4:16" x14ac:dyDescent="0.2">
      <c r="D878" s="1">
        <v>46055</v>
      </c>
      <c r="E878" s="2">
        <v>0.85416666666666663</v>
      </c>
      <c r="F878" t="s">
        <v>10</v>
      </c>
      <c r="G878">
        <f>VLOOKUP(Table4[[#This Row],[Home]],'NHL Model'!$A$6:$B$38,2,FALSE)</f>
        <v>-0.17619625518431364</v>
      </c>
      <c r="H878" t="s">
        <v>33</v>
      </c>
      <c r="I878">
        <f>VLOOKUP(Table4[[#This Row],[Visitor]],'NHL Model'!$A$6:$B$38,2,FALSE)</f>
        <v>-0.45133099238224339</v>
      </c>
      <c r="J878">
        <f>($B$1+Table4[[#This Row],[Home Differential]])-Table4[[#This Row],[Away Differential]]</f>
        <v>0.32503548612109223</v>
      </c>
      <c r="K878" t="str">
        <f>IF(Table4[[#This Row],[HomeIce Differential]]&gt;0,Table4[[#This Row],[Home]],Table4[[#This Row],[Visitor]])</f>
        <v>Chicago Blackhawks</v>
      </c>
      <c r="L8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0.57795269018603335</v>
      </c>
      <c r="M878" t="str">
        <f>IF(OR((NHL2025_26Results[[#This Row],[Winning Team]]="")),"-",IF(Table4[[#This Row],[Predicted Winner]]=NHL2025_26Results[[#This Row],[Winning Team]],"YES","NO"))</f>
        <v>-</v>
      </c>
      <c r="N878" t="str">
        <f>IF(Table4[[#This Row],[Adjusted Correct]]="-", "",IF(Table4[[#This Row],[Adjusted Correct]]="YES",(Table4[[#This Row],[Strength of Win]]-1)^2,(Table4[[#This Row],[Strength of Win]]-0)^2))</f>
        <v/>
      </c>
      <c r="P878" s="11"/>
    </row>
    <row r="879" spans="4:16" x14ac:dyDescent="0.2">
      <c r="D879" s="1">
        <v>46055</v>
      </c>
      <c r="E879" s="2">
        <v>0.875</v>
      </c>
      <c r="F879" t="s">
        <v>12</v>
      </c>
      <c r="G879">
        <f>VLOOKUP(Table4[[#This Row],[Home]],'NHL Model'!$A$6:$B$38,2,FALSE)</f>
        <v>1.6319036584269762</v>
      </c>
      <c r="H879" t="s">
        <v>26</v>
      </c>
      <c r="I879">
        <f>VLOOKUP(Table4[[#This Row],[Visitor]],'NHL Model'!$A$6:$B$38,2,FALSE)</f>
        <v>-0.87533956503230947</v>
      </c>
      <c r="J879">
        <f>($B$1+Table4[[#This Row],[Home Differential]])-Table4[[#This Row],[Away Differential]]</f>
        <v>2.5571439723824483</v>
      </c>
      <c r="K879" t="str">
        <f>IF(Table4[[#This Row],[HomeIce Differential]]&gt;0,Table4[[#This Row],[Home]],Table4[[#This Row],[Visitor]])</f>
        <v>Colorado Avalanche</v>
      </c>
      <c r="L8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0.94291419643430685</v>
      </c>
      <c r="M879" t="str">
        <f>IF(OR((NHL2025_26Results[[#This Row],[Winning Team]]="")),"-",IF(Table4[[#This Row],[Predicted Winner]]=NHL2025_26Results[[#This Row],[Winning Team]],"YES","NO"))</f>
        <v>-</v>
      </c>
      <c r="N879" t="str">
        <f>IF(Table4[[#This Row],[Adjusted Correct]]="-", "",IF(Table4[[#This Row],[Adjusted Correct]]="YES",(Table4[[#This Row],[Strength of Win]]-1)^2,(Table4[[#This Row],[Strength of Win]]-0)^2))</f>
        <v/>
      </c>
      <c r="P879" s="11"/>
    </row>
    <row r="880" spans="4:16" x14ac:dyDescent="0.2">
      <c r="D880" s="1">
        <v>46055</v>
      </c>
      <c r="E880" s="2">
        <v>0.85416666666666663</v>
      </c>
      <c r="F880" t="s">
        <v>39</v>
      </c>
      <c r="G880">
        <f>VLOOKUP(Table4[[#This Row],[Home]],'NHL Model'!$A$6:$B$38,2,FALSE)</f>
        <v>0.41344250185511977</v>
      </c>
      <c r="H880" t="s">
        <v>40</v>
      </c>
      <c r="I880">
        <f>VLOOKUP(Table4[[#This Row],[Visitor]],'NHL Model'!$A$6:$B$38,2,FALSE)</f>
        <v>-0.31324182378279158</v>
      </c>
      <c r="J880">
        <f>($B$1+Table4[[#This Row],[Home Differential]])-Table4[[#This Row],[Away Differential]]</f>
        <v>0.77658507456107384</v>
      </c>
      <c r="K880" t="str">
        <f>IF(Table4[[#This Row],[HomeIce Differential]]&gt;0,Table4[[#This Row],[Home]],Table4[[#This Row],[Visitor]])</f>
        <v>Dallas Stars</v>
      </c>
      <c r="L8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0.6424019069637168</v>
      </c>
      <c r="M880" t="str">
        <f>IF(OR((NHL2025_26Results[[#This Row],[Winning Team]]="")),"-",IF(Table4[[#This Row],[Predicted Winner]]=NHL2025_26Results[[#This Row],[Winning Team]],"YES","NO"))</f>
        <v>-</v>
      </c>
      <c r="N880" t="str">
        <f>IF(Table4[[#This Row],[Adjusted Correct]]="-", "",IF(Table4[[#This Row],[Adjusted Correct]]="YES",(Table4[[#This Row],[Strength of Win]]-1)^2,(Table4[[#This Row],[Strength of Win]]-0)^2))</f>
        <v/>
      </c>
      <c r="P880" s="11"/>
    </row>
    <row r="881" spans="4:16" x14ac:dyDescent="0.2">
      <c r="D881" s="1">
        <v>46055</v>
      </c>
      <c r="E881" s="2">
        <v>0.79166666666666663</v>
      </c>
      <c r="F881" t="s">
        <v>11</v>
      </c>
      <c r="G881">
        <f>VLOOKUP(Table4[[#This Row],[Home]],'NHL Model'!$A$6:$B$38,2,FALSE)</f>
        <v>-0.39711829106410657</v>
      </c>
      <c r="H881" t="s">
        <v>23</v>
      </c>
      <c r="I881">
        <f>VLOOKUP(Table4[[#This Row],[Visitor]],'NHL Model'!$A$6:$B$38,2,FALSE)</f>
        <v>-0.4761104357405897</v>
      </c>
      <c r="J881">
        <f>($B$1+Table4[[#This Row],[Home Differential]])-Table4[[#This Row],[Away Differential]]</f>
        <v>0.12889289359964562</v>
      </c>
      <c r="K881" t="str">
        <f>IF(Table4[[#This Row],[HomeIce Differential]]&gt;0,Table4[[#This Row],[Home]],Table4[[#This Row],[Visitor]])</f>
        <v>Florida Panthers</v>
      </c>
      <c r="L8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0.56906676814971258</v>
      </c>
      <c r="M881" t="str">
        <f>IF(OR((NHL2025_26Results[[#This Row],[Winning Team]]="")),"-",IF(Table4[[#This Row],[Predicted Winner]]=NHL2025_26Results[[#This Row],[Winning Team]],"YES","NO"))</f>
        <v>-</v>
      </c>
      <c r="N881" t="str">
        <f>IF(Table4[[#This Row],[Adjusted Correct]]="-", "",IF(Table4[[#This Row],[Adjusted Correct]]="YES",(Table4[[#This Row],[Strength of Win]]-1)^2,(Table4[[#This Row],[Strength of Win]]-0)^2))</f>
        <v/>
      </c>
      <c r="P881" s="11"/>
    </row>
    <row r="882" spans="4:16" x14ac:dyDescent="0.2">
      <c r="D882" s="1">
        <v>46055</v>
      </c>
      <c r="E882" s="2">
        <v>0.8125</v>
      </c>
      <c r="F882" t="s">
        <v>34</v>
      </c>
      <c r="G882">
        <f>VLOOKUP(Table4[[#This Row],[Home]],'NHL Model'!$A$6:$B$38,2,FALSE)</f>
        <v>-5.5124787449478845E-2</v>
      </c>
      <c r="H882" t="s">
        <v>18</v>
      </c>
      <c r="I882">
        <f>VLOOKUP(Table4[[#This Row],[Visitor]],'NHL Model'!$A$6:$B$38,2,FALSE)</f>
        <v>-0.59288962827382519</v>
      </c>
      <c r="J882">
        <f>($B$1+Table4[[#This Row],[Home Differential]])-Table4[[#This Row],[Away Differential]]</f>
        <v>0.58766558974750882</v>
      </c>
      <c r="K882" t="str">
        <f>IF(Table4[[#This Row],[HomeIce Differential]]&gt;0,Table4[[#This Row],[Home]],Table4[[#This Row],[Visitor]])</f>
        <v>Minnesota Wild</v>
      </c>
      <c r="L8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0.54933079710020971</v>
      </c>
      <c r="M882" t="str">
        <f>IF(OR((NHL2025_26Results[[#This Row],[Winning Team]]="")),"-",IF(Table4[[#This Row],[Predicted Winner]]=NHL2025_26Results[[#This Row],[Winning Team]],"YES","NO"))</f>
        <v>-</v>
      </c>
      <c r="N882" t="str">
        <f>IF(Table4[[#This Row],[Adjusted Correct]]="-", "",IF(Table4[[#This Row],[Adjusted Correct]]="YES",(Table4[[#This Row],[Strength of Win]]-1)^2,(Table4[[#This Row],[Strength of Win]]-0)^2))</f>
        <v/>
      </c>
      <c r="P882" s="11"/>
    </row>
    <row r="883" spans="4:16" x14ac:dyDescent="0.2">
      <c r="D883" s="1">
        <v>46055</v>
      </c>
      <c r="E883" s="2">
        <v>0.83333333333333337</v>
      </c>
      <c r="F883" t="s">
        <v>29</v>
      </c>
      <c r="G883">
        <f>VLOOKUP(Table4[[#This Row],[Home]],'NHL Model'!$A$6:$B$38,2,FALSE)</f>
        <v>-1.384917283810061</v>
      </c>
      <c r="H883" t="s">
        <v>35</v>
      </c>
      <c r="I883">
        <f>VLOOKUP(Table4[[#This Row],[Visitor]],'NHL Model'!$A$6:$B$38,2,FALSE)</f>
        <v>-1.3944783719477225</v>
      </c>
      <c r="J883">
        <f>($B$1+Table4[[#This Row],[Home Differential]])-Table4[[#This Row],[Away Differential]]</f>
        <v>5.9461837060823974E-2</v>
      </c>
      <c r="K883" t="str">
        <f>IF(Table4[[#This Row],[HomeIce Differential]]&gt;0,Table4[[#This Row],[Home]],Table4[[#This Row],[Visitor]])</f>
        <v>Nashville Predators</v>
      </c>
      <c r="L8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0.54694304707093155</v>
      </c>
      <c r="M883" t="str">
        <f>IF(OR((NHL2025_26Results[[#This Row],[Winning Team]]="")),"-",IF(Table4[[#This Row],[Predicted Winner]]=NHL2025_26Results[[#This Row],[Winning Team]],"YES","NO"))</f>
        <v>-</v>
      </c>
      <c r="N883" t="str">
        <f>IF(Table4[[#This Row],[Adjusted Correct]]="-", "",IF(Table4[[#This Row],[Adjusted Correct]]="YES",(Table4[[#This Row],[Strength of Win]]-1)^2,(Table4[[#This Row],[Strength of Win]]-0)^2))</f>
        <v/>
      </c>
      <c r="P883" s="11"/>
    </row>
    <row r="884" spans="4:16" x14ac:dyDescent="0.2">
      <c r="D884" s="1">
        <v>46055</v>
      </c>
      <c r="E884" s="2">
        <v>0.79166666666666663</v>
      </c>
      <c r="F884" t="s">
        <v>14</v>
      </c>
      <c r="G884">
        <f>VLOOKUP(Table4[[#This Row],[Home]],'NHL Model'!$A$6:$B$38,2,FALSE)</f>
        <v>-0.14226422156549004</v>
      </c>
      <c r="H884" t="s">
        <v>36</v>
      </c>
      <c r="I884">
        <f>VLOOKUP(Table4[[#This Row],[Visitor]],'NHL Model'!$A$6:$B$38,2,FALSE)</f>
        <v>-0.53137605086483863</v>
      </c>
      <c r="J884">
        <f>($B$1+Table4[[#This Row],[Home Differential]])-Table4[[#This Row],[Away Differential]]</f>
        <v>0.43901257822251105</v>
      </c>
      <c r="K884" t="str">
        <f>IF(Table4[[#This Row],[HomeIce Differential]]&gt;0,Table4[[#This Row],[Home]],Table4[[#This Row],[Visitor]])</f>
        <v>Pittsburgh Penguins</v>
      </c>
      <c r="L8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0.59126119787069453</v>
      </c>
      <c r="M884" t="str">
        <f>IF(OR((NHL2025_26Results[[#This Row],[Winning Team]]="")),"-",IF(Table4[[#This Row],[Predicted Winner]]=NHL2025_26Results[[#This Row],[Winning Team]],"YES","NO"))</f>
        <v>-</v>
      </c>
      <c r="N884" t="str">
        <f>IF(Table4[[#This Row],[Adjusted Correct]]="-", "",IF(Table4[[#This Row],[Adjusted Correct]]="YES",(Table4[[#This Row],[Strength of Win]]-1)^2,(Table4[[#This Row],[Strength of Win]]-0)^2))</f>
        <v/>
      </c>
      <c r="P884" s="11"/>
    </row>
    <row r="885" spans="4:16" x14ac:dyDescent="0.2">
      <c r="D885" s="1">
        <v>46055</v>
      </c>
      <c r="E885" s="2">
        <v>0.89583333333333337</v>
      </c>
      <c r="F885" t="s">
        <v>55</v>
      </c>
      <c r="G885">
        <f>VLOOKUP(Table4[[#This Row],[Home]],'NHL Model'!$A$6:$B$38,2,FALSE)</f>
        <v>-0.4031232890211825</v>
      </c>
      <c r="H885" t="s">
        <v>38</v>
      </c>
      <c r="I885">
        <f>VLOOKUP(Table4[[#This Row],[Visitor]],'NHL Model'!$A$6:$B$38,2,FALSE)</f>
        <v>-0.9476777551108041</v>
      </c>
      <c r="J885">
        <f>($B$1+Table4[[#This Row],[Home Differential]])-Table4[[#This Row],[Away Differential]]</f>
        <v>0.59445521501278409</v>
      </c>
      <c r="K885" t="str">
        <f>IF(Table4[[#This Row],[HomeIce Differential]]&gt;0,Table4[[#This Row],[Home]],Table4[[#This Row],[Visitor]])</f>
        <v>Utah Mammoth</v>
      </c>
      <c r="L8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0.64633449680861776</v>
      </c>
      <c r="M885" t="str">
        <f>IF(OR((NHL2025_26Results[[#This Row],[Winning Team]]="")),"-",IF(Table4[[#This Row],[Predicted Winner]]=NHL2025_26Results[[#This Row],[Winning Team]],"YES","NO"))</f>
        <v>-</v>
      </c>
      <c r="N885" t="str">
        <f>IF(Table4[[#This Row],[Adjusted Correct]]="-", "",IF(Table4[[#This Row],[Adjusted Correct]]="YES",(Table4[[#This Row],[Strength of Win]]-1)^2,(Table4[[#This Row],[Strength of Win]]-0)^2))</f>
        <v/>
      </c>
      <c r="P885" s="11"/>
    </row>
    <row r="886" spans="4:16" x14ac:dyDescent="0.2">
      <c r="D886" s="1">
        <v>46055</v>
      </c>
      <c r="E886" s="2">
        <v>0.79166666666666663</v>
      </c>
      <c r="F886" t="s">
        <v>22</v>
      </c>
      <c r="G886">
        <f>VLOOKUP(Table4[[#This Row],[Home]],'NHL Model'!$A$6:$B$38,2,FALSE)</f>
        <v>0.4407072328537569</v>
      </c>
      <c r="H886" t="s">
        <v>30</v>
      </c>
      <c r="I886">
        <f>VLOOKUP(Table4[[#This Row],[Visitor]],'NHL Model'!$A$6:$B$38,2,FALSE)</f>
        <v>-0.24093199744133265</v>
      </c>
      <c r="J886">
        <f>($B$1+Table4[[#This Row],[Home Differential]])-Table4[[#This Row],[Away Differential]]</f>
        <v>0.73153997921825198</v>
      </c>
      <c r="K886" t="str">
        <f>IF(Table4[[#This Row],[HomeIce Differential]]&gt;0,Table4[[#This Row],[Home]],Table4[[#This Row],[Visitor]])</f>
        <v>Washington Capitals</v>
      </c>
      <c r="L8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0.57908897540919857</v>
      </c>
      <c r="M886" t="str">
        <f>IF(OR((NHL2025_26Results[[#This Row],[Winning Team]]="")),"-",IF(Table4[[#This Row],[Predicted Winner]]=NHL2025_26Results[[#This Row],[Winning Team]],"YES","NO"))</f>
        <v>-</v>
      </c>
      <c r="N886" t="str">
        <f>IF(Table4[[#This Row],[Adjusted Correct]]="-", "",IF(Table4[[#This Row],[Adjusted Correct]]="YES",(Table4[[#This Row],[Strength of Win]]-1)^2,(Table4[[#This Row],[Strength of Win]]-0)^2))</f>
        <v/>
      </c>
      <c r="P886" s="11"/>
    </row>
    <row r="887" spans="4:16" x14ac:dyDescent="0.2">
      <c r="D887" s="1">
        <v>46056</v>
      </c>
      <c r="E887" s="2">
        <v>0.91666666666666663</v>
      </c>
      <c r="F887" t="s">
        <v>31</v>
      </c>
      <c r="G887">
        <f>VLOOKUP(Table4[[#This Row],[Home]],'NHL Model'!$A$6:$B$38,2,FALSE)</f>
        <v>0.17870302183926629</v>
      </c>
      <c r="H887" t="s">
        <v>32</v>
      </c>
      <c r="I887">
        <f>VLOOKUP(Table4[[#This Row],[Visitor]],'NHL Model'!$A$6:$B$38,2,FALSE)</f>
        <v>-0.64937723527808999</v>
      </c>
      <c r="J887">
        <f>($B$1+Table4[[#This Row],[Home Differential]])-Table4[[#This Row],[Away Differential]]</f>
        <v>0.87798100604051876</v>
      </c>
      <c r="K887" t="str">
        <f>IF(Table4[[#This Row],[HomeIce Differential]]&gt;0,Table4[[#This Row],[Home]],Table4[[#This Row],[Visitor]])</f>
        <v>Anaheim Ducks</v>
      </c>
      <c r="L8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0.72235195127385143</v>
      </c>
      <c r="M887" t="str">
        <f>IF(OR((NHL2025_26Results[[#This Row],[Winning Team]]="")),"-",IF(Table4[[#This Row],[Predicted Winner]]=NHL2025_26Results[[#This Row],[Winning Team]],"YES","NO"))</f>
        <v>-</v>
      </c>
      <c r="N887" t="str">
        <f>IF(Table4[[#This Row],[Adjusted Correct]]="-", "",IF(Table4[[#This Row],[Adjusted Correct]]="YES",(Table4[[#This Row],[Strength of Win]]-1)^2,(Table4[[#This Row],[Strength of Win]]-0)^2))</f>
        <v/>
      </c>
      <c r="P887" s="11"/>
    </row>
    <row r="888" spans="4:16" x14ac:dyDescent="0.2">
      <c r="D888" s="1">
        <v>46056</v>
      </c>
      <c r="E888" s="2">
        <v>0.79166666666666663</v>
      </c>
      <c r="F888" t="s">
        <v>25</v>
      </c>
      <c r="G888">
        <f>VLOOKUP(Table4[[#This Row],[Home]],'NHL Model'!$A$6:$B$38,2,FALSE)</f>
        <v>0.42567513732855267</v>
      </c>
      <c r="H888" t="s">
        <v>36</v>
      </c>
      <c r="I888">
        <f>VLOOKUP(Table4[[#This Row],[Visitor]],'NHL Model'!$A$6:$B$38,2,FALSE)</f>
        <v>-0.53137605086483863</v>
      </c>
      <c r="J888">
        <f>($B$1+Table4[[#This Row],[Home Differential]])-Table4[[#This Row],[Away Differential]]</f>
        <v>1.0069519371165538</v>
      </c>
      <c r="K888" t="str">
        <f>IF(Table4[[#This Row],[HomeIce Differential]]&gt;0,Table4[[#This Row],[Home]],Table4[[#This Row],[Visitor]])</f>
        <v>Carolina Hurricanes</v>
      </c>
      <c r="L8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0.70929247653962768</v>
      </c>
      <c r="M888" t="str">
        <f>IF(OR((NHL2025_26Results[[#This Row],[Winning Team]]="")),"-",IF(Table4[[#This Row],[Predicted Winner]]=NHL2025_26Results[[#This Row],[Winning Team]],"YES","NO"))</f>
        <v>-</v>
      </c>
      <c r="N888" t="str">
        <f>IF(Table4[[#This Row],[Adjusted Correct]]="-", "",IF(Table4[[#This Row],[Adjusted Correct]]="YES",(Table4[[#This Row],[Strength of Win]]-1)^2,(Table4[[#This Row],[Strength of Win]]-0)^2))</f>
        <v/>
      </c>
      <c r="P888" s="11"/>
    </row>
    <row r="889" spans="4:16" x14ac:dyDescent="0.2">
      <c r="D889" s="1">
        <v>46056</v>
      </c>
      <c r="E889" s="2">
        <v>0.85416666666666663</v>
      </c>
      <c r="F889" t="s">
        <v>17</v>
      </c>
      <c r="G889">
        <f>VLOOKUP(Table4[[#This Row],[Home]],'NHL Model'!$A$6:$B$38,2,FALSE)</f>
        <v>-0.81774666423752174</v>
      </c>
      <c r="H889" t="s">
        <v>19</v>
      </c>
      <c r="I889">
        <f>VLOOKUP(Table4[[#This Row],[Visitor]],'NHL Model'!$A$6:$B$38,2,FALSE)</f>
        <v>-0.63447859131898054</v>
      </c>
      <c r="J889">
        <f>($B$1+Table4[[#This Row],[Home Differential]])-Table4[[#This Row],[Away Differential]]</f>
        <v>-0.13336732399537876</v>
      </c>
      <c r="K889" t="str">
        <f>IF(Table4[[#This Row],[HomeIce Differential]]&gt;0,Table4[[#This Row],[Home]],Table4[[#This Row],[Visitor]])</f>
        <v>Toronto Maple Leafs</v>
      </c>
      <c r="L8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0.46852665157772266</v>
      </c>
      <c r="M889" t="str">
        <f>IF(OR((NHL2025_26Results[[#This Row],[Winning Team]]="")),"-",IF(Table4[[#This Row],[Predicted Winner]]=NHL2025_26Results[[#This Row],[Winning Team]],"YES","NO"))</f>
        <v>-</v>
      </c>
      <c r="N889" t="str">
        <f>IF(Table4[[#This Row],[Adjusted Correct]]="-", "",IF(Table4[[#This Row],[Adjusted Correct]]="YES",(Table4[[#This Row],[Strength of Win]]-1)^2,(Table4[[#This Row],[Strength of Win]]-0)^2))</f>
        <v/>
      </c>
      <c r="P889" s="11"/>
    </row>
    <row r="890" spans="4:16" x14ac:dyDescent="0.2">
      <c r="D890" s="1">
        <v>46056</v>
      </c>
      <c r="E890" s="2">
        <v>0.79166666666666663</v>
      </c>
      <c r="F890" t="s">
        <v>24</v>
      </c>
      <c r="G890">
        <f>VLOOKUP(Table4[[#This Row],[Home]],'NHL Model'!$A$6:$B$38,2,FALSE)</f>
        <v>1.5302507646042616E-3</v>
      </c>
      <c r="H890" t="s">
        <v>28</v>
      </c>
      <c r="I890">
        <f>VLOOKUP(Table4[[#This Row],[Visitor]],'NHL Model'!$A$6:$B$38,2,FALSE)</f>
        <v>-0.59498940435054026</v>
      </c>
      <c r="J890">
        <f>($B$1+Table4[[#This Row],[Home Differential]])-Table4[[#This Row],[Away Differential]]</f>
        <v>0.64642040403830703</v>
      </c>
      <c r="K890" t="str">
        <f>IF(Table4[[#This Row],[HomeIce Differential]]&gt;0,Table4[[#This Row],[Home]],Table4[[#This Row],[Visitor]])</f>
        <v>New Jersey Devils</v>
      </c>
      <c r="L8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0.69191747882010612</v>
      </c>
      <c r="M890" t="str">
        <f>IF(OR((NHL2025_26Results[[#This Row],[Winning Team]]="")),"-",IF(Table4[[#This Row],[Predicted Winner]]=NHL2025_26Results[[#This Row],[Winning Team]],"YES","NO"))</f>
        <v>-</v>
      </c>
      <c r="N890" t="str">
        <f>IF(Table4[[#This Row],[Adjusted Correct]]="-", "",IF(Table4[[#This Row],[Adjusted Correct]]="YES",(Table4[[#This Row],[Strength of Win]]-1)^2,(Table4[[#This Row],[Strength of Win]]-0)^2))</f>
        <v/>
      </c>
      <c r="P890" s="11"/>
    </row>
    <row r="891" spans="4:16" x14ac:dyDescent="0.2">
      <c r="D891" s="1">
        <v>46056</v>
      </c>
      <c r="E891" s="2">
        <v>0.8125</v>
      </c>
      <c r="F891" t="s">
        <v>30</v>
      </c>
      <c r="G891">
        <f>VLOOKUP(Table4[[#This Row],[Home]],'NHL Model'!$A$6:$B$38,2,FALSE)</f>
        <v>-0.24093199744133265</v>
      </c>
      <c r="H891" t="s">
        <v>14</v>
      </c>
      <c r="I891">
        <f>VLOOKUP(Table4[[#This Row],[Visitor]],'NHL Model'!$A$6:$B$38,2,FALSE)</f>
        <v>-0.14226422156549004</v>
      </c>
      <c r="J891">
        <f>($B$1+Table4[[#This Row],[Home Differential]])-Table4[[#This Row],[Away Differential]]</f>
        <v>-4.8767026952680148E-2</v>
      </c>
      <c r="K891" t="str">
        <f>IF(Table4[[#This Row],[HomeIce Differential]]&gt;0,Table4[[#This Row],[Home]],Table4[[#This Row],[Visitor]])</f>
        <v>Pittsburgh Penguins</v>
      </c>
      <c r="L8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0.50498100338490515</v>
      </c>
      <c r="M891" t="str">
        <f>IF(OR((NHL2025_26Results[[#This Row],[Winning Team]]="")),"-",IF(Table4[[#This Row],[Predicted Winner]]=NHL2025_26Results[[#This Row],[Winning Team]],"YES","NO"))</f>
        <v>-</v>
      </c>
      <c r="N891" t="str">
        <f>IF(Table4[[#This Row],[Adjusted Correct]]="-", "",IF(Table4[[#This Row],[Adjusted Correct]]="YES",(Table4[[#This Row],[Strength of Win]]-1)^2,(Table4[[#This Row],[Strength of Win]]-0)^2))</f>
        <v/>
      </c>
      <c r="P891" s="11"/>
    </row>
    <row r="892" spans="4:16" x14ac:dyDescent="0.2">
      <c r="D892" s="1">
        <v>46056</v>
      </c>
      <c r="E892" s="2">
        <v>0.79166666666666663</v>
      </c>
      <c r="F892" t="s">
        <v>27</v>
      </c>
      <c r="G892">
        <f>VLOOKUP(Table4[[#This Row],[Home]],'NHL Model'!$A$6:$B$38,2,FALSE)</f>
        <v>-0.38023958350631604</v>
      </c>
      <c r="H892" t="s">
        <v>22</v>
      </c>
      <c r="I892">
        <f>VLOOKUP(Table4[[#This Row],[Visitor]],'NHL Model'!$A$6:$B$38,2,FALSE)</f>
        <v>0.4407072328537569</v>
      </c>
      <c r="J892">
        <f>($B$1+Table4[[#This Row],[Home Differential]])-Table4[[#This Row],[Away Differential]]</f>
        <v>-0.7710460674369104</v>
      </c>
      <c r="K892" t="str">
        <f>IF(Table4[[#This Row],[HomeIce Differential]]&gt;0,Table4[[#This Row],[Home]],Table4[[#This Row],[Visitor]])</f>
        <v>Washington Capitals</v>
      </c>
      <c r="L8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0.57840310122428151</v>
      </c>
      <c r="M892" t="str">
        <f>IF(OR((NHL2025_26Results[[#This Row],[Winning Team]]="")),"-",IF(Table4[[#This Row],[Predicted Winner]]=NHL2025_26Results[[#This Row],[Winning Team]],"YES","NO"))</f>
        <v>-</v>
      </c>
      <c r="N892" t="str">
        <f>IF(Table4[[#This Row],[Adjusted Correct]]="-", "",IF(Table4[[#This Row],[Adjusted Correct]]="YES",(Table4[[#This Row],[Strength of Win]]-1)^2,(Table4[[#This Row],[Strength of Win]]-0)^2))</f>
        <v/>
      </c>
      <c r="P892" s="11"/>
    </row>
    <row r="893" spans="4:16" x14ac:dyDescent="0.2">
      <c r="D893" s="1">
        <v>46056</v>
      </c>
      <c r="E893" s="2">
        <v>0.8125</v>
      </c>
      <c r="F893" t="s">
        <v>37</v>
      </c>
      <c r="G893">
        <f>VLOOKUP(Table4[[#This Row],[Home]],'NHL Model'!$A$6:$B$38,2,FALSE)</f>
        <v>0.51050494674660429</v>
      </c>
      <c r="H893" t="s">
        <v>23</v>
      </c>
      <c r="I893">
        <f>VLOOKUP(Table4[[#This Row],[Visitor]],'NHL Model'!$A$6:$B$38,2,FALSE)</f>
        <v>-0.4761104357405897</v>
      </c>
      <c r="J893">
        <f>($B$1+Table4[[#This Row],[Home Differential]])-Table4[[#This Row],[Away Differential]]</f>
        <v>1.0365161314103564</v>
      </c>
      <c r="K893" t="str">
        <f>IF(Table4[[#This Row],[HomeIce Differential]]&gt;0,Table4[[#This Row],[Home]],Table4[[#This Row],[Visitor]])</f>
        <v>Tampa Bay Lightning</v>
      </c>
      <c r="L8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0.69327462203673185</v>
      </c>
      <c r="M893" t="str">
        <f>IF(OR((NHL2025_26Results[[#This Row],[Winning Team]]="")),"-",IF(Table4[[#This Row],[Predicted Winner]]=NHL2025_26Results[[#This Row],[Winning Team]],"YES","NO"))</f>
        <v>-</v>
      </c>
      <c r="N893" t="str">
        <f>IF(Table4[[#This Row],[Adjusted Correct]]="-", "",IF(Table4[[#This Row],[Adjusted Correct]]="YES",(Table4[[#This Row],[Strength of Win]]-1)^2,(Table4[[#This Row],[Strength of Win]]-0)^2))</f>
        <v/>
      </c>
      <c r="P893" s="11"/>
    </row>
    <row r="894" spans="4:16" x14ac:dyDescent="0.2">
      <c r="D894" s="1">
        <v>46057</v>
      </c>
      <c r="E894" s="2">
        <v>0.79166666666666663</v>
      </c>
      <c r="F894" t="s">
        <v>28</v>
      </c>
      <c r="G894">
        <f>VLOOKUP(Table4[[#This Row],[Home]],'NHL Model'!$A$6:$B$38,2,FALSE)</f>
        <v>-0.59498940435054026</v>
      </c>
      <c r="H894" t="s">
        <v>10</v>
      </c>
      <c r="I894">
        <f>VLOOKUP(Table4[[#This Row],[Visitor]],'NHL Model'!$A$6:$B$38,2,FALSE)</f>
        <v>-0.17619625518431364</v>
      </c>
      <c r="J894">
        <f>($B$1+Table4[[#This Row],[Home Differential]])-Table4[[#This Row],[Away Differential]]</f>
        <v>-0.36889240024306419</v>
      </c>
      <c r="K894" t="str">
        <f>IF(Table4[[#This Row],[HomeIce Differential]]&gt;0,Table4[[#This Row],[Home]],Table4[[#This Row],[Visitor]])</f>
        <v>Chicago Blackhawks</v>
      </c>
      <c r="L8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0.50307363219162893</v>
      </c>
      <c r="M894" t="str">
        <f>IF(OR((NHL2025_26Results[[#This Row],[Winning Team]]="")),"-",IF(Table4[[#This Row],[Predicted Winner]]=NHL2025_26Results[[#This Row],[Winning Team]],"YES","NO"))</f>
        <v>-</v>
      </c>
      <c r="N894" t="str">
        <f>IF(Table4[[#This Row],[Adjusted Correct]]="-", "",IF(Table4[[#This Row],[Adjusted Correct]]="YES",(Table4[[#This Row],[Strength of Win]]-1)^2,(Table4[[#This Row],[Strength of Win]]-0)^2))</f>
        <v/>
      </c>
      <c r="P894" s="11"/>
    </row>
    <row r="895" spans="4:16" x14ac:dyDescent="0.2">
      <c r="D895" s="1">
        <v>46057</v>
      </c>
      <c r="E895" s="2">
        <v>0.91666666666666663</v>
      </c>
      <c r="F895" t="s">
        <v>16</v>
      </c>
      <c r="G895">
        <f>VLOOKUP(Table4[[#This Row],[Home]],'NHL Model'!$A$6:$B$38,2,FALSE)</f>
        <v>-1.0657812790446208</v>
      </c>
      <c r="H895" t="s">
        <v>17</v>
      </c>
      <c r="I895">
        <f>VLOOKUP(Table4[[#This Row],[Visitor]],'NHL Model'!$A$6:$B$38,2,FALSE)</f>
        <v>-0.81774666423752174</v>
      </c>
      <c r="J895">
        <f>($B$1+Table4[[#This Row],[Home Differential]])-Table4[[#This Row],[Away Differential]]</f>
        <v>-0.19813386588393667</v>
      </c>
      <c r="K895" t="str">
        <f>IF(Table4[[#This Row],[HomeIce Differential]]&gt;0,Table4[[#This Row],[Home]],Table4[[#This Row],[Visitor]])</f>
        <v>Edmonton Oilers</v>
      </c>
      <c r="L8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0.48313505308910382</v>
      </c>
      <c r="M895" t="str">
        <f>IF(OR((NHL2025_26Results[[#This Row],[Winning Team]]="")),"-",IF(Table4[[#This Row],[Predicted Winner]]=NHL2025_26Results[[#This Row],[Winning Team]],"YES","NO"))</f>
        <v>-</v>
      </c>
      <c r="N895" t="str">
        <f>IF(Table4[[#This Row],[Adjusted Correct]]="-", "",IF(Table4[[#This Row],[Adjusted Correct]]="YES",(Table4[[#This Row],[Strength of Win]]-1)^2,(Table4[[#This Row],[Strength of Win]]-0)^2))</f>
        <v/>
      </c>
      <c r="P895" s="11"/>
    </row>
    <row r="896" spans="4:16" x14ac:dyDescent="0.2">
      <c r="D896" s="1">
        <v>46057</v>
      </c>
      <c r="E896" s="2">
        <v>0.875</v>
      </c>
      <c r="F896" t="s">
        <v>12</v>
      </c>
      <c r="G896">
        <f>VLOOKUP(Table4[[#This Row],[Home]],'NHL Model'!$A$6:$B$38,2,FALSE)</f>
        <v>1.6319036584269762</v>
      </c>
      <c r="H896" t="s">
        <v>33</v>
      </c>
      <c r="I896">
        <f>VLOOKUP(Table4[[#This Row],[Visitor]],'NHL Model'!$A$6:$B$38,2,FALSE)</f>
        <v>-0.45133099238224339</v>
      </c>
      <c r="J896">
        <f>($B$1+Table4[[#This Row],[Home Differential]])-Table4[[#This Row],[Away Differential]]</f>
        <v>2.1331353997323821</v>
      </c>
      <c r="K896" t="str">
        <f>IF(Table4[[#This Row],[HomeIce Differential]]&gt;0,Table4[[#This Row],[Home]],Table4[[#This Row],[Visitor]])</f>
        <v>Colorado Avalanche</v>
      </c>
      <c r="L8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0.89340493765751294</v>
      </c>
      <c r="M896" t="str">
        <f>IF(OR((NHL2025_26Results[[#This Row],[Winning Team]]="")),"-",IF(Table4[[#This Row],[Predicted Winner]]=NHL2025_26Results[[#This Row],[Winning Team]],"YES","NO"))</f>
        <v>-</v>
      </c>
      <c r="N896" t="str">
        <f>IF(Table4[[#This Row],[Adjusted Correct]]="-", "",IF(Table4[[#This Row],[Adjusted Correct]]="YES",(Table4[[#This Row],[Strength of Win]]-1)^2,(Table4[[#This Row],[Strength of Win]]-0)^2))</f>
        <v/>
      </c>
      <c r="P896" s="11"/>
    </row>
    <row r="897" spans="4:16" x14ac:dyDescent="0.2">
      <c r="D897" s="1">
        <v>46057</v>
      </c>
      <c r="E897" s="2">
        <v>0.89583333333333337</v>
      </c>
      <c r="F897" t="s">
        <v>39</v>
      </c>
      <c r="G897">
        <f>VLOOKUP(Table4[[#This Row],[Home]],'NHL Model'!$A$6:$B$38,2,FALSE)</f>
        <v>0.41344250185511977</v>
      </c>
      <c r="H897" t="s">
        <v>35</v>
      </c>
      <c r="I897">
        <f>VLOOKUP(Table4[[#This Row],[Visitor]],'NHL Model'!$A$6:$B$38,2,FALSE)</f>
        <v>-1.3944783719477225</v>
      </c>
      <c r="J897">
        <f>($B$1+Table4[[#This Row],[Home Differential]])-Table4[[#This Row],[Away Differential]]</f>
        <v>1.8578216227260047</v>
      </c>
      <c r="K897" t="str">
        <f>IF(Table4[[#This Row],[HomeIce Differential]]&gt;0,Table4[[#This Row],[Home]],Table4[[#This Row],[Visitor]])</f>
        <v>Dallas Stars</v>
      </c>
      <c r="L8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0.78917415975175542</v>
      </c>
      <c r="M897" t="str">
        <f>IF(OR((NHL2025_26Results[[#This Row],[Winning Team]]="")),"-",IF(Table4[[#This Row],[Predicted Winner]]=NHL2025_26Results[[#This Row],[Winning Team]],"YES","NO"))</f>
        <v>-</v>
      </c>
      <c r="N897" t="str">
        <f>IF(Table4[[#This Row],[Adjusted Correct]]="-", "",IF(Table4[[#This Row],[Adjusted Correct]]="YES",(Table4[[#This Row],[Strength of Win]]-1)^2,(Table4[[#This Row],[Strength of Win]]-0)^2))</f>
        <v/>
      </c>
      <c r="P897" s="11"/>
    </row>
    <row r="898" spans="4:16" x14ac:dyDescent="0.2">
      <c r="D898" s="1">
        <v>46057</v>
      </c>
      <c r="E898" s="2">
        <v>0.79166666666666663</v>
      </c>
      <c r="F898" t="s">
        <v>11</v>
      </c>
      <c r="G898">
        <f>VLOOKUP(Table4[[#This Row],[Home]],'NHL Model'!$A$6:$B$38,2,FALSE)</f>
        <v>-0.39711829106410657</v>
      </c>
      <c r="H898" t="s">
        <v>21</v>
      </c>
      <c r="I898">
        <f>VLOOKUP(Table4[[#This Row],[Visitor]],'NHL Model'!$A$6:$B$38,2,FALSE)</f>
        <v>-0.21976976044773161</v>
      </c>
      <c r="J898">
        <f>($B$1+Table4[[#This Row],[Home Differential]])-Table4[[#This Row],[Away Differential]]</f>
        <v>-0.12744778169321247</v>
      </c>
      <c r="K898" t="str">
        <f>IF(Table4[[#This Row],[HomeIce Differential]]&gt;0,Table4[[#This Row],[Home]],Table4[[#This Row],[Visitor]])</f>
        <v>Boston Bruins</v>
      </c>
      <c r="L8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0.46168992014598992</v>
      </c>
      <c r="M898" t="str">
        <f>IF(OR((NHL2025_26Results[[#This Row],[Winning Team]]="")),"-",IF(Table4[[#This Row],[Predicted Winner]]=NHL2025_26Results[[#This Row],[Winning Team]],"YES","NO"))</f>
        <v>-</v>
      </c>
      <c r="N898" t="str">
        <f>IF(Table4[[#This Row],[Adjusted Correct]]="-", "",IF(Table4[[#This Row],[Adjusted Correct]]="YES",(Table4[[#This Row],[Strength of Win]]-1)^2,(Table4[[#This Row],[Strength of Win]]-0)^2))</f>
        <v/>
      </c>
      <c r="P898" s="11"/>
    </row>
    <row r="899" spans="4:16" x14ac:dyDescent="0.2">
      <c r="D899" s="1">
        <v>46057</v>
      </c>
      <c r="E899" s="2">
        <v>0.91666666666666663</v>
      </c>
      <c r="F899" t="s">
        <v>13</v>
      </c>
      <c r="G899">
        <f>VLOOKUP(Table4[[#This Row],[Home]],'NHL Model'!$A$6:$B$38,2,FALSE)</f>
        <v>-0.33828359867721369</v>
      </c>
      <c r="H899" t="s">
        <v>32</v>
      </c>
      <c r="I899">
        <f>VLOOKUP(Table4[[#This Row],[Visitor]],'NHL Model'!$A$6:$B$38,2,FALSE)</f>
        <v>-0.64937723527808999</v>
      </c>
      <c r="J899">
        <f>($B$1+Table4[[#This Row],[Home Differential]])-Table4[[#This Row],[Away Differential]]</f>
        <v>0.36099438552403879</v>
      </c>
      <c r="K899" t="str">
        <f>IF(Table4[[#This Row],[HomeIce Differential]]&gt;0,Table4[[#This Row],[Home]],Table4[[#This Row],[Visitor]])</f>
        <v>Los Angeles Kings</v>
      </c>
      <c r="L8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0.58215142240680495</v>
      </c>
      <c r="M899" t="str">
        <f>IF(OR((NHL2025_26Results[[#This Row],[Winning Team]]="")),"-",IF(Table4[[#This Row],[Predicted Winner]]=NHL2025_26Results[[#This Row],[Winning Team]],"YES","NO"))</f>
        <v>-</v>
      </c>
      <c r="N899" t="str">
        <f>IF(Table4[[#This Row],[Adjusted Correct]]="-", "",IF(Table4[[#This Row],[Adjusted Correct]]="YES",(Table4[[#This Row],[Strength of Win]]-1)^2,(Table4[[#This Row],[Strength of Win]]-0)^2))</f>
        <v/>
      </c>
      <c r="P899" s="11"/>
    </row>
    <row r="900" spans="4:16" x14ac:dyDescent="0.2">
      <c r="D900" s="1">
        <v>46057</v>
      </c>
      <c r="E900" s="2">
        <v>0.83333333333333337</v>
      </c>
      <c r="F900" t="s">
        <v>29</v>
      </c>
      <c r="G900">
        <f>VLOOKUP(Table4[[#This Row],[Home]],'NHL Model'!$A$6:$B$38,2,FALSE)</f>
        <v>-1.384917283810061</v>
      </c>
      <c r="H900" t="s">
        <v>34</v>
      </c>
      <c r="I900">
        <f>VLOOKUP(Table4[[#This Row],[Visitor]],'NHL Model'!$A$6:$B$38,2,FALSE)</f>
        <v>-5.5124787449478845E-2</v>
      </c>
      <c r="J900">
        <f>($B$1+Table4[[#This Row],[Home Differential]])-Table4[[#This Row],[Away Differential]]</f>
        <v>-1.2798917474374196</v>
      </c>
      <c r="K900" t="str">
        <f>IF(Table4[[#This Row],[HomeIce Differential]]&gt;0,Table4[[#This Row],[Home]],Table4[[#This Row],[Visitor]])</f>
        <v>Minnesota Wild</v>
      </c>
      <c r="L9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0.65195881418139467</v>
      </c>
      <c r="M900" t="str">
        <f>IF(OR((NHL2025_26Results[[#This Row],[Winning Team]]="")),"-",IF(Table4[[#This Row],[Predicted Winner]]=NHL2025_26Results[[#This Row],[Winning Team]],"YES","NO"))</f>
        <v>-</v>
      </c>
      <c r="N900" t="str">
        <f>IF(Table4[[#This Row],[Adjusted Correct]]="-", "",IF(Table4[[#This Row],[Adjusted Correct]]="YES",(Table4[[#This Row],[Strength of Win]]-1)^2,(Table4[[#This Row],[Strength of Win]]-0)^2))</f>
        <v/>
      </c>
      <c r="P900" s="11"/>
    </row>
    <row r="901" spans="4:16" x14ac:dyDescent="0.2">
      <c r="D901" s="1">
        <v>46057</v>
      </c>
      <c r="E901" s="2">
        <v>0.875</v>
      </c>
      <c r="F901" t="s">
        <v>55</v>
      </c>
      <c r="G901">
        <f>VLOOKUP(Table4[[#This Row],[Home]],'NHL Model'!$A$6:$B$38,2,FALSE)</f>
        <v>-0.4031232890211825</v>
      </c>
      <c r="H901" t="s">
        <v>26</v>
      </c>
      <c r="I901">
        <f>VLOOKUP(Table4[[#This Row],[Visitor]],'NHL Model'!$A$6:$B$38,2,FALSE)</f>
        <v>-0.87533956503230947</v>
      </c>
      <c r="J901">
        <f>($B$1+Table4[[#This Row],[Home Differential]])-Table4[[#This Row],[Away Differential]]</f>
        <v>0.52211702493428946</v>
      </c>
      <c r="K901" t="str">
        <f>IF(Table4[[#This Row],[HomeIce Differential]]&gt;0,Table4[[#This Row],[Home]],Table4[[#This Row],[Visitor]])</f>
        <v>Utah Mammoth</v>
      </c>
      <c r="L9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0.64139604600449196</v>
      </c>
      <c r="M901" t="str">
        <f>IF(OR((NHL2025_26Results[[#This Row],[Winning Team]]="")),"-",IF(Table4[[#This Row],[Predicted Winner]]=NHL2025_26Results[[#This Row],[Winning Team]],"YES","NO"))</f>
        <v>-</v>
      </c>
      <c r="N901" t="str">
        <f>IF(Table4[[#This Row],[Adjusted Correct]]="-", "",IF(Table4[[#This Row],[Adjusted Correct]]="YES",(Table4[[#This Row],[Strength of Win]]-1)^2,(Table4[[#This Row],[Strength of Win]]-0)^2))</f>
        <v/>
      </c>
      <c r="P901" s="11"/>
    </row>
    <row r="902" spans="4:16" x14ac:dyDescent="0.2">
      <c r="D902" s="1">
        <v>46057</v>
      </c>
      <c r="E902" s="2">
        <v>0.91666666666666663</v>
      </c>
      <c r="F902" t="s">
        <v>20</v>
      </c>
      <c r="G902">
        <f>VLOOKUP(Table4[[#This Row],[Home]],'NHL Model'!$A$6:$B$38,2,FALSE)</f>
        <v>-0.24444083032063643</v>
      </c>
      <c r="H902" t="s">
        <v>38</v>
      </c>
      <c r="I902">
        <f>VLOOKUP(Table4[[#This Row],[Visitor]],'NHL Model'!$A$6:$B$38,2,FALSE)</f>
        <v>-0.9476777551108041</v>
      </c>
      <c r="J902">
        <f>($B$1+Table4[[#This Row],[Home Differential]])-Table4[[#This Row],[Away Differential]]</f>
        <v>0.75313767371333018</v>
      </c>
      <c r="K902" t="str">
        <f>IF(Table4[[#This Row],[HomeIce Differential]]&gt;0,Table4[[#This Row],[Home]],Table4[[#This Row],[Visitor]])</f>
        <v>Vegas Golden Knights</v>
      </c>
      <c r="L9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0.62436377998437298</v>
      </c>
      <c r="M902" t="str">
        <f>IF(OR((NHL2025_26Results[[#This Row],[Winning Team]]="")),"-",IF(Table4[[#This Row],[Predicted Winner]]=NHL2025_26Results[[#This Row],[Winning Team]],"YES","NO"))</f>
        <v>-</v>
      </c>
      <c r="N902" t="str">
        <f>IF(Table4[[#This Row],[Adjusted Correct]]="-", "",IF(Table4[[#This Row],[Adjusted Correct]]="YES",(Table4[[#This Row],[Strength of Win]]-1)^2,(Table4[[#This Row],[Strength of Win]]-0)^2))</f>
        <v/>
      </c>
      <c r="P902" s="11"/>
    </row>
    <row r="903" spans="4:16" x14ac:dyDescent="0.2">
      <c r="D903" s="1">
        <v>46057</v>
      </c>
      <c r="E903" s="2">
        <v>0.79166666666666663</v>
      </c>
      <c r="F903" t="s">
        <v>40</v>
      </c>
      <c r="G903">
        <f>VLOOKUP(Table4[[#This Row],[Home]],'NHL Model'!$A$6:$B$38,2,FALSE)</f>
        <v>-0.31324182378279158</v>
      </c>
      <c r="H903" t="s">
        <v>18</v>
      </c>
      <c r="I903">
        <f>VLOOKUP(Table4[[#This Row],[Visitor]],'NHL Model'!$A$6:$B$38,2,FALSE)</f>
        <v>-0.59288962827382519</v>
      </c>
      <c r="J903">
        <f>($B$1+Table4[[#This Row],[Home Differential]])-Table4[[#This Row],[Away Differential]]</f>
        <v>0.32954855341419609</v>
      </c>
      <c r="K903" t="str">
        <f>IF(Table4[[#This Row],[HomeIce Differential]]&gt;0,Table4[[#This Row],[Home]],Table4[[#This Row],[Visitor]])</f>
        <v>Winnipeg Jets</v>
      </c>
      <c r="L9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0.52170113391068962</v>
      </c>
      <c r="M903" t="str">
        <f>IF(OR((NHL2025_26Results[[#This Row],[Winning Team]]="")),"-",IF(Table4[[#This Row],[Predicted Winner]]=NHL2025_26Results[[#This Row],[Winning Team]],"YES","NO"))</f>
        <v>-</v>
      </c>
      <c r="N903" t="str">
        <f>IF(Table4[[#This Row],[Adjusted Correct]]="-", "",IF(Table4[[#This Row],[Adjusted Correct]]="YES",(Table4[[#This Row],[Strength of Win]]-1)^2,(Table4[[#This Row],[Strength of Win]]-0)^2))</f>
        <v/>
      </c>
      <c r="P903" s="11"/>
    </row>
    <row r="904" spans="4:16" x14ac:dyDescent="0.2">
      <c r="D904" s="1">
        <v>46058</v>
      </c>
      <c r="E904" s="2">
        <v>0.79166666666666663</v>
      </c>
      <c r="F904" t="s">
        <v>23</v>
      </c>
      <c r="G904">
        <f>VLOOKUP(Table4[[#This Row],[Home]],'NHL Model'!$A$6:$B$38,2,FALSE)</f>
        <v>-0.4761104357405897</v>
      </c>
      <c r="H904" t="s">
        <v>14</v>
      </c>
      <c r="I904">
        <f>VLOOKUP(Table4[[#This Row],[Visitor]],'NHL Model'!$A$6:$B$38,2,FALSE)</f>
        <v>-0.14226422156549004</v>
      </c>
      <c r="J904">
        <f>($B$1+Table4[[#This Row],[Home Differential]])-Table4[[#This Row],[Away Differential]]</f>
        <v>-0.2839454652519372</v>
      </c>
      <c r="K904" t="str">
        <f>IF(Table4[[#This Row],[HomeIce Differential]]&gt;0,Table4[[#This Row],[Home]],Table4[[#This Row],[Visitor]])</f>
        <v>Pittsburgh Penguins</v>
      </c>
      <c r="L9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0.52223779323644848</v>
      </c>
      <c r="M904" t="str">
        <f>IF(OR((NHL2025_26Results[[#This Row],[Winning Team]]="")),"-",IF(Table4[[#This Row],[Predicted Winner]]=NHL2025_26Results[[#This Row],[Winning Team]],"YES","NO"))</f>
        <v>-</v>
      </c>
      <c r="N904" t="str">
        <f>IF(Table4[[#This Row],[Adjusted Correct]]="-", "",IF(Table4[[#This Row],[Adjusted Correct]]="YES",(Table4[[#This Row],[Strength of Win]]-1)^2,(Table4[[#This Row],[Strength of Win]]-0)^2))</f>
        <v/>
      </c>
      <c r="P904" s="11"/>
    </row>
    <row r="905" spans="4:16" x14ac:dyDescent="0.2">
      <c r="D905" s="1">
        <v>46058</v>
      </c>
      <c r="E905" s="2">
        <v>0.79166666666666663</v>
      </c>
      <c r="F905" t="s">
        <v>24</v>
      </c>
      <c r="G905">
        <f>VLOOKUP(Table4[[#This Row],[Home]],'NHL Model'!$A$6:$B$38,2,FALSE)</f>
        <v>1.5302507646042616E-3</v>
      </c>
      <c r="H905" t="s">
        <v>30</v>
      </c>
      <c r="I905">
        <f>VLOOKUP(Table4[[#This Row],[Visitor]],'NHL Model'!$A$6:$B$38,2,FALSE)</f>
        <v>-0.24093199744133265</v>
      </c>
      <c r="J905">
        <f>($B$1+Table4[[#This Row],[Home Differential]])-Table4[[#This Row],[Away Differential]]</f>
        <v>0.29236299712909936</v>
      </c>
      <c r="K905" t="str">
        <f>IF(Table4[[#This Row],[HomeIce Differential]]&gt;0,Table4[[#This Row],[Home]],Table4[[#This Row],[Visitor]])</f>
        <v>New Jersey Devils</v>
      </c>
      <c r="L9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0.58343346953258379</v>
      </c>
      <c r="M905" t="str">
        <f>IF(OR((NHL2025_26Results[[#This Row],[Winning Team]]="")),"-",IF(Table4[[#This Row],[Predicted Winner]]=NHL2025_26Results[[#This Row],[Winning Team]],"YES","NO"))</f>
        <v>-</v>
      </c>
      <c r="N905" t="str">
        <f>IF(Table4[[#This Row],[Adjusted Correct]]="-", "",IF(Table4[[#This Row],[Adjusted Correct]]="YES",(Table4[[#This Row],[Strength of Win]]-1)^2,(Table4[[#This Row],[Strength of Win]]-0)^2))</f>
        <v/>
      </c>
      <c r="P905" s="11"/>
    </row>
    <row r="906" spans="4:16" x14ac:dyDescent="0.2">
      <c r="D906" s="1">
        <v>46058</v>
      </c>
      <c r="E906" s="2">
        <v>0.79166666666666663</v>
      </c>
      <c r="F906" t="s">
        <v>15</v>
      </c>
      <c r="G906">
        <f>VLOOKUP(Table4[[#This Row],[Home]],'NHL Model'!$A$6:$B$38,2,FALSE)</f>
        <v>-0.29003398448394263</v>
      </c>
      <c r="H906" t="s">
        <v>25</v>
      </c>
      <c r="I906">
        <f>VLOOKUP(Table4[[#This Row],[Visitor]],'NHL Model'!$A$6:$B$38,2,FALSE)</f>
        <v>0.42567513732855267</v>
      </c>
      <c r="J906">
        <f>($B$1+Table4[[#This Row],[Home Differential]])-Table4[[#This Row],[Away Differential]]</f>
        <v>-0.66580837288933281</v>
      </c>
      <c r="K906" t="str">
        <f>IF(Table4[[#This Row],[HomeIce Differential]]&gt;0,Table4[[#This Row],[Home]],Table4[[#This Row],[Visitor]])</f>
        <v>Carolina Hurricanes</v>
      </c>
      <c r="L9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0.61036612327293382</v>
      </c>
      <c r="M906" t="str">
        <f>IF(OR((NHL2025_26Results[[#This Row],[Winning Team]]="")),"-",IF(Table4[[#This Row],[Predicted Winner]]=NHL2025_26Results[[#This Row],[Winning Team]],"YES","NO"))</f>
        <v>-</v>
      </c>
      <c r="N906" t="str">
        <f>IF(Table4[[#This Row],[Adjusted Correct]]="-", "",IF(Table4[[#This Row],[Adjusted Correct]]="YES",(Table4[[#This Row],[Strength of Win]]-1)^2,(Table4[[#This Row],[Strength of Win]]-0)^2))</f>
        <v/>
      </c>
      <c r="P906" s="11"/>
    </row>
    <row r="907" spans="4:16" x14ac:dyDescent="0.2">
      <c r="D907" s="1">
        <v>46058</v>
      </c>
      <c r="E907" s="2">
        <v>0.79166666666666663</v>
      </c>
      <c r="F907" t="s">
        <v>27</v>
      </c>
      <c r="G907">
        <f>VLOOKUP(Table4[[#This Row],[Home]],'NHL Model'!$A$6:$B$38,2,FALSE)</f>
        <v>-0.38023958350631604</v>
      </c>
      <c r="H907" t="s">
        <v>36</v>
      </c>
      <c r="I907">
        <f>VLOOKUP(Table4[[#This Row],[Visitor]],'NHL Model'!$A$6:$B$38,2,FALSE)</f>
        <v>-0.53137605086483863</v>
      </c>
      <c r="J907">
        <f>($B$1+Table4[[#This Row],[Home Differential]])-Table4[[#This Row],[Away Differential]]</f>
        <v>0.20103721628168508</v>
      </c>
      <c r="K907" t="str">
        <f>IF(Table4[[#This Row],[HomeIce Differential]]&gt;0,Table4[[#This Row],[Home]],Table4[[#This Row],[Visitor]])</f>
        <v>Philadelphia Flyers</v>
      </c>
      <c r="L9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0.5774906825970495</v>
      </c>
      <c r="M907" t="str">
        <f>IF(OR((NHL2025_26Results[[#This Row],[Winning Team]]="")),"-",IF(Table4[[#This Row],[Predicted Winner]]=NHL2025_26Results[[#This Row],[Winning Team]],"YES","NO"))</f>
        <v>-</v>
      </c>
      <c r="N907" t="str">
        <f>IF(Table4[[#This Row],[Adjusted Correct]]="-", "",IF(Table4[[#This Row],[Adjusted Correct]]="YES",(Table4[[#This Row],[Strength of Win]]-1)^2,(Table4[[#This Row],[Strength of Win]]-0)^2))</f>
        <v/>
      </c>
      <c r="P907" s="11"/>
    </row>
    <row r="908" spans="4:16" x14ac:dyDescent="0.2">
      <c r="D908" s="1">
        <v>46058</v>
      </c>
      <c r="E908" s="2">
        <v>0.8125</v>
      </c>
      <c r="F908" t="s">
        <v>37</v>
      </c>
      <c r="G908">
        <f>VLOOKUP(Table4[[#This Row],[Home]],'NHL Model'!$A$6:$B$38,2,FALSE)</f>
        <v>0.51050494674660429</v>
      </c>
      <c r="H908" t="s">
        <v>11</v>
      </c>
      <c r="I908">
        <f>VLOOKUP(Table4[[#This Row],[Visitor]],'NHL Model'!$A$6:$B$38,2,FALSE)</f>
        <v>-0.39711829106410657</v>
      </c>
      <c r="J908">
        <f>($B$1+Table4[[#This Row],[Home Differential]])-Table4[[#This Row],[Away Differential]]</f>
        <v>0.95752398673387329</v>
      </c>
      <c r="K908" t="str">
        <f>IF(Table4[[#This Row],[HomeIce Differential]]&gt;0,Table4[[#This Row],[Home]],Table4[[#This Row],[Visitor]])</f>
        <v>Tampa Bay Lightning</v>
      </c>
      <c r="L9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0.68405112330490425</v>
      </c>
      <c r="M908" t="str">
        <f>IF(OR((NHL2025_26Results[[#This Row],[Winning Team]]="")),"-",IF(Table4[[#This Row],[Predicted Winner]]=NHL2025_26Results[[#This Row],[Winning Team]],"YES","NO"))</f>
        <v>-</v>
      </c>
      <c r="N908" t="str">
        <f>IF(Table4[[#This Row],[Adjusted Correct]]="-", "",IF(Table4[[#This Row],[Adjusted Correct]]="YES",(Table4[[#This Row],[Strength of Win]]-1)^2,(Table4[[#This Row],[Strength of Win]]-0)^2))</f>
        <v/>
      </c>
      <c r="P908" s="11"/>
    </row>
    <row r="909" spans="4:16" x14ac:dyDescent="0.2">
      <c r="D909" s="1">
        <v>46058</v>
      </c>
      <c r="E909" s="2">
        <v>0.91666666666666663</v>
      </c>
      <c r="F909" t="s">
        <v>20</v>
      </c>
      <c r="G909">
        <f>VLOOKUP(Table4[[#This Row],[Home]],'NHL Model'!$A$6:$B$38,2,FALSE)</f>
        <v>-0.24444083032063643</v>
      </c>
      <c r="H909" t="s">
        <v>13</v>
      </c>
      <c r="I909">
        <f>VLOOKUP(Table4[[#This Row],[Visitor]],'NHL Model'!$A$6:$B$38,2,FALSE)</f>
        <v>-0.33828359867721369</v>
      </c>
      <c r="J909">
        <f>($B$1+Table4[[#This Row],[Home Differential]])-Table4[[#This Row],[Away Differential]]</f>
        <v>0.14374351727973972</v>
      </c>
      <c r="K909" t="str">
        <f>IF(Table4[[#This Row],[HomeIce Differential]]&gt;0,Table4[[#This Row],[Home]],Table4[[#This Row],[Visitor]])</f>
        <v>Vegas Golden Knights</v>
      </c>
      <c r="L9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0.49046838767162676</v>
      </c>
      <c r="M909" t="str">
        <f>IF(OR((NHL2025_26Results[[#This Row],[Winning Team]]="")),"-",IF(Table4[[#This Row],[Predicted Winner]]=NHL2025_26Results[[#This Row],[Winning Team]],"YES","NO"))</f>
        <v>-</v>
      </c>
      <c r="N909" t="str">
        <f>IF(Table4[[#This Row],[Adjusted Correct]]="-", "",IF(Table4[[#This Row],[Adjusted Correct]]="YES",(Table4[[#This Row],[Strength of Win]]-1)^2,(Table4[[#This Row],[Strength of Win]]-0)^2))</f>
        <v/>
      </c>
      <c r="P909" s="11"/>
    </row>
    <row r="910" spans="4:16" x14ac:dyDescent="0.2">
      <c r="D910" s="1">
        <v>46058</v>
      </c>
      <c r="E910" s="2">
        <v>0.79166666666666663</v>
      </c>
      <c r="F910" t="s">
        <v>22</v>
      </c>
      <c r="G910">
        <f>VLOOKUP(Table4[[#This Row],[Home]],'NHL Model'!$A$6:$B$38,2,FALSE)</f>
        <v>0.4407072328537569</v>
      </c>
      <c r="H910" t="s">
        <v>29</v>
      </c>
      <c r="I910">
        <f>VLOOKUP(Table4[[#This Row],[Visitor]],'NHL Model'!$A$6:$B$38,2,FALSE)</f>
        <v>-1.384917283810061</v>
      </c>
      <c r="J910">
        <f>($B$1+Table4[[#This Row],[Home Differential]])-Table4[[#This Row],[Away Differential]]</f>
        <v>1.8755252655869803</v>
      </c>
      <c r="K910" t="str">
        <f>IF(Table4[[#This Row],[HomeIce Differential]]&gt;0,Table4[[#This Row],[Home]],Table4[[#This Row],[Visitor]])</f>
        <v>Washington Capitals</v>
      </c>
      <c r="L9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0.78503299138365357</v>
      </c>
      <c r="M910" t="str">
        <f>IF(OR((NHL2025_26Results[[#This Row],[Winning Team]]="")),"-",IF(Table4[[#This Row],[Predicted Winner]]=NHL2025_26Results[[#This Row],[Winning Team]],"YES","NO"))</f>
        <v>-</v>
      </c>
      <c r="N910" t="str">
        <f>IF(Table4[[#This Row],[Adjusted Correct]]="-", "",IF(Table4[[#This Row],[Adjusted Correct]]="YES",(Table4[[#This Row],[Strength of Win]]-1)^2,(Table4[[#This Row],[Strength of Win]]-0)^2))</f>
        <v/>
      </c>
      <c r="P910" s="11"/>
    </row>
    <row r="911" spans="4:16" x14ac:dyDescent="0.2">
      <c r="D911" s="1">
        <v>46078</v>
      </c>
      <c r="E911" s="2">
        <v>0.9375</v>
      </c>
      <c r="F911" t="s">
        <v>31</v>
      </c>
      <c r="G911">
        <f>VLOOKUP(Table4[[#This Row],[Home]],'NHL Model'!$A$6:$B$38,2,FALSE)</f>
        <v>0.17870302183926629</v>
      </c>
      <c r="H911" t="s">
        <v>17</v>
      </c>
      <c r="I911">
        <f>VLOOKUP(Table4[[#This Row],[Visitor]],'NHL Model'!$A$6:$B$38,2,FALSE)</f>
        <v>-0.81774666423752174</v>
      </c>
      <c r="J911">
        <f>($B$1+Table4[[#This Row],[Home Differential]])-Table4[[#This Row],[Away Differential]]</f>
        <v>1.0463504349999504</v>
      </c>
      <c r="K911" t="str">
        <f>IF(Table4[[#This Row],[HomeIce Differential]]&gt;0,Table4[[#This Row],[Home]],Table4[[#This Row],[Visitor]])</f>
        <v>Anaheim Ducks</v>
      </c>
      <c r="L9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0.74201156706028293</v>
      </c>
      <c r="M911" t="str">
        <f>IF(OR((NHL2025_26Results[[#This Row],[Winning Team]]="")),"-",IF(Table4[[#This Row],[Predicted Winner]]=NHL2025_26Results[[#This Row],[Winning Team]],"YES","NO"))</f>
        <v>-</v>
      </c>
      <c r="N911" t="str">
        <f>IF(Table4[[#This Row],[Adjusted Correct]]="-", "",IF(Table4[[#This Row],[Adjusted Correct]]="YES",(Table4[[#This Row],[Strength of Win]]-1)^2,(Table4[[#This Row],[Strength of Win]]-0)^2))</f>
        <v/>
      </c>
      <c r="P911" s="11"/>
    </row>
    <row r="912" spans="4:16" x14ac:dyDescent="0.2">
      <c r="D912" s="1">
        <v>46078</v>
      </c>
      <c r="E912" s="2">
        <v>0.83333333333333337</v>
      </c>
      <c r="F912" t="s">
        <v>39</v>
      </c>
      <c r="G912">
        <f>VLOOKUP(Table4[[#This Row],[Home]],'NHL Model'!$A$6:$B$38,2,FALSE)</f>
        <v>0.41344250185511977</v>
      </c>
      <c r="H912" t="s">
        <v>32</v>
      </c>
      <c r="I912">
        <f>VLOOKUP(Table4[[#This Row],[Visitor]],'NHL Model'!$A$6:$B$38,2,FALSE)</f>
        <v>-0.64937723527808999</v>
      </c>
      <c r="J912">
        <f>($B$1+Table4[[#This Row],[Home Differential]])-Table4[[#This Row],[Away Differential]]</f>
        <v>1.1127204860563722</v>
      </c>
      <c r="K912" t="str">
        <f>IF(Table4[[#This Row],[HomeIce Differential]]&gt;0,Table4[[#This Row],[Home]],Table4[[#This Row],[Visitor]])</f>
        <v>Dallas Stars</v>
      </c>
      <c r="L9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0.70217260513765822</v>
      </c>
      <c r="M912" t="str">
        <f>IF(OR((NHL2025_26Results[[#This Row],[Winning Team]]="")),"-",IF(Table4[[#This Row],[Predicted Winner]]=NHL2025_26Results[[#This Row],[Winning Team]],"YES","NO"))</f>
        <v>-</v>
      </c>
      <c r="N912" t="str">
        <f>IF(Table4[[#This Row],[Adjusted Correct]]="-", "",IF(Table4[[#This Row],[Adjusted Correct]]="YES",(Table4[[#This Row],[Strength of Win]]-1)^2,(Table4[[#This Row],[Strength of Win]]-0)^2))</f>
        <v/>
      </c>
      <c r="P912" s="11"/>
    </row>
    <row r="913" spans="4:16" x14ac:dyDescent="0.2">
      <c r="D913" s="1">
        <v>46078</v>
      </c>
      <c r="E913" s="2">
        <v>0.91666666666666663</v>
      </c>
      <c r="F913" t="s">
        <v>13</v>
      </c>
      <c r="G913">
        <f>VLOOKUP(Table4[[#This Row],[Home]],'NHL Model'!$A$6:$B$38,2,FALSE)</f>
        <v>-0.33828359867721369</v>
      </c>
      <c r="H913" t="s">
        <v>20</v>
      </c>
      <c r="I913">
        <f>VLOOKUP(Table4[[#This Row],[Visitor]],'NHL Model'!$A$6:$B$38,2,FALSE)</f>
        <v>-0.24444083032063643</v>
      </c>
      <c r="J913">
        <f>($B$1+Table4[[#This Row],[Home Differential]])-Table4[[#This Row],[Away Differential]]</f>
        <v>-4.3942019433414775E-2</v>
      </c>
      <c r="K913" t="str">
        <f>IF(Table4[[#This Row],[HomeIce Differential]]&gt;0,Table4[[#This Row],[Home]],Table4[[#This Row],[Visitor]])</f>
        <v>Vegas Golden Knights</v>
      </c>
      <c r="L9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0.46513087930677127</v>
      </c>
      <c r="M913" t="str">
        <f>IF(OR((NHL2025_26Results[[#This Row],[Winning Team]]="")),"-",IF(Table4[[#This Row],[Predicted Winner]]=NHL2025_26Results[[#This Row],[Winning Team]],"YES","NO"))</f>
        <v>-</v>
      </c>
      <c r="N913" t="str">
        <f>IF(Table4[[#This Row],[Adjusted Correct]]="-", "",IF(Table4[[#This Row],[Adjusted Correct]]="YES",(Table4[[#This Row],[Strength of Win]]-1)^2,(Table4[[#This Row],[Strength of Win]]-0)^2))</f>
        <v/>
      </c>
      <c r="P913" s="11"/>
    </row>
    <row r="914" spans="4:16" x14ac:dyDescent="0.2">
      <c r="D914" s="1">
        <v>46078</v>
      </c>
      <c r="E914" s="2">
        <v>0.79166666666666663</v>
      </c>
      <c r="F914" t="s">
        <v>24</v>
      </c>
      <c r="G914">
        <f>VLOOKUP(Table4[[#This Row],[Home]],'NHL Model'!$A$6:$B$38,2,FALSE)</f>
        <v>1.5302507646042616E-3</v>
      </c>
      <c r="H914" t="s">
        <v>23</v>
      </c>
      <c r="I914">
        <f>VLOOKUP(Table4[[#This Row],[Visitor]],'NHL Model'!$A$6:$B$38,2,FALSE)</f>
        <v>-0.4761104357405897</v>
      </c>
      <c r="J914">
        <f>($B$1+Table4[[#This Row],[Home Differential]])-Table4[[#This Row],[Away Differential]]</f>
        <v>0.52754143542835641</v>
      </c>
      <c r="K914" t="str">
        <f>IF(Table4[[#This Row],[HomeIce Differential]]&gt;0,Table4[[#This Row],[Home]],Table4[[#This Row],[Visitor]])</f>
        <v>New Jersey Devils</v>
      </c>
      <c r="L9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0.68143295928595826</v>
      </c>
      <c r="M914" t="str">
        <f>IF(OR((NHL2025_26Results[[#This Row],[Winning Team]]="")),"-",IF(Table4[[#This Row],[Predicted Winner]]=NHL2025_26Results[[#This Row],[Winning Team]],"YES","NO"))</f>
        <v>-</v>
      </c>
      <c r="N914" t="str">
        <f>IF(Table4[[#This Row],[Adjusted Correct]]="-", "",IF(Table4[[#This Row],[Adjusted Correct]]="YES",(Table4[[#This Row],[Strength of Win]]-1)^2,(Table4[[#This Row],[Strength of Win]]-0)^2))</f>
        <v/>
      </c>
      <c r="P914" s="11"/>
    </row>
    <row r="915" spans="4:16" x14ac:dyDescent="0.2">
      <c r="D915" s="1">
        <v>46078</v>
      </c>
      <c r="E915" s="2">
        <v>0.8125</v>
      </c>
      <c r="F915" t="s">
        <v>37</v>
      </c>
      <c r="G915">
        <f>VLOOKUP(Table4[[#This Row],[Home]],'NHL Model'!$A$6:$B$38,2,FALSE)</f>
        <v>0.51050494674660429</v>
      </c>
      <c r="H915" t="s">
        <v>19</v>
      </c>
      <c r="I915">
        <f>VLOOKUP(Table4[[#This Row],[Visitor]],'NHL Model'!$A$6:$B$38,2,FALSE)</f>
        <v>-0.63447859131898054</v>
      </c>
      <c r="J915">
        <f>($B$1+Table4[[#This Row],[Home Differential]])-Table4[[#This Row],[Away Differential]]</f>
        <v>1.1948842869887473</v>
      </c>
      <c r="K915" t="str">
        <f>IF(Table4[[#This Row],[HomeIce Differential]]&gt;0,Table4[[#This Row],[Home]],Table4[[#This Row],[Visitor]])</f>
        <v>Tampa Bay Lightning</v>
      </c>
      <c r="L9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0.71176644154766677</v>
      </c>
      <c r="M915" t="str">
        <f>IF(OR((NHL2025_26Results[[#This Row],[Winning Team]]="")),"-",IF(Table4[[#This Row],[Predicted Winner]]=NHL2025_26Results[[#This Row],[Winning Team]],"YES","NO"))</f>
        <v>-</v>
      </c>
      <c r="N915" t="str">
        <f>IF(Table4[[#This Row],[Adjusted Correct]]="-", "",IF(Table4[[#This Row],[Adjusted Correct]]="YES",(Table4[[#This Row],[Strength of Win]]-1)^2,(Table4[[#This Row],[Strength of Win]]-0)^2))</f>
        <v/>
      </c>
      <c r="P915" s="11"/>
    </row>
    <row r="916" spans="4:16" x14ac:dyDescent="0.2">
      <c r="D916" s="1">
        <v>46078</v>
      </c>
      <c r="E916" s="2">
        <v>0.875</v>
      </c>
      <c r="F916" t="s">
        <v>55</v>
      </c>
      <c r="G916">
        <f>VLOOKUP(Table4[[#This Row],[Home]],'NHL Model'!$A$6:$B$38,2,FALSE)</f>
        <v>-0.4031232890211825</v>
      </c>
      <c r="H916" t="s">
        <v>12</v>
      </c>
      <c r="I916">
        <f>VLOOKUP(Table4[[#This Row],[Visitor]],'NHL Model'!$A$6:$B$38,2,FALSE)</f>
        <v>1.6319036584269762</v>
      </c>
      <c r="J916">
        <f>($B$1+Table4[[#This Row],[Home Differential]])-Table4[[#This Row],[Away Differential]]</f>
        <v>-1.9851261985249962</v>
      </c>
      <c r="K916" t="str">
        <f>IF(Table4[[#This Row],[HomeIce Differential]]&gt;0,Table4[[#This Row],[Home]],Table4[[#This Row],[Visitor]])</f>
        <v>Colorado Avalanche</v>
      </c>
      <c r="L9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0.72341289378127493</v>
      </c>
      <c r="M916" t="str">
        <f>IF(OR((NHL2025_26Results[[#This Row],[Winning Team]]="")),"-",IF(Table4[[#This Row],[Predicted Winner]]=NHL2025_26Results[[#This Row],[Winning Team]],"YES","NO"))</f>
        <v>-</v>
      </c>
      <c r="N916" t="str">
        <f>IF(Table4[[#This Row],[Adjusted Correct]]="-", "",IF(Table4[[#This Row],[Adjusted Correct]]="YES",(Table4[[#This Row],[Strength of Win]]-1)^2,(Table4[[#This Row],[Strength of Win]]-0)^2))</f>
        <v/>
      </c>
      <c r="P916" s="11"/>
    </row>
    <row r="917" spans="4:16" x14ac:dyDescent="0.2">
      <c r="D917" s="1">
        <v>46078</v>
      </c>
      <c r="E917" s="2">
        <v>0.91666666666666663</v>
      </c>
      <c r="F917" t="s">
        <v>38</v>
      </c>
      <c r="G917">
        <f>VLOOKUP(Table4[[#This Row],[Home]],'NHL Model'!$A$6:$B$38,2,FALSE)</f>
        <v>-0.9476777551108041</v>
      </c>
      <c r="H917" t="s">
        <v>40</v>
      </c>
      <c r="I917">
        <f>VLOOKUP(Table4[[#This Row],[Visitor]],'NHL Model'!$A$6:$B$38,2,FALSE)</f>
        <v>-0.31324182378279158</v>
      </c>
      <c r="J917">
        <f>($B$1+Table4[[#This Row],[Home Differential]])-Table4[[#This Row],[Away Differential]]</f>
        <v>-0.58453518240485014</v>
      </c>
      <c r="K917" t="str">
        <f>IF(Table4[[#This Row],[HomeIce Differential]]&gt;0,Table4[[#This Row],[Home]],Table4[[#This Row],[Visitor]])</f>
        <v>Winnipeg Jets</v>
      </c>
      <c r="L9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0.54902234043856335</v>
      </c>
      <c r="M917" t="str">
        <f>IF(OR((NHL2025_26Results[[#This Row],[Winning Team]]="")),"-",IF(Table4[[#This Row],[Predicted Winner]]=NHL2025_26Results[[#This Row],[Winning Team]],"YES","NO"))</f>
        <v>-</v>
      </c>
      <c r="N917" t="str">
        <f>IF(Table4[[#This Row],[Adjusted Correct]]="-", "",IF(Table4[[#This Row],[Adjusted Correct]]="YES",(Table4[[#This Row],[Strength of Win]]-1)^2,(Table4[[#This Row],[Strength of Win]]-0)^2))</f>
        <v/>
      </c>
      <c r="P917" s="11"/>
    </row>
    <row r="918" spans="4:16" x14ac:dyDescent="0.2">
      <c r="D918" s="1">
        <v>46078</v>
      </c>
      <c r="E918" s="2">
        <v>0.79166666666666663</v>
      </c>
      <c r="F918" t="s">
        <v>22</v>
      </c>
      <c r="G918">
        <f>VLOOKUP(Table4[[#This Row],[Home]],'NHL Model'!$A$6:$B$38,2,FALSE)</f>
        <v>0.4407072328537569</v>
      </c>
      <c r="H918" t="s">
        <v>27</v>
      </c>
      <c r="I918">
        <f>VLOOKUP(Table4[[#This Row],[Visitor]],'NHL Model'!$A$6:$B$38,2,FALSE)</f>
        <v>-0.38023958350631604</v>
      </c>
      <c r="J918">
        <f>($B$1+Table4[[#This Row],[Home Differential]])-Table4[[#This Row],[Away Differential]]</f>
        <v>0.87084756528323548</v>
      </c>
      <c r="K918" t="str">
        <f>IF(Table4[[#This Row],[HomeIce Differential]]&gt;0,Table4[[#This Row],[Home]],Table4[[#This Row],[Visitor]])</f>
        <v>Washington Capitals</v>
      </c>
      <c r="L9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0.62549382984908919</v>
      </c>
      <c r="M918" t="str">
        <f>IF(OR((NHL2025_26Results[[#This Row],[Winning Team]]="")),"-",IF(Table4[[#This Row],[Predicted Winner]]=NHL2025_26Results[[#This Row],[Winning Team]],"YES","NO"))</f>
        <v>-</v>
      </c>
      <c r="N918" t="str">
        <f>IF(Table4[[#This Row],[Adjusted Correct]]="-", "",IF(Table4[[#This Row],[Adjusted Correct]]="YES",(Table4[[#This Row],[Strength of Win]]-1)^2,(Table4[[#This Row],[Strength of Win]]-0)^2))</f>
        <v/>
      </c>
      <c r="P918" s="11"/>
    </row>
    <row r="919" spans="4:16" x14ac:dyDescent="0.2">
      <c r="D919" s="1">
        <v>46079</v>
      </c>
      <c r="E919" s="2">
        <v>0.79166666666666663</v>
      </c>
      <c r="F919" t="s">
        <v>21</v>
      </c>
      <c r="G919">
        <f>VLOOKUP(Table4[[#This Row],[Home]],'NHL Model'!$A$6:$B$38,2,FALSE)</f>
        <v>-0.21976976044773161</v>
      </c>
      <c r="H919" t="s">
        <v>28</v>
      </c>
      <c r="I919">
        <f>VLOOKUP(Table4[[#This Row],[Visitor]],'NHL Model'!$A$6:$B$38,2,FALSE)</f>
        <v>-0.59498940435054026</v>
      </c>
      <c r="J919">
        <f>($B$1+Table4[[#This Row],[Home Differential]])-Table4[[#This Row],[Away Differential]]</f>
        <v>0.42512039282597114</v>
      </c>
      <c r="K919" t="str">
        <f>IF(Table4[[#This Row],[HomeIce Differential]]&gt;0,Table4[[#This Row],[Home]],Table4[[#This Row],[Visitor]])</f>
        <v>Boston Bruins</v>
      </c>
      <c r="L9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0.62903822182252678</v>
      </c>
      <c r="M919" t="str">
        <f>IF(OR((NHL2025_26Results[[#This Row],[Winning Team]]="")),"-",IF(Table4[[#This Row],[Predicted Winner]]=NHL2025_26Results[[#This Row],[Winning Team]],"YES","NO"))</f>
        <v>-</v>
      </c>
      <c r="N919" t="str">
        <f>IF(Table4[[#This Row],[Adjusted Correct]]="-", "",IF(Table4[[#This Row],[Adjusted Correct]]="YES",(Table4[[#This Row],[Strength of Win]]-1)^2,(Table4[[#This Row],[Strength of Win]]-0)^2))</f>
        <v/>
      </c>
      <c r="P919" s="11"/>
    </row>
    <row r="920" spans="4:16" x14ac:dyDescent="0.2">
      <c r="D920" s="1">
        <v>46079</v>
      </c>
      <c r="E920" s="2">
        <v>0.79166666666666663</v>
      </c>
      <c r="F920" t="s">
        <v>25</v>
      </c>
      <c r="G920">
        <f>VLOOKUP(Table4[[#This Row],[Home]],'NHL Model'!$A$6:$B$38,2,FALSE)</f>
        <v>0.42567513732855267</v>
      </c>
      <c r="H920" t="s">
        <v>37</v>
      </c>
      <c r="I920">
        <f>VLOOKUP(Table4[[#This Row],[Visitor]],'NHL Model'!$A$6:$B$38,2,FALSE)</f>
        <v>0.51050494674660429</v>
      </c>
      <c r="J920">
        <f>($B$1+Table4[[#This Row],[Home Differential]])-Table4[[#This Row],[Away Differential]]</f>
        <v>-3.4929060494889141E-2</v>
      </c>
      <c r="K920" t="str">
        <f>IF(Table4[[#This Row],[HomeIce Differential]]&gt;0,Table4[[#This Row],[Home]],Table4[[#This Row],[Visitor]])</f>
        <v>Tampa Bay Lightning</v>
      </c>
      <c r="L9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0.50407848332891836</v>
      </c>
      <c r="M920" t="str">
        <f>IF(OR((NHL2025_26Results[[#This Row],[Winning Team]]="")),"-",IF(Table4[[#This Row],[Predicted Winner]]=NHL2025_26Results[[#This Row],[Winning Team]],"YES","NO"))</f>
        <v>-</v>
      </c>
      <c r="N920" t="str">
        <f>IF(Table4[[#This Row],[Adjusted Correct]]="-", "",IF(Table4[[#This Row],[Adjusted Correct]]="YES",(Table4[[#This Row],[Strength of Win]]-1)^2,(Table4[[#This Row],[Strength of Win]]-0)^2))</f>
        <v/>
      </c>
      <c r="P920" s="11"/>
    </row>
    <row r="921" spans="4:16" x14ac:dyDescent="0.2">
      <c r="D921" s="1">
        <v>46079</v>
      </c>
      <c r="E921" s="2">
        <v>0.875</v>
      </c>
      <c r="F921" t="s">
        <v>12</v>
      </c>
      <c r="G921">
        <f>VLOOKUP(Table4[[#This Row],[Home]],'NHL Model'!$A$6:$B$38,2,FALSE)</f>
        <v>1.6319036584269762</v>
      </c>
      <c r="H921" t="s">
        <v>34</v>
      </c>
      <c r="I921">
        <f>VLOOKUP(Table4[[#This Row],[Visitor]],'NHL Model'!$A$6:$B$38,2,FALSE)</f>
        <v>-5.5124787449478845E-2</v>
      </c>
      <c r="J921">
        <f>($B$1+Table4[[#This Row],[Home Differential]])-Table4[[#This Row],[Away Differential]]</f>
        <v>1.7369291947996175</v>
      </c>
      <c r="K921" t="str">
        <f>IF(Table4[[#This Row],[HomeIce Differential]]&gt;0,Table4[[#This Row],[Home]],Table4[[#This Row],[Visitor]])</f>
        <v>Colorado Avalanche</v>
      </c>
      <c r="L9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0.80720772313376354</v>
      </c>
      <c r="M921" t="str">
        <f>IF(OR((NHL2025_26Results[[#This Row],[Winning Team]]="")),"-",IF(Table4[[#This Row],[Predicted Winner]]=NHL2025_26Results[[#This Row],[Winning Team]],"YES","NO"))</f>
        <v>-</v>
      </c>
      <c r="N921" t="str">
        <f>IF(Table4[[#This Row],[Adjusted Correct]]="-", "",IF(Table4[[#This Row],[Adjusted Correct]]="YES",(Table4[[#This Row],[Strength of Win]]-1)^2,(Table4[[#This Row],[Strength of Win]]-0)^2))</f>
        <v/>
      </c>
      <c r="P921" s="11"/>
    </row>
    <row r="922" spans="4:16" x14ac:dyDescent="0.2">
      <c r="D922" s="1">
        <v>46079</v>
      </c>
      <c r="E922" s="2">
        <v>0.79166666666666663</v>
      </c>
      <c r="F922" t="s">
        <v>11</v>
      </c>
      <c r="G922">
        <f>VLOOKUP(Table4[[#This Row],[Home]],'NHL Model'!$A$6:$B$38,2,FALSE)</f>
        <v>-0.39711829106410657</v>
      </c>
      <c r="H922" t="s">
        <v>19</v>
      </c>
      <c r="I922">
        <f>VLOOKUP(Table4[[#This Row],[Visitor]],'NHL Model'!$A$6:$B$38,2,FALSE)</f>
        <v>-0.63447859131898054</v>
      </c>
      <c r="J922">
        <f>($B$1+Table4[[#This Row],[Home Differential]])-Table4[[#This Row],[Away Differential]]</f>
        <v>0.28726104917803646</v>
      </c>
      <c r="K922" t="str">
        <f>IF(Table4[[#This Row],[HomeIce Differential]]&gt;0,Table4[[#This Row],[Home]],Table4[[#This Row],[Visitor]])</f>
        <v>Florida Panthers</v>
      </c>
      <c r="L9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0.58755858766064739</v>
      </c>
      <c r="M922" t="str">
        <f>IF(OR((NHL2025_26Results[[#This Row],[Winning Team]]="")),"-",IF(Table4[[#This Row],[Predicted Winner]]=NHL2025_26Results[[#This Row],[Winning Team]],"YES","NO"))</f>
        <v>-</v>
      </c>
      <c r="N922" t="str">
        <f>IF(Table4[[#This Row],[Adjusted Correct]]="-", "",IF(Table4[[#This Row],[Adjusted Correct]]="YES",(Table4[[#This Row],[Strength of Win]]-1)^2,(Table4[[#This Row],[Strength of Win]]-0)^2))</f>
        <v/>
      </c>
      <c r="P922" s="11"/>
    </row>
    <row r="923" spans="4:16" x14ac:dyDescent="0.2">
      <c r="D923" s="1">
        <v>46079</v>
      </c>
      <c r="E923" s="2">
        <v>0.9375</v>
      </c>
      <c r="F923" t="s">
        <v>13</v>
      </c>
      <c r="G923">
        <f>VLOOKUP(Table4[[#This Row],[Home]],'NHL Model'!$A$6:$B$38,2,FALSE)</f>
        <v>-0.33828359867721369</v>
      </c>
      <c r="H923" t="s">
        <v>17</v>
      </c>
      <c r="I923">
        <f>VLOOKUP(Table4[[#This Row],[Visitor]],'NHL Model'!$A$6:$B$38,2,FALSE)</f>
        <v>-0.81774666423752174</v>
      </c>
      <c r="J923">
        <f>($B$1+Table4[[#This Row],[Home Differential]])-Table4[[#This Row],[Away Differential]]</f>
        <v>0.52936381448347047</v>
      </c>
      <c r="K923" t="str">
        <f>IF(Table4[[#This Row],[HomeIce Differential]]&gt;0,Table4[[#This Row],[Home]],Table4[[#This Row],[Visitor]])</f>
        <v>Los Angeles Kings</v>
      </c>
      <c r="L9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0.60181103819323645</v>
      </c>
      <c r="M923" t="str">
        <f>IF(OR((NHL2025_26Results[[#This Row],[Winning Team]]="")),"-",IF(Table4[[#This Row],[Predicted Winner]]=NHL2025_26Results[[#This Row],[Winning Team]],"YES","NO"))</f>
        <v>-</v>
      </c>
      <c r="N923" t="str">
        <f>IF(Table4[[#This Row],[Adjusted Correct]]="-", "",IF(Table4[[#This Row],[Adjusted Correct]]="YES",(Table4[[#This Row],[Strength of Win]]-1)^2,(Table4[[#This Row],[Strength of Win]]-0)^2))</f>
        <v/>
      </c>
      <c r="P923" s="11"/>
    </row>
    <row r="924" spans="4:16" x14ac:dyDescent="0.2">
      <c r="D924" s="1">
        <v>46079</v>
      </c>
      <c r="E924" s="2">
        <v>0.79166666666666663</v>
      </c>
      <c r="F924" t="s">
        <v>18</v>
      </c>
      <c r="G924">
        <f>VLOOKUP(Table4[[#This Row],[Home]],'NHL Model'!$A$6:$B$38,2,FALSE)</f>
        <v>-0.59288962827382519</v>
      </c>
      <c r="H924" t="s">
        <v>30</v>
      </c>
      <c r="I924">
        <f>VLOOKUP(Table4[[#This Row],[Visitor]],'NHL Model'!$A$6:$B$38,2,FALSE)</f>
        <v>-0.24093199744133265</v>
      </c>
      <c r="J924">
        <f>($B$1+Table4[[#This Row],[Home Differential]])-Table4[[#This Row],[Away Differential]]</f>
        <v>-0.30205688190933011</v>
      </c>
      <c r="K924" t="str">
        <f>IF(Table4[[#This Row],[HomeIce Differential]]&gt;0,Table4[[#This Row],[Home]],Table4[[#This Row],[Visitor]])</f>
        <v>New York Islanders</v>
      </c>
      <c r="L9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0.56789276811217293</v>
      </c>
      <c r="M924" t="str">
        <f>IF(OR((NHL2025_26Results[[#This Row],[Winning Team]]="")),"-",IF(Table4[[#This Row],[Predicted Winner]]=NHL2025_26Results[[#This Row],[Winning Team]],"YES","NO"))</f>
        <v>-</v>
      </c>
      <c r="N924" t="str">
        <f>IF(Table4[[#This Row],[Adjusted Correct]]="-", "",IF(Table4[[#This Row],[Adjusted Correct]]="YES",(Table4[[#This Row],[Strength of Win]]-1)^2,(Table4[[#This Row],[Strength of Win]]-0)^2))</f>
        <v/>
      </c>
      <c r="P924" s="11"/>
    </row>
    <row r="925" spans="4:16" x14ac:dyDescent="0.2">
      <c r="D925" s="1">
        <v>46079</v>
      </c>
      <c r="E925" s="2">
        <v>0.83333333333333337</v>
      </c>
      <c r="F925" t="s">
        <v>29</v>
      </c>
      <c r="G925">
        <f>VLOOKUP(Table4[[#This Row],[Home]],'NHL Model'!$A$6:$B$38,2,FALSE)</f>
        <v>-1.384917283810061</v>
      </c>
      <c r="H925" t="s">
        <v>10</v>
      </c>
      <c r="I925">
        <f>VLOOKUP(Table4[[#This Row],[Visitor]],'NHL Model'!$A$6:$B$38,2,FALSE)</f>
        <v>-0.17619625518431364</v>
      </c>
      <c r="J925">
        <f>($B$1+Table4[[#This Row],[Home Differential]])-Table4[[#This Row],[Away Differential]]</f>
        <v>-1.1588202797025848</v>
      </c>
      <c r="K925" t="str">
        <f>IF(Table4[[#This Row],[HomeIce Differential]]&gt;0,Table4[[#This Row],[Home]],Table4[[#This Row],[Visitor]])</f>
        <v>Chicago Blackhawks</v>
      </c>
      <c r="L9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0.59530937062195044</v>
      </c>
      <c r="M925" t="str">
        <f>IF(OR((NHL2025_26Results[[#This Row],[Winning Team]]="")),"-",IF(Table4[[#This Row],[Predicted Winner]]=NHL2025_26Results[[#This Row],[Winning Team]],"YES","NO"))</f>
        <v>-</v>
      </c>
      <c r="N925" t="str">
        <f>IF(Table4[[#This Row],[Adjusted Correct]]="-", "",IF(Table4[[#This Row],[Adjusted Correct]]="YES",(Table4[[#This Row],[Strength of Win]]-1)^2,(Table4[[#This Row],[Strength of Win]]-0)^2))</f>
        <v/>
      </c>
      <c r="P925" s="11"/>
    </row>
    <row r="926" spans="4:16" x14ac:dyDescent="0.2">
      <c r="D926" s="1">
        <v>46079</v>
      </c>
      <c r="E926" s="2">
        <v>0.83333333333333337</v>
      </c>
      <c r="F926" t="s">
        <v>15</v>
      </c>
      <c r="G926">
        <f>VLOOKUP(Table4[[#This Row],[Home]],'NHL Model'!$A$6:$B$38,2,FALSE)</f>
        <v>-0.29003398448394263</v>
      </c>
      <c r="H926" t="s">
        <v>27</v>
      </c>
      <c r="I926">
        <f>VLOOKUP(Table4[[#This Row],[Visitor]],'NHL Model'!$A$6:$B$38,2,FALSE)</f>
        <v>-0.38023958350631604</v>
      </c>
      <c r="J926">
        <f>($B$1+Table4[[#This Row],[Home Differential]])-Table4[[#This Row],[Away Differential]]</f>
        <v>0.14010634794553586</v>
      </c>
      <c r="K926" t="str">
        <f>IF(Table4[[#This Row],[HomeIce Differential]]&gt;0,Table4[[#This Row],[Home]],Table4[[#This Row],[Visitor]])</f>
        <v>New York Rangers</v>
      </c>
      <c r="L9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0.51384692113068431</v>
      </c>
      <c r="M926" t="str">
        <f>IF(OR((NHL2025_26Results[[#This Row],[Winning Team]]="")),"-",IF(Table4[[#This Row],[Predicted Winner]]=NHL2025_26Results[[#This Row],[Winning Team]],"YES","NO"))</f>
        <v>-</v>
      </c>
      <c r="N926" t="str">
        <f>IF(Table4[[#This Row],[Adjusted Correct]]="-", "",IF(Table4[[#This Row],[Adjusted Correct]]="YES",(Table4[[#This Row],[Strength of Win]]-1)^2,(Table4[[#This Row],[Strength of Win]]-0)^2))</f>
        <v/>
      </c>
      <c r="P926" s="11"/>
    </row>
    <row r="927" spans="4:16" x14ac:dyDescent="0.2">
      <c r="D927" s="1">
        <v>46079</v>
      </c>
      <c r="E927" s="2">
        <v>0.79166666666666663</v>
      </c>
      <c r="F927" t="s">
        <v>36</v>
      </c>
      <c r="G927">
        <f>VLOOKUP(Table4[[#This Row],[Home]],'NHL Model'!$A$6:$B$38,2,FALSE)</f>
        <v>-0.53137605086483863</v>
      </c>
      <c r="H927" t="s">
        <v>26</v>
      </c>
      <c r="I927">
        <f>VLOOKUP(Table4[[#This Row],[Visitor]],'NHL Model'!$A$6:$B$38,2,FALSE)</f>
        <v>-0.87533956503230947</v>
      </c>
      <c r="J927">
        <f>($B$1+Table4[[#This Row],[Home Differential]])-Table4[[#This Row],[Away Differential]]</f>
        <v>0.39386426309063333</v>
      </c>
      <c r="K927" t="str">
        <f>IF(Table4[[#This Row],[HomeIce Differential]]&gt;0,Table4[[#This Row],[Home]],Table4[[#This Row],[Visitor]])</f>
        <v>Ottawa Senators</v>
      </c>
      <c r="L9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0.5884849449418138</v>
      </c>
      <c r="M927" t="str">
        <f>IF(OR((NHL2025_26Results[[#This Row],[Winning Team]]="")),"-",IF(Table4[[#This Row],[Predicted Winner]]=NHL2025_26Results[[#This Row],[Winning Team]],"YES","NO"))</f>
        <v>-</v>
      </c>
      <c r="N927" t="str">
        <f>IF(Table4[[#This Row],[Adjusted Correct]]="-", "",IF(Table4[[#This Row],[Adjusted Correct]]="YES",(Table4[[#This Row],[Strength of Win]]-1)^2,(Table4[[#This Row],[Strength of Win]]-0)^2))</f>
        <v/>
      </c>
      <c r="P927" s="11"/>
    </row>
    <row r="928" spans="4:16" x14ac:dyDescent="0.2">
      <c r="D928" s="1">
        <v>46079</v>
      </c>
      <c r="E928" s="2">
        <v>0.79166666666666663</v>
      </c>
      <c r="F928" t="s">
        <v>14</v>
      </c>
      <c r="G928">
        <f>VLOOKUP(Table4[[#This Row],[Home]],'NHL Model'!$A$6:$B$38,2,FALSE)</f>
        <v>-0.14226422156549004</v>
      </c>
      <c r="H928" t="s">
        <v>24</v>
      </c>
      <c r="I928">
        <f>VLOOKUP(Table4[[#This Row],[Visitor]],'NHL Model'!$A$6:$B$38,2,FALSE)</f>
        <v>1.5302507646042616E-3</v>
      </c>
      <c r="J928">
        <f>($B$1+Table4[[#This Row],[Home Differential]])-Table4[[#This Row],[Away Differential]]</f>
        <v>-9.3893723406931848E-2</v>
      </c>
      <c r="K928" t="str">
        <f>IF(Table4[[#This Row],[HomeIce Differential]]&gt;0,Table4[[#This Row],[Home]],Table4[[#This Row],[Visitor]])</f>
        <v>New Jersey Devils</v>
      </c>
      <c r="L9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0.49173270874944364</v>
      </c>
      <c r="M928" t="str">
        <f>IF(OR((NHL2025_26Results[[#This Row],[Winning Team]]="")),"-",IF(Table4[[#This Row],[Predicted Winner]]=NHL2025_26Results[[#This Row],[Winning Team]],"YES","NO"))</f>
        <v>-</v>
      </c>
      <c r="N928" t="str">
        <f>IF(Table4[[#This Row],[Adjusted Correct]]="-", "",IF(Table4[[#This Row],[Adjusted Correct]]="YES",(Table4[[#This Row],[Strength of Win]]-1)^2,(Table4[[#This Row],[Strength of Win]]-0)^2))</f>
        <v/>
      </c>
      <c r="P928" s="11"/>
    </row>
    <row r="929" spans="4:16" x14ac:dyDescent="0.2">
      <c r="D929" s="1">
        <v>46079</v>
      </c>
      <c r="E929" s="2">
        <v>0.91666666666666663</v>
      </c>
      <c r="F929" t="s">
        <v>33</v>
      </c>
      <c r="G929">
        <f>VLOOKUP(Table4[[#This Row],[Home]],'NHL Model'!$A$6:$B$38,2,FALSE)</f>
        <v>-0.45133099238224339</v>
      </c>
      <c r="H929" t="s">
        <v>16</v>
      </c>
      <c r="I929">
        <f>VLOOKUP(Table4[[#This Row],[Visitor]],'NHL Model'!$A$6:$B$38,2,FALSE)</f>
        <v>-1.0657812790446208</v>
      </c>
      <c r="J929">
        <f>($B$1+Table4[[#This Row],[Home Differential]])-Table4[[#This Row],[Away Differential]]</f>
        <v>0.66435103558553998</v>
      </c>
      <c r="K929" t="str">
        <f>IF(Table4[[#This Row],[HomeIce Differential]]&gt;0,Table4[[#This Row],[Home]],Table4[[#This Row],[Visitor]])</f>
        <v>San Jose Sharks</v>
      </c>
      <c r="L9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0.62769503791484937</v>
      </c>
      <c r="M929" t="str">
        <f>IF(OR((NHL2025_26Results[[#This Row],[Winning Team]]="")),"-",IF(Table4[[#This Row],[Predicted Winner]]=NHL2025_26Results[[#This Row],[Winning Team]],"YES","NO"))</f>
        <v>-</v>
      </c>
      <c r="N929" t="str">
        <f>IF(Table4[[#This Row],[Adjusted Correct]]="-", "",IF(Table4[[#This Row],[Adjusted Correct]]="YES",(Table4[[#This Row],[Strength of Win]]-1)^2,(Table4[[#This Row],[Strength of Win]]-0)^2))</f>
        <v/>
      </c>
      <c r="P929" s="11"/>
    </row>
    <row r="930" spans="4:16" x14ac:dyDescent="0.2">
      <c r="D930" s="1">
        <v>46079</v>
      </c>
      <c r="E930" s="2">
        <v>0.83333333333333337</v>
      </c>
      <c r="F930" t="s">
        <v>35</v>
      </c>
      <c r="G930">
        <f>VLOOKUP(Table4[[#This Row],[Home]],'NHL Model'!$A$6:$B$38,2,FALSE)</f>
        <v>-1.3944783719477225</v>
      </c>
      <c r="H930" t="s">
        <v>32</v>
      </c>
      <c r="I930">
        <f>VLOOKUP(Table4[[#This Row],[Visitor]],'NHL Model'!$A$6:$B$38,2,FALSE)</f>
        <v>-0.64937723527808999</v>
      </c>
      <c r="J930">
        <f>($B$1+Table4[[#This Row],[Home Differential]])-Table4[[#This Row],[Away Differential]]</f>
        <v>-0.69520038774647008</v>
      </c>
      <c r="K930" t="str">
        <f>IF(Table4[[#This Row],[HomeIce Differential]]&gt;0,Table4[[#This Row],[Home]],Table4[[#This Row],[Visitor]])</f>
        <v>Seattle Kraken</v>
      </c>
      <c r="L9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0.5411749056948274</v>
      </c>
      <c r="M930" t="str">
        <f>IF(OR((NHL2025_26Results[[#This Row],[Winning Team]]="")),"-",IF(Table4[[#This Row],[Predicted Winner]]=NHL2025_26Results[[#This Row],[Winning Team]],"YES","NO"))</f>
        <v>-</v>
      </c>
      <c r="N930" t="str">
        <f>IF(Table4[[#This Row],[Adjusted Correct]]="-", "",IF(Table4[[#This Row],[Adjusted Correct]]="YES",(Table4[[#This Row],[Strength of Win]]-1)^2,(Table4[[#This Row],[Strength of Win]]-0)^2))</f>
        <v/>
      </c>
      <c r="P930" s="11"/>
    </row>
    <row r="931" spans="4:16" x14ac:dyDescent="0.2">
      <c r="D931" s="1">
        <v>46080</v>
      </c>
      <c r="E931" s="2">
        <v>0.91666666666666663</v>
      </c>
      <c r="F931" t="s">
        <v>31</v>
      </c>
      <c r="G931">
        <f>VLOOKUP(Table4[[#This Row],[Home]],'NHL Model'!$A$6:$B$38,2,FALSE)</f>
        <v>0.17870302183926629</v>
      </c>
      <c r="H931" t="s">
        <v>40</v>
      </c>
      <c r="I931">
        <f>VLOOKUP(Table4[[#This Row],[Visitor]],'NHL Model'!$A$6:$B$38,2,FALSE)</f>
        <v>-0.31324182378279158</v>
      </c>
      <c r="J931">
        <f>($B$1+Table4[[#This Row],[Home Differential]])-Table4[[#This Row],[Away Differential]]</f>
        <v>0.5418455945452203</v>
      </c>
      <c r="K931" t="str">
        <f>IF(Table4[[#This Row],[HomeIce Differential]]&gt;0,Table4[[#This Row],[Home]],Table4[[#This Row],[Visitor]])</f>
        <v>Anaheim Ducks</v>
      </c>
      <c r="L9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0.66326847023337154</v>
      </c>
      <c r="M931" t="str">
        <f>IF(OR((NHL2025_26Results[[#This Row],[Winning Team]]="")),"-",IF(Table4[[#This Row],[Predicted Winner]]=NHL2025_26Results[[#This Row],[Winning Team]],"YES","NO"))</f>
        <v>-</v>
      </c>
      <c r="N931" t="str">
        <f>IF(Table4[[#This Row],[Adjusted Correct]]="-", "",IF(Table4[[#This Row],[Adjusted Correct]]="YES",(Table4[[#This Row],[Strength of Win]]-1)^2,(Table4[[#This Row],[Strength of Win]]-0)^2))</f>
        <v/>
      </c>
      <c r="P931" s="11"/>
    </row>
    <row r="932" spans="4:16" x14ac:dyDescent="0.2">
      <c r="D932" s="1">
        <v>46080</v>
      </c>
      <c r="E932" s="2">
        <v>0.79166666666666663</v>
      </c>
      <c r="F932" t="s">
        <v>11</v>
      </c>
      <c r="G932">
        <f>VLOOKUP(Table4[[#This Row],[Home]],'NHL Model'!$A$6:$B$38,2,FALSE)</f>
        <v>-0.39711829106410657</v>
      </c>
      <c r="H932" t="s">
        <v>23</v>
      </c>
      <c r="I932">
        <f>VLOOKUP(Table4[[#This Row],[Visitor]],'NHL Model'!$A$6:$B$38,2,FALSE)</f>
        <v>-0.4761104357405897</v>
      </c>
      <c r="J932">
        <f>($B$1+Table4[[#This Row],[Home Differential]])-Table4[[#This Row],[Away Differential]]</f>
        <v>0.12889289359964562</v>
      </c>
      <c r="K932" t="str">
        <f>IF(Table4[[#This Row],[HomeIce Differential]]&gt;0,Table4[[#This Row],[Home]],Table4[[#This Row],[Visitor]])</f>
        <v>Florida Panthers</v>
      </c>
      <c r="L9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0.56906676814971258</v>
      </c>
      <c r="M932" t="str">
        <f>IF(OR((NHL2025_26Results[[#This Row],[Winning Team]]="")),"-",IF(Table4[[#This Row],[Predicted Winner]]=NHL2025_26Results[[#This Row],[Winning Team]],"YES","NO"))</f>
        <v>-</v>
      </c>
      <c r="N932" t="str">
        <f>IF(Table4[[#This Row],[Adjusted Correct]]="-", "",IF(Table4[[#This Row],[Adjusted Correct]]="YES",(Table4[[#This Row],[Strength of Win]]-1)^2,(Table4[[#This Row],[Strength of Win]]-0)^2))</f>
        <v/>
      </c>
      <c r="P932" s="11"/>
    </row>
    <row r="933" spans="4:16" x14ac:dyDescent="0.2">
      <c r="D933" s="1">
        <v>46080</v>
      </c>
      <c r="E933" s="2">
        <v>0.875</v>
      </c>
      <c r="F933" t="s">
        <v>55</v>
      </c>
      <c r="G933">
        <f>VLOOKUP(Table4[[#This Row],[Home]],'NHL Model'!$A$6:$B$38,2,FALSE)</f>
        <v>-0.4031232890211825</v>
      </c>
      <c r="H933" t="s">
        <v>34</v>
      </c>
      <c r="I933">
        <f>VLOOKUP(Table4[[#This Row],[Visitor]],'NHL Model'!$A$6:$B$38,2,FALSE)</f>
        <v>-5.5124787449478845E-2</v>
      </c>
      <c r="J933">
        <f>($B$1+Table4[[#This Row],[Home Differential]])-Table4[[#This Row],[Away Differential]]</f>
        <v>-0.29809775264854116</v>
      </c>
      <c r="K933" t="str">
        <f>IF(Table4[[#This Row],[HomeIce Differential]]&gt;0,Table4[[#This Row],[Home]],Table4[[#This Row],[Visitor]])</f>
        <v>Minnesota Wild</v>
      </c>
      <c r="L9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0.49634577376900363</v>
      </c>
      <c r="M933" t="str">
        <f>IF(OR((NHL2025_26Results[[#This Row],[Winning Team]]="")),"-",IF(Table4[[#This Row],[Predicted Winner]]=NHL2025_26Results[[#This Row],[Winning Team]],"YES","NO"))</f>
        <v>-</v>
      </c>
      <c r="N933" t="str">
        <f>IF(Table4[[#This Row],[Adjusted Correct]]="-", "",IF(Table4[[#This Row],[Adjusted Correct]]="YES",(Table4[[#This Row],[Strength of Win]]-1)^2,(Table4[[#This Row],[Strength of Win]]-0)^2))</f>
        <v/>
      </c>
      <c r="P933" s="11"/>
    </row>
    <row r="934" spans="4:16" x14ac:dyDescent="0.2">
      <c r="D934" s="1">
        <v>46080</v>
      </c>
      <c r="E934" s="2">
        <v>0.79166666666666663</v>
      </c>
      <c r="F934" t="s">
        <v>22</v>
      </c>
      <c r="G934">
        <f>VLOOKUP(Table4[[#This Row],[Home]],'NHL Model'!$A$6:$B$38,2,FALSE)</f>
        <v>0.4407072328537569</v>
      </c>
      <c r="H934" t="s">
        <v>20</v>
      </c>
      <c r="I934">
        <f>VLOOKUP(Table4[[#This Row],[Visitor]],'NHL Model'!$A$6:$B$38,2,FALSE)</f>
        <v>-0.24444083032063643</v>
      </c>
      <c r="J934">
        <f>($B$1+Table4[[#This Row],[Home Differential]])-Table4[[#This Row],[Away Differential]]</f>
        <v>0.73504881209755579</v>
      </c>
      <c r="K934" t="str">
        <f>IF(Table4[[#This Row],[HomeIce Differential]]&gt;0,Table4[[#This Row],[Home]],Table4[[#This Row],[Visitor]])</f>
        <v>Washington Capitals</v>
      </c>
      <c r="L9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0.65186553320764185</v>
      </c>
      <c r="M934" t="str">
        <f>IF(OR((NHL2025_26Results[[#This Row],[Winning Team]]="")),"-",IF(Table4[[#This Row],[Predicted Winner]]=NHL2025_26Results[[#This Row],[Winning Team]],"YES","NO"))</f>
        <v>-</v>
      </c>
      <c r="N934" t="str">
        <f>IF(Table4[[#This Row],[Adjusted Correct]]="-", "",IF(Table4[[#This Row],[Adjusted Correct]]="YES",(Table4[[#This Row],[Strength of Win]]-1)^2,(Table4[[#This Row],[Strength of Win]]-0)^2))</f>
        <v/>
      </c>
      <c r="P934" s="11"/>
    </row>
    <row r="935" spans="4:16" x14ac:dyDescent="0.2">
      <c r="D935" s="1">
        <v>46081</v>
      </c>
      <c r="E935" s="2">
        <v>0.79166666666666663</v>
      </c>
      <c r="F935" t="s">
        <v>25</v>
      </c>
      <c r="G935">
        <f>VLOOKUP(Table4[[#This Row],[Home]],'NHL Model'!$A$6:$B$38,2,FALSE)</f>
        <v>0.42567513732855267</v>
      </c>
      <c r="H935" t="s">
        <v>26</v>
      </c>
      <c r="I935">
        <f>VLOOKUP(Table4[[#This Row],[Visitor]],'NHL Model'!$A$6:$B$38,2,FALSE)</f>
        <v>-0.87533956503230947</v>
      </c>
      <c r="J935">
        <f>($B$1+Table4[[#This Row],[Home Differential]])-Table4[[#This Row],[Away Differential]]</f>
        <v>1.3509154512840247</v>
      </c>
      <c r="K935" t="str">
        <f>IF(Table4[[#This Row],[HomeIce Differential]]&gt;0,Table4[[#This Row],[Home]],Table4[[#This Row],[Visitor]])</f>
        <v>Carolina Hurricanes</v>
      </c>
      <c r="L9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0.74945529335783156</v>
      </c>
      <c r="M935" t="str">
        <f>IF(OR((NHL2025_26Results[[#This Row],[Winning Team]]="")),"-",IF(Table4[[#This Row],[Predicted Winner]]=NHL2025_26Results[[#This Row],[Winning Team]],"YES","NO"))</f>
        <v>-</v>
      </c>
      <c r="N935" t="str">
        <f>IF(Table4[[#This Row],[Adjusted Correct]]="-", "",IF(Table4[[#This Row],[Adjusted Correct]]="YES",(Table4[[#This Row],[Strength of Win]]-1)^2,(Table4[[#This Row],[Strength of Win]]-0)^2))</f>
        <v/>
      </c>
      <c r="P935" s="11"/>
    </row>
    <row r="936" spans="4:16" x14ac:dyDescent="0.2">
      <c r="D936" s="1">
        <v>46081</v>
      </c>
      <c r="E936" s="2">
        <v>0.75</v>
      </c>
      <c r="F936" t="s">
        <v>28</v>
      </c>
      <c r="G936">
        <f>VLOOKUP(Table4[[#This Row],[Home]],'NHL Model'!$A$6:$B$38,2,FALSE)</f>
        <v>-0.59498940435054026</v>
      </c>
      <c r="H936" t="s">
        <v>30</v>
      </c>
      <c r="I936">
        <f>VLOOKUP(Table4[[#This Row],[Visitor]],'NHL Model'!$A$6:$B$38,2,FALSE)</f>
        <v>-0.24093199744133265</v>
      </c>
      <c r="J936">
        <f>($B$1+Table4[[#This Row],[Home Differential]])-Table4[[#This Row],[Away Differential]]</f>
        <v>-0.30415665798604519</v>
      </c>
      <c r="K936" t="str">
        <f>IF(Table4[[#This Row],[HomeIce Differential]]&gt;0,Table4[[#This Row],[Home]],Table4[[#This Row],[Visitor]])</f>
        <v>New York Islanders</v>
      </c>
      <c r="L9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0.56813794795961248</v>
      </c>
      <c r="M936" t="str">
        <f>IF(OR((NHL2025_26Results[[#This Row],[Winning Team]]="")),"-",IF(Table4[[#This Row],[Predicted Winner]]=NHL2025_26Results[[#This Row],[Winning Team]],"YES","NO"))</f>
        <v>-</v>
      </c>
      <c r="N936" t="str">
        <f>IF(Table4[[#This Row],[Adjusted Correct]]="-", "",IF(Table4[[#This Row],[Adjusted Correct]]="YES",(Table4[[#This Row],[Strength of Win]]-1)^2,(Table4[[#This Row],[Strength of Win]]-0)^2))</f>
        <v/>
      </c>
      <c r="P936" s="11"/>
    </row>
    <row r="937" spans="4:16" x14ac:dyDescent="0.2">
      <c r="D937" s="1">
        <v>46081</v>
      </c>
      <c r="E937" s="2">
        <v>0.75</v>
      </c>
      <c r="F937" t="s">
        <v>12</v>
      </c>
      <c r="G937">
        <f>VLOOKUP(Table4[[#This Row],[Home]],'NHL Model'!$A$6:$B$38,2,FALSE)</f>
        <v>1.6319036584269762</v>
      </c>
      <c r="H937" t="s">
        <v>10</v>
      </c>
      <c r="I937">
        <f>VLOOKUP(Table4[[#This Row],[Visitor]],'NHL Model'!$A$6:$B$38,2,FALSE)</f>
        <v>-0.17619625518431364</v>
      </c>
      <c r="J937">
        <f>($B$1+Table4[[#This Row],[Home Differential]])-Table4[[#This Row],[Away Differential]]</f>
        <v>1.8580006625344523</v>
      </c>
      <c r="K937" t="str">
        <f>IF(Table4[[#This Row],[HomeIce Differential]]&gt;0,Table4[[#This Row],[Home]],Table4[[#This Row],[Visitor]])</f>
        <v>Colorado Avalanche</v>
      </c>
      <c r="L9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0.8612788963907495</v>
      </c>
      <c r="M937" t="str">
        <f>IF(OR((NHL2025_26Results[[#This Row],[Winning Team]]="")),"-",IF(Table4[[#This Row],[Predicted Winner]]=NHL2025_26Results[[#This Row],[Winning Team]],"YES","NO"))</f>
        <v>-</v>
      </c>
      <c r="N937" t="str">
        <f>IF(Table4[[#This Row],[Adjusted Correct]]="-", "",IF(Table4[[#This Row],[Adjusted Correct]]="YES",(Table4[[#This Row],[Strength of Win]]-1)^2,(Table4[[#This Row],[Strength of Win]]-0)^2))</f>
        <v/>
      </c>
      <c r="P937" s="11"/>
    </row>
    <row r="938" spans="4:16" x14ac:dyDescent="0.2">
      <c r="D938" s="1">
        <v>46081</v>
      </c>
      <c r="E938" s="2">
        <v>0.83333333333333337</v>
      </c>
      <c r="F938" t="s">
        <v>39</v>
      </c>
      <c r="G938">
        <f>VLOOKUP(Table4[[#This Row],[Home]],'NHL Model'!$A$6:$B$38,2,FALSE)</f>
        <v>0.41344250185511977</v>
      </c>
      <c r="H938" t="s">
        <v>29</v>
      </c>
      <c r="I938">
        <f>VLOOKUP(Table4[[#This Row],[Visitor]],'NHL Model'!$A$6:$B$38,2,FALSE)</f>
        <v>-1.384917283810061</v>
      </c>
      <c r="J938">
        <f>($B$1+Table4[[#This Row],[Home Differential]])-Table4[[#This Row],[Away Differential]]</f>
        <v>1.8482605345883432</v>
      </c>
      <c r="K938" t="str">
        <f>IF(Table4[[#This Row],[HomeIce Differential]]&gt;0,Table4[[#This Row],[Home]],Table4[[#This Row],[Visitor]])</f>
        <v>Dallas Stars</v>
      </c>
      <c r="L9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0.78805776160009378</v>
      </c>
      <c r="M938" t="str">
        <f>IF(OR((NHL2025_26Results[[#This Row],[Winning Team]]="")),"-",IF(Table4[[#This Row],[Predicted Winner]]=NHL2025_26Results[[#This Row],[Winning Team]],"YES","NO"))</f>
        <v>-</v>
      </c>
      <c r="N938" t="str">
        <f>IF(Table4[[#This Row],[Adjusted Correct]]="-", "",IF(Table4[[#This Row],[Adjusted Correct]]="YES",(Table4[[#This Row],[Strength of Win]]-1)^2,(Table4[[#This Row],[Strength of Win]]-0)^2))</f>
        <v/>
      </c>
      <c r="P938" s="11"/>
    </row>
    <row r="939" spans="4:16" x14ac:dyDescent="0.2">
      <c r="D939" s="1">
        <v>46081</v>
      </c>
      <c r="E939" s="2">
        <v>0.79166666666666663</v>
      </c>
      <c r="F939" t="s">
        <v>13</v>
      </c>
      <c r="G939">
        <f>VLOOKUP(Table4[[#This Row],[Home]],'NHL Model'!$A$6:$B$38,2,FALSE)</f>
        <v>-0.33828359867721369</v>
      </c>
      <c r="H939" t="s">
        <v>16</v>
      </c>
      <c r="I939">
        <f>VLOOKUP(Table4[[#This Row],[Visitor]],'NHL Model'!$A$6:$B$38,2,FALSE)</f>
        <v>-1.0657812790446208</v>
      </c>
      <c r="J939">
        <f>($B$1+Table4[[#This Row],[Home Differential]])-Table4[[#This Row],[Away Differential]]</f>
        <v>0.77739842929056957</v>
      </c>
      <c r="K939" t="str">
        <f>IF(Table4[[#This Row],[HomeIce Differential]]&gt;0,Table4[[#This Row],[Home]],Table4[[#This Row],[Visitor]])</f>
        <v>Los Angeles Kings</v>
      </c>
      <c r="L9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0.63077274020161012</v>
      </c>
      <c r="M939" t="str">
        <f>IF(OR((NHL2025_26Results[[#This Row],[Winning Team]]="")),"-",IF(Table4[[#This Row],[Predicted Winner]]=NHL2025_26Results[[#This Row],[Winning Team]],"YES","NO"))</f>
        <v>-</v>
      </c>
      <c r="N939" t="str">
        <f>IF(Table4[[#This Row],[Adjusted Correct]]="-", "",IF(Table4[[#This Row],[Adjusted Correct]]="YES",(Table4[[#This Row],[Strength of Win]]-1)^2,(Table4[[#This Row],[Strength of Win]]-0)^2))</f>
        <v/>
      </c>
      <c r="P939" s="11"/>
    </row>
    <row r="940" spans="4:16" x14ac:dyDescent="0.2">
      <c r="D940" s="1">
        <v>46081</v>
      </c>
      <c r="E940" s="2">
        <v>0.79166666666666663</v>
      </c>
      <c r="F940" t="s">
        <v>18</v>
      </c>
      <c r="G940">
        <f>VLOOKUP(Table4[[#This Row],[Home]],'NHL Model'!$A$6:$B$38,2,FALSE)</f>
        <v>-0.59288962827382519</v>
      </c>
      <c r="H940" t="s">
        <v>22</v>
      </c>
      <c r="I940">
        <f>VLOOKUP(Table4[[#This Row],[Visitor]],'NHL Model'!$A$6:$B$38,2,FALSE)</f>
        <v>0.4407072328537569</v>
      </c>
      <c r="J940">
        <f>($B$1+Table4[[#This Row],[Home Differential]])-Table4[[#This Row],[Away Differential]]</f>
        <v>-0.98369611220441966</v>
      </c>
      <c r="K940" t="str">
        <f>IF(Table4[[#This Row],[HomeIce Differential]]&gt;0,Table4[[#This Row],[Home]],Table4[[#This Row],[Visitor]])</f>
        <v>Washington Capitals</v>
      </c>
      <c r="L9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0.61737360223236648</v>
      </c>
      <c r="M940" t="str">
        <f>IF(OR((NHL2025_26Results[[#This Row],[Winning Team]]="")),"-",IF(Table4[[#This Row],[Predicted Winner]]=NHL2025_26Results[[#This Row],[Winning Team]],"YES","NO"))</f>
        <v>-</v>
      </c>
      <c r="N940" t="str">
        <f>IF(Table4[[#This Row],[Adjusted Correct]]="-", "",IF(Table4[[#This Row],[Adjusted Correct]]="YES",(Table4[[#This Row],[Strength of Win]]-1)^2,(Table4[[#This Row],[Strength of Win]]-0)^2))</f>
        <v/>
      </c>
      <c r="P940" s="11"/>
    </row>
    <row r="941" spans="4:16" x14ac:dyDescent="0.2">
      <c r="D941" s="1">
        <v>46081</v>
      </c>
      <c r="E941" s="2">
        <v>0.52083333333333337</v>
      </c>
      <c r="F941" t="s">
        <v>15</v>
      </c>
      <c r="G941">
        <f>VLOOKUP(Table4[[#This Row],[Home]],'NHL Model'!$A$6:$B$38,2,FALSE)</f>
        <v>-0.29003398448394263</v>
      </c>
      <c r="H941" t="s">
        <v>14</v>
      </c>
      <c r="I941">
        <f>VLOOKUP(Table4[[#This Row],[Visitor]],'NHL Model'!$A$6:$B$38,2,FALSE)</f>
        <v>-0.14226422156549004</v>
      </c>
      <c r="J941">
        <f>($B$1+Table4[[#This Row],[Home Differential]])-Table4[[#This Row],[Away Differential]]</f>
        <v>-9.7869013995290133E-2</v>
      </c>
      <c r="K941" t="str">
        <f>IF(Table4[[#This Row],[HomeIce Differential]]&gt;0,Table4[[#This Row],[Home]],Table4[[#This Row],[Visitor]])</f>
        <v>Pittsburgh Penguins</v>
      </c>
      <c r="L9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0.51071438506573652</v>
      </c>
      <c r="M941" t="str">
        <f>IF(OR((NHL2025_26Results[[#This Row],[Winning Team]]="")),"-",IF(Table4[[#This Row],[Predicted Winner]]=NHL2025_26Results[[#This Row],[Winning Team]],"YES","NO"))</f>
        <v>-</v>
      </c>
      <c r="N941" t="str">
        <f>IF(Table4[[#This Row],[Adjusted Correct]]="-", "",IF(Table4[[#This Row],[Adjusted Correct]]="YES",(Table4[[#This Row],[Strength of Win]]-1)^2,(Table4[[#This Row],[Strength of Win]]-0)^2))</f>
        <v/>
      </c>
      <c r="P941" s="11"/>
    </row>
    <row r="942" spans="4:16" x14ac:dyDescent="0.2">
      <c r="D942" s="1">
        <v>46081</v>
      </c>
      <c r="E942" s="2">
        <v>0.625</v>
      </c>
      <c r="F942" t="s">
        <v>27</v>
      </c>
      <c r="G942">
        <f>VLOOKUP(Table4[[#This Row],[Home]],'NHL Model'!$A$6:$B$38,2,FALSE)</f>
        <v>-0.38023958350631604</v>
      </c>
      <c r="H942" t="s">
        <v>21</v>
      </c>
      <c r="I942">
        <f>VLOOKUP(Table4[[#This Row],[Visitor]],'NHL Model'!$A$6:$B$38,2,FALSE)</f>
        <v>-0.21976976044773161</v>
      </c>
      <c r="J942">
        <f>($B$1+Table4[[#This Row],[Home Differential]])-Table4[[#This Row],[Away Differential]]</f>
        <v>-0.11056907413542194</v>
      </c>
      <c r="K942" t="str">
        <f>IF(Table4[[#This Row],[HomeIce Differential]]&gt;0,Table4[[#This Row],[Home]],Table4[[#This Row],[Visitor]])</f>
        <v>Boston Bruins</v>
      </c>
      <c r="L9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0.45971908192667371</v>
      </c>
      <c r="M942" t="str">
        <f>IF(OR((NHL2025_26Results[[#This Row],[Winning Team]]="")),"-",IF(Table4[[#This Row],[Predicted Winner]]=NHL2025_26Results[[#This Row],[Winning Team]],"YES","NO"))</f>
        <v>-</v>
      </c>
      <c r="N942" t="str">
        <f>IF(Table4[[#This Row],[Adjusted Correct]]="-", "",IF(Table4[[#This Row],[Adjusted Correct]]="YES",(Table4[[#This Row],[Strength of Win]]-1)^2,(Table4[[#This Row],[Strength of Win]]-0)^2))</f>
        <v/>
      </c>
      <c r="P942" s="11"/>
    </row>
    <row r="943" spans="4:16" x14ac:dyDescent="0.2">
      <c r="D943" s="1">
        <v>46081</v>
      </c>
      <c r="E943" s="2">
        <v>0.91666666666666663</v>
      </c>
      <c r="F943" t="s">
        <v>32</v>
      </c>
      <c r="G943">
        <f>VLOOKUP(Table4[[#This Row],[Home]],'NHL Model'!$A$6:$B$38,2,FALSE)</f>
        <v>-0.64937723527808999</v>
      </c>
      <c r="H943" t="s">
        <v>38</v>
      </c>
      <c r="I943">
        <f>VLOOKUP(Table4[[#This Row],[Visitor]],'NHL Model'!$A$6:$B$38,2,FALSE)</f>
        <v>-0.9476777551108041</v>
      </c>
      <c r="J943">
        <f>($B$1+Table4[[#This Row],[Home Differential]])-Table4[[#This Row],[Away Differential]]</f>
        <v>0.34820126875587654</v>
      </c>
      <c r="K943" t="str">
        <f>IF(Table4[[#This Row],[HomeIce Differential]]&gt;0,Table4[[#This Row],[Home]],Table4[[#This Row],[Visitor]])</f>
        <v>Seattle Kraken</v>
      </c>
      <c r="L9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0.57708147827079681</v>
      </c>
      <c r="M943" t="str">
        <f>IF(OR((NHL2025_26Results[[#This Row],[Winning Team]]="")),"-",IF(Table4[[#This Row],[Predicted Winner]]=NHL2025_26Results[[#This Row],[Winning Team]],"YES","NO"))</f>
        <v>-</v>
      </c>
      <c r="N943" t="str">
        <f>IF(Table4[[#This Row],[Adjusted Correct]]="-", "",IF(Table4[[#This Row],[Adjusted Correct]]="YES",(Table4[[#This Row],[Strength of Win]]-1)^2,(Table4[[#This Row],[Strength of Win]]-0)^2))</f>
        <v/>
      </c>
      <c r="P943" s="11"/>
    </row>
    <row r="944" spans="4:16" x14ac:dyDescent="0.2">
      <c r="D944" s="1">
        <v>46081</v>
      </c>
      <c r="E944" s="2">
        <v>0.66666666666666663</v>
      </c>
      <c r="F944" t="s">
        <v>33</v>
      </c>
      <c r="G944">
        <f>VLOOKUP(Table4[[#This Row],[Home]],'NHL Model'!$A$6:$B$38,2,FALSE)</f>
        <v>-0.45133099238224339</v>
      </c>
      <c r="H944" t="s">
        <v>17</v>
      </c>
      <c r="I944">
        <f>VLOOKUP(Table4[[#This Row],[Visitor]],'NHL Model'!$A$6:$B$38,2,FALSE)</f>
        <v>-0.81774666423752174</v>
      </c>
      <c r="J944">
        <f>($B$1+Table4[[#This Row],[Home Differential]])-Table4[[#This Row],[Away Differential]]</f>
        <v>0.41631642077844083</v>
      </c>
      <c r="K944" t="str">
        <f>IF(Table4[[#This Row],[HomeIce Differential]]&gt;0,Table4[[#This Row],[Home]],Table4[[#This Row],[Visitor]])</f>
        <v>San Jose Sharks</v>
      </c>
      <c r="L9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0.59873333590647571</v>
      </c>
      <c r="M944" t="str">
        <f>IF(OR((NHL2025_26Results[[#This Row],[Winning Team]]="")),"-",IF(Table4[[#This Row],[Predicted Winner]]=NHL2025_26Results[[#This Row],[Winning Team]],"YES","NO"))</f>
        <v>-</v>
      </c>
      <c r="N944" t="str">
        <f>IF(Table4[[#This Row],[Adjusted Correct]]="-", "",IF(Table4[[#This Row],[Adjusted Correct]]="YES",(Table4[[#This Row],[Strength of Win]]-1)^2,(Table4[[#This Row],[Strength of Win]]-0)^2))</f>
        <v/>
      </c>
      <c r="P944" s="11"/>
    </row>
    <row r="945" spans="4:16" x14ac:dyDescent="0.2">
      <c r="D945" s="1">
        <v>46081</v>
      </c>
      <c r="E945" s="2">
        <v>0.70833333333333337</v>
      </c>
      <c r="F945" t="s">
        <v>35</v>
      </c>
      <c r="G945">
        <f>VLOOKUP(Table4[[#This Row],[Home]],'NHL Model'!$A$6:$B$38,2,FALSE)</f>
        <v>-1.3944783719477225</v>
      </c>
      <c r="H945" t="s">
        <v>24</v>
      </c>
      <c r="I945">
        <f>VLOOKUP(Table4[[#This Row],[Visitor]],'NHL Model'!$A$6:$B$38,2,FALSE)</f>
        <v>1.5302507646042616E-3</v>
      </c>
      <c r="J945">
        <f>($B$1+Table4[[#This Row],[Home Differential]])-Table4[[#This Row],[Away Differential]]</f>
        <v>-1.3461078737891643</v>
      </c>
      <c r="K945" t="str">
        <f>IF(Table4[[#This Row],[HomeIce Differential]]&gt;0,Table4[[#This Row],[Home]],Table4[[#This Row],[Visitor]])</f>
        <v>New Jersey Devils</v>
      </c>
      <c r="L9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0.63794719216839679</v>
      </c>
      <c r="M945" t="str">
        <f>IF(OR((NHL2025_26Results[[#This Row],[Winning Team]]="")),"-",IF(Table4[[#This Row],[Predicted Winner]]=NHL2025_26Results[[#This Row],[Winning Team]],"YES","NO"))</f>
        <v>-</v>
      </c>
      <c r="N945" t="str">
        <f>IF(Table4[[#This Row],[Adjusted Correct]]="-", "",IF(Table4[[#This Row],[Adjusted Correct]]="YES",(Table4[[#This Row],[Strength of Win]]-1)^2,(Table4[[#This Row],[Strength of Win]]-0)^2))</f>
        <v/>
      </c>
      <c r="P945" s="11"/>
    </row>
    <row r="946" spans="4:16" x14ac:dyDescent="0.2">
      <c r="D946" s="1">
        <v>46081</v>
      </c>
      <c r="E946" s="2">
        <v>0.79166666666666663</v>
      </c>
      <c r="F946" t="s">
        <v>37</v>
      </c>
      <c r="G946">
        <f>VLOOKUP(Table4[[#This Row],[Home]],'NHL Model'!$A$6:$B$38,2,FALSE)</f>
        <v>0.51050494674660429</v>
      </c>
      <c r="H946" t="s">
        <v>23</v>
      </c>
      <c r="I946">
        <f>VLOOKUP(Table4[[#This Row],[Visitor]],'NHL Model'!$A$6:$B$38,2,FALSE)</f>
        <v>-0.4761104357405897</v>
      </c>
      <c r="J946">
        <f>($B$1+Table4[[#This Row],[Home Differential]])-Table4[[#This Row],[Away Differential]]</f>
        <v>1.0365161314103564</v>
      </c>
      <c r="K946" t="str">
        <f>IF(Table4[[#This Row],[HomeIce Differential]]&gt;0,Table4[[#This Row],[Home]],Table4[[#This Row],[Visitor]])</f>
        <v>Tampa Bay Lightning</v>
      </c>
      <c r="L9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0.69327462203673185</v>
      </c>
      <c r="M946" t="str">
        <f>IF(OR((NHL2025_26Results[[#This Row],[Winning Team]]="")),"-",IF(Table4[[#This Row],[Predicted Winner]]=NHL2025_26Results[[#This Row],[Winning Team]],"YES","NO"))</f>
        <v>-</v>
      </c>
      <c r="N946" t="str">
        <f>IF(Table4[[#This Row],[Adjusted Correct]]="-", "",IF(Table4[[#This Row],[Adjusted Correct]]="YES",(Table4[[#This Row],[Strength of Win]]-1)^2,(Table4[[#This Row],[Strength of Win]]-0)^2))</f>
        <v/>
      </c>
      <c r="P946" s="11"/>
    </row>
    <row r="947" spans="4:16" x14ac:dyDescent="0.2">
      <c r="D947" s="1">
        <v>46081</v>
      </c>
      <c r="E947" s="2">
        <v>0.79166666666666663</v>
      </c>
      <c r="F947" t="s">
        <v>19</v>
      </c>
      <c r="G947">
        <f>VLOOKUP(Table4[[#This Row],[Home]],'NHL Model'!$A$6:$B$38,2,FALSE)</f>
        <v>-0.63447859131898054</v>
      </c>
      <c r="H947" t="s">
        <v>36</v>
      </c>
      <c r="I947">
        <f>VLOOKUP(Table4[[#This Row],[Visitor]],'NHL Model'!$A$6:$B$38,2,FALSE)</f>
        <v>-0.53137605086483863</v>
      </c>
      <c r="J947">
        <f>($B$1+Table4[[#This Row],[Home Differential]])-Table4[[#This Row],[Away Differential]]</f>
        <v>-5.3201791530979481E-2</v>
      </c>
      <c r="K947" t="str">
        <f>IF(Table4[[#This Row],[HomeIce Differential]]&gt;0,Table4[[#This Row],[Home]],Table4[[#This Row],[Visitor]])</f>
        <v>Ottawa Senators</v>
      </c>
      <c r="L9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0.46621209436364425</v>
      </c>
      <c r="M947" t="str">
        <f>IF(OR((NHL2025_26Results[[#This Row],[Winning Team]]="")),"-",IF(Table4[[#This Row],[Predicted Winner]]=NHL2025_26Results[[#This Row],[Winning Team]],"YES","NO"))</f>
        <v>-</v>
      </c>
      <c r="N947" t="str">
        <f>IF(Table4[[#This Row],[Adjusted Correct]]="-", "",IF(Table4[[#This Row],[Adjusted Correct]]="YES",(Table4[[#This Row],[Strength of Win]]-1)^2,(Table4[[#This Row],[Strength of Win]]-0)^2))</f>
        <v/>
      </c>
      <c r="P947" s="11"/>
    </row>
    <row r="948" spans="4:16" x14ac:dyDescent="0.2">
      <c r="D948" s="1">
        <v>46082</v>
      </c>
      <c r="E948" s="2">
        <v>0.83333333333333337</v>
      </c>
      <c r="F948" t="s">
        <v>31</v>
      </c>
      <c r="G948">
        <f>VLOOKUP(Table4[[#This Row],[Home]],'NHL Model'!$A$6:$B$38,2,FALSE)</f>
        <v>0.17870302183926629</v>
      </c>
      <c r="H948" t="s">
        <v>16</v>
      </c>
      <c r="I948">
        <f>VLOOKUP(Table4[[#This Row],[Visitor]],'NHL Model'!$A$6:$B$38,2,FALSE)</f>
        <v>-1.0657812790446208</v>
      </c>
      <c r="J948">
        <f>($B$1+Table4[[#This Row],[Home Differential]])-Table4[[#This Row],[Away Differential]]</f>
        <v>1.2943850498070495</v>
      </c>
      <c r="K948" t="str">
        <f>IF(Table4[[#This Row],[HomeIce Differential]]&gt;0,Table4[[#This Row],[Home]],Table4[[#This Row],[Visitor]])</f>
        <v>Anaheim Ducks</v>
      </c>
      <c r="L9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0.7709732690686566</v>
      </c>
      <c r="M948" t="str">
        <f>IF(OR((NHL2025_26Results[[#This Row],[Winning Team]]="")),"-",IF(Table4[[#This Row],[Predicted Winner]]=NHL2025_26Results[[#This Row],[Winning Team]],"YES","NO"))</f>
        <v>-</v>
      </c>
      <c r="N948" t="str">
        <f>IF(Table4[[#This Row],[Adjusted Correct]]="-", "",IF(Table4[[#This Row],[Adjusted Correct]]="YES",(Table4[[#This Row],[Strength of Win]]-1)^2,(Table4[[#This Row],[Strength of Win]]-0)^2))</f>
        <v/>
      </c>
      <c r="P948" s="11"/>
    </row>
    <row r="949" spans="4:16" x14ac:dyDescent="0.2">
      <c r="D949" s="1">
        <v>46082</v>
      </c>
      <c r="E949" s="2">
        <v>0.70833333333333337</v>
      </c>
      <c r="F949" t="s">
        <v>34</v>
      </c>
      <c r="G949">
        <f>VLOOKUP(Table4[[#This Row],[Home]],'NHL Model'!$A$6:$B$38,2,FALSE)</f>
        <v>-5.5124787449478845E-2</v>
      </c>
      <c r="H949" t="s">
        <v>35</v>
      </c>
      <c r="I949">
        <f>VLOOKUP(Table4[[#This Row],[Visitor]],'NHL Model'!$A$6:$B$38,2,FALSE)</f>
        <v>-1.3944783719477225</v>
      </c>
      <c r="J949">
        <f>($B$1+Table4[[#This Row],[Home Differential]])-Table4[[#This Row],[Away Differential]]</f>
        <v>1.389254333421406</v>
      </c>
      <c r="K949" t="str">
        <f>IF(Table4[[#This Row],[HomeIce Differential]]&gt;0,Table4[[#This Row],[Home]],Table4[[#This Row],[Visitor]])</f>
        <v>Minnesota Wild</v>
      </c>
      <c r="L9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0.70221594735752579</v>
      </c>
      <c r="M949" t="str">
        <f>IF(OR((NHL2025_26Results[[#This Row],[Winning Team]]="")),"-",IF(Table4[[#This Row],[Predicted Winner]]=NHL2025_26Results[[#This Row],[Winning Team]],"YES","NO"))</f>
        <v>-</v>
      </c>
      <c r="N949" t="str">
        <f>IF(Table4[[#This Row],[Adjusted Correct]]="-", "",IF(Table4[[#This Row],[Adjusted Correct]]="YES",(Table4[[#This Row],[Strength of Win]]-1)^2,(Table4[[#This Row],[Strength of Win]]-0)^2))</f>
        <v/>
      </c>
      <c r="P949" s="11"/>
    </row>
    <row r="950" spans="4:16" x14ac:dyDescent="0.2">
      <c r="D950" s="1">
        <v>46082</v>
      </c>
      <c r="E950" s="2">
        <v>0.77083333333333337</v>
      </c>
      <c r="F950" t="s">
        <v>30</v>
      </c>
      <c r="G950">
        <f>VLOOKUP(Table4[[#This Row],[Home]],'NHL Model'!$A$6:$B$38,2,FALSE)</f>
        <v>-0.24093199744133265</v>
      </c>
      <c r="H950" t="s">
        <v>11</v>
      </c>
      <c r="I950">
        <f>VLOOKUP(Table4[[#This Row],[Visitor]],'NHL Model'!$A$6:$B$38,2,FALSE)</f>
        <v>-0.39711829106410657</v>
      </c>
      <c r="J950">
        <f>($B$1+Table4[[#This Row],[Home Differential]])-Table4[[#This Row],[Away Differential]]</f>
        <v>0.20608704254593638</v>
      </c>
      <c r="K950" t="str">
        <f>IF(Table4[[#This Row],[HomeIce Differential]]&gt;0,Table4[[#This Row],[Home]],Table4[[#This Row],[Visitor]])</f>
        <v>New York Islanders</v>
      </c>
      <c r="L9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0.56406370384490223</v>
      </c>
      <c r="M950" t="str">
        <f>IF(OR((NHL2025_26Results[[#This Row],[Winning Team]]="")),"-",IF(Table4[[#This Row],[Predicted Winner]]=NHL2025_26Results[[#This Row],[Winning Team]],"YES","NO"))</f>
        <v>-</v>
      </c>
      <c r="N950" t="str">
        <f>IF(Table4[[#This Row],[Adjusted Correct]]="-", "",IF(Table4[[#This Row],[Adjusted Correct]]="YES",(Table4[[#This Row],[Strength of Win]]-1)^2,(Table4[[#This Row],[Strength of Win]]-0)^2))</f>
        <v/>
      </c>
      <c r="P950" s="11"/>
    </row>
    <row r="951" spans="4:16" x14ac:dyDescent="0.2">
      <c r="D951" s="1">
        <v>46082</v>
      </c>
      <c r="E951" s="2">
        <v>0.54166666666666663</v>
      </c>
      <c r="F951" t="s">
        <v>14</v>
      </c>
      <c r="G951">
        <f>VLOOKUP(Table4[[#This Row],[Home]],'NHL Model'!$A$6:$B$38,2,FALSE)</f>
        <v>-0.14226422156549004</v>
      </c>
      <c r="H951" t="s">
        <v>20</v>
      </c>
      <c r="I951">
        <f>VLOOKUP(Table4[[#This Row],[Visitor]],'NHL Model'!$A$6:$B$38,2,FALSE)</f>
        <v>-0.24444083032063643</v>
      </c>
      <c r="J951">
        <f>($B$1+Table4[[#This Row],[Home Differential]])-Table4[[#This Row],[Away Differential]]</f>
        <v>0.15207735767830885</v>
      </c>
      <c r="K951" t="str">
        <f>IF(Table4[[#This Row],[HomeIce Differential]]&gt;0,Table4[[#This Row],[Home]],Table4[[#This Row],[Visitor]])</f>
        <v>Pittsburgh Penguins</v>
      </c>
      <c r="L9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0.5577572760105497</v>
      </c>
      <c r="M951" t="str">
        <f>IF(OR((NHL2025_26Results[[#This Row],[Winning Team]]="")),"-",IF(Table4[[#This Row],[Predicted Winner]]=NHL2025_26Results[[#This Row],[Winning Team]],"YES","NO"))</f>
        <v>-</v>
      </c>
      <c r="N951" t="str">
        <f>IF(Table4[[#This Row],[Adjusted Correct]]="-", "",IF(Table4[[#This Row],[Adjusted Correct]]="YES",(Table4[[#This Row],[Strength of Win]]-1)^2,(Table4[[#This Row],[Strength of Win]]-0)^2))</f>
        <v/>
      </c>
      <c r="P951" s="11"/>
    </row>
    <row r="952" spans="4:16" x14ac:dyDescent="0.2">
      <c r="D952" s="1">
        <v>46082</v>
      </c>
      <c r="E952" s="2">
        <v>0.66666666666666663</v>
      </c>
      <c r="F952" t="s">
        <v>33</v>
      </c>
      <c r="G952">
        <f>VLOOKUP(Table4[[#This Row],[Home]],'NHL Model'!$A$6:$B$38,2,FALSE)</f>
        <v>-0.45133099238224339</v>
      </c>
      <c r="H952" t="s">
        <v>40</v>
      </c>
      <c r="I952">
        <f>VLOOKUP(Table4[[#This Row],[Visitor]],'NHL Model'!$A$6:$B$38,2,FALSE)</f>
        <v>-0.31324182378279158</v>
      </c>
      <c r="J952">
        <f>($B$1+Table4[[#This Row],[Home Differential]])-Table4[[#This Row],[Away Differential]]</f>
        <v>-8.818841967628932E-2</v>
      </c>
      <c r="K952" t="str">
        <f>IF(Table4[[#This Row],[HomeIce Differential]]&gt;0,Table4[[#This Row],[Home]],Table4[[#This Row],[Visitor]])</f>
        <v>Winnipeg Jets</v>
      </c>
      <c r="L9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0.48088553485950469</v>
      </c>
      <c r="M952" t="str">
        <f>IF(OR((NHL2025_26Results[[#This Row],[Winning Team]]="")),"-",IF(Table4[[#This Row],[Predicted Winner]]=NHL2025_26Results[[#This Row],[Winning Team]],"YES","NO"))</f>
        <v>-</v>
      </c>
      <c r="N952" t="str">
        <f>IF(Table4[[#This Row],[Adjusted Correct]]="-", "",IF(Table4[[#This Row],[Adjusted Correct]]="YES",(Table4[[#This Row],[Strength of Win]]-1)^2,(Table4[[#This Row],[Strength of Win]]-0)^2))</f>
        <v/>
      </c>
      <c r="P952" s="11"/>
    </row>
    <row r="953" spans="4:16" x14ac:dyDescent="0.2">
      <c r="D953" s="1">
        <v>46082</v>
      </c>
      <c r="E953" s="2">
        <v>0.66666666666666663</v>
      </c>
      <c r="F953" t="s">
        <v>55</v>
      </c>
      <c r="G953">
        <f>VLOOKUP(Table4[[#This Row],[Home]],'NHL Model'!$A$6:$B$38,2,FALSE)</f>
        <v>-0.4031232890211825</v>
      </c>
      <c r="H953" t="s">
        <v>10</v>
      </c>
      <c r="I953">
        <f>VLOOKUP(Table4[[#This Row],[Visitor]],'NHL Model'!$A$6:$B$38,2,FALSE)</f>
        <v>-0.17619625518431364</v>
      </c>
      <c r="J953">
        <f>($B$1+Table4[[#This Row],[Home Differential]])-Table4[[#This Row],[Away Differential]]</f>
        <v>-0.17702628491370637</v>
      </c>
      <c r="K953" t="str">
        <f>IF(Table4[[#This Row],[HomeIce Differential]]&gt;0,Table4[[#This Row],[Home]],Table4[[#This Row],[Visitor]])</f>
        <v>Chicago Blackhawks</v>
      </c>
      <c r="L9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0.44023925403906533</v>
      </c>
      <c r="M953" t="str">
        <f>IF(OR((NHL2025_26Results[[#This Row],[Winning Team]]="")),"-",IF(Table4[[#This Row],[Predicted Winner]]=NHL2025_26Results[[#This Row],[Winning Team]],"YES","NO"))</f>
        <v>-</v>
      </c>
      <c r="N953" t="str">
        <f>IF(Table4[[#This Row],[Adjusted Correct]]="-", "",IF(Table4[[#This Row],[Adjusted Correct]]="YES",(Table4[[#This Row],[Strength of Win]]-1)^2,(Table4[[#This Row],[Strength of Win]]-0)^2))</f>
        <v/>
      </c>
      <c r="P953" s="11"/>
    </row>
    <row r="954" spans="4:16" x14ac:dyDescent="0.2">
      <c r="D954" s="1">
        <v>46083</v>
      </c>
      <c r="E954" s="2">
        <v>0.9375</v>
      </c>
      <c r="F954" t="s">
        <v>13</v>
      </c>
      <c r="G954">
        <f>VLOOKUP(Table4[[#This Row],[Home]],'NHL Model'!$A$6:$B$38,2,FALSE)</f>
        <v>-0.33828359867721369</v>
      </c>
      <c r="H954" t="s">
        <v>12</v>
      </c>
      <c r="I954">
        <f>VLOOKUP(Table4[[#This Row],[Visitor]],'NHL Model'!$A$6:$B$38,2,FALSE)</f>
        <v>1.6319036584269762</v>
      </c>
      <c r="J954">
        <f>($B$1+Table4[[#This Row],[Home Differential]])-Table4[[#This Row],[Away Differential]]</f>
        <v>-1.9202865081810274</v>
      </c>
      <c r="K954" t="str">
        <f>IF(Table4[[#This Row],[HomeIce Differential]]&gt;0,Table4[[#This Row],[Home]],Table4[[#This Row],[Visitor]])</f>
        <v>Colorado Avalanche</v>
      </c>
      <c r="L9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0.7568449603440992</v>
      </c>
      <c r="M954" t="str">
        <f>IF(OR((NHL2025_26Results[[#This Row],[Winning Team]]="")),"-",IF(Table4[[#This Row],[Predicted Winner]]=NHL2025_26Results[[#This Row],[Winning Team]],"YES","NO"))</f>
        <v>-</v>
      </c>
      <c r="N954" t="str">
        <f>IF(Table4[[#This Row],[Adjusted Correct]]="-", "",IF(Table4[[#This Row],[Adjusted Correct]]="YES",(Table4[[#This Row],[Strength of Win]]-1)^2,(Table4[[#This Row],[Strength of Win]]-0)^2))</f>
        <v/>
      </c>
      <c r="P954" s="11"/>
    </row>
    <row r="955" spans="4:16" x14ac:dyDescent="0.2">
      <c r="D955" s="1">
        <v>46083</v>
      </c>
      <c r="E955" s="2">
        <v>0.83333333333333337</v>
      </c>
      <c r="F955" t="s">
        <v>29</v>
      </c>
      <c r="G955">
        <f>VLOOKUP(Table4[[#This Row],[Home]],'NHL Model'!$A$6:$B$38,2,FALSE)</f>
        <v>-1.384917283810061</v>
      </c>
      <c r="H955" t="s">
        <v>26</v>
      </c>
      <c r="I955">
        <f>VLOOKUP(Table4[[#This Row],[Visitor]],'NHL Model'!$A$6:$B$38,2,FALSE)</f>
        <v>-0.87533956503230947</v>
      </c>
      <c r="J955">
        <f>($B$1+Table4[[#This Row],[Home Differential]])-Table4[[#This Row],[Away Differential]]</f>
        <v>-0.45967696985458906</v>
      </c>
      <c r="K955" t="str">
        <f>IF(Table4[[#This Row],[HomeIce Differential]]&gt;0,Table4[[#This Row],[Home]],Table4[[#This Row],[Visitor]])</f>
        <v>Detroit Red Wings</v>
      </c>
      <c r="L9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0.51367407057839309</v>
      </c>
      <c r="M955" t="str">
        <f>IF(OR((NHL2025_26Results[[#This Row],[Winning Team]]="")),"-",IF(Table4[[#This Row],[Predicted Winner]]=NHL2025_26Results[[#This Row],[Winning Team]],"YES","NO"))</f>
        <v>-</v>
      </c>
      <c r="N955" t="str">
        <f>IF(Table4[[#This Row],[Adjusted Correct]]="-", "",IF(Table4[[#This Row],[Adjusted Correct]]="YES",(Table4[[#This Row],[Strength of Win]]-1)^2,(Table4[[#This Row],[Strength of Win]]-0)^2))</f>
        <v/>
      </c>
      <c r="P955" s="11"/>
    </row>
    <row r="956" spans="4:16" x14ac:dyDescent="0.2">
      <c r="D956" s="1">
        <v>46083</v>
      </c>
      <c r="E956" s="2">
        <v>0.79166666666666663</v>
      </c>
      <c r="F956" t="s">
        <v>15</v>
      </c>
      <c r="G956">
        <f>VLOOKUP(Table4[[#This Row],[Home]],'NHL Model'!$A$6:$B$38,2,FALSE)</f>
        <v>-0.29003398448394263</v>
      </c>
      <c r="H956" t="s">
        <v>28</v>
      </c>
      <c r="I956">
        <f>VLOOKUP(Table4[[#This Row],[Visitor]],'NHL Model'!$A$6:$B$38,2,FALSE)</f>
        <v>-0.59498940435054026</v>
      </c>
      <c r="J956">
        <f>($B$1+Table4[[#This Row],[Home Differential]])-Table4[[#This Row],[Away Differential]]</f>
        <v>0.35485616878976012</v>
      </c>
      <c r="K956" t="str">
        <f>IF(Table4[[#This Row],[HomeIce Differential]]&gt;0,Table4[[#This Row],[Home]],Table4[[#This Row],[Visitor]])</f>
        <v>New York Rangers</v>
      </c>
      <c r="L9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0.57785853606906723</v>
      </c>
      <c r="M956" t="str">
        <f>IF(OR((NHL2025_26Results[[#This Row],[Winning Team]]="")),"-",IF(Table4[[#This Row],[Predicted Winner]]=NHL2025_26Results[[#This Row],[Winning Team]],"YES","NO"))</f>
        <v>-</v>
      </c>
      <c r="N956" t="str">
        <f>IF(Table4[[#This Row],[Adjusted Correct]]="-", "",IF(Table4[[#This Row],[Adjusted Correct]]="YES",(Table4[[#This Row],[Strength of Win]]-1)^2,(Table4[[#This Row],[Strength of Win]]-0)^2))</f>
        <v/>
      </c>
      <c r="P956" s="11"/>
    </row>
    <row r="957" spans="4:16" x14ac:dyDescent="0.2">
      <c r="D957" s="1">
        <v>46083</v>
      </c>
      <c r="E957" s="2">
        <v>0.91666666666666663</v>
      </c>
      <c r="F957" t="s">
        <v>32</v>
      </c>
      <c r="G957">
        <f>VLOOKUP(Table4[[#This Row],[Home]],'NHL Model'!$A$6:$B$38,2,FALSE)</f>
        <v>-0.64937723527808999</v>
      </c>
      <c r="H957" t="s">
        <v>25</v>
      </c>
      <c r="I957">
        <f>VLOOKUP(Table4[[#This Row],[Visitor]],'NHL Model'!$A$6:$B$38,2,FALSE)</f>
        <v>0.42567513732855267</v>
      </c>
      <c r="J957">
        <f>($B$1+Table4[[#This Row],[Home Differential]])-Table4[[#This Row],[Away Differential]]</f>
        <v>-1.0251516236834801</v>
      </c>
      <c r="K957" t="str">
        <f>IF(Table4[[#This Row],[HomeIce Differential]]&gt;0,Table4[[#This Row],[Home]],Table4[[#This Row],[Visitor]])</f>
        <v>Carolina Hurricanes</v>
      </c>
      <c r="L9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0.65232475133101453</v>
      </c>
      <c r="M957" t="str">
        <f>IF(OR((NHL2025_26Results[[#This Row],[Winning Team]]="")),"-",IF(Table4[[#This Row],[Predicted Winner]]=NHL2025_26Results[[#This Row],[Winning Team]],"YES","NO"))</f>
        <v>-</v>
      </c>
      <c r="N957" t="str">
        <f>IF(Table4[[#This Row],[Adjusted Correct]]="-", "",IF(Table4[[#This Row],[Adjusted Correct]]="YES",(Table4[[#This Row],[Strength of Win]]-1)^2,(Table4[[#This Row],[Strength of Win]]-0)^2))</f>
        <v/>
      </c>
      <c r="P957" s="11"/>
    </row>
    <row r="958" spans="4:16" x14ac:dyDescent="0.2">
      <c r="D958" s="1">
        <v>46083</v>
      </c>
      <c r="E958" s="2">
        <v>0.8125</v>
      </c>
      <c r="F958" t="s">
        <v>19</v>
      </c>
      <c r="G958">
        <f>VLOOKUP(Table4[[#This Row],[Home]],'NHL Model'!$A$6:$B$38,2,FALSE)</f>
        <v>-0.63447859131898054</v>
      </c>
      <c r="H958" t="s">
        <v>27</v>
      </c>
      <c r="I958">
        <f>VLOOKUP(Table4[[#This Row],[Visitor]],'NHL Model'!$A$6:$B$38,2,FALSE)</f>
        <v>-0.38023958350631604</v>
      </c>
      <c r="J958">
        <f>($B$1+Table4[[#This Row],[Home Differential]])-Table4[[#This Row],[Away Differential]]</f>
        <v>-0.20433825888950208</v>
      </c>
      <c r="K958" t="str">
        <f>IF(Table4[[#This Row],[HomeIce Differential]]&gt;0,Table4[[#This Row],[Home]],Table4[[#This Row],[Visitor]])</f>
        <v>Philadelphia Flyers</v>
      </c>
      <c r="L9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0.52637207035687916</v>
      </c>
      <c r="M958" t="str">
        <f>IF(OR((NHL2025_26Results[[#This Row],[Winning Team]]="")),"-",IF(Table4[[#This Row],[Predicted Winner]]=NHL2025_26Results[[#This Row],[Winning Team]],"YES","NO"))</f>
        <v>-</v>
      </c>
      <c r="N958" t="str">
        <f>IF(Table4[[#This Row],[Adjusted Correct]]="-", "",IF(Table4[[#This Row],[Adjusted Correct]]="YES",(Table4[[#This Row],[Strength of Win]]-1)^2,(Table4[[#This Row],[Strength of Win]]-0)^2))</f>
        <v/>
      </c>
      <c r="P958" s="11"/>
    </row>
    <row r="959" spans="4:16" x14ac:dyDescent="0.2">
      <c r="D959" s="1">
        <v>46083</v>
      </c>
      <c r="E959" s="2">
        <v>0.91666666666666663</v>
      </c>
      <c r="F959" t="s">
        <v>38</v>
      </c>
      <c r="G959">
        <f>VLOOKUP(Table4[[#This Row],[Home]],'NHL Model'!$A$6:$B$38,2,FALSE)</f>
        <v>-0.9476777551108041</v>
      </c>
      <c r="H959" t="s">
        <v>39</v>
      </c>
      <c r="I959">
        <f>VLOOKUP(Table4[[#This Row],[Visitor]],'NHL Model'!$A$6:$B$38,2,FALSE)</f>
        <v>0.41344250185511977</v>
      </c>
      <c r="J959">
        <f>($B$1+Table4[[#This Row],[Home Differential]])-Table4[[#This Row],[Away Differential]]</f>
        <v>-1.3112195080427616</v>
      </c>
      <c r="K959" t="str">
        <f>IF(Table4[[#This Row],[HomeIce Differential]]&gt;0,Table4[[#This Row],[Home]],Table4[[#This Row],[Visitor]])</f>
        <v>Dallas Stars</v>
      </c>
      <c r="L9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0.71490198259173388</v>
      </c>
      <c r="M959" t="str">
        <f>IF(OR((NHL2025_26Results[[#This Row],[Winning Team]]="")),"-",IF(Table4[[#This Row],[Predicted Winner]]=NHL2025_26Results[[#This Row],[Winning Team]],"YES","NO"))</f>
        <v>-</v>
      </c>
      <c r="N959" t="str">
        <f>IF(Table4[[#This Row],[Adjusted Correct]]="-", "",IF(Table4[[#This Row],[Adjusted Correct]]="YES",(Table4[[#This Row],[Strength of Win]]-1)^2,(Table4[[#This Row],[Strength of Win]]-0)^2))</f>
        <v/>
      </c>
      <c r="P959" s="11"/>
    </row>
    <row r="960" spans="4:16" x14ac:dyDescent="0.2">
      <c r="D960" s="1">
        <v>46084</v>
      </c>
      <c r="E960" s="2">
        <v>0.91666666666666663</v>
      </c>
      <c r="F960" t="s">
        <v>31</v>
      </c>
      <c r="G960">
        <f>VLOOKUP(Table4[[#This Row],[Home]],'NHL Model'!$A$6:$B$38,2,FALSE)</f>
        <v>0.17870302183926629</v>
      </c>
      <c r="H960" t="s">
        <v>12</v>
      </c>
      <c r="I960">
        <f>VLOOKUP(Table4[[#This Row],[Visitor]],'NHL Model'!$A$6:$B$38,2,FALSE)</f>
        <v>1.6319036584269762</v>
      </c>
      <c r="J960">
        <f>($B$1+Table4[[#This Row],[Home Differential]])-Table4[[#This Row],[Away Differential]]</f>
        <v>-1.4032998876645475</v>
      </c>
      <c r="K960" t="str">
        <f>IF(Table4[[#This Row],[HomeIce Differential]]&gt;0,Table4[[#This Row],[Home]],Table4[[#This Row],[Visitor]])</f>
        <v>Colorado Avalanche</v>
      </c>
      <c r="L9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0.61456019846511079</v>
      </c>
      <c r="M960" t="str">
        <f>IF(OR((NHL2025_26Results[[#This Row],[Winning Team]]="")),"-",IF(Table4[[#This Row],[Predicted Winner]]=NHL2025_26Results[[#This Row],[Winning Team]],"YES","NO"))</f>
        <v>-</v>
      </c>
      <c r="N960" t="str">
        <f>IF(Table4[[#This Row],[Adjusted Correct]]="-", "",IF(Table4[[#This Row],[Adjusted Correct]]="YES",(Table4[[#This Row],[Strength of Win]]-1)^2,(Table4[[#This Row],[Strength of Win]]-0)^2))</f>
        <v/>
      </c>
      <c r="P960" s="11"/>
    </row>
    <row r="961" spans="4:16" x14ac:dyDescent="0.2">
      <c r="D961" s="1">
        <v>46084</v>
      </c>
      <c r="E961" s="2">
        <v>0.79166666666666663</v>
      </c>
      <c r="F961" t="s">
        <v>21</v>
      </c>
      <c r="G961">
        <f>VLOOKUP(Table4[[#This Row],[Home]],'NHL Model'!$A$6:$B$38,2,FALSE)</f>
        <v>-0.21976976044773161</v>
      </c>
      <c r="H961" t="s">
        <v>14</v>
      </c>
      <c r="I961">
        <f>VLOOKUP(Table4[[#This Row],[Visitor]],'NHL Model'!$A$6:$B$38,2,FALSE)</f>
        <v>-0.14226422156549004</v>
      </c>
      <c r="J961">
        <f>($B$1+Table4[[#This Row],[Home Differential]])-Table4[[#This Row],[Away Differential]]</f>
        <v>-2.7604789959079112E-2</v>
      </c>
      <c r="K961" t="str">
        <f>IF(Table4[[#This Row],[HomeIce Differential]]&gt;0,Table4[[#This Row],[Home]],Table4[[#This Row],[Visitor]])</f>
        <v>Pittsburgh Penguins</v>
      </c>
      <c r="L9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0.45903722013371656</v>
      </c>
      <c r="M961" t="str">
        <f>IF(OR((NHL2025_26Results[[#This Row],[Winning Team]]="")),"-",IF(Table4[[#This Row],[Predicted Winner]]=NHL2025_26Results[[#This Row],[Winning Team]],"YES","NO"))</f>
        <v>-</v>
      </c>
      <c r="N961" t="str">
        <f>IF(Table4[[#This Row],[Adjusted Correct]]="-", "",IF(Table4[[#This Row],[Adjusted Correct]]="YES",(Table4[[#This Row],[Strength of Win]]-1)^2,(Table4[[#This Row],[Strength of Win]]-0)^2))</f>
        <v/>
      </c>
      <c r="P961" s="11"/>
    </row>
    <row r="962" spans="4:16" x14ac:dyDescent="0.2">
      <c r="D962" s="1">
        <v>46084</v>
      </c>
      <c r="E962" s="2">
        <v>0.79166666666666663</v>
      </c>
      <c r="F962" t="s">
        <v>23</v>
      </c>
      <c r="G962">
        <f>VLOOKUP(Table4[[#This Row],[Home]],'NHL Model'!$A$6:$B$38,2,FALSE)</f>
        <v>-0.4761104357405897</v>
      </c>
      <c r="H962" t="s">
        <v>20</v>
      </c>
      <c r="I962">
        <f>VLOOKUP(Table4[[#This Row],[Visitor]],'NHL Model'!$A$6:$B$38,2,FALSE)</f>
        <v>-0.24444083032063643</v>
      </c>
      <c r="J962">
        <f>($B$1+Table4[[#This Row],[Home Differential]])-Table4[[#This Row],[Away Differential]]</f>
        <v>-0.18176885649679078</v>
      </c>
      <c r="K962" t="str">
        <f>IF(Table4[[#This Row],[HomeIce Differential]]&gt;0,Table4[[#This Row],[Home]],Table4[[#This Row],[Visitor]])</f>
        <v>Vegas Golden Knights</v>
      </c>
      <c r="L9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0.47110194732410116</v>
      </c>
      <c r="M962" t="str">
        <f>IF(OR((NHL2025_26Results[[#This Row],[Winning Team]]="")),"-",IF(Table4[[#This Row],[Predicted Winner]]=NHL2025_26Results[[#This Row],[Winning Team]],"YES","NO"))</f>
        <v>-</v>
      </c>
      <c r="N962" t="str">
        <f>IF(Table4[[#This Row],[Adjusted Correct]]="-", "",IF(Table4[[#This Row],[Adjusted Correct]]="YES",(Table4[[#This Row],[Strength of Win]]-1)^2,(Table4[[#This Row],[Strength of Win]]-0)^2))</f>
        <v/>
      </c>
      <c r="P962" s="11"/>
    </row>
    <row r="963" spans="4:16" x14ac:dyDescent="0.2">
      <c r="D963" s="1">
        <v>46084</v>
      </c>
      <c r="E963" s="2">
        <v>0.79166666666666663</v>
      </c>
      <c r="F963" t="s">
        <v>28</v>
      </c>
      <c r="G963">
        <f>VLOOKUP(Table4[[#This Row],[Home]],'NHL Model'!$A$6:$B$38,2,FALSE)</f>
        <v>-0.59498940435054026</v>
      </c>
      <c r="H963" t="s">
        <v>29</v>
      </c>
      <c r="I963">
        <f>VLOOKUP(Table4[[#This Row],[Visitor]],'NHL Model'!$A$6:$B$38,2,FALSE)</f>
        <v>-1.384917283810061</v>
      </c>
      <c r="J963">
        <f>($B$1+Table4[[#This Row],[Home Differential]])-Table4[[#This Row],[Away Differential]]</f>
        <v>0.83982862838268313</v>
      </c>
      <c r="K963" t="str">
        <f>IF(Table4[[#This Row],[HomeIce Differential]]&gt;0,Table4[[#This Row],[Home]],Table4[[#This Row],[Visitor]])</f>
        <v>Columbus Blue Jackets</v>
      </c>
      <c r="L9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0.63806238734959142</v>
      </c>
      <c r="M963" t="str">
        <f>IF(OR((NHL2025_26Results[[#This Row],[Winning Team]]="")),"-",IF(Table4[[#This Row],[Predicted Winner]]=NHL2025_26Results[[#This Row],[Winning Team]],"YES","NO"))</f>
        <v>-</v>
      </c>
      <c r="N963" t="str">
        <f>IF(Table4[[#This Row],[Adjusted Correct]]="-", "",IF(Table4[[#This Row],[Adjusted Correct]]="YES",(Table4[[#This Row],[Strength of Win]]-1)^2,(Table4[[#This Row],[Strength of Win]]-0)^2))</f>
        <v/>
      </c>
      <c r="P963" s="11"/>
    </row>
    <row r="964" spans="4:16" x14ac:dyDescent="0.2">
      <c r="D964" s="1">
        <v>46084</v>
      </c>
      <c r="E964" s="2">
        <v>0.875</v>
      </c>
      <c r="F964" t="s">
        <v>16</v>
      </c>
      <c r="G964">
        <f>VLOOKUP(Table4[[#This Row],[Home]],'NHL Model'!$A$6:$B$38,2,FALSE)</f>
        <v>-1.0657812790446208</v>
      </c>
      <c r="H964" t="s">
        <v>39</v>
      </c>
      <c r="I964">
        <f>VLOOKUP(Table4[[#This Row],[Visitor]],'NHL Model'!$A$6:$B$38,2,FALSE)</f>
        <v>0.41344250185511977</v>
      </c>
      <c r="J964">
        <f>($B$1+Table4[[#This Row],[Home Differential]])-Table4[[#This Row],[Away Differential]]</f>
        <v>-1.4293230319765782</v>
      </c>
      <c r="K964" t="str">
        <f>IF(Table4[[#This Row],[HomeIce Differential]]&gt;0,Table4[[#This Row],[Home]],Table4[[#This Row],[Visitor]])</f>
        <v>Dallas Stars</v>
      </c>
      <c r="L9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0.72869231209461471</v>
      </c>
      <c r="M964" t="str">
        <f>IF(OR((NHL2025_26Results[[#This Row],[Winning Team]]="")),"-",IF(Table4[[#This Row],[Predicted Winner]]=NHL2025_26Results[[#This Row],[Winning Team]],"YES","NO"))</f>
        <v>-</v>
      </c>
      <c r="N964" t="str">
        <f>IF(Table4[[#This Row],[Adjusted Correct]]="-", "",IF(Table4[[#This Row],[Adjusted Correct]]="YES",(Table4[[#This Row],[Strength of Win]]-1)^2,(Table4[[#This Row],[Strength of Win]]-0)^2))</f>
        <v/>
      </c>
      <c r="P964" s="11"/>
    </row>
    <row r="965" spans="4:16" x14ac:dyDescent="0.2">
      <c r="D965" s="1">
        <v>46084</v>
      </c>
      <c r="E965" s="2">
        <v>0.875</v>
      </c>
      <c r="F965" t="s">
        <v>17</v>
      </c>
      <c r="G965">
        <f>VLOOKUP(Table4[[#This Row],[Home]],'NHL Model'!$A$6:$B$38,2,FALSE)</f>
        <v>-0.81774666423752174</v>
      </c>
      <c r="H965" t="s">
        <v>36</v>
      </c>
      <c r="I965">
        <f>VLOOKUP(Table4[[#This Row],[Visitor]],'NHL Model'!$A$6:$B$38,2,FALSE)</f>
        <v>-0.53137605086483863</v>
      </c>
      <c r="J965">
        <f>($B$1+Table4[[#This Row],[Home Differential]])-Table4[[#This Row],[Away Differential]]</f>
        <v>-0.23646986444952067</v>
      </c>
      <c r="K965" t="str">
        <f>IF(Table4[[#This Row],[HomeIce Differential]]&gt;0,Table4[[#This Row],[Home]],Table4[[#This Row],[Visitor]])</f>
        <v>Ottawa Senators</v>
      </c>
      <c r="L9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0.48056539486063676</v>
      </c>
      <c r="M965" t="str">
        <f>IF(OR((NHL2025_26Results[[#This Row],[Winning Team]]="")),"-",IF(Table4[[#This Row],[Predicted Winner]]=NHL2025_26Results[[#This Row],[Winning Team]],"YES","NO"))</f>
        <v>-</v>
      </c>
      <c r="N965" t="str">
        <f>IF(Table4[[#This Row],[Adjusted Correct]]="-", "",IF(Table4[[#This Row],[Adjusted Correct]]="YES",(Table4[[#This Row],[Strength of Win]]-1)^2,(Table4[[#This Row],[Strength of Win]]-0)^2))</f>
        <v/>
      </c>
      <c r="P965" s="11"/>
    </row>
    <row r="966" spans="4:16" x14ac:dyDescent="0.2">
      <c r="D966" s="1">
        <v>46084</v>
      </c>
      <c r="E966" s="2">
        <v>0.89583333333333337</v>
      </c>
      <c r="F966" t="s">
        <v>34</v>
      </c>
      <c r="G966">
        <f>VLOOKUP(Table4[[#This Row],[Home]],'NHL Model'!$A$6:$B$38,2,FALSE)</f>
        <v>-5.5124787449478845E-2</v>
      </c>
      <c r="H966" t="s">
        <v>37</v>
      </c>
      <c r="I966">
        <f>VLOOKUP(Table4[[#This Row],[Visitor]],'NHL Model'!$A$6:$B$38,2,FALSE)</f>
        <v>0.51050494674660429</v>
      </c>
      <c r="J966">
        <f>($B$1+Table4[[#This Row],[Home Differential]])-Table4[[#This Row],[Away Differential]]</f>
        <v>-0.51572898527292066</v>
      </c>
      <c r="K966" t="str">
        <f>IF(Table4[[#This Row],[HomeIce Differential]]&gt;0,Table4[[#This Row],[Home]],Table4[[#This Row],[Visitor]])</f>
        <v>Tampa Bay Lightning</v>
      </c>
      <c r="L9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0.61270515849249185</v>
      </c>
      <c r="M966" t="str">
        <f>IF(OR((NHL2025_26Results[[#This Row],[Winning Team]]="")),"-",IF(Table4[[#This Row],[Predicted Winner]]=NHL2025_26Results[[#This Row],[Winning Team]],"YES","NO"))</f>
        <v>-</v>
      </c>
      <c r="N966" t="str">
        <f>IF(Table4[[#This Row],[Adjusted Correct]]="-", "",IF(Table4[[#This Row],[Adjusted Correct]]="YES",(Table4[[#This Row],[Strength of Win]]-1)^2,(Table4[[#This Row],[Strength of Win]]-0)^2))</f>
        <v/>
      </c>
      <c r="P966" s="11"/>
    </row>
    <row r="967" spans="4:16" x14ac:dyDescent="0.2">
      <c r="D967" s="1">
        <v>46084</v>
      </c>
      <c r="E967" s="2">
        <v>0.79166666666666663</v>
      </c>
      <c r="F967" t="s">
        <v>24</v>
      </c>
      <c r="G967">
        <f>VLOOKUP(Table4[[#This Row],[Home]],'NHL Model'!$A$6:$B$38,2,FALSE)</f>
        <v>1.5302507646042616E-3</v>
      </c>
      <c r="H967" t="s">
        <v>11</v>
      </c>
      <c r="I967">
        <f>VLOOKUP(Table4[[#This Row],[Visitor]],'NHL Model'!$A$6:$B$38,2,FALSE)</f>
        <v>-0.39711829106410657</v>
      </c>
      <c r="J967">
        <f>($B$1+Table4[[#This Row],[Home Differential]])-Table4[[#This Row],[Away Differential]]</f>
        <v>0.44854929075187328</v>
      </c>
      <c r="K967" t="str">
        <f>IF(Table4[[#This Row],[HomeIce Differential]]&gt;0,Table4[[#This Row],[Home]],Table4[[#This Row],[Visitor]])</f>
        <v>New Jersey Devils</v>
      </c>
      <c r="L9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0.67220946055413056</v>
      </c>
      <c r="M967" t="str">
        <f>IF(OR((NHL2025_26Results[[#This Row],[Winning Team]]="")),"-",IF(Table4[[#This Row],[Predicted Winner]]=NHL2025_26Results[[#This Row],[Winning Team]],"YES","NO"))</f>
        <v>-</v>
      </c>
      <c r="N967" t="str">
        <f>IF(Table4[[#This Row],[Adjusted Correct]]="-", "",IF(Table4[[#This Row],[Adjusted Correct]]="YES",(Table4[[#This Row],[Strength of Win]]-1)^2,(Table4[[#This Row],[Strength of Win]]-0)^2))</f>
        <v/>
      </c>
      <c r="P967" s="11"/>
    </row>
    <row r="968" spans="4:16" x14ac:dyDescent="0.2">
      <c r="D968" s="1">
        <v>46084</v>
      </c>
      <c r="E968" s="2">
        <v>0.91666666666666663</v>
      </c>
      <c r="F968" t="s">
        <v>33</v>
      </c>
      <c r="G968">
        <f>VLOOKUP(Table4[[#This Row],[Home]],'NHL Model'!$A$6:$B$38,2,FALSE)</f>
        <v>-0.45133099238224339</v>
      </c>
      <c r="H968" t="s">
        <v>18</v>
      </c>
      <c r="I968">
        <f>VLOOKUP(Table4[[#This Row],[Visitor]],'NHL Model'!$A$6:$B$38,2,FALSE)</f>
        <v>-0.59288962827382519</v>
      </c>
      <c r="J968">
        <f>($B$1+Table4[[#This Row],[Home Differential]])-Table4[[#This Row],[Away Differential]]</f>
        <v>0.19145938481474428</v>
      </c>
      <c r="K968" t="str">
        <f>IF(Table4[[#This Row],[HomeIce Differential]]&gt;0,Table4[[#This Row],[Home]],Table4[[#This Row],[Visitor]])</f>
        <v>San Jose Sharks</v>
      </c>
      <c r="L9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0.51326479982505646</v>
      </c>
      <c r="M968" t="str">
        <f>IF(OR((NHL2025_26Results[[#This Row],[Winning Team]]="")),"-",IF(Table4[[#This Row],[Predicted Winner]]=NHL2025_26Results[[#This Row],[Winning Team]],"YES","NO"))</f>
        <v>-</v>
      </c>
      <c r="N968" t="str">
        <f>IF(Table4[[#This Row],[Adjusted Correct]]="-", "",IF(Table4[[#This Row],[Adjusted Correct]]="YES",(Table4[[#This Row],[Strength of Win]]-1)^2,(Table4[[#This Row],[Strength of Win]]-0)^2))</f>
        <v/>
      </c>
      <c r="P968" s="11"/>
    </row>
    <row r="969" spans="4:16" x14ac:dyDescent="0.2">
      <c r="D969" s="1">
        <v>46084</v>
      </c>
      <c r="E969" s="2">
        <v>0.83333333333333337</v>
      </c>
      <c r="F969" t="s">
        <v>40</v>
      </c>
      <c r="G969">
        <f>VLOOKUP(Table4[[#This Row],[Home]],'NHL Model'!$A$6:$B$38,2,FALSE)</f>
        <v>-0.31324182378279158</v>
      </c>
      <c r="H969" t="s">
        <v>10</v>
      </c>
      <c r="I969">
        <f>VLOOKUP(Table4[[#This Row],[Visitor]],'NHL Model'!$A$6:$B$38,2,FALSE)</f>
        <v>-0.17619625518431364</v>
      </c>
      <c r="J969">
        <f>($B$1+Table4[[#This Row],[Home Differential]])-Table4[[#This Row],[Away Differential]]</f>
        <v>-8.7144819675315455E-2</v>
      </c>
      <c r="K969" t="str">
        <f>IF(Table4[[#This Row],[HomeIce Differential]]&gt;0,Table4[[#This Row],[Home]],Table4[[#This Row],[Visitor]])</f>
        <v>Chicago Blackhawks</v>
      </c>
      <c r="L9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0.46767996465849671</v>
      </c>
      <c r="M969" t="str">
        <f>IF(OR((NHL2025_26Results[[#This Row],[Winning Team]]="")),"-",IF(Table4[[#This Row],[Predicted Winner]]=NHL2025_26Results[[#This Row],[Winning Team]],"YES","NO"))</f>
        <v>-</v>
      </c>
      <c r="N969" t="str">
        <f>IF(Table4[[#This Row],[Adjusted Correct]]="-", "",IF(Table4[[#This Row],[Adjusted Correct]]="YES",(Table4[[#This Row],[Strength of Win]]-1)^2,(Table4[[#This Row],[Strength of Win]]-0)^2))</f>
        <v/>
      </c>
      <c r="P969" s="11"/>
    </row>
    <row r="970" spans="4:16" x14ac:dyDescent="0.2">
      <c r="D970" s="1">
        <v>46084</v>
      </c>
      <c r="E970" s="2">
        <v>0.79166666666666663</v>
      </c>
      <c r="F970" t="s">
        <v>22</v>
      </c>
      <c r="G970">
        <f>VLOOKUP(Table4[[#This Row],[Home]],'NHL Model'!$A$6:$B$38,2,FALSE)</f>
        <v>0.4407072328537569</v>
      </c>
      <c r="H970" t="s">
        <v>55</v>
      </c>
      <c r="I970">
        <f>VLOOKUP(Table4[[#This Row],[Visitor]],'NHL Model'!$A$6:$B$38,2,FALSE)</f>
        <v>-0.4031232890211825</v>
      </c>
      <c r="J970">
        <f>($B$1+Table4[[#This Row],[Home Differential]])-Table4[[#This Row],[Away Differential]]</f>
        <v>0.89373127079810188</v>
      </c>
      <c r="K970" t="str">
        <f>IF(Table4[[#This Row],[HomeIce Differential]]&gt;0,Table4[[#This Row],[Home]],Table4[[#This Row],[Visitor]])</f>
        <v>Washington Capitals</v>
      </c>
      <c r="L9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0.67039405224687132</v>
      </c>
      <c r="M970" t="str">
        <f>IF(OR((NHL2025_26Results[[#This Row],[Winning Team]]="")),"-",IF(Table4[[#This Row],[Predicted Winner]]=NHL2025_26Results[[#This Row],[Winning Team]],"YES","NO"))</f>
        <v>-</v>
      </c>
      <c r="N970" t="str">
        <f>IF(Table4[[#This Row],[Adjusted Correct]]="-", "",IF(Table4[[#This Row],[Adjusted Correct]]="YES",(Table4[[#This Row],[Strength of Win]]-1)^2,(Table4[[#This Row],[Strength of Win]]-0)^2))</f>
        <v/>
      </c>
      <c r="P970" s="11"/>
    </row>
    <row r="971" spans="4:16" x14ac:dyDescent="0.2">
      <c r="D971" s="1">
        <v>46085</v>
      </c>
      <c r="E971" s="2">
        <v>0.91666666666666663</v>
      </c>
      <c r="F971" t="s">
        <v>31</v>
      </c>
      <c r="G971">
        <f>VLOOKUP(Table4[[#This Row],[Home]],'NHL Model'!$A$6:$B$38,2,FALSE)</f>
        <v>0.17870302183926629</v>
      </c>
      <c r="H971" t="s">
        <v>30</v>
      </c>
      <c r="I971">
        <f>VLOOKUP(Table4[[#This Row],[Visitor]],'NHL Model'!$A$6:$B$38,2,FALSE)</f>
        <v>-0.24093199744133265</v>
      </c>
      <c r="J971">
        <f>($B$1+Table4[[#This Row],[Home Differential]])-Table4[[#This Row],[Away Differential]]</f>
        <v>0.46953576820376142</v>
      </c>
      <c r="K971" t="str">
        <f>IF(Table4[[#This Row],[HomeIce Differential]]&gt;0,Table4[[#This Row],[Home]],Table4[[#This Row],[Visitor]])</f>
        <v>Anaheim Ducks</v>
      </c>
      <c r="L9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0.60412100543902492</v>
      </c>
      <c r="M971" t="str">
        <f>IF(OR((NHL2025_26Results[[#This Row],[Winning Team]]="")),"-",IF(Table4[[#This Row],[Predicted Winner]]=NHL2025_26Results[[#This Row],[Winning Team]],"YES","NO"))</f>
        <v>-</v>
      </c>
      <c r="N971" t="str">
        <f>IF(Table4[[#This Row],[Adjusted Correct]]="-", "",IF(Table4[[#This Row],[Adjusted Correct]]="YES",(Table4[[#This Row],[Strength of Win]]-1)^2,(Table4[[#This Row],[Strength of Win]]-0)^2))</f>
        <v/>
      </c>
      <c r="P971" s="11"/>
    </row>
    <row r="972" spans="4:16" x14ac:dyDescent="0.2">
      <c r="D972" s="1">
        <v>46085</v>
      </c>
      <c r="E972" s="2">
        <v>0.79166666666666663</v>
      </c>
      <c r="F972" t="s">
        <v>26</v>
      </c>
      <c r="G972">
        <f>VLOOKUP(Table4[[#This Row],[Home]],'NHL Model'!$A$6:$B$38,2,FALSE)</f>
        <v>-0.87533956503230947</v>
      </c>
      <c r="H972" t="s">
        <v>20</v>
      </c>
      <c r="I972">
        <f>VLOOKUP(Table4[[#This Row],[Visitor]],'NHL Model'!$A$6:$B$38,2,FALSE)</f>
        <v>-0.24444083032063643</v>
      </c>
      <c r="J972">
        <f>($B$1+Table4[[#This Row],[Home Differential]])-Table4[[#This Row],[Away Differential]]</f>
        <v>-0.58099798578851058</v>
      </c>
      <c r="K972" t="str">
        <f>IF(Table4[[#This Row],[HomeIce Differential]]&gt;0,Table4[[#This Row],[Home]],Table4[[#This Row],[Visitor]])</f>
        <v>Vegas Golden Knights</v>
      </c>
      <c r="L9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0.52784008975907892</v>
      </c>
      <c r="M972" t="str">
        <f>IF(OR((NHL2025_26Results[[#This Row],[Winning Team]]="")),"-",IF(Table4[[#This Row],[Predicted Winner]]=NHL2025_26Results[[#This Row],[Winning Team]],"YES","NO"))</f>
        <v>-</v>
      </c>
      <c r="N972" t="str">
        <f>IF(Table4[[#This Row],[Adjusted Correct]]="-", "",IF(Table4[[#This Row],[Adjusted Correct]]="YES",(Table4[[#This Row],[Strength of Win]]-1)^2,(Table4[[#This Row],[Strength of Win]]-0)^2))</f>
        <v/>
      </c>
      <c r="P972" s="11"/>
    </row>
    <row r="973" spans="4:16" x14ac:dyDescent="0.2">
      <c r="D973" s="1">
        <v>46085</v>
      </c>
      <c r="E973" s="2">
        <v>0.79166666666666663</v>
      </c>
      <c r="F973" t="s">
        <v>24</v>
      </c>
      <c r="G973">
        <f>VLOOKUP(Table4[[#This Row],[Home]],'NHL Model'!$A$6:$B$38,2,FALSE)</f>
        <v>1.5302507646042616E-3</v>
      </c>
      <c r="H973" t="s">
        <v>19</v>
      </c>
      <c r="I973">
        <f>VLOOKUP(Table4[[#This Row],[Visitor]],'NHL Model'!$A$6:$B$38,2,FALSE)</f>
        <v>-0.63447859131898054</v>
      </c>
      <c r="J973">
        <f>($B$1+Table4[[#This Row],[Home Differential]])-Table4[[#This Row],[Away Differential]]</f>
        <v>0.68590959100674731</v>
      </c>
      <c r="K973" t="str">
        <f>IF(Table4[[#This Row],[HomeIce Differential]]&gt;0,Table4[[#This Row],[Home]],Table4[[#This Row],[Visitor]])</f>
        <v>New Jersey Devils</v>
      </c>
      <c r="L9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0.69992477879689308</v>
      </c>
      <c r="M973" t="str">
        <f>IF(OR((NHL2025_26Results[[#This Row],[Winning Team]]="")),"-",IF(Table4[[#This Row],[Predicted Winner]]=NHL2025_26Results[[#This Row],[Winning Team]],"YES","NO"))</f>
        <v>-</v>
      </c>
      <c r="N973" t="str">
        <f>IF(Table4[[#This Row],[Adjusted Correct]]="-", "",IF(Table4[[#This Row],[Adjusted Correct]]="YES",(Table4[[#This Row],[Strength of Win]]-1)^2,(Table4[[#This Row],[Strength of Win]]-0)^2))</f>
        <v/>
      </c>
      <c r="P973" s="11"/>
    </row>
    <row r="974" spans="4:16" x14ac:dyDescent="0.2">
      <c r="D974" s="1">
        <v>46085</v>
      </c>
      <c r="E974" s="2">
        <v>0.91666666666666663</v>
      </c>
      <c r="F974" t="s">
        <v>32</v>
      </c>
      <c r="G974">
        <f>VLOOKUP(Table4[[#This Row],[Home]],'NHL Model'!$A$6:$B$38,2,FALSE)</f>
        <v>-0.64937723527808999</v>
      </c>
      <c r="H974" t="s">
        <v>35</v>
      </c>
      <c r="I974">
        <f>VLOOKUP(Table4[[#This Row],[Visitor]],'NHL Model'!$A$6:$B$38,2,FALSE)</f>
        <v>-1.3944783719477225</v>
      </c>
      <c r="J974">
        <f>($B$1+Table4[[#This Row],[Home Differential]])-Table4[[#This Row],[Away Differential]]</f>
        <v>0.79500188559279494</v>
      </c>
      <c r="K974" t="str">
        <f>IF(Table4[[#This Row],[HomeIce Differential]]&gt;0,Table4[[#This Row],[Home]],Table4[[#This Row],[Visitor]])</f>
        <v>Seattle Kraken</v>
      </c>
      <c r="L9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0.63282820353336711</v>
      </c>
      <c r="M974" t="str">
        <f>IF(OR((NHL2025_26Results[[#This Row],[Winning Team]]="")),"-",IF(Table4[[#This Row],[Predicted Winner]]=NHL2025_26Results[[#This Row],[Winning Team]],"YES","NO"))</f>
        <v>-</v>
      </c>
      <c r="N974" t="str">
        <f>IF(Table4[[#This Row],[Adjusted Correct]]="-", "",IF(Table4[[#This Row],[Adjusted Correct]]="YES",(Table4[[#This Row],[Strength of Win]]-1)^2,(Table4[[#This Row],[Strength of Win]]-0)^2))</f>
        <v/>
      </c>
      <c r="P974" s="11"/>
    </row>
    <row r="975" spans="4:16" x14ac:dyDescent="0.2">
      <c r="D975" s="1">
        <v>46085</v>
      </c>
      <c r="E975" s="2">
        <v>0.91666666666666663</v>
      </c>
      <c r="F975" t="s">
        <v>38</v>
      </c>
      <c r="G975">
        <f>VLOOKUP(Table4[[#This Row],[Home]],'NHL Model'!$A$6:$B$38,2,FALSE)</f>
        <v>-0.9476777551108041</v>
      </c>
      <c r="H975" t="s">
        <v>25</v>
      </c>
      <c r="I975">
        <f>VLOOKUP(Table4[[#This Row],[Visitor]],'NHL Model'!$A$6:$B$38,2,FALSE)</f>
        <v>0.42567513732855267</v>
      </c>
      <c r="J975">
        <f>($B$1+Table4[[#This Row],[Home Differential]])-Table4[[#This Row],[Away Differential]]</f>
        <v>-1.3234521435161943</v>
      </c>
      <c r="K975" t="str">
        <f>IF(Table4[[#This Row],[HomeIce Differential]]&gt;0,Table4[[#This Row],[Home]],Table4[[#This Row],[Visitor]])</f>
        <v>Carolina Hurricanes</v>
      </c>
      <c r="L9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0.68715573962293885</v>
      </c>
      <c r="M975" t="str">
        <f>IF(OR((NHL2025_26Results[[#This Row],[Winning Team]]="")),"-",IF(Table4[[#This Row],[Predicted Winner]]=NHL2025_26Results[[#This Row],[Winning Team]],"YES","NO"))</f>
        <v>-</v>
      </c>
      <c r="N975" t="str">
        <f>IF(Table4[[#This Row],[Adjusted Correct]]="-", "",IF(Table4[[#This Row],[Adjusted Correct]]="YES",(Table4[[#This Row],[Strength of Win]]-1)^2,(Table4[[#This Row],[Strength of Win]]-0)^2))</f>
        <v/>
      </c>
      <c r="P975" s="11"/>
    </row>
    <row r="976" spans="4:16" x14ac:dyDescent="0.2">
      <c r="D976" s="1">
        <v>46086</v>
      </c>
      <c r="E976" s="2">
        <v>0.79166666666666663</v>
      </c>
      <c r="F976" t="s">
        <v>28</v>
      </c>
      <c r="G976">
        <f>VLOOKUP(Table4[[#This Row],[Home]],'NHL Model'!$A$6:$B$38,2,FALSE)</f>
        <v>-0.59498940435054026</v>
      </c>
      <c r="H976" t="s">
        <v>11</v>
      </c>
      <c r="I976">
        <f>VLOOKUP(Table4[[#This Row],[Visitor]],'NHL Model'!$A$6:$B$38,2,FALSE)</f>
        <v>-0.39711829106410657</v>
      </c>
      <c r="J976">
        <f>($B$1+Table4[[#This Row],[Home Differential]])-Table4[[#This Row],[Away Differential]]</f>
        <v>-0.14797036436327127</v>
      </c>
      <c r="K976" t="str">
        <f>IF(Table4[[#This Row],[HomeIce Differential]]&gt;0,Table4[[#This Row],[Home]],Table4[[#This Row],[Visitor]])</f>
        <v>Florida Panthers</v>
      </c>
      <c r="L9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0.47727772392612389</v>
      </c>
      <c r="M976" t="str">
        <f>IF(OR((NHL2025_26Results[[#This Row],[Winning Team]]="")),"-",IF(Table4[[#This Row],[Predicted Winner]]=NHL2025_26Results[[#This Row],[Winning Team]],"YES","NO"))</f>
        <v>-</v>
      </c>
      <c r="N976" t="str">
        <f>IF(Table4[[#This Row],[Adjusted Correct]]="-", "",IF(Table4[[#This Row],[Adjusted Correct]]="YES",(Table4[[#This Row],[Strength of Win]]-1)^2,(Table4[[#This Row],[Strength of Win]]-0)^2))</f>
        <v/>
      </c>
      <c r="P976" s="11"/>
    </row>
    <row r="977" spans="4:16" x14ac:dyDescent="0.2">
      <c r="D977" s="1">
        <v>46086</v>
      </c>
      <c r="E977" s="2">
        <v>0.875</v>
      </c>
      <c r="F977" t="s">
        <v>16</v>
      </c>
      <c r="G977">
        <f>VLOOKUP(Table4[[#This Row],[Home]],'NHL Model'!$A$6:$B$38,2,FALSE)</f>
        <v>-1.0657812790446208</v>
      </c>
      <c r="H977" t="s">
        <v>36</v>
      </c>
      <c r="I977">
        <f>VLOOKUP(Table4[[#This Row],[Visitor]],'NHL Model'!$A$6:$B$38,2,FALSE)</f>
        <v>-0.53137605086483863</v>
      </c>
      <c r="J977">
        <f>($B$1+Table4[[#This Row],[Home Differential]])-Table4[[#This Row],[Away Differential]]</f>
        <v>-0.48450447925661977</v>
      </c>
      <c r="K977" t="str">
        <f>IF(Table4[[#This Row],[HomeIce Differential]]&gt;0,Table4[[#This Row],[Home]],Table4[[#This Row],[Visitor]])</f>
        <v>Ottawa Senators</v>
      </c>
      <c r="L9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0.5165730487289667</v>
      </c>
      <c r="M977" t="str">
        <f>IF(OR((NHL2025_26Results[[#This Row],[Winning Team]]="")),"-",IF(Table4[[#This Row],[Predicted Winner]]=NHL2025_26Results[[#This Row],[Winning Team]],"YES","NO"))</f>
        <v>-</v>
      </c>
      <c r="N977" t="str">
        <f>IF(Table4[[#This Row],[Adjusted Correct]]="-", "",IF(Table4[[#This Row],[Adjusted Correct]]="YES",(Table4[[#This Row],[Strength of Win]]-1)^2,(Table4[[#This Row],[Strength of Win]]-0)^2))</f>
        <v/>
      </c>
      <c r="P977" s="11"/>
    </row>
    <row r="978" spans="4:16" x14ac:dyDescent="0.2">
      <c r="D978" s="1">
        <v>46086</v>
      </c>
      <c r="E978" s="2">
        <v>0.89583333333333337</v>
      </c>
      <c r="F978" t="s">
        <v>13</v>
      </c>
      <c r="G978">
        <f>VLOOKUP(Table4[[#This Row],[Home]],'NHL Model'!$A$6:$B$38,2,FALSE)</f>
        <v>-0.33828359867721369</v>
      </c>
      <c r="H978" t="s">
        <v>30</v>
      </c>
      <c r="I978">
        <f>VLOOKUP(Table4[[#This Row],[Visitor]],'NHL Model'!$A$6:$B$38,2,FALSE)</f>
        <v>-0.24093199744133265</v>
      </c>
      <c r="J978">
        <f>($B$1+Table4[[#This Row],[Home Differential]])-Table4[[#This Row],[Away Differential]]</f>
        <v>-4.7450852312718561E-2</v>
      </c>
      <c r="K978" t="str">
        <f>IF(Table4[[#This Row],[HomeIce Differential]]&gt;0,Table4[[#This Row],[Home]],Table4[[#This Row],[Visitor]])</f>
        <v>New York Islanders</v>
      </c>
      <c r="L9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0.53816375643996339</v>
      </c>
      <c r="M978" t="str">
        <f>IF(OR((NHL2025_26Results[[#This Row],[Winning Team]]="")),"-",IF(Table4[[#This Row],[Predicted Winner]]=NHL2025_26Results[[#This Row],[Winning Team]],"YES","NO"))</f>
        <v>-</v>
      </c>
      <c r="N978" t="str">
        <f>IF(Table4[[#This Row],[Adjusted Correct]]="-", "",IF(Table4[[#This Row],[Adjusted Correct]]="YES",(Table4[[#This Row],[Strength of Win]]-1)^2,(Table4[[#This Row],[Strength of Win]]-0)^2))</f>
        <v/>
      </c>
      <c r="P978" s="11"/>
    </row>
    <row r="979" spans="4:16" x14ac:dyDescent="0.2">
      <c r="D979" s="1">
        <v>46086</v>
      </c>
      <c r="E979" s="2">
        <v>0.83333333333333337</v>
      </c>
      <c r="F979" t="s">
        <v>29</v>
      </c>
      <c r="G979">
        <f>VLOOKUP(Table4[[#This Row],[Home]],'NHL Model'!$A$6:$B$38,2,FALSE)</f>
        <v>-1.384917283810061</v>
      </c>
      <c r="H979" t="s">
        <v>21</v>
      </c>
      <c r="I979">
        <f>VLOOKUP(Table4[[#This Row],[Visitor]],'NHL Model'!$A$6:$B$38,2,FALSE)</f>
        <v>-0.21976976044773161</v>
      </c>
      <c r="J979">
        <f>($B$1+Table4[[#This Row],[Home Differential]])-Table4[[#This Row],[Away Differential]]</f>
        <v>-1.115246774439167</v>
      </c>
      <c r="K979" t="str">
        <f>IF(Table4[[#This Row],[HomeIce Differential]]&gt;0,Table4[[#This Row],[Home]],Table4[[#This Row],[Visitor]])</f>
        <v>Boston Bruins</v>
      </c>
      <c r="L9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0.59105101387096481</v>
      </c>
      <c r="M979" t="str">
        <f>IF(OR((NHL2025_26Results[[#This Row],[Winning Team]]="")),"-",IF(Table4[[#This Row],[Predicted Winner]]=NHL2025_26Results[[#This Row],[Winning Team]],"YES","NO"))</f>
        <v>-</v>
      </c>
      <c r="N979" t="str">
        <f>IF(Table4[[#This Row],[Adjusted Correct]]="-", "",IF(Table4[[#This Row],[Adjusted Correct]]="YES",(Table4[[#This Row],[Strength of Win]]-1)^2,(Table4[[#This Row],[Strength of Win]]-0)^2))</f>
        <v/>
      </c>
      <c r="P979" s="11"/>
    </row>
    <row r="980" spans="4:16" x14ac:dyDescent="0.2">
      <c r="D980" s="1">
        <v>46086</v>
      </c>
      <c r="E980" s="2">
        <v>0.79166666666666663</v>
      </c>
      <c r="F980" t="s">
        <v>15</v>
      </c>
      <c r="G980">
        <f>VLOOKUP(Table4[[#This Row],[Home]],'NHL Model'!$A$6:$B$38,2,FALSE)</f>
        <v>-0.29003398448394263</v>
      </c>
      <c r="H980" t="s">
        <v>19</v>
      </c>
      <c r="I980">
        <f>VLOOKUP(Table4[[#This Row],[Visitor]],'NHL Model'!$A$6:$B$38,2,FALSE)</f>
        <v>-0.63447859131898054</v>
      </c>
      <c r="J980">
        <f>($B$1+Table4[[#This Row],[Home Differential]])-Table4[[#This Row],[Away Differential]]</f>
        <v>0.3943453557582004</v>
      </c>
      <c r="K980" t="str">
        <f>IF(Table4[[#This Row],[HomeIce Differential]]&gt;0,Table4[[#This Row],[Home]],Table4[[#This Row],[Visitor]])</f>
        <v>New York Rangers</v>
      </c>
      <c r="L9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0.58604564040683338</v>
      </c>
      <c r="M980" t="str">
        <f>IF(OR((NHL2025_26Results[[#This Row],[Winning Team]]="")),"-",IF(Table4[[#This Row],[Predicted Winner]]=NHL2025_26Results[[#This Row],[Winning Team]],"YES","NO"))</f>
        <v>-</v>
      </c>
      <c r="N980" t="str">
        <f>IF(Table4[[#This Row],[Adjusted Correct]]="-", "",IF(Table4[[#This Row],[Adjusted Correct]]="YES",(Table4[[#This Row],[Strength of Win]]-1)^2,(Table4[[#This Row],[Strength of Win]]-0)^2))</f>
        <v/>
      </c>
      <c r="P980" s="11"/>
    </row>
    <row r="981" spans="4:16" x14ac:dyDescent="0.2">
      <c r="D981" s="1">
        <v>46086</v>
      </c>
      <c r="E981" s="2">
        <v>0.79166666666666663</v>
      </c>
      <c r="F981" t="s">
        <v>27</v>
      </c>
      <c r="G981">
        <f>VLOOKUP(Table4[[#This Row],[Home]],'NHL Model'!$A$6:$B$38,2,FALSE)</f>
        <v>-0.38023958350631604</v>
      </c>
      <c r="H981" t="s">
        <v>55</v>
      </c>
      <c r="I981">
        <f>VLOOKUP(Table4[[#This Row],[Visitor]],'NHL Model'!$A$6:$B$38,2,FALSE)</f>
        <v>-0.4031232890211825</v>
      </c>
      <c r="J981">
        <f>($B$1+Table4[[#This Row],[Home Differential]])-Table4[[#This Row],[Away Differential]]</f>
        <v>7.2784454438028945E-2</v>
      </c>
      <c r="K981" t="str">
        <f>IF(Table4[[#This Row],[HomeIce Differential]]&gt;0,Table4[[#This Row],[Home]],Table4[[#This Row],[Visitor]])</f>
        <v>Philadelphia Flyers</v>
      </c>
      <c r="L9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0.56251527977613414</v>
      </c>
      <c r="M981" t="str">
        <f>IF(OR((NHL2025_26Results[[#This Row],[Winning Team]]="")),"-",IF(Table4[[#This Row],[Predicted Winner]]=NHL2025_26Results[[#This Row],[Winning Team]],"YES","NO"))</f>
        <v>-</v>
      </c>
      <c r="N981" t="str">
        <f>IF(Table4[[#This Row],[Adjusted Correct]]="-", "",IF(Table4[[#This Row],[Adjusted Correct]]="YES",(Table4[[#This Row],[Strength of Win]]-1)^2,(Table4[[#This Row],[Strength of Win]]-0)^2))</f>
        <v/>
      </c>
      <c r="P981" s="11"/>
    </row>
    <row r="982" spans="4:16" x14ac:dyDescent="0.2">
      <c r="D982" s="1">
        <v>46086</v>
      </c>
      <c r="E982" s="2">
        <v>0.79166666666666663</v>
      </c>
      <c r="F982" t="s">
        <v>14</v>
      </c>
      <c r="G982">
        <f>VLOOKUP(Table4[[#This Row],[Home]],'NHL Model'!$A$6:$B$38,2,FALSE)</f>
        <v>-0.14226422156549004</v>
      </c>
      <c r="H982" t="s">
        <v>23</v>
      </c>
      <c r="I982">
        <f>VLOOKUP(Table4[[#This Row],[Visitor]],'NHL Model'!$A$6:$B$38,2,FALSE)</f>
        <v>-0.4761104357405897</v>
      </c>
      <c r="J982">
        <f>($B$1+Table4[[#This Row],[Home Differential]])-Table4[[#This Row],[Away Differential]]</f>
        <v>0.38374696309826212</v>
      </c>
      <c r="K982" t="str">
        <f>IF(Table4[[#This Row],[HomeIce Differential]]&gt;0,Table4[[#This Row],[Home]],Table4[[#This Row],[Visitor]])</f>
        <v>Pittsburgh Penguins</v>
      </c>
      <c r="L9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0.58480812164267382</v>
      </c>
      <c r="M982" t="str">
        <f>IF(OR((NHL2025_26Results[[#This Row],[Winning Team]]="")),"-",IF(Table4[[#This Row],[Predicted Winner]]=NHL2025_26Results[[#This Row],[Winning Team]],"YES","NO"))</f>
        <v>-</v>
      </c>
      <c r="N982" t="str">
        <f>IF(Table4[[#This Row],[Adjusted Correct]]="-", "",IF(Table4[[#This Row],[Adjusted Correct]]="YES",(Table4[[#This Row],[Strength of Win]]-1)^2,(Table4[[#This Row],[Strength of Win]]-0)^2))</f>
        <v/>
      </c>
      <c r="P982" s="11"/>
    </row>
    <row r="983" spans="4:16" x14ac:dyDescent="0.2">
      <c r="D983" s="1">
        <v>46086</v>
      </c>
      <c r="E983" s="2">
        <v>0.83333333333333337</v>
      </c>
      <c r="F983" t="s">
        <v>40</v>
      </c>
      <c r="G983">
        <f>VLOOKUP(Table4[[#This Row],[Home]],'NHL Model'!$A$6:$B$38,2,FALSE)</f>
        <v>-0.31324182378279158</v>
      </c>
      <c r="H983" t="s">
        <v>37</v>
      </c>
      <c r="I983">
        <f>VLOOKUP(Table4[[#This Row],[Visitor]],'NHL Model'!$A$6:$B$38,2,FALSE)</f>
        <v>0.51050494674660429</v>
      </c>
      <c r="J983">
        <f>($B$1+Table4[[#This Row],[Home Differential]])-Table4[[#This Row],[Away Differential]]</f>
        <v>-0.77384602160623339</v>
      </c>
      <c r="K983" t="str">
        <f>IF(Table4[[#This Row],[HomeIce Differential]]&gt;0,Table4[[#This Row],[Home]],Table4[[#This Row],[Visitor]])</f>
        <v>Tampa Bay Lightning</v>
      </c>
      <c r="L9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0.6403579441746684</v>
      </c>
      <c r="M983" t="str">
        <f>IF(OR((NHL2025_26Results[[#This Row],[Winning Team]]="")),"-",IF(Table4[[#This Row],[Predicted Winner]]=NHL2025_26Results[[#This Row],[Winning Team]],"YES","NO"))</f>
        <v>-</v>
      </c>
      <c r="N983" t="str">
        <f>IF(Table4[[#This Row],[Adjusted Correct]]="-", "",IF(Table4[[#This Row],[Adjusted Correct]]="YES",(Table4[[#This Row],[Strength of Win]]-1)^2,(Table4[[#This Row],[Strength of Win]]-0)^2))</f>
        <v/>
      </c>
      <c r="P983" s="11"/>
    </row>
    <row r="984" spans="4:16" x14ac:dyDescent="0.2">
      <c r="D984" s="1">
        <v>46087</v>
      </c>
      <c r="E984" s="2">
        <v>0.875</v>
      </c>
      <c r="F984" t="s">
        <v>31</v>
      </c>
      <c r="G984">
        <f>VLOOKUP(Table4[[#This Row],[Home]],'NHL Model'!$A$6:$B$38,2,FALSE)</f>
        <v>0.17870302183926629</v>
      </c>
      <c r="H984" t="s">
        <v>18</v>
      </c>
      <c r="I984">
        <f>VLOOKUP(Table4[[#This Row],[Visitor]],'NHL Model'!$A$6:$B$38,2,FALSE)</f>
        <v>-0.59288962827382519</v>
      </c>
      <c r="J984">
        <f>($B$1+Table4[[#This Row],[Home Differential]])-Table4[[#This Row],[Away Differential]]</f>
        <v>0.82149339903625396</v>
      </c>
      <c r="K984" t="str">
        <f>IF(Table4[[#This Row],[HomeIce Differential]]&gt;0,Table4[[#This Row],[Home]],Table4[[#This Row],[Visitor]])</f>
        <v>Anaheim Ducks</v>
      </c>
      <c r="L9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0.65842147871472412</v>
      </c>
      <c r="M984" t="str">
        <f>IF(OR((NHL2025_26Results[[#This Row],[Winning Team]]="")),"-",IF(Table4[[#This Row],[Predicted Winner]]=NHL2025_26Results[[#This Row],[Winning Team]],"YES","NO"))</f>
        <v>-</v>
      </c>
      <c r="N984" t="str">
        <f>IF(Table4[[#This Row],[Adjusted Correct]]="-", "",IF(Table4[[#This Row],[Adjusted Correct]]="YES",(Table4[[#This Row],[Strength of Win]]-1)^2,(Table4[[#This Row],[Strength of Win]]-0)^2))</f>
        <v/>
      </c>
      <c r="P984" s="11"/>
    </row>
    <row r="985" spans="4:16" x14ac:dyDescent="0.2">
      <c r="D985" s="1">
        <v>46087</v>
      </c>
      <c r="E985" s="2">
        <v>0.85416666666666663</v>
      </c>
      <c r="F985" t="s">
        <v>10</v>
      </c>
      <c r="G985">
        <f>VLOOKUP(Table4[[#This Row],[Home]],'NHL Model'!$A$6:$B$38,2,FALSE)</f>
        <v>-0.17619625518431364</v>
      </c>
      <c r="H985" t="s">
        <v>38</v>
      </c>
      <c r="I985">
        <f>VLOOKUP(Table4[[#This Row],[Visitor]],'NHL Model'!$A$6:$B$38,2,FALSE)</f>
        <v>-0.9476777551108041</v>
      </c>
      <c r="J985">
        <f>($B$1+Table4[[#This Row],[Home Differential]])-Table4[[#This Row],[Away Differential]]</f>
        <v>0.82138224884965294</v>
      </c>
      <c r="K985" t="str">
        <f>IF(Table4[[#This Row],[HomeIce Differential]]&gt;0,Table4[[#This Row],[Home]],Table4[[#This Row],[Visitor]])</f>
        <v>Chicago Blackhawks</v>
      </c>
      <c r="L9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0.63233234134958161</v>
      </c>
      <c r="M985" t="str">
        <f>IF(OR((NHL2025_26Results[[#This Row],[Winning Team]]="")),"-",IF(Table4[[#This Row],[Predicted Winner]]=NHL2025_26Results[[#This Row],[Winning Team]],"YES","NO"))</f>
        <v>-</v>
      </c>
      <c r="N985" t="str">
        <f>IF(Table4[[#This Row],[Adjusted Correct]]="-", "",IF(Table4[[#This Row],[Adjusted Correct]]="YES",(Table4[[#This Row],[Strength of Win]]-1)^2,(Table4[[#This Row],[Strength of Win]]-0)^2))</f>
        <v/>
      </c>
      <c r="P985" s="11"/>
    </row>
    <row r="986" spans="4:16" x14ac:dyDescent="0.2">
      <c r="D986" s="1">
        <v>46087</v>
      </c>
      <c r="E986" s="2">
        <v>0.83333333333333337</v>
      </c>
      <c r="F986" t="s">
        <v>39</v>
      </c>
      <c r="G986">
        <f>VLOOKUP(Table4[[#This Row],[Home]],'NHL Model'!$A$6:$B$38,2,FALSE)</f>
        <v>0.41344250185511977</v>
      </c>
      <c r="H986" t="s">
        <v>12</v>
      </c>
      <c r="I986">
        <f>VLOOKUP(Table4[[#This Row],[Visitor]],'NHL Model'!$A$6:$B$38,2,FALSE)</f>
        <v>1.6319036584269762</v>
      </c>
      <c r="J986">
        <f>($B$1+Table4[[#This Row],[Home Differential]])-Table4[[#This Row],[Away Differential]]</f>
        <v>-1.168560407648694</v>
      </c>
      <c r="K986" t="str">
        <f>IF(Table4[[#This Row],[HomeIce Differential]]&gt;0,Table4[[#This Row],[Home]],Table4[[#This Row],[Visitor]])</f>
        <v>Colorado Avalanche</v>
      </c>
      <c r="L9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0.63644667431368729</v>
      </c>
      <c r="M986" t="str">
        <f>IF(OR((NHL2025_26Results[[#This Row],[Winning Team]]="")),"-",IF(Table4[[#This Row],[Predicted Winner]]=NHL2025_26Results[[#This Row],[Winning Team]],"YES","NO"))</f>
        <v>-</v>
      </c>
      <c r="N986" t="str">
        <f>IF(Table4[[#This Row],[Adjusted Correct]]="-", "",IF(Table4[[#This Row],[Adjusted Correct]]="YES",(Table4[[#This Row],[Strength of Win]]-1)^2,(Table4[[#This Row],[Strength of Win]]-0)^2))</f>
        <v/>
      </c>
      <c r="P986" s="11"/>
    </row>
    <row r="987" spans="4:16" x14ac:dyDescent="0.2">
      <c r="D987" s="1">
        <v>46087</v>
      </c>
      <c r="E987" s="2">
        <v>0.79166666666666663</v>
      </c>
      <c r="F987" t="s">
        <v>26</v>
      </c>
      <c r="G987">
        <f>VLOOKUP(Table4[[#This Row],[Home]],'NHL Model'!$A$6:$B$38,2,FALSE)</f>
        <v>-0.87533956503230947</v>
      </c>
      <c r="H987" t="s">
        <v>11</v>
      </c>
      <c r="I987">
        <f>VLOOKUP(Table4[[#This Row],[Visitor]],'NHL Model'!$A$6:$B$38,2,FALSE)</f>
        <v>-0.39711829106410657</v>
      </c>
      <c r="J987">
        <f>($B$1+Table4[[#This Row],[Home Differential]])-Table4[[#This Row],[Away Differential]]</f>
        <v>-0.42832052504504048</v>
      </c>
      <c r="K987" t="str">
        <f>IF(Table4[[#This Row],[HomeIce Differential]]&gt;0,Table4[[#This Row],[Home]],Table4[[#This Row],[Visitor]])</f>
        <v>Florida Panthers</v>
      </c>
      <c r="L9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0.51001274285878251</v>
      </c>
      <c r="M987" t="str">
        <f>IF(OR((NHL2025_26Results[[#This Row],[Winning Team]]="")),"-",IF(Table4[[#This Row],[Predicted Winner]]=NHL2025_26Results[[#This Row],[Winning Team]],"YES","NO"))</f>
        <v>-</v>
      </c>
      <c r="N987" t="str">
        <f>IF(Table4[[#This Row],[Adjusted Correct]]="-", "",IF(Table4[[#This Row],[Adjusted Correct]]="YES",(Table4[[#This Row],[Strength of Win]]-1)^2,(Table4[[#This Row],[Strength of Win]]-0)^2))</f>
        <v/>
      </c>
      <c r="P987" s="11"/>
    </row>
    <row r="988" spans="4:16" x14ac:dyDescent="0.2">
      <c r="D988" s="1">
        <v>46087</v>
      </c>
      <c r="E988" s="2">
        <v>0.875</v>
      </c>
      <c r="F988" t="s">
        <v>17</v>
      </c>
      <c r="G988">
        <f>VLOOKUP(Table4[[#This Row],[Home]],'NHL Model'!$A$6:$B$38,2,FALSE)</f>
        <v>-0.81774666423752174</v>
      </c>
      <c r="H988" t="s">
        <v>25</v>
      </c>
      <c r="I988">
        <f>VLOOKUP(Table4[[#This Row],[Visitor]],'NHL Model'!$A$6:$B$38,2,FALSE)</f>
        <v>0.42567513732855267</v>
      </c>
      <c r="J988">
        <f>($B$1+Table4[[#This Row],[Home Differential]])-Table4[[#This Row],[Away Differential]]</f>
        <v>-1.1935210526429119</v>
      </c>
      <c r="K988" t="str">
        <f>IF(Table4[[#This Row],[HomeIce Differential]]&gt;0,Table4[[#This Row],[Home]],Table4[[#This Row],[Visitor]])</f>
        <v>Carolina Hurricanes</v>
      </c>
      <c r="L9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0.66490864326506427</v>
      </c>
      <c r="M988" t="str">
        <f>IF(OR((NHL2025_26Results[[#This Row],[Winning Team]]="")),"-",IF(Table4[[#This Row],[Predicted Winner]]=NHL2025_26Results[[#This Row],[Winning Team]],"YES","NO"))</f>
        <v>-</v>
      </c>
      <c r="N988" t="str">
        <f>IF(Table4[[#This Row],[Adjusted Correct]]="-", "",IF(Table4[[#This Row],[Adjusted Correct]]="YES",(Table4[[#This Row],[Strength of Win]]-1)^2,(Table4[[#This Row],[Strength of Win]]-0)^2))</f>
        <v/>
      </c>
      <c r="P988" s="11"/>
    </row>
    <row r="989" spans="4:16" x14ac:dyDescent="0.2">
      <c r="D989" s="1">
        <v>46087</v>
      </c>
      <c r="E989" s="2">
        <v>0.91666666666666663</v>
      </c>
      <c r="F989" t="s">
        <v>33</v>
      </c>
      <c r="G989">
        <f>VLOOKUP(Table4[[#This Row],[Home]],'NHL Model'!$A$6:$B$38,2,FALSE)</f>
        <v>-0.45133099238224339</v>
      </c>
      <c r="H989" t="s">
        <v>35</v>
      </c>
      <c r="I989">
        <f>VLOOKUP(Table4[[#This Row],[Visitor]],'NHL Model'!$A$6:$B$38,2,FALSE)</f>
        <v>-1.3944783719477225</v>
      </c>
      <c r="J989">
        <f>($B$1+Table4[[#This Row],[Home Differential]])-Table4[[#This Row],[Away Differential]]</f>
        <v>0.99304812848864166</v>
      </c>
      <c r="K989" t="str">
        <f>IF(Table4[[#This Row],[HomeIce Differential]]&gt;0,Table4[[#This Row],[Home]],Table4[[#This Row],[Visitor]])</f>
        <v>San Jose Sharks</v>
      </c>
      <c r="L9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0.66607527473414152</v>
      </c>
      <c r="M989" t="str">
        <f>IF(OR((NHL2025_26Results[[#This Row],[Winning Team]]="")),"-",IF(Table4[[#This Row],[Predicted Winner]]=NHL2025_26Results[[#This Row],[Winning Team]],"YES","NO"))</f>
        <v>-</v>
      </c>
      <c r="N989" t="str">
        <f>IF(Table4[[#This Row],[Adjusted Correct]]="-", "",IF(Table4[[#This Row],[Adjusted Correct]]="YES",(Table4[[#This Row],[Strength of Win]]-1)^2,(Table4[[#This Row],[Strength of Win]]-0)^2))</f>
        <v/>
      </c>
      <c r="P989" s="11"/>
    </row>
    <row r="990" spans="4:16" x14ac:dyDescent="0.2">
      <c r="D990" s="1">
        <v>46087</v>
      </c>
      <c r="E990" s="2">
        <v>0.91666666666666663</v>
      </c>
      <c r="F990" t="s">
        <v>20</v>
      </c>
      <c r="G990">
        <f>VLOOKUP(Table4[[#This Row],[Home]],'NHL Model'!$A$6:$B$38,2,FALSE)</f>
        <v>-0.24444083032063643</v>
      </c>
      <c r="H990" t="s">
        <v>34</v>
      </c>
      <c r="I990">
        <f>VLOOKUP(Table4[[#This Row],[Visitor]],'NHL Model'!$A$6:$B$38,2,FALSE)</f>
        <v>-5.5124787449478845E-2</v>
      </c>
      <c r="J990">
        <f>($B$1+Table4[[#This Row],[Home Differential]])-Table4[[#This Row],[Away Differential]]</f>
        <v>-0.13941529394799512</v>
      </c>
      <c r="K990" t="str">
        <f>IF(Table4[[#This Row],[HomeIce Differential]]&gt;0,Table4[[#This Row],[Home]],Table4[[#This Row],[Visitor]])</f>
        <v>Minnesota Wild</v>
      </c>
      <c r="L9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0.51879135600538295</v>
      </c>
      <c r="M990" t="str">
        <f>IF(OR((NHL2025_26Results[[#This Row],[Winning Team]]="")),"-",IF(Table4[[#This Row],[Predicted Winner]]=NHL2025_26Results[[#This Row],[Winning Team]],"YES","NO"))</f>
        <v>-</v>
      </c>
      <c r="N990" t="str">
        <f>IF(Table4[[#This Row],[Adjusted Correct]]="-", "",IF(Table4[[#This Row],[Adjusted Correct]]="YES",(Table4[[#This Row],[Strength of Win]]-1)^2,(Table4[[#This Row],[Strength of Win]]-0)^2))</f>
        <v/>
      </c>
      <c r="P990" s="11"/>
    </row>
    <row r="991" spans="4:16" x14ac:dyDescent="0.2">
      <c r="D991" s="1">
        <v>46088</v>
      </c>
      <c r="E991" s="2">
        <v>0.52083333333333337</v>
      </c>
      <c r="F991" t="s">
        <v>21</v>
      </c>
      <c r="G991">
        <f>VLOOKUP(Table4[[#This Row],[Home]],'NHL Model'!$A$6:$B$38,2,FALSE)</f>
        <v>-0.21976976044773161</v>
      </c>
      <c r="H991" t="s">
        <v>22</v>
      </c>
      <c r="I991">
        <f>VLOOKUP(Table4[[#This Row],[Visitor]],'NHL Model'!$A$6:$B$38,2,FALSE)</f>
        <v>0.4407072328537569</v>
      </c>
      <c r="J991">
        <f>($B$1+Table4[[#This Row],[Home Differential]])-Table4[[#This Row],[Away Differential]]</f>
        <v>-0.61057624437832603</v>
      </c>
      <c r="K991" t="str">
        <f>IF(Table4[[#This Row],[HomeIce Differential]]&gt;0,Table4[[#This Row],[Home]],Table4[[#This Row],[Visitor]])</f>
        <v>Washington Capitals</v>
      </c>
      <c r="L9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0.53031018143600306</v>
      </c>
      <c r="M991" t="str">
        <f>IF(OR((NHL2025_26Results[[#This Row],[Winning Team]]="")),"-",IF(Table4[[#This Row],[Predicted Winner]]=NHL2025_26Results[[#This Row],[Winning Team]],"YES","NO"))</f>
        <v>-</v>
      </c>
      <c r="N991" t="str">
        <f>IF(Table4[[#This Row],[Adjusted Correct]]="-", "",IF(Table4[[#This Row],[Adjusted Correct]]="YES",(Table4[[#This Row],[Strength of Win]]-1)^2,(Table4[[#This Row],[Strength of Win]]-0)^2))</f>
        <v/>
      </c>
      <c r="P991" s="11"/>
    </row>
    <row r="992" spans="4:16" x14ac:dyDescent="0.2">
      <c r="D992" s="1">
        <v>46088</v>
      </c>
      <c r="E992" s="2">
        <v>0.72916666666666663</v>
      </c>
      <c r="F992" t="s">
        <v>23</v>
      </c>
      <c r="G992">
        <f>VLOOKUP(Table4[[#This Row],[Home]],'NHL Model'!$A$6:$B$38,2,FALSE)</f>
        <v>-0.4761104357405897</v>
      </c>
      <c r="H992" t="s">
        <v>29</v>
      </c>
      <c r="I992">
        <f>VLOOKUP(Table4[[#This Row],[Visitor]],'NHL Model'!$A$6:$B$38,2,FALSE)</f>
        <v>-1.384917283810061</v>
      </c>
      <c r="J992">
        <f>($B$1+Table4[[#This Row],[Home Differential]])-Table4[[#This Row],[Away Differential]]</f>
        <v>0.95870759699263375</v>
      </c>
      <c r="K992" t="str">
        <f>IF(Table4[[#This Row],[HomeIce Differential]]&gt;0,Table4[[#This Row],[Home]],Table4[[#This Row],[Visitor]])</f>
        <v>Buffalo Sabres</v>
      </c>
      <c r="L9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0.66206551085191068</v>
      </c>
      <c r="M992" t="str">
        <f>IF(OR((NHL2025_26Results[[#This Row],[Winning Team]]="")),"-",IF(Table4[[#This Row],[Predicted Winner]]=NHL2025_26Results[[#This Row],[Winning Team]],"YES","NO"))</f>
        <v>-</v>
      </c>
      <c r="N992" t="str">
        <f>IF(Table4[[#This Row],[Adjusted Correct]]="-", "",IF(Table4[[#This Row],[Adjusted Correct]]="YES",(Table4[[#This Row],[Strength of Win]]-1)^2,(Table4[[#This Row],[Strength of Win]]-0)^2))</f>
        <v/>
      </c>
      <c r="P992" s="11"/>
    </row>
    <row r="993" spans="4:16" x14ac:dyDescent="0.2">
      <c r="D993" s="1">
        <v>46088</v>
      </c>
      <c r="E993" s="2">
        <v>0.79166666666666663</v>
      </c>
      <c r="F993" t="s">
        <v>28</v>
      </c>
      <c r="G993">
        <f>VLOOKUP(Table4[[#This Row],[Home]],'NHL Model'!$A$6:$B$38,2,FALSE)</f>
        <v>-0.59498940435054026</v>
      </c>
      <c r="H993" t="s">
        <v>55</v>
      </c>
      <c r="I993">
        <f>VLOOKUP(Table4[[#This Row],[Visitor]],'NHL Model'!$A$6:$B$38,2,FALSE)</f>
        <v>-0.4031232890211825</v>
      </c>
      <c r="J993">
        <f>($B$1+Table4[[#This Row],[Home Differential]])-Table4[[#This Row],[Away Differential]]</f>
        <v>-0.14196536640619534</v>
      </c>
      <c r="K993" t="str">
        <f>IF(Table4[[#This Row],[HomeIce Differential]]&gt;0,Table4[[#This Row],[Home]],Table4[[#This Row],[Visitor]])</f>
        <v>Utah Mammoth</v>
      </c>
      <c r="L9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0.47657655178719088</v>
      </c>
      <c r="M993" t="str">
        <f>IF(OR((NHL2025_26Results[[#This Row],[Winning Team]]="")),"-",IF(Table4[[#This Row],[Predicted Winner]]=NHL2025_26Results[[#This Row],[Winning Team]],"YES","NO"))</f>
        <v>-</v>
      </c>
      <c r="N993" t="str">
        <f>IF(Table4[[#This Row],[Adjusted Correct]]="-", "",IF(Table4[[#This Row],[Adjusted Correct]]="YES",(Table4[[#This Row],[Strength of Win]]-1)^2,(Table4[[#This Row],[Strength of Win]]-0)^2))</f>
        <v/>
      </c>
      <c r="P993" s="11"/>
    </row>
    <row r="994" spans="4:16" x14ac:dyDescent="0.2">
      <c r="D994" s="1">
        <v>46088</v>
      </c>
      <c r="E994" s="2">
        <v>0.91666666666666663</v>
      </c>
      <c r="F994" t="s">
        <v>16</v>
      </c>
      <c r="G994">
        <f>VLOOKUP(Table4[[#This Row],[Home]],'NHL Model'!$A$6:$B$38,2,FALSE)</f>
        <v>-1.0657812790446208</v>
      </c>
      <c r="H994" t="s">
        <v>25</v>
      </c>
      <c r="I994">
        <f>VLOOKUP(Table4[[#This Row],[Visitor]],'NHL Model'!$A$6:$B$38,2,FALSE)</f>
        <v>0.42567513732855267</v>
      </c>
      <c r="J994">
        <f>($B$1+Table4[[#This Row],[Home Differential]])-Table4[[#This Row],[Away Differential]]</f>
        <v>-1.441555667450011</v>
      </c>
      <c r="K994" t="str">
        <f>IF(Table4[[#This Row],[HomeIce Differential]]&gt;0,Table4[[#This Row],[Home]],Table4[[#This Row],[Visitor]])</f>
        <v>Carolina Hurricanes</v>
      </c>
      <c r="L9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0.70094606912581969</v>
      </c>
      <c r="M994" t="str">
        <f>IF(OR((NHL2025_26Results[[#This Row],[Winning Team]]="")),"-",IF(Table4[[#This Row],[Predicted Winner]]=NHL2025_26Results[[#This Row],[Winning Team]],"YES","NO"))</f>
        <v>-</v>
      </c>
      <c r="N994" t="str">
        <f>IF(Table4[[#This Row],[Adjusted Correct]]="-", "",IF(Table4[[#This Row],[Adjusted Correct]]="YES",(Table4[[#This Row],[Strength of Win]]-1)^2,(Table4[[#This Row],[Strength of Win]]-0)^2))</f>
        <v/>
      </c>
      <c r="P994" s="11"/>
    </row>
    <row r="995" spans="4:16" x14ac:dyDescent="0.2">
      <c r="D995" s="1">
        <v>46088</v>
      </c>
      <c r="E995" s="2">
        <v>0.79166666666666663</v>
      </c>
      <c r="F995" t="s">
        <v>13</v>
      </c>
      <c r="G995">
        <f>VLOOKUP(Table4[[#This Row],[Home]],'NHL Model'!$A$6:$B$38,2,FALSE)</f>
        <v>-0.33828359867721369</v>
      </c>
      <c r="H995" t="s">
        <v>18</v>
      </c>
      <c r="I995">
        <f>VLOOKUP(Table4[[#This Row],[Visitor]],'NHL Model'!$A$6:$B$38,2,FALSE)</f>
        <v>-0.59288962827382519</v>
      </c>
      <c r="J995">
        <f>($B$1+Table4[[#This Row],[Home Differential]])-Table4[[#This Row],[Away Differential]]</f>
        <v>0.30450677851977398</v>
      </c>
      <c r="K995" t="str">
        <f>IF(Table4[[#This Row],[HomeIce Differential]]&gt;0,Table4[[#This Row],[Home]],Table4[[#This Row],[Visitor]])</f>
        <v>Los Angeles Kings</v>
      </c>
      <c r="L9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0.51626782676358607</v>
      </c>
      <c r="M995" t="str">
        <f>IF(OR((NHL2025_26Results[[#This Row],[Winning Team]]="")),"-",IF(Table4[[#This Row],[Predicted Winner]]=NHL2025_26Results[[#This Row],[Winning Team]],"YES","NO"))</f>
        <v>-</v>
      </c>
      <c r="N995" t="str">
        <f>IF(Table4[[#This Row],[Adjusted Correct]]="-", "",IF(Table4[[#This Row],[Adjusted Correct]]="YES",(Table4[[#This Row],[Strength of Win]]-1)^2,(Table4[[#This Row],[Strength of Win]]-0)^2))</f>
        <v/>
      </c>
      <c r="P995" s="11"/>
    </row>
    <row r="996" spans="4:16" x14ac:dyDescent="0.2">
      <c r="D996" s="1">
        <v>46088</v>
      </c>
      <c r="E996" s="2">
        <v>0.625</v>
      </c>
      <c r="F996" t="s">
        <v>24</v>
      </c>
      <c r="G996">
        <f>VLOOKUP(Table4[[#This Row],[Home]],'NHL Model'!$A$6:$B$38,2,FALSE)</f>
        <v>1.5302507646042616E-3</v>
      </c>
      <c r="H996" t="s">
        <v>15</v>
      </c>
      <c r="I996">
        <f>VLOOKUP(Table4[[#This Row],[Visitor]],'NHL Model'!$A$6:$B$38,2,FALSE)</f>
        <v>-0.29003398448394263</v>
      </c>
      <c r="J996">
        <f>($B$1+Table4[[#This Row],[Home Differential]])-Table4[[#This Row],[Away Differential]]</f>
        <v>0.34146498417170934</v>
      </c>
      <c r="K996" t="str">
        <f>IF(Table4[[#This Row],[HomeIce Differential]]&gt;0,Table4[[#This Row],[Home]],Table4[[#This Row],[Visitor]])</f>
        <v>New Jersey Devils</v>
      </c>
      <c r="L9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0.5616102070003105</v>
      </c>
      <c r="M996" t="str">
        <f>IF(OR((NHL2025_26Results[[#This Row],[Winning Team]]="")),"-",IF(Table4[[#This Row],[Predicted Winner]]=NHL2025_26Results[[#This Row],[Winning Team]],"YES","NO"))</f>
        <v>-</v>
      </c>
      <c r="N996" t="str">
        <f>IF(Table4[[#This Row],[Adjusted Correct]]="-", "",IF(Table4[[#This Row],[Adjusted Correct]]="YES",(Table4[[#This Row],[Strength of Win]]-1)^2,(Table4[[#This Row],[Strength of Win]]-0)^2))</f>
        <v/>
      </c>
      <c r="P996" s="11"/>
    </row>
    <row r="997" spans="4:16" x14ac:dyDescent="0.2">
      <c r="D997" s="1">
        <v>46088</v>
      </c>
      <c r="E997" s="2">
        <v>0.72916666666666663</v>
      </c>
      <c r="F997" t="s">
        <v>14</v>
      </c>
      <c r="G997">
        <f>VLOOKUP(Table4[[#This Row],[Home]],'NHL Model'!$A$6:$B$38,2,FALSE)</f>
        <v>-0.14226422156549004</v>
      </c>
      <c r="H997" t="s">
        <v>27</v>
      </c>
      <c r="I997">
        <f>VLOOKUP(Table4[[#This Row],[Visitor]],'NHL Model'!$A$6:$B$38,2,FALSE)</f>
        <v>-0.38023958350631604</v>
      </c>
      <c r="J997">
        <f>($B$1+Table4[[#This Row],[Home Differential]])-Table4[[#This Row],[Away Differential]]</f>
        <v>0.28787611086398845</v>
      </c>
      <c r="K997" t="str">
        <f>IF(Table4[[#This Row],[HomeIce Differential]]&gt;0,Table4[[#This Row],[Home]],Table4[[#This Row],[Visitor]])</f>
        <v>Pittsburgh Penguins</v>
      </c>
      <c r="L9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0.53110122187745956</v>
      </c>
      <c r="M997" t="str">
        <f>IF(OR((NHL2025_26Results[[#This Row],[Winning Team]]="")),"-",IF(Table4[[#This Row],[Predicted Winner]]=NHL2025_26Results[[#This Row],[Winning Team]],"YES","NO"))</f>
        <v>-</v>
      </c>
      <c r="N997" t="str">
        <f>IF(Table4[[#This Row],[Adjusted Correct]]="-", "",IF(Table4[[#This Row],[Adjusted Correct]]="YES",(Table4[[#This Row],[Strength of Win]]-1)^2,(Table4[[#This Row],[Strength of Win]]-0)^2))</f>
        <v/>
      </c>
      <c r="P997" s="11"/>
    </row>
    <row r="998" spans="4:16" x14ac:dyDescent="0.2">
      <c r="D998" s="1">
        <v>46088</v>
      </c>
      <c r="E998" s="2">
        <v>0.91666666666666663</v>
      </c>
      <c r="F998" t="s">
        <v>32</v>
      </c>
      <c r="G998">
        <f>VLOOKUP(Table4[[#This Row],[Home]],'NHL Model'!$A$6:$B$38,2,FALSE)</f>
        <v>-0.64937723527808999</v>
      </c>
      <c r="H998" t="s">
        <v>36</v>
      </c>
      <c r="I998">
        <f>VLOOKUP(Table4[[#This Row],[Visitor]],'NHL Model'!$A$6:$B$38,2,FALSE)</f>
        <v>-0.53137605086483863</v>
      </c>
      <c r="J998">
        <f>($B$1+Table4[[#This Row],[Home Differential]])-Table4[[#This Row],[Away Differential]]</f>
        <v>-6.8100435490088929E-2</v>
      </c>
      <c r="K998" t="str">
        <f>IF(Table4[[#This Row],[HomeIce Differential]]&gt;0,Table4[[#This Row],[Home]],Table4[[#This Row],[Visitor]])</f>
        <v>Ottawa Senators</v>
      </c>
      <c r="L9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0.46795173093416148</v>
      </c>
      <c r="M998" t="str">
        <f>IF(OR((NHL2025_26Results[[#This Row],[Winning Team]]="")),"-",IF(Table4[[#This Row],[Predicted Winner]]=NHL2025_26Results[[#This Row],[Winning Team]],"YES","NO"))</f>
        <v>-</v>
      </c>
      <c r="N998" t="str">
        <f>IF(Table4[[#This Row],[Adjusted Correct]]="-", "",IF(Table4[[#This Row],[Adjusted Correct]]="YES",(Table4[[#This Row],[Strength of Win]]-1)^2,(Table4[[#This Row],[Strength of Win]]-0)^2))</f>
        <v/>
      </c>
      <c r="P998" s="11"/>
    </row>
    <row r="999" spans="4:16" x14ac:dyDescent="0.2">
      <c r="D999" s="1">
        <v>46088</v>
      </c>
      <c r="E999" s="2">
        <v>0.91666666666666663</v>
      </c>
      <c r="F999" t="s">
        <v>33</v>
      </c>
      <c r="G999">
        <f>VLOOKUP(Table4[[#This Row],[Home]],'NHL Model'!$A$6:$B$38,2,FALSE)</f>
        <v>-0.45133099238224339</v>
      </c>
      <c r="H999" t="s">
        <v>30</v>
      </c>
      <c r="I999">
        <f>VLOOKUP(Table4[[#This Row],[Visitor]],'NHL Model'!$A$6:$B$38,2,FALSE)</f>
        <v>-0.24093199744133265</v>
      </c>
      <c r="J999">
        <f>($B$1+Table4[[#This Row],[Home Differential]])-Table4[[#This Row],[Away Differential]]</f>
        <v>-0.16049824601774826</v>
      </c>
      <c r="K999" t="str">
        <f>IF(Table4[[#This Row],[HomeIce Differential]]&gt;0,Table4[[#This Row],[Home]],Table4[[#This Row],[Visitor]])</f>
        <v>New York Islanders</v>
      </c>
      <c r="L9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0.54118951859945774</v>
      </c>
      <c r="M999" t="str">
        <f>IF(OR((NHL2025_26Results[[#This Row],[Winning Team]]="")),"-",IF(Table4[[#This Row],[Predicted Winner]]=NHL2025_26Results[[#This Row],[Winning Team]],"YES","NO"))</f>
        <v>-</v>
      </c>
      <c r="N999" t="str">
        <f>IF(Table4[[#This Row],[Adjusted Correct]]="-", "",IF(Table4[[#This Row],[Adjusted Correct]]="YES",(Table4[[#This Row],[Strength of Win]]-1)^2,(Table4[[#This Row],[Strength of Win]]-0)^2))</f>
        <v/>
      </c>
      <c r="P999" s="11"/>
    </row>
    <row r="1000" spans="4:16" x14ac:dyDescent="0.2">
      <c r="D1000" s="1">
        <v>46088</v>
      </c>
      <c r="E1000" s="2">
        <v>0.79166666666666663</v>
      </c>
      <c r="F1000" t="s">
        <v>19</v>
      </c>
      <c r="G1000">
        <f>VLOOKUP(Table4[[#This Row],[Home]],'NHL Model'!$A$6:$B$38,2,FALSE)</f>
        <v>-0.63447859131898054</v>
      </c>
      <c r="H1000" t="s">
        <v>37</v>
      </c>
      <c r="I1000">
        <f>VLOOKUP(Table4[[#This Row],[Visitor]],'NHL Model'!$A$6:$B$38,2,FALSE)</f>
        <v>0.51050494674660429</v>
      </c>
      <c r="J1000">
        <f>($B$1+Table4[[#This Row],[Home Differential]])-Table4[[#This Row],[Away Differential]]</f>
        <v>-1.0950827891424224</v>
      </c>
      <c r="K1000" t="str">
        <f>IF(Table4[[#This Row],[HomeIce Differential]]&gt;0,Table4[[#This Row],[Home]],Table4[[#This Row],[Visitor]])</f>
        <v>Tampa Bay Lightning</v>
      </c>
      <c r="L10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0.6803532657461332</v>
      </c>
      <c r="M1000" t="str">
        <f>IF(OR((NHL2025_26Results[[#This Row],[Winning Team]]="")),"-",IF(Table4[[#This Row],[Predicted Winner]]=NHL2025_26Results[[#This Row],[Winning Team]],"YES","NO"))</f>
        <v>-</v>
      </c>
      <c r="N1000" t="str">
        <f>IF(Table4[[#This Row],[Adjusted Correct]]="-", "",IF(Table4[[#This Row],[Adjusted Correct]]="YES",(Table4[[#This Row],[Strength of Win]]-1)^2,(Table4[[#This Row],[Strength of Win]]-0)^2))</f>
        <v/>
      </c>
      <c r="P1000" s="11"/>
    </row>
    <row r="1001" spans="4:16" x14ac:dyDescent="0.2">
      <c r="D1001" s="1">
        <v>46088</v>
      </c>
      <c r="E1001" s="2">
        <v>0.79166666666666663</v>
      </c>
      <c r="F1001" t="s">
        <v>40</v>
      </c>
      <c r="G1001">
        <f>VLOOKUP(Table4[[#This Row],[Home]],'NHL Model'!$A$6:$B$38,2,FALSE)</f>
        <v>-0.31324182378279158</v>
      </c>
      <c r="H1001" t="s">
        <v>38</v>
      </c>
      <c r="I1001">
        <f>VLOOKUP(Table4[[#This Row],[Visitor]],'NHL Model'!$A$6:$B$38,2,FALSE)</f>
        <v>-0.9476777551108041</v>
      </c>
      <c r="J1001">
        <f>($B$1+Table4[[#This Row],[Home Differential]])-Table4[[#This Row],[Away Differential]]</f>
        <v>0.684336680251175</v>
      </c>
      <c r="K1001" t="str">
        <f>IF(Table4[[#This Row],[HomeIce Differential]]&gt;0,Table4[[#This Row],[Home]],Table4[[#This Row],[Visitor]])</f>
        <v>Winnipeg Jets</v>
      </c>
      <c r="L10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0.61882856319649504</v>
      </c>
      <c r="M1001" t="str">
        <f>IF(OR((NHL2025_26Results[[#This Row],[Winning Team]]="")),"-",IF(Table4[[#This Row],[Predicted Winner]]=NHL2025_26Results[[#This Row],[Winning Team]],"YES","NO"))</f>
        <v>-</v>
      </c>
      <c r="N1001" t="str">
        <f>IF(Table4[[#This Row],[Adjusted Correct]]="-", "",IF(Table4[[#This Row],[Adjusted Correct]]="YES",(Table4[[#This Row],[Strength of Win]]-1)^2,(Table4[[#This Row],[Strength of Win]]-0)^2))</f>
        <v/>
      </c>
      <c r="P1001" s="11"/>
    </row>
    <row r="1002" spans="4:16" x14ac:dyDescent="0.2">
      <c r="D1002" s="1">
        <v>46089</v>
      </c>
      <c r="E1002" s="2">
        <v>0.875</v>
      </c>
      <c r="F1002" t="s">
        <v>31</v>
      </c>
      <c r="G1002">
        <f>VLOOKUP(Table4[[#This Row],[Home]],'NHL Model'!$A$6:$B$38,2,FALSE)</f>
        <v>0.17870302183926629</v>
      </c>
      <c r="H1002" t="s">
        <v>35</v>
      </c>
      <c r="I1002">
        <f>VLOOKUP(Table4[[#This Row],[Visitor]],'NHL Model'!$A$6:$B$38,2,FALSE)</f>
        <v>-1.3944783719477225</v>
      </c>
      <c r="J1002">
        <f>($B$1+Table4[[#This Row],[Home Differential]])-Table4[[#This Row],[Away Differential]]</f>
        <v>1.6230821427101512</v>
      </c>
      <c r="K1002" t="str">
        <f>IF(Table4[[#This Row],[HomeIce Differential]]&gt;0,Table4[[#This Row],[Home]],Table4[[#This Row],[Visitor]])</f>
        <v>Anaheim Ducks</v>
      </c>
      <c r="L10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0.80935350588794874</v>
      </c>
      <c r="M1002" t="str">
        <f>IF(OR((NHL2025_26Results[[#This Row],[Winning Team]]="")),"-",IF(Table4[[#This Row],[Predicted Winner]]=NHL2025_26Results[[#This Row],[Winning Team]],"YES","NO"))</f>
        <v>-</v>
      </c>
      <c r="N1002" t="str">
        <f>IF(Table4[[#This Row],[Adjusted Correct]]="-", "",IF(Table4[[#This Row],[Adjusted Correct]]="YES",(Table4[[#This Row],[Strength of Win]]-1)^2,(Table4[[#This Row],[Strength of Win]]-0)^2))</f>
        <v/>
      </c>
      <c r="P1002" s="11"/>
    </row>
    <row r="1003" spans="4:16" x14ac:dyDescent="0.2">
      <c r="D1003" s="1">
        <v>46089</v>
      </c>
      <c r="E1003" s="2">
        <v>0.75</v>
      </c>
      <c r="F1003" t="s">
        <v>23</v>
      </c>
      <c r="G1003">
        <f>VLOOKUP(Table4[[#This Row],[Home]],'NHL Model'!$A$6:$B$38,2,FALSE)</f>
        <v>-0.4761104357405897</v>
      </c>
      <c r="H1003" t="s">
        <v>37</v>
      </c>
      <c r="I1003">
        <f>VLOOKUP(Table4[[#This Row],[Visitor]],'NHL Model'!$A$6:$B$38,2,FALSE)</f>
        <v>0.51050494674660429</v>
      </c>
      <c r="J1003">
        <f>($B$1+Table4[[#This Row],[Home Differential]])-Table4[[#This Row],[Away Differential]]</f>
        <v>-0.93671463356403151</v>
      </c>
      <c r="K1003" t="str">
        <f>IF(Table4[[#This Row],[HomeIce Differential]]&gt;0,Table4[[#This Row],[Home]],Table4[[#This Row],[Visitor]])</f>
        <v>Tampa Bay Lightning</v>
      </c>
      <c r="L10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0.65174813974582668</v>
      </c>
      <c r="M1003" t="str">
        <f>IF(OR((NHL2025_26Results[[#This Row],[Winning Team]]="")),"-",IF(Table4[[#This Row],[Predicted Winner]]=NHL2025_26Results[[#This Row],[Winning Team]],"YES","NO"))</f>
        <v>-</v>
      </c>
      <c r="N1003" t="str">
        <f>IF(Table4[[#This Row],[Adjusted Correct]]="-", "",IF(Table4[[#This Row],[Adjusted Correct]]="YES",(Table4[[#This Row],[Strength of Win]]-1)^2,(Table4[[#This Row],[Strength of Win]]-0)^2))</f>
        <v/>
      </c>
      <c r="P1003" s="11"/>
    </row>
    <row r="1004" spans="4:16" x14ac:dyDescent="0.2">
      <c r="D1004" s="1">
        <v>46089</v>
      </c>
      <c r="E1004" s="2">
        <v>0.58333333333333337</v>
      </c>
      <c r="F1004" t="s">
        <v>12</v>
      </c>
      <c r="G1004">
        <f>VLOOKUP(Table4[[#This Row],[Home]],'NHL Model'!$A$6:$B$38,2,FALSE)</f>
        <v>1.6319036584269762</v>
      </c>
      <c r="H1004" t="s">
        <v>34</v>
      </c>
      <c r="I1004">
        <f>VLOOKUP(Table4[[#This Row],[Visitor]],'NHL Model'!$A$6:$B$38,2,FALSE)</f>
        <v>-5.5124787449478845E-2</v>
      </c>
      <c r="J1004">
        <f>($B$1+Table4[[#This Row],[Home Differential]])-Table4[[#This Row],[Away Differential]]</f>
        <v>1.7369291947996175</v>
      </c>
      <c r="K1004" t="str">
        <f>IF(Table4[[#This Row],[HomeIce Differential]]&gt;0,Table4[[#This Row],[Home]],Table4[[#This Row],[Visitor]])</f>
        <v>Colorado Avalanche</v>
      </c>
      <c r="L10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0.80720772313376354</v>
      </c>
      <c r="M1004" t="str">
        <f>IF(OR((NHL2025_26Results[[#This Row],[Winning Team]]="")),"-",IF(Table4[[#This Row],[Predicted Winner]]=NHL2025_26Results[[#This Row],[Winning Team]],"YES","NO"))</f>
        <v>-</v>
      </c>
      <c r="N1004" t="str">
        <f>IF(Table4[[#This Row],[Adjusted Correct]]="-", "",IF(Table4[[#This Row],[Adjusted Correct]]="YES",(Table4[[#This Row],[Strength of Win]]-1)^2,(Table4[[#This Row],[Strength of Win]]-0)^2))</f>
        <v/>
      </c>
      <c r="P1004" s="11"/>
    </row>
    <row r="1005" spans="4:16" x14ac:dyDescent="0.2">
      <c r="D1005" s="1">
        <v>46089</v>
      </c>
      <c r="E1005" s="2">
        <v>0.75</v>
      </c>
      <c r="F1005" t="s">
        <v>39</v>
      </c>
      <c r="G1005">
        <f>VLOOKUP(Table4[[#This Row],[Home]],'NHL Model'!$A$6:$B$38,2,FALSE)</f>
        <v>0.41344250185511977</v>
      </c>
      <c r="H1005" t="s">
        <v>10</v>
      </c>
      <c r="I1005">
        <f>VLOOKUP(Table4[[#This Row],[Visitor]],'NHL Model'!$A$6:$B$38,2,FALSE)</f>
        <v>-0.17619625518431364</v>
      </c>
      <c r="J1005">
        <f>($B$1+Table4[[#This Row],[Home Differential]])-Table4[[#This Row],[Away Differential]]</f>
        <v>0.6395395059625959</v>
      </c>
      <c r="K1005" t="str">
        <f>IF(Table4[[#This Row],[HomeIce Differential]]&gt;0,Table4[[#This Row],[Home]],Table4[[#This Row],[Visitor]])</f>
        <v>Dallas Stars</v>
      </c>
      <c r="L10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0.64692174205887343</v>
      </c>
      <c r="M1005" t="str">
        <f>IF(OR((NHL2025_26Results[[#This Row],[Winning Team]]="")),"-",IF(Table4[[#This Row],[Predicted Winner]]=NHL2025_26Results[[#This Row],[Winning Team]],"YES","NO"))</f>
        <v>-</v>
      </c>
      <c r="N1005" t="str">
        <f>IF(Table4[[#This Row],[Adjusted Correct]]="-", "",IF(Table4[[#This Row],[Adjusted Correct]]="YES",(Table4[[#This Row],[Strength of Win]]-1)^2,(Table4[[#This Row],[Strength of Win]]-0)^2))</f>
        <v/>
      </c>
      <c r="P1005" s="11"/>
    </row>
    <row r="1006" spans="4:16" x14ac:dyDescent="0.2">
      <c r="D1006" s="1">
        <v>46089</v>
      </c>
      <c r="E1006" s="2">
        <v>0.79166666666666663</v>
      </c>
      <c r="F1006" t="s">
        <v>24</v>
      </c>
      <c r="G1006">
        <f>VLOOKUP(Table4[[#This Row],[Home]],'NHL Model'!$A$6:$B$38,2,FALSE)</f>
        <v>1.5302507646042616E-3</v>
      </c>
      <c r="H1006" t="s">
        <v>26</v>
      </c>
      <c r="I1006">
        <f>VLOOKUP(Table4[[#This Row],[Visitor]],'NHL Model'!$A$6:$B$38,2,FALSE)</f>
        <v>-0.87533956503230947</v>
      </c>
      <c r="J1006">
        <f>($B$1+Table4[[#This Row],[Home Differential]])-Table4[[#This Row],[Away Differential]]</f>
        <v>0.92677056472007624</v>
      </c>
      <c r="K1006" t="str">
        <f>IF(Table4[[#This Row],[HomeIce Differential]]&gt;0,Table4[[#This Row],[Home]],Table4[[#This Row],[Visitor]])</f>
        <v>New Jersey Devils</v>
      </c>
      <c r="L10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0.72804885233218297</v>
      </c>
      <c r="M1006" t="str">
        <f>IF(OR((NHL2025_26Results[[#This Row],[Winning Team]]="")),"-",IF(Table4[[#This Row],[Predicted Winner]]=NHL2025_26Results[[#This Row],[Winning Team]],"YES","NO"))</f>
        <v>-</v>
      </c>
      <c r="N1006" t="str">
        <f>IF(Table4[[#This Row],[Adjusted Correct]]="-", "",IF(Table4[[#This Row],[Adjusted Correct]]="YES",(Table4[[#This Row],[Strength of Win]]-1)^2,(Table4[[#This Row],[Strength of Win]]-0)^2))</f>
        <v/>
      </c>
      <c r="P1006" s="11"/>
    </row>
    <row r="1007" spans="4:16" x14ac:dyDescent="0.2">
      <c r="D1007" s="1">
        <v>46089</v>
      </c>
      <c r="E1007" s="2">
        <v>0.6875</v>
      </c>
      <c r="F1007" t="s">
        <v>14</v>
      </c>
      <c r="G1007">
        <f>VLOOKUP(Table4[[#This Row],[Home]],'NHL Model'!$A$6:$B$38,2,FALSE)</f>
        <v>-0.14226422156549004</v>
      </c>
      <c r="H1007" t="s">
        <v>21</v>
      </c>
      <c r="I1007">
        <f>VLOOKUP(Table4[[#This Row],[Visitor]],'NHL Model'!$A$6:$B$38,2,FALSE)</f>
        <v>-0.21976976044773161</v>
      </c>
      <c r="J1007">
        <f>($B$1+Table4[[#This Row],[Home Differential]])-Table4[[#This Row],[Away Differential]]</f>
        <v>0.12740628780540403</v>
      </c>
      <c r="K1007" t="str">
        <f>IF(Table4[[#This Row],[HomeIce Differential]]&gt;0,Table4[[#This Row],[Home]],Table4[[#This Row],[Visitor]])</f>
        <v>Pittsburgh Penguins</v>
      </c>
      <c r="L10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0.5540470713963267</v>
      </c>
      <c r="M1007" t="str">
        <f>IF(OR((NHL2025_26Results[[#This Row],[Winning Team]]="")),"-",IF(Table4[[#This Row],[Predicted Winner]]=NHL2025_26Results[[#This Row],[Winning Team]],"YES","NO"))</f>
        <v>-</v>
      </c>
      <c r="N1007" t="str">
        <f>IF(Table4[[#This Row],[Adjusted Correct]]="-", "",IF(Table4[[#This Row],[Adjusted Correct]]="YES",(Table4[[#This Row],[Strength of Win]]-1)^2,(Table4[[#This Row],[Strength of Win]]-0)^2))</f>
        <v/>
      </c>
      <c r="P1007" s="11"/>
    </row>
    <row r="1008" spans="4:16" x14ac:dyDescent="0.2">
      <c r="D1008" s="1">
        <v>46089</v>
      </c>
      <c r="E1008" s="2">
        <v>0.89583333333333337</v>
      </c>
      <c r="F1008" t="s">
        <v>20</v>
      </c>
      <c r="G1008">
        <f>VLOOKUP(Table4[[#This Row],[Home]],'NHL Model'!$A$6:$B$38,2,FALSE)</f>
        <v>-0.24444083032063643</v>
      </c>
      <c r="H1008" t="s">
        <v>17</v>
      </c>
      <c r="I1008">
        <f>VLOOKUP(Table4[[#This Row],[Visitor]],'NHL Model'!$A$6:$B$38,2,FALSE)</f>
        <v>-0.81774666423752174</v>
      </c>
      <c r="J1008">
        <f>($B$1+Table4[[#This Row],[Home Differential]])-Table4[[#This Row],[Away Differential]]</f>
        <v>0.62320658284004771</v>
      </c>
      <c r="K1008" t="str">
        <f>IF(Table4[[#This Row],[HomeIce Differential]]&gt;0,Table4[[#This Row],[Home]],Table4[[#This Row],[Visitor]])</f>
        <v>Vegas Golden Knights</v>
      </c>
      <c r="L10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0.61276856641927757</v>
      </c>
      <c r="M1008" t="str">
        <f>IF(OR((NHL2025_26Results[[#This Row],[Winning Team]]="")),"-",IF(Table4[[#This Row],[Predicted Winner]]=NHL2025_26Results[[#This Row],[Winning Team]],"YES","NO"))</f>
        <v>-</v>
      </c>
      <c r="N1008" t="str">
        <f>IF(Table4[[#This Row],[Adjusted Correct]]="-", "",IF(Table4[[#This Row],[Adjusted Correct]]="YES",(Table4[[#This Row],[Strength of Win]]-1)^2,(Table4[[#This Row],[Strength of Win]]-0)^2))</f>
        <v/>
      </c>
      <c r="P1008" s="11"/>
    </row>
    <row r="1009" spans="4:16" x14ac:dyDescent="0.2">
      <c r="D1009" s="1">
        <v>46090</v>
      </c>
      <c r="E1009" s="2">
        <v>0.85416666666666663</v>
      </c>
      <c r="F1009" t="s">
        <v>10</v>
      </c>
      <c r="G1009">
        <f>VLOOKUP(Table4[[#This Row],[Home]],'NHL Model'!$A$6:$B$38,2,FALSE)</f>
        <v>-0.17619625518431364</v>
      </c>
      <c r="H1009" t="s">
        <v>55</v>
      </c>
      <c r="I1009">
        <f>VLOOKUP(Table4[[#This Row],[Visitor]],'NHL Model'!$A$6:$B$38,2,FALSE)</f>
        <v>-0.4031232890211825</v>
      </c>
      <c r="J1009">
        <f>($B$1+Table4[[#This Row],[Home Differential]])-Table4[[#This Row],[Away Differential]]</f>
        <v>0.27682778276003128</v>
      </c>
      <c r="K1009" t="str">
        <f>IF(Table4[[#This Row],[HomeIce Differential]]&gt;0,Table4[[#This Row],[Home]],Table4[[#This Row],[Visitor]])</f>
        <v>Chicago Blackhawks</v>
      </c>
      <c r="L10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0.57232372932370801</v>
      </c>
      <c r="M1009" t="str">
        <f>IF(OR((NHL2025_26Results[[#This Row],[Winning Team]]="")),"-",IF(Table4[[#This Row],[Predicted Winner]]=NHL2025_26Results[[#This Row],[Winning Team]],"YES","NO"))</f>
        <v>-</v>
      </c>
      <c r="N1009" t="str">
        <f>IF(Table4[[#This Row],[Adjusted Correct]]="-", "",IF(Table4[[#This Row],[Adjusted Correct]]="YES",(Table4[[#This Row],[Strength of Win]]-1)^2,(Table4[[#This Row],[Strength of Win]]-0)^2))</f>
        <v/>
      </c>
      <c r="P1009" s="11"/>
    </row>
    <row r="1010" spans="4:16" x14ac:dyDescent="0.2">
      <c r="D1010" s="1">
        <v>46090</v>
      </c>
      <c r="E1010" s="2">
        <v>0.79166666666666663</v>
      </c>
      <c r="F1010" t="s">
        <v>27</v>
      </c>
      <c r="G1010">
        <f>VLOOKUP(Table4[[#This Row],[Home]],'NHL Model'!$A$6:$B$38,2,FALSE)</f>
        <v>-0.38023958350631604</v>
      </c>
      <c r="H1010" t="s">
        <v>15</v>
      </c>
      <c r="I1010">
        <f>VLOOKUP(Table4[[#This Row],[Visitor]],'NHL Model'!$A$6:$B$38,2,FALSE)</f>
        <v>-0.29003398448394263</v>
      </c>
      <c r="J1010">
        <f>($B$1+Table4[[#This Row],[Home Differential]])-Table4[[#This Row],[Away Differential]]</f>
        <v>-4.030485009921092E-2</v>
      </c>
      <c r="K1010" t="str">
        <f>IF(Table4[[#This Row],[HomeIce Differential]]&gt;0,Table4[[#This Row],[Home]],Table4[[#This Row],[Visitor]])</f>
        <v>New York Rangers</v>
      </c>
      <c r="L10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0.55080547688635673</v>
      </c>
      <c r="M1010" t="str">
        <f>IF(OR((NHL2025_26Results[[#This Row],[Winning Team]]="")),"-",IF(Table4[[#This Row],[Predicted Winner]]=NHL2025_26Results[[#This Row],[Winning Team]],"YES","NO"))</f>
        <v>-</v>
      </c>
      <c r="N1010" t="str">
        <f>IF(Table4[[#This Row],[Adjusted Correct]]="-", "",IF(Table4[[#This Row],[Adjusted Correct]]="YES",(Table4[[#This Row],[Strength of Win]]-1)^2,(Table4[[#This Row],[Strength of Win]]-0)^2))</f>
        <v/>
      </c>
      <c r="P1010" s="11"/>
    </row>
    <row r="1011" spans="4:16" x14ac:dyDescent="0.2">
      <c r="D1011" s="1">
        <v>46090</v>
      </c>
      <c r="E1011" s="2">
        <v>0.875</v>
      </c>
      <c r="F1011" t="s">
        <v>38</v>
      </c>
      <c r="G1011">
        <f>VLOOKUP(Table4[[#This Row],[Home]],'NHL Model'!$A$6:$B$38,2,FALSE)</f>
        <v>-0.9476777551108041</v>
      </c>
      <c r="H1011" t="s">
        <v>36</v>
      </c>
      <c r="I1011">
        <f>VLOOKUP(Table4[[#This Row],[Visitor]],'NHL Model'!$A$6:$B$38,2,FALSE)</f>
        <v>-0.53137605086483863</v>
      </c>
      <c r="J1011">
        <f>($B$1+Table4[[#This Row],[Home Differential]])-Table4[[#This Row],[Away Differential]]</f>
        <v>-0.36640095532280303</v>
      </c>
      <c r="K1011" t="str">
        <f>IF(Table4[[#This Row],[HomeIce Differential]]&gt;0,Table4[[#This Row],[Home]],Table4[[#This Row],[Visitor]])</f>
        <v>Ottawa Senators</v>
      </c>
      <c r="L10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0.50278271922608575</v>
      </c>
      <c r="M1011" t="str">
        <f>IF(OR((NHL2025_26Results[[#This Row],[Winning Team]]="")),"-",IF(Table4[[#This Row],[Predicted Winner]]=NHL2025_26Results[[#This Row],[Winning Team]],"YES","NO"))</f>
        <v>-</v>
      </c>
      <c r="N1011" t="str">
        <f>IF(Table4[[#This Row],[Adjusted Correct]]="-", "",IF(Table4[[#This Row],[Adjusted Correct]]="YES",(Table4[[#This Row],[Strength of Win]]-1)^2,(Table4[[#This Row],[Strength of Win]]-0)^2))</f>
        <v/>
      </c>
      <c r="P1011" s="11"/>
    </row>
    <row r="1012" spans="4:16" x14ac:dyDescent="0.2">
      <c r="D1012" s="1">
        <v>46090</v>
      </c>
      <c r="E1012" s="2">
        <v>0.79166666666666663</v>
      </c>
      <c r="F1012" t="s">
        <v>22</v>
      </c>
      <c r="G1012">
        <f>VLOOKUP(Table4[[#This Row],[Home]],'NHL Model'!$A$6:$B$38,2,FALSE)</f>
        <v>0.4407072328537569</v>
      </c>
      <c r="H1012" t="s">
        <v>16</v>
      </c>
      <c r="I1012">
        <f>VLOOKUP(Table4[[#This Row],[Visitor]],'NHL Model'!$A$6:$B$38,2,FALSE)</f>
        <v>-1.0657812790446208</v>
      </c>
      <c r="J1012">
        <f>($B$1+Table4[[#This Row],[Home Differential]])-Table4[[#This Row],[Away Differential]]</f>
        <v>1.5563892608215402</v>
      </c>
      <c r="K1012" t="str">
        <f>IF(Table4[[#This Row],[HomeIce Differential]]&gt;0,Table4[[#This Row],[Home]],Table4[[#This Row],[Visitor]])</f>
        <v>Washington Capitals</v>
      </c>
      <c r="L10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0.74776915271602318</v>
      </c>
      <c r="M1012" t="str">
        <f>IF(OR((NHL2025_26Results[[#This Row],[Winning Team]]="")),"-",IF(Table4[[#This Row],[Predicted Winner]]=NHL2025_26Results[[#This Row],[Winning Team]],"YES","NO"))</f>
        <v>-</v>
      </c>
      <c r="N1012" t="str">
        <f>IF(Table4[[#This Row],[Adjusted Correct]]="-", "",IF(Table4[[#This Row],[Adjusted Correct]]="YES",(Table4[[#This Row],[Strength of Win]]-1)^2,(Table4[[#This Row],[Strength of Win]]-0)^2))</f>
        <v/>
      </c>
      <c r="P1012" s="11"/>
    </row>
    <row r="1013" spans="4:16" x14ac:dyDescent="0.2">
      <c r="D1013" s="1">
        <v>46091</v>
      </c>
      <c r="E1013" s="2">
        <v>0.79166666666666663</v>
      </c>
      <c r="F1013" t="s">
        <v>21</v>
      </c>
      <c r="G1013">
        <f>VLOOKUP(Table4[[#This Row],[Home]],'NHL Model'!$A$6:$B$38,2,FALSE)</f>
        <v>-0.21976976044773161</v>
      </c>
      <c r="H1013" t="s">
        <v>13</v>
      </c>
      <c r="I1013">
        <f>VLOOKUP(Table4[[#This Row],[Visitor]],'NHL Model'!$A$6:$B$38,2,FALSE)</f>
        <v>-0.33828359867721369</v>
      </c>
      <c r="J1013">
        <f>($B$1+Table4[[#This Row],[Home Differential]])-Table4[[#This Row],[Away Differential]]</f>
        <v>0.16841458715264454</v>
      </c>
      <c r="K1013" t="str">
        <f>IF(Table4[[#This Row],[HomeIce Differential]]&gt;0,Table4[[#This Row],[Home]],Table4[[#This Row],[Visitor]])</f>
        <v>Boston Bruins</v>
      </c>
      <c r="L10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0.53690626798232133</v>
      </c>
      <c r="M1013" t="str">
        <f>IF(OR((NHL2025_26Results[[#This Row],[Winning Team]]="")),"-",IF(Table4[[#This Row],[Predicted Winner]]=NHL2025_26Results[[#This Row],[Winning Team]],"YES","NO"))</f>
        <v>-</v>
      </c>
      <c r="N1013" t="str">
        <f>IF(Table4[[#This Row],[Adjusted Correct]]="-", "",IF(Table4[[#This Row],[Adjusted Correct]]="YES",(Table4[[#This Row],[Strength of Win]]-1)^2,(Table4[[#This Row],[Strength of Win]]-0)^2))</f>
        <v/>
      </c>
      <c r="P1013" s="11"/>
    </row>
    <row r="1014" spans="4:16" x14ac:dyDescent="0.2">
      <c r="D1014" s="1">
        <v>46091</v>
      </c>
      <c r="E1014" s="2">
        <v>0.79166666666666663</v>
      </c>
      <c r="F1014" t="s">
        <v>23</v>
      </c>
      <c r="G1014">
        <f>VLOOKUP(Table4[[#This Row],[Home]],'NHL Model'!$A$6:$B$38,2,FALSE)</f>
        <v>-0.4761104357405897</v>
      </c>
      <c r="H1014" t="s">
        <v>33</v>
      </c>
      <c r="I1014">
        <f>VLOOKUP(Table4[[#This Row],[Visitor]],'NHL Model'!$A$6:$B$38,2,FALSE)</f>
        <v>-0.45133099238224339</v>
      </c>
      <c r="J1014">
        <f>($B$1+Table4[[#This Row],[Home Differential]])-Table4[[#This Row],[Away Differential]]</f>
        <v>2.5121305564816176E-2</v>
      </c>
      <c r="K1014" t="str">
        <f>IF(Table4[[#This Row],[HomeIce Differential]]&gt;0,Table4[[#This Row],[Home]],Table4[[#This Row],[Visitor]])</f>
        <v>Buffalo Sabres</v>
      </c>
      <c r="L10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0.55305553257745377</v>
      </c>
      <c r="M1014" t="str">
        <f>IF(OR((NHL2025_26Results[[#This Row],[Winning Team]]="")),"-",IF(Table4[[#This Row],[Predicted Winner]]=NHL2025_26Results[[#This Row],[Winning Team]],"YES","NO"))</f>
        <v>-</v>
      </c>
      <c r="N1014" t="str">
        <f>IF(Table4[[#This Row],[Adjusted Correct]]="-", "",IF(Table4[[#This Row],[Adjusted Correct]]="YES",(Table4[[#This Row],[Strength of Win]]-1)^2,(Table4[[#This Row],[Strength of Win]]-0)^2))</f>
        <v/>
      </c>
      <c r="P1014" s="11"/>
    </row>
    <row r="1015" spans="4:16" x14ac:dyDescent="0.2">
      <c r="D1015" s="1">
        <v>46091</v>
      </c>
      <c r="E1015" s="2">
        <v>0.79166666666666663</v>
      </c>
      <c r="F1015" t="s">
        <v>25</v>
      </c>
      <c r="G1015">
        <f>VLOOKUP(Table4[[#This Row],[Home]],'NHL Model'!$A$6:$B$38,2,FALSE)</f>
        <v>0.42567513732855267</v>
      </c>
      <c r="H1015" t="s">
        <v>14</v>
      </c>
      <c r="I1015">
        <f>VLOOKUP(Table4[[#This Row],[Visitor]],'NHL Model'!$A$6:$B$38,2,FALSE)</f>
        <v>-0.14226422156549004</v>
      </c>
      <c r="J1015">
        <f>($B$1+Table4[[#This Row],[Home Differential]])-Table4[[#This Row],[Away Differential]]</f>
        <v>0.61784010781720522</v>
      </c>
      <c r="K1015" t="str">
        <f>IF(Table4[[#This Row],[HomeIce Differential]]&gt;0,Table4[[#This Row],[Home]],Table4[[#This Row],[Visitor]])</f>
        <v>Carolina Hurricanes</v>
      </c>
      <c r="L10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0.62533344061854423</v>
      </c>
      <c r="M1015" t="str">
        <f>IF(OR((NHL2025_26Results[[#This Row],[Winning Team]]="")),"-",IF(Table4[[#This Row],[Predicted Winner]]=NHL2025_26Results[[#This Row],[Winning Team]],"YES","NO"))</f>
        <v>-</v>
      </c>
      <c r="N1015" t="str">
        <f>IF(Table4[[#This Row],[Adjusted Correct]]="-", "",IF(Table4[[#This Row],[Adjusted Correct]]="YES",(Table4[[#This Row],[Strength of Win]]-1)^2,(Table4[[#This Row],[Strength of Win]]-0)^2))</f>
        <v/>
      </c>
      <c r="P1015" s="11"/>
    </row>
    <row r="1016" spans="4:16" x14ac:dyDescent="0.2">
      <c r="D1016" s="1">
        <v>46091</v>
      </c>
      <c r="E1016" s="2">
        <v>0.91666666666666663</v>
      </c>
      <c r="F1016" t="s">
        <v>12</v>
      </c>
      <c r="G1016">
        <f>VLOOKUP(Table4[[#This Row],[Home]],'NHL Model'!$A$6:$B$38,2,FALSE)</f>
        <v>1.6319036584269762</v>
      </c>
      <c r="H1016" t="s">
        <v>17</v>
      </c>
      <c r="I1016">
        <f>VLOOKUP(Table4[[#This Row],[Visitor]],'NHL Model'!$A$6:$B$38,2,FALSE)</f>
        <v>-0.81774666423752174</v>
      </c>
      <c r="J1016">
        <f>($B$1+Table4[[#This Row],[Home Differential]])-Table4[[#This Row],[Away Differential]]</f>
        <v>2.4995510715876605</v>
      </c>
      <c r="K1016" t="str">
        <f>IF(Table4[[#This Row],[HomeIce Differential]]&gt;0,Table4[[#This Row],[Home]],Table4[[#This Row],[Visitor]])</f>
        <v>Colorado Avalanche</v>
      </c>
      <c r="L10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0.93618937525596579</v>
      </c>
      <c r="M1016" t="str">
        <f>IF(OR((NHL2025_26Results[[#This Row],[Winning Team]]="")),"-",IF(Table4[[#This Row],[Predicted Winner]]=NHL2025_26Results[[#This Row],[Winning Team]],"YES","NO"))</f>
        <v>-</v>
      </c>
      <c r="N1016" t="str">
        <f>IF(Table4[[#This Row],[Adjusted Correct]]="-", "",IF(Table4[[#This Row],[Adjusted Correct]]="YES",(Table4[[#This Row],[Strength of Win]]-1)^2,(Table4[[#This Row],[Strength of Win]]-0)^2))</f>
        <v/>
      </c>
      <c r="P1016" s="11"/>
    </row>
    <row r="1017" spans="4:16" x14ac:dyDescent="0.2">
      <c r="D1017" s="1">
        <v>46091</v>
      </c>
      <c r="E1017" s="2">
        <v>0.83333333333333337</v>
      </c>
      <c r="F1017" t="s">
        <v>39</v>
      </c>
      <c r="G1017">
        <f>VLOOKUP(Table4[[#This Row],[Home]],'NHL Model'!$A$6:$B$38,2,FALSE)</f>
        <v>0.41344250185511977</v>
      </c>
      <c r="H1017" t="s">
        <v>20</v>
      </c>
      <c r="I1017">
        <f>VLOOKUP(Table4[[#This Row],[Visitor]],'NHL Model'!$A$6:$B$38,2,FALSE)</f>
        <v>-0.24444083032063643</v>
      </c>
      <c r="J1017">
        <f>($B$1+Table4[[#This Row],[Home Differential]])-Table4[[#This Row],[Away Differential]]</f>
        <v>0.70778408109891866</v>
      </c>
      <c r="K1017" t="str">
        <f>IF(Table4[[#This Row],[HomeIce Differential]]&gt;0,Table4[[#This Row],[Home]],Table4[[#This Row],[Visitor]])</f>
        <v>Dallas Stars</v>
      </c>
      <c r="L10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0.65489030342408205</v>
      </c>
      <c r="M1017" t="str">
        <f>IF(OR((NHL2025_26Results[[#This Row],[Winning Team]]="")),"-",IF(Table4[[#This Row],[Predicted Winner]]=NHL2025_26Results[[#This Row],[Winning Team]],"YES","NO"))</f>
        <v>-</v>
      </c>
      <c r="N1017" t="str">
        <f>IF(Table4[[#This Row],[Adjusted Correct]]="-", "",IF(Table4[[#This Row],[Adjusted Correct]]="YES",(Table4[[#This Row],[Strength of Win]]-1)^2,(Table4[[#This Row],[Strength of Win]]-0)^2))</f>
        <v/>
      </c>
      <c r="P1017" s="11"/>
    </row>
    <row r="1018" spans="4:16" x14ac:dyDescent="0.2">
      <c r="D1018" s="1">
        <v>46091</v>
      </c>
      <c r="E1018" s="2">
        <v>0.79166666666666663</v>
      </c>
      <c r="F1018" t="s">
        <v>11</v>
      </c>
      <c r="G1018">
        <f>VLOOKUP(Table4[[#This Row],[Home]],'NHL Model'!$A$6:$B$38,2,FALSE)</f>
        <v>-0.39711829106410657</v>
      </c>
      <c r="H1018" t="s">
        <v>26</v>
      </c>
      <c r="I1018">
        <f>VLOOKUP(Table4[[#This Row],[Visitor]],'NHL Model'!$A$6:$B$38,2,FALSE)</f>
        <v>-0.87533956503230947</v>
      </c>
      <c r="J1018">
        <f>($B$1+Table4[[#This Row],[Home Differential]])-Table4[[#This Row],[Away Differential]]</f>
        <v>0.52812202289136545</v>
      </c>
      <c r="K1018" t="str">
        <f>IF(Table4[[#This Row],[HomeIce Differential]]&gt;0,Table4[[#This Row],[Home]],Table4[[#This Row],[Visitor]])</f>
        <v>Florida Panthers</v>
      </c>
      <c r="L10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0.61568266119593729</v>
      </c>
      <c r="M1018" t="str">
        <f>IF(OR((NHL2025_26Results[[#This Row],[Winning Team]]="")),"-",IF(Table4[[#This Row],[Predicted Winner]]=NHL2025_26Results[[#This Row],[Winning Team]],"YES","NO"))</f>
        <v>-</v>
      </c>
      <c r="N1018" t="str">
        <f>IF(Table4[[#This Row],[Adjusted Correct]]="-", "",IF(Table4[[#This Row],[Adjusted Correct]]="YES",(Table4[[#This Row],[Strength of Win]]-1)^2,(Table4[[#This Row],[Strength of Win]]-0)^2))</f>
        <v/>
      </c>
      <c r="P1018" s="11"/>
    </row>
    <row r="1019" spans="4:16" x14ac:dyDescent="0.2">
      <c r="D1019" s="1">
        <v>46091</v>
      </c>
      <c r="E1019" s="2">
        <v>0.83333333333333337</v>
      </c>
      <c r="F1019" t="s">
        <v>34</v>
      </c>
      <c r="G1019">
        <f>VLOOKUP(Table4[[#This Row],[Home]],'NHL Model'!$A$6:$B$38,2,FALSE)</f>
        <v>-5.5124787449478845E-2</v>
      </c>
      <c r="H1019" t="s">
        <v>55</v>
      </c>
      <c r="I1019">
        <f>VLOOKUP(Table4[[#This Row],[Visitor]],'NHL Model'!$A$6:$B$38,2,FALSE)</f>
        <v>-0.4031232890211825</v>
      </c>
      <c r="J1019">
        <f>($B$1+Table4[[#This Row],[Home Differential]])-Table4[[#This Row],[Away Differential]]</f>
        <v>0.39789925049486613</v>
      </c>
      <c r="K1019" t="str">
        <f>IF(Table4[[#This Row],[HomeIce Differential]]&gt;0,Table4[[#This Row],[Home]],Table4[[#This Row],[Visitor]])</f>
        <v>Minnesota Wild</v>
      </c>
      <c r="L10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0.5864606100690819</v>
      </c>
      <c r="M1019" t="str">
        <f>IF(OR((NHL2025_26Results[[#This Row],[Winning Team]]="")),"-",IF(Table4[[#This Row],[Predicted Winner]]=NHL2025_26Results[[#This Row],[Winning Team]],"YES","NO"))</f>
        <v>-</v>
      </c>
      <c r="N1019" t="str">
        <f>IF(Table4[[#This Row],[Adjusted Correct]]="-", "",IF(Table4[[#This Row],[Adjusted Correct]]="YES",(Table4[[#This Row],[Strength of Win]]-1)^2,(Table4[[#This Row],[Strength of Win]]-0)^2))</f>
        <v/>
      </c>
      <c r="P1019" s="11"/>
    </row>
    <row r="1020" spans="4:16" x14ac:dyDescent="0.2">
      <c r="D1020" s="1">
        <v>46091</v>
      </c>
      <c r="E1020" s="2">
        <v>0.79166666666666663</v>
      </c>
      <c r="F1020" t="s">
        <v>18</v>
      </c>
      <c r="G1020">
        <f>VLOOKUP(Table4[[#This Row],[Home]],'NHL Model'!$A$6:$B$38,2,FALSE)</f>
        <v>-0.59288962827382519</v>
      </c>
      <c r="H1020" t="s">
        <v>19</v>
      </c>
      <c r="I1020">
        <f>VLOOKUP(Table4[[#This Row],[Visitor]],'NHL Model'!$A$6:$B$38,2,FALSE)</f>
        <v>-0.63447859131898054</v>
      </c>
      <c r="J1020">
        <f>($B$1+Table4[[#This Row],[Home Differential]])-Table4[[#This Row],[Away Differential]]</f>
        <v>9.1489711968317788E-2</v>
      </c>
      <c r="K1020" t="str">
        <f>IF(Table4[[#This Row],[HomeIce Differential]]&gt;0,Table4[[#This Row],[Home]],Table4[[#This Row],[Visitor]])</f>
        <v>Montreal Canadiens</v>
      </c>
      <c r="L10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0.55068277416407818</v>
      </c>
      <c r="M1020" t="str">
        <f>IF(OR((NHL2025_26Results[[#This Row],[Winning Team]]="")),"-",IF(Table4[[#This Row],[Predicted Winner]]=NHL2025_26Results[[#This Row],[Winning Team]],"YES","NO"))</f>
        <v>-</v>
      </c>
      <c r="N1020" t="str">
        <f>IF(Table4[[#This Row],[Adjusted Correct]]="-", "",IF(Table4[[#This Row],[Adjusted Correct]]="YES",(Table4[[#This Row],[Strength of Win]]-1)^2,(Table4[[#This Row],[Strength of Win]]-0)^2))</f>
        <v/>
      </c>
      <c r="P1020" s="11"/>
    </row>
    <row r="1021" spans="4:16" x14ac:dyDescent="0.2">
      <c r="D1021" s="1">
        <v>46091</v>
      </c>
      <c r="E1021" s="2">
        <v>0.79166666666666663</v>
      </c>
      <c r="F1021" t="s">
        <v>15</v>
      </c>
      <c r="G1021">
        <f>VLOOKUP(Table4[[#This Row],[Home]],'NHL Model'!$A$6:$B$38,2,FALSE)</f>
        <v>-0.29003398448394263</v>
      </c>
      <c r="H1021" t="s">
        <v>16</v>
      </c>
      <c r="I1021">
        <f>VLOOKUP(Table4[[#This Row],[Visitor]],'NHL Model'!$A$6:$B$38,2,FALSE)</f>
        <v>-1.0657812790446208</v>
      </c>
      <c r="J1021">
        <f>($B$1+Table4[[#This Row],[Home Differential]])-Table4[[#This Row],[Away Differential]]</f>
        <v>0.82564804348384069</v>
      </c>
      <c r="K1021" t="str">
        <f>IF(Table4[[#This Row],[HomeIce Differential]]&gt;0,Table4[[#This Row],[Home]],Table4[[#This Row],[Visitor]])</f>
        <v>New York Rangers</v>
      </c>
      <c r="L10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0.63640659477215578</v>
      </c>
      <c r="M1021" t="str">
        <f>IF(OR((NHL2025_26Results[[#This Row],[Winning Team]]="")),"-",IF(Table4[[#This Row],[Predicted Winner]]=NHL2025_26Results[[#This Row],[Winning Team]],"YES","NO"))</f>
        <v>-</v>
      </c>
      <c r="N1021" t="str">
        <f>IF(Table4[[#This Row],[Adjusted Correct]]="-", "",IF(Table4[[#This Row],[Adjusted Correct]]="YES",(Table4[[#This Row],[Strength of Win]]-1)^2,(Table4[[#This Row],[Strength of Win]]-0)^2))</f>
        <v/>
      </c>
      <c r="P1021" s="11"/>
    </row>
    <row r="1022" spans="4:16" x14ac:dyDescent="0.2">
      <c r="D1022" s="1">
        <v>46091</v>
      </c>
      <c r="E1022" s="2">
        <v>0.91666666666666663</v>
      </c>
      <c r="F1022" t="s">
        <v>32</v>
      </c>
      <c r="G1022">
        <f>VLOOKUP(Table4[[#This Row],[Home]],'NHL Model'!$A$6:$B$38,2,FALSE)</f>
        <v>-0.64937723527808999</v>
      </c>
      <c r="H1022" t="s">
        <v>29</v>
      </c>
      <c r="I1022">
        <f>VLOOKUP(Table4[[#This Row],[Visitor]],'NHL Model'!$A$6:$B$38,2,FALSE)</f>
        <v>-1.384917283810061</v>
      </c>
      <c r="J1022">
        <f>($B$1+Table4[[#This Row],[Home Differential]])-Table4[[#This Row],[Away Differential]]</f>
        <v>0.7854407974551334</v>
      </c>
      <c r="K1022" t="str">
        <f>IF(Table4[[#This Row],[HomeIce Differential]]&gt;0,Table4[[#This Row],[Home]],Table4[[#This Row],[Visitor]])</f>
        <v>Seattle Kraken</v>
      </c>
      <c r="L10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0.63171180538170546</v>
      </c>
      <c r="M1022" t="str">
        <f>IF(OR((NHL2025_26Results[[#This Row],[Winning Team]]="")),"-",IF(Table4[[#This Row],[Predicted Winner]]=NHL2025_26Results[[#This Row],[Winning Team]],"YES","NO"))</f>
        <v>-</v>
      </c>
      <c r="N1022" t="str">
        <f>IF(Table4[[#This Row],[Adjusted Correct]]="-", "",IF(Table4[[#This Row],[Adjusted Correct]]="YES",(Table4[[#This Row],[Strength of Win]]-1)^2,(Table4[[#This Row],[Strength of Win]]-0)^2))</f>
        <v/>
      </c>
      <c r="P1022" s="11"/>
    </row>
    <row r="1023" spans="4:16" x14ac:dyDescent="0.2">
      <c r="D1023" s="1">
        <v>46091</v>
      </c>
      <c r="E1023" s="2">
        <v>0.8125</v>
      </c>
      <c r="F1023" t="s">
        <v>35</v>
      </c>
      <c r="G1023">
        <f>VLOOKUP(Table4[[#This Row],[Home]],'NHL Model'!$A$6:$B$38,2,FALSE)</f>
        <v>-1.3944783719477225</v>
      </c>
      <c r="H1023" t="s">
        <v>30</v>
      </c>
      <c r="I1023">
        <f>VLOOKUP(Table4[[#This Row],[Visitor]],'NHL Model'!$A$6:$B$38,2,FALSE)</f>
        <v>-0.24093199744133265</v>
      </c>
      <c r="J1023">
        <f>($B$1+Table4[[#This Row],[Home Differential]])-Table4[[#This Row],[Away Differential]]</f>
        <v>-1.1036456255832274</v>
      </c>
      <c r="K1023" t="str">
        <f>IF(Table4[[#This Row],[HomeIce Differential]]&gt;0,Table4[[#This Row],[Home]],Table4[[#This Row],[Visitor]])</f>
        <v>New York Islanders</v>
      </c>
      <c r="L10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0.66149008454159564</v>
      </c>
      <c r="M1023" t="str">
        <f>IF(OR((NHL2025_26Results[[#This Row],[Winning Team]]="")),"-",IF(Table4[[#This Row],[Predicted Winner]]=NHL2025_26Results[[#This Row],[Winning Team]],"YES","NO"))</f>
        <v>-</v>
      </c>
      <c r="N1023" t="str">
        <f>IF(Table4[[#This Row],[Adjusted Correct]]="-", "",IF(Table4[[#This Row],[Adjusted Correct]]="YES",(Table4[[#This Row],[Strength of Win]]-1)^2,(Table4[[#This Row],[Strength of Win]]-0)^2))</f>
        <v/>
      </c>
      <c r="P1023" s="11"/>
    </row>
    <row r="1024" spans="4:16" x14ac:dyDescent="0.2">
      <c r="D1024" s="1">
        <v>46091</v>
      </c>
      <c r="E1024" s="2">
        <v>0.79166666666666663</v>
      </c>
      <c r="F1024" t="s">
        <v>37</v>
      </c>
      <c r="G1024">
        <f>VLOOKUP(Table4[[#This Row],[Home]],'NHL Model'!$A$6:$B$38,2,FALSE)</f>
        <v>0.51050494674660429</v>
      </c>
      <c r="H1024" t="s">
        <v>28</v>
      </c>
      <c r="I1024">
        <f>VLOOKUP(Table4[[#This Row],[Visitor]],'NHL Model'!$A$6:$B$38,2,FALSE)</f>
        <v>-0.59498940435054026</v>
      </c>
      <c r="J1024">
        <f>($B$1+Table4[[#This Row],[Home Differential]])-Table4[[#This Row],[Away Differential]]</f>
        <v>1.1553951000203071</v>
      </c>
      <c r="K1024" t="str">
        <f>IF(Table4[[#This Row],[HomeIce Differential]]&gt;0,Table4[[#This Row],[Home]],Table4[[#This Row],[Visitor]])</f>
        <v>Tampa Bay Lightning</v>
      </c>
      <c r="L10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0.70362980948891973</v>
      </c>
      <c r="M1024" t="str">
        <f>IF(OR((NHL2025_26Results[[#This Row],[Winning Team]]="")),"-",IF(Table4[[#This Row],[Predicted Winner]]=NHL2025_26Results[[#This Row],[Winning Team]],"YES","NO"))</f>
        <v>-</v>
      </c>
      <c r="N1024" t="str">
        <f>IF(Table4[[#This Row],[Adjusted Correct]]="-", "",IF(Table4[[#This Row],[Adjusted Correct]]="YES",(Table4[[#This Row],[Strength of Win]]-1)^2,(Table4[[#This Row],[Strength of Win]]-0)^2))</f>
        <v/>
      </c>
      <c r="P1024" s="11"/>
    </row>
    <row r="1025" spans="4:16" x14ac:dyDescent="0.2">
      <c r="D1025" s="1">
        <v>46091</v>
      </c>
      <c r="E1025" s="2">
        <v>0.85416666666666663</v>
      </c>
      <c r="F1025" t="s">
        <v>40</v>
      </c>
      <c r="G1025">
        <f>VLOOKUP(Table4[[#This Row],[Home]],'NHL Model'!$A$6:$B$38,2,FALSE)</f>
        <v>-0.31324182378279158</v>
      </c>
      <c r="H1025" t="s">
        <v>31</v>
      </c>
      <c r="I1025">
        <f>VLOOKUP(Table4[[#This Row],[Visitor]],'NHL Model'!$A$6:$B$38,2,FALSE)</f>
        <v>0.17870302183926629</v>
      </c>
      <c r="J1025">
        <f>($B$1+Table4[[#This Row],[Home Differential]])-Table4[[#This Row],[Away Differential]]</f>
        <v>-0.44204409669889538</v>
      </c>
      <c r="K1025" t="str">
        <f>IF(Table4[[#This Row],[HomeIce Differential]]&gt;0,Table4[[#This Row],[Home]],Table4[[#This Row],[Visitor]])</f>
        <v>Anaheim Ducks</v>
      </c>
      <c r="L10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0.52987604196004923</v>
      </c>
      <c r="M1025" t="str">
        <f>IF(OR((NHL2025_26Results[[#This Row],[Winning Team]]="")),"-",IF(Table4[[#This Row],[Predicted Winner]]=NHL2025_26Results[[#This Row],[Winning Team]],"YES","NO"))</f>
        <v>-</v>
      </c>
      <c r="N1025" t="str">
        <f>IF(Table4[[#This Row],[Adjusted Correct]]="-", "",IF(Table4[[#This Row],[Adjusted Correct]]="YES",(Table4[[#This Row],[Strength of Win]]-1)^2,(Table4[[#This Row],[Strength of Win]]-0)^2))</f>
        <v/>
      </c>
      <c r="P1025" s="11"/>
    </row>
    <row r="1026" spans="4:16" x14ac:dyDescent="0.2">
      <c r="D1026" s="1">
        <v>46092</v>
      </c>
      <c r="E1026" s="2">
        <v>0.8125</v>
      </c>
      <c r="F1026" t="s">
        <v>36</v>
      </c>
      <c r="G1026">
        <f>VLOOKUP(Table4[[#This Row],[Home]],'NHL Model'!$A$6:$B$38,2,FALSE)</f>
        <v>-0.53137605086483863</v>
      </c>
      <c r="H1026" t="s">
        <v>18</v>
      </c>
      <c r="I1026">
        <f>VLOOKUP(Table4[[#This Row],[Visitor]],'NHL Model'!$A$6:$B$38,2,FALSE)</f>
        <v>-0.59288962827382519</v>
      </c>
      <c r="J1026">
        <f>($B$1+Table4[[#This Row],[Home Differential]])-Table4[[#This Row],[Away Differential]]</f>
        <v>0.11141432633214904</v>
      </c>
      <c r="K1026" t="str">
        <f>IF(Table4[[#This Row],[HomeIce Differential]]&gt;0,Table4[[#This Row],[Home]],Table4[[#This Row],[Visitor]])</f>
        <v>Ottawa Senators</v>
      </c>
      <c r="L10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0.49623074346744273</v>
      </c>
      <c r="M1026" t="str">
        <f>IF(OR((NHL2025_26Results[[#This Row],[Winning Team]]="")),"-",IF(Table4[[#This Row],[Predicted Winner]]=NHL2025_26Results[[#This Row],[Winning Team]],"YES","NO"))</f>
        <v>-</v>
      </c>
      <c r="N1026" t="str">
        <f>IF(Table4[[#This Row],[Adjusted Correct]]="-", "",IF(Table4[[#This Row],[Adjusted Correct]]="YES",(Table4[[#This Row],[Strength of Win]]-1)^2,(Table4[[#This Row],[Strength of Win]]-0)^2))</f>
        <v/>
      </c>
      <c r="P1026" s="11"/>
    </row>
    <row r="1027" spans="4:16" x14ac:dyDescent="0.2">
      <c r="D1027" s="1">
        <v>46092</v>
      </c>
      <c r="E1027" s="2">
        <v>0.8125</v>
      </c>
      <c r="F1027" t="s">
        <v>27</v>
      </c>
      <c r="G1027">
        <f>VLOOKUP(Table4[[#This Row],[Home]],'NHL Model'!$A$6:$B$38,2,FALSE)</f>
        <v>-0.38023958350631604</v>
      </c>
      <c r="H1027" t="s">
        <v>22</v>
      </c>
      <c r="I1027">
        <f>VLOOKUP(Table4[[#This Row],[Visitor]],'NHL Model'!$A$6:$B$38,2,FALSE)</f>
        <v>0.4407072328537569</v>
      </c>
      <c r="J1027">
        <f>($B$1+Table4[[#This Row],[Home Differential]])-Table4[[#This Row],[Away Differential]]</f>
        <v>-0.7710460674369104</v>
      </c>
      <c r="K1027" t="str">
        <f>IF(Table4[[#This Row],[HomeIce Differential]]&gt;0,Table4[[#This Row],[Home]],Table4[[#This Row],[Visitor]])</f>
        <v>Washington Capitals</v>
      </c>
      <c r="L10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0.57840310122428151</v>
      </c>
      <c r="M1027" t="str">
        <f>IF(OR((NHL2025_26Results[[#This Row],[Winning Team]]="")),"-",IF(Table4[[#This Row],[Predicted Winner]]=NHL2025_26Results[[#This Row],[Winning Team]],"YES","NO"))</f>
        <v>-</v>
      </c>
      <c r="N1027" t="str">
        <f>IF(Table4[[#This Row],[Adjusted Correct]]="-", "",IF(Table4[[#This Row],[Adjusted Correct]]="YES",(Table4[[#This Row],[Strength of Win]]-1)^2,(Table4[[#This Row],[Strength of Win]]-0)^2))</f>
        <v/>
      </c>
      <c r="P1027" s="11"/>
    </row>
    <row r="1028" spans="4:16" x14ac:dyDescent="0.2">
      <c r="D1028" s="1">
        <v>46093</v>
      </c>
      <c r="E1028" s="2">
        <v>0.79166666666666663</v>
      </c>
      <c r="F1028" t="s">
        <v>21</v>
      </c>
      <c r="G1028">
        <f>VLOOKUP(Table4[[#This Row],[Home]],'NHL Model'!$A$6:$B$38,2,FALSE)</f>
        <v>-0.21976976044773161</v>
      </c>
      <c r="H1028" t="s">
        <v>33</v>
      </c>
      <c r="I1028">
        <f>VLOOKUP(Table4[[#This Row],[Visitor]],'NHL Model'!$A$6:$B$38,2,FALSE)</f>
        <v>-0.45133099238224339</v>
      </c>
      <c r="J1028">
        <f>($B$1+Table4[[#This Row],[Home Differential]])-Table4[[#This Row],[Away Differential]]</f>
        <v>0.28146198085767427</v>
      </c>
      <c r="K1028" t="str">
        <f>IF(Table4[[#This Row],[HomeIce Differential]]&gt;0,Table4[[#This Row],[Home]],Table4[[#This Row],[Visitor]])</f>
        <v>Boston Bruins</v>
      </c>
      <c r="L10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0.61576639475163519</v>
      </c>
      <c r="M1028" t="str">
        <f>IF(OR((NHL2025_26Results[[#This Row],[Winning Team]]="")),"-",IF(Table4[[#This Row],[Predicted Winner]]=NHL2025_26Results[[#This Row],[Winning Team]],"YES","NO"))</f>
        <v>-</v>
      </c>
      <c r="N1028" t="str">
        <f>IF(Table4[[#This Row],[Adjusted Correct]]="-", "",IF(Table4[[#This Row],[Adjusted Correct]]="YES",(Table4[[#This Row],[Strength of Win]]-1)^2,(Table4[[#This Row],[Strength of Win]]-0)^2))</f>
        <v/>
      </c>
      <c r="P1028" s="11"/>
    </row>
    <row r="1029" spans="4:16" x14ac:dyDescent="0.2">
      <c r="D1029" s="1">
        <v>46093</v>
      </c>
      <c r="E1029" s="2">
        <v>0.79166666666666663</v>
      </c>
      <c r="F1029" t="s">
        <v>23</v>
      </c>
      <c r="G1029">
        <f>VLOOKUP(Table4[[#This Row],[Home]],'NHL Model'!$A$6:$B$38,2,FALSE)</f>
        <v>-0.4761104357405897</v>
      </c>
      <c r="H1029" t="s">
        <v>22</v>
      </c>
      <c r="I1029">
        <f>VLOOKUP(Table4[[#This Row],[Visitor]],'NHL Model'!$A$6:$B$38,2,FALSE)</f>
        <v>0.4407072328537569</v>
      </c>
      <c r="J1029">
        <f>($B$1+Table4[[#This Row],[Home Differential]])-Table4[[#This Row],[Away Differential]]</f>
        <v>-0.86691691967118412</v>
      </c>
      <c r="K1029" t="str">
        <f>IF(Table4[[#This Row],[HomeIce Differential]]&gt;0,Table4[[#This Row],[Home]],Table4[[#This Row],[Visitor]])</f>
        <v>Washington Capitals</v>
      </c>
      <c r="L10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0.59353303745986197</v>
      </c>
      <c r="M1029" t="str">
        <f>IF(OR((NHL2025_26Results[[#This Row],[Winning Team]]="")),"-",IF(Table4[[#This Row],[Predicted Winner]]=NHL2025_26Results[[#This Row],[Winning Team]],"YES","NO"))</f>
        <v>-</v>
      </c>
      <c r="N1029" t="str">
        <f>IF(Table4[[#This Row],[Adjusted Correct]]="-", "",IF(Table4[[#This Row],[Adjusted Correct]]="YES",(Table4[[#This Row],[Strength of Win]]-1)^2,(Table4[[#This Row],[Strength of Win]]-0)^2))</f>
        <v/>
      </c>
      <c r="P1029" s="11"/>
    </row>
    <row r="1030" spans="4:16" x14ac:dyDescent="0.2">
      <c r="D1030" s="1">
        <v>46093</v>
      </c>
      <c r="E1030" s="2">
        <v>0.79166666666666663</v>
      </c>
      <c r="F1030" t="s">
        <v>25</v>
      </c>
      <c r="G1030">
        <f>VLOOKUP(Table4[[#This Row],[Home]],'NHL Model'!$A$6:$B$38,2,FALSE)</f>
        <v>0.42567513732855267</v>
      </c>
      <c r="H1030" t="s">
        <v>35</v>
      </c>
      <c r="I1030">
        <f>VLOOKUP(Table4[[#This Row],[Visitor]],'NHL Model'!$A$6:$B$38,2,FALSE)</f>
        <v>-1.3944783719477225</v>
      </c>
      <c r="J1030">
        <f>($B$1+Table4[[#This Row],[Home Differential]])-Table4[[#This Row],[Away Differential]]</f>
        <v>1.8700542581994377</v>
      </c>
      <c r="K1030" t="str">
        <f>IF(Table4[[#This Row],[HomeIce Differential]]&gt;0,Table4[[#This Row],[Home]],Table4[[#This Row],[Visitor]])</f>
        <v>Carolina Hurricanes</v>
      </c>
      <c r="L10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0.81007241100715621</v>
      </c>
      <c r="M1030" t="str">
        <f>IF(OR((NHL2025_26Results[[#This Row],[Winning Team]]="")),"-",IF(Table4[[#This Row],[Predicted Winner]]=NHL2025_26Results[[#This Row],[Winning Team]],"YES","NO"))</f>
        <v>-</v>
      </c>
      <c r="N1030" t="str">
        <f>IF(Table4[[#This Row],[Adjusted Correct]]="-", "",IF(Table4[[#This Row],[Adjusted Correct]]="YES",(Table4[[#This Row],[Strength of Win]]-1)^2,(Table4[[#This Row],[Strength of Win]]-0)^2))</f>
        <v/>
      </c>
      <c r="P1030" s="11"/>
    </row>
    <row r="1031" spans="4:16" x14ac:dyDescent="0.2">
      <c r="D1031" s="1">
        <v>46093</v>
      </c>
      <c r="E1031" s="2">
        <v>0.83333333333333337</v>
      </c>
      <c r="F1031" t="s">
        <v>39</v>
      </c>
      <c r="G1031">
        <f>VLOOKUP(Table4[[#This Row],[Home]],'NHL Model'!$A$6:$B$38,2,FALSE)</f>
        <v>0.41344250185511977</v>
      </c>
      <c r="H1031" t="s">
        <v>17</v>
      </c>
      <c r="I1031">
        <f>VLOOKUP(Table4[[#This Row],[Visitor]],'NHL Model'!$A$6:$B$38,2,FALSE)</f>
        <v>-0.81774666423752174</v>
      </c>
      <c r="J1031">
        <f>($B$1+Table4[[#This Row],[Home Differential]])-Table4[[#This Row],[Away Differential]]</f>
        <v>1.2810899150158039</v>
      </c>
      <c r="K1031" t="str">
        <f>IF(Table4[[#This Row],[HomeIce Differential]]&gt;0,Table4[[#This Row],[Home]],Table4[[#This Row],[Visitor]])</f>
        <v>Dallas Stars</v>
      </c>
      <c r="L10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0.72183222092408972</v>
      </c>
      <c r="M1031" t="str">
        <f>IF(OR((NHL2025_26Results[[#This Row],[Winning Team]]="")),"-",IF(Table4[[#This Row],[Predicted Winner]]=NHL2025_26Results[[#This Row],[Winning Team]],"YES","NO"))</f>
        <v>-</v>
      </c>
      <c r="N1031" t="str">
        <f>IF(Table4[[#This Row],[Adjusted Correct]]="-", "",IF(Table4[[#This Row],[Adjusted Correct]]="YES",(Table4[[#This Row],[Strength of Win]]-1)^2,(Table4[[#This Row],[Strength of Win]]-0)^2))</f>
        <v/>
      </c>
      <c r="P1031" s="11"/>
    </row>
    <row r="1032" spans="4:16" x14ac:dyDescent="0.2">
      <c r="D1032" s="1">
        <v>46093</v>
      </c>
      <c r="E1032" s="2">
        <v>0.79166666666666663</v>
      </c>
      <c r="F1032" t="s">
        <v>11</v>
      </c>
      <c r="G1032">
        <f>VLOOKUP(Table4[[#This Row],[Home]],'NHL Model'!$A$6:$B$38,2,FALSE)</f>
        <v>-0.39711829106410657</v>
      </c>
      <c r="H1032" t="s">
        <v>28</v>
      </c>
      <c r="I1032">
        <f>VLOOKUP(Table4[[#This Row],[Visitor]],'NHL Model'!$A$6:$B$38,2,FALSE)</f>
        <v>-0.59498940435054026</v>
      </c>
      <c r="J1032">
        <f>($B$1+Table4[[#This Row],[Home Differential]])-Table4[[#This Row],[Away Differential]]</f>
        <v>0.24777186220959618</v>
      </c>
      <c r="K1032" t="str">
        <f>IF(Table4[[#This Row],[HomeIce Differential]]&gt;0,Table4[[#This Row],[Home]],Table4[[#This Row],[Visitor]])</f>
        <v>Florida Panthers</v>
      </c>
      <c r="L10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0.57938973736099397</v>
      </c>
      <c r="M1032" t="str">
        <f>IF(OR((NHL2025_26Results[[#This Row],[Winning Team]]="")),"-",IF(Table4[[#This Row],[Predicted Winner]]=NHL2025_26Results[[#This Row],[Winning Team]],"YES","NO"))</f>
        <v>-</v>
      </c>
      <c r="N1032" t="str">
        <f>IF(Table4[[#This Row],[Adjusted Correct]]="-", "",IF(Table4[[#This Row],[Adjusted Correct]]="YES",(Table4[[#This Row],[Strength of Win]]-1)^2,(Table4[[#This Row],[Strength of Win]]-0)^2))</f>
        <v/>
      </c>
      <c r="P1032" s="11"/>
    </row>
    <row r="1033" spans="4:16" x14ac:dyDescent="0.2">
      <c r="D1033" s="1">
        <v>46093</v>
      </c>
      <c r="E1033" s="2">
        <v>0.83333333333333337</v>
      </c>
      <c r="F1033" t="s">
        <v>34</v>
      </c>
      <c r="G1033">
        <f>VLOOKUP(Table4[[#This Row],[Home]],'NHL Model'!$A$6:$B$38,2,FALSE)</f>
        <v>-5.5124787449478845E-2</v>
      </c>
      <c r="H1033" t="s">
        <v>27</v>
      </c>
      <c r="I1033">
        <f>VLOOKUP(Table4[[#This Row],[Visitor]],'NHL Model'!$A$6:$B$38,2,FALSE)</f>
        <v>-0.38023958350631604</v>
      </c>
      <c r="J1033">
        <f>($B$1+Table4[[#This Row],[Home Differential]])-Table4[[#This Row],[Away Differential]]</f>
        <v>0.37501554497999967</v>
      </c>
      <c r="K1033" t="str">
        <f>IF(Table4[[#This Row],[HomeIce Differential]]&gt;0,Table4[[#This Row],[Home]],Table4[[#This Row],[Visitor]])</f>
        <v>Minnesota Wild</v>
      </c>
      <c r="L10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0.54127603689676229</v>
      </c>
      <c r="M1033" t="str">
        <f>IF(OR((NHL2025_26Results[[#This Row],[Winning Team]]="")),"-",IF(Table4[[#This Row],[Predicted Winner]]=NHL2025_26Results[[#This Row],[Winning Team]],"YES","NO"))</f>
        <v>-</v>
      </c>
      <c r="N1033" t="str">
        <f>IF(Table4[[#This Row],[Adjusted Correct]]="-", "",IF(Table4[[#This Row],[Adjusted Correct]]="YES",(Table4[[#This Row],[Strength of Win]]-1)^2,(Table4[[#This Row],[Strength of Win]]-0)^2))</f>
        <v/>
      </c>
      <c r="P1033" s="11"/>
    </row>
    <row r="1034" spans="4:16" x14ac:dyDescent="0.2">
      <c r="D1034" s="1">
        <v>46093</v>
      </c>
      <c r="E1034" s="2">
        <v>0.79166666666666663</v>
      </c>
      <c r="F1034" t="s">
        <v>24</v>
      </c>
      <c r="G1034">
        <f>VLOOKUP(Table4[[#This Row],[Home]],'NHL Model'!$A$6:$B$38,2,FALSE)</f>
        <v>1.5302507646042616E-3</v>
      </c>
      <c r="H1034" t="s">
        <v>16</v>
      </c>
      <c r="I1034">
        <f>VLOOKUP(Table4[[#This Row],[Visitor]],'NHL Model'!$A$6:$B$38,2,FALSE)</f>
        <v>-1.0657812790446208</v>
      </c>
      <c r="J1034">
        <f>($B$1+Table4[[#This Row],[Home Differential]])-Table4[[#This Row],[Away Differential]]</f>
        <v>1.1172122787323875</v>
      </c>
      <c r="K1034" t="str">
        <f>IF(Table4[[#This Row],[HomeIce Differential]]&gt;0,Table4[[#This Row],[Home]],Table4[[#This Row],[Visitor]])</f>
        <v>New Jersey Devils</v>
      </c>
      <c r="L10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0.75028573316221547</v>
      </c>
      <c r="M1034" t="str">
        <f>IF(OR((NHL2025_26Results[[#This Row],[Winning Team]]="")),"-",IF(Table4[[#This Row],[Predicted Winner]]=NHL2025_26Results[[#This Row],[Winning Team]],"YES","NO"))</f>
        <v>-</v>
      </c>
      <c r="N1034" t="str">
        <f>IF(Table4[[#This Row],[Adjusted Correct]]="-", "",IF(Table4[[#This Row],[Adjusted Correct]]="YES",(Table4[[#This Row],[Strength of Win]]-1)^2,(Table4[[#This Row],[Strength of Win]]-0)^2))</f>
        <v/>
      </c>
      <c r="P1034" s="11"/>
    </row>
    <row r="1035" spans="4:16" x14ac:dyDescent="0.2">
      <c r="D1035" s="1">
        <v>46093</v>
      </c>
      <c r="E1035" s="2">
        <v>0.91666666666666663</v>
      </c>
      <c r="F1035" t="s">
        <v>32</v>
      </c>
      <c r="G1035">
        <f>VLOOKUP(Table4[[#This Row],[Home]],'NHL Model'!$A$6:$B$38,2,FALSE)</f>
        <v>-0.64937723527808999</v>
      </c>
      <c r="H1035" t="s">
        <v>12</v>
      </c>
      <c r="I1035">
        <f>VLOOKUP(Table4[[#This Row],[Visitor]],'NHL Model'!$A$6:$B$38,2,FALSE)</f>
        <v>1.6319036584269762</v>
      </c>
      <c r="J1035">
        <f>($B$1+Table4[[#This Row],[Home Differential]])-Table4[[#This Row],[Away Differential]]</f>
        <v>-2.2313801447819035</v>
      </c>
      <c r="K1035" t="str">
        <f>IF(Table4[[#This Row],[HomeIce Differential]]&gt;0,Table4[[#This Row],[Home]],Table4[[#This Row],[Visitor]])</f>
        <v>Colorado Avalanche</v>
      </c>
      <c r="L10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0.79316973383163425</v>
      </c>
      <c r="M1035" t="str">
        <f>IF(OR((NHL2025_26Results[[#This Row],[Winning Team]]="")),"-",IF(Table4[[#This Row],[Predicted Winner]]=NHL2025_26Results[[#This Row],[Winning Team]],"YES","NO"))</f>
        <v>-</v>
      </c>
      <c r="N1035" t="str">
        <f>IF(Table4[[#This Row],[Adjusted Correct]]="-", "",IF(Table4[[#This Row],[Adjusted Correct]]="YES",(Table4[[#This Row],[Strength of Win]]-1)^2,(Table4[[#This Row],[Strength of Win]]-0)^2))</f>
        <v/>
      </c>
      <c r="P1035" s="11"/>
    </row>
    <row r="1036" spans="4:16" x14ac:dyDescent="0.2">
      <c r="D1036" s="1">
        <v>46093</v>
      </c>
      <c r="E1036" s="2">
        <v>0.79166666666666663</v>
      </c>
      <c r="F1036" t="s">
        <v>37</v>
      </c>
      <c r="G1036">
        <f>VLOOKUP(Table4[[#This Row],[Home]],'NHL Model'!$A$6:$B$38,2,FALSE)</f>
        <v>0.51050494674660429</v>
      </c>
      <c r="H1036" t="s">
        <v>26</v>
      </c>
      <c r="I1036">
        <f>VLOOKUP(Table4[[#This Row],[Visitor]],'NHL Model'!$A$6:$B$38,2,FALSE)</f>
        <v>-0.87533956503230947</v>
      </c>
      <c r="J1036">
        <f>($B$1+Table4[[#This Row],[Home Differential]])-Table4[[#This Row],[Away Differential]]</f>
        <v>1.4357452607020762</v>
      </c>
      <c r="K1036" t="str">
        <f>IF(Table4[[#This Row],[HomeIce Differential]]&gt;0,Table4[[#This Row],[Home]],Table4[[#This Row],[Visitor]])</f>
        <v>Tampa Bay Lightning</v>
      </c>
      <c r="L10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0.73989051508295656</v>
      </c>
      <c r="M1036" t="str">
        <f>IF(OR((NHL2025_26Results[[#This Row],[Winning Team]]="")),"-",IF(Table4[[#This Row],[Predicted Winner]]=NHL2025_26Results[[#This Row],[Winning Team]],"YES","NO"))</f>
        <v>-</v>
      </c>
      <c r="N1036" t="str">
        <f>IF(Table4[[#This Row],[Adjusted Correct]]="-", "",IF(Table4[[#This Row],[Adjusted Correct]]="YES",(Table4[[#This Row],[Strength of Win]]-1)^2,(Table4[[#This Row],[Strength of Win]]-0)^2))</f>
        <v/>
      </c>
      <c r="P1036" s="11"/>
    </row>
    <row r="1037" spans="4:16" x14ac:dyDescent="0.2">
      <c r="D1037" s="1">
        <v>46093</v>
      </c>
      <c r="E1037" s="2">
        <v>0.79166666666666663</v>
      </c>
      <c r="F1037" t="s">
        <v>19</v>
      </c>
      <c r="G1037">
        <f>VLOOKUP(Table4[[#This Row],[Home]],'NHL Model'!$A$6:$B$38,2,FALSE)</f>
        <v>-0.63447859131898054</v>
      </c>
      <c r="H1037" t="s">
        <v>31</v>
      </c>
      <c r="I1037">
        <f>VLOOKUP(Table4[[#This Row],[Visitor]],'NHL Model'!$A$6:$B$38,2,FALSE)</f>
        <v>0.17870302183926629</v>
      </c>
      <c r="J1037">
        <f>($B$1+Table4[[#This Row],[Home Differential]])-Table4[[#This Row],[Away Differential]]</f>
        <v>-0.76328086423508434</v>
      </c>
      <c r="K1037" t="str">
        <f>IF(Table4[[#This Row],[HomeIce Differential]]&gt;0,Table4[[#This Row],[Home]],Table4[[#This Row],[Visitor]])</f>
        <v>Anaheim Ducks</v>
      </c>
      <c r="L10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0.56989353689022348</v>
      </c>
      <c r="M1037" t="str">
        <f>IF(OR((NHL2025_26Results[[#This Row],[Winning Team]]="")),"-",IF(Table4[[#This Row],[Predicted Winner]]=NHL2025_26Results[[#This Row],[Winning Team]],"YES","NO"))</f>
        <v>-</v>
      </c>
      <c r="N1037" t="str">
        <f>IF(Table4[[#This Row],[Adjusted Correct]]="-", "",IF(Table4[[#This Row],[Adjusted Correct]]="YES",(Table4[[#This Row],[Strength of Win]]-1)^2,(Table4[[#This Row],[Strength of Win]]-0)^2))</f>
        <v/>
      </c>
      <c r="P1037" s="11"/>
    </row>
    <row r="1038" spans="4:16" x14ac:dyDescent="0.2">
      <c r="D1038" s="1">
        <v>46093</v>
      </c>
      <c r="E1038" s="2">
        <v>0.875</v>
      </c>
      <c r="F1038" t="s">
        <v>55</v>
      </c>
      <c r="G1038">
        <f>VLOOKUP(Table4[[#This Row],[Home]],'NHL Model'!$A$6:$B$38,2,FALSE)</f>
        <v>-0.4031232890211825</v>
      </c>
      <c r="H1038" t="s">
        <v>10</v>
      </c>
      <c r="I1038">
        <f>VLOOKUP(Table4[[#This Row],[Visitor]],'NHL Model'!$A$6:$B$38,2,FALSE)</f>
        <v>-0.17619625518431364</v>
      </c>
      <c r="J1038">
        <f>($B$1+Table4[[#This Row],[Home Differential]])-Table4[[#This Row],[Away Differential]]</f>
        <v>-0.17702628491370637</v>
      </c>
      <c r="K1038" t="str">
        <f>IF(Table4[[#This Row],[HomeIce Differential]]&gt;0,Table4[[#This Row],[Home]],Table4[[#This Row],[Visitor]])</f>
        <v>Chicago Blackhawks</v>
      </c>
      <c r="L10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0.44023925403906533</v>
      </c>
      <c r="M1038" t="str">
        <f>IF(OR((NHL2025_26Results[[#This Row],[Winning Team]]="")),"-",IF(Table4[[#This Row],[Predicted Winner]]=NHL2025_26Results[[#This Row],[Winning Team]],"YES","NO"))</f>
        <v>-</v>
      </c>
      <c r="N1038" t="str">
        <f>IF(Table4[[#This Row],[Adjusted Correct]]="-", "",IF(Table4[[#This Row],[Adjusted Correct]]="YES",(Table4[[#This Row],[Strength of Win]]-1)^2,(Table4[[#This Row],[Strength of Win]]-0)^2))</f>
        <v/>
      </c>
      <c r="P1038" s="11"/>
    </row>
    <row r="1039" spans="4:16" x14ac:dyDescent="0.2">
      <c r="D1039" s="1">
        <v>46093</v>
      </c>
      <c r="E1039" s="2">
        <v>0.91666666666666663</v>
      </c>
      <c r="F1039" t="s">
        <v>38</v>
      </c>
      <c r="G1039">
        <f>VLOOKUP(Table4[[#This Row],[Home]],'NHL Model'!$A$6:$B$38,2,FALSE)</f>
        <v>-0.9476777551108041</v>
      </c>
      <c r="H1039" t="s">
        <v>29</v>
      </c>
      <c r="I1039">
        <f>VLOOKUP(Table4[[#This Row],[Visitor]],'NHL Model'!$A$6:$B$38,2,FALSE)</f>
        <v>-1.384917283810061</v>
      </c>
      <c r="J1039">
        <f>($B$1+Table4[[#This Row],[Home Differential]])-Table4[[#This Row],[Away Differential]]</f>
        <v>0.48714027762241929</v>
      </c>
      <c r="K1039" t="str">
        <f>IF(Table4[[#This Row],[HomeIce Differential]]&gt;0,Table4[[#This Row],[Home]],Table4[[#This Row],[Visitor]])</f>
        <v>Vancouver Canucks</v>
      </c>
      <c r="L10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0.59688081708978125</v>
      </c>
      <c r="M1039" t="str">
        <f>IF(OR((NHL2025_26Results[[#This Row],[Winning Team]]="")),"-",IF(Table4[[#This Row],[Predicted Winner]]=NHL2025_26Results[[#This Row],[Winning Team]],"YES","NO"))</f>
        <v>-</v>
      </c>
      <c r="N1039" t="str">
        <f>IF(Table4[[#This Row],[Adjusted Correct]]="-", "",IF(Table4[[#This Row],[Adjusted Correct]]="YES",(Table4[[#This Row],[Strength of Win]]-1)^2,(Table4[[#This Row],[Strength of Win]]-0)^2))</f>
        <v/>
      </c>
      <c r="P1039" s="11"/>
    </row>
    <row r="1040" spans="4:16" x14ac:dyDescent="0.2">
      <c r="D1040" s="1">
        <v>46093</v>
      </c>
      <c r="E1040" s="2">
        <v>0.91666666666666663</v>
      </c>
      <c r="F1040" t="s">
        <v>20</v>
      </c>
      <c r="G1040">
        <f>VLOOKUP(Table4[[#This Row],[Home]],'NHL Model'!$A$6:$B$38,2,FALSE)</f>
        <v>-0.24444083032063643</v>
      </c>
      <c r="H1040" t="s">
        <v>14</v>
      </c>
      <c r="I1040">
        <f>VLOOKUP(Table4[[#This Row],[Visitor]],'NHL Model'!$A$6:$B$38,2,FALSE)</f>
        <v>-0.14226422156549004</v>
      </c>
      <c r="J1040">
        <f>($B$1+Table4[[#This Row],[Home Differential]])-Table4[[#This Row],[Away Differential]]</f>
        <v>-5.2275859831983934E-2</v>
      </c>
      <c r="K1040" t="str">
        <f>IF(Table4[[#This Row],[HomeIce Differential]]&gt;0,Table4[[#This Row],[Home]],Table4[[#This Row],[Visitor]])</f>
        <v>Pittsburgh Penguins</v>
      </c>
      <c r="L10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0.50539071141024106</v>
      </c>
      <c r="M1040" t="str">
        <f>IF(OR((NHL2025_26Results[[#This Row],[Winning Team]]="")),"-",IF(Table4[[#This Row],[Predicted Winner]]=NHL2025_26Results[[#This Row],[Winning Team]],"YES","NO"))</f>
        <v>-</v>
      </c>
      <c r="N1040" t="str">
        <f>IF(Table4[[#This Row],[Adjusted Correct]]="-", "",IF(Table4[[#This Row],[Adjusted Correct]]="YES",(Table4[[#This Row],[Strength of Win]]-1)^2,(Table4[[#This Row],[Strength of Win]]-0)^2))</f>
        <v/>
      </c>
      <c r="P1040" s="11"/>
    </row>
    <row r="1041" spans="4:16" x14ac:dyDescent="0.2">
      <c r="D1041" s="1">
        <v>46093</v>
      </c>
      <c r="E1041" s="2">
        <v>0.83333333333333337</v>
      </c>
      <c r="F1041" t="s">
        <v>40</v>
      </c>
      <c r="G1041">
        <f>VLOOKUP(Table4[[#This Row],[Home]],'NHL Model'!$A$6:$B$38,2,FALSE)</f>
        <v>-0.31324182378279158</v>
      </c>
      <c r="H1041" t="s">
        <v>15</v>
      </c>
      <c r="I1041">
        <f>VLOOKUP(Table4[[#This Row],[Visitor]],'NHL Model'!$A$6:$B$38,2,FALSE)</f>
        <v>-0.29003398448394263</v>
      </c>
      <c r="J1041">
        <f>($B$1+Table4[[#This Row],[Home Differential]])-Table4[[#This Row],[Away Differential]]</f>
        <v>2.6692909624313532E-2</v>
      </c>
      <c r="K1041" t="str">
        <f>IF(Table4[[#This Row],[HomeIce Differential]]&gt;0,Table4[[#This Row],[Home]],Table4[[#This Row],[Visitor]])</f>
        <v>Winnipeg Jets</v>
      </c>
      <c r="L10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0.44551310452192266</v>
      </c>
      <c r="M1041" t="str">
        <f>IF(OR((NHL2025_26Results[[#This Row],[Winning Team]]="")),"-",IF(Table4[[#This Row],[Predicted Winner]]=NHL2025_26Results[[#This Row],[Winning Team]],"YES","NO"))</f>
        <v>-</v>
      </c>
      <c r="N1041" t="str">
        <f>IF(Table4[[#This Row],[Adjusted Correct]]="-", "",IF(Table4[[#This Row],[Adjusted Correct]]="YES",(Table4[[#This Row],[Strength of Win]]-1)^2,(Table4[[#This Row],[Strength of Win]]-0)^2))</f>
        <v/>
      </c>
      <c r="P1041" s="11"/>
    </row>
    <row r="1042" spans="4:16" x14ac:dyDescent="0.2">
      <c r="D1042" s="1">
        <v>46094</v>
      </c>
      <c r="E1042" s="2">
        <v>0.79166666666666663</v>
      </c>
      <c r="F1042" t="s">
        <v>30</v>
      </c>
      <c r="G1042">
        <f>VLOOKUP(Table4[[#This Row],[Home]],'NHL Model'!$A$6:$B$38,2,FALSE)</f>
        <v>-0.24093199744133265</v>
      </c>
      <c r="H1042" t="s">
        <v>13</v>
      </c>
      <c r="I1042">
        <f>VLOOKUP(Table4[[#This Row],[Visitor]],'NHL Model'!$A$6:$B$38,2,FALSE)</f>
        <v>-0.33828359867721369</v>
      </c>
      <c r="J1042">
        <f>($B$1+Table4[[#This Row],[Home Differential]])-Table4[[#This Row],[Away Differential]]</f>
        <v>0.1472523501590435</v>
      </c>
      <c r="K1042" t="str">
        <f>IF(Table4[[#This Row],[HomeIce Differential]]&gt;0,Table4[[#This Row],[Home]],Table4[[#This Row],[Visitor]])</f>
        <v>New York Islanders</v>
      </c>
      <c r="L10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0.49087809569696272</v>
      </c>
      <c r="M1042" t="str">
        <f>IF(OR((NHL2025_26Results[[#This Row],[Winning Team]]="")),"-",IF(Table4[[#This Row],[Predicted Winner]]=NHL2025_26Results[[#This Row],[Winning Team]],"YES","NO"))</f>
        <v>-</v>
      </c>
      <c r="N1042" t="str">
        <f>IF(Table4[[#This Row],[Adjusted Correct]]="-", "",IF(Table4[[#This Row],[Adjusted Correct]]="YES",(Table4[[#This Row],[Strength of Win]]-1)^2,(Table4[[#This Row],[Strength of Win]]-0)^2))</f>
        <v/>
      </c>
      <c r="P1042" s="11"/>
    </row>
    <row r="1043" spans="4:16" x14ac:dyDescent="0.2">
      <c r="D1043" s="1">
        <v>46094</v>
      </c>
      <c r="E1043" s="2">
        <v>0.83333333333333337</v>
      </c>
      <c r="F1043" t="s">
        <v>35</v>
      </c>
      <c r="G1043">
        <f>VLOOKUP(Table4[[#This Row],[Home]],'NHL Model'!$A$6:$B$38,2,FALSE)</f>
        <v>-1.3944783719477225</v>
      </c>
      <c r="H1043" t="s">
        <v>17</v>
      </c>
      <c r="I1043">
        <f>VLOOKUP(Table4[[#This Row],[Visitor]],'NHL Model'!$A$6:$B$38,2,FALSE)</f>
        <v>-0.81774666423752174</v>
      </c>
      <c r="J1043">
        <f>($B$1+Table4[[#This Row],[Home Differential]])-Table4[[#This Row],[Away Differential]]</f>
        <v>-0.52683095878703834</v>
      </c>
      <c r="K1043" t="str">
        <f>IF(Table4[[#This Row],[HomeIce Differential]]&gt;0,Table4[[#This Row],[Home]],Table4[[#This Row],[Visitor]])</f>
        <v>Edmonton Oilers</v>
      </c>
      <c r="L10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0.52151528990839591</v>
      </c>
      <c r="M1043" t="str">
        <f>IF(OR((NHL2025_26Results[[#This Row],[Winning Team]]="")),"-",IF(Table4[[#This Row],[Predicted Winner]]=NHL2025_26Results[[#This Row],[Winning Team]],"YES","NO"))</f>
        <v>-</v>
      </c>
      <c r="N1043" t="str">
        <f>IF(Table4[[#This Row],[Adjusted Correct]]="-", "",IF(Table4[[#This Row],[Adjusted Correct]]="YES",(Table4[[#This Row],[Strength of Win]]-1)^2,(Table4[[#This Row],[Strength of Win]]-0)^2))</f>
        <v/>
      </c>
      <c r="P1043" s="11"/>
    </row>
    <row r="1044" spans="4:16" x14ac:dyDescent="0.2">
      <c r="D1044" s="1">
        <v>46095</v>
      </c>
      <c r="E1044" s="2">
        <v>0.79166666666666663</v>
      </c>
      <c r="F1044" t="s">
        <v>23</v>
      </c>
      <c r="G1044">
        <f>VLOOKUP(Table4[[#This Row],[Home]],'NHL Model'!$A$6:$B$38,2,FALSE)</f>
        <v>-0.4761104357405897</v>
      </c>
      <c r="H1044" t="s">
        <v>19</v>
      </c>
      <c r="I1044">
        <f>VLOOKUP(Table4[[#This Row],[Visitor]],'NHL Model'!$A$6:$B$38,2,FALSE)</f>
        <v>-0.63447859131898054</v>
      </c>
      <c r="J1044">
        <f>($B$1+Table4[[#This Row],[Home Differential]])-Table4[[#This Row],[Away Differential]]</f>
        <v>0.20826890450155333</v>
      </c>
      <c r="K1044" t="str">
        <f>IF(Table4[[#This Row],[HomeIce Differential]]&gt;0,Table4[[#This Row],[Home]],Table4[[#This Row],[Visitor]])</f>
        <v>Buffalo Sabres</v>
      </c>
      <c r="L10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0.57444071781895778</v>
      </c>
      <c r="M1044" t="str">
        <f>IF(OR((NHL2025_26Results[[#This Row],[Winning Team]]="")),"-",IF(Table4[[#This Row],[Predicted Winner]]=NHL2025_26Results[[#This Row],[Winning Team]],"YES","NO"))</f>
        <v>-</v>
      </c>
      <c r="N1044" t="str">
        <f>IF(Table4[[#This Row],[Adjusted Correct]]="-", "",IF(Table4[[#This Row],[Adjusted Correct]]="YES",(Table4[[#This Row],[Strength of Win]]-1)^2,(Table4[[#This Row],[Strength of Win]]-0)^2))</f>
        <v/>
      </c>
      <c r="P1044" s="11"/>
    </row>
    <row r="1045" spans="4:16" x14ac:dyDescent="0.2">
      <c r="D1045" s="1">
        <v>46095</v>
      </c>
      <c r="E1045" s="2">
        <v>0.83333333333333337</v>
      </c>
      <c r="F1045" t="s">
        <v>39</v>
      </c>
      <c r="G1045">
        <f>VLOOKUP(Table4[[#This Row],[Home]],'NHL Model'!$A$6:$B$38,2,FALSE)</f>
        <v>0.41344250185511977</v>
      </c>
      <c r="H1045" t="s">
        <v>26</v>
      </c>
      <c r="I1045">
        <f>VLOOKUP(Table4[[#This Row],[Visitor]],'NHL Model'!$A$6:$B$38,2,FALSE)</f>
        <v>-0.87533956503230947</v>
      </c>
      <c r="J1045">
        <f>($B$1+Table4[[#This Row],[Home Differential]])-Table4[[#This Row],[Away Differential]]</f>
        <v>1.3386828158105917</v>
      </c>
      <c r="K1045" t="str">
        <f>IF(Table4[[#This Row],[HomeIce Differential]]&gt;0,Table4[[#This Row],[Home]],Table4[[#This Row],[Visitor]])</f>
        <v>Dallas Stars</v>
      </c>
      <c r="L10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0.72855704210243089</v>
      </c>
      <c r="M1045" t="str">
        <f>IF(OR((NHL2025_26Results[[#This Row],[Winning Team]]="")),"-",IF(Table4[[#This Row],[Predicted Winner]]=NHL2025_26Results[[#This Row],[Winning Team]],"YES","NO"))</f>
        <v>-</v>
      </c>
      <c r="N1045" t="str">
        <f>IF(Table4[[#This Row],[Adjusted Correct]]="-", "",IF(Table4[[#This Row],[Adjusted Correct]]="YES",(Table4[[#This Row],[Strength of Win]]-1)^2,(Table4[[#This Row],[Strength of Win]]-0)^2))</f>
        <v/>
      </c>
      <c r="P1045" s="11"/>
    </row>
    <row r="1046" spans="4:16" x14ac:dyDescent="0.2">
      <c r="D1046" s="1">
        <v>46095</v>
      </c>
      <c r="E1046" s="2">
        <v>0.75</v>
      </c>
      <c r="F1046" t="s">
        <v>34</v>
      </c>
      <c r="G1046">
        <f>VLOOKUP(Table4[[#This Row],[Home]],'NHL Model'!$A$6:$B$38,2,FALSE)</f>
        <v>-5.5124787449478845E-2</v>
      </c>
      <c r="H1046" t="s">
        <v>15</v>
      </c>
      <c r="I1046">
        <f>VLOOKUP(Table4[[#This Row],[Visitor]],'NHL Model'!$A$6:$B$38,2,FALSE)</f>
        <v>-0.29003398448394263</v>
      </c>
      <c r="J1046">
        <f>($B$1+Table4[[#This Row],[Home Differential]])-Table4[[#This Row],[Away Differential]]</f>
        <v>0.28480994595762626</v>
      </c>
      <c r="K1046" t="str">
        <f>IF(Table4[[#This Row],[HomeIce Differential]]&gt;0,Table4[[#This Row],[Home]],Table4[[#This Row],[Visitor]])</f>
        <v>Minnesota Wild</v>
      </c>
      <c r="L10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0.47317429829023583</v>
      </c>
      <c r="M1046" t="str">
        <f>IF(OR((NHL2025_26Results[[#This Row],[Winning Team]]="")),"-",IF(Table4[[#This Row],[Predicted Winner]]=NHL2025_26Results[[#This Row],[Winning Team]],"YES","NO"))</f>
        <v>-</v>
      </c>
      <c r="N1046" t="str">
        <f>IF(Table4[[#This Row],[Adjusted Correct]]="-", "",IF(Table4[[#This Row],[Adjusted Correct]]="YES",(Table4[[#This Row],[Strength of Win]]-1)^2,(Table4[[#This Row],[Strength of Win]]-0)^2))</f>
        <v/>
      </c>
      <c r="P1046" s="11"/>
    </row>
    <row r="1047" spans="4:16" x14ac:dyDescent="0.2">
      <c r="D1047" s="1">
        <v>46095</v>
      </c>
      <c r="E1047" s="2">
        <v>0.79166666666666663</v>
      </c>
      <c r="F1047" t="s">
        <v>18</v>
      </c>
      <c r="G1047">
        <f>VLOOKUP(Table4[[#This Row],[Home]],'NHL Model'!$A$6:$B$38,2,FALSE)</f>
        <v>-0.59288962827382519</v>
      </c>
      <c r="H1047" t="s">
        <v>33</v>
      </c>
      <c r="I1047">
        <f>VLOOKUP(Table4[[#This Row],[Visitor]],'NHL Model'!$A$6:$B$38,2,FALSE)</f>
        <v>-0.45133099238224339</v>
      </c>
      <c r="J1047">
        <f>($B$1+Table4[[#This Row],[Home Differential]])-Table4[[#This Row],[Away Differential]]</f>
        <v>-9.1657886968419366E-2</v>
      </c>
      <c r="K1047" t="str">
        <f>IF(Table4[[#This Row],[HomeIce Differential]]&gt;0,Table4[[#This Row],[Home]],Table4[[#This Row],[Visitor]])</f>
        <v>San Jose Sharks</v>
      </c>
      <c r="L10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0.47070241107742589</v>
      </c>
      <c r="M1047" t="str">
        <f>IF(OR((NHL2025_26Results[[#This Row],[Winning Team]]="")),"-",IF(Table4[[#This Row],[Predicted Winner]]=NHL2025_26Results[[#This Row],[Winning Team]],"YES","NO"))</f>
        <v>-</v>
      </c>
      <c r="N1047" t="str">
        <f>IF(Table4[[#This Row],[Adjusted Correct]]="-", "",IF(Table4[[#This Row],[Adjusted Correct]]="YES",(Table4[[#This Row],[Strength of Win]]-1)^2,(Table4[[#This Row],[Strength of Win]]-0)^2))</f>
        <v/>
      </c>
      <c r="P1047" s="11"/>
    </row>
    <row r="1048" spans="4:16" x14ac:dyDescent="0.2">
      <c r="D1048" s="1">
        <v>46095</v>
      </c>
      <c r="E1048" s="2">
        <v>0.79166666666666663</v>
      </c>
      <c r="F1048" t="s">
        <v>24</v>
      </c>
      <c r="G1048">
        <f>VLOOKUP(Table4[[#This Row],[Home]],'NHL Model'!$A$6:$B$38,2,FALSE)</f>
        <v>1.5302507646042616E-3</v>
      </c>
      <c r="H1048" t="s">
        <v>13</v>
      </c>
      <c r="I1048">
        <f>VLOOKUP(Table4[[#This Row],[Visitor]],'NHL Model'!$A$6:$B$38,2,FALSE)</f>
        <v>-0.33828359867721369</v>
      </c>
      <c r="J1048">
        <f>($B$1+Table4[[#This Row],[Home Differential]])-Table4[[#This Row],[Away Differential]]</f>
        <v>0.3897145983649804</v>
      </c>
      <c r="K1048" t="str">
        <f>IF(Table4[[#This Row],[HomeIce Differential]]&gt;0,Table4[[#This Row],[Home]],Table4[[#This Row],[Visitor]])</f>
        <v>New Jersey Devils</v>
      </c>
      <c r="L10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0.60106048669162915</v>
      </c>
      <c r="M1048" t="str">
        <f>IF(OR((NHL2025_26Results[[#This Row],[Winning Team]]="")),"-",IF(Table4[[#This Row],[Predicted Winner]]=NHL2025_26Results[[#This Row],[Winning Team]],"YES","NO"))</f>
        <v>-</v>
      </c>
      <c r="N1048" t="str">
        <f>IF(Table4[[#This Row],[Adjusted Correct]]="-", "",IF(Table4[[#This Row],[Adjusted Correct]]="YES",(Table4[[#This Row],[Strength of Win]]-1)^2,(Table4[[#This Row],[Strength of Win]]-0)^2))</f>
        <v/>
      </c>
      <c r="P1048" s="11"/>
    </row>
    <row r="1049" spans="4:16" x14ac:dyDescent="0.2">
      <c r="D1049" s="1">
        <v>46095</v>
      </c>
      <c r="E1049" s="2">
        <v>0.79166666666666663</v>
      </c>
      <c r="F1049" t="s">
        <v>30</v>
      </c>
      <c r="G1049">
        <f>VLOOKUP(Table4[[#This Row],[Home]],'NHL Model'!$A$6:$B$38,2,FALSE)</f>
        <v>-0.24093199744133265</v>
      </c>
      <c r="H1049" t="s">
        <v>16</v>
      </c>
      <c r="I1049">
        <f>VLOOKUP(Table4[[#This Row],[Visitor]],'NHL Model'!$A$6:$B$38,2,FALSE)</f>
        <v>-1.0657812790446208</v>
      </c>
      <c r="J1049">
        <f>($B$1+Table4[[#This Row],[Home Differential]])-Table4[[#This Row],[Away Differential]]</f>
        <v>0.87475003052645062</v>
      </c>
      <c r="K1049" t="str">
        <f>IF(Table4[[#This Row],[HomeIce Differential]]&gt;0,Table4[[#This Row],[Home]],Table4[[#This Row],[Visitor]])</f>
        <v>New York Islanders</v>
      </c>
      <c r="L10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0.64213997645298715</v>
      </c>
      <c r="M1049" t="str">
        <f>IF(OR((NHL2025_26Results[[#This Row],[Winning Team]]="")),"-",IF(Table4[[#This Row],[Predicted Winner]]=NHL2025_26Results[[#This Row],[Winning Team]],"YES","NO"))</f>
        <v>-</v>
      </c>
      <c r="N1049" t="str">
        <f>IF(Table4[[#This Row],[Adjusted Correct]]="-", "",IF(Table4[[#This Row],[Adjusted Correct]]="YES",(Table4[[#This Row],[Strength of Win]]-1)^2,(Table4[[#This Row],[Strength of Win]]-0)^2))</f>
        <v/>
      </c>
      <c r="P1049" s="11"/>
    </row>
    <row r="1050" spans="4:16" x14ac:dyDescent="0.2">
      <c r="D1050" s="1">
        <v>46095</v>
      </c>
      <c r="E1050" s="2">
        <v>0.54166666666666663</v>
      </c>
      <c r="F1050" t="s">
        <v>36</v>
      </c>
      <c r="G1050">
        <f>VLOOKUP(Table4[[#This Row],[Home]],'NHL Model'!$A$6:$B$38,2,FALSE)</f>
        <v>-0.53137605086483863</v>
      </c>
      <c r="H1050" t="s">
        <v>31</v>
      </c>
      <c r="I1050">
        <f>VLOOKUP(Table4[[#This Row],[Visitor]],'NHL Model'!$A$6:$B$38,2,FALSE)</f>
        <v>0.17870302183926629</v>
      </c>
      <c r="J1050">
        <f>($B$1+Table4[[#This Row],[Home Differential]])-Table4[[#This Row],[Away Differential]]</f>
        <v>-0.66017832378094243</v>
      </c>
      <c r="K1050" t="str">
        <f>IF(Table4[[#This Row],[HomeIce Differential]]&gt;0,Table4[[#This Row],[Home]],Table4[[#This Row],[Visitor]])</f>
        <v>Anaheim Ducks</v>
      </c>
      <c r="L10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0.55534643240329606</v>
      </c>
      <c r="M1050" t="str">
        <f>IF(OR((NHL2025_26Results[[#This Row],[Winning Team]]="")),"-",IF(Table4[[#This Row],[Predicted Winner]]=NHL2025_26Results[[#This Row],[Winning Team]],"YES","NO"))</f>
        <v>-</v>
      </c>
      <c r="N1050" t="str">
        <f>IF(Table4[[#This Row],[Adjusted Correct]]="-", "",IF(Table4[[#This Row],[Adjusted Correct]]="YES",(Table4[[#This Row],[Strength of Win]]-1)^2,(Table4[[#This Row],[Strength of Win]]-0)^2))</f>
        <v/>
      </c>
      <c r="P1050" s="11"/>
    </row>
    <row r="1051" spans="4:16" x14ac:dyDescent="0.2">
      <c r="D1051" s="1">
        <v>46095</v>
      </c>
      <c r="E1051" s="2">
        <v>0.8125</v>
      </c>
      <c r="F1051" t="s">
        <v>27</v>
      </c>
      <c r="G1051">
        <f>VLOOKUP(Table4[[#This Row],[Home]],'NHL Model'!$A$6:$B$38,2,FALSE)</f>
        <v>-0.38023958350631604</v>
      </c>
      <c r="H1051" t="s">
        <v>28</v>
      </c>
      <c r="I1051">
        <f>VLOOKUP(Table4[[#This Row],[Visitor]],'NHL Model'!$A$6:$B$38,2,FALSE)</f>
        <v>-0.59498940435054026</v>
      </c>
      <c r="J1051">
        <f>($B$1+Table4[[#This Row],[Home Differential]])-Table4[[#This Row],[Away Differential]]</f>
        <v>0.26465056976738671</v>
      </c>
      <c r="K1051" t="str">
        <f>IF(Table4[[#This Row],[HomeIce Differential]]&gt;0,Table4[[#This Row],[Home]],Table4[[#This Row],[Visitor]])</f>
        <v>Philadelphia Flyers</v>
      </c>
      <c r="L10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0.58136057558031018</v>
      </c>
      <c r="M1051" t="str">
        <f>IF(OR((NHL2025_26Results[[#This Row],[Winning Team]]="")),"-",IF(Table4[[#This Row],[Predicted Winner]]=NHL2025_26Results[[#This Row],[Winning Team]],"YES","NO"))</f>
        <v>-</v>
      </c>
      <c r="N1051" t="str">
        <f>IF(Table4[[#This Row],[Adjusted Correct]]="-", "",IF(Table4[[#This Row],[Adjusted Correct]]="YES",(Table4[[#This Row],[Strength of Win]]-1)^2,(Table4[[#This Row],[Strength of Win]]-0)^2))</f>
        <v/>
      </c>
      <c r="P1051" s="11"/>
    </row>
    <row r="1052" spans="4:16" x14ac:dyDescent="0.2">
      <c r="D1052" s="1">
        <v>46095</v>
      </c>
      <c r="E1052" s="2">
        <v>0.79166666666666663</v>
      </c>
      <c r="F1052" t="s">
        <v>37</v>
      </c>
      <c r="G1052">
        <f>VLOOKUP(Table4[[#This Row],[Home]],'NHL Model'!$A$6:$B$38,2,FALSE)</f>
        <v>0.51050494674660429</v>
      </c>
      <c r="H1052" t="s">
        <v>25</v>
      </c>
      <c r="I1052">
        <f>VLOOKUP(Table4[[#This Row],[Visitor]],'NHL Model'!$A$6:$B$38,2,FALSE)</f>
        <v>0.42567513732855267</v>
      </c>
      <c r="J1052">
        <f>($B$1+Table4[[#This Row],[Home Differential]])-Table4[[#This Row],[Away Differential]]</f>
        <v>0.13473055834121406</v>
      </c>
      <c r="K1052" t="str">
        <f>IF(Table4[[#This Row],[HomeIce Differential]]&gt;0,Table4[[#This Row],[Home]],Table4[[#This Row],[Visitor]])</f>
        <v>Tampa Bay Lightning</v>
      </c>
      <c r="L10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0.5157317811674581</v>
      </c>
      <c r="M1052" t="str">
        <f>IF(OR((NHL2025_26Results[[#This Row],[Winning Team]]="")),"-",IF(Table4[[#This Row],[Predicted Winner]]=NHL2025_26Results[[#This Row],[Winning Team]],"YES","NO"))</f>
        <v>-</v>
      </c>
      <c r="N1052" t="str">
        <f>IF(Table4[[#This Row],[Adjusted Correct]]="-", "",IF(Table4[[#This Row],[Adjusted Correct]]="YES",(Table4[[#This Row],[Strength of Win]]-1)^2,(Table4[[#This Row],[Strength of Win]]-0)^2))</f>
        <v/>
      </c>
      <c r="P1052" s="11"/>
    </row>
    <row r="1053" spans="4:16" x14ac:dyDescent="0.2">
      <c r="D1053" s="1">
        <v>46095</v>
      </c>
      <c r="E1053" s="2">
        <v>0.875</v>
      </c>
      <c r="F1053" t="s">
        <v>55</v>
      </c>
      <c r="G1053">
        <f>VLOOKUP(Table4[[#This Row],[Home]],'NHL Model'!$A$6:$B$38,2,FALSE)</f>
        <v>-0.4031232890211825</v>
      </c>
      <c r="H1053" t="s">
        <v>14</v>
      </c>
      <c r="I1053">
        <f>VLOOKUP(Table4[[#This Row],[Visitor]],'NHL Model'!$A$6:$B$38,2,FALSE)</f>
        <v>-0.14226422156549004</v>
      </c>
      <c r="J1053">
        <f>($B$1+Table4[[#This Row],[Home Differential]])-Table4[[#This Row],[Away Differential]]</f>
        <v>-0.21095831853252997</v>
      </c>
      <c r="K1053" t="str">
        <f>IF(Table4[[#This Row],[HomeIce Differential]]&gt;0,Table4[[#This Row],[Home]],Table4[[#This Row],[Visitor]])</f>
        <v>Pittsburgh Penguins</v>
      </c>
      <c r="L10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0.48296583054457271</v>
      </c>
      <c r="M1053" t="str">
        <f>IF(OR((NHL2025_26Results[[#This Row],[Winning Team]]="")),"-",IF(Table4[[#This Row],[Predicted Winner]]=NHL2025_26Results[[#This Row],[Winning Team]],"YES","NO"))</f>
        <v>-</v>
      </c>
      <c r="N1053" t="str">
        <f>IF(Table4[[#This Row],[Adjusted Correct]]="-", "",IF(Table4[[#This Row],[Adjusted Correct]]="YES",(Table4[[#This Row],[Strength of Win]]-1)^2,(Table4[[#This Row],[Strength of Win]]-0)^2))</f>
        <v/>
      </c>
      <c r="P1053" s="11"/>
    </row>
    <row r="1054" spans="4:16" x14ac:dyDescent="0.2">
      <c r="D1054" s="1">
        <v>46095</v>
      </c>
      <c r="E1054" s="2">
        <v>0.91666666666666663</v>
      </c>
      <c r="F1054" t="s">
        <v>38</v>
      </c>
      <c r="G1054">
        <f>VLOOKUP(Table4[[#This Row],[Home]],'NHL Model'!$A$6:$B$38,2,FALSE)</f>
        <v>-0.9476777551108041</v>
      </c>
      <c r="H1054" t="s">
        <v>32</v>
      </c>
      <c r="I1054">
        <f>VLOOKUP(Table4[[#This Row],[Visitor]],'NHL Model'!$A$6:$B$38,2,FALSE)</f>
        <v>-0.64937723527808999</v>
      </c>
      <c r="J1054">
        <f>($B$1+Table4[[#This Row],[Home Differential]])-Table4[[#This Row],[Away Differential]]</f>
        <v>-0.24839977090955168</v>
      </c>
      <c r="K1054" t="str">
        <f>IF(Table4[[#This Row],[HomeIce Differential]]&gt;0,Table4[[#This Row],[Home]],Table4[[#This Row],[Visitor]])</f>
        <v>Seattle Kraken</v>
      </c>
      <c r="L10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0.48900433937265447</v>
      </c>
      <c r="M1054" t="str">
        <f>IF(OR((NHL2025_26Results[[#This Row],[Winning Team]]="")),"-",IF(Table4[[#This Row],[Predicted Winner]]=NHL2025_26Results[[#This Row],[Winning Team]],"YES","NO"))</f>
        <v>-</v>
      </c>
      <c r="N1054" t="str">
        <f>IF(Table4[[#This Row],[Adjusted Correct]]="-", "",IF(Table4[[#This Row],[Adjusted Correct]]="YES",(Table4[[#This Row],[Strength of Win]]-1)^2,(Table4[[#This Row],[Strength of Win]]-0)^2))</f>
        <v/>
      </c>
      <c r="P1054" s="11"/>
    </row>
    <row r="1055" spans="4:16" x14ac:dyDescent="0.2">
      <c r="D1055" s="1">
        <v>46095</v>
      </c>
      <c r="E1055" s="2">
        <v>0.91666666666666663</v>
      </c>
      <c r="F1055" t="s">
        <v>20</v>
      </c>
      <c r="G1055">
        <f>VLOOKUP(Table4[[#This Row],[Home]],'NHL Model'!$A$6:$B$38,2,FALSE)</f>
        <v>-0.24444083032063643</v>
      </c>
      <c r="H1055" t="s">
        <v>10</v>
      </c>
      <c r="I1055">
        <f>VLOOKUP(Table4[[#This Row],[Visitor]],'NHL Model'!$A$6:$B$38,2,FALSE)</f>
        <v>-0.17619625518431364</v>
      </c>
      <c r="J1055">
        <f>($B$1+Table4[[#This Row],[Home Differential]])-Table4[[#This Row],[Away Differential]]</f>
        <v>-1.834382621316033E-2</v>
      </c>
      <c r="K1055" t="str">
        <f>IF(Table4[[#This Row],[HomeIce Differential]]&gt;0,Table4[[#This Row],[Home]],Table4[[#This Row],[Visitor]])</f>
        <v>Chicago Blackhawks</v>
      </c>
      <c r="L10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0.46214191244593872</v>
      </c>
      <c r="M1055" t="str">
        <f>IF(OR((NHL2025_26Results[[#This Row],[Winning Team]]="")),"-",IF(Table4[[#This Row],[Predicted Winner]]=NHL2025_26Results[[#This Row],[Winning Team]],"YES","NO"))</f>
        <v>-</v>
      </c>
      <c r="N1055" t="str">
        <f>IF(Table4[[#This Row],[Adjusted Correct]]="-", "",IF(Table4[[#This Row],[Adjusted Correct]]="YES",(Table4[[#This Row],[Strength of Win]]-1)^2,(Table4[[#This Row],[Strength of Win]]-0)^2))</f>
        <v/>
      </c>
      <c r="P1055" s="11"/>
    </row>
    <row r="1056" spans="4:16" x14ac:dyDescent="0.2">
      <c r="D1056" s="1">
        <v>46095</v>
      </c>
      <c r="E1056" s="2">
        <v>0.66666666666666663</v>
      </c>
      <c r="F1056" t="s">
        <v>40</v>
      </c>
      <c r="G1056">
        <f>VLOOKUP(Table4[[#This Row],[Home]],'NHL Model'!$A$6:$B$38,2,FALSE)</f>
        <v>-0.31324182378279158</v>
      </c>
      <c r="H1056" t="s">
        <v>12</v>
      </c>
      <c r="I1056">
        <f>VLOOKUP(Table4[[#This Row],[Visitor]],'NHL Model'!$A$6:$B$38,2,FALSE)</f>
        <v>1.6319036584269762</v>
      </c>
      <c r="J1056">
        <f>($B$1+Table4[[#This Row],[Home Differential]])-Table4[[#This Row],[Away Differential]]</f>
        <v>-1.8952447332866051</v>
      </c>
      <c r="K1056" t="str">
        <f>IF(Table4[[#This Row],[HomeIce Differential]]&gt;0,Table4[[#This Row],[Home]],Table4[[#This Row],[Visitor]])</f>
        <v>Colorado Avalanche</v>
      </c>
      <c r="L10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0.75141827635481073</v>
      </c>
      <c r="M1056" t="str">
        <f>IF(OR((NHL2025_26Results[[#This Row],[Winning Team]]="")),"-",IF(Table4[[#This Row],[Predicted Winner]]=NHL2025_26Results[[#This Row],[Winning Team]],"YES","NO"))</f>
        <v>-</v>
      </c>
      <c r="N1056" t="str">
        <f>IF(Table4[[#This Row],[Adjusted Correct]]="-", "",IF(Table4[[#This Row],[Adjusted Correct]]="YES",(Table4[[#This Row],[Strength of Win]]-1)^2,(Table4[[#This Row],[Strength of Win]]-0)^2))</f>
        <v/>
      </c>
      <c r="P1056" s="11"/>
    </row>
    <row r="1057" spans="4:16" x14ac:dyDescent="0.2">
      <c r="D1057" s="1">
        <v>46095</v>
      </c>
      <c r="E1057" s="2">
        <v>0.625</v>
      </c>
      <c r="F1057" t="s">
        <v>22</v>
      </c>
      <c r="G1057">
        <f>VLOOKUP(Table4[[#This Row],[Home]],'NHL Model'!$A$6:$B$38,2,FALSE)</f>
        <v>0.4407072328537569</v>
      </c>
      <c r="H1057" t="s">
        <v>21</v>
      </c>
      <c r="I1057">
        <f>VLOOKUP(Table4[[#This Row],[Visitor]],'NHL Model'!$A$6:$B$38,2,FALSE)</f>
        <v>-0.21976976044773161</v>
      </c>
      <c r="J1057">
        <f>($B$1+Table4[[#This Row],[Home Differential]])-Table4[[#This Row],[Away Differential]]</f>
        <v>0.710377742224651</v>
      </c>
      <c r="K1057" t="str">
        <f>IF(Table4[[#This Row],[HomeIce Differential]]&gt;0,Table4[[#This Row],[Home]],Table4[[#This Row],[Visitor]])</f>
        <v>Washington Capitals</v>
      </c>
      <c r="L10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0.64816447713626768</v>
      </c>
      <c r="M1057" t="str">
        <f>IF(OR((NHL2025_26Results[[#This Row],[Winning Team]]="")),"-",IF(Table4[[#This Row],[Predicted Winner]]=NHL2025_26Results[[#This Row],[Winning Team]],"YES","NO"))</f>
        <v>-</v>
      </c>
      <c r="N1057" t="str">
        <f>IF(Table4[[#This Row],[Adjusted Correct]]="-", "",IF(Table4[[#This Row],[Adjusted Correct]]="YES",(Table4[[#This Row],[Strength of Win]]-1)^2,(Table4[[#This Row],[Strength of Win]]-0)^2))</f>
        <v/>
      </c>
      <c r="P1057" s="11"/>
    </row>
    <row r="1058" spans="4:16" x14ac:dyDescent="0.2">
      <c r="D1058" s="1">
        <v>46096</v>
      </c>
      <c r="E1058" s="2">
        <v>0.83333333333333337</v>
      </c>
      <c r="F1058" t="s">
        <v>17</v>
      </c>
      <c r="G1058">
        <f>VLOOKUP(Table4[[#This Row],[Home]],'NHL Model'!$A$6:$B$38,2,FALSE)</f>
        <v>-0.81774666423752174</v>
      </c>
      <c r="H1058" t="s">
        <v>29</v>
      </c>
      <c r="I1058">
        <f>VLOOKUP(Table4[[#This Row],[Visitor]],'NHL Model'!$A$6:$B$38,2,FALSE)</f>
        <v>-1.384917283810061</v>
      </c>
      <c r="J1058">
        <f>($B$1+Table4[[#This Row],[Home Differential]])-Table4[[#This Row],[Away Differential]]</f>
        <v>0.61707136849570166</v>
      </c>
      <c r="K1058" t="str">
        <f>IF(Table4[[#This Row],[HomeIce Differential]]&gt;0,Table4[[#This Row],[Home]],Table4[[#This Row],[Visitor]])</f>
        <v>Edmonton Oilers</v>
      </c>
      <c r="L10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0.61909814145523023</v>
      </c>
      <c r="M1058" t="str">
        <f>IF(OR((NHL2025_26Results[[#This Row],[Winning Team]]="")),"-",IF(Table4[[#This Row],[Predicted Winner]]=NHL2025_26Results[[#This Row],[Winning Team]],"YES","NO"))</f>
        <v>-</v>
      </c>
      <c r="N1058" t="str">
        <f>IF(Table4[[#This Row],[Adjusted Correct]]="-", "",IF(Table4[[#This Row],[Adjusted Correct]]="YES",(Table4[[#This Row],[Strength of Win]]-1)^2,(Table4[[#This Row],[Strength of Win]]-0)^2))</f>
        <v/>
      </c>
      <c r="P1058" s="11"/>
    </row>
    <row r="1059" spans="4:16" x14ac:dyDescent="0.2">
      <c r="D1059" s="1">
        <v>46096</v>
      </c>
      <c r="E1059" s="2">
        <v>0.8125</v>
      </c>
      <c r="F1059" t="s">
        <v>34</v>
      </c>
      <c r="G1059">
        <f>VLOOKUP(Table4[[#This Row],[Home]],'NHL Model'!$A$6:$B$38,2,FALSE)</f>
        <v>-5.5124787449478845E-2</v>
      </c>
      <c r="H1059" t="s">
        <v>19</v>
      </c>
      <c r="I1059">
        <f>VLOOKUP(Table4[[#This Row],[Visitor]],'NHL Model'!$A$6:$B$38,2,FALSE)</f>
        <v>-0.63447859131898054</v>
      </c>
      <c r="J1059">
        <f>($B$1+Table4[[#This Row],[Home Differential]])-Table4[[#This Row],[Away Differential]]</f>
        <v>0.62925455279266418</v>
      </c>
      <c r="K1059" t="str">
        <f>IF(Table4[[#This Row],[HomeIce Differential]]&gt;0,Table4[[#This Row],[Home]],Table4[[#This Row],[Visitor]])</f>
        <v>Minnesota Wild</v>
      </c>
      <c r="L10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0.61347475617291136</v>
      </c>
      <c r="M1059" t="str">
        <f>IF(OR((NHL2025_26Results[[#This Row],[Winning Team]]="")),"-",IF(Table4[[#This Row],[Predicted Winner]]=NHL2025_26Results[[#This Row],[Winning Team]],"YES","NO"))</f>
        <v>-</v>
      </c>
      <c r="N1059" t="str">
        <f>IF(Table4[[#This Row],[Adjusted Correct]]="-", "",IF(Table4[[#This Row],[Adjusted Correct]]="YES",(Table4[[#This Row],[Strength of Win]]-1)^2,(Table4[[#This Row],[Strength of Win]]-0)^2))</f>
        <v/>
      </c>
      <c r="P1059" s="11"/>
    </row>
    <row r="1060" spans="4:16" x14ac:dyDescent="0.2">
      <c r="D1060" s="1">
        <v>46096</v>
      </c>
      <c r="E1060" s="2">
        <v>0.79166666666666663</v>
      </c>
      <c r="F1060" t="s">
        <v>18</v>
      </c>
      <c r="G1060">
        <f>VLOOKUP(Table4[[#This Row],[Home]],'NHL Model'!$A$6:$B$38,2,FALSE)</f>
        <v>-0.59288962827382519</v>
      </c>
      <c r="H1060" t="s">
        <v>31</v>
      </c>
      <c r="I1060">
        <f>VLOOKUP(Table4[[#This Row],[Visitor]],'NHL Model'!$A$6:$B$38,2,FALSE)</f>
        <v>0.17870302183926629</v>
      </c>
      <c r="J1060">
        <f>($B$1+Table4[[#This Row],[Home Differential]])-Table4[[#This Row],[Away Differential]]</f>
        <v>-0.72169190118992899</v>
      </c>
      <c r="K1060" t="str">
        <f>IF(Table4[[#This Row],[HomeIce Differential]]&gt;0,Table4[[#This Row],[Home]],Table4[[#This Row],[Visitor]])</f>
        <v>Anaheim Ducks</v>
      </c>
      <c r="L10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0.56503741164541521</v>
      </c>
      <c r="M1060" t="str">
        <f>IF(OR((NHL2025_26Results[[#This Row],[Winning Team]]="")),"-",IF(Table4[[#This Row],[Predicted Winner]]=NHL2025_26Results[[#This Row],[Winning Team]],"YES","NO"))</f>
        <v>-</v>
      </c>
      <c r="N1060" t="str">
        <f>IF(Table4[[#This Row],[Adjusted Correct]]="-", "",IF(Table4[[#This Row],[Adjusted Correct]]="YES",(Table4[[#This Row],[Strength of Win]]-1)^2,(Table4[[#This Row],[Strength of Win]]-0)^2))</f>
        <v/>
      </c>
      <c r="P1060" s="11"/>
    </row>
    <row r="1061" spans="4:16" x14ac:dyDescent="0.2">
      <c r="D1061" s="1">
        <v>46096</v>
      </c>
      <c r="E1061" s="2">
        <v>0.70833333333333337</v>
      </c>
      <c r="F1061" t="s">
        <v>36</v>
      </c>
      <c r="G1061">
        <f>VLOOKUP(Table4[[#This Row],[Home]],'NHL Model'!$A$6:$B$38,2,FALSE)</f>
        <v>-0.53137605086483863</v>
      </c>
      <c r="H1061" t="s">
        <v>33</v>
      </c>
      <c r="I1061">
        <f>VLOOKUP(Table4[[#This Row],[Visitor]],'NHL Model'!$A$6:$B$38,2,FALSE)</f>
        <v>-0.45133099238224339</v>
      </c>
      <c r="J1061">
        <f>($B$1+Table4[[#This Row],[Home Differential]])-Table4[[#This Row],[Away Differential]]</f>
        <v>-3.0144309559432758E-2</v>
      </c>
      <c r="K1061" t="str">
        <f>IF(Table4[[#This Row],[HomeIce Differential]]&gt;0,Table4[[#This Row],[Home]],Table4[[#This Row],[Visitor]])</f>
        <v>San Jose Sharks</v>
      </c>
      <c r="L10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0.4610243138349801</v>
      </c>
      <c r="M1061" t="str">
        <f>IF(OR((NHL2025_26Results[[#This Row],[Winning Team]]="")),"-",IF(Table4[[#This Row],[Predicted Winner]]=NHL2025_26Results[[#This Row],[Winning Team]],"YES","NO"))</f>
        <v>-</v>
      </c>
      <c r="N1061" t="str">
        <f>IF(Table4[[#This Row],[Adjusted Correct]]="-", "",IF(Table4[[#This Row],[Adjusted Correct]]="YES",(Table4[[#This Row],[Strength of Win]]-1)^2,(Table4[[#This Row],[Strength of Win]]-0)^2))</f>
        <v/>
      </c>
      <c r="P1061" s="11"/>
    </row>
    <row r="1062" spans="4:16" x14ac:dyDescent="0.2">
      <c r="D1062" s="1">
        <v>46096</v>
      </c>
      <c r="E1062" s="2">
        <v>0.83333333333333337</v>
      </c>
      <c r="F1062" t="s">
        <v>32</v>
      </c>
      <c r="G1062">
        <f>VLOOKUP(Table4[[#This Row],[Home]],'NHL Model'!$A$6:$B$38,2,FALSE)</f>
        <v>-0.64937723527808999</v>
      </c>
      <c r="H1062" t="s">
        <v>11</v>
      </c>
      <c r="I1062">
        <f>VLOOKUP(Table4[[#This Row],[Visitor]],'NHL Model'!$A$6:$B$38,2,FALSE)</f>
        <v>-0.39711829106410657</v>
      </c>
      <c r="J1062">
        <f>($B$1+Table4[[#This Row],[Home Differential]])-Table4[[#This Row],[Away Differential]]</f>
        <v>-0.202358195290821</v>
      </c>
      <c r="K1062" t="str">
        <f>IF(Table4[[#This Row],[HomeIce Differential]]&gt;0,Table4[[#This Row],[Home]],Table4[[#This Row],[Visitor]])</f>
        <v>Florida Panthers</v>
      </c>
      <c r="L10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0.48362830589400985</v>
      </c>
      <c r="M1062" t="str">
        <f>IF(OR((NHL2025_26Results[[#This Row],[Winning Team]]="")),"-",IF(Table4[[#This Row],[Predicted Winner]]=NHL2025_26Results[[#This Row],[Winning Team]],"YES","NO"))</f>
        <v>-</v>
      </c>
      <c r="N1062" t="str">
        <f>IF(Table4[[#This Row],[Adjusted Correct]]="-", "",IF(Table4[[#This Row],[Adjusted Correct]]="YES",(Table4[[#This Row],[Strength of Win]]-1)^2,(Table4[[#This Row],[Strength of Win]]-0)^2))</f>
        <v/>
      </c>
      <c r="P1062" s="11"/>
    </row>
    <row r="1063" spans="4:16" x14ac:dyDescent="0.2">
      <c r="D1063" s="1">
        <v>46096</v>
      </c>
      <c r="E1063" s="2">
        <v>0.625</v>
      </c>
      <c r="F1063" t="s">
        <v>40</v>
      </c>
      <c r="G1063">
        <f>VLOOKUP(Table4[[#This Row],[Home]],'NHL Model'!$A$6:$B$38,2,FALSE)</f>
        <v>-0.31324182378279158</v>
      </c>
      <c r="H1063" t="s">
        <v>35</v>
      </c>
      <c r="I1063">
        <f>VLOOKUP(Table4[[#This Row],[Visitor]],'NHL Model'!$A$6:$B$38,2,FALSE)</f>
        <v>-1.3944783719477225</v>
      </c>
      <c r="J1063">
        <f>($B$1+Table4[[#This Row],[Home Differential]])-Table4[[#This Row],[Away Differential]]</f>
        <v>1.1311372970880935</v>
      </c>
      <c r="K1063" t="str">
        <f>IF(Table4[[#This Row],[HomeIce Differential]]&gt;0,Table4[[#This Row],[Home]],Table4[[#This Row],[Visitor]])</f>
        <v>Winnipeg Jets</v>
      </c>
      <c r="L10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0.67457245303438529</v>
      </c>
      <c r="M1063" t="str">
        <f>IF(OR((NHL2025_26Results[[#This Row],[Winning Team]]="")),"-",IF(Table4[[#This Row],[Predicted Winner]]=NHL2025_26Results[[#This Row],[Winning Team]],"YES","NO"))</f>
        <v>-</v>
      </c>
      <c r="N1063" t="str">
        <f>IF(Table4[[#This Row],[Adjusted Correct]]="-", "",IF(Table4[[#This Row],[Adjusted Correct]]="YES",(Table4[[#This Row],[Strength of Win]]-1)^2,(Table4[[#This Row],[Strength of Win]]-0)^2))</f>
        <v/>
      </c>
      <c r="P1063" s="11"/>
    </row>
    <row r="1064" spans="4:16" x14ac:dyDescent="0.2">
      <c r="D1064" s="1">
        <v>46097</v>
      </c>
      <c r="E1064" s="2">
        <v>0.89583333333333337</v>
      </c>
      <c r="F1064" t="s">
        <v>12</v>
      </c>
      <c r="G1064">
        <f>VLOOKUP(Table4[[#This Row],[Home]],'NHL Model'!$A$6:$B$38,2,FALSE)</f>
        <v>1.6319036584269762</v>
      </c>
      <c r="H1064" t="s">
        <v>14</v>
      </c>
      <c r="I1064">
        <f>VLOOKUP(Table4[[#This Row],[Visitor]],'NHL Model'!$A$6:$B$38,2,FALSE)</f>
        <v>-0.14226422156549004</v>
      </c>
      <c r="J1064">
        <f>($B$1+Table4[[#This Row],[Home Differential]])-Table4[[#This Row],[Away Differential]]</f>
        <v>1.8240686289156287</v>
      </c>
      <c r="K1064" t="str">
        <f>IF(Table4[[#This Row],[HomeIce Differential]]&gt;0,Table4[[#This Row],[Home]],Table4[[#This Row],[Visitor]])</f>
        <v>Colorado Avalanche</v>
      </c>
      <c r="L10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0.82046356927148056</v>
      </c>
      <c r="M1064" t="str">
        <f>IF(OR((NHL2025_26Results[[#This Row],[Winning Team]]="")),"-",IF(Table4[[#This Row],[Predicted Winner]]=NHL2025_26Results[[#This Row],[Winning Team]],"YES","NO"))</f>
        <v>-</v>
      </c>
      <c r="N1064" t="str">
        <f>IF(Table4[[#This Row],[Adjusted Correct]]="-", "",IF(Table4[[#This Row],[Adjusted Correct]]="YES",(Table4[[#This Row],[Strength of Win]]-1)^2,(Table4[[#This Row],[Strength of Win]]-0)^2))</f>
        <v/>
      </c>
      <c r="P1064" s="11"/>
    </row>
    <row r="1065" spans="4:16" x14ac:dyDescent="0.2">
      <c r="D1065" s="1">
        <v>46097</v>
      </c>
      <c r="E1065" s="2">
        <v>0.83333333333333337</v>
      </c>
      <c r="F1065" t="s">
        <v>39</v>
      </c>
      <c r="G1065">
        <f>VLOOKUP(Table4[[#This Row],[Home]],'NHL Model'!$A$6:$B$38,2,FALSE)</f>
        <v>0.41344250185511977</v>
      </c>
      <c r="H1065" t="s">
        <v>55</v>
      </c>
      <c r="I1065">
        <f>VLOOKUP(Table4[[#This Row],[Visitor]],'NHL Model'!$A$6:$B$38,2,FALSE)</f>
        <v>-0.4031232890211825</v>
      </c>
      <c r="J1065">
        <f>($B$1+Table4[[#This Row],[Home Differential]])-Table4[[#This Row],[Away Differential]]</f>
        <v>0.86646653979946475</v>
      </c>
      <c r="K1065" t="str">
        <f>IF(Table4[[#This Row],[HomeIce Differential]]&gt;0,Table4[[#This Row],[Home]],Table4[[#This Row],[Visitor]])</f>
        <v>Dallas Stars</v>
      </c>
      <c r="L10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0.67341882246331153</v>
      </c>
      <c r="M1065" t="str">
        <f>IF(OR((NHL2025_26Results[[#This Row],[Winning Team]]="")),"-",IF(Table4[[#This Row],[Predicted Winner]]=NHL2025_26Results[[#This Row],[Winning Team]],"YES","NO"))</f>
        <v>-</v>
      </c>
      <c r="N1065" t="str">
        <f>IF(Table4[[#This Row],[Adjusted Correct]]="-", "",IF(Table4[[#This Row],[Adjusted Correct]]="YES",(Table4[[#This Row],[Strength of Win]]-1)^2,(Table4[[#This Row],[Strength of Win]]-0)^2))</f>
        <v/>
      </c>
      <c r="P1065" s="11"/>
    </row>
    <row r="1066" spans="4:16" x14ac:dyDescent="0.2">
      <c r="D1066" s="1">
        <v>46097</v>
      </c>
      <c r="E1066" s="2">
        <v>0.79166666666666663</v>
      </c>
      <c r="F1066" t="s">
        <v>26</v>
      </c>
      <c r="G1066">
        <f>VLOOKUP(Table4[[#This Row],[Home]],'NHL Model'!$A$6:$B$38,2,FALSE)</f>
        <v>-0.87533956503230947</v>
      </c>
      <c r="H1066" t="s">
        <v>16</v>
      </c>
      <c r="I1066">
        <f>VLOOKUP(Table4[[#This Row],[Visitor]],'NHL Model'!$A$6:$B$38,2,FALSE)</f>
        <v>-1.0657812790446208</v>
      </c>
      <c r="J1066">
        <f>($B$1+Table4[[#This Row],[Home Differential]])-Table4[[#This Row],[Away Differential]]</f>
        <v>0.24034246293547379</v>
      </c>
      <c r="K1066" t="str">
        <f>IF(Table4[[#This Row],[HomeIce Differential]]&gt;0,Table4[[#This Row],[Home]],Table4[[#This Row],[Visitor]])</f>
        <v>Detroit Red Wings</v>
      </c>
      <c r="L10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0.56806352974930241</v>
      </c>
      <c r="M1066" t="str">
        <f>IF(OR((NHL2025_26Results[[#This Row],[Winning Team]]="")),"-",IF(Table4[[#This Row],[Predicted Winner]]=NHL2025_26Results[[#This Row],[Winning Team]],"YES","NO"))</f>
        <v>-</v>
      </c>
      <c r="N1066" t="str">
        <f>IF(Table4[[#This Row],[Adjusted Correct]]="-", "",IF(Table4[[#This Row],[Adjusted Correct]]="YES",(Table4[[#This Row],[Strength of Win]]-1)^2,(Table4[[#This Row],[Strength of Win]]-0)^2))</f>
        <v/>
      </c>
      <c r="P1066" s="11"/>
    </row>
    <row r="1067" spans="4:16" x14ac:dyDescent="0.2">
      <c r="D1067" s="1">
        <v>46097</v>
      </c>
      <c r="E1067" s="2">
        <v>0.79166666666666663</v>
      </c>
      <c r="F1067" t="s">
        <v>24</v>
      </c>
      <c r="G1067">
        <f>VLOOKUP(Table4[[#This Row],[Home]],'NHL Model'!$A$6:$B$38,2,FALSE)</f>
        <v>1.5302507646042616E-3</v>
      </c>
      <c r="H1067" t="s">
        <v>21</v>
      </c>
      <c r="I1067">
        <f>VLOOKUP(Table4[[#This Row],[Visitor]],'NHL Model'!$A$6:$B$38,2,FALSE)</f>
        <v>-0.21976976044773161</v>
      </c>
      <c r="J1067">
        <f>($B$1+Table4[[#This Row],[Home Differential]])-Table4[[#This Row],[Away Differential]]</f>
        <v>0.27120076013549832</v>
      </c>
      <c r="K1067" t="str">
        <f>IF(Table4[[#This Row],[HomeIce Differential]]&gt;0,Table4[[#This Row],[Home]],Table4[[#This Row],[Visitor]])</f>
        <v>New Jersey Devils</v>
      </c>
      <c r="L10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0.65071431043098604</v>
      </c>
      <c r="M1067" t="str">
        <f>IF(OR((NHL2025_26Results[[#This Row],[Winning Team]]="")),"-",IF(Table4[[#This Row],[Predicted Winner]]=NHL2025_26Results[[#This Row],[Winning Team]],"YES","NO"))</f>
        <v>-</v>
      </c>
      <c r="N1067" t="str">
        <f>IF(Table4[[#This Row],[Adjusted Correct]]="-", "",IF(Table4[[#This Row],[Adjusted Correct]]="YES",(Table4[[#This Row],[Strength of Win]]-1)^2,(Table4[[#This Row],[Strength of Win]]-0)^2))</f>
        <v/>
      </c>
      <c r="P1067" s="11"/>
    </row>
    <row r="1068" spans="4:16" x14ac:dyDescent="0.2">
      <c r="D1068" s="1">
        <v>46097</v>
      </c>
      <c r="E1068" s="2">
        <v>0.79166666666666663</v>
      </c>
      <c r="F1068" t="s">
        <v>15</v>
      </c>
      <c r="G1068">
        <f>VLOOKUP(Table4[[#This Row],[Home]],'NHL Model'!$A$6:$B$38,2,FALSE)</f>
        <v>-0.29003398448394263</v>
      </c>
      <c r="H1068" t="s">
        <v>13</v>
      </c>
      <c r="I1068">
        <f>VLOOKUP(Table4[[#This Row],[Visitor]],'NHL Model'!$A$6:$B$38,2,FALSE)</f>
        <v>-0.33828359867721369</v>
      </c>
      <c r="J1068">
        <f>($B$1+Table4[[#This Row],[Home Differential]])-Table4[[#This Row],[Away Differential]]</f>
        <v>9.815036311643352E-2</v>
      </c>
      <c r="K1068" t="str">
        <f>IF(Table4[[#This Row],[HomeIce Differential]]&gt;0,Table4[[#This Row],[Home]],Table4[[#This Row],[Visitor]])</f>
        <v>New York Rangers</v>
      </c>
      <c r="L10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0.48514471401613135</v>
      </c>
      <c r="M1068" t="str">
        <f>IF(OR((NHL2025_26Results[[#This Row],[Winning Team]]="")),"-",IF(Table4[[#This Row],[Predicted Winner]]=NHL2025_26Results[[#This Row],[Winning Team]],"YES","NO"))</f>
        <v>-</v>
      </c>
      <c r="N1068" t="str">
        <f>IF(Table4[[#This Row],[Adjusted Correct]]="-", "",IF(Table4[[#This Row],[Adjusted Correct]]="YES",(Table4[[#This Row],[Strength of Win]]-1)^2,(Table4[[#This Row],[Strength of Win]]-0)^2))</f>
        <v/>
      </c>
      <c r="P1068" s="11"/>
    </row>
    <row r="1069" spans="4:16" x14ac:dyDescent="0.2">
      <c r="D1069" s="1">
        <v>46098</v>
      </c>
      <c r="E1069" s="2">
        <v>0.79166666666666663</v>
      </c>
      <c r="F1069" t="s">
        <v>28</v>
      </c>
      <c r="G1069">
        <f>VLOOKUP(Table4[[#This Row],[Home]],'NHL Model'!$A$6:$B$38,2,FALSE)</f>
        <v>-0.59498940435054026</v>
      </c>
      <c r="H1069" t="s">
        <v>25</v>
      </c>
      <c r="I1069">
        <f>VLOOKUP(Table4[[#This Row],[Visitor]],'NHL Model'!$A$6:$B$38,2,FALSE)</f>
        <v>0.42567513732855267</v>
      </c>
      <c r="J1069">
        <f>($B$1+Table4[[#This Row],[Home Differential]])-Table4[[#This Row],[Away Differential]]</f>
        <v>-0.9707637927559305</v>
      </c>
      <c r="K1069" t="str">
        <f>IF(Table4[[#This Row],[HomeIce Differential]]&gt;0,Table4[[#This Row],[Home]],Table4[[#This Row],[Visitor]])</f>
        <v>Carolina Hurricanes</v>
      </c>
      <c r="L10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0.64597416936312857</v>
      </c>
      <c r="M1069" t="str">
        <f>IF(OR((NHL2025_26Results[[#This Row],[Winning Team]]="")),"-",IF(Table4[[#This Row],[Predicted Winner]]=NHL2025_26Results[[#This Row],[Winning Team]],"YES","NO"))</f>
        <v>-</v>
      </c>
      <c r="N1069" t="str">
        <f>IF(Table4[[#This Row],[Adjusted Correct]]="-", "",IF(Table4[[#This Row],[Adjusted Correct]]="YES",(Table4[[#This Row],[Strength of Win]]-1)^2,(Table4[[#This Row],[Strength of Win]]-0)^2))</f>
        <v/>
      </c>
      <c r="P1069" s="11"/>
    </row>
    <row r="1070" spans="4:16" x14ac:dyDescent="0.2">
      <c r="D1070" s="1">
        <v>46098</v>
      </c>
      <c r="E1070" s="2">
        <v>0.8125</v>
      </c>
      <c r="F1070" t="s">
        <v>10</v>
      </c>
      <c r="G1070">
        <f>VLOOKUP(Table4[[#This Row],[Home]],'NHL Model'!$A$6:$B$38,2,FALSE)</f>
        <v>-0.17619625518431364</v>
      </c>
      <c r="H1070" t="s">
        <v>34</v>
      </c>
      <c r="I1070">
        <f>VLOOKUP(Table4[[#This Row],[Visitor]],'NHL Model'!$A$6:$B$38,2,FALSE)</f>
        <v>-5.5124787449478845E-2</v>
      </c>
      <c r="J1070">
        <f>($B$1+Table4[[#This Row],[Home Differential]])-Table4[[#This Row],[Away Differential]]</f>
        <v>-7.1170718811672334E-2</v>
      </c>
      <c r="K1070" t="str">
        <f>IF(Table4[[#This Row],[HomeIce Differential]]&gt;0,Table4[[#This Row],[Home]],Table4[[#This Row],[Visitor]])</f>
        <v>Minnesota Wild</v>
      </c>
      <c r="L10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0.51082279464017433</v>
      </c>
      <c r="M1070" t="str">
        <f>IF(OR((NHL2025_26Results[[#This Row],[Winning Team]]="")),"-",IF(Table4[[#This Row],[Predicted Winner]]=NHL2025_26Results[[#This Row],[Winning Team]],"YES","NO"))</f>
        <v>-</v>
      </c>
      <c r="N1070" t="str">
        <f>IF(Table4[[#This Row],[Adjusted Correct]]="-", "",IF(Table4[[#This Row],[Adjusted Correct]]="YES",(Table4[[#This Row],[Strength of Win]]-1)^2,(Table4[[#This Row],[Strength of Win]]-0)^2))</f>
        <v/>
      </c>
      <c r="P1070" s="11"/>
    </row>
    <row r="1071" spans="4:16" x14ac:dyDescent="0.2">
      <c r="D1071" s="1">
        <v>46098</v>
      </c>
      <c r="E1071" s="2">
        <v>0.875</v>
      </c>
      <c r="F1071" t="s">
        <v>17</v>
      </c>
      <c r="G1071">
        <f>VLOOKUP(Table4[[#This Row],[Home]],'NHL Model'!$A$6:$B$38,2,FALSE)</f>
        <v>-0.81774666423752174</v>
      </c>
      <c r="H1071" t="s">
        <v>33</v>
      </c>
      <c r="I1071">
        <f>VLOOKUP(Table4[[#This Row],[Visitor]],'NHL Model'!$A$6:$B$38,2,FALSE)</f>
        <v>-0.45133099238224339</v>
      </c>
      <c r="J1071">
        <f>($B$1+Table4[[#This Row],[Home Differential]])-Table4[[#This Row],[Away Differential]]</f>
        <v>-0.31651492293211592</v>
      </c>
      <c r="K1071" t="str">
        <f>IF(Table4[[#This Row],[HomeIce Differential]]&gt;0,Table4[[#This Row],[Home]],Table4[[#This Row],[Visitor]])</f>
        <v>San Jose Sharks</v>
      </c>
      <c r="L10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0.48991183681922673</v>
      </c>
      <c r="M1071" t="str">
        <f>IF(OR((NHL2025_26Results[[#This Row],[Winning Team]]="")),"-",IF(Table4[[#This Row],[Predicted Winner]]=NHL2025_26Results[[#This Row],[Winning Team]],"YES","NO"))</f>
        <v>-</v>
      </c>
      <c r="N1071" t="str">
        <f>IF(Table4[[#This Row],[Adjusted Correct]]="-", "",IF(Table4[[#This Row],[Adjusted Correct]]="YES",(Table4[[#This Row],[Strength of Win]]-1)^2,(Table4[[#This Row],[Strength of Win]]-0)^2))</f>
        <v/>
      </c>
      <c r="P1071" s="11"/>
    </row>
    <row r="1072" spans="4:16" x14ac:dyDescent="0.2">
      <c r="D1072" s="1">
        <v>46098</v>
      </c>
      <c r="E1072" s="2">
        <v>0.79166666666666663</v>
      </c>
      <c r="F1072" t="s">
        <v>18</v>
      </c>
      <c r="G1072">
        <f>VLOOKUP(Table4[[#This Row],[Home]],'NHL Model'!$A$6:$B$38,2,FALSE)</f>
        <v>-0.59288962827382519</v>
      </c>
      <c r="H1072" t="s">
        <v>21</v>
      </c>
      <c r="I1072">
        <f>VLOOKUP(Table4[[#This Row],[Visitor]],'NHL Model'!$A$6:$B$38,2,FALSE)</f>
        <v>-0.21976976044773161</v>
      </c>
      <c r="J1072">
        <f>($B$1+Table4[[#This Row],[Home Differential]])-Table4[[#This Row],[Away Differential]]</f>
        <v>-0.32321911890293115</v>
      </c>
      <c r="K1072" t="str">
        <f>IF(Table4[[#This Row],[HomeIce Differential]]&gt;0,Table4[[#This Row],[Home]],Table4[[#This Row],[Visitor]])</f>
        <v>Boston Bruins</v>
      </c>
      <c r="L10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0.49857009559320375</v>
      </c>
      <c r="M1072" t="str">
        <f>IF(OR((NHL2025_26Results[[#This Row],[Winning Team]]="")),"-",IF(Table4[[#This Row],[Predicted Winner]]=NHL2025_26Results[[#This Row],[Winning Team]],"YES","NO"))</f>
        <v>-</v>
      </c>
      <c r="N1072" t="str">
        <f>IF(Table4[[#This Row],[Adjusted Correct]]="-", "",IF(Table4[[#This Row],[Adjusted Correct]]="YES",(Table4[[#This Row],[Strength of Win]]-1)^2,(Table4[[#This Row],[Strength of Win]]-0)^2))</f>
        <v/>
      </c>
      <c r="P1072" s="11"/>
    </row>
    <row r="1073" spans="4:16" x14ac:dyDescent="0.2">
      <c r="D1073" s="1">
        <v>46098</v>
      </c>
      <c r="E1073" s="2">
        <v>0.91666666666666663</v>
      </c>
      <c r="F1073" t="s">
        <v>32</v>
      </c>
      <c r="G1073">
        <f>VLOOKUP(Table4[[#This Row],[Home]],'NHL Model'!$A$6:$B$38,2,FALSE)</f>
        <v>-0.64937723527808999</v>
      </c>
      <c r="H1073" t="s">
        <v>37</v>
      </c>
      <c r="I1073">
        <f>VLOOKUP(Table4[[#This Row],[Visitor]],'NHL Model'!$A$6:$B$38,2,FALSE)</f>
        <v>0.51050494674660429</v>
      </c>
      <c r="J1073">
        <f>($B$1+Table4[[#This Row],[Home Differential]])-Table4[[#This Row],[Away Differential]]</f>
        <v>-1.1099814331015319</v>
      </c>
      <c r="K1073" t="str">
        <f>IF(Table4[[#This Row],[HomeIce Differential]]&gt;0,Table4[[#This Row],[Home]],Table4[[#This Row],[Visitor]])</f>
        <v>Tampa Bay Lightning</v>
      </c>
      <c r="L10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0.68209290231665043</v>
      </c>
      <c r="M1073" t="str">
        <f>IF(OR((NHL2025_26Results[[#This Row],[Winning Team]]="")),"-",IF(Table4[[#This Row],[Predicted Winner]]=NHL2025_26Results[[#This Row],[Winning Team]],"YES","NO"))</f>
        <v>-</v>
      </c>
      <c r="N1073" t="str">
        <f>IF(Table4[[#This Row],[Adjusted Correct]]="-", "",IF(Table4[[#This Row],[Adjusted Correct]]="YES",(Table4[[#This Row],[Strength of Win]]-1)^2,(Table4[[#This Row],[Strength of Win]]-0)^2))</f>
        <v/>
      </c>
      <c r="P1073" s="11"/>
    </row>
    <row r="1074" spans="4:16" x14ac:dyDescent="0.2">
      <c r="D1074" s="1">
        <v>46098</v>
      </c>
      <c r="E1074" s="2">
        <v>0.79166666666666663</v>
      </c>
      <c r="F1074" t="s">
        <v>19</v>
      </c>
      <c r="G1074">
        <f>VLOOKUP(Table4[[#This Row],[Home]],'NHL Model'!$A$6:$B$38,2,FALSE)</f>
        <v>-0.63447859131898054</v>
      </c>
      <c r="H1074" t="s">
        <v>30</v>
      </c>
      <c r="I1074">
        <f>VLOOKUP(Table4[[#This Row],[Visitor]],'NHL Model'!$A$6:$B$38,2,FALSE)</f>
        <v>-0.24093199744133265</v>
      </c>
      <c r="J1074">
        <f>($B$1+Table4[[#This Row],[Home Differential]])-Table4[[#This Row],[Away Differential]]</f>
        <v>-0.34364584495448547</v>
      </c>
      <c r="K1074" t="str">
        <f>IF(Table4[[#This Row],[HomeIce Differential]]&gt;0,Table4[[#This Row],[Home]],Table4[[#This Row],[Visitor]])</f>
        <v>New York Islanders</v>
      </c>
      <c r="L10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0.5727488933569812</v>
      </c>
      <c r="M1074" t="str">
        <f>IF(OR((NHL2025_26Results[[#This Row],[Winning Team]]="")),"-",IF(Table4[[#This Row],[Predicted Winner]]=NHL2025_26Results[[#This Row],[Winning Team]],"YES","NO"))</f>
        <v>-</v>
      </c>
      <c r="N1074" t="str">
        <f>IF(Table4[[#This Row],[Adjusted Correct]]="-", "",IF(Table4[[#This Row],[Adjusted Correct]]="YES",(Table4[[#This Row],[Strength of Win]]-1)^2,(Table4[[#This Row],[Strength of Win]]-0)^2))</f>
        <v/>
      </c>
      <c r="P1074" s="11"/>
    </row>
    <row r="1075" spans="4:16" x14ac:dyDescent="0.2">
      <c r="D1075" s="1">
        <v>46098</v>
      </c>
      <c r="E1075" s="2">
        <v>0.91666666666666663</v>
      </c>
      <c r="F1075" t="s">
        <v>38</v>
      </c>
      <c r="G1075">
        <f>VLOOKUP(Table4[[#This Row],[Home]],'NHL Model'!$A$6:$B$38,2,FALSE)</f>
        <v>-0.9476777551108041</v>
      </c>
      <c r="H1075" t="s">
        <v>11</v>
      </c>
      <c r="I1075">
        <f>VLOOKUP(Table4[[#This Row],[Visitor]],'NHL Model'!$A$6:$B$38,2,FALSE)</f>
        <v>-0.39711829106410657</v>
      </c>
      <c r="J1075">
        <f>($B$1+Table4[[#This Row],[Home Differential]])-Table4[[#This Row],[Away Differential]]</f>
        <v>-0.5006587151235351</v>
      </c>
      <c r="K1075" t="str">
        <f>IF(Table4[[#This Row],[HomeIce Differential]]&gt;0,Table4[[#This Row],[Home]],Table4[[#This Row],[Visitor]])</f>
        <v>Florida Panthers</v>
      </c>
      <c r="L10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0.51845929418593417</v>
      </c>
      <c r="M1075" t="str">
        <f>IF(OR((NHL2025_26Results[[#This Row],[Winning Team]]="")),"-",IF(Table4[[#This Row],[Predicted Winner]]=NHL2025_26Results[[#This Row],[Winning Team]],"YES","NO"))</f>
        <v>-</v>
      </c>
      <c r="N1075" t="str">
        <f>IF(Table4[[#This Row],[Adjusted Correct]]="-", "",IF(Table4[[#This Row],[Adjusted Correct]]="YES",(Table4[[#This Row],[Strength of Win]]-1)^2,(Table4[[#This Row],[Strength of Win]]-0)^2))</f>
        <v/>
      </c>
      <c r="P1075" s="11"/>
    </row>
    <row r="1076" spans="4:16" x14ac:dyDescent="0.2">
      <c r="D1076" s="1">
        <v>46098</v>
      </c>
      <c r="E1076" s="2">
        <v>0.91666666666666663</v>
      </c>
      <c r="F1076" t="s">
        <v>20</v>
      </c>
      <c r="G1076">
        <f>VLOOKUP(Table4[[#This Row],[Home]],'NHL Model'!$A$6:$B$38,2,FALSE)</f>
        <v>-0.24444083032063643</v>
      </c>
      <c r="H1076" t="s">
        <v>23</v>
      </c>
      <c r="I1076">
        <f>VLOOKUP(Table4[[#This Row],[Visitor]],'NHL Model'!$A$6:$B$38,2,FALSE)</f>
        <v>-0.4761104357405897</v>
      </c>
      <c r="J1076">
        <f>($B$1+Table4[[#This Row],[Home Differential]])-Table4[[#This Row],[Away Differential]]</f>
        <v>0.28157035434311573</v>
      </c>
      <c r="K1076" t="str">
        <f>IF(Table4[[#This Row],[HomeIce Differential]]&gt;0,Table4[[#This Row],[Home]],Table4[[#This Row],[Visitor]])</f>
        <v>Vegas Golden Knights</v>
      </c>
      <c r="L10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0.57287749455139403</v>
      </c>
      <c r="M1076" t="str">
        <f>IF(OR((NHL2025_26Results[[#This Row],[Winning Team]]="")),"-",IF(Table4[[#This Row],[Predicted Winner]]=NHL2025_26Results[[#This Row],[Winning Team]],"YES","NO"))</f>
        <v>-</v>
      </c>
      <c r="N1076" t="str">
        <f>IF(Table4[[#This Row],[Adjusted Correct]]="-", "",IF(Table4[[#This Row],[Adjusted Correct]]="YES",(Table4[[#This Row],[Strength of Win]]-1)^2,(Table4[[#This Row],[Strength of Win]]-0)^2))</f>
        <v/>
      </c>
      <c r="P1076" s="11"/>
    </row>
    <row r="1077" spans="4:16" x14ac:dyDescent="0.2">
      <c r="D1077" s="1">
        <v>46098</v>
      </c>
      <c r="E1077" s="2">
        <v>0.83333333333333337</v>
      </c>
      <c r="F1077" t="s">
        <v>40</v>
      </c>
      <c r="G1077">
        <f>VLOOKUP(Table4[[#This Row],[Home]],'NHL Model'!$A$6:$B$38,2,FALSE)</f>
        <v>-0.31324182378279158</v>
      </c>
      <c r="H1077" t="s">
        <v>29</v>
      </c>
      <c r="I1077">
        <f>VLOOKUP(Table4[[#This Row],[Visitor]],'NHL Model'!$A$6:$B$38,2,FALSE)</f>
        <v>-1.384917283810061</v>
      </c>
      <c r="J1077">
        <f>($B$1+Table4[[#This Row],[Home Differential]])-Table4[[#This Row],[Away Differential]]</f>
        <v>1.1215762089504318</v>
      </c>
      <c r="K1077" t="str">
        <f>IF(Table4[[#This Row],[HomeIce Differential]]&gt;0,Table4[[#This Row],[Home]],Table4[[#This Row],[Visitor]])</f>
        <v>Winnipeg Jets</v>
      </c>
      <c r="L10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0.67345605488272364</v>
      </c>
      <c r="M1077" t="str">
        <f>IF(OR((NHL2025_26Results[[#This Row],[Winning Team]]="")),"-",IF(Table4[[#This Row],[Predicted Winner]]=NHL2025_26Results[[#This Row],[Winning Team]],"YES","NO"))</f>
        <v>-</v>
      </c>
      <c r="N1077" t="str">
        <f>IF(Table4[[#This Row],[Adjusted Correct]]="-", "",IF(Table4[[#This Row],[Adjusted Correct]]="YES",(Table4[[#This Row],[Strength of Win]]-1)^2,(Table4[[#This Row],[Strength of Win]]-0)^2))</f>
        <v/>
      </c>
      <c r="P1077" s="11"/>
    </row>
    <row r="1078" spans="4:16" x14ac:dyDescent="0.2">
      <c r="D1078" s="1">
        <v>46099</v>
      </c>
      <c r="E1078" s="2">
        <v>0.91666666666666663</v>
      </c>
      <c r="F1078" t="s">
        <v>31</v>
      </c>
      <c r="G1078">
        <f>VLOOKUP(Table4[[#This Row],[Home]],'NHL Model'!$A$6:$B$38,2,FALSE)</f>
        <v>0.17870302183926629</v>
      </c>
      <c r="H1078" t="s">
        <v>27</v>
      </c>
      <c r="I1078">
        <f>VLOOKUP(Table4[[#This Row],[Visitor]],'NHL Model'!$A$6:$B$38,2,FALSE)</f>
        <v>-0.38023958350631604</v>
      </c>
      <c r="J1078">
        <f>($B$1+Table4[[#This Row],[Home Differential]])-Table4[[#This Row],[Away Differential]]</f>
        <v>0.60884335426874481</v>
      </c>
      <c r="K1078" t="str">
        <f>IF(Table4[[#This Row],[HomeIce Differential]]&gt;0,Table4[[#This Row],[Home]],Table4[[#This Row],[Visitor]])</f>
        <v>Anaheim Ducks</v>
      </c>
      <c r="L10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0.65003881591850643</v>
      </c>
      <c r="M1078" t="str">
        <f>IF(OR((NHL2025_26Results[[#This Row],[Winning Team]]="")),"-",IF(Table4[[#This Row],[Predicted Winner]]=NHL2025_26Results[[#This Row],[Winning Team]],"YES","NO"))</f>
        <v>-</v>
      </c>
      <c r="N1078" t="str">
        <f>IF(Table4[[#This Row],[Adjusted Correct]]="-", "",IF(Table4[[#This Row],[Adjusted Correct]]="YES",(Table4[[#This Row],[Strength of Win]]-1)^2,(Table4[[#This Row],[Strength of Win]]-0)^2))</f>
        <v/>
      </c>
      <c r="P1078" s="11"/>
    </row>
    <row r="1079" spans="4:16" x14ac:dyDescent="0.2">
      <c r="D1079" s="1">
        <v>46099</v>
      </c>
      <c r="E1079" s="2">
        <v>0.79166666666666663</v>
      </c>
      <c r="F1079" t="s">
        <v>25</v>
      </c>
      <c r="G1079">
        <f>VLOOKUP(Table4[[#This Row],[Home]],'NHL Model'!$A$6:$B$38,2,FALSE)</f>
        <v>0.42567513732855267</v>
      </c>
      <c r="H1079" t="s">
        <v>14</v>
      </c>
      <c r="I1079">
        <f>VLOOKUP(Table4[[#This Row],[Visitor]],'NHL Model'!$A$6:$B$38,2,FALSE)</f>
        <v>-0.14226422156549004</v>
      </c>
      <c r="J1079">
        <f>($B$1+Table4[[#This Row],[Home Differential]])-Table4[[#This Row],[Away Differential]]</f>
        <v>0.61784010781720522</v>
      </c>
      <c r="K1079" t="str">
        <f>IF(Table4[[#This Row],[HomeIce Differential]]&gt;0,Table4[[#This Row],[Home]],Table4[[#This Row],[Visitor]])</f>
        <v>Carolina Hurricanes</v>
      </c>
      <c r="L10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0.62533344061854423</v>
      </c>
      <c r="M1079" t="str">
        <f>IF(OR((NHL2025_26Results[[#This Row],[Winning Team]]="")),"-",IF(Table4[[#This Row],[Predicted Winner]]=NHL2025_26Results[[#This Row],[Winning Team]],"YES","NO"))</f>
        <v>-</v>
      </c>
      <c r="N1079" t="str">
        <f>IF(Table4[[#This Row],[Adjusted Correct]]="-", "",IF(Table4[[#This Row],[Adjusted Correct]]="YES",(Table4[[#This Row],[Strength of Win]]-1)^2,(Table4[[#This Row],[Strength of Win]]-0)^2))</f>
        <v/>
      </c>
      <c r="P1079" s="11"/>
    </row>
    <row r="1080" spans="4:16" x14ac:dyDescent="0.2">
      <c r="D1080" s="1">
        <v>46099</v>
      </c>
      <c r="E1080" s="2">
        <v>0.89583333333333337</v>
      </c>
      <c r="F1080" t="s">
        <v>16</v>
      </c>
      <c r="G1080">
        <f>VLOOKUP(Table4[[#This Row],[Home]],'NHL Model'!$A$6:$B$38,2,FALSE)</f>
        <v>-1.0657812790446208</v>
      </c>
      <c r="H1080" t="s">
        <v>35</v>
      </c>
      <c r="I1080">
        <f>VLOOKUP(Table4[[#This Row],[Visitor]],'NHL Model'!$A$6:$B$38,2,FALSE)</f>
        <v>-1.3944783719477225</v>
      </c>
      <c r="J1080">
        <f>($B$1+Table4[[#This Row],[Home Differential]])-Table4[[#This Row],[Away Differential]]</f>
        <v>0.3785978418262641</v>
      </c>
      <c r="K1080" t="str">
        <f>IF(Table4[[#This Row],[HomeIce Differential]]&gt;0,Table4[[#This Row],[Home]],Table4[[#This Row],[Visitor]])</f>
        <v>Calgary Flames</v>
      </c>
      <c r="L10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0.58420688573856194</v>
      </c>
      <c r="M1080" t="str">
        <f>IF(OR((NHL2025_26Results[[#This Row],[Winning Team]]="")),"-",IF(Table4[[#This Row],[Predicted Winner]]=NHL2025_26Results[[#This Row],[Winning Team]],"YES","NO"))</f>
        <v>-</v>
      </c>
      <c r="N1080" t="str">
        <f>IF(Table4[[#This Row],[Adjusted Correct]]="-", "",IF(Table4[[#This Row],[Adjusted Correct]]="YES",(Table4[[#This Row],[Strength of Win]]-1)^2,(Table4[[#This Row],[Strength of Win]]-0)^2))</f>
        <v/>
      </c>
      <c r="P1080" s="11"/>
    </row>
    <row r="1081" spans="4:16" x14ac:dyDescent="0.2">
      <c r="D1081" s="1">
        <v>46099</v>
      </c>
      <c r="E1081" s="2">
        <v>0.89583333333333337</v>
      </c>
      <c r="F1081" t="s">
        <v>12</v>
      </c>
      <c r="G1081">
        <f>VLOOKUP(Table4[[#This Row],[Home]],'NHL Model'!$A$6:$B$38,2,FALSE)</f>
        <v>1.6319036584269762</v>
      </c>
      <c r="H1081" t="s">
        <v>39</v>
      </c>
      <c r="I1081">
        <f>VLOOKUP(Table4[[#This Row],[Visitor]],'NHL Model'!$A$6:$B$38,2,FALSE)</f>
        <v>0.41344250185511977</v>
      </c>
      <c r="J1081">
        <f>($B$1+Table4[[#This Row],[Home Differential]])-Table4[[#This Row],[Away Differential]]</f>
        <v>1.2683619054950188</v>
      </c>
      <c r="K1081" t="str">
        <f>IF(Table4[[#This Row],[HomeIce Differential]]&gt;0,Table4[[#This Row],[Home]],Table4[[#This Row],[Visitor]])</f>
        <v>Colorado Avalanche</v>
      </c>
      <c r="L10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0.69431845954718507</v>
      </c>
      <c r="M1081" t="str">
        <f>IF(OR((NHL2025_26Results[[#This Row],[Winning Team]]="")),"-",IF(Table4[[#This Row],[Predicted Winner]]=NHL2025_26Results[[#This Row],[Winning Team]],"YES","NO"))</f>
        <v>-</v>
      </c>
      <c r="N1081" t="str">
        <f>IF(Table4[[#This Row],[Adjusted Correct]]="-", "",IF(Table4[[#This Row],[Adjusted Correct]]="YES",(Table4[[#This Row],[Strength of Win]]-1)^2,(Table4[[#This Row],[Strength of Win]]-0)^2))</f>
        <v/>
      </c>
      <c r="P1081" s="11"/>
    </row>
    <row r="1082" spans="4:16" x14ac:dyDescent="0.2">
      <c r="D1082" s="1">
        <v>46099</v>
      </c>
      <c r="E1082" s="2">
        <v>0.79166666666666663</v>
      </c>
      <c r="F1082" t="s">
        <v>15</v>
      </c>
      <c r="G1082">
        <f>VLOOKUP(Table4[[#This Row],[Home]],'NHL Model'!$A$6:$B$38,2,FALSE)</f>
        <v>-0.29003398448394263</v>
      </c>
      <c r="H1082" t="s">
        <v>24</v>
      </c>
      <c r="I1082">
        <f>VLOOKUP(Table4[[#This Row],[Visitor]],'NHL Model'!$A$6:$B$38,2,FALSE)</f>
        <v>1.5302507646042616E-3</v>
      </c>
      <c r="J1082">
        <f>($B$1+Table4[[#This Row],[Home Differential]])-Table4[[#This Row],[Away Differential]]</f>
        <v>-0.24166348632538442</v>
      </c>
      <c r="K1082" t="str">
        <f>IF(Table4[[#This Row],[HomeIce Differential]]&gt;0,Table4[[#This Row],[Home]],Table4[[#This Row],[Visitor]])</f>
        <v>New Jersey Devils</v>
      </c>
      <c r="L10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0.50898700949621889</v>
      </c>
      <c r="M1082" t="str">
        <f>IF(OR((NHL2025_26Results[[#This Row],[Winning Team]]="")),"-",IF(Table4[[#This Row],[Predicted Winner]]=NHL2025_26Results[[#This Row],[Winning Team]],"YES","NO"))</f>
        <v>-</v>
      </c>
      <c r="N1082" t="str">
        <f>IF(Table4[[#This Row],[Adjusted Correct]]="-", "",IF(Table4[[#This Row],[Adjusted Correct]]="YES",(Table4[[#This Row],[Strength of Win]]-1)^2,(Table4[[#This Row],[Strength of Win]]-0)^2))</f>
        <v/>
      </c>
      <c r="P1082" s="11"/>
    </row>
    <row r="1083" spans="4:16" x14ac:dyDescent="0.2">
      <c r="D1083" s="1">
        <v>46099</v>
      </c>
      <c r="E1083" s="2">
        <v>0.8125</v>
      </c>
      <c r="F1083" t="s">
        <v>22</v>
      </c>
      <c r="G1083">
        <f>VLOOKUP(Table4[[#This Row],[Home]],'NHL Model'!$A$6:$B$38,2,FALSE)</f>
        <v>0.4407072328537569</v>
      </c>
      <c r="H1083" t="s">
        <v>36</v>
      </c>
      <c r="I1083">
        <f>VLOOKUP(Table4[[#This Row],[Visitor]],'NHL Model'!$A$6:$B$38,2,FALSE)</f>
        <v>-0.53137605086483863</v>
      </c>
      <c r="J1083">
        <f>($B$1+Table4[[#This Row],[Home Differential]])-Table4[[#This Row],[Away Differential]]</f>
        <v>1.021984032641758</v>
      </c>
      <c r="K1083" t="str">
        <f>IF(Table4[[#This Row],[HomeIce Differential]]&gt;0,Table4[[#This Row],[Home]],Table4[[#This Row],[Visitor]])</f>
        <v>Washington Capitals</v>
      </c>
      <c r="L10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0.68536945506778668</v>
      </c>
      <c r="M1083" t="str">
        <f>IF(OR((NHL2025_26Results[[#This Row],[Winning Team]]="")),"-",IF(Table4[[#This Row],[Predicted Winner]]=NHL2025_26Results[[#This Row],[Winning Team]],"YES","NO"))</f>
        <v>-</v>
      </c>
      <c r="N1083" t="str">
        <f>IF(Table4[[#This Row],[Adjusted Correct]]="-", "",IF(Table4[[#This Row],[Adjusted Correct]]="YES",(Table4[[#This Row],[Strength of Win]]-1)^2,(Table4[[#This Row],[Strength of Win]]-0)^2))</f>
        <v/>
      </c>
      <c r="P1083" s="11"/>
    </row>
    <row r="1084" spans="4:16" x14ac:dyDescent="0.2">
      <c r="D1084" s="1">
        <v>46100</v>
      </c>
      <c r="E1084" s="2">
        <v>0.79166666666666663</v>
      </c>
      <c r="F1084" t="s">
        <v>21</v>
      </c>
      <c r="G1084">
        <f>VLOOKUP(Table4[[#This Row],[Home]],'NHL Model'!$A$6:$B$38,2,FALSE)</f>
        <v>-0.21976976044773161</v>
      </c>
      <c r="H1084" t="s">
        <v>40</v>
      </c>
      <c r="I1084">
        <f>VLOOKUP(Table4[[#This Row],[Visitor]],'NHL Model'!$A$6:$B$38,2,FALSE)</f>
        <v>-0.31324182378279158</v>
      </c>
      <c r="J1084">
        <f>($B$1+Table4[[#This Row],[Home Differential]])-Table4[[#This Row],[Away Differential]]</f>
        <v>0.14337281225822243</v>
      </c>
      <c r="K1084" t="str">
        <f>IF(Table4[[#This Row],[HomeIce Differential]]&gt;0,Table4[[#This Row],[Home]],Table4[[#This Row],[Visitor]])</f>
        <v>Boston Bruins</v>
      </c>
      <c r="L10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0.57924089186283334</v>
      </c>
      <c r="M1084" t="str">
        <f>IF(OR((NHL2025_26Results[[#This Row],[Winning Team]]="")),"-",IF(Table4[[#This Row],[Predicted Winner]]=NHL2025_26Results[[#This Row],[Winning Team]],"YES","NO"))</f>
        <v>-</v>
      </c>
      <c r="N1084" t="str">
        <f>IF(Table4[[#This Row],[Adjusted Correct]]="-", "",IF(Table4[[#This Row],[Adjusted Correct]]="YES",(Table4[[#This Row],[Strength of Win]]-1)^2,(Table4[[#This Row],[Strength of Win]]-0)^2))</f>
        <v/>
      </c>
      <c r="P1084" s="11"/>
    </row>
    <row r="1085" spans="4:16" x14ac:dyDescent="0.2">
      <c r="D1085" s="1">
        <v>46100</v>
      </c>
      <c r="E1085" s="2">
        <v>0.79166666666666663</v>
      </c>
      <c r="F1085" t="s">
        <v>28</v>
      </c>
      <c r="G1085">
        <f>VLOOKUP(Table4[[#This Row],[Home]],'NHL Model'!$A$6:$B$38,2,FALSE)</f>
        <v>-0.59498940435054026</v>
      </c>
      <c r="H1085" t="s">
        <v>15</v>
      </c>
      <c r="I1085">
        <f>VLOOKUP(Table4[[#This Row],[Visitor]],'NHL Model'!$A$6:$B$38,2,FALSE)</f>
        <v>-0.29003398448394263</v>
      </c>
      <c r="J1085">
        <f>($B$1+Table4[[#This Row],[Home Differential]])-Table4[[#This Row],[Away Differential]]</f>
        <v>-0.2550546709434352</v>
      </c>
      <c r="K1085" t="str">
        <f>IF(Table4[[#This Row],[HomeIce Differential]]&gt;0,Table4[[#This Row],[Home]],Table4[[#This Row],[Visitor]])</f>
        <v>New York Rangers</v>
      </c>
      <c r="L10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0.5898628635660369</v>
      </c>
      <c r="M1085" t="str">
        <f>IF(OR((NHL2025_26Results[[#This Row],[Winning Team]]="")),"-",IF(Table4[[#This Row],[Predicted Winner]]=NHL2025_26Results[[#This Row],[Winning Team]],"YES","NO"))</f>
        <v>-</v>
      </c>
      <c r="N1085" t="str">
        <f>IF(Table4[[#This Row],[Adjusted Correct]]="-", "",IF(Table4[[#This Row],[Adjusted Correct]]="YES",(Table4[[#This Row],[Strength of Win]]-1)^2,(Table4[[#This Row],[Strength of Win]]-0)^2))</f>
        <v/>
      </c>
      <c r="P1085" s="11"/>
    </row>
    <row r="1086" spans="4:16" x14ac:dyDescent="0.2">
      <c r="D1086" s="1">
        <v>46100</v>
      </c>
      <c r="E1086" s="2">
        <v>0.79166666666666663</v>
      </c>
      <c r="F1086" t="s">
        <v>26</v>
      </c>
      <c r="G1086">
        <f>VLOOKUP(Table4[[#This Row],[Home]],'NHL Model'!$A$6:$B$38,2,FALSE)</f>
        <v>-0.87533956503230947</v>
      </c>
      <c r="H1086" t="s">
        <v>18</v>
      </c>
      <c r="I1086">
        <f>VLOOKUP(Table4[[#This Row],[Visitor]],'NHL Model'!$A$6:$B$38,2,FALSE)</f>
        <v>-0.59288962827382519</v>
      </c>
      <c r="J1086">
        <f>($B$1+Table4[[#This Row],[Home Differential]])-Table4[[#This Row],[Away Differential]]</f>
        <v>-0.23254918783532186</v>
      </c>
      <c r="K1086" t="str">
        <f>IF(Table4[[#This Row],[HomeIce Differential]]&gt;0,Table4[[#This Row],[Home]],Table4[[#This Row],[Visitor]])</f>
        <v>Montreal Canadiens</v>
      </c>
      <c r="L10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0.54644138368872142</v>
      </c>
      <c r="M1086" t="str">
        <f>IF(OR((NHL2025_26Results[[#This Row],[Winning Team]]="")),"-",IF(Table4[[#This Row],[Predicted Winner]]=NHL2025_26Results[[#This Row],[Winning Team]],"YES","NO"))</f>
        <v>-</v>
      </c>
      <c r="N1086" t="str">
        <f>IF(Table4[[#This Row],[Adjusted Correct]]="-", "",IF(Table4[[#This Row],[Adjusted Correct]]="YES",(Table4[[#This Row],[Strength of Win]]-1)^2,(Table4[[#This Row],[Strength of Win]]-0)^2))</f>
        <v/>
      </c>
      <c r="P1086" s="11"/>
    </row>
    <row r="1087" spans="4:16" x14ac:dyDescent="0.2">
      <c r="D1087" s="1">
        <v>46100</v>
      </c>
      <c r="E1087" s="2">
        <v>0.875</v>
      </c>
      <c r="F1087" t="s">
        <v>17</v>
      </c>
      <c r="G1087">
        <f>VLOOKUP(Table4[[#This Row],[Home]],'NHL Model'!$A$6:$B$38,2,FALSE)</f>
        <v>-0.81774666423752174</v>
      </c>
      <c r="H1087" t="s">
        <v>11</v>
      </c>
      <c r="I1087">
        <f>VLOOKUP(Table4[[#This Row],[Visitor]],'NHL Model'!$A$6:$B$38,2,FALSE)</f>
        <v>-0.39711829106410657</v>
      </c>
      <c r="J1087">
        <f>($B$1+Table4[[#This Row],[Home Differential]])-Table4[[#This Row],[Away Differential]]</f>
        <v>-0.37072762425025274</v>
      </c>
      <c r="K1087" t="str">
        <f>IF(Table4[[#This Row],[HomeIce Differential]]&gt;0,Table4[[#This Row],[Home]],Table4[[#This Row],[Visitor]])</f>
        <v>Florida Panthers</v>
      </c>
      <c r="L10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0.49624196982048518</v>
      </c>
      <c r="M1087" t="str">
        <f>IF(OR((NHL2025_26Results[[#This Row],[Winning Team]]="")),"-",IF(Table4[[#This Row],[Predicted Winner]]=NHL2025_26Results[[#This Row],[Winning Team]],"YES","NO"))</f>
        <v>-</v>
      </c>
      <c r="N1087" t="str">
        <f>IF(Table4[[#This Row],[Adjusted Correct]]="-", "",IF(Table4[[#This Row],[Adjusted Correct]]="YES",(Table4[[#This Row],[Strength of Win]]-1)^2,(Table4[[#This Row],[Strength of Win]]-0)^2))</f>
        <v/>
      </c>
      <c r="P1087" s="11"/>
    </row>
    <row r="1088" spans="4:16" x14ac:dyDescent="0.2">
      <c r="D1088" s="1">
        <v>46100</v>
      </c>
      <c r="E1088" s="2">
        <v>0.9375</v>
      </c>
      <c r="F1088" t="s">
        <v>13</v>
      </c>
      <c r="G1088">
        <f>VLOOKUP(Table4[[#This Row],[Home]],'NHL Model'!$A$6:$B$38,2,FALSE)</f>
        <v>-0.33828359867721369</v>
      </c>
      <c r="H1088" t="s">
        <v>27</v>
      </c>
      <c r="I1088">
        <f>VLOOKUP(Table4[[#This Row],[Visitor]],'NHL Model'!$A$6:$B$38,2,FALSE)</f>
        <v>-0.38023958350631604</v>
      </c>
      <c r="J1088">
        <f>($B$1+Table4[[#This Row],[Home Differential]])-Table4[[#This Row],[Away Differential]]</f>
        <v>9.185673375226483E-2</v>
      </c>
      <c r="K1088" t="str">
        <f>IF(Table4[[#This Row],[HomeIce Differential]]&gt;0,Table4[[#This Row],[Home]],Table4[[#This Row],[Visitor]])</f>
        <v>Los Angeles Kings</v>
      </c>
      <c r="L10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0.50821306656013865</v>
      </c>
      <c r="M1088" t="str">
        <f>IF(OR((NHL2025_26Results[[#This Row],[Winning Team]]="")),"-",IF(Table4[[#This Row],[Predicted Winner]]=NHL2025_26Results[[#This Row],[Winning Team]],"YES","NO"))</f>
        <v>-</v>
      </c>
      <c r="N1088" t="str">
        <f>IF(Table4[[#This Row],[Adjusted Correct]]="-", "",IF(Table4[[#This Row],[Adjusted Correct]]="YES",(Table4[[#This Row],[Strength of Win]]-1)^2,(Table4[[#This Row],[Strength of Win]]-0)^2))</f>
        <v/>
      </c>
      <c r="P1088" s="11"/>
    </row>
    <row r="1089" spans="4:16" x14ac:dyDescent="0.2">
      <c r="D1089" s="1">
        <v>46100</v>
      </c>
      <c r="E1089" s="2">
        <v>0.8125</v>
      </c>
      <c r="F1089" t="s">
        <v>34</v>
      </c>
      <c r="G1089">
        <f>VLOOKUP(Table4[[#This Row],[Home]],'NHL Model'!$A$6:$B$38,2,FALSE)</f>
        <v>-5.5124787449478845E-2</v>
      </c>
      <c r="H1089" t="s">
        <v>10</v>
      </c>
      <c r="I1089">
        <f>VLOOKUP(Table4[[#This Row],[Visitor]],'NHL Model'!$A$6:$B$38,2,FALSE)</f>
        <v>-0.17619625518431364</v>
      </c>
      <c r="J1089">
        <f>($B$1+Table4[[#This Row],[Home Differential]])-Table4[[#This Row],[Away Differential]]</f>
        <v>0.17097221665799728</v>
      </c>
      <c r="K1089" t="str">
        <f>IF(Table4[[#This Row],[HomeIce Differential]]&gt;0,Table4[[#This Row],[Home]],Table4[[#This Row],[Visitor]])</f>
        <v>Minnesota Wild</v>
      </c>
      <c r="L10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0.5599635296646438</v>
      </c>
      <c r="M1089" t="str">
        <f>IF(OR((NHL2025_26Results[[#This Row],[Winning Team]]="")),"-",IF(Table4[[#This Row],[Predicted Winner]]=NHL2025_26Results[[#This Row],[Winning Team]],"YES","NO"))</f>
        <v>-</v>
      </c>
      <c r="N1089" t="str">
        <f>IF(Table4[[#This Row],[Adjusted Correct]]="-", "",IF(Table4[[#This Row],[Adjusted Correct]]="YES",(Table4[[#This Row],[Strength of Win]]-1)^2,(Table4[[#This Row],[Strength of Win]]-0)^2))</f>
        <v/>
      </c>
      <c r="P1089" s="11"/>
    </row>
    <row r="1090" spans="4:16" x14ac:dyDescent="0.2">
      <c r="D1090" s="1">
        <v>46100</v>
      </c>
      <c r="E1090" s="2">
        <v>0.83333333333333337</v>
      </c>
      <c r="F1090" t="s">
        <v>29</v>
      </c>
      <c r="G1090">
        <f>VLOOKUP(Table4[[#This Row],[Home]],'NHL Model'!$A$6:$B$38,2,FALSE)</f>
        <v>-1.384917283810061</v>
      </c>
      <c r="H1090" t="s">
        <v>32</v>
      </c>
      <c r="I1090">
        <f>VLOOKUP(Table4[[#This Row],[Visitor]],'NHL Model'!$A$6:$B$38,2,FALSE)</f>
        <v>-0.64937723527808999</v>
      </c>
      <c r="J1090">
        <f>($B$1+Table4[[#This Row],[Home Differential]])-Table4[[#This Row],[Away Differential]]</f>
        <v>-0.68563929960880854</v>
      </c>
      <c r="K1090" t="str">
        <f>IF(Table4[[#This Row],[HomeIce Differential]]&gt;0,Table4[[#This Row],[Home]],Table4[[#This Row],[Visitor]])</f>
        <v>Seattle Kraken</v>
      </c>
      <c r="L10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0.54005850754316576</v>
      </c>
      <c r="M1090" t="str">
        <f>IF(OR((NHL2025_26Results[[#This Row],[Winning Team]]="")),"-",IF(Table4[[#This Row],[Predicted Winner]]=NHL2025_26Results[[#This Row],[Winning Team]],"YES","NO"))</f>
        <v>-</v>
      </c>
      <c r="N1090" t="str">
        <f>IF(Table4[[#This Row],[Adjusted Correct]]="-", "",IF(Table4[[#This Row],[Adjusted Correct]]="YES",(Table4[[#This Row],[Strength of Win]]-1)^2,(Table4[[#This Row],[Strength of Win]]-0)^2))</f>
        <v/>
      </c>
      <c r="P1090" s="11"/>
    </row>
    <row r="1091" spans="4:16" x14ac:dyDescent="0.2">
      <c r="D1091" s="1">
        <v>46100</v>
      </c>
      <c r="E1091" s="2">
        <v>0.79166666666666663</v>
      </c>
      <c r="F1091" t="s">
        <v>36</v>
      </c>
      <c r="G1091">
        <f>VLOOKUP(Table4[[#This Row],[Home]],'NHL Model'!$A$6:$B$38,2,FALSE)</f>
        <v>-0.53137605086483863</v>
      </c>
      <c r="H1091" t="s">
        <v>30</v>
      </c>
      <c r="I1091">
        <f>VLOOKUP(Table4[[#This Row],[Visitor]],'NHL Model'!$A$6:$B$38,2,FALSE)</f>
        <v>-0.24093199744133265</v>
      </c>
      <c r="J1091">
        <f>($B$1+Table4[[#This Row],[Home Differential]])-Table4[[#This Row],[Away Differential]]</f>
        <v>-0.2405433045003435</v>
      </c>
      <c r="K1091" t="str">
        <f>IF(Table4[[#This Row],[HomeIce Differential]]&gt;0,Table4[[#This Row],[Home]],Table4[[#This Row],[Visitor]])</f>
        <v>New York Islanders</v>
      </c>
      <c r="L10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0.55820746289392176</v>
      </c>
      <c r="M1091" t="str">
        <f>IF(OR((NHL2025_26Results[[#This Row],[Winning Team]]="")),"-",IF(Table4[[#This Row],[Predicted Winner]]=NHL2025_26Results[[#This Row],[Winning Team]],"YES","NO"))</f>
        <v>-</v>
      </c>
      <c r="N1091" t="str">
        <f>IF(Table4[[#This Row],[Adjusted Correct]]="-", "",IF(Table4[[#This Row],[Adjusted Correct]]="YES",(Table4[[#This Row],[Strength of Win]]-1)^2,(Table4[[#This Row],[Strength of Win]]-0)^2))</f>
        <v/>
      </c>
      <c r="P1091" s="11"/>
    </row>
    <row r="1092" spans="4:16" x14ac:dyDescent="0.2">
      <c r="D1092" s="1">
        <v>46100</v>
      </c>
      <c r="E1092" s="2">
        <v>0.91666666666666663</v>
      </c>
      <c r="F1092" t="s">
        <v>33</v>
      </c>
      <c r="G1092">
        <f>VLOOKUP(Table4[[#This Row],[Home]],'NHL Model'!$A$6:$B$38,2,FALSE)</f>
        <v>-0.45133099238224339</v>
      </c>
      <c r="H1092" t="s">
        <v>23</v>
      </c>
      <c r="I1092">
        <f>VLOOKUP(Table4[[#This Row],[Visitor]],'NHL Model'!$A$6:$B$38,2,FALSE)</f>
        <v>-0.4761104357405897</v>
      </c>
      <c r="J1092">
        <f>($B$1+Table4[[#This Row],[Home Differential]])-Table4[[#This Row],[Away Differential]]</f>
        <v>7.4680192281508795E-2</v>
      </c>
      <c r="K1092" t="str">
        <f>IF(Table4[[#This Row],[HomeIce Differential]]&gt;0,Table4[[#This Row],[Home]],Table4[[#This Row],[Visitor]])</f>
        <v>San Jose Sharks</v>
      </c>
      <c r="L10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0.55884226403859216</v>
      </c>
      <c r="M1092" t="str">
        <f>IF(OR((NHL2025_26Results[[#This Row],[Winning Team]]="")),"-",IF(Table4[[#This Row],[Predicted Winner]]=NHL2025_26Results[[#This Row],[Winning Team]],"YES","NO"))</f>
        <v>-</v>
      </c>
      <c r="N1092" t="str">
        <f>IF(Table4[[#This Row],[Adjusted Correct]]="-", "",IF(Table4[[#This Row],[Adjusted Correct]]="YES",(Table4[[#This Row],[Strength of Win]]-1)^2,(Table4[[#This Row],[Strength of Win]]-0)^2))</f>
        <v/>
      </c>
      <c r="P1092" s="11"/>
    </row>
    <row r="1093" spans="4:16" x14ac:dyDescent="0.2">
      <c r="D1093" s="1">
        <v>46100</v>
      </c>
      <c r="E1093" s="2">
        <v>0.91666666666666663</v>
      </c>
      <c r="F1093" t="s">
        <v>38</v>
      </c>
      <c r="G1093">
        <f>VLOOKUP(Table4[[#This Row],[Home]],'NHL Model'!$A$6:$B$38,2,FALSE)</f>
        <v>-0.9476777551108041</v>
      </c>
      <c r="H1093" t="s">
        <v>37</v>
      </c>
      <c r="I1093">
        <f>VLOOKUP(Table4[[#This Row],[Visitor]],'NHL Model'!$A$6:$B$38,2,FALSE)</f>
        <v>0.51050494674660429</v>
      </c>
      <c r="J1093">
        <f>($B$1+Table4[[#This Row],[Home Differential]])-Table4[[#This Row],[Away Differential]]</f>
        <v>-1.4082819529342459</v>
      </c>
      <c r="K1093" t="str">
        <f>IF(Table4[[#This Row],[HomeIce Differential]]&gt;0,Table4[[#This Row],[Home]],Table4[[#This Row],[Visitor]])</f>
        <v>Tampa Bay Lightning</v>
      </c>
      <c r="L10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0.71692389060857475</v>
      </c>
      <c r="M1093" t="str">
        <f>IF(OR((NHL2025_26Results[[#This Row],[Winning Team]]="")),"-",IF(Table4[[#This Row],[Predicted Winner]]=NHL2025_26Results[[#This Row],[Winning Team]],"YES","NO"))</f>
        <v>-</v>
      </c>
      <c r="N1093" t="str">
        <f>IF(Table4[[#This Row],[Adjusted Correct]]="-", "",IF(Table4[[#This Row],[Adjusted Correct]]="YES",(Table4[[#This Row],[Strength of Win]]-1)^2,(Table4[[#This Row],[Strength of Win]]-0)^2))</f>
        <v/>
      </c>
      <c r="P1093" s="11"/>
    </row>
    <row r="1094" spans="4:16" x14ac:dyDescent="0.2">
      <c r="D1094" s="1">
        <v>46100</v>
      </c>
      <c r="E1094" s="2">
        <v>0.91666666666666663</v>
      </c>
      <c r="F1094" t="s">
        <v>20</v>
      </c>
      <c r="G1094">
        <f>VLOOKUP(Table4[[#This Row],[Home]],'NHL Model'!$A$6:$B$38,2,FALSE)</f>
        <v>-0.24444083032063643</v>
      </c>
      <c r="H1094" t="s">
        <v>55</v>
      </c>
      <c r="I1094">
        <f>VLOOKUP(Table4[[#This Row],[Visitor]],'NHL Model'!$A$6:$B$38,2,FALSE)</f>
        <v>-0.4031232890211825</v>
      </c>
      <c r="J1094">
        <f>($B$1+Table4[[#This Row],[Home Differential]])-Table4[[#This Row],[Away Differential]]</f>
        <v>0.20858320762370852</v>
      </c>
      <c r="K1094" t="str">
        <f>IF(Table4[[#This Row],[HomeIce Differential]]&gt;0,Table4[[#This Row],[Home]],Table4[[#This Row],[Visitor]])</f>
        <v>Vegas Golden Knights</v>
      </c>
      <c r="L10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0.56435516795849938</v>
      </c>
      <c r="M1094" t="str">
        <f>IF(OR((NHL2025_26Results[[#This Row],[Winning Team]]="")),"-",IF(Table4[[#This Row],[Predicted Winner]]=NHL2025_26Results[[#This Row],[Winning Team]],"YES","NO"))</f>
        <v>-</v>
      </c>
      <c r="N1094" t="str">
        <f>IF(Table4[[#This Row],[Adjusted Correct]]="-", "",IF(Table4[[#This Row],[Adjusted Correct]]="YES",(Table4[[#This Row],[Strength of Win]]-1)^2,(Table4[[#This Row],[Strength of Win]]-0)^2))</f>
        <v/>
      </c>
      <c r="P1094" s="11"/>
    </row>
    <row r="1095" spans="4:16" x14ac:dyDescent="0.2">
      <c r="D1095" s="1">
        <v>46101</v>
      </c>
      <c r="E1095" s="2">
        <v>0.875</v>
      </c>
      <c r="F1095" t="s">
        <v>16</v>
      </c>
      <c r="G1095">
        <f>VLOOKUP(Table4[[#This Row],[Home]],'NHL Model'!$A$6:$B$38,2,FALSE)</f>
        <v>-1.0657812790446208</v>
      </c>
      <c r="H1095" t="s">
        <v>11</v>
      </c>
      <c r="I1095">
        <f>VLOOKUP(Table4[[#This Row],[Visitor]],'NHL Model'!$A$6:$B$38,2,FALSE)</f>
        <v>-0.39711829106410657</v>
      </c>
      <c r="J1095">
        <f>($B$1+Table4[[#This Row],[Home Differential]])-Table4[[#This Row],[Away Differential]]</f>
        <v>-0.61876223905735184</v>
      </c>
      <c r="K1095" t="str">
        <f>IF(Table4[[#This Row],[HomeIce Differential]]&gt;0,Table4[[#This Row],[Home]],Table4[[#This Row],[Visitor]])</f>
        <v>Florida Panthers</v>
      </c>
      <c r="L10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0.53224962368881501</v>
      </c>
      <c r="M1095" t="str">
        <f>IF(OR((NHL2025_26Results[[#This Row],[Winning Team]]="")),"-",IF(Table4[[#This Row],[Predicted Winner]]=NHL2025_26Results[[#This Row],[Winning Team]],"YES","NO"))</f>
        <v>-</v>
      </c>
      <c r="N1095" t="str">
        <f>IF(Table4[[#This Row],[Adjusted Correct]]="-", "",IF(Table4[[#This Row],[Adjusted Correct]]="YES",(Table4[[#This Row],[Strength of Win]]-1)^2,(Table4[[#This Row],[Strength of Win]]-0)^2))</f>
        <v/>
      </c>
      <c r="P1095" s="11"/>
    </row>
    <row r="1096" spans="4:16" x14ac:dyDescent="0.2">
      <c r="D1096" s="1">
        <v>46101</v>
      </c>
      <c r="E1096" s="2">
        <v>0.85416666666666663</v>
      </c>
      <c r="F1096" t="s">
        <v>10</v>
      </c>
      <c r="G1096">
        <f>VLOOKUP(Table4[[#This Row],[Home]],'NHL Model'!$A$6:$B$38,2,FALSE)</f>
        <v>-0.17619625518431364</v>
      </c>
      <c r="H1096" t="s">
        <v>12</v>
      </c>
      <c r="I1096">
        <f>VLOOKUP(Table4[[#This Row],[Visitor]],'NHL Model'!$A$6:$B$38,2,FALSE)</f>
        <v>1.6319036584269762</v>
      </c>
      <c r="J1096">
        <f>($B$1+Table4[[#This Row],[Home Differential]])-Table4[[#This Row],[Away Differential]]</f>
        <v>-1.7581991646881274</v>
      </c>
      <c r="K1096" t="str">
        <f>IF(Table4[[#This Row],[HomeIce Differential]]&gt;0,Table4[[#This Row],[Home]],Table4[[#This Row],[Visitor]])</f>
        <v>Colorado Avalanche</v>
      </c>
      <c r="L10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0.73791887075284956</v>
      </c>
      <c r="M1096" t="str">
        <f>IF(OR((NHL2025_26Results[[#This Row],[Winning Team]]="")),"-",IF(Table4[[#This Row],[Predicted Winner]]=NHL2025_26Results[[#This Row],[Winning Team]],"YES","NO"))</f>
        <v>-</v>
      </c>
      <c r="N1096" t="str">
        <f>IF(Table4[[#This Row],[Adjusted Correct]]="-", "",IF(Table4[[#This Row],[Adjusted Correct]]="YES",(Table4[[#This Row],[Strength of Win]]-1)^2,(Table4[[#This Row],[Strength of Win]]-0)^2))</f>
        <v/>
      </c>
      <c r="P1096" s="11"/>
    </row>
    <row r="1097" spans="4:16" x14ac:dyDescent="0.2">
      <c r="D1097" s="1">
        <v>46101</v>
      </c>
      <c r="E1097" s="2">
        <v>0.79166666666666663</v>
      </c>
      <c r="F1097" t="s">
        <v>19</v>
      </c>
      <c r="G1097">
        <f>VLOOKUP(Table4[[#This Row],[Home]],'NHL Model'!$A$6:$B$38,2,FALSE)</f>
        <v>-0.63447859131898054</v>
      </c>
      <c r="H1097" t="s">
        <v>25</v>
      </c>
      <c r="I1097">
        <f>VLOOKUP(Table4[[#This Row],[Visitor]],'NHL Model'!$A$6:$B$38,2,FALSE)</f>
        <v>0.42567513732855267</v>
      </c>
      <c r="J1097">
        <f>($B$1+Table4[[#This Row],[Home Differential]])-Table4[[#This Row],[Away Differential]]</f>
        <v>-1.0102529797243709</v>
      </c>
      <c r="K1097" t="str">
        <f>IF(Table4[[#This Row],[HomeIce Differential]]&gt;0,Table4[[#This Row],[Home]],Table4[[#This Row],[Visitor]])</f>
        <v>Carolina Hurricanes</v>
      </c>
      <c r="L10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0.6505851147604973</v>
      </c>
      <c r="M1097" t="str">
        <f>IF(OR((NHL2025_26Results[[#This Row],[Winning Team]]="")),"-",IF(Table4[[#This Row],[Predicted Winner]]=NHL2025_26Results[[#This Row],[Winning Team]],"YES","NO"))</f>
        <v>-</v>
      </c>
      <c r="N1097" t="str">
        <f>IF(Table4[[#This Row],[Adjusted Correct]]="-", "",IF(Table4[[#This Row],[Adjusted Correct]]="YES",(Table4[[#This Row],[Strength of Win]]-1)^2,(Table4[[#This Row],[Strength of Win]]-0)^2))</f>
        <v/>
      </c>
      <c r="P1097" s="11"/>
    </row>
    <row r="1098" spans="4:16" x14ac:dyDescent="0.2">
      <c r="D1098" s="1">
        <v>46101</v>
      </c>
      <c r="E1098" s="2">
        <v>0.91666666666666663</v>
      </c>
      <c r="F1098" t="s">
        <v>55</v>
      </c>
      <c r="G1098">
        <f>VLOOKUP(Table4[[#This Row],[Home]],'NHL Model'!$A$6:$B$38,2,FALSE)</f>
        <v>-0.4031232890211825</v>
      </c>
      <c r="H1098" t="s">
        <v>31</v>
      </c>
      <c r="I1098">
        <f>VLOOKUP(Table4[[#This Row],[Visitor]],'NHL Model'!$A$6:$B$38,2,FALSE)</f>
        <v>0.17870302183926629</v>
      </c>
      <c r="J1098">
        <f>($B$1+Table4[[#This Row],[Home Differential]])-Table4[[#This Row],[Away Differential]]</f>
        <v>-0.53192556193728624</v>
      </c>
      <c r="K1098" t="str">
        <f>IF(Table4[[#This Row],[HomeIce Differential]]&gt;0,Table4[[#This Row],[Home]],Table4[[#This Row],[Visitor]])</f>
        <v>Anaheim Ducks</v>
      </c>
      <c r="L10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0.50211016001716335</v>
      </c>
      <c r="M1098" t="str">
        <f>IF(OR((NHL2025_26Results[[#This Row],[Winning Team]]="")),"-",IF(Table4[[#This Row],[Predicted Winner]]=NHL2025_26Results[[#This Row],[Winning Team]],"YES","NO"))</f>
        <v>-</v>
      </c>
      <c r="N1098" t="str">
        <f>IF(Table4[[#This Row],[Adjusted Correct]]="-", "",IF(Table4[[#This Row],[Adjusted Correct]]="YES",(Table4[[#This Row],[Strength of Win]]-1)^2,(Table4[[#This Row],[Strength of Win]]-0)^2))</f>
        <v/>
      </c>
      <c r="P1098" s="11"/>
    </row>
    <row r="1099" spans="4:16" x14ac:dyDescent="0.2">
      <c r="D1099" s="1">
        <v>46101</v>
      </c>
      <c r="E1099" s="2">
        <v>0.79166666666666663</v>
      </c>
      <c r="F1099" t="s">
        <v>22</v>
      </c>
      <c r="G1099">
        <f>VLOOKUP(Table4[[#This Row],[Home]],'NHL Model'!$A$6:$B$38,2,FALSE)</f>
        <v>0.4407072328537569</v>
      </c>
      <c r="H1099" t="s">
        <v>24</v>
      </c>
      <c r="I1099">
        <f>VLOOKUP(Table4[[#This Row],[Visitor]],'NHL Model'!$A$6:$B$38,2,FALSE)</f>
        <v>1.5302507646042616E-3</v>
      </c>
      <c r="J1099">
        <f>($B$1+Table4[[#This Row],[Home Differential]])-Table4[[#This Row],[Away Differential]]</f>
        <v>0.48907773101231511</v>
      </c>
      <c r="K1099" t="str">
        <f>IF(Table4[[#This Row],[HomeIce Differential]]&gt;0,Table4[[#This Row],[Home]],Table4[[#This Row],[Visitor]])</f>
        <v>Washington Capitals</v>
      </c>
      <c r="L10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0.6025615888223681</v>
      </c>
      <c r="M1099" t="str">
        <f>IF(OR((NHL2025_26Results[[#This Row],[Winning Team]]="")),"-",IF(Table4[[#This Row],[Predicted Winner]]=NHL2025_26Results[[#This Row],[Winning Team]],"YES","NO"))</f>
        <v>-</v>
      </c>
      <c r="N1099" t="str">
        <f>IF(Table4[[#This Row],[Adjusted Correct]]="-", "",IF(Table4[[#This Row],[Adjusted Correct]]="YES",(Table4[[#This Row],[Strength of Win]]-1)^2,(Table4[[#This Row],[Strength of Win]]-0)^2))</f>
        <v/>
      </c>
      <c r="P1099" s="11"/>
    </row>
    <row r="1100" spans="4:16" x14ac:dyDescent="0.2">
      <c r="D1100" s="1">
        <v>46102</v>
      </c>
      <c r="E1100" s="2">
        <v>0.70833333333333337</v>
      </c>
      <c r="F1100" t="s">
        <v>28</v>
      </c>
      <c r="G1100">
        <f>VLOOKUP(Table4[[#This Row],[Home]],'NHL Model'!$A$6:$B$38,2,FALSE)</f>
        <v>-0.59498940435054026</v>
      </c>
      <c r="H1100" t="s">
        <v>32</v>
      </c>
      <c r="I1100">
        <f>VLOOKUP(Table4[[#This Row],[Visitor]],'NHL Model'!$A$6:$B$38,2,FALSE)</f>
        <v>-0.64937723527808999</v>
      </c>
      <c r="J1100">
        <f>($B$1+Table4[[#This Row],[Home Differential]])-Table4[[#This Row],[Away Differential]]</f>
        <v>0.10428857985071216</v>
      </c>
      <c r="K1100" t="str">
        <f>IF(Table4[[#This Row],[HomeIce Differential]]&gt;0,Table4[[#This Row],[Home]],Table4[[#This Row],[Visitor]])</f>
        <v>Columbus Blue Jackets</v>
      </c>
      <c r="L1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0.55217723088715587</v>
      </c>
      <c r="M1100" t="str">
        <f>IF(OR((NHL2025_26Results[[#This Row],[Winning Team]]="")),"-",IF(Table4[[#This Row],[Predicted Winner]]=NHL2025_26Results[[#This Row],[Winning Team]],"YES","NO"))</f>
        <v>-</v>
      </c>
      <c r="N1100" t="str">
        <f>IF(Table4[[#This Row],[Adjusted Correct]]="-", "",IF(Table4[[#This Row],[Adjusted Correct]]="YES",(Table4[[#This Row],[Strength of Win]]-1)^2,(Table4[[#This Row],[Strength of Win]]-0)^2))</f>
        <v/>
      </c>
      <c r="P1100" s="11"/>
    </row>
    <row r="1101" spans="4:16" x14ac:dyDescent="0.2">
      <c r="D1101" s="1">
        <v>46102</v>
      </c>
      <c r="E1101" s="2">
        <v>0.83333333333333337</v>
      </c>
      <c r="F1101" t="s">
        <v>26</v>
      </c>
      <c r="G1101">
        <f>VLOOKUP(Table4[[#This Row],[Home]],'NHL Model'!$A$6:$B$38,2,FALSE)</f>
        <v>-0.87533956503230947</v>
      </c>
      <c r="H1101" t="s">
        <v>21</v>
      </c>
      <c r="I1101">
        <f>VLOOKUP(Table4[[#This Row],[Visitor]],'NHL Model'!$A$6:$B$38,2,FALSE)</f>
        <v>-0.21976976044773161</v>
      </c>
      <c r="J1101">
        <f>($B$1+Table4[[#This Row],[Home Differential]])-Table4[[#This Row],[Away Differential]]</f>
        <v>-0.60566905566141549</v>
      </c>
      <c r="K1101" t="str">
        <f>IF(Table4[[#This Row],[HomeIce Differential]]&gt;0,Table4[[#This Row],[Home]],Table4[[#This Row],[Visitor]])</f>
        <v>Boston Bruins</v>
      </c>
      <c r="L1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0.53155029437330192</v>
      </c>
      <c r="M1101" t="str">
        <f>IF(OR((NHL2025_26Results[[#This Row],[Winning Team]]="")),"-",IF(Table4[[#This Row],[Predicted Winner]]=NHL2025_26Results[[#This Row],[Winning Team]],"YES","NO"))</f>
        <v>-</v>
      </c>
      <c r="N1101" t="str">
        <f>IF(Table4[[#This Row],[Adjusted Correct]]="-", "",IF(Table4[[#This Row],[Adjusted Correct]]="YES",(Table4[[#This Row],[Strength of Win]]-1)^2,(Table4[[#This Row],[Strength of Win]]-0)^2))</f>
        <v/>
      </c>
      <c r="P1101" s="11"/>
    </row>
    <row r="1102" spans="4:16" x14ac:dyDescent="0.2">
      <c r="D1102" s="1">
        <v>46102</v>
      </c>
      <c r="E1102" s="2">
        <v>0.91666666666666663</v>
      </c>
      <c r="F1102" t="s">
        <v>17</v>
      </c>
      <c r="G1102">
        <f>VLOOKUP(Table4[[#This Row],[Home]],'NHL Model'!$A$6:$B$38,2,FALSE)</f>
        <v>-0.81774666423752174</v>
      </c>
      <c r="H1102" t="s">
        <v>37</v>
      </c>
      <c r="I1102">
        <f>VLOOKUP(Table4[[#This Row],[Visitor]],'NHL Model'!$A$6:$B$38,2,FALSE)</f>
        <v>0.51050494674660429</v>
      </c>
      <c r="J1102">
        <f>($B$1+Table4[[#This Row],[Home Differential]])-Table4[[#This Row],[Away Differential]]</f>
        <v>-1.2783508620609636</v>
      </c>
      <c r="K1102" t="str">
        <f>IF(Table4[[#This Row],[HomeIce Differential]]&gt;0,Table4[[#This Row],[Home]],Table4[[#This Row],[Visitor]])</f>
        <v>Tampa Bay Lightning</v>
      </c>
      <c r="L1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0.69472087571232355</v>
      </c>
      <c r="M1102" t="str">
        <f>IF(OR((NHL2025_26Results[[#This Row],[Winning Team]]="")),"-",IF(Table4[[#This Row],[Predicted Winner]]=NHL2025_26Results[[#This Row],[Winning Team]],"YES","NO"))</f>
        <v>-</v>
      </c>
      <c r="N1102" t="str">
        <f>IF(Table4[[#This Row],[Adjusted Correct]]="-", "",IF(Table4[[#This Row],[Adjusted Correct]]="YES",(Table4[[#This Row],[Strength of Win]]-1)^2,(Table4[[#This Row],[Strength of Win]]-0)^2))</f>
        <v/>
      </c>
      <c r="P1102" s="11"/>
    </row>
    <row r="1103" spans="4:16" x14ac:dyDescent="0.2">
      <c r="D1103" s="1">
        <v>46102</v>
      </c>
      <c r="E1103" s="2">
        <v>0.66666666666666663</v>
      </c>
      <c r="F1103" t="s">
        <v>13</v>
      </c>
      <c r="G1103">
        <f>VLOOKUP(Table4[[#This Row],[Home]],'NHL Model'!$A$6:$B$38,2,FALSE)</f>
        <v>-0.33828359867721369</v>
      </c>
      <c r="H1103" t="s">
        <v>23</v>
      </c>
      <c r="I1103">
        <f>VLOOKUP(Table4[[#This Row],[Visitor]],'NHL Model'!$A$6:$B$38,2,FALSE)</f>
        <v>-0.4761104357405897</v>
      </c>
      <c r="J1103">
        <f>($B$1+Table4[[#This Row],[Home Differential]])-Table4[[#This Row],[Away Differential]]</f>
        <v>0.18772758598653849</v>
      </c>
      <c r="K1103" t="str">
        <f>IF(Table4[[#This Row],[HomeIce Differential]]&gt;0,Table4[[#This Row],[Home]],Table4[[#This Row],[Visitor]])</f>
        <v>Los Angeles Kings</v>
      </c>
      <c r="L1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0.5619199663253529</v>
      </c>
      <c r="M1103" t="str">
        <f>IF(OR((NHL2025_26Results[[#This Row],[Winning Team]]="")),"-",IF(Table4[[#This Row],[Predicted Winner]]=NHL2025_26Results[[#This Row],[Winning Team]],"YES","NO"))</f>
        <v>-</v>
      </c>
      <c r="N1103" t="str">
        <f>IF(Table4[[#This Row],[Adjusted Correct]]="-", "",IF(Table4[[#This Row],[Adjusted Correct]]="YES",(Table4[[#This Row],[Strength of Win]]-1)^2,(Table4[[#This Row],[Strength of Win]]-0)^2))</f>
        <v/>
      </c>
      <c r="P1103" s="11"/>
    </row>
    <row r="1104" spans="4:16" x14ac:dyDescent="0.2">
      <c r="D1104" s="1">
        <v>46102</v>
      </c>
      <c r="E1104" s="2">
        <v>0.66666666666666663</v>
      </c>
      <c r="F1104" t="s">
        <v>34</v>
      </c>
      <c r="G1104">
        <f>VLOOKUP(Table4[[#This Row],[Home]],'NHL Model'!$A$6:$B$38,2,FALSE)</f>
        <v>-5.5124787449478845E-2</v>
      </c>
      <c r="H1104" t="s">
        <v>39</v>
      </c>
      <c r="I1104">
        <f>VLOOKUP(Table4[[#This Row],[Visitor]],'NHL Model'!$A$6:$B$38,2,FALSE)</f>
        <v>0.41344250185511977</v>
      </c>
      <c r="J1104">
        <f>($B$1+Table4[[#This Row],[Home Differential]])-Table4[[#This Row],[Away Differential]]</f>
        <v>-0.41866654038143614</v>
      </c>
      <c r="K1104" t="str">
        <f>IF(Table4[[#This Row],[HomeIce Differential]]&gt;0,Table4[[#This Row],[Home]],Table4[[#This Row],[Visitor]])</f>
        <v>Dallas Stars</v>
      </c>
      <c r="L1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0.61068325047565086</v>
      </c>
      <c r="M1104" t="str">
        <f>IF(OR((NHL2025_26Results[[#This Row],[Winning Team]]="")),"-",IF(Table4[[#This Row],[Predicted Winner]]=NHL2025_26Results[[#This Row],[Winning Team]],"YES","NO"))</f>
        <v>-</v>
      </c>
      <c r="N1104" t="str">
        <f>IF(Table4[[#This Row],[Adjusted Correct]]="-", "",IF(Table4[[#This Row],[Adjusted Correct]]="YES",(Table4[[#This Row],[Strength of Win]]-1)^2,(Table4[[#This Row],[Strength of Win]]-0)^2))</f>
        <v/>
      </c>
      <c r="P1104" s="11"/>
    </row>
    <row r="1105" spans="4:16" x14ac:dyDescent="0.2">
      <c r="D1105" s="1">
        <v>46102</v>
      </c>
      <c r="E1105" s="2">
        <v>0.79166666666666663</v>
      </c>
      <c r="F1105" t="s">
        <v>18</v>
      </c>
      <c r="G1105">
        <f>VLOOKUP(Table4[[#This Row],[Home]],'NHL Model'!$A$6:$B$38,2,FALSE)</f>
        <v>-0.59288962827382519</v>
      </c>
      <c r="H1105" t="s">
        <v>30</v>
      </c>
      <c r="I1105">
        <f>VLOOKUP(Table4[[#This Row],[Visitor]],'NHL Model'!$A$6:$B$38,2,FALSE)</f>
        <v>-0.24093199744133265</v>
      </c>
      <c r="J1105">
        <f>($B$1+Table4[[#This Row],[Home Differential]])-Table4[[#This Row],[Away Differential]]</f>
        <v>-0.30205688190933011</v>
      </c>
      <c r="K1105" t="str">
        <f>IF(Table4[[#This Row],[HomeIce Differential]]&gt;0,Table4[[#This Row],[Home]],Table4[[#This Row],[Visitor]])</f>
        <v>New York Islanders</v>
      </c>
      <c r="L1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0.56789276811217293</v>
      </c>
      <c r="M1105" t="str">
        <f>IF(OR((NHL2025_26Results[[#This Row],[Winning Team]]="")),"-",IF(Table4[[#This Row],[Predicted Winner]]=NHL2025_26Results[[#This Row],[Winning Team]],"YES","NO"))</f>
        <v>-</v>
      </c>
      <c r="N1105" t="str">
        <f>IF(Table4[[#This Row],[Adjusted Correct]]="-", "",IF(Table4[[#This Row],[Adjusted Correct]]="YES",(Table4[[#This Row],[Strength of Win]]-1)^2,(Table4[[#This Row],[Strength of Win]]-0)^2))</f>
        <v/>
      </c>
      <c r="P1105" s="11"/>
    </row>
    <row r="1106" spans="4:16" x14ac:dyDescent="0.2">
      <c r="D1106" s="1">
        <v>46102</v>
      </c>
      <c r="E1106" s="2">
        <v>0.58333333333333337</v>
      </c>
      <c r="F1106" t="s">
        <v>29</v>
      </c>
      <c r="G1106">
        <f>VLOOKUP(Table4[[#This Row],[Home]],'NHL Model'!$A$6:$B$38,2,FALSE)</f>
        <v>-1.384917283810061</v>
      </c>
      <c r="H1106" t="s">
        <v>20</v>
      </c>
      <c r="I1106">
        <f>VLOOKUP(Table4[[#This Row],[Visitor]],'NHL Model'!$A$6:$B$38,2,FALSE)</f>
        <v>-0.24444083032063643</v>
      </c>
      <c r="J1106">
        <f>($B$1+Table4[[#This Row],[Home Differential]])-Table4[[#This Row],[Away Differential]]</f>
        <v>-1.0905757045662621</v>
      </c>
      <c r="K1106" t="str">
        <f>IF(Table4[[#This Row],[HomeIce Differential]]&gt;0,Table4[[#This Row],[Home]],Table4[[#This Row],[Visitor]])</f>
        <v>Vegas Golden Knights</v>
      </c>
      <c r="L1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0.58734080925674181</v>
      </c>
      <c r="M1106" t="str">
        <f>IF(OR((NHL2025_26Results[[#This Row],[Winning Team]]="")),"-",IF(Table4[[#This Row],[Predicted Winner]]=NHL2025_26Results[[#This Row],[Winning Team]],"YES","NO"))</f>
        <v>-</v>
      </c>
      <c r="N1106" t="str">
        <f>IF(Table4[[#This Row],[Adjusted Correct]]="-", "",IF(Table4[[#This Row],[Adjusted Correct]]="YES",(Table4[[#This Row],[Strength of Win]]-1)^2,(Table4[[#This Row],[Strength of Win]]-0)^2))</f>
        <v/>
      </c>
      <c r="P1106" s="11"/>
    </row>
    <row r="1107" spans="4:16" x14ac:dyDescent="0.2">
      <c r="D1107" s="1">
        <v>46102</v>
      </c>
      <c r="E1107" s="2">
        <v>0.79166666666666663</v>
      </c>
      <c r="F1107" t="s">
        <v>36</v>
      </c>
      <c r="G1107">
        <f>VLOOKUP(Table4[[#This Row],[Home]],'NHL Model'!$A$6:$B$38,2,FALSE)</f>
        <v>-0.53137605086483863</v>
      </c>
      <c r="H1107" t="s">
        <v>19</v>
      </c>
      <c r="I1107">
        <f>VLOOKUP(Table4[[#This Row],[Visitor]],'NHL Model'!$A$6:$B$38,2,FALSE)</f>
        <v>-0.63447859131898054</v>
      </c>
      <c r="J1107">
        <f>($B$1+Table4[[#This Row],[Home Differential]])-Table4[[#This Row],[Away Differential]]</f>
        <v>0.1530032893773044</v>
      </c>
      <c r="K1107" t="str">
        <f>IF(Table4[[#This Row],[HomeIce Differential]]&gt;0,Table4[[#This Row],[Home]],Table4[[#This Row],[Visitor]])</f>
        <v>Ottawa Senators</v>
      </c>
      <c r="L1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0.56036087140652391</v>
      </c>
      <c r="M1107" t="str">
        <f>IF(OR((NHL2025_26Results[[#This Row],[Winning Team]]="")),"-",IF(Table4[[#This Row],[Predicted Winner]]=NHL2025_26Results[[#This Row],[Winning Team]],"YES","NO"))</f>
        <v>-</v>
      </c>
      <c r="N1107" t="str">
        <f>IF(Table4[[#This Row],[Adjusted Correct]]="-", "",IF(Table4[[#This Row],[Adjusted Correct]]="YES",(Table4[[#This Row],[Strength of Win]]-1)^2,(Table4[[#This Row],[Strength of Win]]-0)^2))</f>
        <v/>
      </c>
      <c r="P1107" s="11"/>
    </row>
    <row r="1108" spans="4:16" x14ac:dyDescent="0.2">
      <c r="D1108" s="1">
        <v>46102</v>
      </c>
      <c r="E1108" s="2">
        <v>0.54166666666666663</v>
      </c>
      <c r="F1108" t="s">
        <v>14</v>
      </c>
      <c r="G1108">
        <f>VLOOKUP(Table4[[#This Row],[Home]],'NHL Model'!$A$6:$B$38,2,FALSE)</f>
        <v>-0.14226422156549004</v>
      </c>
      <c r="H1108" t="s">
        <v>40</v>
      </c>
      <c r="I1108">
        <f>VLOOKUP(Table4[[#This Row],[Visitor]],'NHL Model'!$A$6:$B$38,2,FALSE)</f>
        <v>-0.31324182378279158</v>
      </c>
      <c r="J1108">
        <f>($B$1+Table4[[#This Row],[Home Differential]])-Table4[[#This Row],[Away Differential]]</f>
        <v>0.220878351140464</v>
      </c>
      <c r="K1108" t="str">
        <f>IF(Table4[[#This Row],[HomeIce Differential]]&gt;0,Table4[[#This Row],[Home]],Table4[[#This Row],[Visitor]])</f>
        <v>Pittsburgh Penguins</v>
      </c>
      <c r="L1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0.54502157665821693</v>
      </c>
      <c r="M1108" t="str">
        <f>IF(OR((NHL2025_26Results[[#This Row],[Winning Team]]="")),"-",IF(Table4[[#This Row],[Predicted Winner]]=NHL2025_26Results[[#This Row],[Winning Team]],"YES","NO"))</f>
        <v>-</v>
      </c>
      <c r="N1108" t="str">
        <f>IF(Table4[[#This Row],[Adjusted Correct]]="-", "",IF(Table4[[#This Row],[Adjusted Correct]]="YES",(Table4[[#This Row],[Strength of Win]]-1)^2,(Table4[[#This Row],[Strength of Win]]-0)^2))</f>
        <v/>
      </c>
      <c r="P1108" s="11"/>
    </row>
    <row r="1109" spans="4:16" x14ac:dyDescent="0.2">
      <c r="D1109" s="1">
        <v>46102</v>
      </c>
      <c r="E1109" s="2">
        <v>0.66666666666666663</v>
      </c>
      <c r="F1109" t="s">
        <v>33</v>
      </c>
      <c r="G1109">
        <f>VLOOKUP(Table4[[#This Row],[Home]],'NHL Model'!$A$6:$B$38,2,FALSE)</f>
        <v>-0.45133099238224339</v>
      </c>
      <c r="H1109" t="s">
        <v>27</v>
      </c>
      <c r="I1109">
        <f>VLOOKUP(Table4[[#This Row],[Visitor]],'NHL Model'!$A$6:$B$38,2,FALSE)</f>
        <v>-0.38023958350631604</v>
      </c>
      <c r="J1109">
        <f>($B$1+Table4[[#This Row],[Home Differential]])-Table4[[#This Row],[Away Differential]]</f>
        <v>-2.1190659952764868E-2</v>
      </c>
      <c r="K1109" t="str">
        <f>IF(Table4[[#This Row],[HomeIce Differential]]&gt;0,Table4[[#This Row],[Home]],Table4[[#This Row],[Visitor]])</f>
        <v>Philadelphia Flyers</v>
      </c>
      <c r="L1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0.49478201460899707</v>
      </c>
      <c r="M1109" t="str">
        <f>IF(OR((NHL2025_26Results[[#This Row],[Winning Team]]="")),"-",IF(Table4[[#This Row],[Predicted Winner]]=NHL2025_26Results[[#This Row],[Winning Team]],"YES","NO"))</f>
        <v>-</v>
      </c>
      <c r="N1109" t="str">
        <f>IF(Table4[[#This Row],[Adjusted Correct]]="-", "",IF(Table4[[#This Row],[Adjusted Correct]]="YES",(Table4[[#This Row],[Strength of Win]]-1)^2,(Table4[[#This Row],[Strength of Win]]-0)^2))</f>
        <v/>
      </c>
      <c r="P1109" s="11"/>
    </row>
    <row r="1110" spans="4:16" x14ac:dyDescent="0.2">
      <c r="D1110" s="1">
        <v>46102</v>
      </c>
      <c r="E1110" s="2">
        <v>0.79166666666666663</v>
      </c>
      <c r="F1110" t="s">
        <v>38</v>
      </c>
      <c r="G1110">
        <f>VLOOKUP(Table4[[#This Row],[Home]],'NHL Model'!$A$6:$B$38,2,FALSE)</f>
        <v>-0.9476777551108041</v>
      </c>
      <c r="H1110" t="s">
        <v>35</v>
      </c>
      <c r="I1110">
        <f>VLOOKUP(Table4[[#This Row],[Visitor]],'NHL Model'!$A$6:$B$38,2,FALSE)</f>
        <v>-1.3944783719477225</v>
      </c>
      <c r="J1110">
        <f>($B$1+Table4[[#This Row],[Home Differential]])-Table4[[#This Row],[Away Differential]]</f>
        <v>0.49670136576008084</v>
      </c>
      <c r="K1110" t="str">
        <f>IF(Table4[[#This Row],[HomeIce Differential]]&gt;0,Table4[[#This Row],[Home]],Table4[[#This Row],[Visitor]])</f>
        <v>Vancouver Canucks</v>
      </c>
      <c r="L1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0.59799721524144278</v>
      </c>
      <c r="M1110" t="str">
        <f>IF(OR((NHL2025_26Results[[#This Row],[Winning Team]]="")),"-",IF(Table4[[#This Row],[Predicted Winner]]=NHL2025_26Results[[#This Row],[Winning Team]],"YES","NO"))</f>
        <v>-</v>
      </c>
      <c r="N1110" t="str">
        <f>IF(Table4[[#This Row],[Adjusted Correct]]="-", "",IF(Table4[[#This Row],[Adjusted Correct]]="YES",(Table4[[#This Row],[Strength of Win]]-1)^2,(Table4[[#This Row],[Strength of Win]]-0)^2))</f>
        <v/>
      </c>
      <c r="P1110" s="11"/>
    </row>
    <row r="1111" spans="4:16" x14ac:dyDescent="0.2">
      <c r="D1111" s="1">
        <v>46103</v>
      </c>
      <c r="E1111" s="2">
        <v>0.83333333333333337</v>
      </c>
      <c r="F1111" t="s">
        <v>31</v>
      </c>
      <c r="G1111">
        <f>VLOOKUP(Table4[[#This Row],[Home]],'NHL Model'!$A$6:$B$38,2,FALSE)</f>
        <v>0.17870302183926629</v>
      </c>
      <c r="H1111" t="s">
        <v>23</v>
      </c>
      <c r="I1111">
        <f>VLOOKUP(Table4[[#This Row],[Visitor]],'NHL Model'!$A$6:$B$38,2,FALSE)</f>
        <v>-0.4761104357405897</v>
      </c>
      <c r="J1111">
        <f>($B$1+Table4[[#This Row],[Home Differential]])-Table4[[#This Row],[Away Differential]]</f>
        <v>0.70471420650301841</v>
      </c>
      <c r="K1111" t="str">
        <f>IF(Table4[[#This Row],[HomeIce Differential]]&gt;0,Table4[[#This Row],[Home]],Table4[[#This Row],[Visitor]])</f>
        <v>Anaheim Ducks</v>
      </c>
      <c r="L1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0.70212049519239939</v>
      </c>
      <c r="M1111" t="str">
        <f>IF(OR((NHL2025_26Results[[#This Row],[Winning Team]]="")),"-",IF(Table4[[#This Row],[Predicted Winner]]=NHL2025_26Results[[#This Row],[Winning Team]],"YES","NO"))</f>
        <v>-</v>
      </c>
      <c r="N1111" t="str">
        <f>IF(Table4[[#This Row],[Adjusted Correct]]="-", "",IF(Table4[[#This Row],[Adjusted Correct]]="YES",(Table4[[#This Row],[Strength of Win]]-1)^2,(Table4[[#This Row],[Strength of Win]]-0)^2))</f>
        <v/>
      </c>
      <c r="P1111" s="11"/>
    </row>
    <row r="1112" spans="4:16" x14ac:dyDescent="0.2">
      <c r="D1112" s="1">
        <v>46103</v>
      </c>
      <c r="E1112" s="2">
        <v>0.83333333333333337</v>
      </c>
      <c r="F1112" t="s">
        <v>16</v>
      </c>
      <c r="G1112">
        <f>VLOOKUP(Table4[[#This Row],[Home]],'NHL Model'!$A$6:$B$38,2,FALSE)</f>
        <v>-1.0657812790446208</v>
      </c>
      <c r="H1112" t="s">
        <v>37</v>
      </c>
      <c r="I1112">
        <f>VLOOKUP(Table4[[#This Row],[Visitor]],'NHL Model'!$A$6:$B$38,2,FALSE)</f>
        <v>0.51050494674660429</v>
      </c>
      <c r="J1112">
        <f>($B$1+Table4[[#This Row],[Home Differential]])-Table4[[#This Row],[Away Differential]]</f>
        <v>-1.5263854768680627</v>
      </c>
      <c r="K1112" t="str">
        <f>IF(Table4[[#This Row],[HomeIce Differential]]&gt;0,Table4[[#This Row],[Home]],Table4[[#This Row],[Visitor]])</f>
        <v>Tampa Bay Lightning</v>
      </c>
      <c r="L1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0.73071422011145559</v>
      </c>
      <c r="M1112" t="str">
        <f>IF(OR((NHL2025_26Results[[#This Row],[Winning Team]]="")),"-",IF(Table4[[#This Row],[Predicted Winner]]=NHL2025_26Results[[#This Row],[Winning Team]],"YES","NO"))</f>
        <v>-</v>
      </c>
      <c r="N1112" t="str">
        <f>IF(Table4[[#This Row],[Adjusted Correct]]="-", "",IF(Table4[[#This Row],[Adjusted Correct]]="YES",(Table4[[#This Row],[Strength of Win]]-1)^2,(Table4[[#This Row],[Strength of Win]]-0)^2))</f>
        <v/>
      </c>
      <c r="P1112" s="11"/>
    </row>
    <row r="1113" spans="4:16" x14ac:dyDescent="0.2">
      <c r="D1113" s="1">
        <v>46103</v>
      </c>
      <c r="E1113" s="2">
        <v>0.625</v>
      </c>
      <c r="F1113" t="s">
        <v>10</v>
      </c>
      <c r="G1113">
        <f>VLOOKUP(Table4[[#This Row],[Home]],'NHL Model'!$A$6:$B$38,2,FALSE)</f>
        <v>-0.17619625518431364</v>
      </c>
      <c r="H1113" t="s">
        <v>29</v>
      </c>
      <c r="I1113">
        <f>VLOOKUP(Table4[[#This Row],[Visitor]],'NHL Model'!$A$6:$B$38,2,FALSE)</f>
        <v>-1.384917283810061</v>
      </c>
      <c r="J1113">
        <f>($B$1+Table4[[#This Row],[Home Differential]])-Table4[[#This Row],[Away Differential]]</f>
        <v>1.2586217775489097</v>
      </c>
      <c r="K1113" t="str">
        <f>IF(Table4[[#This Row],[HomeIce Differential]]&gt;0,Table4[[#This Row],[Home]],Table4[[#This Row],[Visitor]])</f>
        <v>Chicago Blackhawks</v>
      </c>
      <c r="L1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0.68696266846049026</v>
      </c>
      <c r="M1113" t="str">
        <f>IF(OR((NHL2025_26Results[[#This Row],[Winning Team]]="")),"-",IF(Table4[[#This Row],[Predicted Winner]]=NHL2025_26Results[[#This Row],[Winning Team]],"YES","NO"))</f>
        <v>-</v>
      </c>
      <c r="N1113" t="str">
        <f>IF(Table4[[#This Row],[Adjusted Correct]]="-", "",IF(Table4[[#This Row],[Adjusted Correct]]="YES",(Table4[[#This Row],[Strength of Win]]-1)^2,(Table4[[#This Row],[Strength of Win]]-0)^2))</f>
        <v/>
      </c>
      <c r="P1113" s="11"/>
    </row>
    <row r="1114" spans="4:16" x14ac:dyDescent="0.2">
      <c r="D1114" s="1">
        <v>46103</v>
      </c>
      <c r="E1114" s="2">
        <v>0.79166666666666663</v>
      </c>
      <c r="F1114" t="s">
        <v>39</v>
      </c>
      <c r="G1114">
        <f>VLOOKUP(Table4[[#This Row],[Home]],'NHL Model'!$A$6:$B$38,2,FALSE)</f>
        <v>0.41344250185511977</v>
      </c>
      <c r="H1114" t="s">
        <v>20</v>
      </c>
      <c r="I1114">
        <f>VLOOKUP(Table4[[#This Row],[Visitor]],'NHL Model'!$A$6:$B$38,2,FALSE)</f>
        <v>-0.24444083032063643</v>
      </c>
      <c r="J1114">
        <f>($B$1+Table4[[#This Row],[Home Differential]])-Table4[[#This Row],[Away Differential]]</f>
        <v>0.70778408109891866</v>
      </c>
      <c r="K1114" t="str">
        <f>IF(Table4[[#This Row],[HomeIce Differential]]&gt;0,Table4[[#This Row],[Home]],Table4[[#This Row],[Visitor]])</f>
        <v>Dallas Stars</v>
      </c>
      <c r="L1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0.65489030342408205</v>
      </c>
      <c r="M1114" t="str">
        <f>IF(OR((NHL2025_26Results[[#This Row],[Winning Team]]="")),"-",IF(Table4[[#This Row],[Predicted Winner]]=NHL2025_26Results[[#This Row],[Winning Team]],"YES","NO"))</f>
        <v>-</v>
      </c>
      <c r="N1114" t="str">
        <f>IF(Table4[[#This Row],[Adjusted Correct]]="-", "",IF(Table4[[#This Row],[Adjusted Correct]]="YES",(Table4[[#This Row],[Strength of Win]]-1)^2,(Table4[[#This Row],[Strength of Win]]-0)^2))</f>
        <v/>
      </c>
      <c r="P1114" s="11"/>
    </row>
    <row r="1115" spans="4:16" x14ac:dyDescent="0.2">
      <c r="D1115" s="1">
        <v>46103</v>
      </c>
      <c r="E1115" s="2">
        <v>0.79166666666666663</v>
      </c>
      <c r="F1115" t="s">
        <v>30</v>
      </c>
      <c r="G1115">
        <f>VLOOKUP(Table4[[#This Row],[Home]],'NHL Model'!$A$6:$B$38,2,FALSE)</f>
        <v>-0.24093199744133265</v>
      </c>
      <c r="H1115" t="s">
        <v>28</v>
      </c>
      <c r="I1115">
        <f>VLOOKUP(Table4[[#This Row],[Visitor]],'NHL Model'!$A$6:$B$38,2,FALSE)</f>
        <v>-0.59498940435054026</v>
      </c>
      <c r="J1115">
        <f>($B$1+Table4[[#This Row],[Home Differential]])-Table4[[#This Row],[Away Differential]]</f>
        <v>0.40395815583237005</v>
      </c>
      <c r="K1115" t="str">
        <f>IF(Table4[[#This Row],[HomeIce Differential]]&gt;0,Table4[[#This Row],[Home]],Table4[[#This Row],[Visitor]])</f>
        <v>New York Islanders</v>
      </c>
      <c r="L1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0.5835919177498986</v>
      </c>
      <c r="M1115" t="str">
        <f>IF(OR((NHL2025_26Results[[#This Row],[Winning Team]]="")),"-",IF(Table4[[#This Row],[Predicted Winner]]=NHL2025_26Results[[#This Row],[Winning Team]],"YES","NO"))</f>
        <v>-</v>
      </c>
      <c r="N1115" t="str">
        <f>IF(Table4[[#This Row],[Adjusted Correct]]="-", "",IF(Table4[[#This Row],[Adjusted Correct]]="YES",(Table4[[#This Row],[Strength of Win]]-1)^2,(Table4[[#This Row],[Strength of Win]]-0)^2))</f>
        <v/>
      </c>
      <c r="P1115" s="11"/>
    </row>
    <row r="1116" spans="4:16" x14ac:dyDescent="0.2">
      <c r="D1116" s="1">
        <v>46103</v>
      </c>
      <c r="E1116" s="2">
        <v>0.5</v>
      </c>
      <c r="F1116" t="s">
        <v>15</v>
      </c>
      <c r="G1116">
        <f>VLOOKUP(Table4[[#This Row],[Home]],'NHL Model'!$A$6:$B$38,2,FALSE)</f>
        <v>-0.29003398448394263</v>
      </c>
      <c r="H1116" t="s">
        <v>40</v>
      </c>
      <c r="I1116">
        <f>VLOOKUP(Table4[[#This Row],[Visitor]],'NHL Model'!$A$6:$B$38,2,FALSE)</f>
        <v>-0.31324182378279158</v>
      </c>
      <c r="J1116">
        <f>($B$1+Table4[[#This Row],[Home Differential]])-Table4[[#This Row],[Away Differential]]</f>
        <v>7.3108588222011411E-2</v>
      </c>
      <c r="K1116" t="str">
        <f>IF(Table4[[#This Row],[HomeIce Differential]]&gt;0,Table4[[#This Row],[Home]],Table4[[#This Row],[Visitor]])</f>
        <v>New York Rangers</v>
      </c>
      <c r="L1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0.52776727591144157</v>
      </c>
      <c r="M1116" t="str">
        <f>IF(OR((NHL2025_26Results[[#This Row],[Winning Team]]="")),"-",IF(Table4[[#This Row],[Predicted Winner]]=NHL2025_26Results[[#This Row],[Winning Team]],"YES","NO"))</f>
        <v>-</v>
      </c>
      <c r="N1116" t="str">
        <f>IF(Table4[[#This Row],[Adjusted Correct]]="-", "",IF(Table4[[#This Row],[Adjusted Correct]]="YES",(Table4[[#This Row],[Strength of Win]]-1)^2,(Table4[[#This Row],[Strength of Win]]-0)^2))</f>
        <v/>
      </c>
      <c r="P1116" s="11"/>
    </row>
    <row r="1117" spans="4:16" x14ac:dyDescent="0.2">
      <c r="D1117" s="1">
        <v>46103</v>
      </c>
      <c r="E1117" s="2">
        <v>0.625</v>
      </c>
      <c r="F1117" t="s">
        <v>14</v>
      </c>
      <c r="G1117">
        <f>VLOOKUP(Table4[[#This Row],[Home]],'NHL Model'!$A$6:$B$38,2,FALSE)</f>
        <v>-0.14226422156549004</v>
      </c>
      <c r="H1117" t="s">
        <v>25</v>
      </c>
      <c r="I1117">
        <f>VLOOKUP(Table4[[#This Row],[Visitor]],'NHL Model'!$A$6:$B$38,2,FALSE)</f>
        <v>0.42567513732855267</v>
      </c>
      <c r="J1117">
        <f>($B$1+Table4[[#This Row],[Home Differential]])-Table4[[#This Row],[Away Differential]]</f>
        <v>-0.51803860997088025</v>
      </c>
      <c r="K1117" t="str">
        <f>IF(Table4[[#This Row],[HomeIce Differential]]&gt;0,Table4[[#This Row],[Home]],Table4[[#This Row],[Visitor]])</f>
        <v>Carolina Hurricanes</v>
      </c>
      <c r="L1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0.59311182252615857</v>
      </c>
      <c r="M1117" t="str">
        <f>IF(OR((NHL2025_26Results[[#This Row],[Winning Team]]="")),"-",IF(Table4[[#This Row],[Predicted Winner]]=NHL2025_26Results[[#This Row],[Winning Team]],"YES","NO"))</f>
        <v>-</v>
      </c>
      <c r="N1117" t="str">
        <f>IF(Table4[[#This Row],[Adjusted Correct]]="-", "",IF(Table4[[#This Row],[Adjusted Correct]]="YES",(Table4[[#This Row],[Strength of Win]]-1)^2,(Table4[[#This Row],[Strength of Win]]-0)^2))</f>
        <v/>
      </c>
      <c r="P1117" s="11"/>
    </row>
    <row r="1118" spans="4:16" x14ac:dyDescent="0.2">
      <c r="D1118" s="1">
        <v>46103</v>
      </c>
      <c r="E1118" s="2">
        <v>0.875</v>
      </c>
      <c r="F1118" t="s">
        <v>55</v>
      </c>
      <c r="G1118">
        <f>VLOOKUP(Table4[[#This Row],[Home]],'NHL Model'!$A$6:$B$38,2,FALSE)</f>
        <v>-0.4031232890211825</v>
      </c>
      <c r="H1118" t="s">
        <v>13</v>
      </c>
      <c r="I1118">
        <f>VLOOKUP(Table4[[#This Row],[Visitor]],'NHL Model'!$A$6:$B$38,2,FALSE)</f>
        <v>-0.33828359867721369</v>
      </c>
      <c r="J1118">
        <f>($B$1+Table4[[#This Row],[Home Differential]])-Table4[[#This Row],[Away Differential]]</f>
        <v>-1.4938941420806318E-2</v>
      </c>
      <c r="K1118" t="str">
        <f>IF(Table4[[#This Row],[HomeIce Differential]]&gt;0,Table4[[#This Row],[Home]],Table4[[#This Row],[Visitor]])</f>
        <v>Los Angeles Kings</v>
      </c>
      <c r="L1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0.48703845954097724</v>
      </c>
      <c r="M1118" t="str">
        <f>IF(OR((NHL2025_26Results[[#This Row],[Winning Team]]="")),"-",IF(Table4[[#This Row],[Predicted Winner]]=NHL2025_26Results[[#This Row],[Winning Team]],"YES","NO"))</f>
        <v>-</v>
      </c>
      <c r="N1118" t="str">
        <f>IF(Table4[[#This Row],[Adjusted Correct]]="-", "",IF(Table4[[#This Row],[Adjusted Correct]]="YES",(Table4[[#This Row],[Strength of Win]]-1)^2,(Table4[[#This Row],[Strength of Win]]-0)^2))</f>
        <v/>
      </c>
      <c r="P1118" s="11"/>
    </row>
    <row r="1119" spans="4:16" x14ac:dyDescent="0.2">
      <c r="D1119" s="1">
        <v>46103</v>
      </c>
      <c r="E1119" s="2">
        <v>0.52083333333333337</v>
      </c>
      <c r="F1119" t="s">
        <v>22</v>
      </c>
      <c r="G1119">
        <f>VLOOKUP(Table4[[#This Row],[Home]],'NHL Model'!$A$6:$B$38,2,FALSE)</f>
        <v>0.4407072328537569</v>
      </c>
      <c r="H1119" t="s">
        <v>12</v>
      </c>
      <c r="I1119">
        <f>VLOOKUP(Table4[[#This Row],[Visitor]],'NHL Model'!$A$6:$B$38,2,FALSE)</f>
        <v>1.6319036584269762</v>
      </c>
      <c r="J1119">
        <f>($B$1+Table4[[#This Row],[Home Differential]])-Table4[[#This Row],[Away Differential]]</f>
        <v>-1.1412956766500568</v>
      </c>
      <c r="K1119" t="str">
        <f>IF(Table4[[#This Row],[HomeIce Differential]]&gt;0,Table4[[#This Row],[Home]],Table4[[#This Row],[Visitor]])</f>
        <v>Colorado Avalanche</v>
      </c>
      <c r="L1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0.63959222849493702</v>
      </c>
      <c r="M1119" t="str">
        <f>IF(OR((NHL2025_26Results[[#This Row],[Winning Team]]="")),"-",IF(Table4[[#This Row],[Predicted Winner]]=NHL2025_26Results[[#This Row],[Winning Team]],"YES","NO"))</f>
        <v>-</v>
      </c>
      <c r="N1119" t="str">
        <f>IF(Table4[[#This Row],[Adjusted Correct]]="-", "",IF(Table4[[#This Row],[Adjusted Correct]]="YES",(Table4[[#This Row],[Strength of Win]]-1)^2,(Table4[[#This Row],[Strength of Win]]-0)^2))</f>
        <v/>
      </c>
      <c r="P1119" s="11"/>
    </row>
    <row r="1120" spans="4:16" x14ac:dyDescent="0.2">
      <c r="D1120" s="1">
        <v>46104</v>
      </c>
      <c r="E1120" s="2">
        <v>0.8125</v>
      </c>
      <c r="F1120" t="s">
        <v>15</v>
      </c>
      <c r="G1120">
        <f>VLOOKUP(Table4[[#This Row],[Home]],'NHL Model'!$A$6:$B$38,2,FALSE)</f>
        <v>-0.29003398448394263</v>
      </c>
      <c r="H1120" t="s">
        <v>36</v>
      </c>
      <c r="I1120">
        <f>VLOOKUP(Table4[[#This Row],[Visitor]],'NHL Model'!$A$6:$B$38,2,FALSE)</f>
        <v>-0.53137605086483863</v>
      </c>
      <c r="J1120">
        <f>($B$1+Table4[[#This Row],[Home Differential]])-Table4[[#This Row],[Away Differential]]</f>
        <v>0.29124281530405849</v>
      </c>
      <c r="K1120" t="str">
        <f>IF(Table4[[#This Row],[HomeIce Differential]]&gt;0,Table4[[#This Row],[Home]],Table4[[#This Row],[Visitor]])</f>
        <v>New York Rangers</v>
      </c>
      <c r="L1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0.57400689712391928</v>
      </c>
      <c r="M1120" t="str">
        <f>IF(OR((NHL2025_26Results[[#This Row],[Winning Team]]="")),"-",IF(Table4[[#This Row],[Predicted Winner]]=NHL2025_26Results[[#This Row],[Winning Team]],"YES","NO"))</f>
        <v>-</v>
      </c>
      <c r="N1120" t="str">
        <f>IF(Table4[[#This Row],[Adjusted Correct]]="-", "",IF(Table4[[#This Row],[Adjusted Correct]]="YES",(Table4[[#This Row],[Strength of Win]]-1)^2,(Table4[[#This Row],[Strength of Win]]-0)^2))</f>
        <v/>
      </c>
      <c r="P1120" s="11"/>
    </row>
    <row r="1121" spans="4:16" x14ac:dyDescent="0.2">
      <c r="D1121" s="1">
        <v>46105</v>
      </c>
      <c r="E1121" s="2">
        <v>0.79166666666666663</v>
      </c>
      <c r="F1121" t="s">
        <v>21</v>
      </c>
      <c r="G1121">
        <f>VLOOKUP(Table4[[#This Row],[Home]],'NHL Model'!$A$6:$B$38,2,FALSE)</f>
        <v>-0.21976976044773161</v>
      </c>
      <c r="H1121" t="s">
        <v>19</v>
      </c>
      <c r="I1121">
        <f>VLOOKUP(Table4[[#This Row],[Visitor]],'NHL Model'!$A$6:$B$38,2,FALSE)</f>
        <v>-0.63447859131898054</v>
      </c>
      <c r="J1121">
        <f>($B$1+Table4[[#This Row],[Home Differential]])-Table4[[#This Row],[Away Differential]]</f>
        <v>0.46460957979441142</v>
      </c>
      <c r="K1121" t="str">
        <f>IF(Table4[[#This Row],[HomeIce Differential]]&gt;0,Table4[[#This Row],[Home]],Table4[[#This Row],[Visitor]])</f>
        <v>Boston Bruins</v>
      </c>
      <c r="L1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0.63715157999313932</v>
      </c>
      <c r="M1121" t="str">
        <f>IF(OR((NHL2025_26Results[[#This Row],[Winning Team]]="")),"-",IF(Table4[[#This Row],[Predicted Winner]]=NHL2025_26Results[[#This Row],[Winning Team]],"YES","NO"))</f>
        <v>-</v>
      </c>
      <c r="N1121" t="str">
        <f>IF(Table4[[#This Row],[Adjusted Correct]]="-", "",IF(Table4[[#This Row],[Adjusted Correct]]="YES",(Table4[[#This Row],[Strength of Win]]-1)^2,(Table4[[#This Row],[Strength of Win]]-0)^2))</f>
        <v/>
      </c>
      <c r="P1121" s="11"/>
    </row>
    <row r="1122" spans="4:16" x14ac:dyDescent="0.2">
      <c r="D1122" s="1">
        <v>46105</v>
      </c>
      <c r="E1122" s="2">
        <v>0.875</v>
      </c>
      <c r="F1122" t="s">
        <v>16</v>
      </c>
      <c r="G1122">
        <f>VLOOKUP(Table4[[#This Row],[Home]],'NHL Model'!$A$6:$B$38,2,FALSE)</f>
        <v>-1.0657812790446208</v>
      </c>
      <c r="H1122" t="s">
        <v>13</v>
      </c>
      <c r="I1122">
        <f>VLOOKUP(Table4[[#This Row],[Visitor]],'NHL Model'!$A$6:$B$38,2,FALSE)</f>
        <v>-0.33828359867721369</v>
      </c>
      <c r="J1122">
        <f>($B$1+Table4[[#This Row],[Home Differential]])-Table4[[#This Row],[Away Differential]]</f>
        <v>-0.67759693144424471</v>
      </c>
      <c r="K1122" t="str">
        <f>IF(Table4[[#This Row],[HomeIce Differential]]&gt;0,Table4[[#This Row],[Home]],Table4[[#This Row],[Visitor]])</f>
        <v>Los Angeles Kings</v>
      </c>
      <c r="L1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0.60543523183675452</v>
      </c>
      <c r="M1122" t="str">
        <f>IF(OR((NHL2025_26Results[[#This Row],[Winning Team]]="")),"-",IF(Table4[[#This Row],[Predicted Winner]]=NHL2025_26Results[[#This Row],[Winning Team]],"YES","NO"))</f>
        <v>-</v>
      </c>
      <c r="N1122" t="str">
        <f>IF(Table4[[#This Row],[Adjusted Correct]]="-", "",IF(Table4[[#This Row],[Adjusted Correct]]="YES",(Table4[[#This Row],[Strength of Win]]-1)^2,(Table4[[#This Row],[Strength of Win]]-0)^2))</f>
        <v/>
      </c>
      <c r="P1122" s="11"/>
    </row>
    <row r="1123" spans="4:16" x14ac:dyDescent="0.2">
      <c r="D1123" s="1">
        <v>46105</v>
      </c>
      <c r="E1123" s="2">
        <v>0.83333333333333337</v>
      </c>
      <c r="F1123" t="s">
        <v>39</v>
      </c>
      <c r="G1123">
        <f>VLOOKUP(Table4[[#This Row],[Home]],'NHL Model'!$A$6:$B$38,2,FALSE)</f>
        <v>0.41344250185511977</v>
      </c>
      <c r="H1123" t="s">
        <v>24</v>
      </c>
      <c r="I1123">
        <f>VLOOKUP(Table4[[#This Row],[Visitor]],'NHL Model'!$A$6:$B$38,2,FALSE)</f>
        <v>1.5302507646042616E-3</v>
      </c>
      <c r="J1123">
        <f>($B$1+Table4[[#This Row],[Home Differential]])-Table4[[#This Row],[Away Differential]]</f>
        <v>0.46181300001367798</v>
      </c>
      <c r="K1123" t="str">
        <f>IF(Table4[[#This Row],[HomeIce Differential]]&gt;0,Table4[[#This Row],[Home]],Table4[[#This Row],[Visitor]])</f>
        <v>Dallas Stars</v>
      </c>
      <c r="L1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0.60564762155605634</v>
      </c>
      <c r="M1123" t="str">
        <f>IF(OR((NHL2025_26Results[[#This Row],[Winning Team]]="")),"-",IF(Table4[[#This Row],[Predicted Winner]]=NHL2025_26Results[[#This Row],[Winning Team]],"YES","NO"))</f>
        <v>-</v>
      </c>
      <c r="N1123" t="str">
        <f>IF(Table4[[#This Row],[Adjusted Correct]]="-", "",IF(Table4[[#This Row],[Adjusted Correct]]="YES",(Table4[[#This Row],[Strength of Win]]-1)^2,(Table4[[#This Row],[Strength of Win]]-0)^2))</f>
        <v/>
      </c>
      <c r="P1123" s="11"/>
    </row>
    <row r="1124" spans="4:16" x14ac:dyDescent="0.2">
      <c r="D1124" s="1">
        <v>46105</v>
      </c>
      <c r="E1124" s="2">
        <v>0.79166666666666663</v>
      </c>
      <c r="F1124" t="s">
        <v>26</v>
      </c>
      <c r="G1124">
        <f>VLOOKUP(Table4[[#This Row],[Home]],'NHL Model'!$A$6:$B$38,2,FALSE)</f>
        <v>-0.87533956503230947</v>
      </c>
      <c r="H1124" t="s">
        <v>36</v>
      </c>
      <c r="I1124">
        <f>VLOOKUP(Table4[[#This Row],[Visitor]],'NHL Model'!$A$6:$B$38,2,FALSE)</f>
        <v>-0.53137605086483863</v>
      </c>
      <c r="J1124">
        <f>($B$1+Table4[[#This Row],[Home Differential]])-Table4[[#This Row],[Away Differential]]</f>
        <v>-0.29406276524430841</v>
      </c>
      <c r="K1124" t="str">
        <f>IF(Table4[[#This Row],[HomeIce Differential]]&gt;0,Table4[[#This Row],[Home]],Table4[[#This Row],[Visitor]])</f>
        <v>Ottawa Senators</v>
      </c>
      <c r="L1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0.49433616789893414</v>
      </c>
      <c r="M1124" t="str">
        <f>IF(OR((NHL2025_26Results[[#This Row],[Winning Team]]="")),"-",IF(Table4[[#This Row],[Predicted Winner]]=NHL2025_26Results[[#This Row],[Winning Team]],"YES","NO"))</f>
        <v>-</v>
      </c>
      <c r="N1124" t="str">
        <f>IF(Table4[[#This Row],[Adjusted Correct]]="-", "",IF(Table4[[#This Row],[Adjusted Correct]]="YES",(Table4[[#This Row],[Strength of Win]]-1)^2,(Table4[[#This Row],[Strength of Win]]-0)^2))</f>
        <v/>
      </c>
      <c r="P1124" s="11"/>
    </row>
    <row r="1125" spans="4:16" x14ac:dyDescent="0.2">
      <c r="D1125" s="1">
        <v>46105</v>
      </c>
      <c r="E1125" s="2">
        <v>0.79166666666666663</v>
      </c>
      <c r="F1125" t="s">
        <v>11</v>
      </c>
      <c r="G1125">
        <f>VLOOKUP(Table4[[#This Row],[Home]],'NHL Model'!$A$6:$B$38,2,FALSE)</f>
        <v>-0.39711829106410657</v>
      </c>
      <c r="H1125" t="s">
        <v>32</v>
      </c>
      <c r="I1125">
        <f>VLOOKUP(Table4[[#This Row],[Visitor]],'NHL Model'!$A$6:$B$38,2,FALSE)</f>
        <v>-0.64937723527808999</v>
      </c>
      <c r="J1125">
        <f>($B$1+Table4[[#This Row],[Home Differential]])-Table4[[#This Row],[Away Differential]]</f>
        <v>0.30215969313714591</v>
      </c>
      <c r="K1125" t="str">
        <f>IF(Table4[[#This Row],[HomeIce Differential]]&gt;0,Table4[[#This Row],[Home]],Table4[[#This Row],[Visitor]])</f>
        <v>Florida Panthers</v>
      </c>
      <c r="L1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0.58929822423116462</v>
      </c>
      <c r="M1125" t="str">
        <f>IF(OR((NHL2025_26Results[[#This Row],[Winning Team]]="")),"-",IF(Table4[[#This Row],[Predicted Winner]]=NHL2025_26Results[[#This Row],[Winning Team]],"YES","NO"))</f>
        <v>-</v>
      </c>
      <c r="N1125" t="str">
        <f>IF(Table4[[#This Row],[Adjusted Correct]]="-", "",IF(Table4[[#This Row],[Adjusted Correct]]="YES",(Table4[[#This Row],[Strength of Win]]-1)^2,(Table4[[#This Row],[Strength of Win]]-0)^2))</f>
        <v/>
      </c>
      <c r="P1125" s="11"/>
    </row>
    <row r="1126" spans="4:16" x14ac:dyDescent="0.2">
      <c r="D1126" s="1">
        <v>46105</v>
      </c>
      <c r="E1126" s="2">
        <v>0.79166666666666663</v>
      </c>
      <c r="F1126" t="s">
        <v>18</v>
      </c>
      <c r="G1126">
        <f>VLOOKUP(Table4[[#This Row],[Home]],'NHL Model'!$A$6:$B$38,2,FALSE)</f>
        <v>-0.59288962827382519</v>
      </c>
      <c r="H1126" t="s">
        <v>25</v>
      </c>
      <c r="I1126">
        <f>VLOOKUP(Table4[[#This Row],[Visitor]],'NHL Model'!$A$6:$B$38,2,FALSE)</f>
        <v>0.42567513732855267</v>
      </c>
      <c r="J1126">
        <f>($B$1+Table4[[#This Row],[Home Differential]])-Table4[[#This Row],[Away Differential]]</f>
        <v>-0.96866401667921542</v>
      </c>
      <c r="K1126" t="str">
        <f>IF(Table4[[#This Row],[HomeIce Differential]]&gt;0,Table4[[#This Row],[Home]],Table4[[#This Row],[Visitor]])</f>
        <v>Carolina Hurricanes</v>
      </c>
      <c r="L1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0.64572898951568902</v>
      </c>
      <c r="M1126" t="str">
        <f>IF(OR((NHL2025_26Results[[#This Row],[Winning Team]]="")),"-",IF(Table4[[#This Row],[Predicted Winner]]=NHL2025_26Results[[#This Row],[Winning Team]],"YES","NO"))</f>
        <v>-</v>
      </c>
      <c r="N1126" t="str">
        <f>IF(Table4[[#This Row],[Adjusted Correct]]="-", "",IF(Table4[[#This Row],[Adjusted Correct]]="YES",(Table4[[#This Row],[Strength of Win]]-1)^2,(Table4[[#This Row],[Strength of Win]]-0)^2))</f>
        <v/>
      </c>
      <c r="P1126" s="11"/>
    </row>
    <row r="1127" spans="4:16" x14ac:dyDescent="0.2">
      <c r="D1127" s="1">
        <v>46105</v>
      </c>
      <c r="E1127" s="2">
        <v>0.83333333333333337</v>
      </c>
      <c r="F1127" t="s">
        <v>29</v>
      </c>
      <c r="G1127">
        <f>VLOOKUP(Table4[[#This Row],[Home]],'NHL Model'!$A$6:$B$38,2,FALSE)</f>
        <v>-1.384917283810061</v>
      </c>
      <c r="H1127" t="s">
        <v>33</v>
      </c>
      <c r="I1127">
        <f>VLOOKUP(Table4[[#This Row],[Visitor]],'NHL Model'!$A$6:$B$38,2,FALSE)</f>
        <v>-0.45133099238224339</v>
      </c>
      <c r="J1127">
        <f>($B$1+Table4[[#This Row],[Home Differential]])-Table4[[#This Row],[Away Differential]]</f>
        <v>-0.88368554250465514</v>
      </c>
      <c r="K1127" t="str">
        <f>IF(Table4[[#This Row],[HomeIce Differential]]&gt;0,Table4[[#This Row],[Home]],Table4[[#This Row],[Visitor]])</f>
        <v>San Jose Sharks</v>
      </c>
      <c r="L1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0.563183329355187</v>
      </c>
      <c r="M1127" t="str">
        <f>IF(OR((NHL2025_26Results[[#This Row],[Winning Team]]="")),"-",IF(Table4[[#This Row],[Predicted Winner]]=NHL2025_26Results[[#This Row],[Winning Team]],"YES","NO"))</f>
        <v>-</v>
      </c>
      <c r="N1127" t="str">
        <f>IF(Table4[[#This Row],[Adjusted Correct]]="-", "",IF(Table4[[#This Row],[Adjusted Correct]]="YES",(Table4[[#This Row],[Strength of Win]]-1)^2,(Table4[[#This Row],[Strength of Win]]-0)^2))</f>
        <v/>
      </c>
      <c r="P1127" s="11"/>
    </row>
    <row r="1128" spans="4:16" x14ac:dyDescent="0.2">
      <c r="D1128" s="1">
        <v>46105</v>
      </c>
      <c r="E1128" s="2">
        <v>0.79166666666666663</v>
      </c>
      <c r="F1128" t="s">
        <v>30</v>
      </c>
      <c r="G1128">
        <f>VLOOKUP(Table4[[#This Row],[Home]],'NHL Model'!$A$6:$B$38,2,FALSE)</f>
        <v>-0.24093199744133265</v>
      </c>
      <c r="H1128" t="s">
        <v>10</v>
      </c>
      <c r="I1128">
        <f>VLOOKUP(Table4[[#This Row],[Visitor]],'NHL Model'!$A$6:$B$38,2,FALSE)</f>
        <v>-0.17619625518431364</v>
      </c>
      <c r="J1128">
        <f>($B$1+Table4[[#This Row],[Home Differential]])-Table4[[#This Row],[Away Differential]]</f>
        <v>-1.4834993333856544E-2</v>
      </c>
      <c r="K1128" t="str">
        <f>IF(Table4[[#This Row],[HomeIce Differential]]&gt;0,Table4[[#This Row],[Home]],Table4[[#This Row],[Visitor]])</f>
        <v>Chicago Blackhawks</v>
      </c>
      <c r="L1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0.46173220442060281</v>
      </c>
      <c r="M1128" t="str">
        <f>IF(OR((NHL2025_26Results[[#This Row],[Winning Team]]="")),"-",IF(Table4[[#This Row],[Predicted Winner]]=NHL2025_26Results[[#This Row],[Winning Team]],"YES","NO"))</f>
        <v>-</v>
      </c>
      <c r="N1128" t="str">
        <f>IF(Table4[[#This Row],[Adjusted Correct]]="-", "",IF(Table4[[#This Row],[Adjusted Correct]]="YES",(Table4[[#This Row],[Strength of Win]]-1)^2,(Table4[[#This Row],[Strength of Win]]-0)^2))</f>
        <v/>
      </c>
      <c r="P1128" s="11"/>
    </row>
    <row r="1129" spans="4:16" x14ac:dyDescent="0.2">
      <c r="D1129" s="1">
        <v>46105</v>
      </c>
      <c r="E1129" s="2">
        <v>0.79166666666666663</v>
      </c>
      <c r="F1129" t="s">
        <v>27</v>
      </c>
      <c r="G1129">
        <f>VLOOKUP(Table4[[#This Row],[Home]],'NHL Model'!$A$6:$B$38,2,FALSE)</f>
        <v>-0.38023958350631604</v>
      </c>
      <c r="H1129" t="s">
        <v>28</v>
      </c>
      <c r="I1129">
        <f>VLOOKUP(Table4[[#This Row],[Visitor]],'NHL Model'!$A$6:$B$38,2,FALSE)</f>
        <v>-0.59498940435054026</v>
      </c>
      <c r="J1129">
        <f>($B$1+Table4[[#This Row],[Home Differential]])-Table4[[#This Row],[Away Differential]]</f>
        <v>0.26465056976738671</v>
      </c>
      <c r="K1129" t="str">
        <f>IF(Table4[[#This Row],[HomeIce Differential]]&gt;0,Table4[[#This Row],[Home]],Table4[[#This Row],[Visitor]])</f>
        <v>Philadelphia Flyers</v>
      </c>
      <c r="L1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0.58136057558031018</v>
      </c>
      <c r="M1129" t="str">
        <f>IF(OR((NHL2025_26Results[[#This Row],[Winning Team]]="")),"-",IF(Table4[[#This Row],[Predicted Winner]]=NHL2025_26Results[[#This Row],[Winning Team]],"YES","NO"))</f>
        <v>-</v>
      </c>
      <c r="N1129" t="str">
        <f>IF(Table4[[#This Row],[Adjusted Correct]]="-", "",IF(Table4[[#This Row],[Adjusted Correct]]="YES",(Table4[[#This Row],[Strength of Win]]-1)^2,(Table4[[#This Row],[Strength of Win]]-0)^2))</f>
        <v/>
      </c>
      <c r="P1129" s="11"/>
    </row>
    <row r="1130" spans="4:16" x14ac:dyDescent="0.2">
      <c r="D1130" s="1">
        <v>46105</v>
      </c>
      <c r="E1130" s="2">
        <v>0.79166666666666663</v>
      </c>
      <c r="F1130" t="s">
        <v>14</v>
      </c>
      <c r="G1130">
        <f>VLOOKUP(Table4[[#This Row],[Home]],'NHL Model'!$A$6:$B$38,2,FALSE)</f>
        <v>-0.14226422156549004</v>
      </c>
      <c r="H1130" t="s">
        <v>12</v>
      </c>
      <c r="I1130">
        <f>VLOOKUP(Table4[[#This Row],[Visitor]],'NHL Model'!$A$6:$B$38,2,FALSE)</f>
        <v>1.6319036584269762</v>
      </c>
      <c r="J1130">
        <f>($B$1+Table4[[#This Row],[Home Differential]])-Table4[[#This Row],[Away Differential]]</f>
        <v>-1.7242671310693036</v>
      </c>
      <c r="K1130" t="str">
        <f>IF(Table4[[#This Row],[HomeIce Differential]]&gt;0,Table4[[#This Row],[Home]],Table4[[#This Row],[Visitor]])</f>
        <v>Colorado Avalanche</v>
      </c>
      <c r="L1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0.73395680502677829</v>
      </c>
      <c r="M1130" t="str">
        <f>IF(OR((NHL2025_26Results[[#This Row],[Winning Team]]="")),"-",IF(Table4[[#This Row],[Predicted Winner]]=NHL2025_26Results[[#This Row],[Winning Team]],"YES","NO"))</f>
        <v>-</v>
      </c>
      <c r="N1130" t="str">
        <f>IF(Table4[[#This Row],[Adjusted Correct]]="-", "",IF(Table4[[#This Row],[Adjusted Correct]]="YES",(Table4[[#This Row],[Strength of Win]]-1)^2,(Table4[[#This Row],[Strength of Win]]-0)^2))</f>
        <v/>
      </c>
      <c r="P1130" s="11"/>
    </row>
    <row r="1131" spans="4:16" x14ac:dyDescent="0.2">
      <c r="D1131" s="1">
        <v>46105</v>
      </c>
      <c r="E1131" s="2">
        <v>0.83333333333333337</v>
      </c>
      <c r="F1131" t="s">
        <v>35</v>
      </c>
      <c r="G1131">
        <f>VLOOKUP(Table4[[#This Row],[Home]],'NHL Model'!$A$6:$B$38,2,FALSE)</f>
        <v>-1.3944783719477225</v>
      </c>
      <c r="H1131" t="s">
        <v>22</v>
      </c>
      <c r="I1131">
        <f>VLOOKUP(Table4[[#This Row],[Visitor]],'NHL Model'!$A$6:$B$38,2,FALSE)</f>
        <v>0.4407072328537569</v>
      </c>
      <c r="J1131">
        <f>($B$1+Table4[[#This Row],[Home Differential]])-Table4[[#This Row],[Away Differential]]</f>
        <v>-1.785284855878317</v>
      </c>
      <c r="K1131" t="str">
        <f>IF(Table4[[#This Row],[HomeIce Differential]]&gt;0,Table4[[#This Row],[Home]],Table4[[#This Row],[Visitor]])</f>
        <v>Washington Capitals</v>
      </c>
      <c r="L1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0.71097091866178919</v>
      </c>
      <c r="M1131" t="str">
        <f>IF(OR((NHL2025_26Results[[#This Row],[Winning Team]]="")),"-",IF(Table4[[#This Row],[Predicted Winner]]=NHL2025_26Results[[#This Row],[Winning Team]],"YES","NO"))</f>
        <v>-</v>
      </c>
      <c r="N1131" t="str">
        <f>IF(Table4[[#This Row],[Adjusted Correct]]="-", "",IF(Table4[[#This Row],[Adjusted Correct]]="YES",(Table4[[#This Row],[Strength of Win]]-1)^2,(Table4[[#This Row],[Strength of Win]]-0)^2))</f>
        <v/>
      </c>
      <c r="P1131" s="11"/>
    </row>
    <row r="1132" spans="4:16" x14ac:dyDescent="0.2">
      <c r="D1132" s="1">
        <v>46105</v>
      </c>
      <c r="E1132" s="2">
        <v>0.8125</v>
      </c>
      <c r="F1132" t="s">
        <v>37</v>
      </c>
      <c r="G1132">
        <f>VLOOKUP(Table4[[#This Row],[Home]],'NHL Model'!$A$6:$B$38,2,FALSE)</f>
        <v>0.51050494674660429</v>
      </c>
      <c r="H1132" t="s">
        <v>34</v>
      </c>
      <c r="I1132">
        <f>VLOOKUP(Table4[[#This Row],[Visitor]],'NHL Model'!$A$6:$B$38,2,FALSE)</f>
        <v>-5.5124787449478845E-2</v>
      </c>
      <c r="J1132">
        <f>($B$1+Table4[[#This Row],[Home Differential]])-Table4[[#This Row],[Away Differential]]</f>
        <v>0.61553048311924552</v>
      </c>
      <c r="K1132" t="str">
        <f>IF(Table4[[#This Row],[HomeIce Differential]]&gt;0,Table4[[#This Row],[Home]],Table4[[#This Row],[Visitor]])</f>
        <v>Tampa Bay Lightning</v>
      </c>
      <c r="L1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0.60199275041343858</v>
      </c>
      <c r="M1132" t="str">
        <f>IF(OR((NHL2025_26Results[[#This Row],[Winning Team]]="")),"-",IF(Table4[[#This Row],[Predicted Winner]]=NHL2025_26Results[[#This Row],[Winning Team]],"YES","NO"))</f>
        <v>-</v>
      </c>
      <c r="N1132" t="str">
        <f>IF(Table4[[#This Row],[Adjusted Correct]]="-", "",IF(Table4[[#This Row],[Adjusted Correct]]="YES",(Table4[[#This Row],[Strength of Win]]-1)^2,(Table4[[#This Row],[Strength of Win]]-0)^2))</f>
        <v/>
      </c>
      <c r="P1132" s="11"/>
    </row>
    <row r="1133" spans="4:16" x14ac:dyDescent="0.2">
      <c r="D1133" s="1">
        <v>46105</v>
      </c>
      <c r="E1133" s="2">
        <v>0.89583333333333337</v>
      </c>
      <c r="F1133" t="s">
        <v>55</v>
      </c>
      <c r="G1133">
        <f>VLOOKUP(Table4[[#This Row],[Home]],'NHL Model'!$A$6:$B$38,2,FALSE)</f>
        <v>-0.4031232890211825</v>
      </c>
      <c r="H1133" t="s">
        <v>17</v>
      </c>
      <c r="I1133">
        <f>VLOOKUP(Table4[[#This Row],[Visitor]],'NHL Model'!$A$6:$B$38,2,FALSE)</f>
        <v>-0.81774666423752174</v>
      </c>
      <c r="J1133">
        <f>($B$1+Table4[[#This Row],[Home Differential]])-Table4[[#This Row],[Away Differential]]</f>
        <v>0.46452412413950173</v>
      </c>
      <c r="K1133" t="str">
        <f>IF(Table4[[#This Row],[HomeIce Differential]]&gt;0,Table4[[#This Row],[Home]],Table4[[#This Row],[Visitor]])</f>
        <v>Utah Mammoth</v>
      </c>
      <c r="L1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0.63467122482615079</v>
      </c>
      <c r="M1133" t="str">
        <f>IF(OR((NHL2025_26Results[[#This Row],[Winning Team]]="")),"-",IF(Table4[[#This Row],[Predicted Winner]]=NHL2025_26Results[[#This Row],[Winning Team]],"YES","NO"))</f>
        <v>-</v>
      </c>
      <c r="N1133" t="str">
        <f>IF(Table4[[#This Row],[Adjusted Correct]]="-", "",IF(Table4[[#This Row],[Adjusted Correct]]="YES",(Table4[[#This Row],[Strength of Win]]-1)^2,(Table4[[#This Row],[Strength of Win]]-0)^2))</f>
        <v/>
      </c>
      <c r="P1133" s="11"/>
    </row>
    <row r="1134" spans="4:16" x14ac:dyDescent="0.2">
      <c r="D1134" s="1">
        <v>46105</v>
      </c>
      <c r="E1134" s="2">
        <v>0.91666666666666663</v>
      </c>
      <c r="F1134" t="s">
        <v>38</v>
      </c>
      <c r="G1134">
        <f>VLOOKUP(Table4[[#This Row],[Home]],'NHL Model'!$A$6:$B$38,2,FALSE)</f>
        <v>-0.9476777551108041</v>
      </c>
      <c r="H1134" t="s">
        <v>31</v>
      </c>
      <c r="I1134">
        <f>VLOOKUP(Table4[[#This Row],[Visitor]],'NHL Model'!$A$6:$B$38,2,FALSE)</f>
        <v>0.17870302183926629</v>
      </c>
      <c r="J1134">
        <f>($B$1+Table4[[#This Row],[Home Differential]])-Table4[[#This Row],[Away Differential]]</f>
        <v>-1.076480028026908</v>
      </c>
      <c r="K1134" t="str">
        <f>IF(Table4[[#This Row],[HomeIce Differential]]&gt;0,Table4[[#This Row],[Home]],Table4[[#This Row],[Visitor]])</f>
        <v>Anaheim Ducks</v>
      </c>
      <c r="L1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0.60646416175266515</v>
      </c>
      <c r="M1134" t="str">
        <f>IF(OR((NHL2025_26Results[[#This Row],[Winning Team]]="")),"-",IF(Table4[[#This Row],[Predicted Winner]]=NHL2025_26Results[[#This Row],[Winning Team]],"YES","NO"))</f>
        <v>-</v>
      </c>
      <c r="N1134" t="str">
        <f>IF(Table4[[#This Row],[Adjusted Correct]]="-", "",IF(Table4[[#This Row],[Adjusted Correct]]="YES",(Table4[[#This Row],[Strength of Win]]-1)^2,(Table4[[#This Row],[Strength of Win]]-0)^2))</f>
        <v/>
      </c>
      <c r="P1134" s="11"/>
    </row>
    <row r="1135" spans="4:16" x14ac:dyDescent="0.2">
      <c r="D1135" s="1">
        <v>46105</v>
      </c>
      <c r="E1135" s="2">
        <v>0.83333333333333337</v>
      </c>
      <c r="F1135" t="s">
        <v>40</v>
      </c>
      <c r="G1135">
        <f>VLOOKUP(Table4[[#This Row],[Home]],'NHL Model'!$A$6:$B$38,2,FALSE)</f>
        <v>-0.31324182378279158</v>
      </c>
      <c r="H1135" t="s">
        <v>20</v>
      </c>
      <c r="I1135">
        <f>VLOOKUP(Table4[[#This Row],[Visitor]],'NHL Model'!$A$6:$B$38,2,FALSE)</f>
        <v>-0.24444083032063643</v>
      </c>
      <c r="J1135">
        <f>($B$1+Table4[[#This Row],[Home Differential]])-Table4[[#This Row],[Away Differential]]</f>
        <v>-1.8900244538992667E-2</v>
      </c>
      <c r="K1135" t="str">
        <f>IF(Table4[[#This Row],[HomeIce Differential]]&gt;0,Table4[[#This Row],[Home]],Table4[[#This Row],[Visitor]])</f>
        <v>Vegas Golden Knights</v>
      </c>
      <c r="L1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0.45971140329328808</v>
      </c>
      <c r="M1135" t="str">
        <f>IF(OR((NHL2025_26Results[[#This Row],[Winning Team]]="")),"-",IF(Table4[[#This Row],[Predicted Winner]]=NHL2025_26Results[[#This Row],[Winning Team]],"YES","NO"))</f>
        <v>-</v>
      </c>
      <c r="N1135" t="str">
        <f>IF(Table4[[#This Row],[Adjusted Correct]]="-", "",IF(Table4[[#This Row],[Adjusted Correct]]="YES",(Table4[[#This Row],[Strength of Win]]-1)^2,(Table4[[#This Row],[Strength of Win]]-0)^2))</f>
        <v/>
      </c>
      <c r="P1135" s="11"/>
    </row>
    <row r="1136" spans="4:16" x14ac:dyDescent="0.2">
      <c r="D1136" s="1">
        <v>46106</v>
      </c>
      <c r="E1136" s="2">
        <v>0.79166666666666663</v>
      </c>
      <c r="F1136" t="s">
        <v>23</v>
      </c>
      <c r="G1136">
        <f>VLOOKUP(Table4[[#This Row],[Home]],'NHL Model'!$A$6:$B$38,2,FALSE)</f>
        <v>-0.4761104357405897</v>
      </c>
      <c r="H1136" t="s">
        <v>21</v>
      </c>
      <c r="I1136">
        <f>VLOOKUP(Table4[[#This Row],[Visitor]],'NHL Model'!$A$6:$B$38,2,FALSE)</f>
        <v>-0.21976976044773161</v>
      </c>
      <c r="J1136">
        <f>($B$1+Table4[[#This Row],[Home Differential]])-Table4[[#This Row],[Away Differential]]</f>
        <v>-0.2064399263696956</v>
      </c>
      <c r="K1136" t="str">
        <f>IF(Table4[[#This Row],[HomeIce Differential]]&gt;0,Table4[[#This Row],[Home]],Table4[[#This Row],[Visitor]])</f>
        <v>Boston Bruins</v>
      </c>
      <c r="L1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0.47480913359163229</v>
      </c>
      <c r="M1136" t="str">
        <f>IF(OR((NHL2025_26Results[[#This Row],[Winning Team]]="")),"-",IF(Table4[[#This Row],[Predicted Winner]]=NHL2025_26Results[[#This Row],[Winning Team]],"YES","NO"))</f>
        <v>-</v>
      </c>
      <c r="N1136" t="str">
        <f>IF(Table4[[#This Row],[Adjusted Correct]]="-", "",IF(Table4[[#This Row],[Adjusted Correct]]="YES",(Table4[[#This Row],[Strength of Win]]-1)^2,(Table4[[#This Row],[Strength of Win]]-0)^2))</f>
        <v/>
      </c>
      <c r="P1136" s="11"/>
    </row>
    <row r="1137" spans="4:16" x14ac:dyDescent="0.2">
      <c r="D1137" s="1">
        <v>46106</v>
      </c>
      <c r="E1137" s="2">
        <v>0.8125</v>
      </c>
      <c r="F1137" t="s">
        <v>19</v>
      </c>
      <c r="G1137">
        <f>VLOOKUP(Table4[[#This Row],[Home]],'NHL Model'!$A$6:$B$38,2,FALSE)</f>
        <v>-0.63447859131898054</v>
      </c>
      <c r="H1137" t="s">
        <v>15</v>
      </c>
      <c r="I1137">
        <f>VLOOKUP(Table4[[#This Row],[Visitor]],'NHL Model'!$A$6:$B$38,2,FALSE)</f>
        <v>-0.29003398448394263</v>
      </c>
      <c r="J1137">
        <f>($B$1+Table4[[#This Row],[Home Differential]])-Table4[[#This Row],[Away Differential]]</f>
        <v>-0.29454385791187548</v>
      </c>
      <c r="K1137" t="str">
        <f>IF(Table4[[#This Row],[HomeIce Differential]]&gt;0,Table4[[#This Row],[Home]],Table4[[#This Row],[Visitor]])</f>
        <v>New York Rangers</v>
      </c>
      <c r="L1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0.59447380896340563</v>
      </c>
      <c r="M1137" t="str">
        <f>IF(OR((NHL2025_26Results[[#This Row],[Winning Team]]="")),"-",IF(Table4[[#This Row],[Predicted Winner]]=NHL2025_26Results[[#This Row],[Winning Team]],"YES","NO"))</f>
        <v>-</v>
      </c>
      <c r="N1137" t="str">
        <f>IF(Table4[[#This Row],[Adjusted Correct]]="-", "",IF(Table4[[#This Row],[Adjusted Correct]]="YES",(Table4[[#This Row],[Strength of Win]]-1)^2,(Table4[[#This Row],[Strength of Win]]-0)^2))</f>
        <v/>
      </c>
      <c r="P1137" s="11"/>
    </row>
    <row r="1138" spans="4:16" x14ac:dyDescent="0.2">
      <c r="D1138" s="1">
        <v>46107</v>
      </c>
      <c r="E1138" s="2">
        <v>0.875</v>
      </c>
      <c r="F1138" t="s">
        <v>16</v>
      </c>
      <c r="G1138">
        <f>VLOOKUP(Table4[[#This Row],[Home]],'NHL Model'!$A$6:$B$38,2,FALSE)</f>
        <v>-1.0657812790446208</v>
      </c>
      <c r="H1138" t="s">
        <v>31</v>
      </c>
      <c r="I1138">
        <f>VLOOKUP(Table4[[#This Row],[Visitor]],'NHL Model'!$A$6:$B$38,2,FALSE)</f>
        <v>0.17870302183926629</v>
      </c>
      <c r="J1138">
        <f>($B$1+Table4[[#This Row],[Home Differential]])-Table4[[#This Row],[Away Differential]]</f>
        <v>-1.1945835519607246</v>
      </c>
      <c r="K1138" t="str">
        <f>IF(Table4[[#This Row],[HomeIce Differential]]&gt;0,Table4[[#This Row],[Home]],Table4[[#This Row],[Visitor]])</f>
        <v>Anaheim Ducks</v>
      </c>
      <c r="L1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0.62025449125554588</v>
      </c>
      <c r="M1138" t="str">
        <f>IF(OR((NHL2025_26Results[[#This Row],[Winning Team]]="")),"-",IF(Table4[[#This Row],[Predicted Winner]]=NHL2025_26Results[[#This Row],[Winning Team]],"YES","NO"))</f>
        <v>-</v>
      </c>
      <c r="N1138" t="str">
        <f>IF(Table4[[#This Row],[Adjusted Correct]]="-", "",IF(Table4[[#This Row],[Adjusted Correct]]="YES",(Table4[[#This Row],[Strength of Win]]-1)^2,(Table4[[#This Row],[Strength of Win]]-0)^2))</f>
        <v/>
      </c>
      <c r="P1138" s="11"/>
    </row>
    <row r="1139" spans="4:16" x14ac:dyDescent="0.2">
      <c r="D1139" s="1">
        <v>46107</v>
      </c>
      <c r="E1139" s="2">
        <v>0.79166666666666663</v>
      </c>
      <c r="F1139" t="s">
        <v>11</v>
      </c>
      <c r="G1139">
        <f>VLOOKUP(Table4[[#This Row],[Home]],'NHL Model'!$A$6:$B$38,2,FALSE)</f>
        <v>-0.39711829106410657</v>
      </c>
      <c r="H1139" t="s">
        <v>34</v>
      </c>
      <c r="I1139">
        <f>VLOOKUP(Table4[[#This Row],[Visitor]],'NHL Model'!$A$6:$B$38,2,FALSE)</f>
        <v>-5.5124787449478845E-2</v>
      </c>
      <c r="J1139">
        <f>($B$1+Table4[[#This Row],[Home Differential]])-Table4[[#This Row],[Away Differential]]</f>
        <v>-0.29209275469146523</v>
      </c>
      <c r="K1139" t="str">
        <f>IF(Table4[[#This Row],[HomeIce Differential]]&gt;0,Table4[[#This Row],[Home]],Table4[[#This Row],[Visitor]])</f>
        <v>Minnesota Wild</v>
      </c>
      <c r="L1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0.52247823311486485</v>
      </c>
      <c r="M1139" t="str">
        <f>IF(OR((NHL2025_26Results[[#This Row],[Winning Team]]="")),"-",IF(Table4[[#This Row],[Predicted Winner]]=NHL2025_26Results[[#This Row],[Winning Team]],"YES","NO"))</f>
        <v>-</v>
      </c>
      <c r="N1139" t="str">
        <f>IF(Table4[[#This Row],[Adjusted Correct]]="-", "",IF(Table4[[#This Row],[Adjusted Correct]]="YES",(Table4[[#This Row],[Strength of Win]]-1)^2,(Table4[[#This Row],[Strength of Win]]-0)^2))</f>
        <v/>
      </c>
      <c r="P1139" s="11"/>
    </row>
    <row r="1140" spans="4:16" x14ac:dyDescent="0.2">
      <c r="D1140" s="1">
        <v>46107</v>
      </c>
      <c r="E1140" s="2">
        <v>0.79166666666666663</v>
      </c>
      <c r="F1140" t="s">
        <v>18</v>
      </c>
      <c r="G1140">
        <f>VLOOKUP(Table4[[#This Row],[Home]],'NHL Model'!$A$6:$B$38,2,FALSE)</f>
        <v>-0.59288962827382519</v>
      </c>
      <c r="H1140" t="s">
        <v>28</v>
      </c>
      <c r="I1140">
        <f>VLOOKUP(Table4[[#This Row],[Visitor]],'NHL Model'!$A$6:$B$38,2,FALSE)</f>
        <v>-0.59498940435054026</v>
      </c>
      <c r="J1140">
        <f>($B$1+Table4[[#This Row],[Home Differential]])-Table4[[#This Row],[Away Differential]]</f>
        <v>5.2000524999877507E-2</v>
      </c>
      <c r="K1140" t="str">
        <f>IF(Table4[[#This Row],[HomeIce Differential]]&gt;0,Table4[[#This Row],[Home]],Table4[[#This Row],[Visitor]])</f>
        <v>Montreal Canadiens</v>
      </c>
      <c r="L1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0.54249566982631203</v>
      </c>
      <c r="M1140" t="str">
        <f>IF(OR((NHL2025_26Results[[#This Row],[Winning Team]]="")),"-",IF(Table4[[#This Row],[Predicted Winner]]=NHL2025_26Results[[#This Row],[Winning Team]],"YES","NO"))</f>
        <v>-</v>
      </c>
      <c r="N1140" t="str">
        <f>IF(Table4[[#This Row],[Adjusted Correct]]="-", "",IF(Table4[[#This Row],[Adjusted Correct]]="YES",(Table4[[#This Row],[Strength of Win]]-1)^2,(Table4[[#This Row],[Strength of Win]]-0)^2))</f>
        <v/>
      </c>
      <c r="P1140" s="11"/>
    </row>
    <row r="1141" spans="4:16" x14ac:dyDescent="0.2">
      <c r="D1141" s="1">
        <v>46107</v>
      </c>
      <c r="E1141" s="2">
        <v>0.83333333333333337</v>
      </c>
      <c r="F1141" t="s">
        <v>29</v>
      </c>
      <c r="G1141">
        <f>VLOOKUP(Table4[[#This Row],[Home]],'NHL Model'!$A$6:$B$38,2,FALSE)</f>
        <v>-1.384917283810061</v>
      </c>
      <c r="H1141" t="s">
        <v>24</v>
      </c>
      <c r="I1141">
        <f>VLOOKUP(Table4[[#This Row],[Visitor]],'NHL Model'!$A$6:$B$38,2,FALSE)</f>
        <v>1.5302507646042616E-3</v>
      </c>
      <c r="J1141">
        <f>($B$1+Table4[[#This Row],[Home Differential]])-Table4[[#This Row],[Away Differential]]</f>
        <v>-1.3365467856515028</v>
      </c>
      <c r="K1141" t="str">
        <f>IF(Table4[[#This Row],[HomeIce Differential]]&gt;0,Table4[[#This Row],[Home]],Table4[[#This Row],[Visitor]])</f>
        <v>New Jersey Devils</v>
      </c>
      <c r="L1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0.63683079401673515</v>
      </c>
      <c r="M1141" t="str">
        <f>IF(OR((NHL2025_26Results[[#This Row],[Winning Team]]="")),"-",IF(Table4[[#This Row],[Predicted Winner]]=NHL2025_26Results[[#This Row],[Winning Team]],"YES","NO"))</f>
        <v>-</v>
      </c>
      <c r="N1141" t="str">
        <f>IF(Table4[[#This Row],[Adjusted Correct]]="-", "",IF(Table4[[#This Row],[Adjusted Correct]]="YES",(Table4[[#This Row],[Strength of Win]]-1)^2,(Table4[[#This Row],[Strength of Win]]-0)^2))</f>
        <v/>
      </c>
      <c r="P1141" s="11"/>
    </row>
    <row r="1142" spans="4:16" x14ac:dyDescent="0.2">
      <c r="D1142" s="1">
        <v>46107</v>
      </c>
      <c r="E1142" s="2">
        <v>0.79166666666666663</v>
      </c>
      <c r="F1142" t="s">
        <v>30</v>
      </c>
      <c r="G1142">
        <f>VLOOKUP(Table4[[#This Row],[Home]],'NHL Model'!$A$6:$B$38,2,FALSE)</f>
        <v>-0.24093199744133265</v>
      </c>
      <c r="H1142" t="s">
        <v>39</v>
      </c>
      <c r="I1142">
        <f>VLOOKUP(Table4[[#This Row],[Visitor]],'NHL Model'!$A$6:$B$38,2,FALSE)</f>
        <v>0.41344250185511977</v>
      </c>
      <c r="J1142">
        <f>($B$1+Table4[[#This Row],[Home Differential]])-Table4[[#This Row],[Away Differential]]</f>
        <v>-0.60447375037328999</v>
      </c>
      <c r="K1142" t="str">
        <f>IF(Table4[[#This Row],[HomeIce Differential]]&gt;0,Table4[[#This Row],[Home]],Table4[[#This Row],[Visitor]])</f>
        <v>Dallas Stars</v>
      </c>
      <c r="L1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0.63237898456089747</v>
      </c>
      <c r="M1142" t="str">
        <f>IF(OR((NHL2025_26Results[[#This Row],[Winning Team]]="")),"-",IF(Table4[[#This Row],[Predicted Winner]]=NHL2025_26Results[[#This Row],[Winning Team]],"YES","NO"))</f>
        <v>-</v>
      </c>
      <c r="N1142" t="str">
        <f>IF(Table4[[#This Row],[Adjusted Correct]]="-", "",IF(Table4[[#This Row],[Adjusted Correct]]="YES",(Table4[[#This Row],[Strength of Win]]-1)^2,(Table4[[#This Row],[Strength of Win]]-0)^2))</f>
        <v/>
      </c>
      <c r="P1142" s="11"/>
    </row>
    <row r="1143" spans="4:16" x14ac:dyDescent="0.2">
      <c r="D1143" s="1">
        <v>46107</v>
      </c>
      <c r="E1143" s="2">
        <v>0.79166666666666663</v>
      </c>
      <c r="F1143" t="s">
        <v>36</v>
      </c>
      <c r="G1143">
        <f>VLOOKUP(Table4[[#This Row],[Home]],'NHL Model'!$A$6:$B$38,2,FALSE)</f>
        <v>-0.53137605086483863</v>
      </c>
      <c r="H1143" t="s">
        <v>14</v>
      </c>
      <c r="I1143">
        <f>VLOOKUP(Table4[[#This Row],[Visitor]],'NHL Model'!$A$6:$B$38,2,FALSE)</f>
        <v>-0.14226422156549004</v>
      </c>
      <c r="J1143">
        <f>($B$1+Table4[[#This Row],[Home Differential]])-Table4[[#This Row],[Away Differential]]</f>
        <v>-0.33921108037618608</v>
      </c>
      <c r="K1143" t="str">
        <f>IF(Table4[[#This Row],[HomeIce Differential]]&gt;0,Table4[[#This Row],[Home]],Table4[[#This Row],[Visitor]])</f>
        <v>Pittsburgh Penguins</v>
      </c>
      <c r="L1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0.5363820935805419</v>
      </c>
      <c r="M1143" t="str">
        <f>IF(OR((NHL2025_26Results[[#This Row],[Winning Team]]="")),"-",IF(Table4[[#This Row],[Predicted Winner]]=NHL2025_26Results[[#This Row],[Winning Team]],"YES","NO"))</f>
        <v>-</v>
      </c>
      <c r="N1143" t="str">
        <f>IF(Table4[[#This Row],[Adjusted Correct]]="-", "",IF(Table4[[#This Row],[Adjusted Correct]]="YES",(Table4[[#This Row],[Strength of Win]]-1)^2,(Table4[[#This Row],[Strength of Win]]-0)^2))</f>
        <v/>
      </c>
      <c r="P1143" s="11"/>
    </row>
    <row r="1144" spans="4:16" x14ac:dyDescent="0.2">
      <c r="D1144" s="1">
        <v>46107</v>
      </c>
      <c r="E1144" s="2">
        <v>0.79166666666666663</v>
      </c>
      <c r="F1144" t="s">
        <v>27</v>
      </c>
      <c r="G1144">
        <f>VLOOKUP(Table4[[#This Row],[Home]],'NHL Model'!$A$6:$B$38,2,FALSE)</f>
        <v>-0.38023958350631604</v>
      </c>
      <c r="H1144" t="s">
        <v>10</v>
      </c>
      <c r="I1144">
        <f>VLOOKUP(Table4[[#This Row],[Visitor]],'NHL Model'!$A$6:$B$38,2,FALSE)</f>
        <v>-0.17619625518431364</v>
      </c>
      <c r="J1144">
        <f>($B$1+Table4[[#This Row],[Home Differential]])-Table4[[#This Row],[Away Differential]]</f>
        <v>-0.15414257939883991</v>
      </c>
      <c r="K1144" t="str">
        <f>IF(Table4[[#This Row],[HomeIce Differential]]&gt;0,Table4[[#This Row],[Home]],Table4[[#This Row],[Visitor]])</f>
        <v>Chicago Blackhawks</v>
      </c>
      <c r="L1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0.46398180062830402</v>
      </c>
      <c r="M1144" t="str">
        <f>IF(OR((NHL2025_26Results[[#This Row],[Winning Team]]="")),"-",IF(Table4[[#This Row],[Predicted Winner]]=NHL2025_26Results[[#This Row],[Winning Team]],"YES","NO"))</f>
        <v>-</v>
      </c>
      <c r="N1144" t="str">
        <f>IF(Table4[[#This Row],[Adjusted Correct]]="-", "",IF(Table4[[#This Row],[Adjusted Correct]]="YES",(Table4[[#This Row],[Strength of Win]]-1)^2,(Table4[[#This Row],[Strength of Win]]-0)^2))</f>
        <v/>
      </c>
      <c r="P1144" s="11"/>
    </row>
    <row r="1145" spans="4:16" x14ac:dyDescent="0.2">
      <c r="D1145" s="1">
        <v>46107</v>
      </c>
      <c r="E1145" s="2">
        <v>0.83333333333333337</v>
      </c>
      <c r="F1145" t="s">
        <v>35</v>
      </c>
      <c r="G1145">
        <f>VLOOKUP(Table4[[#This Row],[Home]],'NHL Model'!$A$6:$B$38,2,FALSE)</f>
        <v>-1.3944783719477225</v>
      </c>
      <c r="H1145" t="s">
        <v>33</v>
      </c>
      <c r="I1145">
        <f>VLOOKUP(Table4[[#This Row],[Visitor]],'NHL Model'!$A$6:$B$38,2,FALSE)</f>
        <v>-0.45133099238224339</v>
      </c>
      <c r="J1145">
        <f>($B$1+Table4[[#This Row],[Home Differential]])-Table4[[#This Row],[Away Differential]]</f>
        <v>-0.89324663064231669</v>
      </c>
      <c r="K1145" t="str">
        <f>IF(Table4[[#This Row],[HomeIce Differential]]&gt;0,Table4[[#This Row],[Home]],Table4[[#This Row],[Visitor]])</f>
        <v>San Jose Sharks</v>
      </c>
      <c r="L1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0.56429972750684865</v>
      </c>
      <c r="M1145" t="str">
        <f>IF(OR((NHL2025_26Results[[#This Row],[Winning Team]]="")),"-",IF(Table4[[#This Row],[Predicted Winner]]=NHL2025_26Results[[#This Row],[Winning Team]],"YES","NO"))</f>
        <v>-</v>
      </c>
      <c r="N1145" t="str">
        <f>IF(Table4[[#This Row],[Adjusted Correct]]="-", "",IF(Table4[[#This Row],[Adjusted Correct]]="YES",(Table4[[#This Row],[Strength of Win]]-1)^2,(Table4[[#This Row],[Strength of Win]]-0)^2))</f>
        <v/>
      </c>
      <c r="P1145" s="11"/>
    </row>
    <row r="1146" spans="4:16" x14ac:dyDescent="0.2">
      <c r="D1146" s="1">
        <v>46107</v>
      </c>
      <c r="E1146" s="2">
        <v>0.79166666666666663</v>
      </c>
      <c r="F1146" t="s">
        <v>37</v>
      </c>
      <c r="G1146">
        <f>VLOOKUP(Table4[[#This Row],[Home]],'NHL Model'!$A$6:$B$38,2,FALSE)</f>
        <v>0.51050494674660429</v>
      </c>
      <c r="H1146" t="s">
        <v>32</v>
      </c>
      <c r="I1146">
        <f>VLOOKUP(Table4[[#This Row],[Visitor]],'NHL Model'!$A$6:$B$38,2,FALSE)</f>
        <v>-0.64937723527808999</v>
      </c>
      <c r="J1146">
        <f>($B$1+Table4[[#This Row],[Home Differential]])-Table4[[#This Row],[Away Differential]]</f>
        <v>1.2097829309478567</v>
      </c>
      <c r="K1146" t="str">
        <f>IF(Table4[[#This Row],[HomeIce Differential]]&gt;0,Table4[[#This Row],[Home]],Table4[[#This Row],[Visitor]])</f>
        <v>Tampa Bay Lightning</v>
      </c>
      <c r="L1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0.7135060781181839</v>
      </c>
      <c r="M1146" t="str">
        <f>IF(OR((NHL2025_26Results[[#This Row],[Winning Team]]="")),"-",IF(Table4[[#This Row],[Predicted Winner]]=NHL2025_26Results[[#This Row],[Winning Team]],"YES","NO"))</f>
        <v>-</v>
      </c>
      <c r="N1146" t="str">
        <f>IF(Table4[[#This Row],[Adjusted Correct]]="-", "",IF(Table4[[#This Row],[Adjusted Correct]]="YES",(Table4[[#This Row],[Strength of Win]]-1)^2,(Table4[[#This Row],[Strength of Win]]-0)^2))</f>
        <v/>
      </c>
      <c r="P1146" s="11"/>
    </row>
    <row r="1147" spans="4:16" x14ac:dyDescent="0.2">
      <c r="D1147" s="1">
        <v>46107</v>
      </c>
      <c r="E1147" s="2">
        <v>0.875</v>
      </c>
      <c r="F1147" t="s">
        <v>55</v>
      </c>
      <c r="G1147">
        <f>VLOOKUP(Table4[[#This Row],[Home]],'NHL Model'!$A$6:$B$38,2,FALSE)</f>
        <v>-0.4031232890211825</v>
      </c>
      <c r="H1147" t="s">
        <v>22</v>
      </c>
      <c r="I1147">
        <f>VLOOKUP(Table4[[#This Row],[Visitor]],'NHL Model'!$A$6:$B$38,2,FALSE)</f>
        <v>0.4407072328537569</v>
      </c>
      <c r="J1147">
        <f>($B$1+Table4[[#This Row],[Home Differential]])-Table4[[#This Row],[Away Differential]]</f>
        <v>-0.79392977295177691</v>
      </c>
      <c r="K1147" t="str">
        <f>IF(Table4[[#This Row],[HomeIce Differential]]&gt;0,Table4[[#This Row],[Home]],Table4[[#This Row],[Visitor]])</f>
        <v>Washington Capitals</v>
      </c>
      <c r="L1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0.55424148009773655</v>
      </c>
      <c r="M1147" t="str">
        <f>IF(OR((NHL2025_26Results[[#This Row],[Winning Team]]="")),"-",IF(Table4[[#This Row],[Predicted Winner]]=NHL2025_26Results[[#This Row],[Winning Team]],"YES","NO"))</f>
        <v>-</v>
      </c>
      <c r="N1147" t="str">
        <f>IF(Table4[[#This Row],[Adjusted Correct]]="-", "",IF(Table4[[#This Row],[Adjusted Correct]]="YES",(Table4[[#This Row],[Strength of Win]]-1)^2,(Table4[[#This Row],[Strength of Win]]-0)^2))</f>
        <v/>
      </c>
      <c r="P1147" s="11"/>
    </row>
    <row r="1148" spans="4:16" x14ac:dyDescent="0.2">
      <c r="D1148" s="1">
        <v>46107</v>
      </c>
      <c r="E1148" s="2">
        <v>0.91666666666666663</v>
      </c>
      <c r="F1148" t="s">
        <v>38</v>
      </c>
      <c r="G1148">
        <f>VLOOKUP(Table4[[#This Row],[Home]],'NHL Model'!$A$6:$B$38,2,FALSE)</f>
        <v>-0.9476777551108041</v>
      </c>
      <c r="H1148" t="s">
        <v>13</v>
      </c>
      <c r="I1148">
        <f>VLOOKUP(Table4[[#This Row],[Visitor]],'NHL Model'!$A$6:$B$38,2,FALSE)</f>
        <v>-0.33828359867721369</v>
      </c>
      <c r="J1148">
        <f>($B$1+Table4[[#This Row],[Home Differential]])-Table4[[#This Row],[Away Differential]]</f>
        <v>-0.55949340751042798</v>
      </c>
      <c r="K1148" t="str">
        <f>IF(Table4[[#This Row],[HomeIce Differential]]&gt;0,Table4[[#This Row],[Home]],Table4[[#This Row],[Visitor]])</f>
        <v>Los Angeles Kings</v>
      </c>
      <c r="L1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0.59164490233387368</v>
      </c>
      <c r="M1148" t="str">
        <f>IF(OR((NHL2025_26Results[[#This Row],[Winning Team]]="")),"-",IF(Table4[[#This Row],[Predicted Winner]]=NHL2025_26Results[[#This Row],[Winning Team]],"YES","NO"))</f>
        <v>-</v>
      </c>
      <c r="N1148" t="str">
        <f>IF(Table4[[#This Row],[Adjusted Correct]]="-", "",IF(Table4[[#This Row],[Adjusted Correct]]="YES",(Table4[[#This Row],[Strength of Win]]-1)^2,(Table4[[#This Row],[Strength of Win]]-0)^2))</f>
        <v/>
      </c>
      <c r="P1148" s="11"/>
    </row>
    <row r="1149" spans="4:16" x14ac:dyDescent="0.2">
      <c r="D1149" s="1">
        <v>46107</v>
      </c>
      <c r="E1149" s="2">
        <v>0.89583333333333337</v>
      </c>
      <c r="F1149" t="s">
        <v>20</v>
      </c>
      <c r="G1149">
        <f>VLOOKUP(Table4[[#This Row],[Home]],'NHL Model'!$A$6:$B$38,2,FALSE)</f>
        <v>-0.24444083032063643</v>
      </c>
      <c r="H1149" t="s">
        <v>17</v>
      </c>
      <c r="I1149">
        <f>VLOOKUP(Table4[[#This Row],[Visitor]],'NHL Model'!$A$6:$B$38,2,FALSE)</f>
        <v>-0.81774666423752174</v>
      </c>
      <c r="J1149">
        <f>($B$1+Table4[[#This Row],[Home Differential]])-Table4[[#This Row],[Away Differential]]</f>
        <v>0.62320658284004771</v>
      </c>
      <c r="K1149" t="str">
        <f>IF(Table4[[#This Row],[HomeIce Differential]]&gt;0,Table4[[#This Row],[Home]],Table4[[#This Row],[Visitor]])</f>
        <v>Vegas Golden Knights</v>
      </c>
      <c r="L1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0.61276856641927757</v>
      </c>
      <c r="M1149" t="str">
        <f>IF(OR((NHL2025_26Results[[#This Row],[Winning Team]]="")),"-",IF(Table4[[#This Row],[Predicted Winner]]=NHL2025_26Results[[#This Row],[Winning Team]],"YES","NO"))</f>
        <v>-</v>
      </c>
      <c r="N1149" t="str">
        <f>IF(Table4[[#This Row],[Adjusted Correct]]="-", "",IF(Table4[[#This Row],[Adjusted Correct]]="YES",(Table4[[#This Row],[Strength of Win]]-1)^2,(Table4[[#This Row],[Strength of Win]]-0)^2))</f>
        <v/>
      </c>
      <c r="P1149" s="11"/>
    </row>
    <row r="1150" spans="4:16" x14ac:dyDescent="0.2">
      <c r="D1150" s="1">
        <v>46107</v>
      </c>
      <c r="E1150" s="2">
        <v>0.83333333333333337</v>
      </c>
      <c r="F1150" t="s">
        <v>40</v>
      </c>
      <c r="G1150">
        <f>VLOOKUP(Table4[[#This Row],[Home]],'NHL Model'!$A$6:$B$38,2,FALSE)</f>
        <v>-0.31324182378279158</v>
      </c>
      <c r="H1150" t="s">
        <v>12</v>
      </c>
      <c r="I1150">
        <f>VLOOKUP(Table4[[#This Row],[Visitor]],'NHL Model'!$A$6:$B$38,2,FALSE)</f>
        <v>1.6319036584269762</v>
      </c>
      <c r="J1150">
        <f>($B$1+Table4[[#This Row],[Home Differential]])-Table4[[#This Row],[Away Differential]]</f>
        <v>-1.8952447332866051</v>
      </c>
      <c r="K1150" t="str">
        <f>IF(Table4[[#This Row],[HomeIce Differential]]&gt;0,Table4[[#This Row],[Home]],Table4[[#This Row],[Visitor]])</f>
        <v>Colorado Avalanche</v>
      </c>
      <c r="L1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0.75141827635481073</v>
      </c>
      <c r="M1150" t="str">
        <f>IF(OR((NHL2025_26Results[[#This Row],[Winning Team]]="")),"-",IF(Table4[[#This Row],[Predicted Winner]]=NHL2025_26Results[[#This Row],[Winning Team]],"YES","NO"))</f>
        <v>-</v>
      </c>
      <c r="N1150" t="str">
        <f>IF(Table4[[#This Row],[Adjusted Correct]]="-", "",IF(Table4[[#This Row],[Adjusted Correct]]="YES",(Table4[[#This Row],[Strength of Win]]-1)^2,(Table4[[#This Row],[Strength of Win]]-0)^2))</f>
        <v/>
      </c>
      <c r="P1150" s="11"/>
    </row>
    <row r="1151" spans="4:16" x14ac:dyDescent="0.2">
      <c r="D1151" s="1">
        <v>46108</v>
      </c>
      <c r="E1151" s="2">
        <v>0.79166666666666663</v>
      </c>
      <c r="F1151" t="s">
        <v>23</v>
      </c>
      <c r="G1151">
        <f>VLOOKUP(Table4[[#This Row],[Home]],'NHL Model'!$A$6:$B$38,2,FALSE)</f>
        <v>-0.4761104357405897</v>
      </c>
      <c r="H1151" t="s">
        <v>26</v>
      </c>
      <c r="I1151">
        <f>VLOOKUP(Table4[[#This Row],[Visitor]],'NHL Model'!$A$6:$B$38,2,FALSE)</f>
        <v>-0.87533956503230947</v>
      </c>
      <c r="J1151">
        <f>($B$1+Table4[[#This Row],[Home Differential]])-Table4[[#This Row],[Away Differential]]</f>
        <v>0.44912987821488226</v>
      </c>
      <c r="K1151" t="str">
        <f>IF(Table4[[#This Row],[HomeIce Differential]]&gt;0,Table4[[#This Row],[Home]],Table4[[#This Row],[Visitor]])</f>
        <v>Buffalo Sabres</v>
      </c>
      <c r="L1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0.60256479135424768</v>
      </c>
      <c r="M1151" t="str">
        <f>IF(OR((NHL2025_26Results[[#This Row],[Winning Team]]="")),"-",IF(Table4[[#This Row],[Predicted Winner]]=NHL2025_26Results[[#This Row],[Winning Team]],"YES","NO"))</f>
        <v>-</v>
      </c>
      <c r="N1151" t="str">
        <f>IF(Table4[[#This Row],[Adjusted Correct]]="-", "",IF(Table4[[#This Row],[Adjusted Correct]]="YES",(Table4[[#This Row],[Strength of Win]]-1)^2,(Table4[[#This Row],[Strength of Win]]-0)^2))</f>
        <v/>
      </c>
      <c r="P1151" s="11"/>
    </row>
    <row r="1152" spans="4:16" x14ac:dyDescent="0.2">
      <c r="D1152" s="1">
        <v>46108</v>
      </c>
      <c r="E1152" s="2">
        <v>0.79166666666666663</v>
      </c>
      <c r="F1152" t="s">
        <v>15</v>
      </c>
      <c r="G1152">
        <f>VLOOKUP(Table4[[#This Row],[Home]],'NHL Model'!$A$6:$B$38,2,FALSE)</f>
        <v>-0.29003398448394263</v>
      </c>
      <c r="H1152" t="s">
        <v>10</v>
      </c>
      <c r="I1152">
        <f>VLOOKUP(Table4[[#This Row],[Visitor]],'NHL Model'!$A$6:$B$38,2,FALSE)</f>
        <v>-0.17619625518431364</v>
      </c>
      <c r="J1152">
        <f>($B$1+Table4[[#This Row],[Home Differential]])-Table4[[#This Row],[Away Differential]]</f>
        <v>-6.3936980376466529E-2</v>
      </c>
      <c r="K1152" t="str">
        <f>IF(Table4[[#This Row],[HomeIce Differential]]&gt;0,Table4[[#This Row],[Home]],Table4[[#This Row],[Visitor]])</f>
        <v>Chicago Blackhawks</v>
      </c>
      <c r="L1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0.46746558610143418</v>
      </c>
      <c r="M1152" t="str">
        <f>IF(OR((NHL2025_26Results[[#This Row],[Winning Team]]="")),"-",IF(Table4[[#This Row],[Predicted Winner]]=NHL2025_26Results[[#This Row],[Winning Team]],"YES","NO"))</f>
        <v>-</v>
      </c>
      <c r="N1152" t="str">
        <f>IF(Table4[[#This Row],[Adjusted Correct]]="-", "",IF(Table4[[#This Row],[Adjusted Correct]]="YES",(Table4[[#This Row],[Strength of Win]]-1)^2,(Table4[[#This Row],[Strength of Win]]-0)^2))</f>
        <v/>
      </c>
      <c r="P1152" s="11"/>
    </row>
    <row r="1153" spans="4:16" x14ac:dyDescent="0.2">
      <c r="D1153" s="1">
        <v>46109</v>
      </c>
      <c r="E1153" s="2">
        <v>0.70833333333333337</v>
      </c>
      <c r="F1153" t="s">
        <v>21</v>
      </c>
      <c r="G1153">
        <f>VLOOKUP(Table4[[#This Row],[Home]],'NHL Model'!$A$6:$B$38,2,FALSE)</f>
        <v>-0.21976976044773161</v>
      </c>
      <c r="H1153" t="s">
        <v>34</v>
      </c>
      <c r="I1153">
        <f>VLOOKUP(Table4[[#This Row],[Visitor]],'NHL Model'!$A$6:$B$38,2,FALSE)</f>
        <v>-5.5124787449478845E-2</v>
      </c>
      <c r="J1153">
        <f>($B$1+Table4[[#This Row],[Home Differential]])-Table4[[#This Row],[Away Differential]]</f>
        <v>-0.1147442240750903</v>
      </c>
      <c r="K1153" t="str">
        <f>IF(Table4[[#This Row],[HomeIce Differential]]&gt;0,Table4[[#This Row],[Home]],Table4[[#This Row],[Visitor]])</f>
        <v>Minnesota Wild</v>
      </c>
      <c r="L1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0.47241447510727014</v>
      </c>
      <c r="M1153" t="str">
        <f>IF(OR((NHL2025_26Results[[#This Row],[Winning Team]]="")),"-",IF(Table4[[#This Row],[Predicted Winner]]=NHL2025_26Results[[#This Row],[Winning Team]],"YES","NO"))</f>
        <v>-</v>
      </c>
      <c r="N1153" t="str">
        <f>IF(Table4[[#This Row],[Adjusted Correct]]="-", "",IF(Table4[[#This Row],[Adjusted Correct]]="YES",(Table4[[#This Row],[Strength of Win]]-1)^2,(Table4[[#This Row],[Strength of Win]]-0)^2))</f>
        <v/>
      </c>
      <c r="P1153" s="11"/>
    </row>
    <row r="1154" spans="4:16" x14ac:dyDescent="0.2">
      <c r="D1154" s="1">
        <v>46109</v>
      </c>
      <c r="E1154" s="2">
        <v>0.72916666666666663</v>
      </c>
      <c r="F1154" t="s">
        <v>23</v>
      </c>
      <c r="G1154">
        <f>VLOOKUP(Table4[[#This Row],[Home]],'NHL Model'!$A$6:$B$38,2,FALSE)</f>
        <v>-0.4761104357405897</v>
      </c>
      <c r="H1154" t="s">
        <v>32</v>
      </c>
      <c r="I1154">
        <f>VLOOKUP(Table4[[#This Row],[Visitor]],'NHL Model'!$A$6:$B$38,2,FALSE)</f>
        <v>-0.64937723527808999</v>
      </c>
      <c r="J1154">
        <f>($B$1+Table4[[#This Row],[Home Differential]])-Table4[[#This Row],[Away Differential]]</f>
        <v>0.22316754846066278</v>
      </c>
      <c r="K1154" t="str">
        <f>IF(Table4[[#This Row],[HomeIce Differential]]&gt;0,Table4[[#This Row],[Home]],Table4[[#This Row],[Visitor]])</f>
        <v>Buffalo Sabres</v>
      </c>
      <c r="L1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0.57618035438947501</v>
      </c>
      <c r="M1154" t="str">
        <f>IF(OR((NHL2025_26Results[[#This Row],[Winning Team]]="")),"-",IF(Table4[[#This Row],[Predicted Winner]]=NHL2025_26Results[[#This Row],[Winning Team]],"YES","NO"))</f>
        <v>-</v>
      </c>
      <c r="N1154" t="str">
        <f>IF(Table4[[#This Row],[Adjusted Correct]]="-", "",IF(Table4[[#This Row],[Adjusted Correct]]="YES",(Table4[[#This Row],[Strength of Win]]-1)^2,(Table4[[#This Row],[Strength of Win]]-0)^2))</f>
        <v/>
      </c>
      <c r="P1154" s="11"/>
    </row>
    <row r="1155" spans="4:16" x14ac:dyDescent="0.2">
      <c r="D1155" s="1">
        <v>46109</v>
      </c>
      <c r="E1155" s="2">
        <v>0.70833333333333337</v>
      </c>
      <c r="F1155" t="s">
        <v>25</v>
      </c>
      <c r="G1155">
        <f>VLOOKUP(Table4[[#This Row],[Home]],'NHL Model'!$A$6:$B$38,2,FALSE)</f>
        <v>0.42567513732855267</v>
      </c>
      <c r="H1155" t="s">
        <v>24</v>
      </c>
      <c r="I1155">
        <f>VLOOKUP(Table4[[#This Row],[Visitor]],'NHL Model'!$A$6:$B$38,2,FALSE)</f>
        <v>1.5302507646042616E-3</v>
      </c>
      <c r="J1155">
        <f>($B$1+Table4[[#This Row],[Home Differential]])-Table4[[#This Row],[Away Differential]]</f>
        <v>0.47404563548711087</v>
      </c>
      <c r="K1155" t="str">
        <f>IF(Table4[[#This Row],[HomeIce Differential]]&gt;0,Table4[[#This Row],[Home]],Table4[[#This Row],[Visitor]])</f>
        <v>Carolina Hurricanes</v>
      </c>
      <c r="L1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0.62678039578593081</v>
      </c>
      <c r="M1155" t="str">
        <f>IF(OR((NHL2025_26Results[[#This Row],[Winning Team]]="")),"-",IF(Table4[[#This Row],[Predicted Winner]]=NHL2025_26Results[[#This Row],[Winning Team]],"YES","NO"))</f>
        <v>-</v>
      </c>
      <c r="N1155" t="str">
        <f>IF(Table4[[#This Row],[Adjusted Correct]]="-", "",IF(Table4[[#This Row],[Adjusted Correct]]="YES",(Table4[[#This Row],[Strength of Win]]-1)^2,(Table4[[#This Row],[Strength of Win]]-0)^2))</f>
        <v/>
      </c>
      <c r="P1155" s="11"/>
    </row>
    <row r="1156" spans="4:16" x14ac:dyDescent="0.2">
      <c r="D1156" s="1">
        <v>46109</v>
      </c>
      <c r="E1156" s="2">
        <v>0.70833333333333337</v>
      </c>
      <c r="F1156" t="s">
        <v>28</v>
      </c>
      <c r="G1156">
        <f>VLOOKUP(Table4[[#This Row],[Home]],'NHL Model'!$A$6:$B$38,2,FALSE)</f>
        <v>-0.59498940435054026</v>
      </c>
      <c r="H1156" t="s">
        <v>33</v>
      </c>
      <c r="I1156">
        <f>VLOOKUP(Table4[[#This Row],[Visitor]],'NHL Model'!$A$6:$B$38,2,FALSE)</f>
        <v>-0.45133099238224339</v>
      </c>
      <c r="J1156">
        <f>($B$1+Table4[[#This Row],[Home Differential]])-Table4[[#This Row],[Away Differential]]</f>
        <v>-9.3757663045134443E-2</v>
      </c>
      <c r="K1156" t="str">
        <f>IF(Table4[[#This Row],[HomeIce Differential]]&gt;0,Table4[[#This Row],[Home]],Table4[[#This Row],[Visitor]])</f>
        <v>San Jose Sharks</v>
      </c>
      <c r="L1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0.47094759092486543</v>
      </c>
      <c r="M1156" t="str">
        <f>IF(OR((NHL2025_26Results[[#This Row],[Winning Team]]="")),"-",IF(Table4[[#This Row],[Predicted Winner]]=NHL2025_26Results[[#This Row],[Winning Team]],"YES","NO"))</f>
        <v>-</v>
      </c>
      <c r="N1156" t="str">
        <f>IF(Table4[[#This Row],[Adjusted Correct]]="-", "",IF(Table4[[#This Row],[Adjusted Correct]]="YES",(Table4[[#This Row],[Strength of Win]]-1)^2,(Table4[[#This Row],[Strength of Win]]-0)^2))</f>
        <v/>
      </c>
      <c r="P1156" s="11"/>
    </row>
    <row r="1157" spans="4:16" x14ac:dyDescent="0.2">
      <c r="D1157" s="1">
        <v>46109</v>
      </c>
      <c r="E1157" s="2">
        <v>0.91666666666666663</v>
      </c>
      <c r="F1157" t="s">
        <v>16</v>
      </c>
      <c r="G1157">
        <f>VLOOKUP(Table4[[#This Row],[Home]],'NHL Model'!$A$6:$B$38,2,FALSE)</f>
        <v>-1.0657812790446208</v>
      </c>
      <c r="H1157" t="s">
        <v>38</v>
      </c>
      <c r="I1157">
        <f>VLOOKUP(Table4[[#This Row],[Visitor]],'NHL Model'!$A$6:$B$38,2,FALSE)</f>
        <v>-0.9476777551108041</v>
      </c>
      <c r="J1157">
        <f>($B$1+Table4[[#This Row],[Home Differential]])-Table4[[#This Row],[Away Differential]]</f>
        <v>-6.8202775010654304E-2</v>
      </c>
      <c r="K1157" t="str">
        <f>IF(Table4[[#This Row],[HomeIce Differential]]&gt;0,Table4[[#This Row],[Home]],Table4[[#This Row],[Visitor]])</f>
        <v>Vancouver Canucks</v>
      </c>
      <c r="L1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0.47153983952400824</v>
      </c>
      <c r="M1157" t="str">
        <f>IF(OR((NHL2025_26Results[[#This Row],[Winning Team]]="")),"-",IF(Table4[[#This Row],[Predicted Winner]]=NHL2025_26Results[[#This Row],[Winning Team]],"YES","NO"))</f>
        <v>-</v>
      </c>
      <c r="N1157" t="str">
        <f>IF(Table4[[#This Row],[Adjusted Correct]]="-", "",IF(Table4[[#This Row],[Adjusted Correct]]="YES",(Table4[[#This Row],[Strength of Win]]-1)^2,(Table4[[#This Row],[Strength of Win]]-0)^2))</f>
        <v/>
      </c>
      <c r="P1157" s="11"/>
    </row>
    <row r="1158" spans="4:16" x14ac:dyDescent="0.2">
      <c r="D1158" s="1">
        <v>46109</v>
      </c>
      <c r="E1158" s="2">
        <v>0.79166666666666663</v>
      </c>
      <c r="F1158" t="s">
        <v>12</v>
      </c>
      <c r="G1158">
        <f>VLOOKUP(Table4[[#This Row],[Home]],'NHL Model'!$A$6:$B$38,2,FALSE)</f>
        <v>1.6319036584269762</v>
      </c>
      <c r="H1158" t="s">
        <v>40</v>
      </c>
      <c r="I1158">
        <f>VLOOKUP(Table4[[#This Row],[Visitor]],'NHL Model'!$A$6:$B$38,2,FALSE)</f>
        <v>-0.31324182378279158</v>
      </c>
      <c r="J1158">
        <f>($B$1+Table4[[#This Row],[Home Differential]])-Table4[[#This Row],[Away Differential]]</f>
        <v>1.9950462311329302</v>
      </c>
      <c r="K1158" t="str">
        <f>IF(Table4[[#This Row],[HomeIce Differential]]&gt;0,Table4[[#This Row],[Home]],Table4[[#This Row],[Visitor]])</f>
        <v>Colorado Avalanche</v>
      </c>
      <c r="L1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0.85795109226563959</v>
      </c>
      <c r="M1158" t="str">
        <f>IF(OR((NHL2025_26Results[[#This Row],[Winning Team]]="")),"-",IF(Table4[[#This Row],[Predicted Winner]]=NHL2025_26Results[[#This Row],[Winning Team]],"YES","NO"))</f>
        <v>-</v>
      </c>
      <c r="N1158" t="str">
        <f>IF(Table4[[#This Row],[Adjusted Correct]]="-", "",IF(Table4[[#This Row],[Adjusted Correct]]="YES",(Table4[[#This Row],[Strength of Win]]-1)^2,(Table4[[#This Row],[Strength of Win]]-0)^2))</f>
        <v/>
      </c>
      <c r="P1158" s="11"/>
    </row>
    <row r="1159" spans="4:16" x14ac:dyDescent="0.2">
      <c r="D1159" s="1">
        <v>46109</v>
      </c>
      <c r="E1159" s="2">
        <v>0.83333333333333337</v>
      </c>
      <c r="F1159" t="s">
        <v>26</v>
      </c>
      <c r="G1159">
        <f>VLOOKUP(Table4[[#This Row],[Home]],'NHL Model'!$A$6:$B$38,2,FALSE)</f>
        <v>-0.87533956503230947</v>
      </c>
      <c r="H1159" t="s">
        <v>27</v>
      </c>
      <c r="I1159">
        <f>VLOOKUP(Table4[[#This Row],[Visitor]],'NHL Model'!$A$6:$B$38,2,FALSE)</f>
        <v>-0.38023958350631604</v>
      </c>
      <c r="J1159">
        <f>($B$1+Table4[[#This Row],[Home Differential]])-Table4[[#This Row],[Away Differential]]</f>
        <v>-0.44519923260283101</v>
      </c>
      <c r="K1159" t="str">
        <f>IF(Table4[[#This Row],[HomeIce Differential]]&gt;0,Table4[[#This Row],[Home]],Table4[[#This Row],[Visitor]])</f>
        <v>Philadelphia Flyers</v>
      </c>
      <c r="L1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0.55449614389216906</v>
      </c>
      <c r="M1159" t="str">
        <f>IF(OR((NHL2025_26Results[[#This Row],[Winning Team]]="")),"-",IF(Table4[[#This Row],[Predicted Winner]]=NHL2025_26Results[[#This Row],[Winning Team]],"YES","NO"))</f>
        <v>-</v>
      </c>
      <c r="N1159" t="str">
        <f>IF(Table4[[#This Row],[Adjusted Correct]]="-", "",IF(Table4[[#This Row],[Adjusted Correct]]="YES",(Table4[[#This Row],[Strength of Win]]-1)^2,(Table4[[#This Row],[Strength of Win]]-0)^2))</f>
        <v/>
      </c>
      <c r="P1159" s="11"/>
    </row>
    <row r="1160" spans="4:16" x14ac:dyDescent="0.2">
      <c r="D1160" s="1">
        <v>46109</v>
      </c>
      <c r="E1160" s="2">
        <v>0.64583333333333337</v>
      </c>
      <c r="F1160" t="s">
        <v>17</v>
      </c>
      <c r="G1160">
        <f>VLOOKUP(Table4[[#This Row],[Home]],'NHL Model'!$A$6:$B$38,2,FALSE)</f>
        <v>-0.81774666423752174</v>
      </c>
      <c r="H1160" t="s">
        <v>31</v>
      </c>
      <c r="I1160">
        <f>VLOOKUP(Table4[[#This Row],[Visitor]],'NHL Model'!$A$6:$B$38,2,FALSE)</f>
        <v>0.17870302183926629</v>
      </c>
      <c r="J1160">
        <f>($B$1+Table4[[#This Row],[Home Differential]])-Table4[[#This Row],[Away Differential]]</f>
        <v>-0.94654893715362554</v>
      </c>
      <c r="K1160" t="str">
        <f>IF(Table4[[#This Row],[HomeIce Differential]]&gt;0,Table4[[#This Row],[Home]],Table4[[#This Row],[Visitor]])</f>
        <v>Anaheim Ducks</v>
      </c>
      <c r="L1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0.5842077690042573</v>
      </c>
      <c r="M1160" t="str">
        <f>IF(OR((NHL2025_26Results[[#This Row],[Winning Team]]="")),"-",IF(Table4[[#This Row],[Predicted Winner]]=NHL2025_26Results[[#This Row],[Winning Team]],"YES","NO"))</f>
        <v>-</v>
      </c>
      <c r="N1160" t="str">
        <f>IF(Table4[[#This Row],[Adjusted Correct]]="-", "",IF(Table4[[#This Row],[Adjusted Correct]]="YES",(Table4[[#This Row],[Strength of Win]]-1)^2,(Table4[[#This Row],[Strength of Win]]-0)^2))</f>
        <v/>
      </c>
      <c r="P1160" s="11"/>
    </row>
    <row r="1161" spans="4:16" x14ac:dyDescent="0.2">
      <c r="D1161" s="1">
        <v>46109</v>
      </c>
      <c r="E1161" s="2">
        <v>0.875</v>
      </c>
      <c r="F1161" t="s">
        <v>13</v>
      </c>
      <c r="G1161">
        <f>VLOOKUP(Table4[[#This Row],[Home]],'NHL Model'!$A$6:$B$38,2,FALSE)</f>
        <v>-0.33828359867721369</v>
      </c>
      <c r="H1161" t="s">
        <v>55</v>
      </c>
      <c r="I1161">
        <f>VLOOKUP(Table4[[#This Row],[Visitor]],'NHL Model'!$A$6:$B$38,2,FALSE)</f>
        <v>-0.4031232890211825</v>
      </c>
      <c r="J1161">
        <f>($B$1+Table4[[#This Row],[Home Differential]])-Table4[[#This Row],[Away Differential]]</f>
        <v>0.11474043926713129</v>
      </c>
      <c r="K1161" t="str">
        <f>IF(Table4[[#This Row],[HomeIce Differential]]&gt;0,Table4[[#This Row],[Home]],Table4[[#This Row],[Visitor]])</f>
        <v>Los Angeles Kings</v>
      </c>
      <c r="L1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0.55339763973245826</v>
      </c>
      <c r="M1161" t="str">
        <f>IF(OR((NHL2025_26Results[[#This Row],[Winning Team]]="")),"-",IF(Table4[[#This Row],[Predicted Winner]]=NHL2025_26Results[[#This Row],[Winning Team]],"YES","NO"))</f>
        <v>-</v>
      </c>
      <c r="N1161" t="str">
        <f>IF(Table4[[#This Row],[Adjusted Correct]]="-", "",IF(Table4[[#This Row],[Adjusted Correct]]="YES",(Table4[[#This Row],[Strength of Win]]-1)^2,(Table4[[#This Row],[Strength of Win]]-0)^2))</f>
        <v/>
      </c>
      <c r="P1161" s="11"/>
    </row>
    <row r="1162" spans="4:16" x14ac:dyDescent="0.2">
      <c r="D1162" s="1">
        <v>46109</v>
      </c>
      <c r="E1162" s="2">
        <v>0.79166666666666663</v>
      </c>
      <c r="F1162" t="s">
        <v>29</v>
      </c>
      <c r="G1162">
        <f>VLOOKUP(Table4[[#This Row],[Home]],'NHL Model'!$A$6:$B$38,2,FALSE)</f>
        <v>-1.384917283810061</v>
      </c>
      <c r="H1162" t="s">
        <v>18</v>
      </c>
      <c r="I1162">
        <f>VLOOKUP(Table4[[#This Row],[Visitor]],'NHL Model'!$A$6:$B$38,2,FALSE)</f>
        <v>-0.59288962827382519</v>
      </c>
      <c r="J1162">
        <f>($B$1+Table4[[#This Row],[Home Differential]])-Table4[[#This Row],[Away Differential]]</f>
        <v>-0.74212690661307334</v>
      </c>
      <c r="K1162" t="str">
        <f>IF(Table4[[#This Row],[HomeIce Differential]]&gt;0,Table4[[#This Row],[Home]],Table4[[#This Row],[Visitor]])</f>
        <v>Montreal Canadiens</v>
      </c>
      <c r="L1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0.60594210318638431</v>
      </c>
      <c r="M1162" t="str">
        <f>IF(OR((NHL2025_26Results[[#This Row],[Winning Team]]="")),"-",IF(Table4[[#This Row],[Predicted Winner]]=NHL2025_26Results[[#This Row],[Winning Team]],"YES","NO"))</f>
        <v>-</v>
      </c>
      <c r="N1162" t="str">
        <f>IF(Table4[[#This Row],[Adjusted Correct]]="-", "",IF(Table4[[#This Row],[Adjusted Correct]]="YES",(Table4[[#This Row],[Strength of Win]]-1)^2,(Table4[[#This Row],[Strength of Win]]-0)^2))</f>
        <v/>
      </c>
      <c r="P1162" s="11"/>
    </row>
    <row r="1163" spans="4:16" x14ac:dyDescent="0.2">
      <c r="D1163" s="1">
        <v>46109</v>
      </c>
      <c r="E1163" s="2">
        <v>0.54166666666666663</v>
      </c>
      <c r="F1163" t="s">
        <v>30</v>
      </c>
      <c r="G1163">
        <f>VLOOKUP(Table4[[#This Row],[Home]],'NHL Model'!$A$6:$B$38,2,FALSE)</f>
        <v>-0.24093199744133265</v>
      </c>
      <c r="H1163" t="s">
        <v>11</v>
      </c>
      <c r="I1163">
        <f>VLOOKUP(Table4[[#This Row],[Visitor]],'NHL Model'!$A$6:$B$38,2,FALSE)</f>
        <v>-0.39711829106410657</v>
      </c>
      <c r="J1163">
        <f>($B$1+Table4[[#This Row],[Home Differential]])-Table4[[#This Row],[Away Differential]]</f>
        <v>0.20608704254593638</v>
      </c>
      <c r="K1163" t="str">
        <f>IF(Table4[[#This Row],[HomeIce Differential]]&gt;0,Table4[[#This Row],[Home]],Table4[[#This Row],[Visitor]])</f>
        <v>New York Islanders</v>
      </c>
      <c r="L1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0.56406370384490223</v>
      </c>
      <c r="M1163" t="str">
        <f>IF(OR((NHL2025_26Results[[#This Row],[Winning Team]]="")),"-",IF(Table4[[#This Row],[Predicted Winner]]=NHL2025_26Results[[#This Row],[Winning Team]],"YES","NO"))</f>
        <v>-</v>
      </c>
      <c r="N1163" t="str">
        <f>IF(Table4[[#This Row],[Adjusted Correct]]="-", "",IF(Table4[[#This Row],[Adjusted Correct]]="YES",(Table4[[#This Row],[Strength of Win]]-1)^2,(Table4[[#This Row],[Strength of Win]]-0)^2))</f>
        <v/>
      </c>
      <c r="P1163" s="11"/>
    </row>
    <row r="1164" spans="4:16" x14ac:dyDescent="0.2">
      <c r="D1164" s="1">
        <v>46109</v>
      </c>
      <c r="E1164" s="2">
        <v>0.70833333333333337</v>
      </c>
      <c r="F1164" t="s">
        <v>14</v>
      </c>
      <c r="G1164">
        <f>VLOOKUP(Table4[[#This Row],[Home]],'NHL Model'!$A$6:$B$38,2,FALSE)</f>
        <v>-0.14226422156549004</v>
      </c>
      <c r="H1164" t="s">
        <v>39</v>
      </c>
      <c r="I1164">
        <f>VLOOKUP(Table4[[#This Row],[Visitor]],'NHL Model'!$A$6:$B$38,2,FALSE)</f>
        <v>0.41344250185511977</v>
      </c>
      <c r="J1164">
        <f>($B$1+Table4[[#This Row],[Home Differential]])-Table4[[#This Row],[Away Differential]]</f>
        <v>-0.50580597449744735</v>
      </c>
      <c r="K1164" t="str">
        <f>IF(Table4[[#This Row],[HomeIce Differential]]&gt;0,Table4[[#This Row],[Home]],Table4[[#This Row],[Visitor]])</f>
        <v>Dallas Stars</v>
      </c>
      <c r="L1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0.62085806549495359</v>
      </c>
      <c r="M1164" t="str">
        <f>IF(OR((NHL2025_26Results[[#This Row],[Winning Team]]="")),"-",IF(Table4[[#This Row],[Predicted Winner]]=NHL2025_26Results[[#This Row],[Winning Team]],"YES","NO"))</f>
        <v>-</v>
      </c>
      <c r="N1164" t="str">
        <f>IF(Table4[[#This Row],[Adjusted Correct]]="-", "",IF(Table4[[#This Row],[Adjusted Correct]]="YES",(Table4[[#This Row],[Strength of Win]]-1)^2,(Table4[[#This Row],[Strength of Win]]-0)^2))</f>
        <v/>
      </c>
      <c r="P1164" s="11"/>
    </row>
    <row r="1165" spans="4:16" x14ac:dyDescent="0.2">
      <c r="D1165" s="1">
        <v>46109</v>
      </c>
      <c r="E1165" s="2">
        <v>0.79166666666666663</v>
      </c>
      <c r="F1165" t="s">
        <v>35</v>
      </c>
      <c r="G1165">
        <f>VLOOKUP(Table4[[#This Row],[Home]],'NHL Model'!$A$6:$B$38,2,FALSE)</f>
        <v>-1.3944783719477225</v>
      </c>
      <c r="H1165" t="s">
        <v>19</v>
      </c>
      <c r="I1165">
        <f>VLOOKUP(Table4[[#This Row],[Visitor]],'NHL Model'!$A$6:$B$38,2,FALSE)</f>
        <v>-0.63447859131898054</v>
      </c>
      <c r="J1165">
        <f>($B$1+Table4[[#This Row],[Home Differential]])-Table4[[#This Row],[Away Differential]]</f>
        <v>-0.71009903170557953</v>
      </c>
      <c r="K1165" t="str">
        <f>IF(Table4[[#This Row],[HomeIce Differential]]&gt;0,Table4[[#This Row],[Home]],Table4[[#This Row],[Visitor]])</f>
        <v>Toronto Maple Leafs</v>
      </c>
      <c r="L1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0.54291454226534464</v>
      </c>
      <c r="M1165" t="str">
        <f>IF(OR((NHL2025_26Results[[#This Row],[Winning Team]]="")),"-",IF(Table4[[#This Row],[Predicted Winner]]=NHL2025_26Results[[#This Row],[Winning Team]],"YES","NO"))</f>
        <v>-</v>
      </c>
      <c r="N1165" t="str">
        <f>IF(Table4[[#This Row],[Adjusted Correct]]="-", "",IF(Table4[[#This Row],[Adjusted Correct]]="YES",(Table4[[#This Row],[Strength of Win]]-1)^2,(Table4[[#This Row],[Strength of Win]]-0)^2))</f>
        <v/>
      </c>
      <c r="P1165" s="11"/>
    </row>
    <row r="1166" spans="4:16" x14ac:dyDescent="0.2">
      <c r="D1166" s="1">
        <v>46109</v>
      </c>
      <c r="E1166" s="2">
        <v>0.54166666666666663</v>
      </c>
      <c r="F1166" t="s">
        <v>37</v>
      </c>
      <c r="G1166">
        <f>VLOOKUP(Table4[[#This Row],[Home]],'NHL Model'!$A$6:$B$38,2,FALSE)</f>
        <v>0.51050494674660429</v>
      </c>
      <c r="H1166" t="s">
        <v>36</v>
      </c>
      <c r="I1166">
        <f>VLOOKUP(Table4[[#This Row],[Visitor]],'NHL Model'!$A$6:$B$38,2,FALSE)</f>
        <v>-0.53137605086483863</v>
      </c>
      <c r="J1166">
        <f>($B$1+Table4[[#This Row],[Home Differential]])-Table4[[#This Row],[Away Differential]]</f>
        <v>1.0917817465346054</v>
      </c>
      <c r="K1166" t="str">
        <f>IF(Table4[[#This Row],[HomeIce Differential]]&gt;0,Table4[[#This Row],[Home]],Table4[[#This Row],[Visitor]])</f>
        <v>Tampa Bay Lightning</v>
      </c>
      <c r="L1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0.69972769826475267</v>
      </c>
      <c r="M1166" t="str">
        <f>IF(OR((NHL2025_26Results[[#This Row],[Winning Team]]="")),"-",IF(Table4[[#This Row],[Predicted Winner]]=NHL2025_26Results[[#This Row],[Winning Team]],"YES","NO"))</f>
        <v>-</v>
      </c>
      <c r="N1166" t="str">
        <f>IF(Table4[[#This Row],[Adjusted Correct]]="-", "",IF(Table4[[#This Row],[Adjusted Correct]]="YES",(Table4[[#This Row],[Strength of Win]]-1)^2,(Table4[[#This Row],[Strength of Win]]-0)^2))</f>
        <v/>
      </c>
      <c r="P1166" s="11"/>
    </row>
    <row r="1167" spans="4:16" x14ac:dyDescent="0.2">
      <c r="D1167" s="1">
        <v>46109</v>
      </c>
      <c r="E1167" s="2">
        <v>0.9375</v>
      </c>
      <c r="F1167" t="s">
        <v>20</v>
      </c>
      <c r="G1167">
        <f>VLOOKUP(Table4[[#This Row],[Home]],'NHL Model'!$A$6:$B$38,2,FALSE)</f>
        <v>-0.24444083032063643</v>
      </c>
      <c r="H1167" t="s">
        <v>22</v>
      </c>
      <c r="I1167">
        <f>VLOOKUP(Table4[[#This Row],[Visitor]],'NHL Model'!$A$6:$B$38,2,FALSE)</f>
        <v>0.4407072328537569</v>
      </c>
      <c r="J1167">
        <f>($B$1+Table4[[#This Row],[Home Differential]])-Table4[[#This Row],[Away Differential]]</f>
        <v>-0.63524731425123093</v>
      </c>
      <c r="K1167" t="str">
        <f>IF(Table4[[#This Row],[HomeIce Differential]]&gt;0,Table4[[#This Row],[Home]],Table4[[#This Row],[Visitor]])</f>
        <v>Washington Capitals</v>
      </c>
      <c r="L1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0.57668706233411582</v>
      </c>
      <c r="M1167" t="str">
        <f>IF(OR((NHL2025_26Results[[#This Row],[Winning Team]]="")),"-",IF(Table4[[#This Row],[Predicted Winner]]=NHL2025_26Results[[#This Row],[Winning Team]],"YES","NO"))</f>
        <v>-</v>
      </c>
      <c r="N1167" t="str">
        <f>IF(Table4[[#This Row],[Adjusted Correct]]="-", "",IF(Table4[[#This Row],[Adjusted Correct]]="YES",(Table4[[#This Row],[Strength of Win]]-1)^2,(Table4[[#This Row],[Strength of Win]]-0)^2))</f>
        <v/>
      </c>
      <c r="P1167" s="11"/>
    </row>
    <row r="1168" spans="4:16" x14ac:dyDescent="0.2">
      <c r="D1168" s="1">
        <v>46110</v>
      </c>
      <c r="E1168" s="2">
        <v>0.70833333333333337</v>
      </c>
      <c r="F1168" t="s">
        <v>25</v>
      </c>
      <c r="G1168">
        <f>VLOOKUP(Table4[[#This Row],[Home]],'NHL Model'!$A$6:$B$38,2,FALSE)</f>
        <v>0.42567513732855267</v>
      </c>
      <c r="H1168" t="s">
        <v>18</v>
      </c>
      <c r="I1168">
        <f>VLOOKUP(Table4[[#This Row],[Visitor]],'NHL Model'!$A$6:$B$38,2,FALSE)</f>
        <v>-0.59288962827382519</v>
      </c>
      <c r="J1168">
        <f>($B$1+Table4[[#This Row],[Home Differential]])-Table4[[#This Row],[Away Differential]]</f>
        <v>1.0684655145255404</v>
      </c>
      <c r="K1168" t="str">
        <f>IF(Table4[[#This Row],[HomeIce Differential]]&gt;0,Table4[[#This Row],[Home]],Table4[[#This Row],[Visitor]])</f>
        <v>Carolina Hurricanes</v>
      </c>
      <c r="L1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0.65809245157970586</v>
      </c>
      <c r="M1168" t="str">
        <f>IF(OR((NHL2025_26Results[[#This Row],[Winning Team]]="")),"-",IF(Table4[[#This Row],[Predicted Winner]]=NHL2025_26Results[[#This Row],[Winning Team]],"YES","NO"))</f>
        <v>-</v>
      </c>
      <c r="N1168" t="str">
        <f>IF(Table4[[#This Row],[Adjusted Correct]]="-", "",IF(Table4[[#This Row],[Adjusted Correct]]="YES",(Table4[[#This Row],[Strength of Win]]-1)^2,(Table4[[#This Row],[Strength of Win]]-0)^2))</f>
        <v/>
      </c>
      <c r="P1168" s="11"/>
    </row>
    <row r="1169" spans="4:16" x14ac:dyDescent="0.2">
      <c r="D1169" s="1">
        <v>46110</v>
      </c>
      <c r="E1169" s="2">
        <v>0.70833333333333337</v>
      </c>
      <c r="F1169" t="s">
        <v>28</v>
      </c>
      <c r="G1169">
        <f>VLOOKUP(Table4[[#This Row],[Home]],'NHL Model'!$A$6:$B$38,2,FALSE)</f>
        <v>-0.59498940435054026</v>
      </c>
      <c r="H1169" t="s">
        <v>21</v>
      </c>
      <c r="I1169">
        <f>VLOOKUP(Table4[[#This Row],[Visitor]],'NHL Model'!$A$6:$B$38,2,FALSE)</f>
        <v>-0.21976976044773161</v>
      </c>
      <c r="J1169">
        <f>($B$1+Table4[[#This Row],[Home Differential]])-Table4[[#This Row],[Away Differential]]</f>
        <v>-0.32531889497964622</v>
      </c>
      <c r="K1169" t="str">
        <f>IF(Table4[[#This Row],[HomeIce Differential]]&gt;0,Table4[[#This Row],[Home]],Table4[[#This Row],[Visitor]])</f>
        <v>Boston Bruins</v>
      </c>
      <c r="L1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0.4988152754406433</v>
      </c>
      <c r="M1169" t="str">
        <f>IF(OR((NHL2025_26Results[[#This Row],[Winning Team]]="")),"-",IF(Table4[[#This Row],[Predicted Winner]]=NHL2025_26Results[[#This Row],[Winning Team]],"YES","NO"))</f>
        <v>-</v>
      </c>
      <c r="N1169" t="str">
        <f>IF(Table4[[#This Row],[Adjusted Correct]]="-", "",IF(Table4[[#This Row],[Adjusted Correct]]="YES",(Table4[[#This Row],[Strength of Win]]-1)^2,(Table4[[#This Row],[Strength of Win]]-0)^2))</f>
        <v/>
      </c>
      <c r="P1169" s="11"/>
    </row>
    <row r="1170" spans="4:16" x14ac:dyDescent="0.2">
      <c r="D1170" s="1">
        <v>46110</v>
      </c>
      <c r="E1170" s="2">
        <v>0.79166666666666663</v>
      </c>
      <c r="F1170" t="s">
        <v>24</v>
      </c>
      <c r="G1170">
        <f>VLOOKUP(Table4[[#This Row],[Home]],'NHL Model'!$A$6:$B$38,2,FALSE)</f>
        <v>1.5302507646042616E-3</v>
      </c>
      <c r="H1170" t="s">
        <v>10</v>
      </c>
      <c r="I1170">
        <f>VLOOKUP(Table4[[#This Row],[Visitor]],'NHL Model'!$A$6:$B$38,2,FALSE)</f>
        <v>-0.17619625518431364</v>
      </c>
      <c r="J1170">
        <f>($B$1+Table4[[#This Row],[Home Differential]])-Table4[[#This Row],[Away Differential]]</f>
        <v>0.22762725487208035</v>
      </c>
      <c r="K1170" t="str">
        <f>IF(Table4[[#This Row],[HomeIce Differential]]&gt;0,Table4[[#This Row],[Home]],Table4[[#This Row],[Visitor]])</f>
        <v>New Jersey Devils</v>
      </c>
      <c r="L1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0.64641355228862563</v>
      </c>
      <c r="M1170" t="str">
        <f>IF(OR((NHL2025_26Results[[#This Row],[Winning Team]]="")),"-",IF(Table4[[#This Row],[Predicted Winner]]=NHL2025_26Results[[#This Row],[Winning Team]],"YES","NO"))</f>
        <v>-</v>
      </c>
      <c r="N1170" t="str">
        <f>IF(Table4[[#This Row],[Adjusted Correct]]="-", "",IF(Table4[[#This Row],[Adjusted Correct]]="YES",(Table4[[#This Row],[Strength of Win]]-1)^2,(Table4[[#This Row],[Strength of Win]]-0)^2))</f>
        <v/>
      </c>
      <c r="P1170" s="11"/>
    </row>
    <row r="1171" spans="4:16" x14ac:dyDescent="0.2">
      <c r="D1171" s="1">
        <v>46110</v>
      </c>
      <c r="E1171" s="2">
        <v>0.54166666666666663</v>
      </c>
      <c r="F1171" t="s">
        <v>15</v>
      </c>
      <c r="G1171">
        <f>VLOOKUP(Table4[[#This Row],[Home]],'NHL Model'!$A$6:$B$38,2,FALSE)</f>
        <v>-0.29003398448394263</v>
      </c>
      <c r="H1171" t="s">
        <v>11</v>
      </c>
      <c r="I1171">
        <f>VLOOKUP(Table4[[#This Row],[Visitor]],'NHL Model'!$A$6:$B$38,2,FALSE)</f>
        <v>-0.39711829106410657</v>
      </c>
      <c r="J1171">
        <f>($B$1+Table4[[#This Row],[Home Differential]])-Table4[[#This Row],[Away Differential]]</f>
        <v>0.15698505550332639</v>
      </c>
      <c r="K1171" t="str">
        <f>IF(Table4[[#This Row],[HomeIce Differential]]&gt;0,Table4[[#This Row],[Home]],Table4[[#This Row],[Visitor]])</f>
        <v>New York Rangers</v>
      </c>
      <c r="L1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0.55833032216407086</v>
      </c>
      <c r="M1171" t="str">
        <f>IF(OR((NHL2025_26Results[[#This Row],[Winning Team]]="")),"-",IF(Table4[[#This Row],[Predicted Winner]]=NHL2025_26Results[[#This Row],[Winning Team]],"YES","NO"))</f>
        <v>-</v>
      </c>
      <c r="N1171" t="str">
        <f>IF(Table4[[#This Row],[Adjusted Correct]]="-", "",IF(Table4[[#This Row],[Adjusted Correct]]="YES",(Table4[[#This Row],[Strength of Win]]-1)^2,(Table4[[#This Row],[Strength of Win]]-0)^2))</f>
        <v/>
      </c>
      <c r="P1171" s="11"/>
    </row>
    <row r="1172" spans="4:16" x14ac:dyDescent="0.2">
      <c r="D1172" s="1">
        <v>46110</v>
      </c>
      <c r="E1172" s="2">
        <v>0.79166666666666663</v>
      </c>
      <c r="F1172" t="s">
        <v>27</v>
      </c>
      <c r="G1172">
        <f>VLOOKUP(Table4[[#This Row],[Home]],'NHL Model'!$A$6:$B$38,2,FALSE)</f>
        <v>-0.38023958350631604</v>
      </c>
      <c r="H1172" t="s">
        <v>39</v>
      </c>
      <c r="I1172">
        <f>VLOOKUP(Table4[[#This Row],[Visitor]],'NHL Model'!$A$6:$B$38,2,FALSE)</f>
        <v>0.41344250185511977</v>
      </c>
      <c r="J1172">
        <f>($B$1+Table4[[#This Row],[Home Differential]])-Table4[[#This Row],[Away Differential]]</f>
        <v>-0.74378133643827327</v>
      </c>
      <c r="K1172" t="str">
        <f>IF(Table4[[#This Row],[HomeIce Differential]]&gt;0,Table4[[#This Row],[Home]],Table4[[#This Row],[Visitor]])</f>
        <v>Dallas Stars</v>
      </c>
      <c r="L1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0.63467353541474658</v>
      </c>
      <c r="M1172" t="str">
        <f>IF(OR((NHL2025_26Results[[#This Row],[Winning Team]]="")),"-",IF(Table4[[#This Row],[Predicted Winner]]=NHL2025_26Results[[#This Row],[Winning Team]],"YES","NO"))</f>
        <v>-</v>
      </c>
      <c r="N1172" t="str">
        <f>IF(Table4[[#This Row],[Adjusted Correct]]="-", "",IF(Table4[[#This Row],[Adjusted Correct]]="YES",(Table4[[#This Row],[Strength of Win]]-1)^2,(Table4[[#This Row],[Strength of Win]]-0)^2))</f>
        <v/>
      </c>
      <c r="P1172" s="11"/>
    </row>
    <row r="1173" spans="4:16" x14ac:dyDescent="0.2">
      <c r="D1173" s="1">
        <v>46110</v>
      </c>
      <c r="E1173" s="2">
        <v>0.70833333333333337</v>
      </c>
      <c r="F1173" t="s">
        <v>37</v>
      </c>
      <c r="G1173">
        <f>VLOOKUP(Table4[[#This Row],[Home]],'NHL Model'!$A$6:$B$38,2,FALSE)</f>
        <v>0.51050494674660429</v>
      </c>
      <c r="H1173" t="s">
        <v>29</v>
      </c>
      <c r="I1173">
        <f>VLOOKUP(Table4[[#This Row],[Visitor]],'NHL Model'!$A$6:$B$38,2,FALSE)</f>
        <v>-1.384917283810061</v>
      </c>
      <c r="J1173">
        <f>($B$1+Table4[[#This Row],[Home Differential]])-Table4[[#This Row],[Away Differential]]</f>
        <v>1.9453229794798277</v>
      </c>
      <c r="K1173" t="str">
        <f>IF(Table4[[#This Row],[HomeIce Differential]]&gt;0,Table4[[#This Row],[Home]],Table4[[#This Row],[Visitor]])</f>
        <v>Tampa Bay Lightning</v>
      </c>
      <c r="L1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0.79939123458061956</v>
      </c>
      <c r="M1173" t="str">
        <f>IF(OR((NHL2025_26Results[[#This Row],[Winning Team]]="")),"-",IF(Table4[[#This Row],[Predicted Winner]]=NHL2025_26Results[[#This Row],[Winning Team]],"YES","NO"))</f>
        <v>-</v>
      </c>
      <c r="N1173" t="str">
        <f>IF(Table4[[#This Row],[Adjusted Correct]]="-", "",IF(Table4[[#This Row],[Adjusted Correct]]="YES",(Table4[[#This Row],[Strength of Win]]-1)^2,(Table4[[#This Row],[Strength of Win]]-0)^2))</f>
        <v/>
      </c>
      <c r="P1173" s="11"/>
    </row>
    <row r="1174" spans="4:16" x14ac:dyDescent="0.2">
      <c r="D1174" s="1">
        <v>46111</v>
      </c>
      <c r="E1174" s="2">
        <v>0.91666666666666663</v>
      </c>
      <c r="F1174" t="s">
        <v>31</v>
      </c>
      <c r="G1174">
        <f>VLOOKUP(Table4[[#This Row],[Home]],'NHL Model'!$A$6:$B$38,2,FALSE)</f>
        <v>0.17870302183926629</v>
      </c>
      <c r="H1174" t="s">
        <v>19</v>
      </c>
      <c r="I1174">
        <f>VLOOKUP(Table4[[#This Row],[Visitor]],'NHL Model'!$A$6:$B$38,2,FALSE)</f>
        <v>-0.63447859131898054</v>
      </c>
      <c r="J1174">
        <f>($B$1+Table4[[#This Row],[Home Differential]])-Table4[[#This Row],[Away Differential]]</f>
        <v>0.86308236208140932</v>
      </c>
      <c r="K1174" t="str">
        <f>IF(Table4[[#This Row],[HomeIce Differential]]&gt;0,Table4[[#This Row],[Home]],Table4[[#This Row],[Visitor]])</f>
        <v>Anaheim Ducks</v>
      </c>
      <c r="L1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0.72061231470333431</v>
      </c>
      <c r="M1174" t="str">
        <f>IF(OR((NHL2025_26Results[[#This Row],[Winning Team]]="")),"-",IF(Table4[[#This Row],[Predicted Winner]]=NHL2025_26Results[[#This Row],[Winning Team]],"YES","NO"))</f>
        <v>-</v>
      </c>
      <c r="N1174" t="str">
        <f>IF(Table4[[#This Row],[Adjusted Correct]]="-", "",IF(Table4[[#This Row],[Adjusted Correct]]="YES",(Table4[[#This Row],[Strength of Win]]-1)^2,(Table4[[#This Row],[Strength of Win]]-0)^2))</f>
        <v/>
      </c>
      <c r="P1174" s="11"/>
    </row>
    <row r="1175" spans="4:16" x14ac:dyDescent="0.2">
      <c r="D1175" s="1">
        <v>46111</v>
      </c>
      <c r="E1175" s="2">
        <v>0.85416666666666663</v>
      </c>
      <c r="F1175" t="s">
        <v>12</v>
      </c>
      <c r="G1175">
        <f>VLOOKUP(Table4[[#This Row],[Home]],'NHL Model'!$A$6:$B$38,2,FALSE)</f>
        <v>1.6319036584269762</v>
      </c>
      <c r="H1175" t="s">
        <v>16</v>
      </c>
      <c r="I1175">
        <f>VLOOKUP(Table4[[#This Row],[Visitor]],'NHL Model'!$A$6:$B$38,2,FALSE)</f>
        <v>-1.0657812790446208</v>
      </c>
      <c r="J1175">
        <f>($B$1+Table4[[#This Row],[Home Differential]])-Table4[[#This Row],[Away Differential]]</f>
        <v>2.7475856863947596</v>
      </c>
      <c r="K1175" t="str">
        <f>IF(Table4[[#This Row],[HomeIce Differential]]&gt;0,Table4[[#This Row],[Home]],Table4[[#This Row],[Visitor]])</f>
        <v>Colorado Avalanche</v>
      </c>
      <c r="L1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0.96515107726433946</v>
      </c>
      <c r="M1175" t="str">
        <f>IF(OR((NHL2025_26Results[[#This Row],[Winning Team]]="")),"-",IF(Table4[[#This Row],[Predicted Winner]]=NHL2025_26Results[[#This Row],[Winning Team]],"YES","NO"))</f>
        <v>-</v>
      </c>
      <c r="N1175" t="str">
        <f>IF(Table4[[#This Row],[Adjusted Correct]]="-", "",IF(Table4[[#This Row],[Adjusted Correct]]="YES",(Table4[[#This Row],[Strength of Win]]-1)^2,(Table4[[#This Row],[Strength of Win]]-0)^2))</f>
        <v/>
      </c>
      <c r="P1175" s="11"/>
    </row>
    <row r="1176" spans="4:16" x14ac:dyDescent="0.2">
      <c r="D1176" s="1">
        <v>46111</v>
      </c>
      <c r="E1176" s="2">
        <v>0.79166666666666663</v>
      </c>
      <c r="F1176" t="s">
        <v>30</v>
      </c>
      <c r="G1176">
        <f>VLOOKUP(Table4[[#This Row],[Home]],'NHL Model'!$A$6:$B$38,2,FALSE)</f>
        <v>-0.24093199744133265</v>
      </c>
      <c r="H1176" t="s">
        <v>14</v>
      </c>
      <c r="I1176">
        <f>VLOOKUP(Table4[[#This Row],[Visitor]],'NHL Model'!$A$6:$B$38,2,FALSE)</f>
        <v>-0.14226422156549004</v>
      </c>
      <c r="J1176">
        <f>($B$1+Table4[[#This Row],[Home Differential]])-Table4[[#This Row],[Away Differential]]</f>
        <v>-4.8767026952680148E-2</v>
      </c>
      <c r="K1176" t="str">
        <f>IF(Table4[[#This Row],[HomeIce Differential]]&gt;0,Table4[[#This Row],[Home]],Table4[[#This Row],[Visitor]])</f>
        <v>Pittsburgh Penguins</v>
      </c>
      <c r="L1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0.50498100338490515</v>
      </c>
      <c r="M1176" t="str">
        <f>IF(OR((NHL2025_26Results[[#This Row],[Winning Team]]="")),"-",IF(Table4[[#This Row],[Predicted Winner]]=NHL2025_26Results[[#This Row],[Winning Team]],"YES","NO"))</f>
        <v>-</v>
      </c>
      <c r="N1176" t="str">
        <f>IF(Table4[[#This Row],[Adjusted Correct]]="-", "",IF(Table4[[#This Row],[Adjusted Correct]]="YES",(Table4[[#This Row],[Strength of Win]]-1)^2,(Table4[[#This Row],[Strength of Win]]-0)^2))</f>
        <v/>
      </c>
      <c r="P1176" s="11"/>
    </row>
    <row r="1177" spans="4:16" x14ac:dyDescent="0.2">
      <c r="D1177" s="1">
        <v>46111</v>
      </c>
      <c r="E1177" s="2">
        <v>0.91666666666666663</v>
      </c>
      <c r="F1177" t="s">
        <v>33</v>
      </c>
      <c r="G1177">
        <f>VLOOKUP(Table4[[#This Row],[Home]],'NHL Model'!$A$6:$B$38,2,FALSE)</f>
        <v>-0.45133099238224339</v>
      </c>
      <c r="H1177" t="s">
        <v>35</v>
      </c>
      <c r="I1177">
        <f>VLOOKUP(Table4[[#This Row],[Visitor]],'NHL Model'!$A$6:$B$38,2,FALSE)</f>
        <v>-1.3944783719477225</v>
      </c>
      <c r="J1177">
        <f>($B$1+Table4[[#This Row],[Home Differential]])-Table4[[#This Row],[Away Differential]]</f>
        <v>0.99304812848864166</v>
      </c>
      <c r="K1177" t="str">
        <f>IF(Table4[[#This Row],[HomeIce Differential]]&gt;0,Table4[[#This Row],[Home]],Table4[[#This Row],[Visitor]])</f>
        <v>San Jose Sharks</v>
      </c>
      <c r="L1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0.66607527473414152</v>
      </c>
      <c r="M1177" t="str">
        <f>IF(OR((NHL2025_26Results[[#This Row],[Winning Team]]="")),"-",IF(Table4[[#This Row],[Predicted Winner]]=NHL2025_26Results[[#This Row],[Winning Team]],"YES","NO"))</f>
        <v>-</v>
      </c>
      <c r="N1177" t="str">
        <f>IF(Table4[[#This Row],[Adjusted Correct]]="-", "",IF(Table4[[#This Row],[Adjusted Correct]]="YES",(Table4[[#This Row],[Strength of Win]]-1)^2,(Table4[[#This Row],[Strength of Win]]-0)^2))</f>
        <v/>
      </c>
      <c r="P1177" s="11"/>
    </row>
    <row r="1178" spans="4:16" x14ac:dyDescent="0.2">
      <c r="D1178" s="1">
        <v>46111</v>
      </c>
      <c r="E1178" s="2">
        <v>0.91666666666666663</v>
      </c>
      <c r="F1178" t="s">
        <v>20</v>
      </c>
      <c r="G1178">
        <f>VLOOKUP(Table4[[#This Row],[Home]],'NHL Model'!$A$6:$B$38,2,FALSE)</f>
        <v>-0.24444083032063643</v>
      </c>
      <c r="H1178" t="s">
        <v>38</v>
      </c>
      <c r="I1178">
        <f>VLOOKUP(Table4[[#This Row],[Visitor]],'NHL Model'!$A$6:$B$38,2,FALSE)</f>
        <v>-0.9476777551108041</v>
      </c>
      <c r="J1178">
        <f>($B$1+Table4[[#This Row],[Home Differential]])-Table4[[#This Row],[Away Differential]]</f>
        <v>0.75313767371333018</v>
      </c>
      <c r="K1178" t="str">
        <f>IF(Table4[[#This Row],[HomeIce Differential]]&gt;0,Table4[[#This Row],[Home]],Table4[[#This Row],[Visitor]])</f>
        <v>Vegas Golden Knights</v>
      </c>
      <c r="L1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0.62436377998437298</v>
      </c>
      <c r="M1178" t="str">
        <f>IF(OR((NHL2025_26Results[[#This Row],[Winning Team]]="")),"-",IF(Table4[[#This Row],[Predicted Winner]]=NHL2025_26Results[[#This Row],[Winning Team]],"YES","NO"))</f>
        <v>-</v>
      </c>
      <c r="N1178" t="str">
        <f>IF(Table4[[#This Row],[Adjusted Correct]]="-", "",IF(Table4[[#This Row],[Adjusted Correct]]="YES",(Table4[[#This Row],[Strength of Win]]-1)^2,(Table4[[#This Row],[Strength of Win]]-0)^2))</f>
        <v/>
      </c>
      <c r="P1178" s="11"/>
    </row>
    <row r="1179" spans="4:16" x14ac:dyDescent="0.2">
      <c r="D1179" s="1">
        <v>46112</v>
      </c>
      <c r="E1179" s="2">
        <v>0.79166666666666663</v>
      </c>
      <c r="F1179" t="s">
        <v>21</v>
      </c>
      <c r="G1179">
        <f>VLOOKUP(Table4[[#This Row],[Home]],'NHL Model'!$A$6:$B$38,2,FALSE)</f>
        <v>-0.21976976044773161</v>
      </c>
      <c r="H1179" t="s">
        <v>39</v>
      </c>
      <c r="I1179">
        <f>VLOOKUP(Table4[[#This Row],[Visitor]],'NHL Model'!$A$6:$B$38,2,FALSE)</f>
        <v>0.41344250185511977</v>
      </c>
      <c r="J1179">
        <f>($B$1+Table4[[#This Row],[Home Differential]])-Table4[[#This Row],[Away Differential]]</f>
        <v>-0.5833115133796889</v>
      </c>
      <c r="K1179" t="str">
        <f>IF(Table4[[#This Row],[HomeIce Differential]]&gt;0,Table4[[#This Row],[Home]],Table4[[#This Row],[Visitor]])</f>
        <v>Dallas Stars</v>
      </c>
      <c r="L1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0.58662874676909771</v>
      </c>
      <c r="M1179" t="str">
        <f>IF(OR((NHL2025_26Results[[#This Row],[Winning Team]]="")),"-",IF(Table4[[#This Row],[Predicted Winner]]=NHL2025_26Results[[#This Row],[Winning Team]],"YES","NO"))</f>
        <v>-</v>
      </c>
      <c r="N1179" t="str">
        <f>IF(Table4[[#This Row],[Adjusted Correct]]="-", "",IF(Table4[[#This Row],[Adjusted Correct]]="YES",(Table4[[#This Row],[Strength of Win]]-1)^2,(Table4[[#This Row],[Strength of Win]]-0)^2))</f>
        <v/>
      </c>
      <c r="P1179" s="11"/>
    </row>
    <row r="1180" spans="4:16" x14ac:dyDescent="0.2">
      <c r="D1180" s="1">
        <v>46112</v>
      </c>
      <c r="E1180" s="2">
        <v>0.79166666666666663</v>
      </c>
      <c r="F1180" t="s">
        <v>23</v>
      </c>
      <c r="G1180">
        <f>VLOOKUP(Table4[[#This Row],[Home]],'NHL Model'!$A$6:$B$38,2,FALSE)</f>
        <v>-0.4761104357405897</v>
      </c>
      <c r="H1180" t="s">
        <v>30</v>
      </c>
      <c r="I1180">
        <f>VLOOKUP(Table4[[#This Row],[Visitor]],'NHL Model'!$A$6:$B$38,2,FALSE)</f>
        <v>-0.24093199744133265</v>
      </c>
      <c r="J1180">
        <f>($B$1+Table4[[#This Row],[Home Differential]])-Table4[[#This Row],[Away Differential]]</f>
        <v>-0.18527768937609457</v>
      </c>
      <c r="K1180" t="str">
        <f>IF(Table4[[#This Row],[HomeIce Differential]]&gt;0,Table4[[#This Row],[Home]],Table4[[#This Row],[Visitor]])</f>
        <v>New York Islanders</v>
      </c>
      <c r="L1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0.54408288433002694</v>
      </c>
      <c r="M1180" t="str">
        <f>IF(OR((NHL2025_26Results[[#This Row],[Winning Team]]="")),"-",IF(Table4[[#This Row],[Predicted Winner]]=NHL2025_26Results[[#This Row],[Winning Team]],"YES","NO"))</f>
        <v>-</v>
      </c>
      <c r="N1180" t="str">
        <f>IF(Table4[[#This Row],[Adjusted Correct]]="-", "",IF(Table4[[#This Row],[Adjusted Correct]]="YES",(Table4[[#This Row],[Strength of Win]]-1)^2,(Table4[[#This Row],[Strength of Win]]-0)^2))</f>
        <v/>
      </c>
      <c r="P1180" s="11"/>
    </row>
    <row r="1181" spans="4:16" x14ac:dyDescent="0.2">
      <c r="D1181" s="1">
        <v>46112</v>
      </c>
      <c r="E1181" s="2">
        <v>0.8125</v>
      </c>
      <c r="F1181" t="s">
        <v>28</v>
      </c>
      <c r="G1181">
        <f>VLOOKUP(Table4[[#This Row],[Home]],'NHL Model'!$A$6:$B$38,2,FALSE)</f>
        <v>-0.59498940435054026</v>
      </c>
      <c r="H1181" t="s">
        <v>25</v>
      </c>
      <c r="I1181">
        <f>VLOOKUP(Table4[[#This Row],[Visitor]],'NHL Model'!$A$6:$B$38,2,FALSE)</f>
        <v>0.42567513732855267</v>
      </c>
      <c r="J1181">
        <f>($B$1+Table4[[#This Row],[Home Differential]])-Table4[[#This Row],[Away Differential]]</f>
        <v>-0.9707637927559305</v>
      </c>
      <c r="K1181" t="str">
        <f>IF(Table4[[#This Row],[HomeIce Differential]]&gt;0,Table4[[#This Row],[Home]],Table4[[#This Row],[Visitor]])</f>
        <v>Carolina Hurricanes</v>
      </c>
      <c r="L1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0.64597416936312857</v>
      </c>
      <c r="M1181" t="str">
        <f>IF(OR((NHL2025_26Results[[#This Row],[Winning Team]]="")),"-",IF(Table4[[#This Row],[Predicted Winner]]=NHL2025_26Results[[#This Row],[Winning Team]],"YES","NO"))</f>
        <v>-</v>
      </c>
      <c r="N1181" t="str">
        <f>IF(Table4[[#This Row],[Adjusted Correct]]="-", "",IF(Table4[[#This Row],[Adjusted Correct]]="YES",(Table4[[#This Row],[Strength of Win]]-1)^2,(Table4[[#This Row],[Strength of Win]]-0)^2))</f>
        <v/>
      </c>
      <c r="P1181" s="11"/>
    </row>
    <row r="1182" spans="4:16" x14ac:dyDescent="0.2">
      <c r="D1182" s="1">
        <v>46112</v>
      </c>
      <c r="E1182" s="2">
        <v>0.85416666666666663</v>
      </c>
      <c r="F1182" t="s">
        <v>10</v>
      </c>
      <c r="G1182">
        <f>VLOOKUP(Table4[[#This Row],[Home]],'NHL Model'!$A$6:$B$38,2,FALSE)</f>
        <v>-0.17619625518431364</v>
      </c>
      <c r="H1182" t="s">
        <v>40</v>
      </c>
      <c r="I1182">
        <f>VLOOKUP(Table4[[#This Row],[Visitor]],'NHL Model'!$A$6:$B$38,2,FALSE)</f>
        <v>-0.31324182378279158</v>
      </c>
      <c r="J1182">
        <f>($B$1+Table4[[#This Row],[Home Differential]])-Table4[[#This Row],[Away Differential]]</f>
        <v>0.1869463175216404</v>
      </c>
      <c r="K1182" t="str">
        <f>IF(Table4[[#This Row],[HomeIce Differential]]&gt;0,Table4[[#This Row],[Home]],Table4[[#This Row],[Visitor]])</f>
        <v>Chicago Blackhawks</v>
      </c>
      <c r="L1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0.54105951093214566</v>
      </c>
      <c r="M1182" t="str">
        <f>IF(OR((NHL2025_26Results[[#This Row],[Winning Team]]="")),"-",IF(Table4[[#This Row],[Predicted Winner]]=NHL2025_26Results[[#This Row],[Winning Team]],"YES","NO"))</f>
        <v>-</v>
      </c>
      <c r="N1182" t="str">
        <f>IF(Table4[[#This Row],[Adjusted Correct]]="-", "",IF(Table4[[#This Row],[Adjusted Correct]]="YES",(Table4[[#This Row],[Strength of Win]]-1)^2,(Table4[[#This Row],[Strength of Win]]-0)^2))</f>
        <v/>
      </c>
      <c r="P1182" s="11"/>
    </row>
    <row r="1183" spans="4:16" x14ac:dyDescent="0.2">
      <c r="D1183" s="1">
        <v>46112</v>
      </c>
      <c r="E1183" s="2">
        <v>0.875</v>
      </c>
      <c r="F1183" t="s">
        <v>17</v>
      </c>
      <c r="G1183">
        <f>VLOOKUP(Table4[[#This Row],[Home]],'NHL Model'!$A$6:$B$38,2,FALSE)</f>
        <v>-0.81774666423752174</v>
      </c>
      <c r="H1183" t="s">
        <v>32</v>
      </c>
      <c r="I1183">
        <f>VLOOKUP(Table4[[#This Row],[Visitor]],'NHL Model'!$A$6:$B$38,2,FALSE)</f>
        <v>-0.64937723527808999</v>
      </c>
      <c r="J1183">
        <f>($B$1+Table4[[#This Row],[Home Differential]])-Table4[[#This Row],[Away Differential]]</f>
        <v>-0.11846868003626931</v>
      </c>
      <c r="K1183" t="str">
        <f>IF(Table4[[#This Row],[HomeIce Differential]]&gt;0,Table4[[#This Row],[Home]],Table4[[#This Row],[Visitor]])</f>
        <v>Seattle Kraken</v>
      </c>
      <c r="L1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0.46678701500720543</v>
      </c>
      <c r="M1183" t="str">
        <f>IF(OR((NHL2025_26Results[[#This Row],[Winning Team]]="")),"-",IF(Table4[[#This Row],[Predicted Winner]]=NHL2025_26Results[[#This Row],[Winning Team]],"YES","NO"))</f>
        <v>-</v>
      </c>
      <c r="N1183" t="str">
        <f>IF(Table4[[#This Row],[Adjusted Correct]]="-", "",IF(Table4[[#This Row],[Adjusted Correct]]="YES",(Table4[[#This Row],[Strength of Win]]-1)^2,(Table4[[#This Row],[Strength of Win]]-0)^2))</f>
        <v/>
      </c>
      <c r="P1183" s="11"/>
    </row>
    <row r="1184" spans="4:16" x14ac:dyDescent="0.2">
      <c r="D1184" s="1">
        <v>46112</v>
      </c>
      <c r="E1184" s="2">
        <v>0.79166666666666663</v>
      </c>
      <c r="F1184" t="s">
        <v>11</v>
      </c>
      <c r="G1184">
        <f>VLOOKUP(Table4[[#This Row],[Home]],'NHL Model'!$A$6:$B$38,2,FALSE)</f>
        <v>-0.39711829106410657</v>
      </c>
      <c r="H1184" t="s">
        <v>36</v>
      </c>
      <c r="I1184">
        <f>VLOOKUP(Table4[[#This Row],[Visitor]],'NHL Model'!$A$6:$B$38,2,FALSE)</f>
        <v>-0.53137605086483863</v>
      </c>
      <c r="J1184">
        <f>($B$1+Table4[[#This Row],[Home Differential]])-Table4[[#This Row],[Away Differential]]</f>
        <v>0.18415850872389455</v>
      </c>
      <c r="K1184" t="str">
        <f>IF(Table4[[#This Row],[HomeIce Differential]]&gt;0,Table4[[#This Row],[Home]],Table4[[#This Row],[Visitor]])</f>
        <v>Florida Panthers</v>
      </c>
      <c r="L1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0.57551984437773329</v>
      </c>
      <c r="M1184" t="str">
        <f>IF(OR((NHL2025_26Results[[#This Row],[Winning Team]]="")),"-",IF(Table4[[#This Row],[Predicted Winner]]=NHL2025_26Results[[#This Row],[Winning Team]],"YES","NO"))</f>
        <v>-</v>
      </c>
      <c r="N1184" t="str">
        <f>IF(Table4[[#This Row],[Adjusted Correct]]="-", "",IF(Table4[[#This Row],[Adjusted Correct]]="YES",(Table4[[#This Row],[Strength of Win]]-1)^2,(Table4[[#This Row],[Strength of Win]]-0)^2))</f>
        <v/>
      </c>
      <c r="P1184" s="11"/>
    </row>
    <row r="1185" spans="4:16" x14ac:dyDescent="0.2">
      <c r="D1185" s="1">
        <v>46112</v>
      </c>
      <c r="E1185" s="2">
        <v>0.79166666666666663</v>
      </c>
      <c r="F1185" t="s">
        <v>15</v>
      </c>
      <c r="G1185">
        <f>VLOOKUP(Table4[[#This Row],[Home]],'NHL Model'!$A$6:$B$38,2,FALSE)</f>
        <v>-0.29003398448394263</v>
      </c>
      <c r="H1185" t="s">
        <v>24</v>
      </c>
      <c r="I1185">
        <f>VLOOKUP(Table4[[#This Row],[Visitor]],'NHL Model'!$A$6:$B$38,2,FALSE)</f>
        <v>1.5302507646042616E-3</v>
      </c>
      <c r="J1185">
        <f>($B$1+Table4[[#This Row],[Home Differential]])-Table4[[#This Row],[Away Differential]]</f>
        <v>-0.24166348632538442</v>
      </c>
      <c r="K1185" t="str">
        <f>IF(Table4[[#This Row],[HomeIce Differential]]&gt;0,Table4[[#This Row],[Home]],Table4[[#This Row],[Visitor]])</f>
        <v>New Jersey Devils</v>
      </c>
      <c r="L1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0.50898700949621889</v>
      </c>
      <c r="M1185" t="str">
        <f>IF(OR((NHL2025_26Results[[#This Row],[Winning Team]]="")),"-",IF(Table4[[#This Row],[Predicted Winner]]=NHL2025_26Results[[#This Row],[Winning Team]],"YES","NO"))</f>
        <v>-</v>
      </c>
      <c r="N1185" t="str">
        <f>IF(Table4[[#This Row],[Adjusted Correct]]="-", "",IF(Table4[[#This Row],[Adjusted Correct]]="YES",(Table4[[#This Row],[Strength of Win]]-1)^2,(Table4[[#This Row],[Strength of Win]]-0)^2))</f>
        <v/>
      </c>
      <c r="P1185" s="11"/>
    </row>
    <row r="1186" spans="4:16" x14ac:dyDescent="0.2">
      <c r="D1186" s="1">
        <v>46112</v>
      </c>
      <c r="E1186" s="2">
        <v>0.79166666666666663</v>
      </c>
      <c r="F1186" t="s">
        <v>14</v>
      </c>
      <c r="G1186">
        <f>VLOOKUP(Table4[[#This Row],[Home]],'NHL Model'!$A$6:$B$38,2,FALSE)</f>
        <v>-0.14226422156549004</v>
      </c>
      <c r="H1186" t="s">
        <v>26</v>
      </c>
      <c r="I1186">
        <f>VLOOKUP(Table4[[#This Row],[Visitor]],'NHL Model'!$A$6:$B$38,2,FALSE)</f>
        <v>-0.87533956503230947</v>
      </c>
      <c r="J1186">
        <f>($B$1+Table4[[#This Row],[Home Differential]])-Table4[[#This Row],[Away Differential]]</f>
        <v>0.78297609238998189</v>
      </c>
      <c r="K1186" t="str">
        <f>IF(Table4[[#This Row],[HomeIce Differential]]&gt;0,Table4[[#This Row],[Home]],Table4[[#This Row],[Visitor]])</f>
        <v>Pittsburgh Penguins</v>
      </c>
      <c r="L1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0.63142401468889853</v>
      </c>
      <c r="M1186" t="str">
        <f>IF(OR((NHL2025_26Results[[#This Row],[Winning Team]]="")),"-",IF(Table4[[#This Row],[Predicted Winner]]=NHL2025_26Results[[#This Row],[Winning Team]],"YES","NO"))</f>
        <v>-</v>
      </c>
      <c r="N1186" t="str">
        <f>IF(Table4[[#This Row],[Adjusted Correct]]="-", "",IF(Table4[[#This Row],[Adjusted Correct]]="YES",(Table4[[#This Row],[Strength of Win]]-1)^2,(Table4[[#This Row],[Strength of Win]]-0)^2))</f>
        <v/>
      </c>
      <c r="P1186" s="11"/>
    </row>
    <row r="1187" spans="4:16" x14ac:dyDescent="0.2">
      <c r="D1187" s="1">
        <v>46112</v>
      </c>
      <c r="E1187" s="2">
        <v>0.79166666666666663</v>
      </c>
      <c r="F1187" t="s">
        <v>37</v>
      </c>
      <c r="G1187">
        <f>VLOOKUP(Table4[[#This Row],[Home]],'NHL Model'!$A$6:$B$38,2,FALSE)</f>
        <v>0.51050494674660429</v>
      </c>
      <c r="H1187" t="s">
        <v>18</v>
      </c>
      <c r="I1187">
        <f>VLOOKUP(Table4[[#This Row],[Visitor]],'NHL Model'!$A$6:$B$38,2,FALSE)</f>
        <v>-0.59288962827382519</v>
      </c>
      <c r="J1187">
        <f>($B$1+Table4[[#This Row],[Home Differential]])-Table4[[#This Row],[Away Differential]]</f>
        <v>1.1532953239435919</v>
      </c>
      <c r="K1187" t="str">
        <f>IF(Table4[[#This Row],[HomeIce Differential]]&gt;0,Table4[[#This Row],[Home]],Table4[[#This Row],[Visitor]])</f>
        <v>Tampa Bay Lightning</v>
      </c>
      <c r="L1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0.64803323445177996</v>
      </c>
      <c r="M1187" t="str">
        <f>IF(OR((NHL2025_26Results[[#This Row],[Winning Team]]="")),"-",IF(Table4[[#This Row],[Predicted Winner]]=NHL2025_26Results[[#This Row],[Winning Team]],"YES","NO"))</f>
        <v>-</v>
      </c>
      <c r="N1187" t="str">
        <f>IF(Table4[[#This Row],[Adjusted Correct]]="-", "",IF(Table4[[#This Row],[Adjusted Correct]]="YES",(Table4[[#This Row],[Strength of Win]]-1)^2,(Table4[[#This Row],[Strength of Win]]-0)^2))</f>
        <v/>
      </c>
      <c r="P1187" s="11"/>
    </row>
    <row r="1188" spans="4:16" x14ac:dyDescent="0.2">
      <c r="D1188" s="1">
        <v>46112</v>
      </c>
      <c r="E1188" s="2">
        <v>0.79166666666666663</v>
      </c>
      <c r="F1188" t="s">
        <v>22</v>
      </c>
      <c r="G1188">
        <f>VLOOKUP(Table4[[#This Row],[Home]],'NHL Model'!$A$6:$B$38,2,FALSE)</f>
        <v>0.4407072328537569</v>
      </c>
      <c r="H1188" t="s">
        <v>27</v>
      </c>
      <c r="I1188">
        <f>VLOOKUP(Table4[[#This Row],[Visitor]],'NHL Model'!$A$6:$B$38,2,FALSE)</f>
        <v>-0.38023958350631604</v>
      </c>
      <c r="J1188">
        <f>($B$1+Table4[[#This Row],[Home Differential]])-Table4[[#This Row],[Away Differential]]</f>
        <v>0.87084756528323548</v>
      </c>
      <c r="K1188" t="str">
        <f>IF(Table4[[#This Row],[HomeIce Differential]]&gt;0,Table4[[#This Row],[Home]],Table4[[#This Row],[Visitor]])</f>
        <v>Washington Capitals</v>
      </c>
      <c r="L1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0.62549382984908919</v>
      </c>
      <c r="M1188" t="str">
        <f>IF(OR((NHL2025_26Results[[#This Row],[Winning Team]]="")),"-",IF(Table4[[#This Row],[Predicted Winner]]=NHL2025_26Results[[#This Row],[Winning Team]],"YES","NO"))</f>
        <v>-</v>
      </c>
      <c r="N1188" t="str">
        <f>IF(Table4[[#This Row],[Adjusted Correct]]="-", "",IF(Table4[[#This Row],[Adjusted Correct]]="YES",(Table4[[#This Row],[Strength of Win]]-1)^2,(Table4[[#This Row],[Strength of Win]]-0)^2))</f>
        <v/>
      </c>
      <c r="P1188" s="11"/>
    </row>
    <row r="1189" spans="4:16" x14ac:dyDescent="0.2">
      <c r="D1189" s="1">
        <v>46113</v>
      </c>
      <c r="E1189" s="2">
        <v>0.85416666666666663</v>
      </c>
      <c r="F1189" t="s">
        <v>12</v>
      </c>
      <c r="G1189">
        <f>VLOOKUP(Table4[[#This Row],[Home]],'NHL Model'!$A$6:$B$38,2,FALSE)</f>
        <v>1.6319036584269762</v>
      </c>
      <c r="H1189" t="s">
        <v>38</v>
      </c>
      <c r="I1189">
        <f>VLOOKUP(Table4[[#This Row],[Visitor]],'NHL Model'!$A$6:$B$38,2,FALSE)</f>
        <v>-0.9476777551108041</v>
      </c>
      <c r="J1189">
        <f>($B$1+Table4[[#This Row],[Home Differential]])-Table4[[#This Row],[Away Differential]]</f>
        <v>2.6294821624609428</v>
      </c>
      <c r="K1189" t="str">
        <f>IF(Table4[[#This Row],[HomeIce Differential]]&gt;0,Table4[[#This Row],[Home]],Table4[[#This Row],[Visitor]])</f>
        <v>Colorado Avalanche</v>
      </c>
      <c r="L1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0.94805649187988317</v>
      </c>
      <c r="M1189" t="str">
        <f>IF(OR((NHL2025_26Results[[#This Row],[Winning Team]]="")),"-",IF(Table4[[#This Row],[Predicted Winner]]=NHL2025_26Results[[#This Row],[Winning Team]],"YES","NO"))</f>
        <v>-</v>
      </c>
      <c r="N1189" t="str">
        <f>IF(Table4[[#This Row],[Adjusted Correct]]="-", "",IF(Table4[[#This Row],[Adjusted Correct]]="YES",(Table4[[#This Row],[Strength of Win]]-1)^2,(Table4[[#This Row],[Strength of Win]]-0)^2))</f>
        <v/>
      </c>
      <c r="P1189" s="11"/>
    </row>
    <row r="1190" spans="4:16" x14ac:dyDescent="0.2">
      <c r="D1190" s="1">
        <v>46113</v>
      </c>
      <c r="E1190" s="2">
        <v>0.875</v>
      </c>
      <c r="F1190" t="s">
        <v>13</v>
      </c>
      <c r="G1190">
        <f>VLOOKUP(Table4[[#This Row],[Home]],'NHL Model'!$A$6:$B$38,2,FALSE)</f>
        <v>-0.33828359867721369</v>
      </c>
      <c r="H1190" t="s">
        <v>35</v>
      </c>
      <c r="I1190">
        <f>VLOOKUP(Table4[[#This Row],[Visitor]],'NHL Model'!$A$6:$B$38,2,FALSE)</f>
        <v>-1.3944783719477225</v>
      </c>
      <c r="J1190">
        <f>($B$1+Table4[[#This Row],[Home Differential]])-Table4[[#This Row],[Away Differential]]</f>
        <v>1.1060955221936712</v>
      </c>
      <c r="K1190" t="str">
        <f>IF(Table4[[#This Row],[HomeIce Differential]]&gt;0,Table4[[#This Row],[Home]],Table4[[#This Row],[Visitor]])</f>
        <v>Los Angeles Kings</v>
      </c>
      <c r="L1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0.66915297702090215</v>
      </c>
      <c r="M1190" t="str">
        <f>IF(OR((NHL2025_26Results[[#This Row],[Winning Team]]="")),"-",IF(Table4[[#This Row],[Predicted Winner]]=NHL2025_26Results[[#This Row],[Winning Team]],"YES","NO"))</f>
        <v>-</v>
      </c>
      <c r="N1190" t="str">
        <f>IF(Table4[[#This Row],[Adjusted Correct]]="-", "",IF(Table4[[#This Row],[Adjusted Correct]]="YES",(Table4[[#This Row],[Strength of Win]]-1)^2,(Table4[[#This Row],[Strength of Win]]-0)^2))</f>
        <v/>
      </c>
      <c r="P1190" s="11"/>
    </row>
    <row r="1191" spans="4:16" x14ac:dyDescent="0.2">
      <c r="D1191" s="1">
        <v>46113</v>
      </c>
      <c r="E1191" s="2">
        <v>0.91666666666666663</v>
      </c>
      <c r="F1191" t="s">
        <v>33</v>
      </c>
      <c r="G1191">
        <f>VLOOKUP(Table4[[#This Row],[Home]],'NHL Model'!$A$6:$B$38,2,FALSE)</f>
        <v>-0.45133099238224339</v>
      </c>
      <c r="H1191" t="s">
        <v>31</v>
      </c>
      <c r="I1191">
        <f>VLOOKUP(Table4[[#This Row],[Visitor]],'NHL Model'!$A$6:$B$38,2,FALSE)</f>
        <v>0.17870302183926629</v>
      </c>
      <c r="J1191">
        <f>($B$1+Table4[[#This Row],[Home Differential]])-Table4[[#This Row],[Away Differential]]</f>
        <v>-0.58013326529834719</v>
      </c>
      <c r="K1191" t="str">
        <f>IF(Table4[[#This Row],[HomeIce Differential]]&gt;0,Table4[[#This Row],[Home]],Table4[[#This Row],[Visitor]])</f>
        <v>Anaheim Ducks</v>
      </c>
      <c r="L1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0.53832735617360639</v>
      </c>
      <c r="M1191" t="str">
        <f>IF(OR((NHL2025_26Results[[#This Row],[Winning Team]]="")),"-",IF(Table4[[#This Row],[Predicted Winner]]=NHL2025_26Results[[#This Row],[Winning Team]],"YES","NO"))</f>
        <v>-</v>
      </c>
      <c r="N1191" t="str">
        <f>IF(Table4[[#This Row],[Adjusted Correct]]="-", "",IF(Table4[[#This Row],[Adjusted Correct]]="YES",(Table4[[#This Row],[Strength of Win]]-1)^2,(Table4[[#This Row],[Strength of Win]]-0)^2))</f>
        <v/>
      </c>
      <c r="P1191" s="11"/>
    </row>
    <row r="1192" spans="4:16" x14ac:dyDescent="0.2">
      <c r="D1192" s="1">
        <v>46114</v>
      </c>
      <c r="E1192" s="2">
        <v>0.79166666666666663</v>
      </c>
      <c r="F1192" t="s">
        <v>25</v>
      </c>
      <c r="G1192">
        <f>VLOOKUP(Table4[[#This Row],[Home]],'NHL Model'!$A$6:$B$38,2,FALSE)</f>
        <v>0.42567513732855267</v>
      </c>
      <c r="H1192" t="s">
        <v>28</v>
      </c>
      <c r="I1192">
        <f>VLOOKUP(Table4[[#This Row],[Visitor]],'NHL Model'!$A$6:$B$38,2,FALSE)</f>
        <v>-0.59498940435054026</v>
      </c>
      <c r="J1192">
        <f>($B$1+Table4[[#This Row],[Home Differential]])-Table4[[#This Row],[Away Differential]]</f>
        <v>1.0705652906022554</v>
      </c>
      <c r="K1192" t="str">
        <f>IF(Table4[[#This Row],[HomeIce Differential]]&gt;0,Table4[[#This Row],[Home]],Table4[[#This Row],[Visitor]])</f>
        <v>Carolina Hurricanes</v>
      </c>
      <c r="L1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0.71323959221145916</v>
      </c>
      <c r="M1192" t="str">
        <f>IF(OR((NHL2025_26Results[[#This Row],[Winning Team]]="")),"-",IF(Table4[[#This Row],[Predicted Winner]]=NHL2025_26Results[[#This Row],[Winning Team]],"YES","NO"))</f>
        <v>-</v>
      </c>
      <c r="N1192" t="str">
        <f>IF(Table4[[#This Row],[Adjusted Correct]]="-", "",IF(Table4[[#This Row],[Adjusted Correct]]="YES",(Table4[[#This Row],[Strength of Win]]-1)^2,(Table4[[#This Row],[Strength of Win]]-0)^2))</f>
        <v/>
      </c>
      <c r="P1192" s="11"/>
    </row>
    <row r="1193" spans="4:16" x14ac:dyDescent="0.2">
      <c r="D1193" s="1">
        <v>46114</v>
      </c>
      <c r="E1193" s="2">
        <v>0.83333333333333337</v>
      </c>
      <c r="F1193" t="s">
        <v>39</v>
      </c>
      <c r="G1193">
        <f>VLOOKUP(Table4[[#This Row],[Home]],'NHL Model'!$A$6:$B$38,2,FALSE)</f>
        <v>0.41344250185511977</v>
      </c>
      <c r="H1193" t="s">
        <v>40</v>
      </c>
      <c r="I1193">
        <f>VLOOKUP(Table4[[#This Row],[Visitor]],'NHL Model'!$A$6:$B$38,2,FALSE)</f>
        <v>-0.31324182378279158</v>
      </c>
      <c r="J1193">
        <f>($B$1+Table4[[#This Row],[Home Differential]])-Table4[[#This Row],[Away Differential]]</f>
        <v>0.77658507456107384</v>
      </c>
      <c r="K1193" t="str">
        <f>IF(Table4[[#This Row],[HomeIce Differential]]&gt;0,Table4[[#This Row],[Home]],Table4[[#This Row],[Visitor]])</f>
        <v>Dallas Stars</v>
      </c>
      <c r="L1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0.6424019069637168</v>
      </c>
      <c r="M1193" t="str">
        <f>IF(OR((NHL2025_26Results[[#This Row],[Winning Team]]="")),"-",IF(Table4[[#This Row],[Predicted Winner]]=NHL2025_26Results[[#This Row],[Winning Team]],"YES","NO"))</f>
        <v>-</v>
      </c>
      <c r="N1193" t="str">
        <f>IF(Table4[[#This Row],[Adjusted Correct]]="-", "",IF(Table4[[#This Row],[Adjusted Correct]]="YES",(Table4[[#This Row],[Strength of Win]]-1)^2,(Table4[[#This Row],[Strength of Win]]-0)^2))</f>
        <v/>
      </c>
      <c r="P1193" s="11"/>
    </row>
    <row r="1194" spans="4:16" x14ac:dyDescent="0.2">
      <c r="D1194" s="1">
        <v>46114</v>
      </c>
      <c r="E1194" s="2">
        <v>0.875</v>
      </c>
      <c r="F1194" t="s">
        <v>17</v>
      </c>
      <c r="G1194">
        <f>VLOOKUP(Table4[[#This Row],[Home]],'NHL Model'!$A$6:$B$38,2,FALSE)</f>
        <v>-0.81774666423752174</v>
      </c>
      <c r="H1194" t="s">
        <v>10</v>
      </c>
      <c r="I1194">
        <f>VLOOKUP(Table4[[#This Row],[Visitor]],'NHL Model'!$A$6:$B$38,2,FALSE)</f>
        <v>-0.17619625518431364</v>
      </c>
      <c r="J1194">
        <f>($B$1+Table4[[#This Row],[Home Differential]])-Table4[[#This Row],[Away Differential]]</f>
        <v>-0.59164966013004561</v>
      </c>
      <c r="K1194" t="str">
        <f>IF(Table4[[#This Row],[HomeIce Differential]]&gt;0,Table4[[#This Row],[Home]],Table4[[#This Row],[Visitor]])</f>
        <v>Chicago Blackhawks</v>
      </c>
      <c r="L1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0.52203787808599023</v>
      </c>
      <c r="M1194" t="str">
        <f>IF(OR((NHL2025_26Results[[#This Row],[Winning Team]]="")),"-",IF(Table4[[#This Row],[Predicted Winner]]=NHL2025_26Results[[#This Row],[Winning Team]],"YES","NO"))</f>
        <v>-</v>
      </c>
      <c r="N1194" t="str">
        <f>IF(Table4[[#This Row],[Adjusted Correct]]="-", "",IF(Table4[[#This Row],[Adjusted Correct]]="YES",(Table4[[#This Row],[Strength of Win]]-1)^2,(Table4[[#This Row],[Strength of Win]]-0)^2))</f>
        <v/>
      </c>
      <c r="P1194" s="11"/>
    </row>
    <row r="1195" spans="4:16" x14ac:dyDescent="0.2">
      <c r="D1195" s="1">
        <v>46114</v>
      </c>
      <c r="E1195" s="2">
        <v>0.79166666666666663</v>
      </c>
      <c r="F1195" t="s">
        <v>11</v>
      </c>
      <c r="G1195">
        <f>VLOOKUP(Table4[[#This Row],[Home]],'NHL Model'!$A$6:$B$38,2,FALSE)</f>
        <v>-0.39711829106410657</v>
      </c>
      <c r="H1195" t="s">
        <v>21</v>
      </c>
      <c r="I1195">
        <f>VLOOKUP(Table4[[#This Row],[Visitor]],'NHL Model'!$A$6:$B$38,2,FALSE)</f>
        <v>-0.21976976044773161</v>
      </c>
      <c r="J1195">
        <f>($B$1+Table4[[#This Row],[Home Differential]])-Table4[[#This Row],[Away Differential]]</f>
        <v>-0.12744778169321247</v>
      </c>
      <c r="K1195" t="str">
        <f>IF(Table4[[#This Row],[HomeIce Differential]]&gt;0,Table4[[#This Row],[Home]],Table4[[#This Row],[Visitor]])</f>
        <v>Boston Bruins</v>
      </c>
      <c r="L1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0.46168992014598992</v>
      </c>
      <c r="M1195" t="str">
        <f>IF(OR((NHL2025_26Results[[#This Row],[Winning Team]]="")),"-",IF(Table4[[#This Row],[Predicted Winner]]=NHL2025_26Results[[#This Row],[Winning Team]],"YES","NO"))</f>
        <v>-</v>
      </c>
      <c r="N1195" t="str">
        <f>IF(Table4[[#This Row],[Adjusted Correct]]="-", "",IF(Table4[[#This Row],[Adjusted Correct]]="YES",(Table4[[#This Row],[Strength of Win]]-1)^2,(Table4[[#This Row],[Strength of Win]]-0)^2))</f>
        <v/>
      </c>
      <c r="P1195" s="11"/>
    </row>
    <row r="1196" spans="4:16" x14ac:dyDescent="0.2">
      <c r="D1196" s="1">
        <v>46114</v>
      </c>
      <c r="E1196" s="2">
        <v>0.9375</v>
      </c>
      <c r="F1196" t="s">
        <v>13</v>
      </c>
      <c r="G1196">
        <f>VLOOKUP(Table4[[#This Row],[Home]],'NHL Model'!$A$6:$B$38,2,FALSE)</f>
        <v>-0.33828359867721369</v>
      </c>
      <c r="H1196" t="s">
        <v>29</v>
      </c>
      <c r="I1196">
        <f>VLOOKUP(Table4[[#This Row],[Visitor]],'NHL Model'!$A$6:$B$38,2,FALSE)</f>
        <v>-1.384917283810061</v>
      </c>
      <c r="J1196">
        <f>($B$1+Table4[[#This Row],[Home Differential]])-Table4[[#This Row],[Away Differential]]</f>
        <v>1.0965344340560097</v>
      </c>
      <c r="K1196" t="str">
        <f>IF(Table4[[#This Row],[HomeIce Differential]]&gt;0,Table4[[#This Row],[Home]],Table4[[#This Row],[Visitor]])</f>
        <v>Los Angeles Kings</v>
      </c>
      <c r="L1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0.6680365788692405</v>
      </c>
      <c r="M1196" t="str">
        <f>IF(OR((NHL2025_26Results[[#This Row],[Winning Team]]="")),"-",IF(Table4[[#This Row],[Predicted Winner]]=NHL2025_26Results[[#This Row],[Winning Team]],"YES","NO"))</f>
        <v>-</v>
      </c>
      <c r="N1196" t="str">
        <f>IF(Table4[[#This Row],[Adjusted Correct]]="-", "",IF(Table4[[#This Row],[Adjusted Correct]]="YES",(Table4[[#This Row],[Strength of Win]]-1)^2,(Table4[[#This Row],[Strength of Win]]-0)^2))</f>
        <v/>
      </c>
      <c r="P1196" s="11"/>
    </row>
    <row r="1197" spans="4:16" x14ac:dyDescent="0.2">
      <c r="D1197" s="1">
        <v>46114</v>
      </c>
      <c r="E1197" s="2">
        <v>0.83333333333333337</v>
      </c>
      <c r="F1197" t="s">
        <v>34</v>
      </c>
      <c r="G1197">
        <f>VLOOKUP(Table4[[#This Row],[Home]],'NHL Model'!$A$6:$B$38,2,FALSE)</f>
        <v>-5.5124787449478845E-2</v>
      </c>
      <c r="H1197" t="s">
        <v>38</v>
      </c>
      <c r="I1197">
        <f>VLOOKUP(Table4[[#This Row],[Visitor]],'NHL Model'!$A$6:$B$38,2,FALSE)</f>
        <v>-0.9476777551108041</v>
      </c>
      <c r="J1197">
        <f>($B$1+Table4[[#This Row],[Home Differential]])-Table4[[#This Row],[Away Differential]]</f>
        <v>0.94245371658448773</v>
      </c>
      <c r="K1197" t="str">
        <f>IF(Table4[[#This Row],[HomeIce Differential]]&gt;0,Table4[[#This Row],[Home]],Table4[[#This Row],[Visitor]])</f>
        <v>Minnesota Wild</v>
      </c>
      <c r="L1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0.6464692220949555</v>
      </c>
      <c r="M1197" t="str">
        <f>IF(OR((NHL2025_26Results[[#This Row],[Winning Team]]="")),"-",IF(Table4[[#This Row],[Predicted Winner]]=NHL2025_26Results[[#This Row],[Winning Team]],"YES","NO"))</f>
        <v>-</v>
      </c>
      <c r="N1197" t="str">
        <f>IF(Table4[[#This Row],[Adjusted Correct]]="-", "",IF(Table4[[#This Row],[Adjusted Correct]]="YES",(Table4[[#This Row],[Strength of Win]]-1)^2,(Table4[[#This Row],[Strength of Win]]-0)^2))</f>
        <v/>
      </c>
      <c r="P1197" s="11"/>
    </row>
    <row r="1198" spans="4:16" x14ac:dyDescent="0.2">
      <c r="D1198" s="1">
        <v>46114</v>
      </c>
      <c r="E1198" s="2">
        <v>0.8125</v>
      </c>
      <c r="F1198" t="s">
        <v>24</v>
      </c>
      <c r="G1198">
        <f>VLOOKUP(Table4[[#This Row],[Home]],'NHL Model'!$A$6:$B$38,2,FALSE)</f>
        <v>1.5302507646042616E-3</v>
      </c>
      <c r="H1198" t="s">
        <v>22</v>
      </c>
      <c r="I1198">
        <f>VLOOKUP(Table4[[#This Row],[Visitor]],'NHL Model'!$A$6:$B$38,2,FALSE)</f>
        <v>0.4407072328537569</v>
      </c>
      <c r="J1198">
        <f>($B$1+Table4[[#This Row],[Home Differential]])-Table4[[#This Row],[Away Differential]]</f>
        <v>-0.38927623316599019</v>
      </c>
      <c r="K1198" t="str">
        <f>IF(Table4[[#This Row],[HomeIce Differential]]&gt;0,Table4[[#This Row],[Home]],Table4[[#This Row],[Visitor]])</f>
        <v>Washington Capitals</v>
      </c>
      <c r="L1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0.46650637710823029</v>
      </c>
      <c r="M1198" t="str">
        <f>IF(OR((NHL2025_26Results[[#This Row],[Winning Team]]="")),"-",IF(Table4[[#This Row],[Predicted Winner]]=NHL2025_26Results[[#This Row],[Winning Team]],"YES","NO"))</f>
        <v>-</v>
      </c>
      <c r="N1198" t="str">
        <f>IF(Table4[[#This Row],[Adjusted Correct]]="-", "",IF(Table4[[#This Row],[Adjusted Correct]]="YES",(Table4[[#This Row],[Strength of Win]]-1)^2,(Table4[[#This Row],[Strength of Win]]-0)^2))</f>
        <v/>
      </c>
      <c r="P1198" s="11"/>
    </row>
    <row r="1199" spans="4:16" x14ac:dyDescent="0.2">
      <c r="D1199" s="1">
        <v>46114</v>
      </c>
      <c r="E1199" s="2">
        <v>0.79166666666666663</v>
      </c>
      <c r="F1199" t="s">
        <v>15</v>
      </c>
      <c r="G1199">
        <f>VLOOKUP(Table4[[#This Row],[Home]],'NHL Model'!$A$6:$B$38,2,FALSE)</f>
        <v>-0.29003398448394263</v>
      </c>
      <c r="H1199" t="s">
        <v>18</v>
      </c>
      <c r="I1199">
        <f>VLOOKUP(Table4[[#This Row],[Visitor]],'NHL Model'!$A$6:$B$38,2,FALSE)</f>
        <v>-0.59288962827382519</v>
      </c>
      <c r="J1199">
        <f>($B$1+Table4[[#This Row],[Home Differential]])-Table4[[#This Row],[Away Differential]]</f>
        <v>0.35275639271304504</v>
      </c>
      <c r="K1199" t="str">
        <f>IF(Table4[[#This Row],[HomeIce Differential]]&gt;0,Table4[[#This Row],[Home]],Table4[[#This Row],[Visitor]])</f>
        <v>New York Rangers</v>
      </c>
      <c r="L1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0.52190168133413184</v>
      </c>
      <c r="M1199" t="str">
        <f>IF(OR((NHL2025_26Results[[#This Row],[Winning Team]]="")),"-",IF(Table4[[#This Row],[Predicted Winner]]=NHL2025_26Results[[#This Row],[Winning Team]],"YES","NO"))</f>
        <v>-</v>
      </c>
      <c r="N1199" t="str">
        <f>IF(Table4[[#This Row],[Adjusted Correct]]="-", "",IF(Table4[[#This Row],[Adjusted Correct]]="YES",(Table4[[#This Row],[Strength of Win]]-1)^2,(Table4[[#This Row],[Strength of Win]]-0)^2))</f>
        <v/>
      </c>
      <c r="P1199" s="11"/>
    </row>
    <row r="1200" spans="4:16" x14ac:dyDescent="0.2">
      <c r="D1200" s="1">
        <v>46114</v>
      </c>
      <c r="E1200" s="2">
        <v>0.79166666666666663</v>
      </c>
      <c r="F1200" t="s">
        <v>36</v>
      </c>
      <c r="G1200">
        <f>VLOOKUP(Table4[[#This Row],[Home]],'NHL Model'!$A$6:$B$38,2,FALSE)</f>
        <v>-0.53137605086483863</v>
      </c>
      <c r="H1200" t="s">
        <v>23</v>
      </c>
      <c r="I1200">
        <f>VLOOKUP(Table4[[#This Row],[Visitor]],'NHL Model'!$A$6:$B$38,2,FALSE)</f>
        <v>-0.4761104357405897</v>
      </c>
      <c r="J1200">
        <f>($B$1+Table4[[#This Row],[Home Differential]])-Table4[[#This Row],[Away Differential]]</f>
        <v>-5.364866201086449E-3</v>
      </c>
      <c r="K1200" t="str">
        <f>IF(Table4[[#This Row],[HomeIce Differential]]&gt;0,Table4[[#This Row],[Home]],Table4[[#This Row],[Visitor]])</f>
        <v>Buffalo Sabres</v>
      </c>
      <c r="L1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0.45813094810441091</v>
      </c>
      <c r="M1200" t="str">
        <f>IF(OR((NHL2025_26Results[[#This Row],[Winning Team]]="")),"-",IF(Table4[[#This Row],[Predicted Winner]]=NHL2025_26Results[[#This Row],[Winning Team]],"YES","NO"))</f>
        <v>-</v>
      </c>
      <c r="N1200" t="str">
        <f>IF(Table4[[#This Row],[Adjusted Correct]]="-", "",IF(Table4[[#This Row],[Adjusted Correct]]="YES",(Table4[[#This Row],[Strength of Win]]-1)^2,(Table4[[#This Row],[Strength of Win]]-0)^2))</f>
        <v/>
      </c>
      <c r="P1200" s="11"/>
    </row>
    <row r="1201" spans="4:16" x14ac:dyDescent="0.2">
      <c r="D1201" s="1">
        <v>46114</v>
      </c>
      <c r="E1201" s="2">
        <v>0.79166666666666663</v>
      </c>
      <c r="F1201" t="s">
        <v>27</v>
      </c>
      <c r="G1201">
        <f>VLOOKUP(Table4[[#This Row],[Home]],'NHL Model'!$A$6:$B$38,2,FALSE)</f>
        <v>-0.38023958350631604</v>
      </c>
      <c r="H1201" t="s">
        <v>26</v>
      </c>
      <c r="I1201">
        <f>VLOOKUP(Table4[[#This Row],[Visitor]],'NHL Model'!$A$6:$B$38,2,FALSE)</f>
        <v>-0.87533956503230947</v>
      </c>
      <c r="J1201">
        <f>($B$1+Table4[[#This Row],[Home Differential]])-Table4[[#This Row],[Away Differential]]</f>
        <v>0.54500073044915598</v>
      </c>
      <c r="K1201" t="str">
        <f>IF(Table4[[#This Row],[HomeIce Differential]]&gt;0,Table4[[#This Row],[Home]],Table4[[#This Row],[Visitor]])</f>
        <v>Philadelphia Flyers</v>
      </c>
      <c r="L1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0.61765349941525349</v>
      </c>
      <c r="M1201" t="str">
        <f>IF(OR((NHL2025_26Results[[#This Row],[Winning Team]]="")),"-",IF(Table4[[#This Row],[Predicted Winner]]=NHL2025_26Results[[#This Row],[Winning Team]],"YES","NO"))</f>
        <v>-</v>
      </c>
      <c r="N1201" t="str">
        <f>IF(Table4[[#This Row],[Adjusted Correct]]="-", "",IF(Table4[[#This Row],[Adjusted Correct]]="YES",(Table4[[#This Row],[Strength of Win]]-1)^2,(Table4[[#This Row],[Strength of Win]]-0)^2))</f>
        <v/>
      </c>
      <c r="P1201" s="11"/>
    </row>
    <row r="1202" spans="4:16" x14ac:dyDescent="0.2">
      <c r="D1202" s="1">
        <v>46114</v>
      </c>
      <c r="E1202" s="2">
        <v>0.91666666666666663</v>
      </c>
      <c r="F1202" t="s">
        <v>32</v>
      </c>
      <c r="G1202">
        <f>VLOOKUP(Table4[[#This Row],[Home]],'NHL Model'!$A$6:$B$38,2,FALSE)</f>
        <v>-0.64937723527808999</v>
      </c>
      <c r="H1202" t="s">
        <v>55</v>
      </c>
      <c r="I1202">
        <f>VLOOKUP(Table4[[#This Row],[Visitor]],'NHL Model'!$A$6:$B$38,2,FALSE)</f>
        <v>-0.4031232890211825</v>
      </c>
      <c r="J1202">
        <f>($B$1+Table4[[#This Row],[Home Differential]])-Table4[[#This Row],[Away Differential]]</f>
        <v>-0.19635319733374507</v>
      </c>
      <c r="K1202" t="str">
        <f>IF(Table4[[#This Row],[HomeIce Differential]]&gt;0,Table4[[#This Row],[Home]],Table4[[#This Row],[Visitor]])</f>
        <v>Utah Mammoth</v>
      </c>
      <c r="L1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0.48292713375507684</v>
      </c>
      <c r="M1202" t="str">
        <f>IF(OR((NHL2025_26Results[[#This Row],[Winning Team]]="")),"-",IF(Table4[[#This Row],[Predicted Winner]]=NHL2025_26Results[[#This Row],[Winning Team]],"YES","NO"))</f>
        <v>-</v>
      </c>
      <c r="N1202" t="str">
        <f>IF(Table4[[#This Row],[Adjusted Correct]]="-", "",IF(Table4[[#This Row],[Adjusted Correct]]="YES",(Table4[[#This Row],[Strength of Win]]-1)^2,(Table4[[#This Row],[Strength of Win]]-0)^2))</f>
        <v/>
      </c>
      <c r="P1202" s="11"/>
    </row>
    <row r="1203" spans="4:16" x14ac:dyDescent="0.2">
      <c r="D1203" s="1">
        <v>46114</v>
      </c>
      <c r="E1203" s="2">
        <v>0.91666666666666663</v>
      </c>
      <c r="F1203" t="s">
        <v>33</v>
      </c>
      <c r="G1203">
        <f>VLOOKUP(Table4[[#This Row],[Home]],'NHL Model'!$A$6:$B$38,2,FALSE)</f>
        <v>-0.45133099238224339</v>
      </c>
      <c r="H1203" t="s">
        <v>19</v>
      </c>
      <c r="I1203">
        <f>VLOOKUP(Table4[[#This Row],[Visitor]],'NHL Model'!$A$6:$B$38,2,FALSE)</f>
        <v>-0.63447859131898054</v>
      </c>
      <c r="J1203">
        <f>($B$1+Table4[[#This Row],[Home Differential]])-Table4[[#This Row],[Away Differential]]</f>
        <v>0.23304834785989964</v>
      </c>
      <c r="K1203" t="str">
        <f>IF(Table4[[#This Row],[HomeIce Differential]]&gt;0,Table4[[#This Row],[Home]],Table4[[#This Row],[Visitor]])</f>
        <v>San Jose Sharks</v>
      </c>
      <c r="L1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0.57733408354952698</v>
      </c>
      <c r="M1203" t="str">
        <f>IF(OR((NHL2025_26Results[[#This Row],[Winning Team]]="")),"-",IF(Table4[[#This Row],[Predicted Winner]]=NHL2025_26Results[[#This Row],[Winning Team]],"YES","NO"))</f>
        <v>-</v>
      </c>
      <c r="N1203" t="str">
        <f>IF(Table4[[#This Row],[Adjusted Correct]]="-", "",IF(Table4[[#This Row],[Adjusted Correct]]="YES",(Table4[[#This Row],[Strength of Win]]-1)^2,(Table4[[#This Row],[Strength of Win]]-0)^2))</f>
        <v/>
      </c>
      <c r="P1203" s="11"/>
    </row>
    <row r="1204" spans="4:16" x14ac:dyDescent="0.2">
      <c r="D1204" s="1">
        <v>46114</v>
      </c>
      <c r="E1204" s="2">
        <v>0.79166666666666663</v>
      </c>
      <c r="F1204" t="s">
        <v>37</v>
      </c>
      <c r="G1204">
        <f>VLOOKUP(Table4[[#This Row],[Home]],'NHL Model'!$A$6:$B$38,2,FALSE)</f>
        <v>0.51050494674660429</v>
      </c>
      <c r="H1204" t="s">
        <v>14</v>
      </c>
      <c r="I1204">
        <f>VLOOKUP(Table4[[#This Row],[Visitor]],'NHL Model'!$A$6:$B$38,2,FALSE)</f>
        <v>-0.14226422156549004</v>
      </c>
      <c r="J1204">
        <f>($B$1+Table4[[#This Row],[Home Differential]])-Table4[[#This Row],[Away Differential]]</f>
        <v>0.70266991723525674</v>
      </c>
      <c r="K1204" t="str">
        <f>IF(Table4[[#This Row],[HomeIce Differential]]&gt;0,Table4[[#This Row],[Home]],Table4[[#This Row],[Visitor]])</f>
        <v>Tampa Bay Lightning</v>
      </c>
      <c r="L1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0.61538041683836375</v>
      </c>
      <c r="M1204" t="str">
        <f>IF(OR((NHL2025_26Results[[#This Row],[Winning Team]]="")),"-",IF(Table4[[#This Row],[Predicted Winner]]=NHL2025_26Results[[#This Row],[Winning Team]],"YES","NO"))</f>
        <v>-</v>
      </c>
      <c r="N1204" t="str">
        <f>IF(Table4[[#This Row],[Adjusted Correct]]="-", "",IF(Table4[[#This Row],[Adjusted Correct]]="YES",(Table4[[#This Row],[Strength of Win]]-1)^2,(Table4[[#This Row],[Strength of Win]]-0)^2))</f>
        <v/>
      </c>
      <c r="P1204" s="11"/>
    </row>
    <row r="1205" spans="4:16" x14ac:dyDescent="0.2">
      <c r="D1205" s="1">
        <v>46114</v>
      </c>
      <c r="E1205" s="2">
        <v>0.91666666666666663</v>
      </c>
      <c r="F1205" t="s">
        <v>20</v>
      </c>
      <c r="G1205">
        <f>VLOOKUP(Table4[[#This Row],[Home]],'NHL Model'!$A$6:$B$38,2,FALSE)</f>
        <v>-0.24444083032063643</v>
      </c>
      <c r="H1205" t="s">
        <v>16</v>
      </c>
      <c r="I1205">
        <f>VLOOKUP(Table4[[#This Row],[Visitor]],'NHL Model'!$A$6:$B$38,2,FALSE)</f>
        <v>-1.0657812790446208</v>
      </c>
      <c r="J1205">
        <f>($B$1+Table4[[#This Row],[Home Differential]])-Table4[[#This Row],[Away Differential]]</f>
        <v>0.8712411976471468</v>
      </c>
      <c r="K1205" t="str">
        <f>IF(Table4[[#This Row],[HomeIce Differential]]&gt;0,Table4[[#This Row],[Home]],Table4[[#This Row],[Visitor]])</f>
        <v>Vegas Golden Knights</v>
      </c>
      <c r="L1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0.64173026842765124</v>
      </c>
      <c r="M1205" t="str">
        <f>IF(OR((NHL2025_26Results[[#This Row],[Winning Team]]="")),"-",IF(Table4[[#This Row],[Predicted Winner]]=NHL2025_26Results[[#This Row],[Winning Team]],"YES","NO"))</f>
        <v>-</v>
      </c>
      <c r="N1205" t="str">
        <f>IF(Table4[[#This Row],[Adjusted Correct]]="-", "",IF(Table4[[#This Row],[Adjusted Correct]]="YES",(Table4[[#This Row],[Strength of Win]]-1)^2,(Table4[[#This Row],[Strength of Win]]-0)^2))</f>
        <v/>
      </c>
      <c r="P1205" s="11"/>
    </row>
    <row r="1206" spans="4:16" x14ac:dyDescent="0.2">
      <c r="D1206" s="1">
        <v>46115</v>
      </c>
      <c r="E1206" s="2">
        <v>0.91666666666666663</v>
      </c>
      <c r="F1206" t="s">
        <v>31</v>
      </c>
      <c r="G1206">
        <f>VLOOKUP(Table4[[#This Row],[Home]],'NHL Model'!$A$6:$B$38,2,FALSE)</f>
        <v>0.17870302183926629</v>
      </c>
      <c r="H1206" t="s">
        <v>35</v>
      </c>
      <c r="I1206">
        <f>VLOOKUP(Table4[[#This Row],[Visitor]],'NHL Model'!$A$6:$B$38,2,FALSE)</f>
        <v>-1.3944783719477225</v>
      </c>
      <c r="J1206">
        <f>($B$1+Table4[[#This Row],[Home Differential]])-Table4[[#This Row],[Away Differential]]</f>
        <v>1.6230821427101512</v>
      </c>
      <c r="K1206" t="str">
        <f>IF(Table4[[#This Row],[HomeIce Differential]]&gt;0,Table4[[#This Row],[Home]],Table4[[#This Row],[Visitor]])</f>
        <v>Anaheim Ducks</v>
      </c>
      <c r="L1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0.80935350588794874</v>
      </c>
      <c r="M1206" t="str">
        <f>IF(OR((NHL2025_26Results[[#This Row],[Winning Team]]="")),"-",IF(Table4[[#This Row],[Predicted Winner]]=NHL2025_26Results[[#This Row],[Winning Team]],"YES","NO"))</f>
        <v>-</v>
      </c>
      <c r="N1206" t="str">
        <f>IF(Table4[[#This Row],[Adjusted Correct]]="-", "",IF(Table4[[#This Row],[Adjusted Correct]]="YES",(Table4[[#This Row],[Strength of Win]]-1)^2,(Table4[[#This Row],[Strength of Win]]-0)^2))</f>
        <v/>
      </c>
      <c r="P1206" s="11"/>
    </row>
    <row r="1207" spans="4:16" x14ac:dyDescent="0.2">
      <c r="D1207" s="1">
        <v>46115</v>
      </c>
      <c r="E1207" s="2">
        <v>0.79166666666666663</v>
      </c>
      <c r="F1207" t="s">
        <v>30</v>
      </c>
      <c r="G1207">
        <f>VLOOKUP(Table4[[#This Row],[Home]],'NHL Model'!$A$6:$B$38,2,FALSE)</f>
        <v>-0.24093199744133265</v>
      </c>
      <c r="H1207" t="s">
        <v>27</v>
      </c>
      <c r="I1207">
        <f>VLOOKUP(Table4[[#This Row],[Visitor]],'NHL Model'!$A$6:$B$38,2,FALSE)</f>
        <v>-0.38023958350631604</v>
      </c>
      <c r="J1207">
        <f>($B$1+Table4[[#This Row],[Home Differential]])-Table4[[#This Row],[Away Differential]]</f>
        <v>0.18920833498814585</v>
      </c>
      <c r="K1207" t="str">
        <f>IF(Table4[[#This Row],[HomeIce Differential]]&gt;0,Table4[[#This Row],[Home]],Table4[[#This Row],[Visitor]])</f>
        <v>New York Islanders</v>
      </c>
      <c r="L1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0.51958030281151568</v>
      </c>
      <c r="M1207" t="str">
        <f>IF(OR((NHL2025_26Results[[#This Row],[Winning Team]]="")),"-",IF(Table4[[#This Row],[Predicted Winner]]=NHL2025_26Results[[#This Row],[Winning Team]],"YES","NO"))</f>
        <v>-</v>
      </c>
      <c r="N1207" t="str">
        <f>IF(Table4[[#This Row],[Adjusted Correct]]="-", "",IF(Table4[[#This Row],[Adjusted Correct]]="YES",(Table4[[#This Row],[Strength of Win]]-1)^2,(Table4[[#This Row],[Strength of Win]]-0)^2))</f>
        <v/>
      </c>
      <c r="P1207" s="11"/>
    </row>
    <row r="1208" spans="4:16" x14ac:dyDescent="0.2">
      <c r="D1208" s="1">
        <v>46116</v>
      </c>
      <c r="E1208" s="2">
        <v>0.91666666666666663</v>
      </c>
      <c r="F1208" t="s">
        <v>31</v>
      </c>
      <c r="G1208">
        <f>VLOOKUP(Table4[[#This Row],[Home]],'NHL Model'!$A$6:$B$38,2,FALSE)</f>
        <v>0.17870302183926629</v>
      </c>
      <c r="H1208" t="s">
        <v>16</v>
      </c>
      <c r="I1208">
        <f>VLOOKUP(Table4[[#This Row],[Visitor]],'NHL Model'!$A$6:$B$38,2,FALSE)</f>
        <v>-1.0657812790446208</v>
      </c>
      <c r="J1208">
        <f>($B$1+Table4[[#This Row],[Home Differential]])-Table4[[#This Row],[Away Differential]]</f>
        <v>1.2943850498070495</v>
      </c>
      <c r="K1208" t="str">
        <f>IF(Table4[[#This Row],[HomeIce Differential]]&gt;0,Table4[[#This Row],[Home]],Table4[[#This Row],[Visitor]])</f>
        <v>Anaheim Ducks</v>
      </c>
      <c r="L1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0.7709732690686566</v>
      </c>
      <c r="M1208" t="str">
        <f>IF(OR((NHL2025_26Results[[#This Row],[Winning Team]]="")),"-",IF(Table4[[#This Row],[Predicted Winner]]=NHL2025_26Results[[#This Row],[Winning Team]],"YES","NO"))</f>
        <v>-</v>
      </c>
      <c r="N1208" t="str">
        <f>IF(Table4[[#This Row],[Adjusted Correct]]="-", "",IF(Table4[[#This Row],[Adjusted Correct]]="YES",(Table4[[#This Row],[Strength of Win]]-1)^2,(Table4[[#This Row],[Strength of Win]]-0)^2))</f>
        <v/>
      </c>
      <c r="P1208" s="11"/>
    </row>
    <row r="1209" spans="4:16" x14ac:dyDescent="0.2">
      <c r="D1209" s="1">
        <v>46116</v>
      </c>
      <c r="E1209" s="2">
        <v>0.79166666666666663</v>
      </c>
      <c r="F1209" t="s">
        <v>25</v>
      </c>
      <c r="G1209">
        <f>VLOOKUP(Table4[[#This Row],[Home]],'NHL Model'!$A$6:$B$38,2,FALSE)</f>
        <v>0.42567513732855267</v>
      </c>
      <c r="H1209" t="s">
        <v>30</v>
      </c>
      <c r="I1209">
        <f>VLOOKUP(Table4[[#This Row],[Visitor]],'NHL Model'!$A$6:$B$38,2,FALSE)</f>
        <v>-0.24093199744133265</v>
      </c>
      <c r="J1209">
        <f>($B$1+Table4[[#This Row],[Home Differential]])-Table4[[#This Row],[Away Differential]]</f>
        <v>0.71650788369304785</v>
      </c>
      <c r="K1209" t="str">
        <f>IF(Table4[[#This Row],[HomeIce Differential]]&gt;0,Table4[[#This Row],[Home]],Table4[[#This Row],[Visitor]])</f>
        <v>Carolina Hurricanes</v>
      </c>
      <c r="L1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0.60366287032278598</v>
      </c>
      <c r="M1209" t="str">
        <f>IF(OR((NHL2025_26Results[[#This Row],[Winning Team]]="")),"-",IF(Table4[[#This Row],[Predicted Winner]]=NHL2025_26Results[[#This Row],[Winning Team]],"YES","NO"))</f>
        <v>-</v>
      </c>
      <c r="N1209" t="str">
        <f>IF(Table4[[#This Row],[Adjusted Correct]]="-", "",IF(Table4[[#This Row],[Adjusted Correct]]="YES",(Table4[[#This Row],[Strength of Win]]-1)^2,(Table4[[#This Row],[Strength of Win]]-0)^2))</f>
        <v/>
      </c>
      <c r="P1209" s="11"/>
    </row>
    <row r="1210" spans="4:16" x14ac:dyDescent="0.2">
      <c r="D1210" s="1">
        <v>46116</v>
      </c>
      <c r="E1210" s="2">
        <v>0.79166666666666663</v>
      </c>
      <c r="F1210" t="s">
        <v>28</v>
      </c>
      <c r="G1210">
        <f>VLOOKUP(Table4[[#This Row],[Home]],'NHL Model'!$A$6:$B$38,2,FALSE)</f>
        <v>-0.59498940435054026</v>
      </c>
      <c r="H1210" t="s">
        <v>40</v>
      </c>
      <c r="I1210">
        <f>VLOOKUP(Table4[[#This Row],[Visitor]],'NHL Model'!$A$6:$B$38,2,FALSE)</f>
        <v>-0.31324182378279158</v>
      </c>
      <c r="J1210">
        <f>($B$1+Table4[[#This Row],[Home Differential]])-Table4[[#This Row],[Away Differential]]</f>
        <v>-0.23184683164458625</v>
      </c>
      <c r="K1210" t="str">
        <f>IF(Table4[[#This Row],[HomeIce Differential]]&gt;0,Table4[[#This Row],[Home]],Table4[[#This Row],[Visitor]])</f>
        <v>Winnipeg Jets</v>
      </c>
      <c r="L1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0.50784077017875306</v>
      </c>
      <c r="M1210" t="str">
        <f>IF(OR((NHL2025_26Results[[#This Row],[Winning Team]]="")),"-",IF(Table4[[#This Row],[Predicted Winner]]=NHL2025_26Results[[#This Row],[Winning Team]],"YES","NO"))</f>
        <v>-</v>
      </c>
      <c r="N1210" t="str">
        <f>IF(Table4[[#This Row],[Adjusted Correct]]="-", "",IF(Table4[[#This Row],[Adjusted Correct]]="YES",(Table4[[#This Row],[Strength of Win]]-1)^2,(Table4[[#This Row],[Strength of Win]]-0)^2))</f>
        <v/>
      </c>
      <c r="P1210" s="11"/>
    </row>
    <row r="1211" spans="4:16" x14ac:dyDescent="0.2">
      <c r="D1211" s="1">
        <v>46116</v>
      </c>
      <c r="E1211" s="2">
        <v>0.625</v>
      </c>
      <c r="F1211" t="s">
        <v>39</v>
      </c>
      <c r="G1211">
        <f>VLOOKUP(Table4[[#This Row],[Home]],'NHL Model'!$A$6:$B$38,2,FALSE)</f>
        <v>0.41344250185511977</v>
      </c>
      <c r="H1211" t="s">
        <v>12</v>
      </c>
      <c r="I1211">
        <f>VLOOKUP(Table4[[#This Row],[Visitor]],'NHL Model'!$A$6:$B$38,2,FALSE)</f>
        <v>1.6319036584269762</v>
      </c>
      <c r="J1211">
        <f>($B$1+Table4[[#This Row],[Home Differential]])-Table4[[#This Row],[Away Differential]]</f>
        <v>-1.168560407648694</v>
      </c>
      <c r="K1211" t="str">
        <f>IF(Table4[[#This Row],[HomeIce Differential]]&gt;0,Table4[[#This Row],[Home]],Table4[[#This Row],[Visitor]])</f>
        <v>Colorado Avalanche</v>
      </c>
      <c r="L1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0.63644667431368729</v>
      </c>
      <c r="M1211" t="str">
        <f>IF(OR((NHL2025_26Results[[#This Row],[Winning Team]]="")),"-",IF(Table4[[#This Row],[Predicted Winner]]=NHL2025_26Results[[#This Row],[Winning Team]],"YES","NO"))</f>
        <v>-</v>
      </c>
      <c r="N1211" t="str">
        <f>IF(Table4[[#This Row],[Adjusted Correct]]="-", "",IF(Table4[[#This Row],[Adjusted Correct]]="YES",(Table4[[#This Row],[Strength of Win]]-1)^2,(Table4[[#This Row],[Strength of Win]]-0)^2))</f>
        <v/>
      </c>
      <c r="P1211" s="11"/>
    </row>
    <row r="1212" spans="4:16" x14ac:dyDescent="0.2">
      <c r="D1212" s="1">
        <v>46116</v>
      </c>
      <c r="E1212" s="2">
        <v>0.91666666666666663</v>
      </c>
      <c r="F1212" t="s">
        <v>17</v>
      </c>
      <c r="G1212">
        <f>VLOOKUP(Table4[[#This Row],[Home]],'NHL Model'!$A$6:$B$38,2,FALSE)</f>
        <v>-0.81774666423752174</v>
      </c>
      <c r="H1212" t="s">
        <v>20</v>
      </c>
      <c r="I1212">
        <f>VLOOKUP(Table4[[#This Row],[Visitor]],'NHL Model'!$A$6:$B$38,2,FALSE)</f>
        <v>-0.24444083032063643</v>
      </c>
      <c r="J1212">
        <f>($B$1+Table4[[#This Row],[Home Differential]])-Table4[[#This Row],[Away Differential]]</f>
        <v>-0.52340508499372285</v>
      </c>
      <c r="K1212" t="str">
        <f>IF(Table4[[#This Row],[HomeIce Differential]]&gt;0,Table4[[#This Row],[Home]],Table4[[#This Row],[Visitor]])</f>
        <v>Vegas Golden Knights</v>
      </c>
      <c r="L1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0.5140693167207816</v>
      </c>
      <c r="M1212" t="str">
        <f>IF(OR((NHL2025_26Results[[#This Row],[Winning Team]]="")),"-",IF(Table4[[#This Row],[Predicted Winner]]=NHL2025_26Results[[#This Row],[Winning Team]],"YES","NO"))</f>
        <v>-</v>
      </c>
      <c r="N1212" t="str">
        <f>IF(Table4[[#This Row],[Adjusted Correct]]="-", "",IF(Table4[[#This Row],[Adjusted Correct]]="YES",(Table4[[#This Row],[Strength of Win]]-1)^2,(Table4[[#This Row],[Strength of Win]]-0)^2))</f>
        <v/>
      </c>
      <c r="P1212" s="11"/>
    </row>
    <row r="1213" spans="4:16" x14ac:dyDescent="0.2">
      <c r="D1213" s="1">
        <v>46116</v>
      </c>
      <c r="E1213" s="2">
        <v>0.79166666666666663</v>
      </c>
      <c r="F1213" t="s">
        <v>13</v>
      </c>
      <c r="G1213">
        <f>VLOOKUP(Table4[[#This Row],[Home]],'NHL Model'!$A$6:$B$38,2,FALSE)</f>
        <v>-0.33828359867721369</v>
      </c>
      <c r="H1213" t="s">
        <v>19</v>
      </c>
      <c r="I1213">
        <f>VLOOKUP(Table4[[#This Row],[Visitor]],'NHL Model'!$A$6:$B$38,2,FALSE)</f>
        <v>-0.63447859131898054</v>
      </c>
      <c r="J1213">
        <f>($B$1+Table4[[#This Row],[Home Differential]])-Table4[[#This Row],[Away Differential]]</f>
        <v>0.34609574156492934</v>
      </c>
      <c r="K1213" t="str">
        <f>IF(Table4[[#This Row],[HomeIce Differential]]&gt;0,Table4[[#This Row],[Home]],Table4[[#This Row],[Visitor]])</f>
        <v>Los Angeles Kings</v>
      </c>
      <c r="L1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0.58041178583628772</v>
      </c>
      <c r="M1213" t="str">
        <f>IF(OR((NHL2025_26Results[[#This Row],[Winning Team]]="")),"-",IF(Table4[[#This Row],[Predicted Winner]]=NHL2025_26Results[[#This Row],[Winning Team]],"YES","NO"))</f>
        <v>-</v>
      </c>
      <c r="N1213" t="str">
        <f>IF(Table4[[#This Row],[Adjusted Correct]]="-", "",IF(Table4[[#This Row],[Adjusted Correct]]="YES",(Table4[[#This Row],[Strength of Win]]-1)^2,(Table4[[#This Row],[Strength of Win]]-0)^2))</f>
        <v/>
      </c>
      <c r="P1213" s="11"/>
    </row>
    <row r="1214" spans="4:16" x14ac:dyDescent="0.2">
      <c r="D1214" s="1">
        <v>46116</v>
      </c>
      <c r="E1214" s="2">
        <v>0.79166666666666663</v>
      </c>
      <c r="F1214" t="s">
        <v>24</v>
      </c>
      <c r="G1214">
        <f>VLOOKUP(Table4[[#This Row],[Home]],'NHL Model'!$A$6:$B$38,2,FALSE)</f>
        <v>1.5302507646042616E-3</v>
      </c>
      <c r="H1214" t="s">
        <v>18</v>
      </c>
      <c r="I1214">
        <f>VLOOKUP(Table4[[#This Row],[Visitor]],'NHL Model'!$A$6:$B$38,2,FALSE)</f>
        <v>-0.59288962827382519</v>
      </c>
      <c r="J1214">
        <f>($B$1+Table4[[#This Row],[Home Differential]])-Table4[[#This Row],[Away Differential]]</f>
        <v>0.64432062796159195</v>
      </c>
      <c r="K1214" t="str">
        <f>IF(Table4[[#This Row],[HomeIce Differential]]&gt;0,Table4[[#This Row],[Home]],Table4[[#This Row],[Visitor]])</f>
        <v>New Jersey Devils</v>
      </c>
      <c r="L1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0.63773394280828299</v>
      </c>
      <c r="M1214" t="str">
        <f>IF(OR((NHL2025_26Results[[#This Row],[Winning Team]]="")),"-",IF(Table4[[#This Row],[Predicted Winner]]=NHL2025_26Results[[#This Row],[Winning Team]],"YES","NO"))</f>
        <v>-</v>
      </c>
      <c r="N1214" t="str">
        <f>IF(Table4[[#This Row],[Adjusted Correct]]="-", "",IF(Table4[[#This Row],[Adjusted Correct]]="YES",(Table4[[#This Row],[Strength of Win]]-1)^2,(Table4[[#This Row],[Strength of Win]]-0)^2))</f>
        <v/>
      </c>
      <c r="P1214" s="11"/>
    </row>
    <row r="1215" spans="4:16" x14ac:dyDescent="0.2">
      <c r="D1215" s="1">
        <v>46116</v>
      </c>
      <c r="E1215" s="2">
        <v>0.52083333333333337</v>
      </c>
      <c r="F1215" t="s">
        <v>15</v>
      </c>
      <c r="G1215">
        <f>VLOOKUP(Table4[[#This Row],[Home]],'NHL Model'!$A$6:$B$38,2,FALSE)</f>
        <v>-0.29003398448394263</v>
      </c>
      <c r="H1215" t="s">
        <v>26</v>
      </c>
      <c r="I1215">
        <f>VLOOKUP(Table4[[#This Row],[Visitor]],'NHL Model'!$A$6:$B$38,2,FALSE)</f>
        <v>-0.87533956503230947</v>
      </c>
      <c r="J1215">
        <f>($B$1+Table4[[#This Row],[Home Differential]])-Table4[[#This Row],[Away Differential]]</f>
        <v>0.63520632947152933</v>
      </c>
      <c r="K1215" t="str">
        <f>IF(Table4[[#This Row],[HomeIce Differential]]&gt;0,Table4[[#This Row],[Home]],Table4[[#This Row],[Visitor]])</f>
        <v>New York Rangers</v>
      </c>
      <c r="L1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0.61416971394212327</v>
      </c>
      <c r="M1215" t="str">
        <f>IF(OR((NHL2025_26Results[[#This Row],[Winning Team]]="")),"-",IF(Table4[[#This Row],[Predicted Winner]]=NHL2025_26Results[[#This Row],[Winning Team]],"YES","NO"))</f>
        <v>-</v>
      </c>
      <c r="N1215" t="str">
        <f>IF(Table4[[#This Row],[Adjusted Correct]]="-", "",IF(Table4[[#This Row],[Adjusted Correct]]="YES",(Table4[[#This Row],[Strength of Win]]-1)^2,(Table4[[#This Row],[Strength of Win]]-0)^2))</f>
        <v/>
      </c>
      <c r="P1215" s="11"/>
    </row>
    <row r="1216" spans="4:16" x14ac:dyDescent="0.2">
      <c r="D1216" s="1">
        <v>46116</v>
      </c>
      <c r="E1216" s="2">
        <v>0.54166666666666663</v>
      </c>
      <c r="F1216" t="s">
        <v>36</v>
      </c>
      <c r="G1216">
        <f>VLOOKUP(Table4[[#This Row],[Home]],'NHL Model'!$A$6:$B$38,2,FALSE)</f>
        <v>-0.53137605086483863</v>
      </c>
      <c r="H1216" t="s">
        <v>34</v>
      </c>
      <c r="I1216">
        <f>VLOOKUP(Table4[[#This Row],[Visitor]],'NHL Model'!$A$6:$B$38,2,FALSE)</f>
        <v>-5.5124787449478845E-2</v>
      </c>
      <c r="J1216">
        <f>($B$1+Table4[[#This Row],[Home Differential]])-Table4[[#This Row],[Away Differential]]</f>
        <v>-0.4263505144921973</v>
      </c>
      <c r="K1216" t="str">
        <f>IF(Table4[[#This Row],[HomeIce Differential]]&gt;0,Table4[[#This Row],[Home]],Table4[[#This Row],[Visitor]])</f>
        <v>Minnesota Wild</v>
      </c>
      <c r="L1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0.54978271505145748</v>
      </c>
      <c r="M1216" t="str">
        <f>IF(OR((NHL2025_26Results[[#This Row],[Winning Team]]="")),"-",IF(Table4[[#This Row],[Predicted Winner]]=NHL2025_26Results[[#This Row],[Winning Team]],"YES","NO"))</f>
        <v>-</v>
      </c>
      <c r="N1216" t="str">
        <f>IF(Table4[[#This Row],[Adjusted Correct]]="-", "",IF(Table4[[#This Row],[Adjusted Correct]]="YES",(Table4[[#This Row],[Strength of Win]]-1)^2,(Table4[[#This Row],[Strength of Win]]-0)^2))</f>
        <v/>
      </c>
      <c r="P1216" s="11"/>
    </row>
    <row r="1217" spans="4:16" x14ac:dyDescent="0.2">
      <c r="D1217" s="1">
        <v>46116</v>
      </c>
      <c r="E1217" s="2">
        <v>0.70833333333333337</v>
      </c>
      <c r="F1217" t="s">
        <v>14</v>
      </c>
      <c r="G1217">
        <f>VLOOKUP(Table4[[#This Row],[Home]],'NHL Model'!$A$6:$B$38,2,FALSE)</f>
        <v>-0.14226422156549004</v>
      </c>
      <c r="H1217" t="s">
        <v>11</v>
      </c>
      <c r="I1217">
        <f>VLOOKUP(Table4[[#This Row],[Visitor]],'NHL Model'!$A$6:$B$38,2,FALSE)</f>
        <v>-0.39711829106410657</v>
      </c>
      <c r="J1217">
        <f>($B$1+Table4[[#This Row],[Home Differential]])-Table4[[#This Row],[Away Differential]]</f>
        <v>0.30475481842177898</v>
      </c>
      <c r="K1217" t="str">
        <f>IF(Table4[[#This Row],[HomeIce Differential]]&gt;0,Table4[[#This Row],[Home]],Table4[[#This Row],[Visitor]])</f>
        <v>Pittsburgh Penguins</v>
      </c>
      <c r="L1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0.57558462291084611</v>
      </c>
      <c r="M1217" t="str">
        <f>IF(OR((NHL2025_26Results[[#This Row],[Winning Team]]="")),"-",IF(Table4[[#This Row],[Predicted Winner]]=NHL2025_26Results[[#This Row],[Winning Team]],"YES","NO"))</f>
        <v>-</v>
      </c>
      <c r="N1217" t="str">
        <f>IF(Table4[[#This Row],[Adjusted Correct]]="-", "",IF(Table4[[#This Row],[Adjusted Correct]]="YES",(Table4[[#This Row],[Strength of Win]]-1)^2,(Table4[[#This Row],[Strength of Win]]-0)^2))</f>
        <v/>
      </c>
      <c r="P1217" s="11"/>
    </row>
    <row r="1218" spans="4:16" x14ac:dyDescent="0.2">
      <c r="D1218" s="1">
        <v>46116</v>
      </c>
      <c r="E1218" s="2">
        <v>0.91666666666666663</v>
      </c>
      <c r="F1218" t="s">
        <v>32</v>
      </c>
      <c r="G1218">
        <f>VLOOKUP(Table4[[#This Row],[Home]],'NHL Model'!$A$6:$B$38,2,FALSE)</f>
        <v>-0.64937723527808999</v>
      </c>
      <c r="H1218" t="s">
        <v>10</v>
      </c>
      <c r="I1218">
        <f>VLOOKUP(Table4[[#This Row],[Visitor]],'NHL Model'!$A$6:$B$38,2,FALSE)</f>
        <v>-0.17619625518431364</v>
      </c>
      <c r="J1218">
        <f>($B$1+Table4[[#This Row],[Home Differential]])-Table4[[#This Row],[Away Differential]]</f>
        <v>-0.42328023117061392</v>
      </c>
      <c r="K1218" t="str">
        <f>IF(Table4[[#This Row],[HomeIce Differential]]&gt;0,Table4[[#This Row],[Home]],Table4[[#This Row],[Visitor]])</f>
        <v>Chicago Blackhawks</v>
      </c>
      <c r="L1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0.50942421415951489</v>
      </c>
      <c r="M1218" t="str">
        <f>IF(OR((NHL2025_26Results[[#This Row],[Winning Team]]="")),"-",IF(Table4[[#This Row],[Predicted Winner]]=NHL2025_26Results[[#This Row],[Winning Team]],"YES","NO"))</f>
        <v>-</v>
      </c>
      <c r="N1218" t="str">
        <f>IF(Table4[[#This Row],[Adjusted Correct]]="-", "",IF(Table4[[#This Row],[Adjusted Correct]]="YES",(Table4[[#This Row],[Strength of Win]]-1)^2,(Table4[[#This Row],[Strength of Win]]-0)^2))</f>
        <v/>
      </c>
      <c r="P1218" s="11"/>
    </row>
    <row r="1219" spans="4:16" x14ac:dyDescent="0.2">
      <c r="D1219" s="1">
        <v>46116</v>
      </c>
      <c r="E1219" s="2">
        <v>0.91666666666666663</v>
      </c>
      <c r="F1219" t="s">
        <v>33</v>
      </c>
      <c r="G1219">
        <f>VLOOKUP(Table4[[#This Row],[Home]],'NHL Model'!$A$6:$B$38,2,FALSE)</f>
        <v>-0.45133099238224339</v>
      </c>
      <c r="H1219" t="s">
        <v>29</v>
      </c>
      <c r="I1219">
        <f>VLOOKUP(Table4[[#This Row],[Visitor]],'NHL Model'!$A$6:$B$38,2,FALSE)</f>
        <v>-1.384917283810061</v>
      </c>
      <c r="J1219">
        <f>($B$1+Table4[[#This Row],[Home Differential]])-Table4[[#This Row],[Away Differential]]</f>
        <v>0.98348704035098011</v>
      </c>
      <c r="K1219" t="str">
        <f>IF(Table4[[#This Row],[HomeIce Differential]]&gt;0,Table4[[#This Row],[Home]],Table4[[#This Row],[Visitor]])</f>
        <v>San Jose Sharks</v>
      </c>
      <c r="L1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0.66495887658247987</v>
      </c>
      <c r="M1219" t="str">
        <f>IF(OR((NHL2025_26Results[[#This Row],[Winning Team]]="")),"-",IF(Table4[[#This Row],[Predicted Winner]]=NHL2025_26Results[[#This Row],[Winning Team]],"YES","NO"))</f>
        <v>-</v>
      </c>
      <c r="N1219" t="str">
        <f>IF(Table4[[#This Row],[Adjusted Correct]]="-", "",IF(Table4[[#This Row],[Adjusted Correct]]="YES",(Table4[[#This Row],[Strength of Win]]-1)^2,(Table4[[#This Row],[Strength of Win]]-0)^2))</f>
        <v/>
      </c>
      <c r="P1219" s="11"/>
    </row>
    <row r="1220" spans="4:16" x14ac:dyDescent="0.2">
      <c r="D1220" s="1">
        <v>46116</v>
      </c>
      <c r="E1220" s="2">
        <v>0.70833333333333337</v>
      </c>
      <c r="F1220" t="s">
        <v>37</v>
      </c>
      <c r="G1220">
        <f>VLOOKUP(Table4[[#This Row],[Home]],'NHL Model'!$A$6:$B$38,2,FALSE)</f>
        <v>0.51050494674660429</v>
      </c>
      <c r="H1220" t="s">
        <v>21</v>
      </c>
      <c r="I1220">
        <f>VLOOKUP(Table4[[#This Row],[Visitor]],'NHL Model'!$A$6:$B$38,2,FALSE)</f>
        <v>-0.21976976044773161</v>
      </c>
      <c r="J1220">
        <f>($B$1+Table4[[#This Row],[Home Differential]])-Table4[[#This Row],[Away Differential]]</f>
        <v>0.78017545611749828</v>
      </c>
      <c r="K1220" t="str">
        <f>IF(Table4[[#This Row],[HomeIce Differential]]&gt;0,Table4[[#This Row],[Home]],Table4[[#This Row],[Visitor]])</f>
        <v>Tampa Bay Lightning</v>
      </c>
      <c r="L1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0.66252557049821614</v>
      </c>
      <c r="M1220" t="str">
        <f>IF(OR((NHL2025_26Results[[#This Row],[Winning Team]]="")),"-",IF(Table4[[#This Row],[Predicted Winner]]=NHL2025_26Results[[#This Row],[Winning Team]],"YES","NO"))</f>
        <v>-</v>
      </c>
      <c r="N1220" t="str">
        <f>IF(Table4[[#This Row],[Adjusted Correct]]="-", "",IF(Table4[[#This Row],[Adjusted Correct]]="YES",(Table4[[#This Row],[Strength of Win]]-1)^2,(Table4[[#This Row],[Strength of Win]]-0)^2))</f>
        <v/>
      </c>
      <c r="P1220" s="11"/>
    </row>
    <row r="1221" spans="4:16" x14ac:dyDescent="0.2">
      <c r="D1221" s="1">
        <v>46116</v>
      </c>
      <c r="E1221" s="2">
        <v>0.79166666666666663</v>
      </c>
      <c r="F1221" t="s">
        <v>38</v>
      </c>
      <c r="G1221">
        <f>VLOOKUP(Table4[[#This Row],[Home]],'NHL Model'!$A$6:$B$38,2,FALSE)</f>
        <v>-0.9476777551108041</v>
      </c>
      <c r="H1221" t="s">
        <v>55</v>
      </c>
      <c r="I1221">
        <f>VLOOKUP(Table4[[#This Row],[Visitor]],'NHL Model'!$A$6:$B$38,2,FALSE)</f>
        <v>-0.4031232890211825</v>
      </c>
      <c r="J1221">
        <f>($B$1+Table4[[#This Row],[Home Differential]])-Table4[[#This Row],[Away Differential]]</f>
        <v>-0.49465371716645917</v>
      </c>
      <c r="K1221" t="str">
        <f>IF(Table4[[#This Row],[HomeIce Differential]]&gt;0,Table4[[#This Row],[Home]],Table4[[#This Row],[Visitor]])</f>
        <v>Utah Mammoth</v>
      </c>
      <c r="L1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0.51775812204700111</v>
      </c>
      <c r="M1221" t="str">
        <f>IF(OR((NHL2025_26Results[[#This Row],[Winning Team]]="")),"-",IF(Table4[[#This Row],[Predicted Winner]]=NHL2025_26Results[[#This Row],[Winning Team]],"YES","NO"))</f>
        <v>-</v>
      </c>
      <c r="N1221" t="str">
        <f>IF(Table4[[#This Row],[Adjusted Correct]]="-", "",IF(Table4[[#This Row],[Adjusted Correct]]="YES",(Table4[[#This Row],[Strength of Win]]-1)^2,(Table4[[#This Row],[Strength of Win]]-0)^2))</f>
        <v/>
      </c>
      <c r="P1221" s="11"/>
    </row>
    <row r="1222" spans="4:16" x14ac:dyDescent="0.2">
      <c r="D1222" s="1">
        <v>46116</v>
      </c>
      <c r="E1222" s="2">
        <v>0.79166666666666663</v>
      </c>
      <c r="F1222" t="s">
        <v>22</v>
      </c>
      <c r="G1222">
        <f>VLOOKUP(Table4[[#This Row],[Home]],'NHL Model'!$A$6:$B$38,2,FALSE)</f>
        <v>0.4407072328537569</v>
      </c>
      <c r="H1222" t="s">
        <v>23</v>
      </c>
      <c r="I1222">
        <f>VLOOKUP(Table4[[#This Row],[Visitor]],'NHL Model'!$A$6:$B$38,2,FALSE)</f>
        <v>-0.4761104357405897</v>
      </c>
      <c r="J1222">
        <f>($B$1+Table4[[#This Row],[Home Differential]])-Table4[[#This Row],[Away Differential]]</f>
        <v>0.96671841751750909</v>
      </c>
      <c r="K1222" t="str">
        <f>IF(Table4[[#This Row],[HomeIce Differential]]&gt;0,Table4[[#This Row],[Home]],Table4[[#This Row],[Visitor]])</f>
        <v>Washington Capitals</v>
      </c>
      <c r="L1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0.67891637883976597</v>
      </c>
      <c r="M1222" t="str">
        <f>IF(OR((NHL2025_26Results[[#This Row],[Winning Team]]="")),"-",IF(Table4[[#This Row],[Predicted Winner]]=NHL2025_26Results[[#This Row],[Winning Team]],"YES","NO"))</f>
        <v>-</v>
      </c>
      <c r="N1222" t="str">
        <f>IF(Table4[[#This Row],[Adjusted Correct]]="-", "",IF(Table4[[#This Row],[Adjusted Correct]]="YES",(Table4[[#This Row],[Strength of Win]]-1)^2,(Table4[[#This Row],[Strength of Win]]-0)^2))</f>
        <v/>
      </c>
      <c r="P1222" s="11"/>
    </row>
    <row r="1223" spans="4:16" x14ac:dyDescent="0.2">
      <c r="D1223" s="1">
        <v>46117</v>
      </c>
      <c r="E1223" s="2">
        <v>0.89583333333333337</v>
      </c>
      <c r="F1223" t="s">
        <v>12</v>
      </c>
      <c r="G1223">
        <f>VLOOKUP(Table4[[#This Row],[Home]],'NHL Model'!$A$6:$B$38,2,FALSE)</f>
        <v>1.6319036584269762</v>
      </c>
      <c r="H1223" t="s">
        <v>35</v>
      </c>
      <c r="I1223">
        <f>VLOOKUP(Table4[[#This Row],[Visitor]],'NHL Model'!$A$6:$B$38,2,FALSE)</f>
        <v>-1.3944783719477225</v>
      </c>
      <c r="J1223">
        <f>($B$1+Table4[[#This Row],[Home Differential]])-Table4[[#This Row],[Away Differential]]</f>
        <v>3.0762827792978609</v>
      </c>
      <c r="K1223" t="str">
        <f>IF(Table4[[#This Row],[HomeIce Differential]]&gt;0,Table4[[#This Row],[Home]],Table4[[#This Row],[Visitor]])</f>
        <v>Colorado Avalanche</v>
      </c>
      <c r="L1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1</v>
      </c>
      <c r="M1223" t="str">
        <f>IF(OR((NHL2025_26Results[[#This Row],[Winning Team]]="")),"-",IF(Table4[[#This Row],[Predicted Winner]]=NHL2025_26Results[[#This Row],[Winning Team]],"YES","NO"))</f>
        <v>-</v>
      </c>
      <c r="N1223" t="str">
        <f>IF(Table4[[#This Row],[Adjusted Correct]]="-", "",IF(Table4[[#This Row],[Adjusted Correct]]="YES",(Table4[[#This Row],[Strength of Win]]-1)^2,(Table4[[#This Row],[Strength of Win]]-0)^2))</f>
        <v/>
      </c>
      <c r="P1223" s="11"/>
    </row>
    <row r="1224" spans="4:16" x14ac:dyDescent="0.2">
      <c r="D1224" s="1">
        <v>46117</v>
      </c>
      <c r="E1224" s="2">
        <v>0.54166666666666663</v>
      </c>
      <c r="F1224" t="s">
        <v>26</v>
      </c>
      <c r="G1224">
        <f>VLOOKUP(Table4[[#This Row],[Home]],'NHL Model'!$A$6:$B$38,2,FALSE)</f>
        <v>-0.87533956503230947</v>
      </c>
      <c r="H1224" t="s">
        <v>34</v>
      </c>
      <c r="I1224">
        <f>VLOOKUP(Table4[[#This Row],[Visitor]],'NHL Model'!$A$6:$B$38,2,FALSE)</f>
        <v>-5.5124787449478845E-2</v>
      </c>
      <c r="J1224">
        <f>($B$1+Table4[[#This Row],[Home Differential]])-Table4[[#This Row],[Away Differential]]</f>
        <v>-0.77031402865966825</v>
      </c>
      <c r="K1224" t="str">
        <f>IF(Table4[[#This Row],[HomeIce Differential]]&gt;0,Table4[[#This Row],[Home]],Table4[[#This Row],[Visitor]])</f>
        <v>Minnesota Wild</v>
      </c>
      <c r="L1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0.59245809468373167</v>
      </c>
      <c r="M1224" t="str">
        <f>IF(OR((NHL2025_26Results[[#This Row],[Winning Team]]="")),"-",IF(Table4[[#This Row],[Predicted Winner]]=NHL2025_26Results[[#This Row],[Winning Team]],"YES","NO"))</f>
        <v>-</v>
      </c>
      <c r="N1224" t="str">
        <f>IF(Table4[[#This Row],[Adjusted Correct]]="-", "",IF(Table4[[#This Row],[Adjusted Correct]]="YES",(Table4[[#This Row],[Strength of Win]]-1)^2,(Table4[[#This Row],[Strength of Win]]-0)^2))</f>
        <v/>
      </c>
      <c r="P1224" s="11"/>
    </row>
    <row r="1225" spans="4:16" x14ac:dyDescent="0.2">
      <c r="D1225" s="1">
        <v>46117</v>
      </c>
      <c r="E1225" s="2">
        <v>0.79166666666666663</v>
      </c>
      <c r="F1225" t="s">
        <v>18</v>
      </c>
      <c r="G1225">
        <f>VLOOKUP(Table4[[#This Row],[Home]],'NHL Model'!$A$6:$B$38,2,FALSE)</f>
        <v>-0.59288962827382519</v>
      </c>
      <c r="H1225" t="s">
        <v>24</v>
      </c>
      <c r="I1225">
        <f>VLOOKUP(Table4[[#This Row],[Visitor]],'NHL Model'!$A$6:$B$38,2,FALSE)</f>
        <v>1.5302507646042616E-3</v>
      </c>
      <c r="J1225">
        <f>($B$1+Table4[[#This Row],[Home Differential]])-Table4[[#This Row],[Away Differential]]</f>
        <v>-0.54451913011526698</v>
      </c>
      <c r="K1225" t="str">
        <f>IF(Table4[[#This Row],[HomeIce Differential]]&gt;0,Table4[[#This Row],[Home]],Table4[[#This Row],[Visitor]])</f>
        <v>New Jersey Devils</v>
      </c>
      <c r="L1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0.54434987573897409</v>
      </c>
      <c r="M1225" t="str">
        <f>IF(OR((NHL2025_26Results[[#This Row],[Winning Team]]="")),"-",IF(Table4[[#This Row],[Predicted Winner]]=NHL2025_26Results[[#This Row],[Winning Team]],"YES","NO"))</f>
        <v>-</v>
      </c>
      <c r="N1225" t="str">
        <f>IF(Table4[[#This Row],[Adjusted Correct]]="-", "",IF(Table4[[#This Row],[Adjusted Correct]]="YES",(Table4[[#This Row],[Strength of Win]]-1)^2,(Table4[[#This Row],[Strength of Win]]-0)^2))</f>
        <v/>
      </c>
      <c r="P1225" s="11"/>
    </row>
    <row r="1226" spans="4:16" x14ac:dyDescent="0.2">
      <c r="D1226" s="1">
        <v>46117</v>
      </c>
      <c r="E1226" s="2">
        <v>0.79166666666666663</v>
      </c>
      <c r="F1226" t="s">
        <v>15</v>
      </c>
      <c r="G1226">
        <f>VLOOKUP(Table4[[#This Row],[Home]],'NHL Model'!$A$6:$B$38,2,FALSE)</f>
        <v>-0.29003398448394263</v>
      </c>
      <c r="H1226" t="s">
        <v>22</v>
      </c>
      <c r="I1226">
        <f>VLOOKUP(Table4[[#This Row],[Visitor]],'NHL Model'!$A$6:$B$38,2,FALSE)</f>
        <v>0.4407072328537569</v>
      </c>
      <c r="J1226">
        <f>($B$1+Table4[[#This Row],[Home Differential]])-Table4[[#This Row],[Away Differential]]</f>
        <v>-0.68084046841453705</v>
      </c>
      <c r="K1226" t="str">
        <f>IF(Table4[[#This Row],[HomeIce Differential]]&gt;0,Table4[[#This Row],[Home]],Table4[[#This Row],[Visitor]])</f>
        <v>Washington Capitals</v>
      </c>
      <c r="L1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0.58201073598961128</v>
      </c>
      <c r="M1226" t="str">
        <f>IF(OR((NHL2025_26Results[[#This Row],[Winning Team]]="")),"-",IF(Table4[[#This Row],[Predicted Winner]]=NHL2025_26Results[[#This Row],[Winning Team]],"YES","NO"))</f>
        <v>-</v>
      </c>
      <c r="N1226" t="str">
        <f>IF(Table4[[#This Row],[Adjusted Correct]]="-", "",IF(Table4[[#This Row],[Adjusted Correct]]="YES",(Table4[[#This Row],[Strength of Win]]-1)^2,(Table4[[#This Row],[Strength of Win]]-0)^2))</f>
        <v/>
      </c>
      <c r="P1226" s="11"/>
    </row>
    <row r="1227" spans="4:16" x14ac:dyDescent="0.2">
      <c r="D1227" s="1">
        <v>46117</v>
      </c>
      <c r="E1227" s="2">
        <v>0.70833333333333337</v>
      </c>
      <c r="F1227" t="s">
        <v>36</v>
      </c>
      <c r="G1227">
        <f>VLOOKUP(Table4[[#This Row],[Home]],'NHL Model'!$A$6:$B$38,2,FALSE)</f>
        <v>-0.53137605086483863</v>
      </c>
      <c r="H1227" t="s">
        <v>25</v>
      </c>
      <c r="I1227">
        <f>VLOOKUP(Table4[[#This Row],[Visitor]],'NHL Model'!$A$6:$B$38,2,FALSE)</f>
        <v>0.42567513732855267</v>
      </c>
      <c r="J1227">
        <f>($B$1+Table4[[#This Row],[Home Differential]])-Table4[[#This Row],[Away Differential]]</f>
        <v>-0.90715043927022876</v>
      </c>
      <c r="K1227" t="str">
        <f>IF(Table4[[#This Row],[HomeIce Differential]]&gt;0,Table4[[#This Row],[Home]],Table4[[#This Row],[Visitor]])</f>
        <v>Carolina Hurricanes</v>
      </c>
      <c r="L1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0.63604368429743785</v>
      </c>
      <c r="M1227" t="str">
        <f>IF(OR((NHL2025_26Results[[#This Row],[Winning Team]]="")),"-",IF(Table4[[#This Row],[Predicted Winner]]=NHL2025_26Results[[#This Row],[Winning Team]],"YES","NO"))</f>
        <v>-</v>
      </c>
      <c r="N1227" t="str">
        <f>IF(Table4[[#This Row],[Adjusted Correct]]="-", "",IF(Table4[[#This Row],[Adjusted Correct]]="YES",(Table4[[#This Row],[Strength of Win]]-1)^2,(Table4[[#This Row],[Strength of Win]]-0)^2))</f>
        <v/>
      </c>
      <c r="P1227" s="11"/>
    </row>
    <row r="1228" spans="4:16" x14ac:dyDescent="0.2">
      <c r="D1228" s="1">
        <v>46117</v>
      </c>
      <c r="E1228" s="2">
        <v>0.64583333333333337</v>
      </c>
      <c r="F1228" t="s">
        <v>27</v>
      </c>
      <c r="G1228">
        <f>VLOOKUP(Table4[[#This Row],[Home]],'NHL Model'!$A$6:$B$38,2,FALSE)</f>
        <v>-0.38023958350631604</v>
      </c>
      <c r="H1228" t="s">
        <v>21</v>
      </c>
      <c r="I1228">
        <f>VLOOKUP(Table4[[#This Row],[Visitor]],'NHL Model'!$A$6:$B$38,2,FALSE)</f>
        <v>-0.21976976044773161</v>
      </c>
      <c r="J1228">
        <f>($B$1+Table4[[#This Row],[Home Differential]])-Table4[[#This Row],[Away Differential]]</f>
        <v>-0.11056907413542194</v>
      </c>
      <c r="K1228" t="str">
        <f>IF(Table4[[#This Row],[HomeIce Differential]]&gt;0,Table4[[#This Row],[Home]],Table4[[#This Row],[Visitor]])</f>
        <v>Boston Bruins</v>
      </c>
      <c r="L1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0.45971908192667371</v>
      </c>
      <c r="M1228" t="str">
        <f>IF(OR((NHL2025_26Results[[#This Row],[Winning Team]]="")),"-",IF(Table4[[#This Row],[Predicted Winner]]=NHL2025_26Results[[#This Row],[Winning Team]],"YES","NO"))</f>
        <v>-</v>
      </c>
      <c r="N1228" t="str">
        <f>IF(Table4[[#This Row],[Adjusted Correct]]="-", "",IF(Table4[[#This Row],[Adjusted Correct]]="YES",(Table4[[#This Row],[Strength of Win]]-1)^2,(Table4[[#This Row],[Strength of Win]]-0)^2))</f>
        <v/>
      </c>
      <c r="P1228" s="11"/>
    </row>
    <row r="1229" spans="4:16" x14ac:dyDescent="0.2">
      <c r="D1229" s="1">
        <v>46117</v>
      </c>
      <c r="E1229" s="2">
        <v>0.625</v>
      </c>
      <c r="F1229" t="s">
        <v>14</v>
      </c>
      <c r="G1229">
        <f>VLOOKUP(Table4[[#This Row],[Home]],'NHL Model'!$A$6:$B$38,2,FALSE)</f>
        <v>-0.14226422156549004</v>
      </c>
      <c r="H1229" t="s">
        <v>11</v>
      </c>
      <c r="I1229">
        <f>VLOOKUP(Table4[[#This Row],[Visitor]],'NHL Model'!$A$6:$B$38,2,FALSE)</f>
        <v>-0.39711829106410657</v>
      </c>
      <c r="J1229">
        <f>($B$1+Table4[[#This Row],[Home Differential]])-Table4[[#This Row],[Away Differential]]</f>
        <v>0.30475481842177898</v>
      </c>
      <c r="K1229" t="str">
        <f>IF(Table4[[#This Row],[HomeIce Differential]]&gt;0,Table4[[#This Row],[Home]],Table4[[#This Row],[Visitor]])</f>
        <v>Pittsburgh Penguins</v>
      </c>
      <c r="L1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0.57558462291084611</v>
      </c>
      <c r="M1229" t="str">
        <f>IF(OR((NHL2025_26Results[[#This Row],[Winning Team]]="")),"-",IF(Table4[[#This Row],[Predicted Winner]]=NHL2025_26Results[[#This Row],[Winning Team]],"YES","NO"))</f>
        <v>-</v>
      </c>
      <c r="N1229" t="str">
        <f>IF(Table4[[#This Row],[Adjusted Correct]]="-", "",IF(Table4[[#This Row],[Adjusted Correct]]="YES",(Table4[[#This Row],[Strength of Win]]-1)^2,(Table4[[#This Row],[Strength of Win]]-0)^2))</f>
        <v/>
      </c>
      <c r="P1229" s="11"/>
    </row>
    <row r="1230" spans="4:16" x14ac:dyDescent="0.2">
      <c r="D1230" s="1">
        <v>46118</v>
      </c>
      <c r="E1230" s="2">
        <v>0.79166666666666663</v>
      </c>
      <c r="F1230" t="s">
        <v>23</v>
      </c>
      <c r="G1230">
        <f>VLOOKUP(Table4[[#This Row],[Home]],'NHL Model'!$A$6:$B$38,2,FALSE)</f>
        <v>-0.4761104357405897</v>
      </c>
      <c r="H1230" t="s">
        <v>37</v>
      </c>
      <c r="I1230">
        <f>VLOOKUP(Table4[[#This Row],[Visitor]],'NHL Model'!$A$6:$B$38,2,FALSE)</f>
        <v>0.51050494674660429</v>
      </c>
      <c r="J1230">
        <f>($B$1+Table4[[#This Row],[Home Differential]])-Table4[[#This Row],[Away Differential]]</f>
        <v>-0.93671463356403151</v>
      </c>
      <c r="K1230" t="str">
        <f>IF(Table4[[#This Row],[HomeIce Differential]]&gt;0,Table4[[#This Row],[Home]],Table4[[#This Row],[Visitor]])</f>
        <v>Tampa Bay Lightning</v>
      </c>
      <c r="L1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0.65174813974582668</v>
      </c>
      <c r="M1230" t="str">
        <f>IF(OR((NHL2025_26Results[[#This Row],[Winning Team]]="")),"-",IF(Table4[[#This Row],[Predicted Winner]]=NHL2025_26Results[[#This Row],[Winning Team]],"YES","NO"))</f>
        <v>-</v>
      </c>
      <c r="N1230" t="str">
        <f>IF(Table4[[#This Row],[Adjusted Correct]]="-", "",IF(Table4[[#This Row],[Adjusted Correct]]="YES",(Table4[[#This Row],[Strength of Win]]-1)^2,(Table4[[#This Row],[Strength of Win]]-0)^2))</f>
        <v/>
      </c>
      <c r="P1230" s="11"/>
    </row>
    <row r="1231" spans="4:16" x14ac:dyDescent="0.2">
      <c r="D1231" s="1">
        <v>46118</v>
      </c>
      <c r="E1231" s="2">
        <v>0.9375</v>
      </c>
      <c r="F1231" t="s">
        <v>13</v>
      </c>
      <c r="G1231">
        <f>VLOOKUP(Table4[[#This Row],[Home]],'NHL Model'!$A$6:$B$38,2,FALSE)</f>
        <v>-0.33828359867721369</v>
      </c>
      <c r="H1231" t="s">
        <v>29</v>
      </c>
      <c r="I1231">
        <f>VLOOKUP(Table4[[#This Row],[Visitor]],'NHL Model'!$A$6:$B$38,2,FALSE)</f>
        <v>-1.384917283810061</v>
      </c>
      <c r="J1231">
        <f>($B$1+Table4[[#This Row],[Home Differential]])-Table4[[#This Row],[Away Differential]]</f>
        <v>1.0965344340560097</v>
      </c>
      <c r="K1231" t="str">
        <f>IF(Table4[[#This Row],[HomeIce Differential]]&gt;0,Table4[[#This Row],[Home]],Table4[[#This Row],[Visitor]])</f>
        <v>Los Angeles Kings</v>
      </c>
      <c r="L1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0.6680365788692405</v>
      </c>
      <c r="M1231" t="str">
        <f>IF(OR((NHL2025_26Results[[#This Row],[Winning Team]]="")),"-",IF(Table4[[#This Row],[Predicted Winner]]=NHL2025_26Results[[#This Row],[Winning Team]],"YES","NO"))</f>
        <v>-</v>
      </c>
      <c r="N1231" t="str">
        <f>IF(Table4[[#This Row],[Adjusted Correct]]="-", "",IF(Table4[[#This Row],[Adjusted Correct]]="YES",(Table4[[#This Row],[Strength of Win]]-1)^2,(Table4[[#This Row],[Strength of Win]]-0)^2))</f>
        <v/>
      </c>
      <c r="P1231" s="11"/>
    </row>
    <row r="1232" spans="4:16" x14ac:dyDescent="0.2">
      <c r="D1232" s="1">
        <v>46118</v>
      </c>
      <c r="E1232" s="2">
        <v>0.91666666666666663</v>
      </c>
      <c r="F1232" t="s">
        <v>33</v>
      </c>
      <c r="G1232">
        <f>VLOOKUP(Table4[[#This Row],[Home]],'NHL Model'!$A$6:$B$38,2,FALSE)</f>
        <v>-0.45133099238224339</v>
      </c>
      <c r="H1232" t="s">
        <v>10</v>
      </c>
      <c r="I1232">
        <f>VLOOKUP(Table4[[#This Row],[Visitor]],'NHL Model'!$A$6:$B$38,2,FALSE)</f>
        <v>-0.17619625518431364</v>
      </c>
      <c r="J1232">
        <f>($B$1+Table4[[#This Row],[Home Differential]])-Table4[[#This Row],[Away Differential]]</f>
        <v>-0.22523398827476726</v>
      </c>
      <c r="K1232" t="str">
        <f>IF(Table4[[#This Row],[HomeIce Differential]]&gt;0,Table4[[#This Row],[Home]],Table4[[#This Row],[Visitor]])</f>
        <v>Chicago Blackhawks</v>
      </c>
      <c r="L1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0.47617714295874053</v>
      </c>
      <c r="M1232" t="str">
        <f>IF(OR((NHL2025_26Results[[#This Row],[Winning Team]]="")),"-",IF(Table4[[#This Row],[Predicted Winner]]=NHL2025_26Results[[#This Row],[Winning Team]],"YES","NO"))</f>
        <v>-</v>
      </c>
      <c r="N1232" t="str">
        <f>IF(Table4[[#This Row],[Adjusted Correct]]="-", "",IF(Table4[[#This Row],[Adjusted Correct]]="YES",(Table4[[#This Row],[Strength of Win]]-1)^2,(Table4[[#This Row],[Strength of Win]]-0)^2))</f>
        <v/>
      </c>
      <c r="P1232" s="11"/>
    </row>
    <row r="1233" spans="4:16" x14ac:dyDescent="0.2">
      <c r="D1233" s="1">
        <v>46118</v>
      </c>
      <c r="E1233" s="2">
        <v>0.8125</v>
      </c>
      <c r="F1233" t="s">
        <v>40</v>
      </c>
      <c r="G1233">
        <f>VLOOKUP(Table4[[#This Row],[Home]],'NHL Model'!$A$6:$B$38,2,FALSE)</f>
        <v>-0.31324182378279158</v>
      </c>
      <c r="H1233" t="s">
        <v>32</v>
      </c>
      <c r="I1233">
        <f>VLOOKUP(Table4[[#This Row],[Visitor]],'NHL Model'!$A$6:$B$38,2,FALSE)</f>
        <v>-0.64937723527808999</v>
      </c>
      <c r="J1233">
        <f>($B$1+Table4[[#This Row],[Home Differential]])-Table4[[#This Row],[Away Differential]]</f>
        <v>0.38603616041846089</v>
      </c>
      <c r="K1233" t="str">
        <f>IF(Table4[[#This Row],[HomeIce Differential]]&gt;0,Table4[[#This Row],[Home]],Table4[[#This Row],[Visitor]])</f>
        <v>Winnipeg Jets</v>
      </c>
      <c r="L1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0.58757089842028809</v>
      </c>
      <c r="M1233" t="str">
        <f>IF(OR((NHL2025_26Results[[#This Row],[Winning Team]]="")),"-",IF(Table4[[#This Row],[Predicted Winner]]=NHL2025_26Results[[#This Row],[Winning Team]],"YES","NO"))</f>
        <v>-</v>
      </c>
      <c r="N1233" t="str">
        <f>IF(Table4[[#This Row],[Adjusted Correct]]="-", "",IF(Table4[[#This Row],[Adjusted Correct]]="YES",(Table4[[#This Row],[Strength of Win]]-1)^2,(Table4[[#This Row],[Strength of Win]]-0)^2))</f>
        <v/>
      </c>
      <c r="P1233" s="11"/>
    </row>
    <row r="1234" spans="4:16" x14ac:dyDescent="0.2">
      <c r="D1234" s="1">
        <v>46119</v>
      </c>
      <c r="E1234" s="2">
        <v>0.91666666666666663</v>
      </c>
      <c r="F1234" t="s">
        <v>31</v>
      </c>
      <c r="G1234">
        <f>VLOOKUP(Table4[[#This Row],[Home]],'NHL Model'!$A$6:$B$38,2,FALSE)</f>
        <v>0.17870302183926629</v>
      </c>
      <c r="H1234" t="s">
        <v>29</v>
      </c>
      <c r="I1234">
        <f>VLOOKUP(Table4[[#This Row],[Visitor]],'NHL Model'!$A$6:$B$38,2,FALSE)</f>
        <v>-1.384917283810061</v>
      </c>
      <c r="J1234">
        <f>($B$1+Table4[[#This Row],[Home Differential]])-Table4[[#This Row],[Away Differential]]</f>
        <v>1.6135210545724896</v>
      </c>
      <c r="K1234" t="str">
        <f>IF(Table4[[#This Row],[HomeIce Differential]]&gt;0,Table4[[#This Row],[Home]],Table4[[#This Row],[Visitor]])</f>
        <v>Anaheim Ducks</v>
      </c>
      <c r="L1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0.8082371077362871</v>
      </c>
      <c r="M1234" t="str">
        <f>IF(OR((NHL2025_26Results[[#This Row],[Winning Team]]="")),"-",IF(Table4[[#This Row],[Predicted Winner]]=NHL2025_26Results[[#This Row],[Winning Team]],"YES","NO"))</f>
        <v>-</v>
      </c>
      <c r="N1234" t="str">
        <f>IF(Table4[[#This Row],[Adjusted Correct]]="-", "",IF(Table4[[#This Row],[Adjusted Correct]]="YES",(Table4[[#This Row],[Strength of Win]]-1)^2,(Table4[[#This Row],[Strength of Win]]-0)^2))</f>
        <v/>
      </c>
      <c r="P1234" s="11"/>
    </row>
    <row r="1235" spans="4:16" x14ac:dyDescent="0.2">
      <c r="D1235" s="1">
        <v>46119</v>
      </c>
      <c r="E1235" s="2">
        <v>0.79166666666666663</v>
      </c>
      <c r="F1235" t="s">
        <v>25</v>
      </c>
      <c r="G1235">
        <f>VLOOKUP(Table4[[#This Row],[Home]],'NHL Model'!$A$6:$B$38,2,FALSE)</f>
        <v>0.42567513732855267</v>
      </c>
      <c r="H1235" t="s">
        <v>21</v>
      </c>
      <c r="I1235">
        <f>VLOOKUP(Table4[[#This Row],[Visitor]],'NHL Model'!$A$6:$B$38,2,FALSE)</f>
        <v>-0.21976976044773161</v>
      </c>
      <c r="J1235">
        <f>($B$1+Table4[[#This Row],[Home Differential]])-Table4[[#This Row],[Away Differential]]</f>
        <v>0.69534564669944676</v>
      </c>
      <c r="K1235" t="str">
        <f>IF(Table4[[#This Row],[HomeIce Differential]]&gt;0,Table4[[#This Row],[Home]],Table4[[#This Row],[Visitor]])</f>
        <v>Carolina Hurricanes</v>
      </c>
      <c r="L1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0.67210095773054734</v>
      </c>
      <c r="M1235" t="str">
        <f>IF(OR((NHL2025_26Results[[#This Row],[Winning Team]]="")),"-",IF(Table4[[#This Row],[Predicted Winner]]=NHL2025_26Results[[#This Row],[Winning Team]],"YES","NO"))</f>
        <v>-</v>
      </c>
      <c r="N1235" t="str">
        <f>IF(Table4[[#This Row],[Adjusted Correct]]="-", "",IF(Table4[[#This Row],[Adjusted Correct]]="YES",(Table4[[#This Row],[Strength of Win]]-1)^2,(Table4[[#This Row],[Strength of Win]]-0)^2))</f>
        <v/>
      </c>
      <c r="P1235" s="11"/>
    </row>
    <row r="1236" spans="4:16" x14ac:dyDescent="0.2">
      <c r="D1236" s="1">
        <v>46119</v>
      </c>
      <c r="E1236" s="2">
        <v>0.83333333333333337</v>
      </c>
      <c r="F1236" t="s">
        <v>39</v>
      </c>
      <c r="G1236">
        <f>VLOOKUP(Table4[[#This Row],[Home]],'NHL Model'!$A$6:$B$38,2,FALSE)</f>
        <v>0.41344250185511977</v>
      </c>
      <c r="H1236" t="s">
        <v>16</v>
      </c>
      <c r="I1236">
        <f>VLOOKUP(Table4[[#This Row],[Visitor]],'NHL Model'!$A$6:$B$38,2,FALSE)</f>
        <v>-1.0657812790446208</v>
      </c>
      <c r="J1236">
        <f>($B$1+Table4[[#This Row],[Home Differential]])-Table4[[#This Row],[Away Differential]]</f>
        <v>1.529124529822903</v>
      </c>
      <c r="K1236" t="str">
        <f>IF(Table4[[#This Row],[HomeIce Differential]]&gt;0,Table4[[#This Row],[Home]],Table4[[#This Row],[Visitor]])</f>
        <v>Dallas Stars</v>
      </c>
      <c r="L1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0.75079392293246339</v>
      </c>
      <c r="M1236" t="str">
        <f>IF(OR((NHL2025_26Results[[#This Row],[Winning Team]]="")),"-",IF(Table4[[#This Row],[Predicted Winner]]=NHL2025_26Results[[#This Row],[Winning Team]],"YES","NO"))</f>
        <v>-</v>
      </c>
      <c r="N1236" t="str">
        <f>IF(Table4[[#This Row],[Adjusted Correct]]="-", "",IF(Table4[[#This Row],[Adjusted Correct]]="YES",(Table4[[#This Row],[Strength of Win]]-1)^2,(Table4[[#This Row],[Strength of Win]]-0)^2))</f>
        <v/>
      </c>
      <c r="P1236" s="11"/>
    </row>
    <row r="1237" spans="4:16" x14ac:dyDescent="0.2">
      <c r="D1237" s="1">
        <v>46119</v>
      </c>
      <c r="E1237" s="2">
        <v>0.79166666666666663</v>
      </c>
      <c r="F1237" t="s">
        <v>26</v>
      </c>
      <c r="G1237">
        <f>VLOOKUP(Table4[[#This Row],[Home]],'NHL Model'!$A$6:$B$38,2,FALSE)</f>
        <v>-0.87533956503230947</v>
      </c>
      <c r="H1237" t="s">
        <v>28</v>
      </c>
      <c r="I1237">
        <f>VLOOKUP(Table4[[#This Row],[Visitor]],'NHL Model'!$A$6:$B$38,2,FALSE)</f>
        <v>-0.59498940435054026</v>
      </c>
      <c r="J1237">
        <f>($B$1+Table4[[#This Row],[Home Differential]])-Table4[[#This Row],[Away Differential]]</f>
        <v>-0.23044941175860678</v>
      </c>
      <c r="K1237" t="str">
        <f>IF(Table4[[#This Row],[HomeIce Differential]]&gt;0,Table4[[#This Row],[Home]],Table4[[#This Row],[Visitor]])</f>
        <v>Columbus Blue Jackets</v>
      </c>
      <c r="L1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0.49048452895378603</v>
      </c>
      <c r="M1237" t="str">
        <f>IF(OR((NHL2025_26Results[[#This Row],[Winning Team]]="")),"-",IF(Table4[[#This Row],[Predicted Winner]]=NHL2025_26Results[[#This Row],[Winning Team]],"YES","NO"))</f>
        <v>-</v>
      </c>
      <c r="N1237" t="str">
        <f>IF(Table4[[#This Row],[Adjusted Correct]]="-", "",IF(Table4[[#This Row],[Adjusted Correct]]="YES",(Table4[[#This Row],[Strength of Win]]-1)^2,(Table4[[#This Row],[Strength of Win]]-0)^2))</f>
        <v/>
      </c>
      <c r="P1237" s="11"/>
    </row>
    <row r="1238" spans="4:16" x14ac:dyDescent="0.2">
      <c r="D1238" s="1">
        <v>46119</v>
      </c>
      <c r="E1238" s="2">
        <v>0.83333333333333337</v>
      </c>
      <c r="F1238" t="s">
        <v>34</v>
      </c>
      <c r="G1238">
        <f>VLOOKUP(Table4[[#This Row],[Home]],'NHL Model'!$A$6:$B$38,2,FALSE)</f>
        <v>-5.5124787449478845E-2</v>
      </c>
      <c r="H1238" t="s">
        <v>32</v>
      </c>
      <c r="I1238">
        <f>VLOOKUP(Table4[[#This Row],[Visitor]],'NHL Model'!$A$6:$B$38,2,FALSE)</f>
        <v>-0.64937723527808999</v>
      </c>
      <c r="J1238">
        <f>($B$1+Table4[[#This Row],[Home Differential]])-Table4[[#This Row],[Away Differential]]</f>
        <v>0.64415319675177363</v>
      </c>
      <c r="K1238" t="str">
        <f>IF(Table4[[#This Row],[HomeIce Differential]]&gt;0,Table4[[#This Row],[Home]],Table4[[#This Row],[Visitor]])</f>
        <v>Minnesota Wild</v>
      </c>
      <c r="L1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0.6152143927434286</v>
      </c>
      <c r="M1238" t="str">
        <f>IF(OR((NHL2025_26Results[[#This Row],[Winning Team]]="")),"-",IF(Table4[[#This Row],[Predicted Winner]]=NHL2025_26Results[[#This Row],[Winning Team]],"YES","NO"))</f>
        <v>-</v>
      </c>
      <c r="N1238" t="str">
        <f>IF(Table4[[#This Row],[Adjusted Correct]]="-", "",IF(Table4[[#This Row],[Adjusted Correct]]="YES",(Table4[[#This Row],[Strength of Win]]-1)^2,(Table4[[#This Row],[Strength of Win]]-0)^2))</f>
        <v/>
      </c>
      <c r="P1238" s="11"/>
    </row>
    <row r="1239" spans="4:16" x14ac:dyDescent="0.2">
      <c r="D1239" s="1">
        <v>46119</v>
      </c>
      <c r="E1239" s="2">
        <v>0.79166666666666663</v>
      </c>
      <c r="F1239" t="s">
        <v>18</v>
      </c>
      <c r="G1239">
        <f>VLOOKUP(Table4[[#This Row],[Home]],'NHL Model'!$A$6:$B$38,2,FALSE)</f>
        <v>-0.59288962827382519</v>
      </c>
      <c r="H1239" t="s">
        <v>11</v>
      </c>
      <c r="I1239">
        <f>VLOOKUP(Table4[[#This Row],[Visitor]],'NHL Model'!$A$6:$B$38,2,FALSE)</f>
        <v>-0.39711829106410657</v>
      </c>
      <c r="J1239">
        <f>($B$1+Table4[[#This Row],[Home Differential]])-Table4[[#This Row],[Away Differential]]</f>
        <v>-0.14587058828655619</v>
      </c>
      <c r="K1239" t="str">
        <f>IF(Table4[[#This Row],[HomeIce Differential]]&gt;0,Table4[[#This Row],[Home]],Table4[[#This Row],[Visitor]])</f>
        <v>Florida Panthers</v>
      </c>
      <c r="L1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0.47703254407868434</v>
      </c>
      <c r="M1239" t="str">
        <f>IF(OR((NHL2025_26Results[[#This Row],[Winning Team]]="")),"-",IF(Table4[[#This Row],[Predicted Winner]]=NHL2025_26Results[[#This Row],[Winning Team]],"YES","NO"))</f>
        <v>-</v>
      </c>
      <c r="N1239" t="str">
        <f>IF(Table4[[#This Row],[Adjusted Correct]]="-", "",IF(Table4[[#This Row],[Adjusted Correct]]="YES",(Table4[[#This Row],[Strength of Win]]-1)^2,(Table4[[#This Row],[Strength of Win]]-0)^2))</f>
        <v/>
      </c>
      <c r="P1239" s="11"/>
    </row>
    <row r="1240" spans="4:16" x14ac:dyDescent="0.2">
      <c r="D1240" s="1">
        <v>46119</v>
      </c>
      <c r="E1240" s="2">
        <v>0.79166666666666663</v>
      </c>
      <c r="F1240" t="s">
        <v>24</v>
      </c>
      <c r="G1240">
        <f>VLOOKUP(Table4[[#This Row],[Home]],'NHL Model'!$A$6:$B$38,2,FALSE)</f>
        <v>1.5302507646042616E-3</v>
      </c>
      <c r="H1240" t="s">
        <v>27</v>
      </c>
      <c r="I1240">
        <f>VLOOKUP(Table4[[#This Row],[Visitor]],'NHL Model'!$A$6:$B$38,2,FALSE)</f>
        <v>-0.38023958350631604</v>
      </c>
      <c r="J1240">
        <f>($B$1+Table4[[#This Row],[Home Differential]])-Table4[[#This Row],[Away Differential]]</f>
        <v>0.43167058319408275</v>
      </c>
      <c r="K1240" t="str">
        <f>IF(Table4[[#This Row],[HomeIce Differential]]&gt;0,Table4[[#This Row],[Home]],Table4[[#This Row],[Visitor]])</f>
        <v>New Jersey Devils</v>
      </c>
      <c r="L1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0.62935128001206531</v>
      </c>
      <c r="M1240" t="str">
        <f>IF(OR((NHL2025_26Results[[#This Row],[Winning Team]]="")),"-",IF(Table4[[#This Row],[Predicted Winner]]=NHL2025_26Results[[#This Row],[Winning Team]],"YES","NO"))</f>
        <v>-</v>
      </c>
      <c r="N1240" t="str">
        <f>IF(Table4[[#This Row],[Adjusted Correct]]="-", "",IF(Table4[[#This Row],[Adjusted Correct]]="YES",(Table4[[#This Row],[Strength of Win]]-1)^2,(Table4[[#This Row],[Strength of Win]]-0)^2))</f>
        <v/>
      </c>
      <c r="P1240" s="11"/>
    </row>
    <row r="1241" spans="4:16" x14ac:dyDescent="0.2">
      <c r="D1241" s="1">
        <v>46119</v>
      </c>
      <c r="E1241" s="2">
        <v>0.79166666666666663</v>
      </c>
      <c r="F1241" t="s">
        <v>36</v>
      </c>
      <c r="G1241">
        <f>VLOOKUP(Table4[[#This Row],[Home]],'NHL Model'!$A$6:$B$38,2,FALSE)</f>
        <v>-0.53137605086483863</v>
      </c>
      <c r="H1241" t="s">
        <v>37</v>
      </c>
      <c r="I1241">
        <f>VLOOKUP(Table4[[#This Row],[Visitor]],'NHL Model'!$A$6:$B$38,2,FALSE)</f>
        <v>0.51050494674660429</v>
      </c>
      <c r="J1241">
        <f>($B$1+Table4[[#This Row],[Home Differential]])-Table4[[#This Row],[Away Differential]]</f>
        <v>-0.9919802486882805</v>
      </c>
      <c r="K1241" t="str">
        <f>IF(Table4[[#This Row],[HomeIce Differential]]&gt;0,Table4[[#This Row],[Home]],Table4[[#This Row],[Visitor]])</f>
        <v>Tampa Bay Lightning</v>
      </c>
      <c r="L1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0.66582833461791524</v>
      </c>
      <c r="M1241" t="str">
        <f>IF(OR((NHL2025_26Results[[#This Row],[Winning Team]]="")),"-",IF(Table4[[#This Row],[Predicted Winner]]=NHL2025_26Results[[#This Row],[Winning Team]],"YES","NO"))</f>
        <v>-</v>
      </c>
      <c r="N1241" t="str">
        <f>IF(Table4[[#This Row],[Adjusted Correct]]="-", "",IF(Table4[[#This Row],[Adjusted Correct]]="YES",(Table4[[#This Row],[Strength of Win]]-1)^2,(Table4[[#This Row],[Strength of Win]]-0)^2))</f>
        <v/>
      </c>
      <c r="P1241" s="11"/>
    </row>
    <row r="1242" spans="4:16" x14ac:dyDescent="0.2">
      <c r="D1242" s="1">
        <v>46119</v>
      </c>
      <c r="E1242" s="2">
        <v>0.83333333333333337</v>
      </c>
      <c r="F1242" t="s">
        <v>35</v>
      </c>
      <c r="G1242">
        <f>VLOOKUP(Table4[[#This Row],[Home]],'NHL Model'!$A$6:$B$38,2,FALSE)</f>
        <v>-1.3944783719477225</v>
      </c>
      <c r="H1242" t="s">
        <v>12</v>
      </c>
      <c r="I1242">
        <f>VLOOKUP(Table4[[#This Row],[Visitor]],'NHL Model'!$A$6:$B$38,2,FALSE)</f>
        <v>1.6319036584269762</v>
      </c>
      <c r="J1242">
        <f>($B$1+Table4[[#This Row],[Home Differential]])-Table4[[#This Row],[Away Differential]]</f>
        <v>-2.9764812814515365</v>
      </c>
      <c r="K1242" t="str">
        <f>IF(Table4[[#This Row],[HomeIce Differential]]&gt;0,Table4[[#This Row],[Home]],Table4[[#This Row],[Visitor]])</f>
        <v>Colorado Avalanche</v>
      </c>
      <c r="L1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0.88017128844573156</v>
      </c>
      <c r="M1242" t="str">
        <f>IF(OR((NHL2025_26Results[[#This Row],[Winning Team]]="")),"-",IF(Table4[[#This Row],[Predicted Winner]]=NHL2025_26Results[[#This Row],[Winning Team]],"YES","NO"))</f>
        <v>-</v>
      </c>
      <c r="N1242" t="str">
        <f>IF(Table4[[#This Row],[Adjusted Correct]]="-", "",IF(Table4[[#This Row],[Adjusted Correct]]="YES",(Table4[[#This Row],[Strength of Win]]-1)^2,(Table4[[#This Row],[Strength of Win]]-0)^2))</f>
        <v/>
      </c>
      <c r="P1242" s="11"/>
    </row>
    <row r="1243" spans="4:16" x14ac:dyDescent="0.2">
      <c r="D1243" s="1">
        <v>46119</v>
      </c>
      <c r="E1243" s="2">
        <v>0.89583333333333337</v>
      </c>
      <c r="F1243" t="s">
        <v>55</v>
      </c>
      <c r="G1243">
        <f>VLOOKUP(Table4[[#This Row],[Home]],'NHL Model'!$A$6:$B$38,2,FALSE)</f>
        <v>-0.4031232890211825</v>
      </c>
      <c r="H1243" t="s">
        <v>17</v>
      </c>
      <c r="I1243">
        <f>VLOOKUP(Table4[[#This Row],[Visitor]],'NHL Model'!$A$6:$B$38,2,FALSE)</f>
        <v>-0.81774666423752174</v>
      </c>
      <c r="J1243">
        <f>($B$1+Table4[[#This Row],[Home Differential]])-Table4[[#This Row],[Away Differential]]</f>
        <v>0.46452412413950173</v>
      </c>
      <c r="K1243" t="str">
        <f>IF(Table4[[#This Row],[HomeIce Differential]]&gt;0,Table4[[#This Row],[Home]],Table4[[#This Row],[Visitor]])</f>
        <v>Utah Mammoth</v>
      </c>
      <c r="L1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0.63467122482615079</v>
      </c>
      <c r="M1243" t="str">
        <f>IF(OR((NHL2025_26Results[[#This Row],[Winning Team]]="")),"-",IF(Table4[[#This Row],[Predicted Winner]]=NHL2025_26Results[[#This Row],[Winning Team]],"YES","NO"))</f>
        <v>-</v>
      </c>
      <c r="N1243" t="str">
        <f>IF(Table4[[#This Row],[Adjusted Correct]]="-", "",IF(Table4[[#This Row],[Adjusted Correct]]="YES",(Table4[[#This Row],[Strength of Win]]-1)^2,(Table4[[#This Row],[Strength of Win]]-0)^2))</f>
        <v/>
      </c>
      <c r="P1243" s="11"/>
    </row>
    <row r="1244" spans="4:16" x14ac:dyDescent="0.2">
      <c r="D1244" s="1">
        <v>46119</v>
      </c>
      <c r="E1244" s="2">
        <v>0.91666666666666663</v>
      </c>
      <c r="F1244" t="s">
        <v>38</v>
      </c>
      <c r="G1244">
        <f>VLOOKUP(Table4[[#This Row],[Home]],'NHL Model'!$A$6:$B$38,2,FALSE)</f>
        <v>-0.9476777551108041</v>
      </c>
      <c r="H1244" t="s">
        <v>20</v>
      </c>
      <c r="I1244">
        <f>VLOOKUP(Table4[[#This Row],[Visitor]],'NHL Model'!$A$6:$B$38,2,FALSE)</f>
        <v>-0.24444083032063643</v>
      </c>
      <c r="J1244">
        <f>($B$1+Table4[[#This Row],[Home Differential]])-Table4[[#This Row],[Away Differential]]</f>
        <v>-0.65333617586700521</v>
      </c>
      <c r="K1244" t="str">
        <f>IF(Table4[[#This Row],[HomeIce Differential]]&gt;0,Table4[[#This Row],[Home]],Table4[[#This Row],[Visitor]])</f>
        <v>Vegas Golden Knights</v>
      </c>
      <c r="L1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0.53628664108623059</v>
      </c>
      <c r="M1244" t="str">
        <f>IF(OR((NHL2025_26Results[[#This Row],[Winning Team]]="")),"-",IF(Table4[[#This Row],[Predicted Winner]]=NHL2025_26Results[[#This Row],[Winning Team]],"YES","NO"))</f>
        <v>-</v>
      </c>
      <c r="N1244" t="str">
        <f>IF(Table4[[#This Row],[Adjusted Correct]]="-", "",IF(Table4[[#This Row],[Adjusted Correct]]="YES",(Table4[[#This Row],[Strength of Win]]-1)^2,(Table4[[#This Row],[Strength of Win]]-0)^2))</f>
        <v/>
      </c>
      <c r="P1244" s="11"/>
    </row>
    <row r="1245" spans="4:16" x14ac:dyDescent="0.2">
      <c r="D1245" s="1">
        <v>46120</v>
      </c>
      <c r="E1245" s="2">
        <v>0.79166666666666663</v>
      </c>
      <c r="F1245" t="s">
        <v>15</v>
      </c>
      <c r="G1245">
        <f>VLOOKUP(Table4[[#This Row],[Home]],'NHL Model'!$A$6:$B$38,2,FALSE)</f>
        <v>-0.29003398448394263</v>
      </c>
      <c r="H1245" t="s">
        <v>23</v>
      </c>
      <c r="I1245">
        <f>VLOOKUP(Table4[[#This Row],[Visitor]],'NHL Model'!$A$6:$B$38,2,FALSE)</f>
        <v>-0.4761104357405897</v>
      </c>
      <c r="J1245">
        <f>($B$1+Table4[[#This Row],[Home Differential]])-Table4[[#This Row],[Away Differential]]</f>
        <v>0.23597720017980953</v>
      </c>
      <c r="K1245" t="str">
        <f>IF(Table4[[#This Row],[HomeIce Differential]]&gt;0,Table4[[#This Row],[Home]],Table4[[#This Row],[Visitor]])</f>
        <v>New York Rangers</v>
      </c>
      <c r="L1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0.56755382089589856</v>
      </c>
      <c r="M1245" t="str">
        <f>IF(OR((NHL2025_26Results[[#This Row],[Winning Team]]="")),"-",IF(Table4[[#This Row],[Predicted Winner]]=NHL2025_26Results[[#This Row],[Winning Team]],"YES","NO"))</f>
        <v>-</v>
      </c>
      <c r="N1245" t="str">
        <f>IF(Table4[[#This Row],[Adjusted Correct]]="-", "",IF(Table4[[#This Row],[Adjusted Correct]]="YES",(Table4[[#This Row],[Strength of Win]]-1)^2,(Table4[[#This Row],[Strength of Win]]-0)^2))</f>
        <v/>
      </c>
      <c r="P1245" s="11"/>
    </row>
    <row r="1246" spans="4:16" x14ac:dyDescent="0.2">
      <c r="D1246" s="1">
        <v>46120</v>
      </c>
      <c r="E1246" s="2">
        <v>0.91666666666666663</v>
      </c>
      <c r="F1246" t="s">
        <v>33</v>
      </c>
      <c r="G1246">
        <f>VLOOKUP(Table4[[#This Row],[Home]],'NHL Model'!$A$6:$B$38,2,FALSE)</f>
        <v>-0.45133099238224339</v>
      </c>
      <c r="H1246" t="s">
        <v>17</v>
      </c>
      <c r="I1246">
        <f>VLOOKUP(Table4[[#This Row],[Visitor]],'NHL Model'!$A$6:$B$38,2,FALSE)</f>
        <v>-0.81774666423752174</v>
      </c>
      <c r="J1246">
        <f>($B$1+Table4[[#This Row],[Home Differential]])-Table4[[#This Row],[Away Differential]]</f>
        <v>0.41631642077844083</v>
      </c>
      <c r="K1246" t="str">
        <f>IF(Table4[[#This Row],[HomeIce Differential]]&gt;0,Table4[[#This Row],[Home]],Table4[[#This Row],[Visitor]])</f>
        <v>San Jose Sharks</v>
      </c>
      <c r="L1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0.59873333590647571</v>
      </c>
      <c r="M1246" t="str">
        <f>IF(OR((NHL2025_26Results[[#This Row],[Winning Team]]="")),"-",IF(Table4[[#This Row],[Predicted Winner]]=NHL2025_26Results[[#This Row],[Winning Team]],"YES","NO"))</f>
        <v>-</v>
      </c>
      <c r="N1246" t="str">
        <f>IF(Table4[[#This Row],[Adjusted Correct]]="-", "",IF(Table4[[#This Row],[Adjusted Correct]]="YES",(Table4[[#This Row],[Strength of Win]]-1)^2,(Table4[[#This Row],[Strength of Win]]-0)^2))</f>
        <v/>
      </c>
      <c r="P1246" s="11"/>
    </row>
    <row r="1247" spans="4:16" x14ac:dyDescent="0.2">
      <c r="D1247" s="1">
        <v>46120</v>
      </c>
      <c r="E1247" s="2">
        <v>0.8125</v>
      </c>
      <c r="F1247" t="s">
        <v>19</v>
      </c>
      <c r="G1247">
        <f>VLOOKUP(Table4[[#This Row],[Home]],'NHL Model'!$A$6:$B$38,2,FALSE)</f>
        <v>-0.63447859131898054</v>
      </c>
      <c r="H1247" t="s">
        <v>22</v>
      </c>
      <c r="I1247">
        <f>VLOOKUP(Table4[[#This Row],[Visitor]],'NHL Model'!$A$6:$B$38,2,FALSE)</f>
        <v>0.4407072328537569</v>
      </c>
      <c r="J1247">
        <f>($B$1+Table4[[#This Row],[Home Differential]])-Table4[[#This Row],[Away Differential]]</f>
        <v>-1.025285075249575</v>
      </c>
      <c r="K1247" t="str">
        <f>IF(Table4[[#This Row],[HomeIce Differential]]&gt;0,Table4[[#This Row],[Home]],Table4[[#This Row],[Visitor]])</f>
        <v>Washington Capitals</v>
      </c>
      <c r="L1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0.62222972747717475</v>
      </c>
      <c r="M1247" t="str">
        <f>IF(OR((NHL2025_26Results[[#This Row],[Winning Team]]="")),"-",IF(Table4[[#This Row],[Predicted Winner]]=NHL2025_26Results[[#This Row],[Winning Team]],"YES","NO"))</f>
        <v>-</v>
      </c>
      <c r="N1247" t="str">
        <f>IF(Table4[[#This Row],[Adjusted Correct]]="-", "",IF(Table4[[#This Row],[Adjusted Correct]]="YES",(Table4[[#This Row],[Strength of Win]]-1)^2,(Table4[[#This Row],[Strength of Win]]-0)^2))</f>
        <v/>
      </c>
      <c r="P1247" s="11"/>
    </row>
    <row r="1248" spans="4:16" x14ac:dyDescent="0.2">
      <c r="D1248" s="1">
        <v>46121</v>
      </c>
      <c r="E1248" s="2">
        <v>0.91666666666666663</v>
      </c>
      <c r="F1248" t="s">
        <v>31</v>
      </c>
      <c r="G1248">
        <f>VLOOKUP(Table4[[#This Row],[Home]],'NHL Model'!$A$6:$B$38,2,FALSE)</f>
        <v>0.17870302183926629</v>
      </c>
      <c r="H1248" t="s">
        <v>33</v>
      </c>
      <c r="I1248">
        <f>VLOOKUP(Table4[[#This Row],[Visitor]],'NHL Model'!$A$6:$B$38,2,FALSE)</f>
        <v>-0.45133099238224339</v>
      </c>
      <c r="J1248">
        <f>($B$1+Table4[[#This Row],[Home Differential]])-Table4[[#This Row],[Away Differential]]</f>
        <v>0.67993476314467216</v>
      </c>
      <c r="K1248" t="str">
        <f>IF(Table4[[#This Row],[HomeIce Differential]]&gt;0,Table4[[#This Row],[Home]],Table4[[#This Row],[Visitor]])</f>
        <v>Anaheim Ducks</v>
      </c>
      <c r="L1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0.69922712946183019</v>
      </c>
      <c r="M1248" t="str">
        <f>IF(OR((NHL2025_26Results[[#This Row],[Winning Team]]="")),"-",IF(Table4[[#This Row],[Predicted Winner]]=NHL2025_26Results[[#This Row],[Winning Team]],"YES","NO"))</f>
        <v>-</v>
      </c>
      <c r="N1248" t="str">
        <f>IF(Table4[[#This Row],[Adjusted Correct]]="-", "",IF(Table4[[#This Row],[Adjusted Correct]]="YES",(Table4[[#This Row],[Strength of Win]]-1)^2,(Table4[[#This Row],[Strength of Win]]-0)^2))</f>
        <v/>
      </c>
      <c r="P1248" s="11"/>
    </row>
    <row r="1249" spans="4:16" x14ac:dyDescent="0.2">
      <c r="D1249" s="1">
        <v>46121</v>
      </c>
      <c r="E1249" s="2">
        <v>0.79166666666666663</v>
      </c>
      <c r="F1249" t="s">
        <v>23</v>
      </c>
      <c r="G1249">
        <f>VLOOKUP(Table4[[#This Row],[Home]],'NHL Model'!$A$6:$B$38,2,FALSE)</f>
        <v>-0.4761104357405897</v>
      </c>
      <c r="H1249" t="s">
        <v>28</v>
      </c>
      <c r="I1249">
        <f>VLOOKUP(Table4[[#This Row],[Visitor]],'NHL Model'!$A$6:$B$38,2,FALSE)</f>
        <v>-0.59498940435054026</v>
      </c>
      <c r="J1249">
        <f>($B$1+Table4[[#This Row],[Home Differential]])-Table4[[#This Row],[Away Differential]]</f>
        <v>0.16877971753311305</v>
      </c>
      <c r="K1249" t="str">
        <f>IF(Table4[[#This Row],[HomeIce Differential]]&gt;0,Table4[[#This Row],[Home]],Table4[[#This Row],[Visitor]])</f>
        <v>Buffalo Sabres</v>
      </c>
      <c r="L1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0.5662662274862772</v>
      </c>
      <c r="M1249" t="str">
        <f>IF(OR((NHL2025_26Results[[#This Row],[Winning Team]]="")),"-",IF(Table4[[#This Row],[Predicted Winner]]=NHL2025_26Results[[#This Row],[Winning Team]],"YES","NO"))</f>
        <v>-</v>
      </c>
      <c r="N1249" t="str">
        <f>IF(Table4[[#This Row],[Adjusted Correct]]="-", "",IF(Table4[[#This Row],[Adjusted Correct]]="YES",(Table4[[#This Row],[Strength of Win]]-1)^2,(Table4[[#This Row],[Strength of Win]]-0)^2))</f>
        <v/>
      </c>
      <c r="P1249" s="11"/>
    </row>
    <row r="1250" spans="4:16" x14ac:dyDescent="0.2">
      <c r="D1250" s="1">
        <v>46121</v>
      </c>
      <c r="E1250" s="2">
        <v>0.85416666666666663</v>
      </c>
      <c r="F1250" t="s">
        <v>10</v>
      </c>
      <c r="G1250">
        <f>VLOOKUP(Table4[[#This Row],[Home]],'NHL Model'!$A$6:$B$38,2,FALSE)</f>
        <v>-0.17619625518431364</v>
      </c>
      <c r="H1250" t="s">
        <v>25</v>
      </c>
      <c r="I1250">
        <f>VLOOKUP(Table4[[#This Row],[Visitor]],'NHL Model'!$A$6:$B$38,2,FALSE)</f>
        <v>0.42567513732855267</v>
      </c>
      <c r="J1250">
        <f>($B$1+Table4[[#This Row],[Home Differential]])-Table4[[#This Row],[Away Differential]]</f>
        <v>-0.55197064358970382</v>
      </c>
      <c r="K1250" t="str">
        <f>IF(Table4[[#This Row],[HomeIce Differential]]&gt;0,Table4[[#This Row],[Home]],Table4[[#This Row],[Visitor]])</f>
        <v>Carolina Hurricanes</v>
      </c>
      <c r="L1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0.59707388825222985</v>
      </c>
      <c r="M1250" t="str">
        <f>IF(OR((NHL2025_26Results[[#This Row],[Winning Team]]="")),"-",IF(Table4[[#This Row],[Predicted Winner]]=NHL2025_26Results[[#This Row],[Winning Team]],"YES","NO"))</f>
        <v>-</v>
      </c>
      <c r="N1250" t="str">
        <f>IF(Table4[[#This Row],[Adjusted Correct]]="-", "",IF(Table4[[#This Row],[Adjusted Correct]]="YES",(Table4[[#This Row],[Strength of Win]]-1)^2,(Table4[[#This Row],[Strength of Win]]-0)^2))</f>
        <v/>
      </c>
      <c r="P1250" s="11"/>
    </row>
    <row r="1251" spans="4:16" x14ac:dyDescent="0.2">
      <c r="D1251" s="1">
        <v>46121</v>
      </c>
      <c r="E1251" s="2">
        <v>0.875</v>
      </c>
      <c r="F1251" t="s">
        <v>12</v>
      </c>
      <c r="G1251">
        <f>VLOOKUP(Table4[[#This Row],[Home]],'NHL Model'!$A$6:$B$38,2,FALSE)</f>
        <v>1.6319036584269762</v>
      </c>
      <c r="H1251" t="s">
        <v>16</v>
      </c>
      <c r="I1251">
        <f>VLOOKUP(Table4[[#This Row],[Visitor]],'NHL Model'!$A$6:$B$38,2,FALSE)</f>
        <v>-1.0657812790446208</v>
      </c>
      <c r="J1251">
        <f>($B$1+Table4[[#This Row],[Home Differential]])-Table4[[#This Row],[Away Differential]]</f>
        <v>2.7475856863947596</v>
      </c>
      <c r="K1251" t="str">
        <f>IF(Table4[[#This Row],[HomeIce Differential]]&gt;0,Table4[[#This Row],[Home]],Table4[[#This Row],[Visitor]])</f>
        <v>Colorado Avalanche</v>
      </c>
      <c r="L1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0.96515107726433946</v>
      </c>
      <c r="M1251" t="str">
        <f>IF(OR((NHL2025_26Results[[#This Row],[Winning Team]]="")),"-",IF(Table4[[#This Row],[Predicted Winner]]=NHL2025_26Results[[#This Row],[Winning Team]],"YES","NO"))</f>
        <v>-</v>
      </c>
      <c r="N1251" t="str">
        <f>IF(Table4[[#This Row],[Adjusted Correct]]="-", "",IF(Table4[[#This Row],[Adjusted Correct]]="YES",(Table4[[#This Row],[Strength of Win]]-1)^2,(Table4[[#This Row],[Strength of Win]]-0)^2))</f>
        <v/>
      </c>
      <c r="P1251" s="11"/>
    </row>
    <row r="1252" spans="4:16" x14ac:dyDescent="0.2">
      <c r="D1252" s="1">
        <v>46121</v>
      </c>
      <c r="E1252" s="2">
        <v>0.875</v>
      </c>
      <c r="F1252" t="s">
        <v>39</v>
      </c>
      <c r="G1252">
        <f>VLOOKUP(Table4[[#This Row],[Home]],'NHL Model'!$A$6:$B$38,2,FALSE)</f>
        <v>0.41344250185511977</v>
      </c>
      <c r="H1252" t="s">
        <v>34</v>
      </c>
      <c r="I1252">
        <f>VLOOKUP(Table4[[#This Row],[Visitor]],'NHL Model'!$A$6:$B$38,2,FALSE)</f>
        <v>-5.5124787449478845E-2</v>
      </c>
      <c r="J1252">
        <f>($B$1+Table4[[#This Row],[Home Differential]])-Table4[[#This Row],[Away Differential]]</f>
        <v>0.51846803822776111</v>
      </c>
      <c r="K1252" t="str">
        <f>IF(Table4[[#This Row],[HomeIce Differential]]&gt;0,Table4[[#This Row],[Home]],Table4[[#This Row],[Visitor]])</f>
        <v>Dallas Stars</v>
      </c>
      <c r="L1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0.5906592774329128</v>
      </c>
      <c r="M1252" t="str">
        <f>IF(OR((NHL2025_26Results[[#This Row],[Winning Team]]="")),"-",IF(Table4[[#This Row],[Predicted Winner]]=NHL2025_26Results[[#This Row],[Winning Team]],"YES","NO"))</f>
        <v>-</v>
      </c>
      <c r="N1252" t="str">
        <f>IF(Table4[[#This Row],[Adjusted Correct]]="-", "",IF(Table4[[#This Row],[Adjusted Correct]]="YES",(Table4[[#This Row],[Strength of Win]]-1)^2,(Table4[[#This Row],[Strength of Win]]-0)^2))</f>
        <v/>
      </c>
      <c r="P1252" s="11"/>
    </row>
    <row r="1253" spans="4:16" x14ac:dyDescent="0.2">
      <c r="D1253" s="1">
        <v>46121</v>
      </c>
      <c r="E1253" s="2">
        <v>0.77083333333333337</v>
      </c>
      <c r="F1253" t="s">
        <v>26</v>
      </c>
      <c r="G1253">
        <f>VLOOKUP(Table4[[#This Row],[Home]],'NHL Model'!$A$6:$B$38,2,FALSE)</f>
        <v>-0.87533956503230947</v>
      </c>
      <c r="H1253" t="s">
        <v>27</v>
      </c>
      <c r="I1253">
        <f>VLOOKUP(Table4[[#This Row],[Visitor]],'NHL Model'!$A$6:$B$38,2,FALSE)</f>
        <v>-0.38023958350631604</v>
      </c>
      <c r="J1253">
        <f>($B$1+Table4[[#This Row],[Home Differential]])-Table4[[#This Row],[Away Differential]]</f>
        <v>-0.44519923260283101</v>
      </c>
      <c r="K1253" t="str">
        <f>IF(Table4[[#This Row],[HomeIce Differential]]&gt;0,Table4[[#This Row],[Home]],Table4[[#This Row],[Visitor]])</f>
        <v>Philadelphia Flyers</v>
      </c>
      <c r="L1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0.55449614389216906</v>
      </c>
      <c r="M1253" t="str">
        <f>IF(OR((NHL2025_26Results[[#This Row],[Winning Team]]="")),"-",IF(Table4[[#This Row],[Predicted Winner]]=NHL2025_26Results[[#This Row],[Winning Team]],"YES","NO"))</f>
        <v>-</v>
      </c>
      <c r="N1253" t="str">
        <f>IF(Table4[[#This Row],[Adjusted Correct]]="-", "",IF(Table4[[#This Row],[Adjusted Correct]]="YES",(Table4[[#This Row],[Strength of Win]]-1)^2,(Table4[[#This Row],[Strength of Win]]-0)^2))</f>
        <v/>
      </c>
      <c r="P1253" s="11"/>
    </row>
    <row r="1254" spans="4:16" x14ac:dyDescent="0.2">
      <c r="D1254" s="1">
        <v>46121</v>
      </c>
      <c r="E1254" s="2">
        <v>0.9375</v>
      </c>
      <c r="F1254" t="s">
        <v>13</v>
      </c>
      <c r="G1254">
        <f>VLOOKUP(Table4[[#This Row],[Home]],'NHL Model'!$A$6:$B$38,2,FALSE)</f>
        <v>-0.33828359867721369</v>
      </c>
      <c r="H1254" t="s">
        <v>38</v>
      </c>
      <c r="I1254">
        <f>VLOOKUP(Table4[[#This Row],[Visitor]],'NHL Model'!$A$6:$B$38,2,FALSE)</f>
        <v>-0.9476777551108041</v>
      </c>
      <c r="J1254">
        <f>($B$1+Table4[[#This Row],[Home Differential]])-Table4[[#This Row],[Away Differential]]</f>
        <v>0.65929490535675295</v>
      </c>
      <c r="K1254" t="str">
        <f>IF(Table4[[#This Row],[HomeIce Differential]]&gt;0,Table4[[#This Row],[Home]],Table4[[#This Row],[Visitor]])</f>
        <v>Los Angeles Kings</v>
      </c>
      <c r="L1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0.61340625175833186</v>
      </c>
      <c r="M1254" t="str">
        <f>IF(OR((NHL2025_26Results[[#This Row],[Winning Team]]="")),"-",IF(Table4[[#This Row],[Predicted Winner]]=NHL2025_26Results[[#This Row],[Winning Team]],"YES","NO"))</f>
        <v>-</v>
      </c>
      <c r="N1254" t="str">
        <f>IF(Table4[[#This Row],[Adjusted Correct]]="-", "",IF(Table4[[#This Row],[Adjusted Correct]]="YES",(Table4[[#This Row],[Strength of Win]]-1)^2,(Table4[[#This Row],[Strength of Win]]-0)^2))</f>
        <v/>
      </c>
      <c r="P1254" s="11"/>
    </row>
    <row r="1255" spans="4:16" x14ac:dyDescent="0.2">
      <c r="D1255" s="1">
        <v>46121</v>
      </c>
      <c r="E1255" s="2">
        <v>0.79166666666666663</v>
      </c>
      <c r="F1255" t="s">
        <v>18</v>
      </c>
      <c r="G1255">
        <f>VLOOKUP(Table4[[#This Row],[Home]],'NHL Model'!$A$6:$B$38,2,FALSE)</f>
        <v>-0.59288962827382519</v>
      </c>
      <c r="H1255" t="s">
        <v>37</v>
      </c>
      <c r="I1255">
        <f>VLOOKUP(Table4[[#This Row],[Visitor]],'NHL Model'!$A$6:$B$38,2,FALSE)</f>
        <v>0.51050494674660429</v>
      </c>
      <c r="J1255">
        <f>($B$1+Table4[[#This Row],[Home Differential]])-Table4[[#This Row],[Away Differential]]</f>
        <v>-1.053493826097267</v>
      </c>
      <c r="K1255" t="str">
        <f>IF(Table4[[#This Row],[HomeIce Differential]]&gt;0,Table4[[#This Row],[Home]],Table4[[#This Row],[Visitor]])</f>
        <v>Tampa Bay Lightning</v>
      </c>
      <c r="L1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0.67549714050132492</v>
      </c>
      <c r="M1255" t="str">
        <f>IF(OR((NHL2025_26Results[[#This Row],[Winning Team]]="")),"-",IF(Table4[[#This Row],[Predicted Winner]]=NHL2025_26Results[[#This Row],[Winning Team]],"YES","NO"))</f>
        <v>-</v>
      </c>
      <c r="N1255" t="str">
        <f>IF(Table4[[#This Row],[Adjusted Correct]]="-", "",IF(Table4[[#This Row],[Adjusted Correct]]="YES",(Table4[[#This Row],[Strength of Win]]-1)^2,(Table4[[#This Row],[Strength of Win]]-0)^2))</f>
        <v/>
      </c>
      <c r="P1255" s="11"/>
    </row>
    <row r="1256" spans="4:16" x14ac:dyDescent="0.2">
      <c r="D1256" s="1">
        <v>46121</v>
      </c>
      <c r="E1256" s="2">
        <v>0.79166666666666663</v>
      </c>
      <c r="F1256" t="s">
        <v>24</v>
      </c>
      <c r="G1256">
        <f>VLOOKUP(Table4[[#This Row],[Home]],'NHL Model'!$A$6:$B$38,2,FALSE)</f>
        <v>1.5302507646042616E-3</v>
      </c>
      <c r="H1256" t="s">
        <v>14</v>
      </c>
      <c r="I1256">
        <f>VLOOKUP(Table4[[#This Row],[Visitor]],'NHL Model'!$A$6:$B$38,2,FALSE)</f>
        <v>-0.14226422156549004</v>
      </c>
      <c r="J1256">
        <f>($B$1+Table4[[#This Row],[Home Differential]])-Table4[[#This Row],[Away Differential]]</f>
        <v>0.19369522125325678</v>
      </c>
      <c r="K1256" t="str">
        <f>IF(Table4[[#This Row],[HomeIce Differential]]&gt;0,Table4[[#This Row],[Home]],Table4[[#This Row],[Visitor]])</f>
        <v>New Jersey Devils</v>
      </c>
      <c r="L1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0.60470632805755864</v>
      </c>
      <c r="M1256" t="str">
        <f>IF(OR((NHL2025_26Results[[#This Row],[Winning Team]]="")),"-",IF(Table4[[#This Row],[Predicted Winner]]=NHL2025_26Results[[#This Row],[Winning Team]],"YES","NO"))</f>
        <v>-</v>
      </c>
      <c r="N1256" t="str">
        <f>IF(Table4[[#This Row],[Adjusted Correct]]="-", "",IF(Table4[[#This Row],[Adjusted Correct]]="YES",(Table4[[#This Row],[Strength of Win]]-1)^2,(Table4[[#This Row],[Strength of Win]]-0)^2))</f>
        <v/>
      </c>
      <c r="P1256" s="11"/>
    </row>
    <row r="1257" spans="4:16" x14ac:dyDescent="0.2">
      <c r="D1257" s="1">
        <v>46121</v>
      </c>
      <c r="E1257" s="2">
        <v>0.79166666666666663</v>
      </c>
      <c r="F1257" t="s">
        <v>30</v>
      </c>
      <c r="G1257">
        <f>VLOOKUP(Table4[[#This Row],[Home]],'NHL Model'!$A$6:$B$38,2,FALSE)</f>
        <v>-0.24093199744133265</v>
      </c>
      <c r="H1257" t="s">
        <v>19</v>
      </c>
      <c r="I1257">
        <f>VLOOKUP(Table4[[#This Row],[Visitor]],'NHL Model'!$A$6:$B$38,2,FALSE)</f>
        <v>-0.63447859131898054</v>
      </c>
      <c r="J1257">
        <f>($B$1+Table4[[#This Row],[Home Differential]])-Table4[[#This Row],[Away Differential]]</f>
        <v>0.44344734280081033</v>
      </c>
      <c r="K1257" t="str">
        <f>IF(Table4[[#This Row],[HomeIce Differential]]&gt;0,Table4[[#This Row],[Home]],Table4[[#This Row],[Visitor]])</f>
        <v>New York Islanders</v>
      </c>
      <c r="L1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0.59177902208766475</v>
      </c>
      <c r="M1257" t="str">
        <f>IF(OR((NHL2025_26Results[[#This Row],[Winning Team]]="")),"-",IF(Table4[[#This Row],[Predicted Winner]]=NHL2025_26Results[[#This Row],[Winning Team]],"YES","NO"))</f>
        <v>-</v>
      </c>
      <c r="N1257" t="str">
        <f>IF(Table4[[#This Row],[Adjusted Correct]]="-", "",IF(Table4[[#This Row],[Adjusted Correct]]="YES",(Table4[[#This Row],[Strength of Win]]-1)^2,(Table4[[#This Row],[Strength of Win]]-0)^2))</f>
        <v/>
      </c>
      <c r="P1257" s="11"/>
    </row>
    <row r="1258" spans="4:16" x14ac:dyDescent="0.2">
      <c r="D1258" s="1">
        <v>46121</v>
      </c>
      <c r="E1258" s="2">
        <v>0.79166666666666663</v>
      </c>
      <c r="F1258" t="s">
        <v>36</v>
      </c>
      <c r="G1258">
        <f>VLOOKUP(Table4[[#This Row],[Home]],'NHL Model'!$A$6:$B$38,2,FALSE)</f>
        <v>-0.53137605086483863</v>
      </c>
      <c r="H1258" t="s">
        <v>11</v>
      </c>
      <c r="I1258">
        <f>VLOOKUP(Table4[[#This Row],[Visitor]],'NHL Model'!$A$6:$B$38,2,FALSE)</f>
        <v>-0.39711829106410657</v>
      </c>
      <c r="J1258">
        <f>($B$1+Table4[[#This Row],[Home Differential]])-Table4[[#This Row],[Away Differential]]</f>
        <v>-8.4357010877569583E-2</v>
      </c>
      <c r="K1258" t="str">
        <f>IF(Table4[[#This Row],[HomeIce Differential]]&gt;0,Table4[[#This Row],[Home]],Table4[[#This Row],[Visitor]])</f>
        <v>Florida Panthers</v>
      </c>
      <c r="L1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0.46735444683623856</v>
      </c>
      <c r="M1258" t="str">
        <f>IF(OR((NHL2025_26Results[[#This Row],[Winning Team]]="")),"-",IF(Table4[[#This Row],[Predicted Winner]]=NHL2025_26Results[[#This Row],[Winning Team]],"YES","NO"))</f>
        <v>-</v>
      </c>
      <c r="N1258" t="str">
        <f>IF(Table4[[#This Row],[Adjusted Correct]]="-", "",IF(Table4[[#This Row],[Adjusted Correct]]="YES",(Table4[[#This Row],[Strength of Win]]-1)^2,(Table4[[#This Row],[Strength of Win]]-0)^2))</f>
        <v/>
      </c>
      <c r="P1258" s="11"/>
    </row>
    <row r="1259" spans="4:16" x14ac:dyDescent="0.2">
      <c r="D1259" s="1">
        <v>46121</v>
      </c>
      <c r="E1259" s="2">
        <v>0.91666666666666663</v>
      </c>
      <c r="F1259" t="s">
        <v>32</v>
      </c>
      <c r="G1259">
        <f>VLOOKUP(Table4[[#This Row],[Home]],'NHL Model'!$A$6:$B$38,2,FALSE)</f>
        <v>-0.64937723527808999</v>
      </c>
      <c r="H1259" t="s">
        <v>20</v>
      </c>
      <c r="I1259">
        <f>VLOOKUP(Table4[[#This Row],[Visitor]],'NHL Model'!$A$6:$B$38,2,FALSE)</f>
        <v>-0.24444083032063643</v>
      </c>
      <c r="J1259">
        <f>($B$1+Table4[[#This Row],[Home Differential]])-Table4[[#This Row],[Away Differential]]</f>
        <v>-0.3550356560342911</v>
      </c>
      <c r="K1259" t="str">
        <f>IF(Table4[[#This Row],[HomeIce Differential]]&gt;0,Table4[[#This Row],[Home]],Table4[[#This Row],[Visitor]])</f>
        <v>Vegas Golden Knights</v>
      </c>
      <c r="L1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0.50145565279430626</v>
      </c>
      <c r="M1259" t="str">
        <f>IF(OR((NHL2025_26Results[[#This Row],[Winning Team]]="")),"-",IF(Table4[[#This Row],[Predicted Winner]]=NHL2025_26Results[[#This Row],[Winning Team]],"YES","NO"))</f>
        <v>-</v>
      </c>
      <c r="N1259" t="str">
        <f>IF(Table4[[#This Row],[Adjusted Correct]]="-", "",IF(Table4[[#This Row],[Adjusted Correct]]="YES",(Table4[[#This Row],[Strength of Win]]-1)^2,(Table4[[#This Row],[Strength of Win]]-0)^2))</f>
        <v/>
      </c>
      <c r="P1259" s="11"/>
    </row>
    <row r="1260" spans="4:16" x14ac:dyDescent="0.2">
      <c r="D1260" s="1">
        <v>46121</v>
      </c>
      <c r="E1260" s="2">
        <v>0.83333333333333337</v>
      </c>
      <c r="F1260" t="s">
        <v>35</v>
      </c>
      <c r="G1260">
        <f>VLOOKUP(Table4[[#This Row],[Home]],'NHL Model'!$A$6:$B$38,2,FALSE)</f>
        <v>-1.3944783719477225</v>
      </c>
      <c r="H1260" t="s">
        <v>40</v>
      </c>
      <c r="I1260">
        <f>VLOOKUP(Table4[[#This Row],[Visitor]],'NHL Model'!$A$6:$B$38,2,FALSE)</f>
        <v>-0.31324182378279158</v>
      </c>
      <c r="J1260">
        <f>($B$1+Table4[[#This Row],[Home Differential]])-Table4[[#This Row],[Away Differential]]</f>
        <v>-1.0313357992417684</v>
      </c>
      <c r="K1260" t="str">
        <f>IF(Table4[[#This Row],[HomeIce Differential]]&gt;0,Table4[[#This Row],[Home]],Table4[[#This Row],[Visitor]])</f>
        <v>Winnipeg Jets</v>
      </c>
      <c r="L1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0.60119290676073633</v>
      </c>
      <c r="M1260" t="str">
        <f>IF(OR((NHL2025_26Results[[#This Row],[Winning Team]]="")),"-",IF(Table4[[#This Row],[Predicted Winner]]=NHL2025_26Results[[#This Row],[Winning Team]],"YES","NO"))</f>
        <v>-</v>
      </c>
      <c r="N1260" t="str">
        <f>IF(Table4[[#This Row],[Adjusted Correct]]="-", "",IF(Table4[[#This Row],[Adjusted Correct]]="YES",(Table4[[#This Row],[Strength of Win]]-1)^2,(Table4[[#This Row],[Strength of Win]]-0)^2))</f>
        <v/>
      </c>
      <c r="P1260" s="11"/>
    </row>
    <row r="1261" spans="4:16" x14ac:dyDescent="0.2">
      <c r="D1261" s="1">
        <v>46121</v>
      </c>
      <c r="E1261" s="2">
        <v>0.875</v>
      </c>
      <c r="F1261" t="s">
        <v>55</v>
      </c>
      <c r="G1261">
        <f>VLOOKUP(Table4[[#This Row],[Home]],'NHL Model'!$A$6:$B$38,2,FALSE)</f>
        <v>-0.4031232890211825</v>
      </c>
      <c r="H1261" t="s">
        <v>29</v>
      </c>
      <c r="I1261">
        <f>VLOOKUP(Table4[[#This Row],[Visitor]],'NHL Model'!$A$6:$B$38,2,FALSE)</f>
        <v>-1.384917283810061</v>
      </c>
      <c r="J1261">
        <f>($B$1+Table4[[#This Row],[Home Differential]])-Table4[[#This Row],[Away Differential]]</f>
        <v>1.031694743712041</v>
      </c>
      <c r="K1261" t="str">
        <f>IF(Table4[[#This Row],[HomeIce Differential]]&gt;0,Table4[[#This Row],[Home]],Table4[[#This Row],[Visitor]])</f>
        <v>Utah Mammoth</v>
      </c>
      <c r="L1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0.70089676550215485</v>
      </c>
      <c r="M1261" t="str">
        <f>IF(OR((NHL2025_26Results[[#This Row],[Winning Team]]="")),"-",IF(Table4[[#This Row],[Predicted Winner]]=NHL2025_26Results[[#This Row],[Winning Team]],"YES","NO"))</f>
        <v>-</v>
      </c>
      <c r="N1261" t="str">
        <f>IF(Table4[[#This Row],[Adjusted Correct]]="-", "",IF(Table4[[#This Row],[Adjusted Correct]]="YES",(Table4[[#This Row],[Strength of Win]]-1)^2,(Table4[[#This Row],[Strength of Win]]-0)^2))</f>
        <v/>
      </c>
      <c r="P1261" s="11"/>
    </row>
    <row r="1262" spans="4:16" x14ac:dyDescent="0.2">
      <c r="D1262" s="1">
        <v>46123</v>
      </c>
      <c r="E1262" s="2">
        <v>0.52083333333333337</v>
      </c>
      <c r="F1262" t="s">
        <v>21</v>
      </c>
      <c r="G1262">
        <f>VLOOKUP(Table4[[#This Row],[Home]],'NHL Model'!$A$6:$B$38,2,FALSE)</f>
        <v>-0.21976976044773161</v>
      </c>
      <c r="H1262" t="s">
        <v>37</v>
      </c>
      <c r="I1262">
        <f>VLOOKUP(Table4[[#This Row],[Visitor]],'NHL Model'!$A$6:$B$38,2,FALSE)</f>
        <v>0.51050494674660429</v>
      </c>
      <c r="J1262">
        <f>($B$1+Table4[[#This Row],[Home Differential]])-Table4[[#This Row],[Away Differential]]</f>
        <v>-0.68037395827117342</v>
      </c>
      <c r="K1262" t="str">
        <f>IF(Table4[[#This Row],[HomeIce Differential]]&gt;0,Table4[[#This Row],[Home]],Table4[[#This Row],[Visitor]])</f>
        <v>Tampa Bay Lightning</v>
      </c>
      <c r="L1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0.58853461032201404</v>
      </c>
      <c r="M1262" t="str">
        <f>IF(OR((NHL2025_26Results[[#This Row],[Winning Team]]="")),"-",IF(Table4[[#This Row],[Predicted Winner]]=NHL2025_26Results[[#This Row],[Winning Team]],"YES","NO"))</f>
        <v>-</v>
      </c>
      <c r="N1262" t="str">
        <f>IF(Table4[[#This Row],[Adjusted Correct]]="-", "",IF(Table4[[#This Row],[Adjusted Correct]]="YES",(Table4[[#This Row],[Strength of Win]]-1)^2,(Table4[[#This Row],[Strength of Win]]-0)^2))</f>
        <v/>
      </c>
      <c r="P1262" s="11"/>
    </row>
    <row r="1263" spans="4:16" x14ac:dyDescent="0.2">
      <c r="D1263" s="1">
        <v>46123</v>
      </c>
      <c r="E1263" s="2">
        <v>0.70833333333333337</v>
      </c>
      <c r="F1263" t="s">
        <v>10</v>
      </c>
      <c r="G1263">
        <f>VLOOKUP(Table4[[#This Row],[Home]],'NHL Model'!$A$6:$B$38,2,FALSE)</f>
        <v>-0.17619625518431364</v>
      </c>
      <c r="H1263" t="s">
        <v>35</v>
      </c>
      <c r="I1263">
        <f>VLOOKUP(Table4[[#This Row],[Visitor]],'NHL Model'!$A$6:$B$38,2,FALSE)</f>
        <v>-1.3944783719477225</v>
      </c>
      <c r="J1263">
        <f>($B$1+Table4[[#This Row],[Home Differential]])-Table4[[#This Row],[Away Differential]]</f>
        <v>1.2681828656865712</v>
      </c>
      <c r="K1263" t="str">
        <f>IF(Table4[[#This Row],[HomeIce Differential]]&gt;0,Table4[[#This Row],[Home]],Table4[[#This Row],[Visitor]])</f>
        <v>Chicago Blackhawks</v>
      </c>
      <c r="L1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0.6880790666121519</v>
      </c>
      <c r="M1263" t="str">
        <f>IF(OR((NHL2025_26Results[[#This Row],[Winning Team]]="")),"-",IF(Table4[[#This Row],[Predicted Winner]]=NHL2025_26Results[[#This Row],[Winning Team]],"YES","NO"))</f>
        <v>-</v>
      </c>
      <c r="N1263" t="str">
        <f>IF(Table4[[#This Row],[Adjusted Correct]]="-", "",IF(Table4[[#This Row],[Adjusted Correct]]="YES",(Table4[[#This Row],[Strength of Win]]-1)^2,(Table4[[#This Row],[Strength of Win]]-0)^2))</f>
        <v/>
      </c>
      <c r="P1263" s="11"/>
    </row>
    <row r="1264" spans="4:16" x14ac:dyDescent="0.2">
      <c r="D1264" s="1">
        <v>46123</v>
      </c>
      <c r="E1264" s="2">
        <v>0.83333333333333337</v>
      </c>
      <c r="F1264" t="s">
        <v>12</v>
      </c>
      <c r="G1264">
        <f>VLOOKUP(Table4[[#This Row],[Home]],'NHL Model'!$A$6:$B$38,2,FALSE)</f>
        <v>1.6319036584269762</v>
      </c>
      <c r="H1264" t="s">
        <v>20</v>
      </c>
      <c r="I1264">
        <f>VLOOKUP(Table4[[#This Row],[Visitor]],'NHL Model'!$A$6:$B$38,2,FALSE)</f>
        <v>-0.24444083032063643</v>
      </c>
      <c r="J1264">
        <f>($B$1+Table4[[#This Row],[Home Differential]])-Table4[[#This Row],[Away Differential]]</f>
        <v>1.926245237670775</v>
      </c>
      <c r="K1264" t="str">
        <f>IF(Table4[[#This Row],[HomeIce Differential]]&gt;0,Table4[[#This Row],[Home]],Table4[[#This Row],[Visitor]])</f>
        <v>Colorado Avalanche</v>
      </c>
      <c r="L1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0.86924745775595813</v>
      </c>
      <c r="M1264" t="str">
        <f>IF(OR((NHL2025_26Results[[#This Row],[Winning Team]]="")),"-",IF(Table4[[#This Row],[Predicted Winner]]=NHL2025_26Results[[#This Row],[Winning Team]],"YES","NO"))</f>
        <v>-</v>
      </c>
      <c r="N1264" t="str">
        <f>IF(Table4[[#This Row],[Adjusted Correct]]="-", "",IF(Table4[[#This Row],[Adjusted Correct]]="YES",(Table4[[#This Row],[Strength of Win]]-1)^2,(Table4[[#This Row],[Strength of Win]]-0)^2))</f>
        <v/>
      </c>
      <c r="P1264" s="11"/>
    </row>
    <row r="1265" spans="4:16" x14ac:dyDescent="0.2">
      <c r="D1265" s="1">
        <v>46123</v>
      </c>
      <c r="E1265" s="2">
        <v>0.70833333333333337</v>
      </c>
      <c r="F1265" t="s">
        <v>39</v>
      </c>
      <c r="G1265">
        <f>VLOOKUP(Table4[[#This Row],[Home]],'NHL Model'!$A$6:$B$38,2,FALSE)</f>
        <v>0.41344250185511977</v>
      </c>
      <c r="H1265" t="s">
        <v>15</v>
      </c>
      <c r="I1265">
        <f>VLOOKUP(Table4[[#This Row],[Visitor]],'NHL Model'!$A$6:$B$38,2,FALSE)</f>
        <v>-0.29003398448394263</v>
      </c>
      <c r="J1265">
        <f>($B$1+Table4[[#This Row],[Home Differential]])-Table4[[#This Row],[Away Differential]]</f>
        <v>0.75337723526222489</v>
      </c>
      <c r="K1265" t="str">
        <f>IF(Table4[[#This Row],[HomeIce Differential]]&gt;0,Table4[[#This Row],[Home]],Table4[[#This Row],[Visitor]])</f>
        <v>Dallas Stars</v>
      </c>
      <c r="L1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0.56029263451851241</v>
      </c>
      <c r="M1265" t="str">
        <f>IF(OR((NHL2025_26Results[[#This Row],[Winning Team]]="")),"-",IF(Table4[[#This Row],[Predicted Winner]]=NHL2025_26Results[[#This Row],[Winning Team]],"YES","NO"))</f>
        <v>-</v>
      </c>
      <c r="N1265" t="str">
        <f>IF(Table4[[#This Row],[Adjusted Correct]]="-", "",IF(Table4[[#This Row],[Adjusted Correct]]="YES",(Table4[[#This Row],[Strength of Win]]-1)^2,(Table4[[#This Row],[Strength of Win]]-0)^2))</f>
        <v/>
      </c>
      <c r="P1265" s="11"/>
    </row>
    <row r="1266" spans="4:16" x14ac:dyDescent="0.2">
      <c r="D1266" s="1">
        <v>46123</v>
      </c>
      <c r="E1266" s="2">
        <v>0.70833333333333337</v>
      </c>
      <c r="F1266" t="s">
        <v>26</v>
      </c>
      <c r="G1266">
        <f>VLOOKUP(Table4[[#This Row],[Home]],'NHL Model'!$A$6:$B$38,2,FALSE)</f>
        <v>-0.87533956503230947</v>
      </c>
      <c r="H1266" t="s">
        <v>24</v>
      </c>
      <c r="I1266">
        <f>VLOOKUP(Table4[[#This Row],[Visitor]],'NHL Model'!$A$6:$B$38,2,FALSE)</f>
        <v>1.5302507646042616E-3</v>
      </c>
      <c r="J1266">
        <f>($B$1+Table4[[#This Row],[Home Differential]])-Table4[[#This Row],[Away Differential]]</f>
        <v>-0.82696906687375127</v>
      </c>
      <c r="K1266" t="str">
        <f>IF(Table4[[#This Row],[HomeIce Differential]]&gt;0,Table4[[#This Row],[Home]],Table4[[#This Row],[Visitor]])</f>
        <v>New Jersey Devils</v>
      </c>
      <c r="L1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0.57733007451907226</v>
      </c>
      <c r="M1266" t="str">
        <f>IF(OR((NHL2025_26Results[[#This Row],[Winning Team]]="")),"-",IF(Table4[[#This Row],[Predicted Winner]]=NHL2025_26Results[[#This Row],[Winning Team]],"YES","NO"))</f>
        <v>-</v>
      </c>
      <c r="N1266" t="str">
        <f>IF(Table4[[#This Row],[Adjusted Correct]]="-", "",IF(Table4[[#This Row],[Adjusted Correct]]="YES",(Table4[[#This Row],[Strength of Win]]-1)^2,(Table4[[#This Row],[Strength of Win]]-0)^2))</f>
        <v/>
      </c>
      <c r="P1266" s="11"/>
    </row>
    <row r="1267" spans="4:16" x14ac:dyDescent="0.2">
      <c r="D1267" s="1">
        <v>46123</v>
      </c>
      <c r="E1267" s="2">
        <v>0.66666666666666663</v>
      </c>
      <c r="F1267" t="s">
        <v>13</v>
      </c>
      <c r="G1267">
        <f>VLOOKUP(Table4[[#This Row],[Home]],'NHL Model'!$A$6:$B$38,2,FALSE)</f>
        <v>-0.33828359867721369</v>
      </c>
      <c r="H1267" t="s">
        <v>17</v>
      </c>
      <c r="I1267">
        <f>VLOOKUP(Table4[[#This Row],[Visitor]],'NHL Model'!$A$6:$B$38,2,FALSE)</f>
        <v>-0.81774666423752174</v>
      </c>
      <c r="J1267">
        <f>($B$1+Table4[[#This Row],[Home Differential]])-Table4[[#This Row],[Away Differential]]</f>
        <v>0.52936381448347047</v>
      </c>
      <c r="K1267" t="str">
        <f>IF(Table4[[#This Row],[HomeIce Differential]]&gt;0,Table4[[#This Row],[Home]],Table4[[#This Row],[Visitor]])</f>
        <v>Los Angeles Kings</v>
      </c>
      <c r="L1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0.60181103819323645</v>
      </c>
      <c r="M1267" t="str">
        <f>IF(OR((NHL2025_26Results[[#This Row],[Winning Team]]="")),"-",IF(Table4[[#This Row],[Predicted Winner]]=NHL2025_26Results[[#This Row],[Winning Team]],"YES","NO"))</f>
        <v>-</v>
      </c>
      <c r="N1267" t="str">
        <f>IF(Table4[[#This Row],[Adjusted Correct]]="-", "",IF(Table4[[#This Row],[Adjusted Correct]]="YES",(Table4[[#This Row],[Strength of Win]]-1)^2,(Table4[[#This Row],[Strength of Win]]-0)^2))</f>
        <v/>
      </c>
      <c r="P1267" s="11"/>
    </row>
    <row r="1268" spans="4:16" x14ac:dyDescent="0.2">
      <c r="D1268" s="1">
        <v>46123</v>
      </c>
      <c r="E1268" s="2">
        <v>0.79166666666666663</v>
      </c>
      <c r="F1268" t="s">
        <v>18</v>
      </c>
      <c r="G1268">
        <f>VLOOKUP(Table4[[#This Row],[Home]],'NHL Model'!$A$6:$B$38,2,FALSE)</f>
        <v>-0.59288962827382519</v>
      </c>
      <c r="H1268" t="s">
        <v>28</v>
      </c>
      <c r="I1268">
        <f>VLOOKUP(Table4[[#This Row],[Visitor]],'NHL Model'!$A$6:$B$38,2,FALSE)</f>
        <v>-0.59498940435054026</v>
      </c>
      <c r="J1268">
        <f>($B$1+Table4[[#This Row],[Home Differential]])-Table4[[#This Row],[Away Differential]]</f>
        <v>5.2000524999877507E-2</v>
      </c>
      <c r="K1268" t="str">
        <f>IF(Table4[[#This Row],[HomeIce Differential]]&gt;0,Table4[[#This Row],[Home]],Table4[[#This Row],[Visitor]])</f>
        <v>Montreal Canadiens</v>
      </c>
      <c r="L1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0.54249566982631203</v>
      </c>
      <c r="M1268" t="str">
        <f>IF(OR((NHL2025_26Results[[#This Row],[Winning Team]]="")),"-",IF(Table4[[#This Row],[Predicted Winner]]=NHL2025_26Results[[#This Row],[Winning Team]],"YES","NO"))</f>
        <v>-</v>
      </c>
      <c r="N1268" t="str">
        <f>IF(Table4[[#This Row],[Adjusted Correct]]="-", "",IF(Table4[[#This Row],[Adjusted Correct]]="YES",(Table4[[#This Row],[Strength of Win]]-1)^2,(Table4[[#This Row],[Strength of Win]]-0)^2))</f>
        <v/>
      </c>
      <c r="P1268" s="11"/>
    </row>
    <row r="1269" spans="4:16" x14ac:dyDescent="0.2">
      <c r="D1269" s="1">
        <v>46123</v>
      </c>
      <c r="E1269" s="2">
        <v>0.70833333333333337</v>
      </c>
      <c r="F1269" t="s">
        <v>29</v>
      </c>
      <c r="G1269">
        <f>VLOOKUP(Table4[[#This Row],[Home]],'NHL Model'!$A$6:$B$38,2,FALSE)</f>
        <v>-1.384917283810061</v>
      </c>
      <c r="H1269" t="s">
        <v>34</v>
      </c>
      <c r="I1269">
        <f>VLOOKUP(Table4[[#This Row],[Visitor]],'NHL Model'!$A$6:$B$38,2,FALSE)</f>
        <v>-5.5124787449478845E-2</v>
      </c>
      <c r="J1269">
        <f>($B$1+Table4[[#This Row],[Home Differential]])-Table4[[#This Row],[Away Differential]]</f>
        <v>-1.2798917474374196</v>
      </c>
      <c r="K1269" t="str">
        <f>IF(Table4[[#This Row],[HomeIce Differential]]&gt;0,Table4[[#This Row],[Home]],Table4[[#This Row],[Visitor]])</f>
        <v>Minnesota Wild</v>
      </c>
      <c r="L1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0.65195881418139467</v>
      </c>
      <c r="M1269" t="str">
        <f>IF(OR((NHL2025_26Results[[#This Row],[Winning Team]]="")),"-",IF(Table4[[#This Row],[Predicted Winner]]=NHL2025_26Results[[#This Row],[Winning Team]],"YES","NO"))</f>
        <v>-</v>
      </c>
      <c r="N1269" t="str">
        <f>IF(Table4[[#This Row],[Adjusted Correct]]="-", "",IF(Table4[[#This Row],[Adjusted Correct]]="YES",(Table4[[#This Row],[Strength of Win]]-1)^2,(Table4[[#This Row],[Strength of Win]]-0)^2))</f>
        <v/>
      </c>
      <c r="P1269" s="11"/>
    </row>
    <row r="1270" spans="4:16" x14ac:dyDescent="0.2">
      <c r="D1270" s="1">
        <v>46123</v>
      </c>
      <c r="E1270" s="2">
        <v>0.54166666666666663</v>
      </c>
      <c r="F1270" t="s">
        <v>30</v>
      </c>
      <c r="G1270">
        <f>VLOOKUP(Table4[[#This Row],[Home]],'NHL Model'!$A$6:$B$38,2,FALSE)</f>
        <v>-0.24093199744133265</v>
      </c>
      <c r="H1270" t="s">
        <v>36</v>
      </c>
      <c r="I1270">
        <f>VLOOKUP(Table4[[#This Row],[Visitor]],'NHL Model'!$A$6:$B$38,2,FALSE)</f>
        <v>-0.53137605086483863</v>
      </c>
      <c r="J1270">
        <f>($B$1+Table4[[#This Row],[Home Differential]])-Table4[[#This Row],[Away Differential]]</f>
        <v>0.34034480234666842</v>
      </c>
      <c r="K1270" t="str">
        <f>IF(Table4[[#This Row],[HomeIce Differential]]&gt;0,Table4[[#This Row],[Home]],Table4[[#This Row],[Visitor]])</f>
        <v>New York Islanders</v>
      </c>
      <c r="L1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0.57974027880475065</v>
      </c>
      <c r="M1270" t="str">
        <f>IF(OR((NHL2025_26Results[[#This Row],[Winning Team]]="")),"-",IF(Table4[[#This Row],[Predicted Winner]]=NHL2025_26Results[[#This Row],[Winning Team]],"YES","NO"))</f>
        <v>-</v>
      </c>
      <c r="N1270" t="str">
        <f>IF(Table4[[#This Row],[Adjusted Correct]]="-", "",IF(Table4[[#This Row],[Adjusted Correct]]="YES",(Table4[[#This Row],[Strength of Win]]-1)^2,(Table4[[#This Row],[Strength of Win]]-0)^2))</f>
        <v/>
      </c>
      <c r="P1270" s="11"/>
    </row>
    <row r="1271" spans="4:16" x14ac:dyDescent="0.2">
      <c r="D1271" s="1">
        <v>46123</v>
      </c>
      <c r="E1271" s="2">
        <v>0.625</v>
      </c>
      <c r="F1271" t="s">
        <v>14</v>
      </c>
      <c r="G1271">
        <f>VLOOKUP(Table4[[#This Row],[Home]],'NHL Model'!$A$6:$B$38,2,FALSE)</f>
        <v>-0.14226422156549004</v>
      </c>
      <c r="H1271" t="s">
        <v>22</v>
      </c>
      <c r="I1271">
        <f>VLOOKUP(Table4[[#This Row],[Visitor]],'NHL Model'!$A$6:$B$38,2,FALSE)</f>
        <v>0.4407072328537569</v>
      </c>
      <c r="J1271">
        <f>($B$1+Table4[[#This Row],[Home Differential]])-Table4[[#This Row],[Away Differential]]</f>
        <v>-0.53307070549608448</v>
      </c>
      <c r="K1271" t="str">
        <f>IF(Table4[[#This Row],[HomeIce Differential]]&gt;0,Table4[[#This Row],[Home]],Table4[[#This Row],[Visitor]])</f>
        <v>Washington Capitals</v>
      </c>
      <c r="L1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0.56475643524283603</v>
      </c>
      <c r="M1271" t="str">
        <f>IF(OR((NHL2025_26Results[[#This Row],[Winning Team]]="")),"-",IF(Table4[[#This Row],[Predicted Winner]]=NHL2025_26Results[[#This Row],[Winning Team]],"YES","NO"))</f>
        <v>-</v>
      </c>
      <c r="N1271" t="str">
        <f>IF(Table4[[#This Row],[Adjusted Correct]]="-", "",IF(Table4[[#This Row],[Adjusted Correct]]="YES",(Table4[[#This Row],[Strength of Win]]-1)^2,(Table4[[#This Row],[Strength of Win]]-0)^2))</f>
        <v/>
      </c>
      <c r="P1271" s="11"/>
    </row>
    <row r="1272" spans="4:16" x14ac:dyDescent="0.2">
      <c r="D1272" s="1">
        <v>46123</v>
      </c>
      <c r="E1272" s="2">
        <v>0.79166666666666663</v>
      </c>
      <c r="F1272" t="s">
        <v>32</v>
      </c>
      <c r="G1272">
        <f>VLOOKUP(Table4[[#This Row],[Home]],'NHL Model'!$A$6:$B$38,2,FALSE)</f>
        <v>-0.64937723527808999</v>
      </c>
      <c r="H1272" t="s">
        <v>16</v>
      </c>
      <c r="I1272">
        <f>VLOOKUP(Table4[[#This Row],[Visitor]],'NHL Model'!$A$6:$B$38,2,FALSE)</f>
        <v>-1.0657812790446208</v>
      </c>
      <c r="J1272">
        <f>($B$1+Table4[[#This Row],[Home Differential]])-Table4[[#This Row],[Away Differential]]</f>
        <v>0.46630479268969327</v>
      </c>
      <c r="K1272" t="str">
        <f>IF(Table4[[#This Row],[HomeIce Differential]]&gt;0,Table4[[#This Row],[Home]],Table4[[#This Row],[Visitor]])</f>
        <v>Seattle Kraken</v>
      </c>
      <c r="L1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0.59444796671407507</v>
      </c>
      <c r="M1272" t="str">
        <f>IF(OR((NHL2025_26Results[[#This Row],[Winning Team]]="")),"-",IF(Table4[[#This Row],[Predicted Winner]]=NHL2025_26Results[[#This Row],[Winning Team]],"YES","NO"))</f>
        <v>-</v>
      </c>
      <c r="N1272" t="str">
        <f>IF(Table4[[#This Row],[Adjusted Correct]]="-", "",IF(Table4[[#This Row],[Adjusted Correct]]="YES",(Table4[[#This Row],[Strength of Win]]-1)^2,(Table4[[#This Row],[Strength of Win]]-0)^2))</f>
        <v/>
      </c>
      <c r="P1272" s="11"/>
    </row>
    <row r="1273" spans="4:16" x14ac:dyDescent="0.2">
      <c r="D1273" s="1">
        <v>46123</v>
      </c>
      <c r="E1273" s="2">
        <v>0.91666666666666663</v>
      </c>
      <c r="F1273" t="s">
        <v>33</v>
      </c>
      <c r="G1273">
        <f>VLOOKUP(Table4[[#This Row],[Home]],'NHL Model'!$A$6:$B$38,2,FALSE)</f>
        <v>-0.45133099238224339</v>
      </c>
      <c r="H1273" t="s">
        <v>38</v>
      </c>
      <c r="I1273">
        <f>VLOOKUP(Table4[[#This Row],[Visitor]],'NHL Model'!$A$6:$B$38,2,FALSE)</f>
        <v>-0.9476777551108041</v>
      </c>
      <c r="J1273">
        <f>($B$1+Table4[[#This Row],[Home Differential]])-Table4[[#This Row],[Away Differential]]</f>
        <v>0.54624751165172314</v>
      </c>
      <c r="K1273" t="str">
        <f>IF(Table4[[#This Row],[HomeIce Differential]]&gt;0,Table4[[#This Row],[Home]],Table4[[#This Row],[Visitor]])</f>
        <v>San Jose Sharks</v>
      </c>
      <c r="L1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0.61034116347665668</v>
      </c>
      <c r="M1273" t="str">
        <f>IF(OR((NHL2025_26Results[[#This Row],[Winning Team]]="")),"-",IF(Table4[[#This Row],[Predicted Winner]]=NHL2025_26Results[[#This Row],[Winning Team]],"YES","NO"))</f>
        <v>-</v>
      </c>
      <c r="N1273" t="str">
        <f>IF(Table4[[#This Row],[Adjusted Correct]]="-", "",IF(Table4[[#This Row],[Adjusted Correct]]="YES",(Table4[[#This Row],[Strength of Win]]-1)^2,(Table4[[#This Row],[Strength of Win]]-0)^2))</f>
        <v/>
      </c>
      <c r="P1273" s="11"/>
    </row>
    <row r="1274" spans="4:16" x14ac:dyDescent="0.2">
      <c r="D1274" s="1">
        <v>46123</v>
      </c>
      <c r="E1274" s="2">
        <v>0.79166666666666663</v>
      </c>
      <c r="F1274" t="s">
        <v>19</v>
      </c>
      <c r="G1274">
        <f>VLOOKUP(Table4[[#This Row],[Home]],'NHL Model'!$A$6:$B$38,2,FALSE)</f>
        <v>-0.63447859131898054</v>
      </c>
      <c r="H1274" t="s">
        <v>11</v>
      </c>
      <c r="I1274">
        <f>VLOOKUP(Table4[[#This Row],[Visitor]],'NHL Model'!$A$6:$B$38,2,FALSE)</f>
        <v>-0.39711829106410657</v>
      </c>
      <c r="J1274">
        <f>($B$1+Table4[[#This Row],[Home Differential]])-Table4[[#This Row],[Away Differential]]</f>
        <v>-0.18745955133171155</v>
      </c>
      <c r="K1274" t="str">
        <f>IF(Table4[[#This Row],[HomeIce Differential]]&gt;0,Table4[[#This Row],[Home]],Table4[[#This Row],[Visitor]])</f>
        <v>Florida Panthers</v>
      </c>
      <c r="L1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0.48188866932349261</v>
      </c>
      <c r="M1274" t="str">
        <f>IF(OR((NHL2025_26Results[[#This Row],[Winning Team]]="")),"-",IF(Table4[[#This Row],[Predicted Winner]]=NHL2025_26Results[[#This Row],[Winning Team]],"YES","NO"))</f>
        <v>-</v>
      </c>
      <c r="N1274" t="str">
        <f>IF(Table4[[#This Row],[Adjusted Correct]]="-", "",IF(Table4[[#This Row],[Adjusted Correct]]="YES",(Table4[[#This Row],[Strength of Win]]-1)^2,(Table4[[#This Row],[Strength of Win]]-0)^2))</f>
        <v/>
      </c>
      <c r="P1274" s="11"/>
    </row>
    <row r="1275" spans="4:16" x14ac:dyDescent="0.2">
      <c r="D1275" s="1">
        <v>46123</v>
      </c>
      <c r="E1275" s="2">
        <v>0.70833333333333337</v>
      </c>
      <c r="F1275" t="s">
        <v>55</v>
      </c>
      <c r="G1275">
        <f>VLOOKUP(Table4[[#This Row],[Home]],'NHL Model'!$A$6:$B$38,2,FALSE)</f>
        <v>-0.4031232890211825</v>
      </c>
      <c r="H1275" t="s">
        <v>25</v>
      </c>
      <c r="I1275">
        <f>VLOOKUP(Table4[[#This Row],[Visitor]],'NHL Model'!$A$6:$B$38,2,FALSE)</f>
        <v>0.42567513732855267</v>
      </c>
      <c r="J1275">
        <f>($B$1+Table4[[#This Row],[Home Differential]])-Table4[[#This Row],[Away Differential]]</f>
        <v>-0.77889767742657268</v>
      </c>
      <c r="K1275" t="str">
        <f>IF(Table4[[#This Row],[HomeIce Differential]]&gt;0,Table4[[#This Row],[Home]],Table4[[#This Row],[Visitor]])</f>
        <v>Carolina Hurricanes</v>
      </c>
      <c r="L1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0.58256791128065522</v>
      </c>
      <c r="M1275" t="str">
        <f>IF(OR((NHL2025_26Results[[#This Row],[Winning Team]]="")),"-",IF(Table4[[#This Row],[Predicted Winner]]=NHL2025_26Results[[#This Row],[Winning Team]],"YES","NO"))</f>
        <v>-</v>
      </c>
      <c r="N1275" t="str">
        <f>IF(Table4[[#This Row],[Adjusted Correct]]="-", "",IF(Table4[[#This Row],[Adjusted Correct]]="YES",(Table4[[#This Row],[Strength of Win]]-1)^2,(Table4[[#This Row],[Strength of Win]]-0)^2))</f>
        <v/>
      </c>
      <c r="P1275" s="11"/>
    </row>
    <row r="1276" spans="4:16" x14ac:dyDescent="0.2">
      <c r="D1276" s="1">
        <v>46123</v>
      </c>
      <c r="E1276" s="2">
        <v>0.79166666666666663</v>
      </c>
      <c r="F1276" t="s">
        <v>40</v>
      </c>
      <c r="G1276">
        <f>VLOOKUP(Table4[[#This Row],[Home]],'NHL Model'!$A$6:$B$38,2,FALSE)</f>
        <v>-0.31324182378279158</v>
      </c>
      <c r="H1276" t="s">
        <v>27</v>
      </c>
      <c r="I1276">
        <f>VLOOKUP(Table4[[#This Row],[Visitor]],'NHL Model'!$A$6:$B$38,2,FALSE)</f>
        <v>-0.38023958350631604</v>
      </c>
      <c r="J1276">
        <f>($B$1+Table4[[#This Row],[Home Differential]])-Table4[[#This Row],[Away Differential]]</f>
        <v>0.11689850864668694</v>
      </c>
      <c r="K1276" t="str">
        <f>IF(Table4[[#This Row],[HomeIce Differential]]&gt;0,Table4[[#This Row],[Home]],Table4[[#This Row],[Visitor]])</f>
        <v>Winnipeg Jets</v>
      </c>
      <c r="L1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0.51364962618335208</v>
      </c>
      <c r="M1276" t="str">
        <f>IF(OR((NHL2025_26Results[[#This Row],[Winning Team]]="")),"-",IF(Table4[[#This Row],[Predicted Winner]]=NHL2025_26Results[[#This Row],[Winning Team]],"YES","NO"))</f>
        <v>-</v>
      </c>
      <c r="N1276" t="str">
        <f>IF(Table4[[#This Row],[Adjusted Correct]]="-", "",IF(Table4[[#This Row],[Adjusted Correct]]="YES",(Table4[[#This Row],[Strength of Win]]-1)^2,(Table4[[#This Row],[Strength of Win]]-0)^2))</f>
        <v/>
      </c>
      <c r="P1276" s="11"/>
    </row>
    <row r="1277" spans="4:16" x14ac:dyDescent="0.2">
      <c r="D1277" s="1">
        <v>46124</v>
      </c>
      <c r="E1277" s="2">
        <v>0.83333333333333337</v>
      </c>
      <c r="F1277" t="s">
        <v>31</v>
      </c>
      <c r="G1277">
        <f>VLOOKUP(Table4[[#This Row],[Home]],'NHL Model'!$A$6:$B$38,2,FALSE)</f>
        <v>0.17870302183926629</v>
      </c>
      <c r="H1277" t="s">
        <v>38</v>
      </c>
      <c r="I1277">
        <f>VLOOKUP(Table4[[#This Row],[Visitor]],'NHL Model'!$A$6:$B$38,2,FALSE)</f>
        <v>-0.9476777551108041</v>
      </c>
      <c r="J1277">
        <f>($B$1+Table4[[#This Row],[Home Differential]])-Table4[[#This Row],[Away Differential]]</f>
        <v>1.1762815258732329</v>
      </c>
      <c r="K1277" t="str">
        <f>IF(Table4[[#This Row],[HomeIce Differential]]&gt;0,Table4[[#This Row],[Home]],Table4[[#This Row],[Visitor]])</f>
        <v>Anaheim Ducks</v>
      </c>
      <c r="L1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0.75378658498635764</v>
      </c>
      <c r="M1277" t="str">
        <f>IF(OR((NHL2025_26Results[[#This Row],[Winning Team]]="")),"-",IF(Table4[[#This Row],[Predicted Winner]]=NHL2025_26Results[[#This Row],[Winning Team]],"YES","NO"))</f>
        <v>-</v>
      </c>
      <c r="N1277" t="str">
        <f>IF(Table4[[#This Row],[Adjusted Correct]]="-", "",IF(Table4[[#This Row],[Adjusted Correct]]="YES",(Table4[[#This Row],[Strength of Win]]-1)^2,(Table4[[#This Row],[Strength of Win]]-0)^2))</f>
        <v/>
      </c>
      <c r="P1277" s="11"/>
    </row>
    <row r="1278" spans="4:16" x14ac:dyDescent="0.2">
      <c r="D1278" s="1">
        <v>46124</v>
      </c>
      <c r="E1278" s="2">
        <v>0.75</v>
      </c>
      <c r="F1278" t="s">
        <v>28</v>
      </c>
      <c r="G1278">
        <f>VLOOKUP(Table4[[#This Row],[Home]],'NHL Model'!$A$6:$B$38,2,FALSE)</f>
        <v>-0.59498940435054026</v>
      </c>
      <c r="H1278" t="s">
        <v>21</v>
      </c>
      <c r="I1278">
        <f>VLOOKUP(Table4[[#This Row],[Visitor]],'NHL Model'!$A$6:$B$38,2,FALSE)</f>
        <v>-0.21976976044773161</v>
      </c>
      <c r="J1278">
        <f>($B$1+Table4[[#This Row],[Home Differential]])-Table4[[#This Row],[Away Differential]]</f>
        <v>-0.32531889497964622</v>
      </c>
      <c r="K1278" t="str">
        <f>IF(Table4[[#This Row],[HomeIce Differential]]&gt;0,Table4[[#This Row],[Home]],Table4[[#This Row],[Visitor]])</f>
        <v>Boston Bruins</v>
      </c>
      <c r="L1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0.4988152754406433</v>
      </c>
      <c r="M1278" t="str">
        <f>IF(OR((NHL2025_26Results[[#This Row],[Winning Team]]="")),"-",IF(Table4[[#This Row],[Predicted Winner]]=NHL2025_26Results[[#This Row],[Winning Team]],"YES","NO"))</f>
        <v>-</v>
      </c>
      <c r="N1278" t="str">
        <f>IF(Table4[[#This Row],[Adjusted Correct]]="-", "",IF(Table4[[#This Row],[Adjusted Correct]]="YES",(Table4[[#This Row],[Strength of Win]]-1)^2,(Table4[[#This Row],[Strength of Win]]-0)^2))</f>
        <v/>
      </c>
      <c r="P1278" s="11"/>
    </row>
    <row r="1279" spans="4:16" x14ac:dyDescent="0.2">
      <c r="D1279" s="1">
        <v>46124</v>
      </c>
      <c r="E1279" s="2">
        <v>0.875</v>
      </c>
      <c r="F1279" t="s">
        <v>16</v>
      </c>
      <c r="G1279">
        <f>VLOOKUP(Table4[[#This Row],[Home]],'NHL Model'!$A$6:$B$38,2,FALSE)</f>
        <v>-1.0657812790446208</v>
      </c>
      <c r="H1279" t="s">
        <v>55</v>
      </c>
      <c r="I1279">
        <f>VLOOKUP(Table4[[#This Row],[Visitor]],'NHL Model'!$A$6:$B$38,2,FALSE)</f>
        <v>-0.4031232890211825</v>
      </c>
      <c r="J1279">
        <f>($B$1+Table4[[#This Row],[Home Differential]])-Table4[[#This Row],[Away Differential]]</f>
        <v>-0.61275724110027596</v>
      </c>
      <c r="K1279" t="str">
        <f>IF(Table4[[#This Row],[HomeIce Differential]]&gt;0,Table4[[#This Row],[Home]],Table4[[#This Row],[Visitor]])</f>
        <v>Utah Mammoth</v>
      </c>
      <c r="L1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0.53154845154988206</v>
      </c>
      <c r="M1279" t="str">
        <f>IF(OR((NHL2025_26Results[[#This Row],[Winning Team]]="")),"-",IF(Table4[[#This Row],[Predicted Winner]]=NHL2025_26Results[[#This Row],[Winning Team]],"YES","NO"))</f>
        <v>-</v>
      </c>
      <c r="N1279" t="str">
        <f>IF(Table4[[#This Row],[Adjusted Correct]]="-", "",IF(Table4[[#This Row],[Adjusted Correct]]="YES",(Table4[[#This Row],[Strength of Win]]-1)^2,(Table4[[#This Row],[Strength of Win]]-0)^2))</f>
        <v/>
      </c>
      <c r="P1279" s="11"/>
    </row>
    <row r="1280" spans="4:16" x14ac:dyDescent="0.2">
      <c r="D1280" s="1">
        <v>46124</v>
      </c>
      <c r="E1280" s="2">
        <v>0.79166666666666663</v>
      </c>
      <c r="F1280" t="s">
        <v>24</v>
      </c>
      <c r="G1280">
        <f>VLOOKUP(Table4[[#This Row],[Home]],'NHL Model'!$A$6:$B$38,2,FALSE)</f>
        <v>1.5302507646042616E-3</v>
      </c>
      <c r="H1280" t="s">
        <v>36</v>
      </c>
      <c r="I1280">
        <f>VLOOKUP(Table4[[#This Row],[Visitor]],'NHL Model'!$A$6:$B$38,2,FALSE)</f>
        <v>-0.53137605086483863</v>
      </c>
      <c r="J1280">
        <f>($B$1+Table4[[#This Row],[Home Differential]])-Table4[[#This Row],[Away Differential]]</f>
        <v>0.5828070505526054</v>
      </c>
      <c r="K1280" t="str">
        <f>IF(Table4[[#This Row],[HomeIce Differential]]&gt;0,Table4[[#This Row],[Home]],Table4[[#This Row],[Visitor]])</f>
        <v>New Jersey Devils</v>
      </c>
      <c r="L1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0.68788603551397898</v>
      </c>
      <c r="M1280" t="str">
        <f>IF(OR((NHL2025_26Results[[#This Row],[Winning Team]]="")),"-",IF(Table4[[#This Row],[Predicted Winner]]=NHL2025_26Results[[#This Row],[Winning Team]],"YES","NO"))</f>
        <v>-</v>
      </c>
      <c r="N1280" t="str">
        <f>IF(Table4[[#This Row],[Adjusted Correct]]="-", "",IF(Table4[[#This Row],[Adjusted Correct]]="YES",(Table4[[#This Row],[Strength of Win]]-1)^2,(Table4[[#This Row],[Strength of Win]]-0)^2))</f>
        <v/>
      </c>
      <c r="P1280" s="11"/>
    </row>
    <row r="1281" spans="4:16" x14ac:dyDescent="0.2">
      <c r="D1281" s="1">
        <v>46124</v>
      </c>
      <c r="E1281" s="2">
        <v>0.75</v>
      </c>
      <c r="F1281" t="s">
        <v>30</v>
      </c>
      <c r="G1281">
        <f>VLOOKUP(Table4[[#This Row],[Home]],'NHL Model'!$A$6:$B$38,2,FALSE)</f>
        <v>-0.24093199744133265</v>
      </c>
      <c r="H1281" t="s">
        <v>18</v>
      </c>
      <c r="I1281">
        <f>VLOOKUP(Table4[[#This Row],[Visitor]],'NHL Model'!$A$6:$B$38,2,FALSE)</f>
        <v>-0.59288962827382519</v>
      </c>
      <c r="J1281">
        <f>($B$1+Table4[[#This Row],[Home Differential]])-Table4[[#This Row],[Away Differential]]</f>
        <v>0.40185837975565497</v>
      </c>
      <c r="K1281" t="str">
        <f>IF(Table4[[#This Row],[HomeIce Differential]]&gt;0,Table4[[#This Row],[Home]],Table4[[#This Row],[Visitor]])</f>
        <v>New York Islanders</v>
      </c>
      <c r="L1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0.52763506301496321</v>
      </c>
      <c r="M1281" t="str">
        <f>IF(OR((NHL2025_26Results[[#This Row],[Winning Team]]="")),"-",IF(Table4[[#This Row],[Predicted Winner]]=NHL2025_26Results[[#This Row],[Winning Team]],"YES","NO"))</f>
        <v>-</v>
      </c>
      <c r="N1281" t="str">
        <f>IF(Table4[[#This Row],[Adjusted Correct]]="-", "",IF(Table4[[#This Row],[Adjusted Correct]]="YES",(Table4[[#This Row],[Strength of Win]]-1)^2,(Table4[[#This Row],[Strength of Win]]-0)^2))</f>
        <v/>
      </c>
      <c r="P1281" s="11"/>
    </row>
    <row r="1282" spans="4:16" x14ac:dyDescent="0.2">
      <c r="D1282" s="1">
        <v>46124</v>
      </c>
      <c r="E1282" s="2">
        <v>0.625</v>
      </c>
      <c r="F1282" t="s">
        <v>22</v>
      </c>
      <c r="G1282">
        <f>VLOOKUP(Table4[[#This Row],[Home]],'NHL Model'!$A$6:$B$38,2,FALSE)</f>
        <v>0.4407072328537569</v>
      </c>
      <c r="H1282" t="s">
        <v>14</v>
      </c>
      <c r="I1282">
        <f>VLOOKUP(Table4[[#This Row],[Visitor]],'NHL Model'!$A$6:$B$38,2,FALSE)</f>
        <v>-0.14226422156549004</v>
      </c>
      <c r="J1282">
        <f>($B$1+Table4[[#This Row],[Home Differential]])-Table4[[#This Row],[Away Differential]]</f>
        <v>0.63287220334240946</v>
      </c>
      <c r="K1282" t="str">
        <f>IF(Table4[[#This Row],[HomeIce Differential]]&gt;0,Table4[[#This Row],[Home]],Table4[[#This Row],[Visitor]])</f>
        <v>Washington Capitals</v>
      </c>
      <c r="L1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0.60092419729433255</v>
      </c>
      <c r="M1282" t="str">
        <f>IF(OR((NHL2025_26Results[[#This Row],[Winning Team]]="")),"-",IF(Table4[[#This Row],[Predicted Winner]]=NHL2025_26Results[[#This Row],[Winning Team]],"YES","NO"))</f>
        <v>-</v>
      </c>
      <c r="N1282" t="str">
        <f>IF(Table4[[#This Row],[Adjusted Correct]]="-", "",IF(Table4[[#This Row],[Adjusted Correct]]="YES",(Table4[[#This Row],[Strength of Win]]-1)^2,(Table4[[#This Row],[Strength of Win]]-0)^2))</f>
        <v/>
      </c>
      <c r="P1282" s="11"/>
    </row>
    <row r="1283" spans="4:16" x14ac:dyDescent="0.2">
      <c r="D1283" s="1">
        <v>46125</v>
      </c>
      <c r="E1283" s="2">
        <v>0.85416666666666663</v>
      </c>
      <c r="F1283" t="s">
        <v>10</v>
      </c>
      <c r="G1283">
        <f>VLOOKUP(Table4[[#This Row],[Home]],'NHL Model'!$A$6:$B$38,2,FALSE)</f>
        <v>-0.17619625518431364</v>
      </c>
      <c r="H1283" t="s">
        <v>23</v>
      </c>
      <c r="I1283">
        <f>VLOOKUP(Table4[[#This Row],[Visitor]],'NHL Model'!$A$6:$B$38,2,FALSE)</f>
        <v>-0.4761104357405897</v>
      </c>
      <c r="J1283">
        <f>($B$1+Table4[[#This Row],[Home Differential]])-Table4[[#This Row],[Away Differential]]</f>
        <v>0.34981492947943849</v>
      </c>
      <c r="K1283" t="str">
        <f>IF(Table4[[#This Row],[HomeIce Differential]]&gt;0,Table4[[#This Row],[Home]],Table4[[#This Row],[Visitor]])</f>
        <v>Chicago Blackhawks</v>
      </c>
      <c r="L1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0.58084605591660265</v>
      </c>
      <c r="M1283" t="str">
        <f>IF(OR((NHL2025_26Results[[#This Row],[Winning Team]]="")),"-",IF(Table4[[#This Row],[Predicted Winner]]=NHL2025_26Results[[#This Row],[Winning Team]],"YES","NO"))</f>
        <v>-</v>
      </c>
      <c r="N1283" t="str">
        <f>IF(Table4[[#This Row],[Adjusted Correct]]="-", "",IF(Table4[[#This Row],[Adjusted Correct]]="YES",(Table4[[#This Row],[Strength of Win]]-1)^2,(Table4[[#This Row],[Strength of Win]]-0)^2))</f>
        <v/>
      </c>
      <c r="P1283" s="11"/>
    </row>
    <row r="1284" spans="4:16" x14ac:dyDescent="0.2">
      <c r="D1284" s="1">
        <v>46125</v>
      </c>
      <c r="E1284" s="2">
        <v>0.89583333333333337</v>
      </c>
      <c r="F1284" t="s">
        <v>17</v>
      </c>
      <c r="G1284">
        <f>VLOOKUP(Table4[[#This Row],[Home]],'NHL Model'!$A$6:$B$38,2,FALSE)</f>
        <v>-0.81774666423752174</v>
      </c>
      <c r="H1284" t="s">
        <v>12</v>
      </c>
      <c r="I1284">
        <f>VLOOKUP(Table4[[#This Row],[Visitor]],'NHL Model'!$A$6:$B$38,2,FALSE)</f>
        <v>1.6319036584269762</v>
      </c>
      <c r="J1284">
        <f>($B$1+Table4[[#This Row],[Home Differential]])-Table4[[#This Row],[Away Differential]]</f>
        <v>-2.3997495737413352</v>
      </c>
      <c r="K1284" t="str">
        <f>IF(Table4[[#This Row],[HomeIce Differential]]&gt;0,Table4[[#This Row],[Home]],Table4[[#This Row],[Visitor]])</f>
        <v>Colorado Avalanche</v>
      </c>
      <c r="L1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0.80575362576568399</v>
      </c>
      <c r="M1284" t="str">
        <f>IF(OR((NHL2025_26Results[[#This Row],[Winning Team]]="")),"-",IF(Table4[[#This Row],[Predicted Winner]]=NHL2025_26Results[[#This Row],[Winning Team]],"YES","NO"))</f>
        <v>-</v>
      </c>
      <c r="N1284" t="str">
        <f>IF(Table4[[#This Row],[Adjusted Correct]]="-", "",IF(Table4[[#This Row],[Adjusted Correct]]="YES",(Table4[[#This Row],[Strength of Win]]-1)^2,(Table4[[#This Row],[Strength of Win]]-0)^2))</f>
        <v/>
      </c>
      <c r="P1284" s="11"/>
    </row>
    <row r="1285" spans="4:16" x14ac:dyDescent="0.2">
      <c r="D1285" s="1">
        <v>46125</v>
      </c>
      <c r="E1285" s="2">
        <v>0.79166666666666663</v>
      </c>
      <c r="F1285" t="s">
        <v>11</v>
      </c>
      <c r="G1285">
        <f>VLOOKUP(Table4[[#This Row],[Home]],'NHL Model'!$A$6:$B$38,2,FALSE)</f>
        <v>-0.39711829106410657</v>
      </c>
      <c r="H1285" t="s">
        <v>15</v>
      </c>
      <c r="I1285">
        <f>VLOOKUP(Table4[[#This Row],[Visitor]],'NHL Model'!$A$6:$B$38,2,FALSE)</f>
        <v>-0.29003398448394263</v>
      </c>
      <c r="J1285">
        <f>($B$1+Table4[[#This Row],[Home Differential]])-Table4[[#This Row],[Away Differential]]</f>
        <v>-5.7183557657001449E-2</v>
      </c>
      <c r="K1285" t="str">
        <f>IF(Table4[[#This Row],[HomeIce Differential]]&gt;0,Table4[[#This Row],[Home]],Table4[[#This Row],[Visitor]])</f>
        <v>New York Rangers</v>
      </c>
      <c r="L1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0.55277631510567293</v>
      </c>
      <c r="M1285" t="str">
        <f>IF(OR((NHL2025_26Results[[#This Row],[Winning Team]]="")),"-",IF(Table4[[#This Row],[Predicted Winner]]=NHL2025_26Results[[#This Row],[Winning Team]],"YES","NO"))</f>
        <v>-</v>
      </c>
      <c r="N1285" t="str">
        <f>IF(Table4[[#This Row],[Adjusted Correct]]="-", "",IF(Table4[[#This Row],[Adjusted Correct]]="YES",(Table4[[#This Row],[Strength of Win]]-1)^2,(Table4[[#This Row],[Strength of Win]]-0)^2))</f>
        <v/>
      </c>
      <c r="P1285" s="11"/>
    </row>
    <row r="1286" spans="4:16" x14ac:dyDescent="0.2">
      <c r="D1286" s="1">
        <v>46125</v>
      </c>
      <c r="E1286" s="2">
        <v>0.83333333333333337</v>
      </c>
      <c r="F1286" t="s">
        <v>29</v>
      </c>
      <c r="G1286">
        <f>VLOOKUP(Table4[[#This Row],[Home]],'NHL Model'!$A$6:$B$38,2,FALSE)</f>
        <v>-1.384917283810061</v>
      </c>
      <c r="H1286" t="s">
        <v>33</v>
      </c>
      <c r="I1286">
        <f>VLOOKUP(Table4[[#This Row],[Visitor]],'NHL Model'!$A$6:$B$38,2,FALSE)</f>
        <v>-0.45133099238224339</v>
      </c>
      <c r="J1286">
        <f>($B$1+Table4[[#This Row],[Home Differential]])-Table4[[#This Row],[Away Differential]]</f>
        <v>-0.88368554250465514</v>
      </c>
      <c r="K1286" t="str">
        <f>IF(Table4[[#This Row],[HomeIce Differential]]&gt;0,Table4[[#This Row],[Home]],Table4[[#This Row],[Visitor]])</f>
        <v>San Jose Sharks</v>
      </c>
      <c r="L1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0.563183329355187</v>
      </c>
      <c r="M1286" t="str">
        <f>IF(OR((NHL2025_26Results[[#This Row],[Winning Team]]="")),"-",IF(Table4[[#This Row],[Predicted Winner]]=NHL2025_26Results[[#This Row],[Winning Team]],"YES","NO"))</f>
        <v>-</v>
      </c>
      <c r="N1286" t="str">
        <f>IF(Table4[[#This Row],[Adjusted Correct]]="-", "",IF(Table4[[#This Row],[Adjusted Correct]]="YES",(Table4[[#This Row],[Strength of Win]]-1)^2,(Table4[[#This Row],[Strength of Win]]-0)^2))</f>
        <v/>
      </c>
      <c r="P1286" s="11"/>
    </row>
    <row r="1287" spans="4:16" x14ac:dyDescent="0.2">
      <c r="D1287" s="1">
        <v>46125</v>
      </c>
      <c r="E1287" s="2">
        <v>0.79166666666666663</v>
      </c>
      <c r="F1287" t="s">
        <v>27</v>
      </c>
      <c r="G1287">
        <f>VLOOKUP(Table4[[#This Row],[Home]],'NHL Model'!$A$6:$B$38,2,FALSE)</f>
        <v>-0.38023958350631604</v>
      </c>
      <c r="H1287" t="s">
        <v>25</v>
      </c>
      <c r="I1287">
        <f>VLOOKUP(Table4[[#This Row],[Visitor]],'NHL Model'!$A$6:$B$38,2,FALSE)</f>
        <v>0.42567513732855267</v>
      </c>
      <c r="J1287">
        <f>($B$1+Table4[[#This Row],[Home Differential]])-Table4[[#This Row],[Away Differential]]</f>
        <v>-0.75601397191170627</v>
      </c>
      <c r="K1287" t="str">
        <f>IF(Table4[[#This Row],[HomeIce Differential]]&gt;0,Table4[[#This Row],[Home]],Table4[[#This Row],[Visitor]])</f>
        <v>Carolina Hurricanes</v>
      </c>
      <c r="L1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0.60679430770908094</v>
      </c>
      <c r="M1287" t="str">
        <f>IF(OR((NHL2025_26Results[[#This Row],[Winning Team]]="")),"-",IF(Table4[[#This Row],[Predicted Winner]]=NHL2025_26Results[[#This Row],[Winning Team]],"YES","NO"))</f>
        <v>-</v>
      </c>
      <c r="N1287" t="str">
        <f>IF(Table4[[#This Row],[Adjusted Correct]]="-", "",IF(Table4[[#This Row],[Adjusted Correct]]="YES",(Table4[[#This Row],[Strength of Win]]-1)^2,(Table4[[#This Row],[Strength of Win]]-0)^2))</f>
        <v/>
      </c>
      <c r="P1287" s="11"/>
    </row>
    <row r="1288" spans="4:16" x14ac:dyDescent="0.2">
      <c r="D1288" s="1">
        <v>46125</v>
      </c>
      <c r="E1288" s="2">
        <v>0.89583333333333337</v>
      </c>
      <c r="F1288" t="s">
        <v>32</v>
      </c>
      <c r="G1288">
        <f>VLOOKUP(Table4[[#This Row],[Home]],'NHL Model'!$A$6:$B$38,2,FALSE)</f>
        <v>-0.64937723527808999</v>
      </c>
      <c r="H1288" t="s">
        <v>13</v>
      </c>
      <c r="I1288">
        <f>VLOOKUP(Table4[[#This Row],[Visitor]],'NHL Model'!$A$6:$B$38,2,FALSE)</f>
        <v>-0.33828359867721369</v>
      </c>
      <c r="J1288">
        <f>($B$1+Table4[[#This Row],[Home Differential]])-Table4[[#This Row],[Away Differential]]</f>
        <v>-0.26119288767771387</v>
      </c>
      <c r="K1288" t="str">
        <f>IF(Table4[[#This Row],[HomeIce Differential]]&gt;0,Table4[[#This Row],[Home]],Table4[[#This Row],[Visitor]])</f>
        <v>Los Angeles Kings</v>
      </c>
      <c r="L1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0.55681391404194935</v>
      </c>
      <c r="M1288" t="str">
        <f>IF(OR((NHL2025_26Results[[#This Row],[Winning Team]]="")),"-",IF(Table4[[#This Row],[Predicted Winner]]=NHL2025_26Results[[#This Row],[Winning Team]],"YES","NO"))</f>
        <v>-</v>
      </c>
      <c r="N1288" t="str">
        <f>IF(Table4[[#This Row],[Adjusted Correct]]="-", "",IF(Table4[[#This Row],[Adjusted Correct]]="YES",(Table4[[#This Row],[Strength of Win]]-1)^2,(Table4[[#This Row],[Strength of Win]]-0)^2))</f>
        <v/>
      </c>
      <c r="P1288" s="11"/>
    </row>
    <row r="1289" spans="4:16" x14ac:dyDescent="0.2">
      <c r="D1289" s="1">
        <v>46125</v>
      </c>
      <c r="E1289" s="2">
        <v>0.83333333333333337</v>
      </c>
      <c r="F1289" t="s">
        <v>35</v>
      </c>
      <c r="G1289">
        <f>VLOOKUP(Table4[[#This Row],[Home]],'NHL Model'!$A$6:$B$38,2,FALSE)</f>
        <v>-1.3944783719477225</v>
      </c>
      <c r="H1289" t="s">
        <v>34</v>
      </c>
      <c r="I1289">
        <f>VLOOKUP(Table4[[#This Row],[Visitor]],'NHL Model'!$A$6:$B$38,2,FALSE)</f>
        <v>-5.5124787449478845E-2</v>
      </c>
      <c r="J1289">
        <f>($B$1+Table4[[#This Row],[Home Differential]])-Table4[[#This Row],[Away Differential]]</f>
        <v>-1.2894528355750812</v>
      </c>
      <c r="K1289" t="str">
        <f>IF(Table4[[#This Row],[HomeIce Differential]]&gt;0,Table4[[#This Row],[Home]],Table4[[#This Row],[Visitor]])</f>
        <v>Minnesota Wild</v>
      </c>
      <c r="L1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0.65307521233305632</v>
      </c>
      <c r="M1289" t="str">
        <f>IF(OR((NHL2025_26Results[[#This Row],[Winning Team]]="")),"-",IF(Table4[[#This Row],[Predicted Winner]]=NHL2025_26Results[[#This Row],[Winning Team]],"YES","NO"))</f>
        <v>-</v>
      </c>
      <c r="N1289" t="str">
        <f>IF(Table4[[#This Row],[Adjusted Correct]]="-", "",IF(Table4[[#This Row],[Adjusted Correct]]="YES",(Table4[[#This Row],[Strength of Win]]-1)^2,(Table4[[#This Row],[Strength of Win]]-0)^2))</f>
        <v/>
      </c>
      <c r="P1289" s="11"/>
    </row>
    <row r="1290" spans="4:16" x14ac:dyDescent="0.2">
      <c r="D1290" s="1">
        <v>46125</v>
      </c>
      <c r="E1290" s="2">
        <v>0.79166666666666663</v>
      </c>
      <c r="F1290" t="s">
        <v>37</v>
      </c>
      <c r="G1290">
        <f>VLOOKUP(Table4[[#This Row],[Home]],'NHL Model'!$A$6:$B$38,2,FALSE)</f>
        <v>0.51050494674660429</v>
      </c>
      <c r="H1290" t="s">
        <v>26</v>
      </c>
      <c r="I1290">
        <f>VLOOKUP(Table4[[#This Row],[Visitor]],'NHL Model'!$A$6:$B$38,2,FALSE)</f>
        <v>-0.87533956503230947</v>
      </c>
      <c r="J1290">
        <f>($B$1+Table4[[#This Row],[Home Differential]])-Table4[[#This Row],[Away Differential]]</f>
        <v>1.4357452607020762</v>
      </c>
      <c r="K1290" t="str">
        <f>IF(Table4[[#This Row],[HomeIce Differential]]&gt;0,Table4[[#This Row],[Home]],Table4[[#This Row],[Visitor]])</f>
        <v>Tampa Bay Lightning</v>
      </c>
      <c r="L1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0.73989051508295656</v>
      </c>
      <c r="M1290" t="str">
        <f>IF(OR((NHL2025_26Results[[#This Row],[Winning Team]]="")),"-",IF(Table4[[#This Row],[Predicted Winner]]=NHL2025_26Results[[#This Row],[Winning Team]],"YES","NO"))</f>
        <v>-</v>
      </c>
      <c r="N1290" t="str">
        <f>IF(Table4[[#This Row],[Adjusted Correct]]="-", "",IF(Table4[[#This Row],[Adjusted Correct]]="YES",(Table4[[#This Row],[Strength of Win]]-1)^2,(Table4[[#This Row],[Strength of Win]]-0)^2))</f>
        <v/>
      </c>
      <c r="P1290" s="11"/>
    </row>
    <row r="1291" spans="4:16" x14ac:dyDescent="0.2">
      <c r="D1291" s="1">
        <v>46125</v>
      </c>
      <c r="E1291" s="2">
        <v>0.8125</v>
      </c>
      <c r="F1291" t="s">
        <v>19</v>
      </c>
      <c r="G1291">
        <f>VLOOKUP(Table4[[#This Row],[Home]],'NHL Model'!$A$6:$B$38,2,FALSE)</f>
        <v>-0.63447859131898054</v>
      </c>
      <c r="H1291" t="s">
        <v>39</v>
      </c>
      <c r="I1291">
        <f>VLOOKUP(Table4[[#This Row],[Visitor]],'NHL Model'!$A$6:$B$38,2,FALSE)</f>
        <v>0.41344250185511977</v>
      </c>
      <c r="J1291">
        <f>($B$1+Table4[[#This Row],[Home Differential]])-Table4[[#This Row],[Away Differential]]</f>
        <v>-0.99802034425093789</v>
      </c>
      <c r="K1291" t="str">
        <f>IF(Table4[[#This Row],[HomeIce Differential]]&gt;0,Table4[[#This Row],[Home]],Table4[[#This Row],[Visitor]])</f>
        <v>Dallas Stars</v>
      </c>
      <c r="L1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0.67833135772929232</v>
      </c>
      <c r="M1291" t="str">
        <f>IF(OR((NHL2025_26Results[[#This Row],[Winning Team]]="")),"-",IF(Table4[[#This Row],[Predicted Winner]]=NHL2025_26Results[[#This Row],[Winning Team]],"YES","NO"))</f>
        <v>-</v>
      </c>
      <c r="N1291" t="str">
        <f>IF(Table4[[#This Row],[Adjusted Correct]]="-", "",IF(Table4[[#This Row],[Adjusted Correct]]="YES",(Table4[[#This Row],[Strength of Win]]-1)^2,(Table4[[#This Row],[Strength of Win]]-0)^2))</f>
        <v/>
      </c>
      <c r="P1291" s="11"/>
    </row>
    <row r="1292" spans="4:16" x14ac:dyDescent="0.2">
      <c r="D1292" s="1">
        <v>46125</v>
      </c>
      <c r="E1292" s="2">
        <v>0.91666666666666663</v>
      </c>
      <c r="F1292" t="s">
        <v>20</v>
      </c>
      <c r="G1292">
        <f>VLOOKUP(Table4[[#This Row],[Home]],'NHL Model'!$A$6:$B$38,2,FALSE)</f>
        <v>-0.24444083032063643</v>
      </c>
      <c r="H1292" t="s">
        <v>40</v>
      </c>
      <c r="I1292">
        <f>VLOOKUP(Table4[[#This Row],[Visitor]],'NHL Model'!$A$6:$B$38,2,FALSE)</f>
        <v>-0.31324182378279158</v>
      </c>
      <c r="J1292">
        <f>($B$1+Table4[[#This Row],[Home Differential]])-Table4[[#This Row],[Away Differential]]</f>
        <v>0.11870174238531761</v>
      </c>
      <c r="K1292" t="str">
        <f>IF(Table4[[#This Row],[HomeIce Differential]]&gt;0,Table4[[#This Row],[Home]],Table4[[#This Row],[Visitor]])</f>
        <v>Vegas Golden Knights</v>
      </c>
      <c r="L1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0.53309094956693703</v>
      </c>
      <c r="M1292" t="str">
        <f>IF(OR((NHL2025_26Results[[#This Row],[Winning Team]]="")),"-",IF(Table4[[#This Row],[Predicted Winner]]=NHL2025_26Results[[#This Row],[Winning Team]],"YES","NO"))</f>
        <v>-</v>
      </c>
      <c r="N1292" t="str">
        <f>IF(Table4[[#This Row],[Adjusted Correct]]="-", "",IF(Table4[[#This Row],[Adjusted Correct]]="YES",(Table4[[#This Row],[Strength of Win]]-1)^2,(Table4[[#This Row],[Strength of Win]]-0)^2))</f>
        <v/>
      </c>
      <c r="P1292" s="11"/>
    </row>
    <row r="1293" spans="4:16" x14ac:dyDescent="0.2">
      <c r="D1293" s="1">
        <v>46126</v>
      </c>
      <c r="E1293" s="2">
        <v>0.79166666666666663</v>
      </c>
      <c r="F1293" t="s">
        <v>21</v>
      </c>
      <c r="G1293">
        <f>VLOOKUP(Table4[[#This Row],[Home]],'NHL Model'!$A$6:$B$38,2,FALSE)</f>
        <v>-0.21976976044773161</v>
      </c>
      <c r="H1293" t="s">
        <v>24</v>
      </c>
      <c r="I1293">
        <f>VLOOKUP(Table4[[#This Row],[Visitor]],'NHL Model'!$A$6:$B$38,2,FALSE)</f>
        <v>1.5302507646042616E-3</v>
      </c>
      <c r="J1293">
        <f>($B$1+Table4[[#This Row],[Home Differential]])-Table4[[#This Row],[Away Differential]]</f>
        <v>-0.1713992622891734</v>
      </c>
      <c r="K1293" t="str">
        <f>IF(Table4[[#This Row],[HomeIce Differential]]&gt;0,Table4[[#This Row],[Home]],Table4[[#This Row],[Visitor]])</f>
        <v>New Jersey Devils</v>
      </c>
      <c r="L1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0.45751339354482728</v>
      </c>
      <c r="M1293" t="str">
        <f>IF(OR((NHL2025_26Results[[#This Row],[Winning Team]]="")),"-",IF(Table4[[#This Row],[Predicted Winner]]=NHL2025_26Results[[#This Row],[Winning Team]],"YES","NO"))</f>
        <v>-</v>
      </c>
      <c r="N1293" t="str">
        <f>IF(Table4[[#This Row],[Adjusted Correct]]="-", "",IF(Table4[[#This Row],[Adjusted Correct]]="YES",(Table4[[#This Row],[Strength of Win]]-1)^2,(Table4[[#This Row],[Strength of Win]]-0)^2))</f>
        <v/>
      </c>
      <c r="P1293" s="11"/>
    </row>
    <row r="1294" spans="4:16" x14ac:dyDescent="0.2">
      <c r="D1294" s="1">
        <v>46126</v>
      </c>
      <c r="E1294" s="2">
        <v>0.79166666666666663</v>
      </c>
      <c r="F1294" t="s">
        <v>28</v>
      </c>
      <c r="G1294">
        <f>VLOOKUP(Table4[[#This Row],[Home]],'NHL Model'!$A$6:$B$38,2,FALSE)</f>
        <v>-0.59498940435054026</v>
      </c>
      <c r="H1294" t="s">
        <v>22</v>
      </c>
      <c r="I1294">
        <f>VLOOKUP(Table4[[#This Row],[Visitor]],'NHL Model'!$A$6:$B$38,2,FALSE)</f>
        <v>0.4407072328537569</v>
      </c>
      <c r="J1294">
        <f>($B$1+Table4[[#This Row],[Home Differential]])-Table4[[#This Row],[Away Differential]]</f>
        <v>-0.98579588828113474</v>
      </c>
      <c r="K1294" t="str">
        <f>IF(Table4[[#This Row],[HomeIce Differential]]&gt;0,Table4[[#This Row],[Home]],Table4[[#This Row],[Visitor]])</f>
        <v>Washington Capitals</v>
      </c>
      <c r="L1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0.61761878207980603</v>
      </c>
      <c r="M1294" t="str">
        <f>IF(OR((NHL2025_26Results[[#This Row],[Winning Team]]="")),"-",IF(Table4[[#This Row],[Predicted Winner]]=NHL2025_26Results[[#This Row],[Winning Team]],"YES","NO"))</f>
        <v>-</v>
      </c>
      <c r="N1294" t="str">
        <f>IF(Table4[[#This Row],[Adjusted Correct]]="-", "",IF(Table4[[#This Row],[Adjusted Correct]]="YES",(Table4[[#This Row],[Strength of Win]]-1)^2,(Table4[[#This Row],[Strength of Win]]-0)^2))</f>
        <v/>
      </c>
      <c r="P1294" s="11"/>
    </row>
    <row r="1295" spans="4:16" x14ac:dyDescent="0.2">
      <c r="D1295" s="1">
        <v>46126</v>
      </c>
      <c r="E1295" s="2">
        <v>0.875</v>
      </c>
      <c r="F1295" t="s">
        <v>16</v>
      </c>
      <c r="G1295">
        <f>VLOOKUP(Table4[[#This Row],[Home]],'NHL Model'!$A$6:$B$38,2,FALSE)</f>
        <v>-1.0657812790446208</v>
      </c>
      <c r="H1295" t="s">
        <v>12</v>
      </c>
      <c r="I1295">
        <f>VLOOKUP(Table4[[#This Row],[Visitor]],'NHL Model'!$A$6:$B$38,2,FALSE)</f>
        <v>1.6319036584269762</v>
      </c>
      <c r="J1295">
        <f>($B$1+Table4[[#This Row],[Home Differential]])-Table4[[#This Row],[Away Differential]]</f>
        <v>-2.6477841885484343</v>
      </c>
      <c r="K1295" t="str">
        <f>IF(Table4[[#This Row],[HomeIce Differential]]&gt;0,Table4[[#This Row],[Home]],Table4[[#This Row],[Visitor]])</f>
        <v>Colorado Avalanche</v>
      </c>
      <c r="L1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0.84179105162643941</v>
      </c>
      <c r="M1295" t="str">
        <f>IF(OR((NHL2025_26Results[[#This Row],[Winning Team]]="")),"-",IF(Table4[[#This Row],[Predicted Winner]]=NHL2025_26Results[[#This Row],[Winning Team]],"YES","NO"))</f>
        <v>-</v>
      </c>
      <c r="N1295" t="str">
        <f>IF(Table4[[#This Row],[Adjusted Correct]]="-", "",IF(Table4[[#This Row],[Adjusted Correct]]="YES",(Table4[[#This Row],[Strength of Win]]-1)^2,(Table4[[#This Row],[Strength of Win]]-0)^2))</f>
        <v/>
      </c>
      <c r="P1295" s="11"/>
    </row>
    <row r="1296" spans="4:16" x14ac:dyDescent="0.2">
      <c r="D1296" s="1">
        <v>46126</v>
      </c>
      <c r="E1296" s="2">
        <v>0.83333333333333337</v>
      </c>
      <c r="F1296" t="s">
        <v>34</v>
      </c>
      <c r="G1296">
        <f>VLOOKUP(Table4[[#This Row],[Home]],'NHL Model'!$A$6:$B$38,2,FALSE)</f>
        <v>-5.5124787449478845E-2</v>
      </c>
      <c r="H1296" t="s">
        <v>31</v>
      </c>
      <c r="I1296">
        <f>VLOOKUP(Table4[[#This Row],[Visitor]],'NHL Model'!$A$6:$B$38,2,FALSE)</f>
        <v>0.17870302183926629</v>
      </c>
      <c r="J1296">
        <f>($B$1+Table4[[#This Row],[Home Differential]])-Table4[[#This Row],[Away Differential]]</f>
        <v>-0.18392706036558265</v>
      </c>
      <c r="K1296" t="str">
        <f>IF(Table4[[#This Row],[HomeIce Differential]]&gt;0,Table4[[#This Row],[Home]],Table4[[#This Row],[Visitor]])</f>
        <v>Anaheim Ducks</v>
      </c>
      <c r="L1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0.50224542963658214</v>
      </c>
      <c r="M1296" t="str">
        <f>IF(OR((NHL2025_26Results[[#This Row],[Winning Team]]="")),"-",IF(Table4[[#This Row],[Predicted Winner]]=NHL2025_26Results[[#This Row],[Winning Team]],"YES","NO"))</f>
        <v>-</v>
      </c>
      <c r="N1296" t="str">
        <f>IF(Table4[[#This Row],[Adjusted Correct]]="-", "",IF(Table4[[#This Row],[Adjusted Correct]]="YES",(Table4[[#This Row],[Strength of Win]]-1)^2,(Table4[[#This Row],[Strength of Win]]-0)^2))</f>
        <v/>
      </c>
      <c r="P1296" s="11"/>
    </row>
    <row r="1297" spans="4:16" x14ac:dyDescent="0.2">
      <c r="D1297" s="1">
        <v>46126</v>
      </c>
      <c r="E1297" s="2">
        <v>0.79166666666666663</v>
      </c>
      <c r="F1297" t="s">
        <v>30</v>
      </c>
      <c r="G1297">
        <f>VLOOKUP(Table4[[#This Row],[Home]],'NHL Model'!$A$6:$B$38,2,FALSE)</f>
        <v>-0.24093199744133265</v>
      </c>
      <c r="H1297" t="s">
        <v>25</v>
      </c>
      <c r="I1297">
        <f>VLOOKUP(Table4[[#This Row],[Visitor]],'NHL Model'!$A$6:$B$38,2,FALSE)</f>
        <v>0.42567513732855267</v>
      </c>
      <c r="J1297">
        <f>($B$1+Table4[[#This Row],[Home Differential]])-Table4[[#This Row],[Away Differential]]</f>
        <v>-0.61670638584672288</v>
      </c>
      <c r="K1297" t="str">
        <f>IF(Table4[[#This Row],[HomeIce Differential]]&gt;0,Table4[[#This Row],[Home]],Table4[[#This Row],[Visitor]])</f>
        <v>Carolina Hurricanes</v>
      </c>
      <c r="L1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0.60463274159210245</v>
      </c>
      <c r="M1297" t="str">
        <f>IF(OR((NHL2025_26Results[[#This Row],[Winning Team]]="")),"-",IF(Table4[[#This Row],[Predicted Winner]]=NHL2025_26Results[[#This Row],[Winning Team]],"YES","NO"))</f>
        <v>-</v>
      </c>
      <c r="N1297" t="str">
        <f>IF(Table4[[#This Row],[Adjusted Correct]]="-", "",IF(Table4[[#This Row],[Adjusted Correct]]="YES",(Table4[[#This Row],[Strength of Win]]-1)^2,(Table4[[#This Row],[Strength of Win]]-0)^2))</f>
        <v/>
      </c>
      <c r="P1297" s="11"/>
    </row>
    <row r="1298" spans="4:16" x14ac:dyDescent="0.2">
      <c r="D1298" s="1">
        <v>46126</v>
      </c>
      <c r="E1298" s="2">
        <v>0.79166666666666663</v>
      </c>
      <c r="F1298" t="s">
        <v>27</v>
      </c>
      <c r="G1298">
        <f>VLOOKUP(Table4[[#This Row],[Home]],'NHL Model'!$A$6:$B$38,2,FALSE)</f>
        <v>-0.38023958350631604</v>
      </c>
      <c r="H1298" t="s">
        <v>18</v>
      </c>
      <c r="I1298">
        <f>VLOOKUP(Table4[[#This Row],[Visitor]],'NHL Model'!$A$6:$B$38,2,FALSE)</f>
        <v>-0.59288962827382519</v>
      </c>
      <c r="J1298">
        <f>($B$1+Table4[[#This Row],[Home Differential]])-Table4[[#This Row],[Away Differential]]</f>
        <v>0.26255079369067164</v>
      </c>
      <c r="K1298" t="str">
        <f>IF(Table4[[#This Row],[HomeIce Differential]]&gt;0,Table4[[#This Row],[Home]],Table4[[#This Row],[Visitor]])</f>
        <v>Philadelphia Flyers</v>
      </c>
      <c r="L1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0.52550204096128261</v>
      </c>
      <c r="M1298" t="str">
        <f>IF(OR((NHL2025_26Results[[#This Row],[Winning Team]]="")),"-",IF(Table4[[#This Row],[Predicted Winner]]=NHL2025_26Results[[#This Row],[Winning Team]],"YES","NO"))</f>
        <v>-</v>
      </c>
      <c r="N1298" t="str">
        <f>IF(Table4[[#This Row],[Adjusted Correct]]="-", "",IF(Table4[[#This Row],[Adjusted Correct]]="YES",(Table4[[#This Row],[Strength of Win]]-1)^2,(Table4[[#This Row],[Strength of Win]]-0)^2))</f>
        <v/>
      </c>
      <c r="P1298" s="11"/>
    </row>
    <row r="1299" spans="4:16" x14ac:dyDescent="0.2">
      <c r="D1299" s="1">
        <v>46126</v>
      </c>
      <c r="E1299" s="2">
        <v>0.89583333333333337</v>
      </c>
      <c r="F1299" t="s">
        <v>35</v>
      </c>
      <c r="G1299">
        <f>VLOOKUP(Table4[[#This Row],[Home]],'NHL Model'!$A$6:$B$38,2,FALSE)</f>
        <v>-1.3944783719477225</v>
      </c>
      <c r="H1299" t="s">
        <v>14</v>
      </c>
      <c r="I1299">
        <f>VLOOKUP(Table4[[#This Row],[Visitor]],'NHL Model'!$A$6:$B$38,2,FALSE)</f>
        <v>-0.14226422156549004</v>
      </c>
      <c r="J1299">
        <f>($B$1+Table4[[#This Row],[Home Differential]])-Table4[[#This Row],[Away Differential]]</f>
        <v>-1.20231340145907</v>
      </c>
      <c r="K1299" t="str">
        <f>IF(Table4[[#This Row],[HomeIce Differential]]&gt;0,Table4[[#This Row],[Home]],Table4[[#This Row],[Visitor]])</f>
        <v>Pittsburgh Penguins</v>
      </c>
      <c r="L1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0.63967456773791442</v>
      </c>
      <c r="M1299" t="str">
        <f>IF(OR((NHL2025_26Results[[#This Row],[Winning Team]]="")),"-",IF(Table4[[#This Row],[Predicted Winner]]=NHL2025_26Results[[#This Row],[Winning Team]],"YES","NO"))</f>
        <v>-</v>
      </c>
      <c r="N1299" t="str">
        <f>IF(Table4[[#This Row],[Adjusted Correct]]="-", "",IF(Table4[[#This Row],[Adjusted Correct]]="YES",(Table4[[#This Row],[Strength of Win]]-1)^2,(Table4[[#This Row],[Strength of Win]]-0)^2))</f>
        <v/>
      </c>
      <c r="P1299" s="11"/>
    </row>
    <row r="1300" spans="4:16" x14ac:dyDescent="0.2">
      <c r="D1300" s="1">
        <v>46126</v>
      </c>
      <c r="E1300" s="2">
        <v>0.875</v>
      </c>
      <c r="F1300" t="s">
        <v>55</v>
      </c>
      <c r="G1300">
        <f>VLOOKUP(Table4[[#This Row],[Home]],'NHL Model'!$A$6:$B$38,2,FALSE)</f>
        <v>-0.4031232890211825</v>
      </c>
      <c r="H1300" t="s">
        <v>40</v>
      </c>
      <c r="I1300">
        <f>VLOOKUP(Table4[[#This Row],[Visitor]],'NHL Model'!$A$6:$B$38,2,FALSE)</f>
        <v>-0.31324182378279158</v>
      </c>
      <c r="J1300">
        <f>($B$1+Table4[[#This Row],[Home Differential]])-Table4[[#This Row],[Away Differential]]</f>
        <v>-3.9980716315228426E-2</v>
      </c>
      <c r="K1300" t="str">
        <f>IF(Table4[[#This Row],[HomeIce Differential]]&gt;0,Table4[[#This Row],[Home]],Table4[[#This Row],[Visitor]])</f>
        <v>Winnipeg Jets</v>
      </c>
      <c r="L1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0.44466833870306172</v>
      </c>
      <c r="M1300" t="str">
        <f>IF(OR((NHL2025_26Results[[#This Row],[Winning Team]]="")),"-",IF(Table4[[#This Row],[Predicted Winner]]=NHL2025_26Results[[#This Row],[Winning Team]],"YES","NO"))</f>
        <v>-</v>
      </c>
      <c r="N1300" t="str">
        <f>IF(Table4[[#This Row],[Adjusted Correct]]="-", "",IF(Table4[[#This Row],[Adjusted Correct]]="YES",(Table4[[#This Row],[Strength of Win]]-1)^2,(Table4[[#This Row],[Strength of Win]]-0)^2))</f>
        <v/>
      </c>
      <c r="P1300" s="11"/>
    </row>
    <row r="1301" spans="4:16" x14ac:dyDescent="0.2">
      <c r="D1301" s="1">
        <v>46126</v>
      </c>
      <c r="E1301" s="2">
        <v>0.91666666666666663</v>
      </c>
      <c r="F1301" t="s">
        <v>38</v>
      </c>
      <c r="G1301">
        <f>VLOOKUP(Table4[[#This Row],[Home]],'NHL Model'!$A$6:$B$38,2,FALSE)</f>
        <v>-0.9476777551108041</v>
      </c>
      <c r="H1301" t="s">
        <v>13</v>
      </c>
      <c r="I1301">
        <f>VLOOKUP(Table4[[#This Row],[Visitor]],'NHL Model'!$A$6:$B$38,2,FALSE)</f>
        <v>-0.33828359867721369</v>
      </c>
      <c r="J1301">
        <f>($B$1+Table4[[#This Row],[Home Differential]])-Table4[[#This Row],[Away Differential]]</f>
        <v>-0.55949340751042798</v>
      </c>
      <c r="K1301" t="str">
        <f>IF(Table4[[#This Row],[HomeIce Differential]]&gt;0,Table4[[#This Row],[Home]],Table4[[#This Row],[Visitor]])</f>
        <v>Los Angeles Kings</v>
      </c>
      <c r="L1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0.59164490233387368</v>
      </c>
      <c r="M1301" t="str">
        <f>IF(OR((NHL2025_26Results[[#This Row],[Winning Team]]="")),"-",IF(Table4[[#This Row],[Predicted Winner]]=NHL2025_26Results[[#This Row],[Winning Team]],"YES","NO"))</f>
        <v>-</v>
      </c>
      <c r="N1301" t="str">
        <f>IF(Table4[[#This Row],[Adjusted Correct]]="-", "",IF(Table4[[#This Row],[Adjusted Correct]]="YES",(Table4[[#This Row],[Strength of Win]]-1)^2,(Table4[[#This Row],[Strength of Win]]-0)^2))</f>
        <v/>
      </c>
      <c r="P1301" s="11"/>
    </row>
    <row r="1302" spans="4:16" x14ac:dyDescent="0.2">
      <c r="D1302" s="1">
        <v>46127</v>
      </c>
      <c r="E1302" s="2">
        <v>0.79166666666666663</v>
      </c>
      <c r="F1302" t="s">
        <v>23</v>
      </c>
      <c r="G1302">
        <f>VLOOKUP(Table4[[#This Row],[Home]],'NHL Model'!$A$6:$B$38,2,FALSE)</f>
        <v>-0.4761104357405897</v>
      </c>
      <c r="H1302" t="s">
        <v>39</v>
      </c>
      <c r="I1302">
        <f>VLOOKUP(Table4[[#This Row],[Visitor]],'NHL Model'!$A$6:$B$38,2,FALSE)</f>
        <v>0.41344250185511977</v>
      </c>
      <c r="J1302">
        <f>($B$1+Table4[[#This Row],[Home Differential]])-Table4[[#This Row],[Away Differential]]</f>
        <v>-0.83965218867254698</v>
      </c>
      <c r="K1302" t="str">
        <f>IF(Table4[[#This Row],[HomeIce Differential]]&gt;0,Table4[[#This Row],[Home]],Table4[[#This Row],[Visitor]])</f>
        <v>Dallas Stars</v>
      </c>
      <c r="L1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0.64976592334040328</v>
      </c>
      <c r="M1302" t="str">
        <f>IF(OR((NHL2025_26Results[[#This Row],[Winning Team]]="")),"-",IF(Table4[[#This Row],[Predicted Winner]]=NHL2025_26Results[[#This Row],[Winning Team]],"YES","NO"))</f>
        <v>-</v>
      </c>
      <c r="N1302" t="str">
        <f>IF(Table4[[#This Row],[Adjusted Correct]]="-", "",IF(Table4[[#This Row],[Adjusted Correct]]="YES",(Table4[[#This Row],[Strength of Win]]-1)^2,(Table4[[#This Row],[Strength of Win]]-0)^2))</f>
        <v/>
      </c>
      <c r="P1302" s="11"/>
    </row>
    <row r="1303" spans="4:16" x14ac:dyDescent="0.2">
      <c r="D1303" s="1">
        <v>46127</v>
      </c>
      <c r="E1303" s="2">
        <v>0.85416666666666663</v>
      </c>
      <c r="F1303" t="s">
        <v>10</v>
      </c>
      <c r="G1303">
        <f>VLOOKUP(Table4[[#This Row],[Home]],'NHL Model'!$A$6:$B$38,2,FALSE)</f>
        <v>-0.17619625518431364</v>
      </c>
      <c r="H1303" t="s">
        <v>33</v>
      </c>
      <c r="I1303">
        <f>VLOOKUP(Table4[[#This Row],[Visitor]],'NHL Model'!$A$6:$B$38,2,FALSE)</f>
        <v>-0.45133099238224339</v>
      </c>
      <c r="J1303">
        <f>($B$1+Table4[[#This Row],[Home Differential]])-Table4[[#This Row],[Away Differential]]</f>
        <v>0.32503548612109223</v>
      </c>
      <c r="K1303" t="str">
        <f>IF(Table4[[#This Row],[HomeIce Differential]]&gt;0,Table4[[#This Row],[Home]],Table4[[#This Row],[Visitor]])</f>
        <v>Chicago Blackhawks</v>
      </c>
      <c r="L1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0.57795269018603335</v>
      </c>
      <c r="M1303" t="str">
        <f>IF(OR((NHL2025_26Results[[#This Row],[Winning Team]]="")),"-",IF(Table4[[#This Row],[Predicted Winner]]=NHL2025_26Results[[#This Row],[Winning Team]],"YES","NO"))</f>
        <v>-</v>
      </c>
      <c r="N1303" t="str">
        <f>IF(Table4[[#This Row],[Adjusted Correct]]="-", "",IF(Table4[[#This Row],[Adjusted Correct]]="YES",(Table4[[#This Row],[Strength of Win]]-1)^2,(Table4[[#This Row],[Strength of Win]]-0)^2))</f>
        <v/>
      </c>
      <c r="P1303" s="11"/>
    </row>
    <row r="1304" spans="4:16" x14ac:dyDescent="0.2">
      <c r="D1304" s="1">
        <v>46127</v>
      </c>
      <c r="E1304" s="2">
        <v>0.79166666666666663</v>
      </c>
      <c r="F1304" t="s">
        <v>11</v>
      </c>
      <c r="G1304">
        <f>VLOOKUP(Table4[[#This Row],[Home]],'NHL Model'!$A$6:$B$38,2,FALSE)</f>
        <v>-0.39711829106410657</v>
      </c>
      <c r="H1304" t="s">
        <v>26</v>
      </c>
      <c r="I1304">
        <f>VLOOKUP(Table4[[#This Row],[Visitor]],'NHL Model'!$A$6:$B$38,2,FALSE)</f>
        <v>-0.87533956503230947</v>
      </c>
      <c r="J1304">
        <f>($B$1+Table4[[#This Row],[Home Differential]])-Table4[[#This Row],[Away Differential]]</f>
        <v>0.52812202289136545</v>
      </c>
      <c r="K1304" t="str">
        <f>IF(Table4[[#This Row],[HomeIce Differential]]&gt;0,Table4[[#This Row],[Home]],Table4[[#This Row],[Visitor]])</f>
        <v>Florida Panthers</v>
      </c>
      <c r="L1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0.61568266119593729</v>
      </c>
      <c r="M1304" t="str">
        <f>IF(OR((NHL2025_26Results[[#This Row],[Winning Team]]="")),"-",IF(Table4[[#This Row],[Predicted Winner]]=NHL2025_26Results[[#This Row],[Winning Team]],"YES","NO"))</f>
        <v>-</v>
      </c>
      <c r="N1304" t="str">
        <f>IF(Table4[[#This Row],[Adjusted Correct]]="-", "",IF(Table4[[#This Row],[Adjusted Correct]]="YES",(Table4[[#This Row],[Strength of Win]]-1)^2,(Table4[[#This Row],[Strength of Win]]-0)^2))</f>
        <v/>
      </c>
      <c r="P1304" s="11"/>
    </row>
    <row r="1305" spans="4:16" x14ac:dyDescent="0.2">
      <c r="D1305" s="1">
        <v>46127</v>
      </c>
      <c r="E1305" s="2">
        <v>0.8125</v>
      </c>
      <c r="F1305" t="s">
        <v>36</v>
      </c>
      <c r="G1305">
        <f>VLOOKUP(Table4[[#This Row],[Home]],'NHL Model'!$A$6:$B$38,2,FALSE)</f>
        <v>-0.53137605086483863</v>
      </c>
      <c r="H1305" t="s">
        <v>19</v>
      </c>
      <c r="I1305">
        <f>VLOOKUP(Table4[[#This Row],[Visitor]],'NHL Model'!$A$6:$B$38,2,FALSE)</f>
        <v>-0.63447859131898054</v>
      </c>
      <c r="J1305">
        <f>($B$1+Table4[[#This Row],[Home Differential]])-Table4[[#This Row],[Away Differential]]</f>
        <v>0.1530032893773044</v>
      </c>
      <c r="K1305" t="str">
        <f>IF(Table4[[#This Row],[HomeIce Differential]]&gt;0,Table4[[#This Row],[Home]],Table4[[#This Row],[Visitor]])</f>
        <v>Ottawa Senators</v>
      </c>
      <c r="L1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0.56036087140652391</v>
      </c>
      <c r="M1305" t="str">
        <f>IF(OR((NHL2025_26Results[[#This Row],[Winning Team]]="")),"-",IF(Table4[[#This Row],[Predicted Winner]]=NHL2025_26Results[[#This Row],[Winning Team]],"YES","NO"))</f>
        <v>-</v>
      </c>
      <c r="N1305" t="str">
        <f>IF(Table4[[#This Row],[Adjusted Correct]]="-", "",IF(Table4[[#This Row],[Adjusted Correct]]="YES",(Table4[[#This Row],[Strength of Win]]-1)^2,(Table4[[#This Row],[Strength of Win]]-0)^2))</f>
        <v/>
      </c>
      <c r="P1305" s="11"/>
    </row>
    <row r="1306" spans="4:16" x14ac:dyDescent="0.2">
      <c r="D1306" s="1">
        <v>46127</v>
      </c>
      <c r="E1306" s="2">
        <v>0.79166666666666663</v>
      </c>
      <c r="F1306" t="s">
        <v>37</v>
      </c>
      <c r="G1306">
        <f>VLOOKUP(Table4[[#This Row],[Home]],'NHL Model'!$A$6:$B$38,2,FALSE)</f>
        <v>0.51050494674660429</v>
      </c>
      <c r="H1306" t="s">
        <v>15</v>
      </c>
      <c r="I1306">
        <f>VLOOKUP(Table4[[#This Row],[Visitor]],'NHL Model'!$A$6:$B$38,2,FALSE)</f>
        <v>-0.29003398448394263</v>
      </c>
      <c r="J1306">
        <f>($B$1+Table4[[#This Row],[Home Differential]])-Table4[[#This Row],[Away Differential]]</f>
        <v>0.8504396801537093</v>
      </c>
      <c r="K1306" t="str">
        <f>IF(Table4[[#This Row],[HomeIce Differential]]&gt;0,Table4[[#This Row],[Home]],Table4[[#This Row],[Visitor]])</f>
        <v>Tampa Bay Lightning</v>
      </c>
      <c r="L1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0.57162610749903808</v>
      </c>
      <c r="M1306" t="str">
        <f>IF(OR((NHL2025_26Results[[#This Row],[Winning Team]]="")),"-",IF(Table4[[#This Row],[Predicted Winner]]=NHL2025_26Results[[#This Row],[Winning Team]],"YES","NO"))</f>
        <v>-</v>
      </c>
      <c r="N1306" t="str">
        <f>IF(Table4[[#This Row],[Adjusted Correct]]="-", "",IF(Table4[[#This Row],[Adjusted Correct]]="YES",(Table4[[#This Row],[Strength of Win]]-1)^2,(Table4[[#This Row],[Strength of Win]]-0)^2))</f>
        <v/>
      </c>
      <c r="P1306" s="11"/>
    </row>
    <row r="1307" spans="4:16" x14ac:dyDescent="0.2">
      <c r="D1307" s="1">
        <v>46127</v>
      </c>
      <c r="E1307" s="2">
        <v>0.91666666666666663</v>
      </c>
      <c r="F1307" t="s">
        <v>20</v>
      </c>
      <c r="G1307">
        <f>VLOOKUP(Table4[[#This Row],[Home]],'NHL Model'!$A$6:$B$38,2,FALSE)</f>
        <v>-0.24444083032063643</v>
      </c>
      <c r="H1307" t="s">
        <v>32</v>
      </c>
      <c r="I1307">
        <f>VLOOKUP(Table4[[#This Row],[Visitor]],'NHL Model'!$A$6:$B$38,2,FALSE)</f>
        <v>-0.64937723527808999</v>
      </c>
      <c r="J1307">
        <f>($B$1+Table4[[#This Row],[Home Differential]])-Table4[[#This Row],[Away Differential]]</f>
        <v>0.45483715388061602</v>
      </c>
      <c r="K1307" t="str">
        <f>IF(Table4[[#This Row],[HomeIce Differential]]&gt;0,Table4[[#This Row],[Home]],Table4[[#This Row],[Visitor]])</f>
        <v>Vegas Golden Knights</v>
      </c>
      <c r="L1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0.59310895063284608</v>
      </c>
      <c r="M1307" t="str">
        <f>IF(OR((NHL2025_26Results[[#This Row],[Winning Team]]="")),"-",IF(Table4[[#This Row],[Predicted Winner]]=NHL2025_26Results[[#This Row],[Winning Team]],"YES","NO"))</f>
        <v>-</v>
      </c>
      <c r="N1307" t="str">
        <f>IF(Table4[[#This Row],[Adjusted Correct]]="-", "",IF(Table4[[#This Row],[Adjusted Correct]]="YES",(Table4[[#This Row],[Strength of Win]]-1)^2,(Table4[[#This Row],[Strength of Win]]-0)^2))</f>
        <v/>
      </c>
      <c r="P1307" s="11"/>
    </row>
    <row r="1308" spans="4:16" x14ac:dyDescent="0.2">
      <c r="D1308" s="1">
        <v>46128</v>
      </c>
      <c r="E1308" s="2">
        <v>0.875</v>
      </c>
      <c r="F1308" t="s">
        <v>16</v>
      </c>
      <c r="G1308">
        <f>VLOOKUP(Table4[[#This Row],[Home]],'NHL Model'!$A$6:$B$38,2,FALSE)</f>
        <v>-1.0657812790446208</v>
      </c>
      <c r="H1308" t="s">
        <v>13</v>
      </c>
      <c r="I1308">
        <f>VLOOKUP(Table4[[#This Row],[Visitor]],'NHL Model'!$A$6:$B$38,2,FALSE)</f>
        <v>-0.33828359867721369</v>
      </c>
      <c r="J1308">
        <f>($B$1+Table4[[#This Row],[Home Differential]])-Table4[[#This Row],[Away Differential]]</f>
        <v>-0.67759693144424471</v>
      </c>
      <c r="K1308" t="str">
        <f>IF(Table4[[#This Row],[HomeIce Differential]]&gt;0,Table4[[#This Row],[Home]],Table4[[#This Row],[Visitor]])</f>
        <v>Los Angeles Kings</v>
      </c>
      <c r="L1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0.60543523183675452</v>
      </c>
      <c r="M1308" t="str">
        <f>IF(OR((NHL2025_26Results[[#This Row],[Winning Team]]="")),"-",IF(Table4[[#This Row],[Predicted Winner]]=NHL2025_26Results[[#This Row],[Winning Team]],"YES","NO"))</f>
        <v>-</v>
      </c>
      <c r="N1308" t="str">
        <f>IF(Table4[[#This Row],[Adjusted Correct]]="-", "",IF(Table4[[#This Row],[Adjusted Correct]]="YES",(Table4[[#This Row],[Strength of Win]]-1)^2,(Table4[[#This Row],[Strength of Win]]-0)^2))</f>
        <v/>
      </c>
      <c r="P1308" s="11"/>
    </row>
    <row r="1309" spans="4:16" x14ac:dyDescent="0.2">
      <c r="D1309" s="1">
        <v>46128</v>
      </c>
      <c r="E1309" s="2">
        <v>0.9375</v>
      </c>
      <c r="F1309" t="s">
        <v>12</v>
      </c>
      <c r="G1309">
        <f>VLOOKUP(Table4[[#This Row],[Home]],'NHL Model'!$A$6:$B$38,2,FALSE)</f>
        <v>1.6319036584269762</v>
      </c>
      <c r="H1309" t="s">
        <v>32</v>
      </c>
      <c r="I1309">
        <f>VLOOKUP(Table4[[#This Row],[Visitor]],'NHL Model'!$A$6:$B$38,2,FALSE)</f>
        <v>-0.64937723527808999</v>
      </c>
      <c r="J1309">
        <f>($B$1+Table4[[#This Row],[Home Differential]])-Table4[[#This Row],[Away Differential]]</f>
        <v>2.3311816426282288</v>
      </c>
      <c r="K1309" t="str">
        <f>IF(Table4[[#This Row],[HomeIce Differential]]&gt;0,Table4[[#This Row],[Home]],Table4[[#This Row],[Visitor]])</f>
        <v>Colorado Avalanche</v>
      </c>
      <c r="L1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0.9165297594695343</v>
      </c>
      <c r="M1309" t="str">
        <f>IF(OR((NHL2025_26Results[[#This Row],[Winning Team]]="")),"-",IF(Table4[[#This Row],[Predicted Winner]]=NHL2025_26Results[[#This Row],[Winning Team]],"YES","NO"))</f>
        <v>-</v>
      </c>
      <c r="N1309" t="str">
        <f>IF(Table4[[#This Row],[Adjusted Correct]]="-", "",IF(Table4[[#This Row],[Adjusted Correct]]="YES",(Table4[[#This Row],[Strength of Win]]-1)^2,(Table4[[#This Row],[Strength of Win]]-0)^2))</f>
        <v/>
      </c>
      <c r="P1309" s="11"/>
    </row>
    <row r="1310" spans="4:16" x14ac:dyDescent="0.2">
      <c r="D1310" s="1">
        <v>46128</v>
      </c>
      <c r="E1310" s="2">
        <v>0.875</v>
      </c>
      <c r="F1310" t="s">
        <v>17</v>
      </c>
      <c r="G1310">
        <f>VLOOKUP(Table4[[#This Row],[Home]],'NHL Model'!$A$6:$B$38,2,FALSE)</f>
        <v>-0.81774666423752174</v>
      </c>
      <c r="H1310" t="s">
        <v>38</v>
      </c>
      <c r="I1310">
        <f>VLOOKUP(Table4[[#This Row],[Visitor]],'NHL Model'!$A$6:$B$38,2,FALSE)</f>
        <v>-0.9476777551108041</v>
      </c>
      <c r="J1310">
        <f>($B$1+Table4[[#This Row],[Home Differential]])-Table4[[#This Row],[Away Differential]]</f>
        <v>0.17983183979644479</v>
      </c>
      <c r="K1310" t="str">
        <f>IF(Table4[[#This Row],[HomeIce Differential]]&gt;0,Table4[[#This Row],[Home]],Table4[[#This Row],[Visitor]])</f>
        <v>Edmonton Oilers</v>
      </c>
      <c r="L1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0.564476282294328</v>
      </c>
      <c r="M1310" t="str">
        <f>IF(OR((NHL2025_26Results[[#This Row],[Winning Team]]="")),"-",IF(Table4[[#This Row],[Predicted Winner]]=NHL2025_26Results[[#This Row],[Winning Team]],"YES","NO"))</f>
        <v>-</v>
      </c>
      <c r="N1310" t="str">
        <f>IF(Table4[[#This Row],[Adjusted Correct]]="-", "",IF(Table4[[#This Row],[Adjusted Correct]]="YES",(Table4[[#This Row],[Strength of Win]]-1)^2,(Table4[[#This Row],[Strength of Win]]-0)^2))</f>
        <v/>
      </c>
      <c r="P1310" s="11"/>
    </row>
    <row r="1311" spans="4:16" x14ac:dyDescent="0.2">
      <c r="D1311" s="1">
        <v>46128</v>
      </c>
      <c r="E1311" s="2">
        <v>0.83333333333333337</v>
      </c>
      <c r="F1311" t="s">
        <v>29</v>
      </c>
      <c r="G1311">
        <f>VLOOKUP(Table4[[#This Row],[Home]],'NHL Model'!$A$6:$B$38,2,FALSE)</f>
        <v>-1.384917283810061</v>
      </c>
      <c r="H1311" t="s">
        <v>31</v>
      </c>
      <c r="I1311">
        <f>VLOOKUP(Table4[[#This Row],[Visitor]],'NHL Model'!$A$6:$B$38,2,FALSE)</f>
        <v>0.17870302183926629</v>
      </c>
      <c r="J1311">
        <f>($B$1+Table4[[#This Row],[Home Differential]])-Table4[[#This Row],[Away Differential]]</f>
        <v>-1.5137195567261648</v>
      </c>
      <c r="K1311" t="str">
        <f>IF(Table4[[#This Row],[HomeIce Differential]]&gt;0,Table4[[#This Row],[Home]],Table4[[#This Row],[Visitor]])</f>
        <v>Anaheim Ducks</v>
      </c>
      <c r="L1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0.65751832992317638</v>
      </c>
      <c r="M1311" t="str">
        <f>IF(OR((NHL2025_26Results[[#This Row],[Winning Team]]="")),"-",IF(Table4[[#This Row],[Predicted Winner]]=NHL2025_26Results[[#This Row],[Winning Team]],"YES","NO"))</f>
        <v>-</v>
      </c>
      <c r="N1311" t="str">
        <f>IF(Table4[[#This Row],[Adjusted Correct]]="-", "",IF(Table4[[#This Row],[Adjusted Correct]]="YES",(Table4[[#This Row],[Strength of Win]]-1)^2,(Table4[[#This Row],[Strength of Win]]-0)^2))</f>
        <v/>
      </c>
      <c r="P1311" s="11"/>
    </row>
    <row r="1312" spans="4:16" x14ac:dyDescent="0.2">
      <c r="D1312" s="1">
        <v>46128</v>
      </c>
      <c r="E1312" s="2">
        <v>0.83333333333333337</v>
      </c>
      <c r="F1312" t="s">
        <v>55</v>
      </c>
      <c r="G1312">
        <f>VLOOKUP(Table4[[#This Row],[Home]],'NHL Model'!$A$6:$B$38,2,FALSE)</f>
        <v>-0.4031232890211825</v>
      </c>
      <c r="H1312" t="s">
        <v>35</v>
      </c>
      <c r="I1312">
        <f>VLOOKUP(Table4[[#This Row],[Visitor]],'NHL Model'!$A$6:$B$38,2,FALSE)</f>
        <v>-1.3944783719477225</v>
      </c>
      <c r="J1312">
        <f>($B$1+Table4[[#This Row],[Home Differential]])-Table4[[#This Row],[Away Differential]]</f>
        <v>1.0412558318497025</v>
      </c>
      <c r="K1312" t="str">
        <f>IF(Table4[[#This Row],[HomeIce Differential]]&gt;0,Table4[[#This Row],[Home]],Table4[[#This Row],[Visitor]])</f>
        <v>Utah Mammoth</v>
      </c>
      <c r="L1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0.7020131636538165</v>
      </c>
      <c r="M1312" t="str">
        <f>IF(OR((NHL2025_26Results[[#This Row],[Winning Team]]="")),"-",IF(Table4[[#This Row],[Predicted Winner]]=NHL2025_26Results[[#This Row],[Winning Team]],"YES","NO"))</f>
        <v>-</v>
      </c>
      <c r="N1312" t="str">
        <f>IF(Table4[[#This Row],[Adjusted Correct]]="-", "",IF(Table4[[#This Row],[Adjusted Correct]]="YES",(Table4[[#This Row],[Strength of Win]]-1)^2,(Table4[[#This Row],[Strength of Win]]-0)^2))</f>
        <v/>
      </c>
      <c r="P1312" s="11"/>
    </row>
    <row r="1313" spans="4:16" x14ac:dyDescent="0.2">
      <c r="D1313" s="1">
        <v>46128</v>
      </c>
      <c r="E1313" s="2">
        <v>0.83333333333333337</v>
      </c>
      <c r="F1313" t="s">
        <v>40</v>
      </c>
      <c r="G1313">
        <f>VLOOKUP(Table4[[#This Row],[Home]],'NHL Model'!$A$6:$B$38,2,FALSE)</f>
        <v>-0.31324182378279158</v>
      </c>
      <c r="H1313" t="s">
        <v>33</v>
      </c>
      <c r="I1313">
        <f>VLOOKUP(Table4[[#This Row],[Visitor]],'NHL Model'!$A$6:$B$38,2,FALSE)</f>
        <v>-0.45133099238224339</v>
      </c>
      <c r="J1313">
        <f>($B$1+Table4[[#This Row],[Home Differential]])-Table4[[#This Row],[Away Differential]]</f>
        <v>0.18798991752261429</v>
      </c>
      <c r="K1313" t="str">
        <f>IF(Table4[[#This Row],[HomeIce Differential]]&gt;0,Table4[[#This Row],[Home]],Table4[[#This Row],[Visitor]])</f>
        <v>Winnipeg Jets</v>
      </c>
      <c r="L1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0.56444607660826673</v>
      </c>
      <c r="M1313" t="str">
        <f>IF(OR((NHL2025_26Results[[#This Row],[Winning Team]]="")),"-",IF(Table4[[#This Row],[Predicted Winner]]=NHL2025_26Results[[#This Row],[Winning Team]],"YES","NO"))</f>
        <v>-</v>
      </c>
      <c r="N1313" t="str">
        <f>IF(Table4[[#This Row],[Adjusted Correct]]="-", "",IF(Table4[[#This Row],[Adjusted Correct]]="YES",(Table4[[#This Row],[Strength of Win]]-1)^2,(Table4[[#This Row],[Strength of Win]]-0)^2))</f>
        <v/>
      </c>
      <c r="P1313" s="11"/>
    </row>
  </sheetData>
  <conditionalFormatting sqref="D1:D1313">
    <cfRule type="timePeriod" dxfId="31" priority="6" timePeriod="today">
      <formula>FLOOR(D1,1)=TODAY()</formula>
    </cfRule>
  </conditionalFormatting>
  <conditionalFormatting sqref="J2:J131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L131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1313">
    <cfRule type="containsText" dxfId="30" priority="9" operator="containsText" text="NO">
      <formula>NOT(ISERROR(SEARCH("NO",M2)))</formula>
    </cfRule>
    <cfRule type="containsText" dxfId="29" priority="10" operator="containsText" text="YES">
      <formula>NOT(ISERROR(SEARCH("YES",M2)))</formula>
    </cfRule>
  </conditionalFormatting>
  <conditionalFormatting sqref="Q232:Q2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57:Q26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1:R1313">
    <cfRule type="containsText" dxfId="28" priority="3" operator="containsText" text="YES">
      <formula>NOT(ISERROR(SEARCH("YES",R1)))</formula>
    </cfRule>
    <cfRule type="containsText" dxfId="27" priority="4" operator="containsText" text="NO">
      <formula>NOT(ISERROR(SEARCH("NO",R1)))</formula>
    </cfRule>
  </conditionalFormatting>
  <pageMargins left="0.7" right="0.7" top="0.75" bottom="0.75" header="0.3" footer="0.3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A284B-11E6-244D-9605-A7C78DDBC28C}">
  <dimension ref="A1:R35"/>
  <sheetViews>
    <sheetView workbookViewId="0">
      <selection activeCell="M35" sqref="M35"/>
    </sheetView>
  </sheetViews>
  <sheetFormatPr baseColWidth="10" defaultColWidth="10.83203125" defaultRowHeight="16" x14ac:dyDescent="0.2"/>
  <cols>
    <col min="1" max="1" width="19.83203125" bestFit="1" customWidth="1"/>
    <col min="7" max="7" width="13.6640625" bestFit="1" customWidth="1"/>
    <col min="8" max="8" width="12.6640625" bestFit="1" customWidth="1"/>
    <col min="9" max="9" width="11.83203125" bestFit="1" customWidth="1"/>
    <col min="10" max="10" width="12.1640625" bestFit="1" customWidth="1"/>
    <col min="11" max="11" width="12" bestFit="1" customWidth="1"/>
    <col min="12" max="12" width="11.1640625" bestFit="1" customWidth="1"/>
    <col min="13" max="13" width="13.33203125" bestFit="1" customWidth="1"/>
    <col min="14" max="14" width="12.6640625" bestFit="1" customWidth="1"/>
    <col min="15" max="15" width="22.33203125" bestFit="1" customWidth="1"/>
    <col min="16" max="16" width="21.6640625" bestFit="1" customWidth="1"/>
    <col min="17" max="17" width="20.6640625" bestFit="1" customWidth="1"/>
    <col min="18" max="18" width="20" bestFit="1" customWidth="1"/>
  </cols>
  <sheetData>
    <row r="1" spans="1:18" x14ac:dyDescent="0.2">
      <c r="A1" s="3" t="s">
        <v>56</v>
      </c>
      <c r="B1" s="3" t="s">
        <v>57</v>
      </c>
      <c r="C1" s="3" t="s">
        <v>58</v>
      </c>
      <c r="D1" s="3" t="s">
        <v>59</v>
      </c>
      <c r="E1" s="3" t="s">
        <v>165</v>
      </c>
      <c r="F1" s="3" t="s">
        <v>166</v>
      </c>
      <c r="G1" s="9" t="s">
        <v>168</v>
      </c>
      <c r="H1" s="3" t="s">
        <v>170</v>
      </c>
      <c r="I1" s="9" t="s">
        <v>172</v>
      </c>
      <c r="J1" s="3" t="s">
        <v>169</v>
      </c>
      <c r="K1" s="3" t="s">
        <v>171</v>
      </c>
      <c r="L1" s="9" t="s">
        <v>173</v>
      </c>
      <c r="M1" s="3" t="s">
        <v>174</v>
      </c>
      <c r="N1" s="3" t="s">
        <v>167</v>
      </c>
      <c r="O1" s="9" t="s">
        <v>256</v>
      </c>
      <c r="P1" s="9" t="s">
        <v>257</v>
      </c>
      <c r="Q1" s="3" t="s">
        <v>258</v>
      </c>
      <c r="R1" s="3" t="s">
        <v>259</v>
      </c>
    </row>
    <row r="2" spans="1:18" x14ac:dyDescent="0.2">
      <c r="A2" s="4" t="s">
        <v>31</v>
      </c>
      <c r="B2">
        <f>SUM(Table1[[#This Row],[W]:[OTL]])</f>
        <v>26</v>
      </c>
      <c r="C2">
        <f>COUNTIF(NHL2025_26Results[Winning Team],Standings!A2)</f>
        <v>16</v>
      </c>
      <c r="D2">
        <f>COUNTIFS('NHL2025-26Results'!$H:$H,A2,'NHL2025-26Results'!$F:$F,"")</f>
        <v>9</v>
      </c>
      <c r="E2" s="10">
        <f>COUNTIFS('NHL2025-26Results'!$F:$F,"OT",'NHL2025-26Results'!$H:$H,A2) + COUNTIFS('NHL2025-26Results'!$F:$F,"SO",'NHL2025-26Results'!$H:$H,A2)</f>
        <v>1</v>
      </c>
      <c r="F2" s="3">
        <f>(Table1[[#This Row],[W]]*2)+Table1[[#This Row],[OTL]]</f>
        <v>33</v>
      </c>
      <c r="G2">
        <f>COUNTIFS('NHL2025-26Results'!$D:$D,A2,'NHL2025-26Results'!$G:$G,A2)</f>
        <v>9</v>
      </c>
      <c r="H2">
        <f>COUNTIFS('NHL2025-26Results'!$D:$D,A2,'NHL2025-26Results'!$H:$H,A2,'NHL2025-26Results'!$F:$F,"")</f>
        <v>3</v>
      </c>
      <c r="I2">
        <f>COUNTIFS('NHL2025-26Results'!$D:$D,A2,'NHL2025-26Results'!$H:$H,A2,'NHL2025-26Results'!$F:$F,"OT") + COUNTIFS('NHL2025-26Results'!$D:$D,A2,'NHL2025-26Results'!$H:$H,A2,'NHL2025-26Results'!$F:$F,"SO")</f>
        <v>0</v>
      </c>
      <c r="J2">
        <f>COUNTIFS('NHL2025-26Results'!$B:$B,A2,'NHL2025-26Results'!$G:$G,A2)</f>
        <v>7</v>
      </c>
      <c r="K2">
        <f>COUNTIFS('NHL2025-26Results'!$B:$B,A2,'NHL2025-26Results'!$H:$H,A2,'NHL2025-26Results'!$F:$F,"")</f>
        <v>6</v>
      </c>
      <c r="L2">
        <f>COUNTIFS('NHL2025-26Results'!$B:$B,A2,'NHL2025-26Results'!$H:$H,A2,'NHL2025-26Results'!$F:$F,"OT") + COUNTIFS('NHL2025-26Results'!$B:$B,A2,'NHL2025-26Results'!$H:$H,A2,'NHL2025-26Results'!$F:$F,"SO")</f>
        <v>1</v>
      </c>
      <c r="M2" s="11">
        <f>Table1[[#This Row],[HomeWins]]/SUM(Table1[[#This Row],[HomeWins]:[HomeOTL]])</f>
        <v>0.75</v>
      </c>
      <c r="N2" s="11">
        <f>Table1[[#This Row],[AwayWins]]/SUM(Table1[[#This Row],[AwayWins]:[AwayOTL]])</f>
        <v>0.5</v>
      </c>
      <c r="O2" s="14">
        <f>SUMIFS('NHL2025-26Results'!$E:$E,'NHL2025-26Results'!$D:$D,A2,'NHL2025-26Results'!$E:$E,"&gt;0")/COUNTIFS('NHL2025-26Results'!$D:$D,A2,'NHL2025-26Results'!$E:$E,"&gt;0")</f>
        <v>3.9166666666666665</v>
      </c>
      <c r="P2" s="15">
        <f>SUMIFS('NHL2025-26Results'!$C:$C,'NHL2025-26Results'!$B:$B,A2,'NHL2025-26Results'!$C:$C,"&gt;0")/COUNTIFS('NHL2025-26Results'!$B:$B,A2,'NHL2025-26Results'!$C:$C,"&gt;0")</f>
        <v>3.7692307692307692</v>
      </c>
      <c r="Q2" s="14">
        <f>SUMIFS('NHL2025-26Results'!$C:$C,'NHL2025-26Results'!$D:$D,A2,'NHL2025-26Results'!$C:$C,"&gt;0")/COUNTIFS('NHL2025-26Results'!$D:$D,A2,'NHL2025-26Results'!$C:$C,"&gt;0")</f>
        <v>2.8333333333333335</v>
      </c>
      <c r="R2" s="14">
        <f>SUMIFS('NHL2025-26Results'!$E:$E,'NHL2025-26Results'!$B:$B,A2,'NHL2025-26Results'!$E:$E,"&gt;0")/COUNTIFS('NHL2025-26Results'!$B:$B,A2,'NHL2025-26Results'!$E:$E,"&gt;0")</f>
        <v>3.5714285714285716</v>
      </c>
    </row>
    <row r="3" spans="1:18" x14ac:dyDescent="0.2">
      <c r="A3" s="4" t="s">
        <v>21</v>
      </c>
      <c r="B3">
        <f>SUM(Table1[[#This Row],[W]:[OTL]])</f>
        <v>27</v>
      </c>
      <c r="C3">
        <f>COUNTIF(NHL2025_26Results[Winning Team],Standings!A3)</f>
        <v>15</v>
      </c>
      <c r="D3">
        <f>COUNTIFS('NHL2025-26Results'!$H:$H,A3,'NHL2025-26Results'!$F:$F,"")</f>
        <v>12</v>
      </c>
      <c r="E3">
        <f>COUNTIFS('NHL2025-26Results'!$F:$F,"OT",'NHL2025-26Results'!$H:$H,A3) + COUNTIFS('NHL2025-26Results'!$F:$F,"SO",'NHL2025-26Results'!$H:$H,A3)</f>
        <v>0</v>
      </c>
      <c r="F3" s="3">
        <f>(Table1[[#This Row],[W]]*2)+Table1[[#This Row],[OTL]]</f>
        <v>30</v>
      </c>
      <c r="G3">
        <f>COUNTIFS('NHL2025-26Results'!$D:$D,A3,'NHL2025-26Results'!$G:$G,A3)</f>
        <v>9</v>
      </c>
      <c r="H3">
        <f>COUNTIFS('NHL2025-26Results'!$D:$D,A3,'NHL2025-26Results'!$H:$H,A3,'NHL2025-26Results'!$F:$F,"")</f>
        <v>5</v>
      </c>
      <c r="I3">
        <f>COUNTIFS('NHL2025-26Results'!$D:$D,A3,'NHL2025-26Results'!$H:$H,A3,'NHL2025-26Results'!$F:$F,"OT") + COUNTIFS('NHL2025-26Results'!$D:$D,A3,'NHL2025-26Results'!$H:$H,A3,'NHL2025-26Results'!$F:$F,"SO")</f>
        <v>0</v>
      </c>
      <c r="J3">
        <f>COUNTIFS('NHL2025-26Results'!$B:$B,A3,'NHL2025-26Results'!$G:$G,A3)</f>
        <v>6</v>
      </c>
      <c r="K3">
        <f>COUNTIFS('NHL2025-26Results'!$B:$B,A3,'NHL2025-26Results'!$H:$H,A3,'NHL2025-26Results'!$F:$F,"")</f>
        <v>7</v>
      </c>
      <c r="L3">
        <f>COUNTIFS('NHL2025-26Results'!$B:$B,A3,'NHL2025-26Results'!$H:$H,A3,'NHL2025-26Results'!$F:$F,"OT") + COUNTIFS('NHL2025-26Results'!$B:$B,A3,'NHL2025-26Results'!$H:$H,A3,'NHL2025-26Results'!$F:$F,"SO")</f>
        <v>0</v>
      </c>
      <c r="M3" s="11">
        <f>Table1[[#This Row],[HomeWins]]/SUM(Table1[[#This Row],[HomeWins]:[HomeOTL]])</f>
        <v>0.6428571428571429</v>
      </c>
      <c r="N3" s="11">
        <f>Table1[[#This Row],[AwayWins]]/SUM(Table1[[#This Row],[AwayWins]:[AwayOTL]])</f>
        <v>0.46153846153846156</v>
      </c>
      <c r="O3" s="14">
        <f>SUMIFS('NHL2025-26Results'!$E:$E,'NHL2025-26Results'!$D:$D,A3,'NHL2025-26Results'!$E:$E,"&gt;0")/COUNTIFS('NHL2025-26Results'!$D:$D,A3,'NHL2025-26Results'!$E:$E,"&gt;0")</f>
        <v>3.2857142857142856</v>
      </c>
      <c r="P3" s="14">
        <f>SUMIFS('NHL2025-26Results'!$C:$C,'NHL2025-26Results'!$B:$B,A3,'NHL2025-26Results'!$C:$C,"&gt;0")/COUNTIFS('NHL2025-26Results'!$B:$B,A3,'NHL2025-26Results'!$C:$C,"&gt;0")</f>
        <v>2.8461538461538463</v>
      </c>
      <c r="Q3" s="14">
        <f>SUMIFS('NHL2025-26Results'!$C:$C,'NHL2025-26Results'!$D:$D,A3,'NHL2025-26Results'!$C:$C,"&gt;0")/COUNTIFS('NHL2025-26Results'!$D:$D,A3,'NHL2025-26Results'!$C:$C,"&gt;0")</f>
        <v>3.0714285714285716</v>
      </c>
      <c r="R3" s="14">
        <f>SUMIFS('NHL2025-26Results'!$E:$E,'NHL2025-26Results'!$B:$B,A3,'NHL2025-26Results'!$E:$E,"&gt;0")/COUNTIFS('NHL2025-26Results'!$B:$B,A3,'NHL2025-26Results'!$E:$E,"&gt;0")</f>
        <v>3.3076923076923075</v>
      </c>
    </row>
    <row r="4" spans="1:18" x14ac:dyDescent="0.2">
      <c r="A4" s="4" t="s">
        <v>23</v>
      </c>
      <c r="B4">
        <f>SUM(Table1[[#This Row],[W]:[OTL]])</f>
        <v>26</v>
      </c>
      <c r="C4">
        <f>COUNTIF(NHL2025_26Results[Winning Team],Standings!A4)</f>
        <v>11</v>
      </c>
      <c r="D4">
        <f>COUNTIFS('NHL2025-26Results'!$H:$H,A4,'NHL2025-26Results'!$F:$F,"")</f>
        <v>11</v>
      </c>
      <c r="E4">
        <f>COUNTIFS('NHL2025-26Results'!$F:$F,"OT",'NHL2025-26Results'!$H:$H,A4) + COUNTIFS('NHL2025-26Results'!$F:$F,"SO",'NHL2025-26Results'!$H:$H,A4)</f>
        <v>4</v>
      </c>
      <c r="F4" s="3">
        <f>(Table1[[#This Row],[W]]*2)+Table1[[#This Row],[OTL]]</f>
        <v>26</v>
      </c>
      <c r="G4">
        <f>COUNTIFS('NHL2025-26Results'!$D:$D,A4,'NHL2025-26Results'!$G:$G,A4)</f>
        <v>9</v>
      </c>
      <c r="H4">
        <f>COUNTIFS('NHL2025-26Results'!$D:$D,A4,'NHL2025-26Results'!$H:$H,A4,'NHL2025-26Results'!$F:$F,"")</f>
        <v>5</v>
      </c>
      <c r="I4">
        <f>COUNTIFS('NHL2025-26Results'!$D:$D,A4,'NHL2025-26Results'!$H:$H,A4,'NHL2025-26Results'!$F:$F,"OT") + COUNTIFS('NHL2025-26Results'!$D:$D,A4,'NHL2025-26Results'!$H:$H,A4,'NHL2025-26Results'!$F:$F,"SO")</f>
        <v>2</v>
      </c>
      <c r="J4">
        <f>COUNTIFS('NHL2025-26Results'!$B:$B,A4,'NHL2025-26Results'!$G:$G,A4)</f>
        <v>2</v>
      </c>
      <c r="K4">
        <f>COUNTIFS('NHL2025-26Results'!$B:$B,A4,'NHL2025-26Results'!$H:$H,A4,'NHL2025-26Results'!$F:$F,"")</f>
        <v>6</v>
      </c>
      <c r="L4">
        <f>COUNTIFS('NHL2025-26Results'!$B:$B,A4,'NHL2025-26Results'!$H:$H,A4,'NHL2025-26Results'!$F:$F,"OT") + COUNTIFS('NHL2025-26Results'!$B:$B,A4,'NHL2025-26Results'!$H:$H,A4,'NHL2025-26Results'!$F:$F,"SO")</f>
        <v>2</v>
      </c>
      <c r="M4" s="11">
        <f>Table1[[#This Row],[HomeWins]]/SUM(Table1[[#This Row],[HomeWins]:[HomeOTL]])</f>
        <v>0.5625</v>
      </c>
      <c r="N4" s="11">
        <f>Table1[[#This Row],[AwayWins]]/SUM(Table1[[#This Row],[AwayWins]:[AwayOTL]])</f>
        <v>0.2</v>
      </c>
      <c r="O4" s="14">
        <f>SUMIFS('NHL2025-26Results'!$E:$E,'NHL2025-26Results'!$D:$D,A4,'NHL2025-26Results'!$E:$E,"&gt;0")/COUNTIFS('NHL2025-26Results'!$D:$D,A4,'NHL2025-26Results'!$E:$E,"&gt;0")</f>
        <v>4.1538461538461542</v>
      </c>
      <c r="P4" s="14">
        <f>SUMIFS('NHL2025-26Results'!$C:$C,'NHL2025-26Results'!$B:$B,A4,'NHL2025-26Results'!$C:$C,"&gt;0")/COUNTIFS('NHL2025-26Results'!$B:$B,A4,'NHL2025-26Results'!$C:$C,"&gt;0")</f>
        <v>2.7</v>
      </c>
      <c r="Q4" s="14">
        <f>SUMIFS('NHL2025-26Results'!$C:$C,'NHL2025-26Results'!$D:$D,A4,'NHL2025-26Results'!$C:$C,"&gt;0")/COUNTIFS('NHL2025-26Results'!$D:$D,A4,'NHL2025-26Results'!$C:$C,"&gt;0")</f>
        <v>3</v>
      </c>
      <c r="R4" s="14">
        <f>SUMIFS('NHL2025-26Results'!$E:$E,'NHL2025-26Results'!$B:$B,A4,'NHL2025-26Results'!$E:$E,"&gt;0")/COUNTIFS('NHL2025-26Results'!$B:$B,A4,'NHL2025-26Results'!$E:$E,"&gt;0")</f>
        <v>4.2</v>
      </c>
    </row>
    <row r="5" spans="1:18" x14ac:dyDescent="0.2">
      <c r="A5" s="4" t="s">
        <v>16</v>
      </c>
      <c r="B5">
        <f>SUM(Table1[[#This Row],[W]:[OTL]])</f>
        <v>27</v>
      </c>
      <c r="C5">
        <f>COUNTIF(NHL2025_26Results[Winning Team],Standings!A5)</f>
        <v>9</v>
      </c>
      <c r="D5">
        <f>COUNTIFS('NHL2025-26Results'!$H:$H,A5,'NHL2025-26Results'!$F:$F,"")</f>
        <v>14</v>
      </c>
      <c r="E5">
        <f>COUNTIFS('NHL2025-26Results'!$F:$F,"OT",'NHL2025-26Results'!$H:$H,A5) + COUNTIFS('NHL2025-26Results'!$F:$F,"SO",'NHL2025-26Results'!$H:$H,A5)</f>
        <v>4</v>
      </c>
      <c r="F5" s="3">
        <f>(Table1[[#This Row],[W]]*2)+Table1[[#This Row],[OTL]]</f>
        <v>22</v>
      </c>
      <c r="G5">
        <f>COUNTIFS('NHL2025-26Results'!$D:$D,A5,'NHL2025-26Results'!$G:$G,A5)</f>
        <v>4</v>
      </c>
      <c r="H5">
        <f>COUNTIFS('NHL2025-26Results'!$D:$D,A5,'NHL2025-26Results'!$H:$H,A5,'NHL2025-26Results'!$F:$F,"")</f>
        <v>4</v>
      </c>
      <c r="I5">
        <f>COUNTIFS('NHL2025-26Results'!$D:$D,A5,'NHL2025-26Results'!$H:$H,A5,'NHL2025-26Results'!$F:$F,"OT") + COUNTIFS('NHL2025-26Results'!$D:$D,A5,'NHL2025-26Results'!$H:$H,A5,'NHL2025-26Results'!$F:$F,"SO")</f>
        <v>2</v>
      </c>
      <c r="J5">
        <f>COUNTIFS('NHL2025-26Results'!$B:$B,A5,'NHL2025-26Results'!$G:$G,A5)</f>
        <v>5</v>
      </c>
      <c r="K5">
        <f>COUNTIFS('NHL2025-26Results'!$B:$B,A5,'NHL2025-26Results'!$H:$H,A5,'NHL2025-26Results'!$F:$F,"")</f>
        <v>10</v>
      </c>
      <c r="L5">
        <f>COUNTIFS('NHL2025-26Results'!$B:$B,A5,'NHL2025-26Results'!$H:$H,A5,'NHL2025-26Results'!$F:$F,"OT") + COUNTIFS('NHL2025-26Results'!$B:$B,A5,'NHL2025-26Results'!$H:$H,A5,'NHL2025-26Results'!$F:$F,"SO")</f>
        <v>2</v>
      </c>
      <c r="M5" s="11">
        <f>Table1[[#This Row],[HomeWins]]/SUM(Table1[[#This Row],[HomeWins]:[HomeOTL]])</f>
        <v>0.4</v>
      </c>
      <c r="N5" s="11">
        <f>Table1[[#This Row],[AwayWins]]/SUM(Table1[[#This Row],[AwayWins]:[AwayOTL]])</f>
        <v>0.29411764705882354</v>
      </c>
      <c r="O5" s="14">
        <f>SUMIFS('NHL2025-26Results'!$E:$E,'NHL2025-26Results'!$D:$D,A5,'NHL2025-26Results'!$E:$E,"&gt;0")/COUNTIFS('NHL2025-26Results'!$D:$D,A5,'NHL2025-26Results'!$E:$E,"&gt;0")</f>
        <v>2.6666666666666665</v>
      </c>
      <c r="P5" s="14">
        <f>SUMIFS('NHL2025-26Results'!$C:$C,'NHL2025-26Results'!$B:$B,A5,'NHL2025-26Results'!$C:$C,"&gt;0")/COUNTIFS('NHL2025-26Results'!$B:$B,A5,'NHL2025-26Results'!$C:$C,"&gt;0")</f>
        <v>2.7333333333333334</v>
      </c>
      <c r="Q5" s="14">
        <f>SUMIFS('NHL2025-26Results'!$C:$C,'NHL2025-26Results'!$D:$D,A5,'NHL2025-26Results'!$C:$C,"&gt;0")/COUNTIFS('NHL2025-26Results'!$D:$D,A5,'NHL2025-26Results'!$C:$C,"&gt;0")</f>
        <v>2.6666666666666665</v>
      </c>
      <c r="R5" s="14">
        <f>SUMIFS('NHL2025-26Results'!$E:$E,'NHL2025-26Results'!$B:$B,A5,'NHL2025-26Results'!$E:$E,"&gt;0")/COUNTIFS('NHL2025-26Results'!$B:$B,A5,'NHL2025-26Results'!$E:$E,"&gt;0")</f>
        <v>3.4117647058823528</v>
      </c>
    </row>
    <row r="6" spans="1:18" x14ac:dyDescent="0.2">
      <c r="A6" s="4" t="s">
        <v>25</v>
      </c>
      <c r="B6">
        <f>SUM(Table1[[#This Row],[W]:[OTL]])</f>
        <v>25</v>
      </c>
      <c r="C6">
        <f>COUNTIF(NHL2025_26Results[Winning Team],Standings!A6)</f>
        <v>16</v>
      </c>
      <c r="D6">
        <f>COUNTIFS('NHL2025-26Results'!$H:$H,A6,'NHL2025-26Results'!$F:$F,"")</f>
        <v>7</v>
      </c>
      <c r="E6">
        <f>COUNTIFS('NHL2025-26Results'!$F:$F,"OT",'NHL2025-26Results'!$H:$H,A6) + COUNTIFS('NHL2025-26Results'!$F:$F,"SO",'NHL2025-26Results'!$H:$H,A6)</f>
        <v>2</v>
      </c>
      <c r="F6" s="3">
        <f>(Table1[[#This Row],[W]]*2)+Table1[[#This Row],[OTL]]</f>
        <v>34</v>
      </c>
      <c r="G6">
        <f>COUNTIFS('NHL2025-26Results'!$D:$D,A6,'NHL2025-26Results'!$G:$G,A6)</f>
        <v>8</v>
      </c>
      <c r="H6">
        <f>COUNTIFS('NHL2025-26Results'!$D:$D,A6,'NHL2025-26Results'!$H:$H,A6,'NHL2025-26Results'!$F:$F,"")</f>
        <v>3</v>
      </c>
      <c r="I6">
        <f>COUNTIFS('NHL2025-26Results'!$D:$D,A6,'NHL2025-26Results'!$H:$H,A6,'NHL2025-26Results'!$F:$F,"OT") + COUNTIFS('NHL2025-26Results'!$D:$D,A6,'NHL2025-26Results'!$H:$H,A6,'NHL2025-26Results'!$F:$F,"SO")</f>
        <v>1</v>
      </c>
      <c r="J6">
        <f>COUNTIFS('NHL2025-26Results'!$B:$B,A6,'NHL2025-26Results'!$G:$G,A6)</f>
        <v>8</v>
      </c>
      <c r="K6">
        <f>COUNTIFS('NHL2025-26Results'!$B:$B,A6,'NHL2025-26Results'!$H:$H,A6,'NHL2025-26Results'!$F:$F,"")</f>
        <v>4</v>
      </c>
      <c r="L6">
        <f>COUNTIFS('NHL2025-26Results'!$B:$B,A6,'NHL2025-26Results'!$H:$H,A6,'NHL2025-26Results'!$F:$F,"OT") + COUNTIFS('NHL2025-26Results'!$B:$B,A6,'NHL2025-26Results'!$H:$H,A6,'NHL2025-26Results'!$F:$F,"SO")</f>
        <v>1</v>
      </c>
      <c r="M6" s="11">
        <f>Table1[[#This Row],[HomeWins]]/SUM(Table1[[#This Row],[HomeWins]:[HomeOTL]])</f>
        <v>0.66666666666666663</v>
      </c>
      <c r="N6" s="11">
        <f>Table1[[#This Row],[AwayWins]]/SUM(Table1[[#This Row],[AwayWins]:[AwayOTL]])</f>
        <v>0.61538461538461542</v>
      </c>
      <c r="O6" s="14">
        <f>SUMIFS('NHL2025-26Results'!$E:$E,'NHL2025-26Results'!$D:$D,A6,'NHL2025-26Results'!$E:$E,"&gt;0")/COUNTIFS('NHL2025-26Results'!$D:$D,A6,'NHL2025-26Results'!$E:$E,"&gt;0")</f>
        <v>3.75</v>
      </c>
      <c r="P6" s="14">
        <f>SUMIFS('NHL2025-26Results'!$C:$C,'NHL2025-26Results'!$B:$B,A6,'NHL2025-26Results'!$C:$C,"&gt;0")/COUNTIFS('NHL2025-26Results'!$B:$B,A6,'NHL2025-26Results'!$C:$C,"&gt;0")</f>
        <v>3.1538461538461537</v>
      </c>
      <c r="Q6" s="14">
        <f>SUMIFS('NHL2025-26Results'!$C:$C,'NHL2025-26Results'!$D:$D,A6,'NHL2025-26Results'!$C:$C,"&gt;0")/COUNTIFS('NHL2025-26Results'!$D:$D,A6,'NHL2025-26Results'!$C:$C,"&gt;0")</f>
        <v>3.2727272727272729</v>
      </c>
      <c r="R6" s="14">
        <f>SUMIFS('NHL2025-26Results'!$E:$E,'NHL2025-26Results'!$B:$B,A6,'NHL2025-26Results'!$E:$E,"&gt;0")/COUNTIFS('NHL2025-26Results'!$B:$B,A6,'NHL2025-26Results'!$E:$E,"&gt;0")</f>
        <v>2.8333333333333335</v>
      </c>
    </row>
    <row r="7" spans="1:18" x14ac:dyDescent="0.2">
      <c r="A7" s="4" t="s">
        <v>10</v>
      </c>
      <c r="B7">
        <f>SUM(Table1[[#This Row],[W]:[OTL]])</f>
        <v>25</v>
      </c>
      <c r="C7">
        <f>COUNTIF(NHL2025_26Results[Winning Team],Standings!A7)</f>
        <v>11</v>
      </c>
      <c r="D7">
        <f>COUNTIFS('NHL2025-26Results'!$H:$H,A7,'NHL2025-26Results'!$F:$F,"")</f>
        <v>9</v>
      </c>
      <c r="E7">
        <f>COUNTIFS('NHL2025-26Results'!$F:$F,"OT",'NHL2025-26Results'!$H:$H,A7) + COUNTIFS('NHL2025-26Results'!$F:$F,"SO",'NHL2025-26Results'!$H:$H,A7)</f>
        <v>5</v>
      </c>
      <c r="F7" s="3">
        <f>(Table1[[#This Row],[W]]*2)+Table1[[#This Row],[OTL]]</f>
        <v>27</v>
      </c>
      <c r="G7">
        <f>COUNTIFS('NHL2025-26Results'!$D:$D,A7,'NHL2025-26Results'!$G:$G,A7)</f>
        <v>6</v>
      </c>
      <c r="H7">
        <f>COUNTIFS('NHL2025-26Results'!$D:$D,A7,'NHL2025-26Results'!$H:$H,A7,'NHL2025-26Results'!$F:$F,"")</f>
        <v>5</v>
      </c>
      <c r="I7">
        <f>COUNTIFS('NHL2025-26Results'!$D:$D,A7,'NHL2025-26Results'!$H:$H,A7,'NHL2025-26Results'!$F:$F,"OT") + COUNTIFS('NHL2025-26Results'!$D:$D,A7,'NHL2025-26Results'!$H:$H,A7,'NHL2025-26Results'!$F:$F,"SO")</f>
        <v>3</v>
      </c>
      <c r="J7">
        <f>COUNTIFS('NHL2025-26Results'!$B:$B,A7,'NHL2025-26Results'!$G:$G,A7)</f>
        <v>5</v>
      </c>
      <c r="K7">
        <f>COUNTIFS('NHL2025-26Results'!$B:$B,A7,'NHL2025-26Results'!$H:$H,A7,'NHL2025-26Results'!$F:$F,"")</f>
        <v>4</v>
      </c>
      <c r="L7">
        <f>COUNTIFS('NHL2025-26Results'!$B:$B,A7,'NHL2025-26Results'!$H:$H,A7,'NHL2025-26Results'!$F:$F,"OT") + COUNTIFS('NHL2025-26Results'!$B:$B,A7,'NHL2025-26Results'!$H:$H,A7,'NHL2025-26Results'!$F:$F,"SO")</f>
        <v>2</v>
      </c>
      <c r="M7" s="11">
        <f>Table1[[#This Row],[HomeWins]]/SUM(Table1[[#This Row],[HomeWins]:[HomeOTL]])</f>
        <v>0.42857142857142855</v>
      </c>
      <c r="N7" s="11">
        <f>Table1[[#This Row],[AwayWins]]/SUM(Table1[[#This Row],[AwayWins]:[AwayOTL]])</f>
        <v>0.45454545454545453</v>
      </c>
      <c r="O7" s="14">
        <f>SUMIFS('NHL2025-26Results'!$E:$E,'NHL2025-26Results'!$D:$D,A7,'NHL2025-26Results'!$E:$E,"&gt;0")/COUNTIFS('NHL2025-26Results'!$D:$D,A7,'NHL2025-26Results'!$E:$E,"&gt;0")</f>
        <v>3.1538461538461537</v>
      </c>
      <c r="P7" s="14">
        <f>SUMIFS('NHL2025-26Results'!$C:$C,'NHL2025-26Results'!$B:$B,A7,'NHL2025-26Results'!$C:$C,"&gt;0")/COUNTIFS('NHL2025-26Results'!$B:$B,A7,'NHL2025-26Results'!$C:$C,"&gt;0")</f>
        <v>3.5454545454545454</v>
      </c>
      <c r="Q7" s="14">
        <f>SUMIFS('NHL2025-26Results'!$C:$C,'NHL2025-26Results'!$D:$D,A7,'NHL2025-26Results'!$C:$C,"&gt;0")/COUNTIFS('NHL2025-26Results'!$D:$D,A7,'NHL2025-26Results'!$C:$C,"&gt;0")</f>
        <v>2.6428571428571428</v>
      </c>
      <c r="R7" s="14">
        <f>SUMIFS('NHL2025-26Results'!$E:$E,'NHL2025-26Results'!$B:$B,A7,'NHL2025-26Results'!$E:$E,"&gt;0")/COUNTIFS('NHL2025-26Results'!$B:$B,A7,'NHL2025-26Results'!$E:$E,"&gt;0")</f>
        <v>3.6</v>
      </c>
    </row>
    <row r="8" spans="1:18" x14ac:dyDescent="0.2">
      <c r="A8" s="4" t="s">
        <v>12</v>
      </c>
      <c r="B8">
        <f>SUM(Table1[[#This Row],[W]:[OTL]])</f>
        <v>25</v>
      </c>
      <c r="C8">
        <f>COUNTIF(NHL2025_26Results[Winning Team],Standings!A8)</f>
        <v>18</v>
      </c>
      <c r="D8">
        <f>COUNTIFS('NHL2025-26Results'!$H:$H,A8,'NHL2025-26Results'!$F:$F,"")</f>
        <v>1</v>
      </c>
      <c r="E8">
        <f>COUNTIFS('NHL2025-26Results'!$F:$F,"OT",'NHL2025-26Results'!$H:$H,A8) + COUNTIFS('NHL2025-26Results'!$F:$F,"SO",'NHL2025-26Results'!$H:$H,A8)</f>
        <v>6</v>
      </c>
      <c r="F8" s="3">
        <f>(Table1[[#This Row],[W]]*2)+Table1[[#This Row],[OTL]]</f>
        <v>42</v>
      </c>
      <c r="G8">
        <f>COUNTIFS('NHL2025-26Results'!$D:$D,A8,'NHL2025-26Results'!$G:$G,A8)</f>
        <v>10</v>
      </c>
      <c r="H8">
        <f>COUNTIFS('NHL2025-26Results'!$D:$D,A8,'NHL2025-26Results'!$H:$H,A8,'NHL2025-26Results'!$F:$F,"")</f>
        <v>0</v>
      </c>
      <c r="I8">
        <f>COUNTIFS('NHL2025-26Results'!$D:$D,A8,'NHL2025-26Results'!$H:$H,A8,'NHL2025-26Results'!$F:$F,"OT") + COUNTIFS('NHL2025-26Results'!$D:$D,A8,'NHL2025-26Results'!$H:$H,A8,'NHL2025-26Results'!$F:$F,"SO")</f>
        <v>2</v>
      </c>
      <c r="J8">
        <f>COUNTIFS('NHL2025-26Results'!$B:$B,A8,'NHL2025-26Results'!$G:$G,A8)</f>
        <v>8</v>
      </c>
      <c r="K8">
        <f>COUNTIFS('NHL2025-26Results'!$B:$B,A8,'NHL2025-26Results'!$H:$H,A8,'NHL2025-26Results'!$F:$F,"")</f>
        <v>1</v>
      </c>
      <c r="L8">
        <f>COUNTIFS('NHL2025-26Results'!$B:$B,A8,'NHL2025-26Results'!$H:$H,A8,'NHL2025-26Results'!$F:$F,"OT") + COUNTIFS('NHL2025-26Results'!$B:$B,A8,'NHL2025-26Results'!$H:$H,A8,'NHL2025-26Results'!$F:$F,"SO")</f>
        <v>4</v>
      </c>
      <c r="M8" s="11">
        <f>Table1[[#This Row],[HomeWins]]/SUM(Table1[[#This Row],[HomeWins]:[HomeOTL]])</f>
        <v>0.83333333333333337</v>
      </c>
      <c r="N8" s="11">
        <f>Table1[[#This Row],[AwayWins]]/SUM(Table1[[#This Row],[AwayWins]:[AwayOTL]])</f>
        <v>0.61538461538461542</v>
      </c>
      <c r="O8" s="14">
        <f>SUMIFS('NHL2025-26Results'!$E:$E,'NHL2025-26Results'!$D:$D,A8,'NHL2025-26Results'!$E:$E,"&gt;0")/COUNTIFS('NHL2025-26Results'!$D:$D,A8,'NHL2025-26Results'!$E:$E,"&gt;0")</f>
        <v>4.833333333333333</v>
      </c>
      <c r="P8" s="14">
        <f>SUMIFS('NHL2025-26Results'!$C:$C,'NHL2025-26Results'!$B:$B,A8,'NHL2025-26Results'!$C:$C,"&gt;0")/COUNTIFS('NHL2025-26Results'!$B:$B,A8,'NHL2025-26Results'!$C:$C,"&gt;0")</f>
        <v>3.4615384615384617</v>
      </c>
      <c r="Q8" s="14">
        <f>SUMIFS('NHL2025-26Results'!$C:$C,'NHL2025-26Results'!$D:$D,A8,'NHL2025-26Results'!$C:$C,"&gt;0")/COUNTIFS('NHL2025-26Results'!$D:$D,A8,'NHL2025-26Results'!$C:$C,"&gt;0")</f>
        <v>2.5454545454545454</v>
      </c>
      <c r="R8" s="14">
        <f>SUMIFS('NHL2025-26Results'!$E:$E,'NHL2025-26Results'!$B:$B,A8,'NHL2025-26Results'!$E:$E,"&gt;0")/COUNTIFS('NHL2025-26Results'!$B:$B,A8,'NHL2025-26Results'!$E:$E,"&gt;0")</f>
        <v>2.4545454545454546</v>
      </c>
    </row>
    <row r="9" spans="1:18" x14ac:dyDescent="0.2">
      <c r="A9" s="4" t="s">
        <v>28</v>
      </c>
      <c r="B9">
        <f>SUM(Table1[[#This Row],[W]:[OTL]])</f>
        <v>26</v>
      </c>
      <c r="C9">
        <f>COUNTIF(NHL2025_26Results[Winning Team],Standings!A9)</f>
        <v>12</v>
      </c>
      <c r="D9">
        <f>COUNTIFS('NHL2025-26Results'!$H:$H,A9,'NHL2025-26Results'!$F:$F,"")</f>
        <v>9</v>
      </c>
      <c r="E9">
        <f>COUNTIFS('NHL2025-26Results'!$F:$F,"OT",'NHL2025-26Results'!$H:$H,A9) + COUNTIFS('NHL2025-26Results'!$F:$F,"SO",'NHL2025-26Results'!$H:$H,A9)</f>
        <v>5</v>
      </c>
      <c r="F9" s="3">
        <f>(Table1[[#This Row],[W]]*2)+Table1[[#This Row],[OTL]]</f>
        <v>29</v>
      </c>
      <c r="G9">
        <f>COUNTIFS('NHL2025-26Results'!$D:$D,A9,'NHL2025-26Results'!$G:$G,A9)</f>
        <v>5</v>
      </c>
      <c r="H9">
        <f>COUNTIFS('NHL2025-26Results'!$D:$D,A9,'NHL2025-26Results'!$H:$H,A9,'NHL2025-26Results'!$F:$F,"")</f>
        <v>3</v>
      </c>
      <c r="I9">
        <f>COUNTIFS('NHL2025-26Results'!$D:$D,A9,'NHL2025-26Results'!$H:$H,A9,'NHL2025-26Results'!$F:$F,"OT") + COUNTIFS('NHL2025-26Results'!$D:$D,A9,'NHL2025-26Results'!$H:$H,A9,'NHL2025-26Results'!$F:$F,"SO")</f>
        <v>3</v>
      </c>
      <c r="J9">
        <f>COUNTIFS('NHL2025-26Results'!$B:$B,A9,'NHL2025-26Results'!$G:$G,A9)</f>
        <v>7</v>
      </c>
      <c r="K9">
        <f>COUNTIFS('NHL2025-26Results'!$B:$B,A9,'NHL2025-26Results'!$H:$H,A9,'NHL2025-26Results'!$F:$F,"")</f>
        <v>6</v>
      </c>
      <c r="L9">
        <f>COUNTIFS('NHL2025-26Results'!$B:$B,A9,'NHL2025-26Results'!$H:$H,A9,'NHL2025-26Results'!$F:$F,"OT") + COUNTIFS('NHL2025-26Results'!$B:$B,A9,'NHL2025-26Results'!$H:$H,A9,'NHL2025-26Results'!$F:$F,"SO")</f>
        <v>2</v>
      </c>
      <c r="M9" s="11">
        <f>Table1[[#This Row],[HomeWins]]/SUM(Table1[[#This Row],[HomeWins]:[HomeOTL]])</f>
        <v>0.45454545454545453</v>
      </c>
      <c r="N9" s="11">
        <f>Table1[[#This Row],[AwayWins]]/SUM(Table1[[#This Row],[AwayWins]:[AwayOTL]])</f>
        <v>0.46666666666666667</v>
      </c>
      <c r="O9" s="14">
        <f>SUMIFS('NHL2025-26Results'!$E:$E,'NHL2025-26Results'!$D:$D,A9,'NHL2025-26Results'!$E:$E,"&gt;0")/COUNTIFS('NHL2025-26Results'!$D:$D,A9,'NHL2025-26Results'!$E:$E,"&gt;0")</f>
        <v>2.7272727272727271</v>
      </c>
      <c r="P9" s="14">
        <f>SUMIFS('NHL2025-26Results'!$C:$C,'NHL2025-26Results'!$B:$B,A9,'NHL2025-26Results'!$C:$C,"&gt;0")/COUNTIFS('NHL2025-26Results'!$B:$B,A9,'NHL2025-26Results'!$C:$C,"&gt;0")</f>
        <v>3.2</v>
      </c>
      <c r="Q9" s="14">
        <f>SUMIFS('NHL2025-26Results'!$C:$C,'NHL2025-26Results'!$D:$D,A9,'NHL2025-26Results'!$C:$C,"&gt;0")/COUNTIFS('NHL2025-26Results'!$D:$D,A9,'NHL2025-26Results'!$C:$C,"&gt;0")</f>
        <v>3.0909090909090908</v>
      </c>
      <c r="R9" s="14">
        <f>SUMIFS('NHL2025-26Results'!$E:$E,'NHL2025-26Results'!$B:$B,A9,'NHL2025-26Results'!$E:$E,"&gt;0")/COUNTIFS('NHL2025-26Results'!$B:$B,A9,'NHL2025-26Results'!$E:$E,"&gt;0")</f>
        <v>3.4</v>
      </c>
    </row>
    <row r="10" spans="1:18" x14ac:dyDescent="0.2">
      <c r="A10" s="4" t="s">
        <v>39</v>
      </c>
      <c r="B10">
        <f>SUM(Table1[[#This Row],[W]:[OTL]])</f>
        <v>26</v>
      </c>
      <c r="C10">
        <f>COUNTIF(NHL2025_26Results[Winning Team],Standings!A10)</f>
        <v>17</v>
      </c>
      <c r="D10">
        <f>COUNTIFS('NHL2025-26Results'!$H:$H,A10,'NHL2025-26Results'!$F:$F,"")</f>
        <v>5</v>
      </c>
      <c r="E10">
        <f>COUNTIFS('NHL2025-26Results'!$F:$F,"OT",'NHL2025-26Results'!$H:$H,A10) + COUNTIFS('NHL2025-26Results'!$F:$F,"SO",'NHL2025-26Results'!$H:$H,A10)</f>
        <v>4</v>
      </c>
      <c r="F10" s="3">
        <f>(Table1[[#This Row],[W]]*2)+Table1[[#This Row],[OTL]]</f>
        <v>38</v>
      </c>
      <c r="G10">
        <f>COUNTIFS('NHL2025-26Results'!$D:$D,A10,'NHL2025-26Results'!$G:$G,A10)</f>
        <v>8</v>
      </c>
      <c r="H10">
        <f>COUNTIFS('NHL2025-26Results'!$D:$D,A10,'NHL2025-26Results'!$H:$H,A10,'NHL2025-26Results'!$F:$F,"")</f>
        <v>4</v>
      </c>
      <c r="I10">
        <f>COUNTIFS('NHL2025-26Results'!$D:$D,A10,'NHL2025-26Results'!$H:$H,A10,'NHL2025-26Results'!$F:$F,"OT") + COUNTIFS('NHL2025-26Results'!$D:$D,A10,'NHL2025-26Results'!$H:$H,A10,'NHL2025-26Results'!$F:$F,"SO")</f>
        <v>1</v>
      </c>
      <c r="J10">
        <f>COUNTIFS('NHL2025-26Results'!$B:$B,A10,'NHL2025-26Results'!$G:$G,A10)</f>
        <v>9</v>
      </c>
      <c r="K10">
        <f>COUNTIFS('NHL2025-26Results'!$B:$B,A10,'NHL2025-26Results'!$H:$H,A10,'NHL2025-26Results'!$F:$F,"")</f>
        <v>1</v>
      </c>
      <c r="L10">
        <f>COUNTIFS('NHL2025-26Results'!$B:$B,A10,'NHL2025-26Results'!$H:$H,A10,'NHL2025-26Results'!$F:$F,"OT") + COUNTIFS('NHL2025-26Results'!$B:$B,A10,'NHL2025-26Results'!$H:$H,A10,'NHL2025-26Results'!$F:$F,"SO")</f>
        <v>3</v>
      </c>
      <c r="M10" s="11">
        <f>Table1[[#This Row],[HomeWins]]/SUM(Table1[[#This Row],[HomeWins]:[HomeOTL]])</f>
        <v>0.61538461538461542</v>
      </c>
      <c r="N10" s="11">
        <f>Table1[[#This Row],[AwayWins]]/SUM(Table1[[#This Row],[AwayWins]:[AwayOTL]])</f>
        <v>0.69230769230769229</v>
      </c>
      <c r="O10" s="14">
        <f>SUMIFS('NHL2025-26Results'!$E:$E,'NHL2025-26Results'!$D:$D,A10,'NHL2025-26Results'!$E:$E,"&gt;0")/COUNTIFS('NHL2025-26Results'!$D:$D,A10,'NHL2025-26Results'!$E:$E,"&gt;0")</f>
        <v>3.3076923076923075</v>
      </c>
      <c r="P10" s="14">
        <f>SUMIFS('NHL2025-26Results'!$C:$C,'NHL2025-26Results'!$B:$B,A10,'NHL2025-26Results'!$C:$C,"&gt;0")/COUNTIFS('NHL2025-26Results'!$B:$B,A10,'NHL2025-26Results'!$C:$C,"&gt;0")</f>
        <v>3.8461538461538463</v>
      </c>
      <c r="Q10" s="14">
        <f>SUMIFS('NHL2025-26Results'!$C:$C,'NHL2025-26Results'!$D:$D,A10,'NHL2025-26Results'!$C:$C,"&gt;0")/COUNTIFS('NHL2025-26Results'!$D:$D,A10,'NHL2025-26Results'!$C:$C,"&gt;0")</f>
        <v>3</v>
      </c>
      <c r="R10" s="14">
        <f>SUMIFS('NHL2025-26Results'!$E:$E,'NHL2025-26Results'!$B:$B,A10,'NHL2025-26Results'!$E:$E,"&gt;0")/COUNTIFS('NHL2025-26Results'!$B:$B,A10,'NHL2025-26Results'!$E:$E,"&gt;0")</f>
        <v>2.9166666666666665</v>
      </c>
    </row>
    <row r="11" spans="1:18" x14ac:dyDescent="0.2">
      <c r="A11" s="4" t="s">
        <v>26</v>
      </c>
      <c r="B11">
        <f>SUM(Table1[[#This Row],[W]:[OTL]])</f>
        <v>26</v>
      </c>
      <c r="C11">
        <f>COUNTIF(NHL2025_26Results[Winning Team],Standings!A11)</f>
        <v>13</v>
      </c>
      <c r="D11">
        <f>COUNTIFS('NHL2025-26Results'!$H:$H,A11,'NHL2025-26Results'!$F:$F,"")</f>
        <v>11</v>
      </c>
      <c r="E11">
        <f>COUNTIFS('NHL2025-26Results'!$F:$F,"OT",'NHL2025-26Results'!$H:$H,A11) + COUNTIFS('NHL2025-26Results'!$F:$F,"SO",'NHL2025-26Results'!$H:$H,A11)</f>
        <v>2</v>
      </c>
      <c r="F11" s="3">
        <f>(Table1[[#This Row],[W]]*2)+Table1[[#This Row],[OTL]]</f>
        <v>28</v>
      </c>
      <c r="G11">
        <f>COUNTIFS('NHL2025-26Results'!$D:$D,A11,'NHL2025-26Results'!$G:$G,A11)</f>
        <v>8</v>
      </c>
      <c r="H11">
        <f>COUNTIFS('NHL2025-26Results'!$D:$D,A11,'NHL2025-26Results'!$H:$H,A11,'NHL2025-26Results'!$F:$F,"")</f>
        <v>6</v>
      </c>
      <c r="I11">
        <f>COUNTIFS('NHL2025-26Results'!$D:$D,A11,'NHL2025-26Results'!$H:$H,A11,'NHL2025-26Results'!$F:$F,"OT") + COUNTIFS('NHL2025-26Results'!$D:$D,A11,'NHL2025-26Results'!$H:$H,A11,'NHL2025-26Results'!$F:$F,"SO")</f>
        <v>1</v>
      </c>
      <c r="J11">
        <f>COUNTIFS('NHL2025-26Results'!$B:$B,A11,'NHL2025-26Results'!$G:$G,A11)</f>
        <v>5</v>
      </c>
      <c r="K11">
        <f>COUNTIFS('NHL2025-26Results'!$B:$B,A11,'NHL2025-26Results'!$H:$H,A11,'NHL2025-26Results'!$F:$F,"")</f>
        <v>5</v>
      </c>
      <c r="L11">
        <f>COUNTIFS('NHL2025-26Results'!$B:$B,A11,'NHL2025-26Results'!$H:$H,A11,'NHL2025-26Results'!$F:$F,"OT") + COUNTIFS('NHL2025-26Results'!$B:$B,A11,'NHL2025-26Results'!$H:$H,A11,'NHL2025-26Results'!$F:$F,"SO")</f>
        <v>1</v>
      </c>
      <c r="M11" s="11">
        <f>Table1[[#This Row],[HomeWins]]/SUM(Table1[[#This Row],[HomeWins]:[HomeOTL]])</f>
        <v>0.53333333333333333</v>
      </c>
      <c r="N11" s="11">
        <f>Table1[[#This Row],[AwayWins]]/SUM(Table1[[#This Row],[AwayWins]:[AwayOTL]])</f>
        <v>0.45454545454545453</v>
      </c>
      <c r="O11" s="14">
        <f>SUMIFS('NHL2025-26Results'!$E:$E,'NHL2025-26Results'!$D:$D,A11,'NHL2025-26Results'!$E:$E,"&gt;0")/COUNTIFS('NHL2025-26Results'!$D:$D,A11,'NHL2025-26Results'!$E:$E,"&gt;0")</f>
        <v>3.5</v>
      </c>
      <c r="P11" s="14">
        <f>SUMIFS('NHL2025-26Results'!$C:$C,'NHL2025-26Results'!$B:$B,A11,'NHL2025-26Results'!$C:$C,"&gt;0")/COUNTIFS('NHL2025-26Results'!$B:$B,A11,'NHL2025-26Results'!$C:$C,"&gt;0")</f>
        <v>2.8</v>
      </c>
      <c r="Q11" s="14">
        <f>SUMIFS('NHL2025-26Results'!$C:$C,'NHL2025-26Results'!$D:$D,A11,'NHL2025-26Results'!$C:$C,"&gt;0")/COUNTIFS('NHL2025-26Results'!$D:$D,A11,'NHL2025-26Results'!$C:$C,"&gt;0")</f>
        <v>3.6666666666666665</v>
      </c>
      <c r="R11" s="14">
        <f>SUMIFS('NHL2025-26Results'!$E:$E,'NHL2025-26Results'!$B:$B,A11,'NHL2025-26Results'!$E:$E,"&gt;0")/COUNTIFS('NHL2025-26Results'!$B:$B,A11,'NHL2025-26Results'!$E:$E,"&gt;0")</f>
        <v>3.0909090909090908</v>
      </c>
    </row>
    <row r="12" spans="1:18" x14ac:dyDescent="0.2">
      <c r="A12" s="4" t="s">
        <v>17</v>
      </c>
      <c r="B12">
        <f>SUM(Table1[[#This Row],[W]:[OTL]])</f>
        <v>26</v>
      </c>
      <c r="C12">
        <f>COUNTIF(NHL2025_26Results[Winning Team],Standings!A12)</f>
        <v>11</v>
      </c>
      <c r="D12">
        <f>COUNTIFS('NHL2025-26Results'!$H:$H,A12,'NHL2025-26Results'!$F:$F,"")</f>
        <v>10</v>
      </c>
      <c r="E12">
        <f>COUNTIFS('NHL2025-26Results'!$F:$F,"OT",'NHL2025-26Results'!$H:$H,A12) + COUNTIFS('NHL2025-26Results'!$F:$F,"SO",'NHL2025-26Results'!$H:$H,A12)</f>
        <v>5</v>
      </c>
      <c r="F12" s="3">
        <f>(Table1[[#This Row],[W]]*2)+Table1[[#This Row],[OTL]]</f>
        <v>27</v>
      </c>
      <c r="G12">
        <f>COUNTIFS('NHL2025-26Results'!$D:$D,A12,'NHL2025-26Results'!$G:$G,A12)</f>
        <v>5</v>
      </c>
      <c r="H12">
        <f>COUNTIFS('NHL2025-26Results'!$D:$D,A12,'NHL2025-26Results'!$H:$H,A12,'NHL2025-26Results'!$F:$F,"")</f>
        <v>2</v>
      </c>
      <c r="I12">
        <f>COUNTIFS('NHL2025-26Results'!$D:$D,A12,'NHL2025-26Results'!$H:$H,A12,'NHL2025-26Results'!$F:$F,"OT") + COUNTIFS('NHL2025-26Results'!$D:$D,A12,'NHL2025-26Results'!$H:$H,A12,'NHL2025-26Results'!$F:$F,"SO")</f>
        <v>2</v>
      </c>
      <c r="J12">
        <f>COUNTIFS('NHL2025-26Results'!$B:$B,A12,'NHL2025-26Results'!$G:$G,A12)</f>
        <v>6</v>
      </c>
      <c r="K12">
        <f>COUNTIFS('NHL2025-26Results'!$B:$B,A12,'NHL2025-26Results'!$H:$H,A12,'NHL2025-26Results'!$F:$F,"")</f>
        <v>8</v>
      </c>
      <c r="L12">
        <f>COUNTIFS('NHL2025-26Results'!$B:$B,A12,'NHL2025-26Results'!$H:$H,A12,'NHL2025-26Results'!$F:$F,"OT") + COUNTIFS('NHL2025-26Results'!$B:$B,A12,'NHL2025-26Results'!$H:$H,A12,'NHL2025-26Results'!$F:$F,"SO")</f>
        <v>3</v>
      </c>
      <c r="M12" s="11">
        <f>Table1[[#This Row],[HomeWins]]/SUM(Table1[[#This Row],[HomeWins]:[HomeOTL]])</f>
        <v>0.55555555555555558</v>
      </c>
      <c r="N12" s="11">
        <f>Table1[[#This Row],[AwayWins]]/SUM(Table1[[#This Row],[AwayWins]:[AwayOTL]])</f>
        <v>0.35294117647058826</v>
      </c>
      <c r="O12" s="14">
        <f>SUMIFS('NHL2025-26Results'!$E:$E,'NHL2025-26Results'!$D:$D,A12,'NHL2025-26Results'!$E:$E,"&gt;0")/COUNTIFS('NHL2025-26Results'!$D:$D,A12,'NHL2025-26Results'!$E:$E,"&gt;0")</f>
        <v>3.6666666666666665</v>
      </c>
      <c r="P12" s="14">
        <f>SUMIFS('NHL2025-26Results'!$C:$C,'NHL2025-26Results'!$B:$B,A12,'NHL2025-26Results'!$C:$C,"&gt;0")/COUNTIFS('NHL2025-26Results'!$B:$B,A12,'NHL2025-26Results'!$C:$C,"&gt;0")</f>
        <v>2.8235294117647061</v>
      </c>
      <c r="Q12" s="14">
        <f>SUMIFS('NHL2025-26Results'!$C:$C,'NHL2025-26Results'!$D:$D,A12,'NHL2025-26Results'!$C:$C,"&gt;0")/COUNTIFS('NHL2025-26Results'!$D:$D,A12,'NHL2025-26Results'!$C:$C,"&gt;0")</f>
        <v>4.4444444444444446</v>
      </c>
      <c r="R12" s="14">
        <f>SUMIFS('NHL2025-26Results'!$E:$E,'NHL2025-26Results'!$B:$B,A12,'NHL2025-26Results'!$E:$E,"&gt;0")/COUNTIFS('NHL2025-26Results'!$B:$B,A12,'NHL2025-26Results'!$E:$E,"&gt;0")</f>
        <v>3.6666666666666665</v>
      </c>
    </row>
    <row r="13" spans="1:18" x14ac:dyDescent="0.2">
      <c r="A13" s="4" t="s">
        <v>11</v>
      </c>
      <c r="B13">
        <f>SUM(Table1[[#This Row],[W]:[OTL]])</f>
        <v>24</v>
      </c>
      <c r="C13">
        <f>COUNTIF(NHL2025_26Results[Winning Team],Standings!A13)</f>
        <v>12</v>
      </c>
      <c r="D13">
        <f>COUNTIFS('NHL2025-26Results'!$H:$H,A13,'NHL2025-26Results'!$F:$F,"")</f>
        <v>11</v>
      </c>
      <c r="E13">
        <f>COUNTIFS('NHL2025-26Results'!$F:$F,"OT",'NHL2025-26Results'!$H:$H,A13) + COUNTIFS('NHL2025-26Results'!$F:$F,"SO",'NHL2025-26Results'!$H:$H,A13)</f>
        <v>1</v>
      </c>
      <c r="F13" s="3">
        <f>(Table1[[#This Row],[W]]*2)+Table1[[#This Row],[OTL]]</f>
        <v>25</v>
      </c>
      <c r="G13">
        <f>COUNTIFS('NHL2025-26Results'!$D:$D,A13,'NHL2025-26Results'!$G:$G,A13)</f>
        <v>8</v>
      </c>
      <c r="H13">
        <f>COUNTIFS('NHL2025-26Results'!$D:$D,A13,'NHL2025-26Results'!$H:$H,A13,'NHL2025-26Results'!$F:$F,"")</f>
        <v>5</v>
      </c>
      <c r="I13">
        <f>COUNTIFS('NHL2025-26Results'!$D:$D,A13,'NHL2025-26Results'!$H:$H,A13,'NHL2025-26Results'!$F:$F,"OT") + COUNTIFS('NHL2025-26Results'!$D:$D,A13,'NHL2025-26Results'!$H:$H,A13,'NHL2025-26Results'!$F:$F,"SO")</f>
        <v>1</v>
      </c>
      <c r="J13">
        <f>COUNTIFS('NHL2025-26Results'!$B:$B,A13,'NHL2025-26Results'!$G:$G,A13)</f>
        <v>4</v>
      </c>
      <c r="K13">
        <f>COUNTIFS('NHL2025-26Results'!$B:$B,A13,'NHL2025-26Results'!$H:$H,A13,'NHL2025-26Results'!$F:$F,"")</f>
        <v>6</v>
      </c>
      <c r="L13">
        <f>COUNTIFS('NHL2025-26Results'!$B:$B,A13,'NHL2025-26Results'!$H:$H,A13,'NHL2025-26Results'!$F:$F,"OT") + COUNTIFS('NHL2025-26Results'!$B:$B,A13,'NHL2025-26Results'!$H:$H,A13,'NHL2025-26Results'!$F:$F,"SO")</f>
        <v>0</v>
      </c>
      <c r="M13" s="11">
        <f>Table1[[#This Row],[HomeWins]]/SUM(Table1[[#This Row],[HomeWins]:[HomeOTL]])</f>
        <v>0.5714285714285714</v>
      </c>
      <c r="N13" s="11">
        <f>Table1[[#This Row],[AwayWins]]/SUM(Table1[[#This Row],[AwayWins]:[AwayOTL]])</f>
        <v>0.4</v>
      </c>
      <c r="O13" s="14">
        <f>SUMIFS('NHL2025-26Results'!$E:$E,'NHL2025-26Results'!$D:$D,A13,'NHL2025-26Results'!$E:$E,"&gt;0")/COUNTIFS('NHL2025-26Results'!$D:$D,A13,'NHL2025-26Results'!$E:$E,"&gt;0")</f>
        <v>3.3571428571428572</v>
      </c>
      <c r="P13" s="14">
        <f>SUMIFS('NHL2025-26Results'!$C:$C,'NHL2025-26Results'!$B:$B,A13,'NHL2025-26Results'!$C:$C,"&gt;0")/COUNTIFS('NHL2025-26Results'!$B:$B,A13,'NHL2025-26Results'!$C:$C,"&gt;0")</f>
        <v>3.1111111111111112</v>
      </c>
      <c r="Q13" s="14">
        <f>SUMIFS('NHL2025-26Results'!$C:$C,'NHL2025-26Results'!$D:$D,A13,'NHL2025-26Results'!$C:$C,"&gt;0")/COUNTIFS('NHL2025-26Results'!$D:$D,A13,'NHL2025-26Results'!$C:$C,"&gt;0")</f>
        <v>3.5</v>
      </c>
      <c r="R13" s="14">
        <f>SUMIFS('NHL2025-26Results'!$E:$E,'NHL2025-26Results'!$B:$B,A13,'NHL2025-26Results'!$E:$E,"&gt;0")/COUNTIFS('NHL2025-26Results'!$B:$B,A13,'NHL2025-26Results'!$E:$E,"&gt;0")</f>
        <v>3.5</v>
      </c>
    </row>
    <row r="14" spans="1:18" x14ac:dyDescent="0.2">
      <c r="A14" s="4" t="s">
        <v>13</v>
      </c>
      <c r="B14">
        <f>SUM(Table1[[#This Row],[W]:[OTL]])</f>
        <v>25</v>
      </c>
      <c r="C14">
        <f>COUNTIF(NHL2025_26Results[Winning Team],Standings!A14)</f>
        <v>12</v>
      </c>
      <c r="D14">
        <f>COUNTIFS('NHL2025-26Results'!$H:$H,A14,'NHL2025-26Results'!$F:$F,"")</f>
        <v>6</v>
      </c>
      <c r="E14">
        <f>COUNTIFS('NHL2025-26Results'!$F:$F,"OT",'NHL2025-26Results'!$H:$H,A14) + COUNTIFS('NHL2025-26Results'!$F:$F,"SO",'NHL2025-26Results'!$H:$H,A14)</f>
        <v>7</v>
      </c>
      <c r="F14" s="3">
        <f>(Table1[[#This Row],[W]]*2)+Table1[[#This Row],[OTL]]</f>
        <v>31</v>
      </c>
      <c r="G14">
        <f>COUNTIFS('NHL2025-26Results'!$D:$D,A14,'NHL2025-26Results'!$G:$G,A14)</f>
        <v>3</v>
      </c>
      <c r="H14">
        <f>COUNTIFS('NHL2025-26Results'!$D:$D,A14,'NHL2025-26Results'!$H:$H,A14,'NHL2025-26Results'!$F:$F,"")</f>
        <v>4</v>
      </c>
      <c r="I14">
        <f>COUNTIFS('NHL2025-26Results'!$D:$D,A14,'NHL2025-26Results'!$H:$H,A14,'NHL2025-26Results'!$F:$F,"OT") + COUNTIFS('NHL2025-26Results'!$D:$D,A14,'NHL2025-26Results'!$H:$H,A14,'NHL2025-26Results'!$F:$F,"SO")</f>
        <v>3</v>
      </c>
      <c r="J14">
        <f>COUNTIFS('NHL2025-26Results'!$B:$B,A14,'NHL2025-26Results'!$G:$G,A14)</f>
        <v>9</v>
      </c>
      <c r="K14">
        <f>COUNTIFS('NHL2025-26Results'!$B:$B,A14,'NHL2025-26Results'!$H:$H,A14,'NHL2025-26Results'!$F:$F,"")</f>
        <v>2</v>
      </c>
      <c r="L14">
        <f>COUNTIFS('NHL2025-26Results'!$B:$B,A14,'NHL2025-26Results'!$H:$H,A14,'NHL2025-26Results'!$F:$F,"OT") + COUNTIFS('NHL2025-26Results'!$B:$B,A14,'NHL2025-26Results'!$H:$H,A14,'NHL2025-26Results'!$F:$F,"SO")</f>
        <v>4</v>
      </c>
      <c r="M14" s="11">
        <f>Table1[[#This Row],[HomeWins]]/SUM(Table1[[#This Row],[HomeWins]:[HomeOTL]])</f>
        <v>0.3</v>
      </c>
      <c r="N14" s="11">
        <f>Table1[[#This Row],[AwayWins]]/SUM(Table1[[#This Row],[AwayWins]:[AwayOTL]])</f>
        <v>0.6</v>
      </c>
      <c r="O14" s="14">
        <f>SUMIFS('NHL2025-26Results'!$E:$E,'NHL2025-26Results'!$D:$D,A14,'NHL2025-26Results'!$E:$E,"&gt;0")/COUNTIFS('NHL2025-26Results'!$D:$D,A14,'NHL2025-26Results'!$E:$E,"&gt;0")</f>
        <v>2</v>
      </c>
      <c r="P14" s="14">
        <f>SUMIFS('NHL2025-26Results'!$C:$C,'NHL2025-26Results'!$B:$B,A14,'NHL2025-26Results'!$C:$C,"&gt;0")/COUNTIFS('NHL2025-26Results'!$B:$B,A14,'NHL2025-26Results'!$C:$C,"&gt;0")</f>
        <v>3.2</v>
      </c>
      <c r="Q14" s="14">
        <f>SUMIFS('NHL2025-26Results'!$C:$C,'NHL2025-26Results'!$D:$D,A14,'NHL2025-26Results'!$C:$C,"&gt;0")/COUNTIFS('NHL2025-26Results'!$D:$D,A14,'NHL2025-26Results'!$C:$C,"&gt;0")</f>
        <v>3.2222222222222223</v>
      </c>
      <c r="R14" s="14">
        <f>SUMIFS('NHL2025-26Results'!$E:$E,'NHL2025-26Results'!$B:$B,A14,'NHL2025-26Results'!$E:$E,"&gt;0")/COUNTIFS('NHL2025-26Results'!$B:$B,A14,'NHL2025-26Results'!$E:$E,"&gt;0")</f>
        <v>2.9285714285714284</v>
      </c>
    </row>
    <row r="15" spans="1:18" x14ac:dyDescent="0.2">
      <c r="A15" s="4" t="s">
        <v>34</v>
      </c>
      <c r="B15">
        <f>SUM(Table1[[#This Row],[W]:[OTL]])</f>
        <v>26</v>
      </c>
      <c r="C15">
        <f>COUNTIF(NHL2025_26Results[Winning Team],Standings!A15)</f>
        <v>14</v>
      </c>
      <c r="D15">
        <f>COUNTIFS('NHL2025-26Results'!$H:$H,A15,'NHL2025-26Results'!$F:$F,"")</f>
        <v>7</v>
      </c>
      <c r="E15">
        <f>COUNTIFS('NHL2025-26Results'!$F:$F,"OT",'NHL2025-26Results'!$H:$H,A15) + COUNTIFS('NHL2025-26Results'!$F:$F,"SO",'NHL2025-26Results'!$H:$H,A15)</f>
        <v>5</v>
      </c>
      <c r="F15" s="3">
        <f>(Table1[[#This Row],[W]]*2)+Table1[[#This Row],[OTL]]</f>
        <v>33</v>
      </c>
      <c r="G15">
        <f>COUNTIFS('NHL2025-26Results'!$D:$D,A15,'NHL2025-26Results'!$G:$G,A15)</f>
        <v>8</v>
      </c>
      <c r="H15">
        <f>COUNTIFS('NHL2025-26Results'!$D:$D,A15,'NHL2025-26Results'!$H:$H,A15,'NHL2025-26Results'!$F:$F,"")</f>
        <v>3</v>
      </c>
      <c r="I15">
        <f>COUNTIFS('NHL2025-26Results'!$D:$D,A15,'NHL2025-26Results'!$H:$H,A15,'NHL2025-26Results'!$F:$F,"OT") + COUNTIFS('NHL2025-26Results'!$D:$D,A15,'NHL2025-26Results'!$H:$H,A15,'NHL2025-26Results'!$F:$F,"SO")</f>
        <v>4</v>
      </c>
      <c r="J15">
        <f>COUNTIFS('NHL2025-26Results'!$B:$B,A15,'NHL2025-26Results'!$G:$G,A15)</f>
        <v>6</v>
      </c>
      <c r="K15">
        <f>COUNTIFS('NHL2025-26Results'!$B:$B,A15,'NHL2025-26Results'!$H:$H,A15,'NHL2025-26Results'!$F:$F,"")</f>
        <v>4</v>
      </c>
      <c r="L15">
        <f>COUNTIFS('NHL2025-26Results'!$B:$B,A15,'NHL2025-26Results'!$H:$H,A15,'NHL2025-26Results'!$F:$F,"OT") + COUNTIFS('NHL2025-26Results'!$B:$B,A15,'NHL2025-26Results'!$H:$H,A15,'NHL2025-26Results'!$F:$F,"SO")</f>
        <v>1</v>
      </c>
      <c r="M15" s="11">
        <f>Table1[[#This Row],[HomeWins]]/SUM(Table1[[#This Row],[HomeWins]:[HomeOTL]])</f>
        <v>0.53333333333333333</v>
      </c>
      <c r="N15" s="11">
        <f>Table1[[#This Row],[AwayWins]]/SUM(Table1[[#This Row],[AwayWins]:[AwayOTL]])</f>
        <v>0.54545454545454541</v>
      </c>
      <c r="O15" s="14">
        <f>SUMIFS('NHL2025-26Results'!$E:$E,'NHL2025-26Results'!$D:$D,A15,'NHL2025-26Results'!$E:$E,"&gt;0")/COUNTIFS('NHL2025-26Results'!$D:$D,A15,'NHL2025-26Results'!$E:$E,"&gt;0")</f>
        <v>2.9333333333333331</v>
      </c>
      <c r="P15" s="14">
        <f>SUMIFS('NHL2025-26Results'!$C:$C,'NHL2025-26Results'!$B:$B,A15,'NHL2025-26Results'!$C:$C,"&gt;0")/COUNTIFS('NHL2025-26Results'!$B:$B,A15,'NHL2025-26Results'!$C:$C,"&gt;0")</f>
        <v>3</v>
      </c>
      <c r="Q15" s="14">
        <f>SUMIFS('NHL2025-26Results'!$C:$C,'NHL2025-26Results'!$D:$D,A15,'NHL2025-26Results'!$C:$C,"&gt;0")/COUNTIFS('NHL2025-26Results'!$D:$D,A15,'NHL2025-26Results'!$C:$C,"&gt;0")</f>
        <v>3.5384615384615383</v>
      </c>
      <c r="R15" s="14">
        <f>SUMIFS('NHL2025-26Results'!$E:$E,'NHL2025-26Results'!$B:$B,A15,'NHL2025-26Results'!$E:$E,"&gt;0")/COUNTIFS('NHL2025-26Results'!$B:$B,A15,'NHL2025-26Results'!$E:$E,"&gt;0")</f>
        <v>3.25</v>
      </c>
    </row>
    <row r="16" spans="1:18" x14ac:dyDescent="0.2">
      <c r="A16" s="4" t="s">
        <v>18</v>
      </c>
      <c r="B16">
        <f>SUM(Table1[[#This Row],[W]:[OTL]])</f>
        <v>24</v>
      </c>
      <c r="C16">
        <f>COUNTIF(NHL2025_26Results[Winning Team],Standings!A16)</f>
        <v>13</v>
      </c>
      <c r="D16">
        <f>COUNTIFS('NHL2025-26Results'!$H:$H,A16,'NHL2025-26Results'!$F:$F,"")</f>
        <v>8</v>
      </c>
      <c r="E16">
        <f>COUNTIFS('NHL2025-26Results'!$F:$F,"OT",'NHL2025-26Results'!$H:$H,A16) + COUNTIFS('NHL2025-26Results'!$F:$F,"SO",'NHL2025-26Results'!$H:$H,A16)</f>
        <v>3</v>
      </c>
      <c r="F16" s="3">
        <f>(Table1[[#This Row],[W]]*2)+Table1[[#This Row],[OTL]]</f>
        <v>29</v>
      </c>
      <c r="G16">
        <f>COUNTIFS('NHL2025-26Results'!$D:$D,A16,'NHL2025-26Results'!$G:$G,A16)</f>
        <v>6</v>
      </c>
      <c r="H16">
        <f>COUNTIFS('NHL2025-26Results'!$D:$D,A16,'NHL2025-26Results'!$H:$H,A16,'NHL2025-26Results'!$F:$F,"")</f>
        <v>5</v>
      </c>
      <c r="I16">
        <f>COUNTIFS('NHL2025-26Results'!$D:$D,A16,'NHL2025-26Results'!$H:$H,A16,'NHL2025-26Results'!$F:$F,"OT") + COUNTIFS('NHL2025-26Results'!$D:$D,A16,'NHL2025-26Results'!$H:$H,A16,'NHL2025-26Results'!$F:$F,"SO")</f>
        <v>1</v>
      </c>
      <c r="J16">
        <f>COUNTIFS('NHL2025-26Results'!$B:$B,A16,'NHL2025-26Results'!$G:$G,A16)</f>
        <v>7</v>
      </c>
      <c r="K16">
        <f>COUNTIFS('NHL2025-26Results'!$B:$B,A16,'NHL2025-26Results'!$H:$H,A16,'NHL2025-26Results'!$F:$F,"")</f>
        <v>3</v>
      </c>
      <c r="L16">
        <f>COUNTIFS('NHL2025-26Results'!$B:$B,A16,'NHL2025-26Results'!$H:$H,A16,'NHL2025-26Results'!$F:$F,"OT") + COUNTIFS('NHL2025-26Results'!$B:$B,A16,'NHL2025-26Results'!$H:$H,A16,'NHL2025-26Results'!$F:$F,"SO")</f>
        <v>2</v>
      </c>
      <c r="M16" s="11">
        <f>Table1[[#This Row],[HomeWins]]/SUM(Table1[[#This Row],[HomeWins]:[HomeOTL]])</f>
        <v>0.5</v>
      </c>
      <c r="N16" s="11">
        <f>Table1[[#This Row],[AwayWins]]/SUM(Table1[[#This Row],[AwayWins]:[AwayOTL]])</f>
        <v>0.58333333333333337</v>
      </c>
      <c r="O16" s="14">
        <f>SUMIFS('NHL2025-26Results'!$E:$E,'NHL2025-26Results'!$D:$D,A16,'NHL2025-26Results'!$E:$E,"&gt;0")/COUNTIFS('NHL2025-26Results'!$D:$D,A16,'NHL2025-26Results'!$E:$E,"&gt;0")</f>
        <v>3.7272727272727271</v>
      </c>
      <c r="P16" s="14">
        <f>SUMIFS('NHL2025-26Results'!$C:$C,'NHL2025-26Results'!$B:$B,A16,'NHL2025-26Results'!$C:$C,"&gt;0")/COUNTIFS('NHL2025-26Results'!$B:$B,A16,'NHL2025-26Results'!$C:$C,"&gt;0")</f>
        <v>3.4166666666666665</v>
      </c>
      <c r="Q16" s="14">
        <f>SUMIFS('NHL2025-26Results'!$C:$C,'NHL2025-26Results'!$D:$D,A16,'NHL2025-26Results'!$C:$C,"&gt;0")/COUNTIFS('NHL2025-26Results'!$D:$D,A16,'NHL2025-26Results'!$C:$C,"&gt;0")</f>
        <v>3.9166666666666665</v>
      </c>
      <c r="R16" s="14">
        <f>SUMIFS('NHL2025-26Results'!$E:$E,'NHL2025-26Results'!$B:$B,A16,'NHL2025-26Results'!$E:$E,"&gt;0")/COUNTIFS('NHL2025-26Results'!$B:$B,A16,'NHL2025-26Results'!$E:$E,"&gt;0")</f>
        <v>3.3333333333333335</v>
      </c>
    </row>
    <row r="17" spans="1:18" x14ac:dyDescent="0.2">
      <c r="A17" s="4" t="s">
        <v>29</v>
      </c>
      <c r="B17">
        <f>SUM(Table1[[#This Row],[W]:[OTL]])</f>
        <v>25</v>
      </c>
      <c r="C17">
        <f>COUNTIF(NHL2025_26Results[Winning Team],Standings!A17)</f>
        <v>8</v>
      </c>
      <c r="D17">
        <f>COUNTIFS('NHL2025-26Results'!$H:$H,A17,'NHL2025-26Results'!$F:$F,"")</f>
        <v>13</v>
      </c>
      <c r="E17">
        <f>COUNTIFS('NHL2025-26Results'!$F:$F,"OT",'NHL2025-26Results'!$H:$H,A17) + COUNTIFS('NHL2025-26Results'!$F:$F,"SO",'NHL2025-26Results'!$H:$H,A17)</f>
        <v>4</v>
      </c>
      <c r="F17" s="3">
        <f>(Table1[[#This Row],[W]]*2)+Table1[[#This Row],[OTL]]</f>
        <v>20</v>
      </c>
      <c r="G17">
        <f>COUNTIFS('NHL2025-26Results'!$D:$D,A17,'NHL2025-26Results'!$G:$G,A17)</f>
        <v>5</v>
      </c>
      <c r="H17">
        <f>COUNTIFS('NHL2025-26Results'!$D:$D,A17,'NHL2025-26Results'!$H:$H,A17,'NHL2025-26Results'!$F:$F,"")</f>
        <v>8</v>
      </c>
      <c r="I17">
        <f>COUNTIFS('NHL2025-26Results'!$D:$D,A17,'NHL2025-26Results'!$H:$H,A17,'NHL2025-26Results'!$F:$F,"OT") + COUNTIFS('NHL2025-26Results'!$D:$D,A17,'NHL2025-26Results'!$H:$H,A17,'NHL2025-26Results'!$F:$F,"SO")</f>
        <v>2</v>
      </c>
      <c r="J17">
        <f>COUNTIFS('NHL2025-26Results'!$B:$B,A17,'NHL2025-26Results'!$G:$G,A17)</f>
        <v>3</v>
      </c>
      <c r="K17">
        <f>COUNTIFS('NHL2025-26Results'!$B:$B,A17,'NHL2025-26Results'!$H:$H,A17,'NHL2025-26Results'!$F:$F,"")</f>
        <v>5</v>
      </c>
      <c r="L17">
        <f>COUNTIFS('NHL2025-26Results'!$B:$B,A17,'NHL2025-26Results'!$H:$H,A17,'NHL2025-26Results'!$F:$F,"OT") + COUNTIFS('NHL2025-26Results'!$B:$B,A17,'NHL2025-26Results'!$H:$H,A17,'NHL2025-26Results'!$F:$F,"SO")</f>
        <v>2</v>
      </c>
      <c r="M17" s="11">
        <f>Table1[[#This Row],[HomeWins]]/SUM(Table1[[#This Row],[HomeWins]:[HomeOTL]])</f>
        <v>0.33333333333333331</v>
      </c>
      <c r="N17" s="11">
        <f>Table1[[#This Row],[AwayWins]]/SUM(Table1[[#This Row],[AwayWins]:[AwayOTL]])</f>
        <v>0.3</v>
      </c>
      <c r="O17" s="14">
        <f>SUMIFS('NHL2025-26Results'!$E:$E,'NHL2025-26Results'!$D:$D,A17,'NHL2025-26Results'!$E:$E,"&gt;0")/COUNTIFS('NHL2025-26Results'!$D:$D,A17,'NHL2025-26Results'!$E:$E,"&gt;0")</f>
        <v>2.6428571428571428</v>
      </c>
      <c r="P17" s="14">
        <f>SUMIFS('NHL2025-26Results'!$C:$C,'NHL2025-26Results'!$B:$B,A17,'NHL2025-26Results'!$C:$C,"&gt;0")/COUNTIFS('NHL2025-26Results'!$B:$B,A17,'NHL2025-26Results'!$C:$C,"&gt;0")</f>
        <v>3</v>
      </c>
      <c r="Q17" s="14">
        <f>SUMIFS('NHL2025-26Results'!$C:$C,'NHL2025-26Results'!$D:$D,A17,'NHL2025-26Results'!$C:$C,"&gt;0")/COUNTIFS('NHL2025-26Results'!$D:$D,A17,'NHL2025-26Results'!$C:$C,"&gt;0")</f>
        <v>3.6</v>
      </c>
      <c r="R17" s="14">
        <f>SUMIFS('NHL2025-26Results'!$E:$E,'NHL2025-26Results'!$B:$B,A17,'NHL2025-26Results'!$E:$E,"&gt;0")/COUNTIFS('NHL2025-26Results'!$B:$B,A17,'NHL2025-26Results'!$E:$E,"&gt;0")</f>
        <v>3.8</v>
      </c>
    </row>
    <row r="18" spans="1:18" x14ac:dyDescent="0.2">
      <c r="A18" s="4" t="s">
        <v>24</v>
      </c>
      <c r="B18">
        <f>SUM(Table1[[#This Row],[W]:[OTL]])</f>
        <v>26</v>
      </c>
      <c r="C18">
        <f>COUNTIF(NHL2025_26Results[Winning Team],Standings!A18)</f>
        <v>16</v>
      </c>
      <c r="D18">
        <f>COUNTIFS('NHL2025-26Results'!$H:$H,A18,'NHL2025-26Results'!$F:$F,"")</f>
        <v>9</v>
      </c>
      <c r="E18">
        <f>COUNTIFS('NHL2025-26Results'!$F:$F,"OT",'NHL2025-26Results'!$H:$H,A18) + COUNTIFS('NHL2025-26Results'!$F:$F,"SO",'NHL2025-26Results'!$H:$H,A18)</f>
        <v>1</v>
      </c>
      <c r="F18" s="3">
        <f>(Table1[[#This Row],[W]]*2)+Table1[[#This Row],[OTL]]</f>
        <v>33</v>
      </c>
      <c r="G18">
        <f>COUNTIFS('NHL2025-26Results'!$D:$D,A18,'NHL2025-26Results'!$G:$G,A18)</f>
        <v>9</v>
      </c>
      <c r="H18">
        <f>COUNTIFS('NHL2025-26Results'!$D:$D,A18,'NHL2025-26Results'!$H:$H,A18,'NHL2025-26Results'!$F:$F,"")</f>
        <v>2</v>
      </c>
      <c r="I18">
        <f>COUNTIFS('NHL2025-26Results'!$D:$D,A18,'NHL2025-26Results'!$H:$H,A18,'NHL2025-26Results'!$F:$F,"OT") + COUNTIFS('NHL2025-26Results'!$D:$D,A18,'NHL2025-26Results'!$H:$H,A18,'NHL2025-26Results'!$F:$F,"SO")</f>
        <v>1</v>
      </c>
      <c r="J18">
        <f>COUNTIFS('NHL2025-26Results'!$B:$B,A18,'NHL2025-26Results'!$G:$G,A18)</f>
        <v>7</v>
      </c>
      <c r="K18">
        <f>COUNTIFS('NHL2025-26Results'!$B:$B,A18,'NHL2025-26Results'!$H:$H,A18,'NHL2025-26Results'!$F:$F,"")</f>
        <v>7</v>
      </c>
      <c r="L18">
        <f>COUNTIFS('NHL2025-26Results'!$B:$B,A18,'NHL2025-26Results'!$H:$H,A18,'NHL2025-26Results'!$F:$F,"OT") + COUNTIFS('NHL2025-26Results'!$B:$B,A18,'NHL2025-26Results'!$H:$H,A18,'NHL2025-26Results'!$F:$F,"SO")</f>
        <v>0</v>
      </c>
      <c r="M18" s="11">
        <f>Table1[[#This Row],[HomeWins]]/SUM(Table1[[#This Row],[HomeWins]:[HomeOTL]])</f>
        <v>0.75</v>
      </c>
      <c r="N18" s="11">
        <f>Table1[[#This Row],[AwayWins]]/SUM(Table1[[#This Row],[AwayWins]:[AwayOTL]])</f>
        <v>0.5</v>
      </c>
      <c r="O18" s="14">
        <f>SUMIFS('NHL2025-26Results'!$E:$E,'NHL2025-26Results'!$D:$D,A18,'NHL2025-26Results'!$E:$E,"&gt;0")/COUNTIFS('NHL2025-26Results'!$D:$D,A18,'NHL2025-26Results'!$E:$E,"&gt;0")</f>
        <v>3.3333333333333335</v>
      </c>
      <c r="P18" s="14">
        <f>SUMIFS('NHL2025-26Results'!$C:$C,'NHL2025-26Results'!$B:$B,A18,'NHL2025-26Results'!$C:$C,"&gt;0")/COUNTIFS('NHL2025-26Results'!$B:$B,A18,'NHL2025-26Results'!$C:$C,"&gt;0")</f>
        <v>3.3076923076923075</v>
      </c>
      <c r="Q18" s="14">
        <f>SUMIFS('NHL2025-26Results'!$C:$C,'NHL2025-26Results'!$D:$D,A18,'NHL2025-26Results'!$C:$C,"&gt;0")/COUNTIFS('NHL2025-26Results'!$D:$D,A18,'NHL2025-26Results'!$C:$C,"&gt;0")</f>
        <v>2.5833333333333335</v>
      </c>
      <c r="R18" s="14">
        <f>SUMIFS('NHL2025-26Results'!$E:$E,'NHL2025-26Results'!$B:$B,A18,'NHL2025-26Results'!$E:$E,"&gt;0")/COUNTIFS('NHL2025-26Results'!$B:$B,A18,'NHL2025-26Results'!$E:$E,"&gt;0")</f>
        <v>3.6923076923076925</v>
      </c>
    </row>
    <row r="19" spans="1:18" x14ac:dyDescent="0.2">
      <c r="A19" s="4" t="s">
        <v>30</v>
      </c>
      <c r="B19">
        <f>SUM(Table1[[#This Row],[W]:[OTL]])</f>
        <v>26</v>
      </c>
      <c r="C19">
        <f>COUNTIF(NHL2025_26Results[Winning Team],Standings!A19)</f>
        <v>13</v>
      </c>
      <c r="D19">
        <f>COUNTIFS('NHL2025-26Results'!$H:$H,A19,'NHL2025-26Results'!$F:$F,"")</f>
        <v>10</v>
      </c>
      <c r="E19">
        <f>COUNTIFS('NHL2025-26Results'!$F:$F,"OT",'NHL2025-26Results'!$H:$H,A19) + COUNTIFS('NHL2025-26Results'!$F:$F,"SO",'NHL2025-26Results'!$H:$H,A19)</f>
        <v>3</v>
      </c>
      <c r="F19" s="3">
        <f>(Table1[[#This Row],[W]]*2)+Table1[[#This Row],[OTL]]</f>
        <v>29</v>
      </c>
      <c r="G19">
        <f>COUNTIFS('NHL2025-26Results'!$D:$D,A19,'NHL2025-26Results'!$G:$G,A19)</f>
        <v>5</v>
      </c>
      <c r="H19">
        <f>COUNTIFS('NHL2025-26Results'!$D:$D,A19,'NHL2025-26Results'!$H:$H,A19,'NHL2025-26Results'!$F:$F,"")</f>
        <v>6</v>
      </c>
      <c r="I19">
        <f>COUNTIFS('NHL2025-26Results'!$D:$D,A19,'NHL2025-26Results'!$H:$H,A19,'NHL2025-26Results'!$F:$F,"OT") + COUNTIFS('NHL2025-26Results'!$D:$D,A19,'NHL2025-26Results'!$H:$H,A19,'NHL2025-26Results'!$F:$F,"SO")</f>
        <v>2</v>
      </c>
      <c r="J19">
        <f>COUNTIFS('NHL2025-26Results'!$B:$B,A19,'NHL2025-26Results'!$G:$G,A19)</f>
        <v>8</v>
      </c>
      <c r="K19">
        <f>COUNTIFS('NHL2025-26Results'!$B:$B,A19,'NHL2025-26Results'!$H:$H,A19,'NHL2025-26Results'!$F:$F,"")</f>
        <v>4</v>
      </c>
      <c r="L19">
        <f>COUNTIFS('NHL2025-26Results'!$B:$B,A19,'NHL2025-26Results'!$H:$H,A19,'NHL2025-26Results'!$F:$F,"OT") + COUNTIFS('NHL2025-26Results'!$B:$B,A19,'NHL2025-26Results'!$H:$H,A19,'NHL2025-26Results'!$F:$F,"SO")</f>
        <v>1</v>
      </c>
      <c r="M19" s="11">
        <f>Table1[[#This Row],[HomeWins]]/SUM(Table1[[#This Row],[HomeWins]:[HomeOTL]])</f>
        <v>0.38461538461538464</v>
      </c>
      <c r="N19" s="11">
        <f>Table1[[#This Row],[AwayWins]]/SUM(Table1[[#This Row],[AwayWins]:[AwayOTL]])</f>
        <v>0.61538461538461542</v>
      </c>
      <c r="O19" s="14">
        <f>SUMIFS('NHL2025-26Results'!$E:$E,'NHL2025-26Results'!$D:$D,A19,'NHL2025-26Results'!$E:$E,"&gt;0")/COUNTIFS('NHL2025-26Results'!$D:$D,A19,'NHL2025-26Results'!$E:$E,"&gt;0")</f>
        <v>2.6153846153846154</v>
      </c>
      <c r="P19" s="14">
        <f>SUMIFS('NHL2025-26Results'!$C:$C,'NHL2025-26Results'!$B:$B,A19,'NHL2025-26Results'!$C:$C,"&gt;0")/COUNTIFS('NHL2025-26Results'!$B:$B,A19,'NHL2025-26Results'!$C:$C,"&gt;0")</f>
        <v>3.2307692307692308</v>
      </c>
      <c r="Q19" s="14">
        <f>SUMIFS('NHL2025-26Results'!$C:$C,'NHL2025-26Results'!$D:$D,A19,'NHL2025-26Results'!$C:$C,"&gt;0")/COUNTIFS('NHL2025-26Results'!$D:$D,A19,'NHL2025-26Results'!$C:$C,"&gt;0")</f>
        <v>3.3333333333333335</v>
      </c>
      <c r="R19" s="14">
        <f>SUMIFS('NHL2025-26Results'!$E:$E,'NHL2025-26Results'!$B:$B,A19,'NHL2025-26Results'!$E:$E,"&gt;0")/COUNTIFS('NHL2025-26Results'!$B:$B,A19,'NHL2025-26Results'!$E:$E,"&gt;0")</f>
        <v>3.3636363636363638</v>
      </c>
    </row>
    <row r="20" spans="1:18" x14ac:dyDescent="0.2">
      <c r="A20" s="4" t="s">
        <v>15</v>
      </c>
      <c r="B20">
        <f>SUM(Table1[[#This Row],[W]:[OTL]])</f>
        <v>27</v>
      </c>
      <c r="C20">
        <f>COUNTIF(NHL2025_26Results[Winning Team],Standings!A20)</f>
        <v>13</v>
      </c>
      <c r="D20">
        <f>COUNTIFS('NHL2025-26Results'!$H:$H,A20,'NHL2025-26Results'!$F:$F,"")</f>
        <v>12</v>
      </c>
      <c r="E20">
        <f>COUNTIFS('NHL2025-26Results'!$F:$F,"OT",'NHL2025-26Results'!$H:$H,A20) + COUNTIFS('NHL2025-26Results'!$F:$F,"SO",'NHL2025-26Results'!$H:$H,A20)</f>
        <v>2</v>
      </c>
      <c r="F20" s="3">
        <f>(Table1[[#This Row],[W]]*2)+Table1[[#This Row],[OTL]]</f>
        <v>28</v>
      </c>
      <c r="G20">
        <f>COUNTIFS('NHL2025-26Results'!$D:$D,A20,'NHL2025-26Results'!$G:$G,A20)</f>
        <v>2</v>
      </c>
      <c r="H20">
        <f>COUNTIFS('NHL2025-26Results'!$D:$D,A20,'NHL2025-26Results'!$H:$H,A20,'NHL2025-26Results'!$F:$F,"")</f>
        <v>8</v>
      </c>
      <c r="I20">
        <f>COUNTIFS('NHL2025-26Results'!$D:$D,A20,'NHL2025-26Results'!$H:$H,A20,'NHL2025-26Results'!$F:$F,"OT") + COUNTIFS('NHL2025-26Results'!$D:$D,A20,'NHL2025-26Results'!$H:$H,A20,'NHL2025-26Results'!$F:$F,"SO")</f>
        <v>1</v>
      </c>
      <c r="J20">
        <f>COUNTIFS('NHL2025-26Results'!$B:$B,A20,'NHL2025-26Results'!$G:$G,A20)</f>
        <v>11</v>
      </c>
      <c r="K20">
        <f>COUNTIFS('NHL2025-26Results'!$B:$B,A20,'NHL2025-26Results'!$H:$H,A20,'NHL2025-26Results'!$F:$F,"")</f>
        <v>4</v>
      </c>
      <c r="L20">
        <f>COUNTIFS('NHL2025-26Results'!$B:$B,A20,'NHL2025-26Results'!$H:$H,A20,'NHL2025-26Results'!$F:$F,"OT") + COUNTIFS('NHL2025-26Results'!$B:$B,A20,'NHL2025-26Results'!$H:$H,A20,'NHL2025-26Results'!$F:$F,"SO")</f>
        <v>1</v>
      </c>
      <c r="M20" s="11">
        <f>Table1[[#This Row],[HomeWins]]/SUM(Table1[[#This Row],[HomeWins]:[HomeOTL]])</f>
        <v>0.18181818181818182</v>
      </c>
      <c r="N20" s="11">
        <f>Table1[[#This Row],[AwayWins]]/SUM(Table1[[#This Row],[AwayWins]:[AwayOTL]])</f>
        <v>0.6875</v>
      </c>
      <c r="O20" s="14">
        <f>SUMIFS('NHL2025-26Results'!$E:$E,'NHL2025-26Results'!$D:$D,A20,'NHL2025-26Results'!$E:$E,"&gt;0")/COUNTIFS('NHL2025-26Results'!$D:$D,A20,'NHL2025-26Results'!$E:$E,"&gt;0")</f>
        <v>2.8333333333333335</v>
      </c>
      <c r="P20" s="14">
        <f>SUMIFS('NHL2025-26Results'!$C:$C,'NHL2025-26Results'!$B:$B,A20,'NHL2025-26Results'!$C:$C,"&gt;0")/COUNTIFS('NHL2025-26Results'!$B:$B,A20,'NHL2025-26Results'!$C:$C,"&gt;0")</f>
        <v>3.4375</v>
      </c>
      <c r="Q20" s="14">
        <f>SUMIFS('NHL2025-26Results'!$C:$C,'NHL2025-26Results'!$D:$D,A20,'NHL2025-26Results'!$C:$C,"&gt;0")/COUNTIFS('NHL2025-26Results'!$D:$D,A20,'NHL2025-26Results'!$C:$C,"&gt;0")</f>
        <v>3.0909090909090908</v>
      </c>
      <c r="R20" s="14">
        <f>SUMIFS('NHL2025-26Results'!$E:$E,'NHL2025-26Results'!$B:$B,A20,'NHL2025-26Results'!$E:$E,"&gt;0")/COUNTIFS('NHL2025-26Results'!$B:$B,A20,'NHL2025-26Results'!$E:$E,"&gt;0")</f>
        <v>2.6428571428571428</v>
      </c>
    </row>
    <row r="21" spans="1:18" x14ac:dyDescent="0.2">
      <c r="A21" s="4" t="s">
        <v>36</v>
      </c>
      <c r="B21">
        <f>SUM(Table1[[#This Row],[W]:[OTL]])</f>
        <v>25</v>
      </c>
      <c r="C21">
        <f>COUNTIF(NHL2025_26Results[Winning Team],Standings!A21)</f>
        <v>12</v>
      </c>
      <c r="D21">
        <f>COUNTIFS('NHL2025-26Results'!$H:$H,A21,'NHL2025-26Results'!$F:$F,"")</f>
        <v>9</v>
      </c>
      <c r="E21">
        <f>COUNTIFS('NHL2025-26Results'!$F:$F,"OT",'NHL2025-26Results'!$H:$H,A21) + COUNTIFS('NHL2025-26Results'!$F:$F,"SO",'NHL2025-26Results'!$H:$H,A21)</f>
        <v>4</v>
      </c>
      <c r="F21" s="3">
        <f>(Table1[[#This Row],[W]]*2)+Table1[[#This Row],[OTL]]</f>
        <v>28</v>
      </c>
      <c r="G21">
        <f>COUNTIFS('NHL2025-26Results'!$D:$D,A21,'NHL2025-26Results'!$G:$G,A21)</f>
        <v>6</v>
      </c>
      <c r="H21">
        <f>COUNTIFS('NHL2025-26Results'!$D:$D,A21,'NHL2025-26Results'!$H:$H,A21,'NHL2025-26Results'!$F:$F,"")</f>
        <v>3</v>
      </c>
      <c r="I21">
        <f>COUNTIFS('NHL2025-26Results'!$D:$D,A21,'NHL2025-26Results'!$H:$H,A21,'NHL2025-26Results'!$F:$F,"OT") + COUNTIFS('NHL2025-26Results'!$D:$D,A21,'NHL2025-26Results'!$H:$H,A21,'NHL2025-26Results'!$F:$F,"SO")</f>
        <v>2</v>
      </c>
      <c r="J21">
        <f>COUNTIFS('NHL2025-26Results'!$B:$B,A21,'NHL2025-26Results'!$G:$G,A21)</f>
        <v>6</v>
      </c>
      <c r="K21">
        <f>COUNTIFS('NHL2025-26Results'!$B:$B,A21,'NHL2025-26Results'!$H:$H,A21,'NHL2025-26Results'!$F:$F,"")</f>
        <v>6</v>
      </c>
      <c r="L21">
        <f>COUNTIFS('NHL2025-26Results'!$B:$B,A21,'NHL2025-26Results'!$H:$H,A21,'NHL2025-26Results'!$F:$F,"OT") + COUNTIFS('NHL2025-26Results'!$B:$B,A21,'NHL2025-26Results'!$H:$H,A21,'NHL2025-26Results'!$F:$F,"SO")</f>
        <v>2</v>
      </c>
      <c r="M21" s="11">
        <f>Table1[[#This Row],[HomeWins]]/SUM(Table1[[#This Row],[HomeWins]:[HomeOTL]])</f>
        <v>0.54545454545454541</v>
      </c>
      <c r="N21" s="11">
        <f>Table1[[#This Row],[AwayWins]]/SUM(Table1[[#This Row],[AwayWins]:[AwayOTL]])</f>
        <v>0.42857142857142855</v>
      </c>
      <c r="O21" s="14">
        <f>SUMIFS('NHL2025-26Results'!$E:$E,'NHL2025-26Results'!$D:$D,A21,'NHL2025-26Results'!$E:$E,"&gt;0")/COUNTIFS('NHL2025-26Results'!$D:$D,A21,'NHL2025-26Results'!$E:$E,"&gt;0")</f>
        <v>3.5</v>
      </c>
      <c r="P21" s="14">
        <f>SUMIFS('NHL2025-26Results'!$C:$C,'NHL2025-26Results'!$B:$B,A21,'NHL2025-26Results'!$C:$C,"&gt;0")/COUNTIFS('NHL2025-26Results'!$B:$B,A21,'NHL2025-26Results'!$C:$C,"&gt;0")</f>
        <v>3.1428571428571428</v>
      </c>
      <c r="Q21" s="14">
        <f>SUMIFS('NHL2025-26Results'!$C:$C,'NHL2025-26Results'!$D:$D,A21,'NHL2025-26Results'!$C:$C,"&gt;0")/COUNTIFS('NHL2025-26Results'!$D:$D,A21,'NHL2025-26Results'!$C:$C,"&gt;0")</f>
        <v>2.7272727272727271</v>
      </c>
      <c r="R21" s="14">
        <f>SUMIFS('NHL2025-26Results'!$E:$E,'NHL2025-26Results'!$B:$B,A21,'NHL2025-26Results'!$E:$E,"&gt;0")/COUNTIFS('NHL2025-26Results'!$B:$B,A21,'NHL2025-26Results'!$E:$E,"&gt;0")</f>
        <v>3.8571428571428572</v>
      </c>
    </row>
    <row r="22" spans="1:18" x14ac:dyDescent="0.2">
      <c r="A22" s="4" t="s">
        <v>27</v>
      </c>
      <c r="B22">
        <f>SUM(Table1[[#This Row],[W]:[OTL]])</f>
        <v>25</v>
      </c>
      <c r="C22">
        <f>COUNTIF(NHL2025_26Results[Winning Team],Standings!A22)</f>
        <v>14</v>
      </c>
      <c r="D22">
        <f>COUNTIFS('NHL2025-26Results'!$H:$H,A22,'NHL2025-26Results'!$F:$F,"")</f>
        <v>8</v>
      </c>
      <c r="E22">
        <f>COUNTIFS('NHL2025-26Results'!$F:$F,"OT",'NHL2025-26Results'!$H:$H,A22) + COUNTIFS('NHL2025-26Results'!$F:$F,"SO",'NHL2025-26Results'!$H:$H,A22)</f>
        <v>3</v>
      </c>
      <c r="F22" s="3">
        <f>(Table1[[#This Row],[W]]*2)+Table1[[#This Row],[OTL]]</f>
        <v>31</v>
      </c>
      <c r="G22">
        <f>COUNTIFS('NHL2025-26Results'!$D:$D,A22,'NHL2025-26Results'!$G:$G,A22)</f>
        <v>8</v>
      </c>
      <c r="H22">
        <f>COUNTIFS('NHL2025-26Results'!$D:$D,A22,'NHL2025-26Results'!$H:$H,A22,'NHL2025-26Results'!$F:$F,"")</f>
        <v>4</v>
      </c>
      <c r="I22">
        <f>COUNTIFS('NHL2025-26Results'!$D:$D,A22,'NHL2025-26Results'!$H:$H,A22,'NHL2025-26Results'!$F:$F,"OT") + COUNTIFS('NHL2025-26Results'!$D:$D,A22,'NHL2025-26Results'!$H:$H,A22,'NHL2025-26Results'!$F:$F,"SO")</f>
        <v>2</v>
      </c>
      <c r="J22">
        <f>COUNTIFS('NHL2025-26Results'!$B:$B,A22,'NHL2025-26Results'!$G:$G,A22)</f>
        <v>6</v>
      </c>
      <c r="K22">
        <f>COUNTIFS('NHL2025-26Results'!$B:$B,A22,'NHL2025-26Results'!$H:$H,A22,'NHL2025-26Results'!$F:$F,"")</f>
        <v>4</v>
      </c>
      <c r="L22">
        <f>COUNTIFS('NHL2025-26Results'!$B:$B,A22,'NHL2025-26Results'!$H:$H,A22,'NHL2025-26Results'!$F:$F,"OT") + COUNTIFS('NHL2025-26Results'!$B:$B,A22,'NHL2025-26Results'!$H:$H,A22,'NHL2025-26Results'!$F:$F,"SO")</f>
        <v>1</v>
      </c>
      <c r="M22" s="11">
        <f>Table1[[#This Row],[HomeWins]]/SUM(Table1[[#This Row],[HomeWins]:[HomeOTL]])</f>
        <v>0.5714285714285714</v>
      </c>
      <c r="N22" s="11">
        <f>Table1[[#This Row],[AwayWins]]/SUM(Table1[[#This Row],[AwayWins]:[AwayOTL]])</f>
        <v>0.54545454545454541</v>
      </c>
      <c r="O22" s="14">
        <f>SUMIFS('NHL2025-26Results'!$E:$E,'NHL2025-26Results'!$D:$D,A22,'NHL2025-26Results'!$E:$E,"&gt;0")/COUNTIFS('NHL2025-26Results'!$D:$D,A22,'NHL2025-26Results'!$E:$E,"&gt;0")</f>
        <v>2.9285714285714284</v>
      </c>
      <c r="P22" s="14">
        <f>SUMIFS('NHL2025-26Results'!$C:$C,'NHL2025-26Results'!$B:$B,A22,'NHL2025-26Results'!$C:$C,"&gt;0")/COUNTIFS('NHL2025-26Results'!$B:$B,A22,'NHL2025-26Results'!$C:$C,"&gt;0")</f>
        <v>3.3</v>
      </c>
      <c r="Q22" s="14">
        <f>SUMIFS('NHL2025-26Results'!$C:$C,'NHL2025-26Results'!$D:$D,A22,'NHL2025-26Results'!$C:$C,"&gt;0")/COUNTIFS('NHL2025-26Results'!$D:$D,A22,'NHL2025-26Results'!$C:$C,"&gt;0")</f>
        <v>2.7142857142857144</v>
      </c>
      <c r="R22" s="14">
        <f>SUMIFS('NHL2025-26Results'!$E:$E,'NHL2025-26Results'!$B:$B,A22,'NHL2025-26Results'!$E:$E,"&gt;0")/COUNTIFS('NHL2025-26Results'!$B:$B,A22,'NHL2025-26Results'!$E:$E,"&gt;0")</f>
        <v>3.0909090909090908</v>
      </c>
    </row>
    <row r="23" spans="1:18" x14ac:dyDescent="0.2">
      <c r="A23" s="4" t="s">
        <v>14</v>
      </c>
      <c r="B23">
        <f>SUM(Table1[[#This Row],[W]:[OTL]])</f>
        <v>25</v>
      </c>
      <c r="C23">
        <f>COUNTIF(NHL2025_26Results[Winning Team],Standings!A23)</f>
        <v>13</v>
      </c>
      <c r="D23">
        <f>COUNTIFS('NHL2025-26Results'!$H:$H,A23,'NHL2025-26Results'!$F:$F,"")</f>
        <v>7</v>
      </c>
      <c r="E23">
        <f>COUNTIFS('NHL2025-26Results'!$F:$F,"OT",'NHL2025-26Results'!$H:$H,A23) + COUNTIFS('NHL2025-26Results'!$F:$F,"SO",'NHL2025-26Results'!$H:$H,A23)</f>
        <v>5</v>
      </c>
      <c r="F23" s="3">
        <f>(Table1[[#This Row],[W]]*2)+Table1[[#This Row],[OTL]]</f>
        <v>31</v>
      </c>
      <c r="G23">
        <f>COUNTIFS('NHL2025-26Results'!$D:$D,A23,'NHL2025-26Results'!$G:$G,A23)</f>
        <v>6</v>
      </c>
      <c r="H23">
        <f>COUNTIFS('NHL2025-26Results'!$D:$D,A23,'NHL2025-26Results'!$H:$H,A23,'NHL2025-26Results'!$F:$F,"")</f>
        <v>4</v>
      </c>
      <c r="I23">
        <f>COUNTIFS('NHL2025-26Results'!$D:$D,A23,'NHL2025-26Results'!$H:$H,A23,'NHL2025-26Results'!$F:$F,"OT") + COUNTIFS('NHL2025-26Results'!$D:$D,A23,'NHL2025-26Results'!$H:$H,A23,'NHL2025-26Results'!$F:$F,"SO")</f>
        <v>2</v>
      </c>
      <c r="J23">
        <f>COUNTIFS('NHL2025-26Results'!$B:$B,A23,'NHL2025-26Results'!$G:$G,A23)</f>
        <v>7</v>
      </c>
      <c r="K23">
        <f>COUNTIFS('NHL2025-26Results'!$B:$B,A23,'NHL2025-26Results'!$H:$H,A23,'NHL2025-26Results'!$F:$F,"")</f>
        <v>3</v>
      </c>
      <c r="L23">
        <f>COUNTIFS('NHL2025-26Results'!$B:$B,A23,'NHL2025-26Results'!$H:$H,A23,'NHL2025-26Results'!$F:$F,"OT") + COUNTIFS('NHL2025-26Results'!$B:$B,A23,'NHL2025-26Results'!$H:$H,A23,'NHL2025-26Results'!$F:$F,"SO")</f>
        <v>3</v>
      </c>
      <c r="M23" s="11">
        <f>Table1[[#This Row],[HomeWins]]/SUM(Table1[[#This Row],[HomeWins]:[HomeOTL]])</f>
        <v>0.5</v>
      </c>
      <c r="N23" s="11">
        <f>Table1[[#This Row],[AwayWins]]/SUM(Table1[[#This Row],[AwayWins]:[AwayOTL]])</f>
        <v>0.53846153846153844</v>
      </c>
      <c r="O23" s="14">
        <f>SUMIFS('NHL2025-26Results'!$E:$E,'NHL2025-26Results'!$D:$D,A23,'NHL2025-26Results'!$E:$E,"&gt;0")/COUNTIFS('NHL2025-26Results'!$D:$D,A23,'NHL2025-26Results'!$E:$E,"&gt;0")</f>
        <v>3.5454545454545454</v>
      </c>
      <c r="P23" s="14">
        <f>SUMIFS('NHL2025-26Results'!$C:$C,'NHL2025-26Results'!$B:$B,A23,'NHL2025-26Results'!$C:$C,"&gt;0")/COUNTIFS('NHL2025-26Results'!$B:$B,A23,'NHL2025-26Results'!$C:$C,"&gt;0")</f>
        <v>3.0769230769230771</v>
      </c>
      <c r="Q23" s="14">
        <f>SUMIFS('NHL2025-26Results'!$C:$C,'NHL2025-26Results'!$D:$D,A23,'NHL2025-26Results'!$C:$C,"&gt;0")/COUNTIFS('NHL2025-26Results'!$D:$D,A23,'NHL2025-26Results'!$C:$C,"&gt;0")</f>
        <v>3.7272727272727271</v>
      </c>
      <c r="R23" s="14">
        <f>SUMIFS('NHL2025-26Results'!$E:$E,'NHL2025-26Results'!$B:$B,A23,'NHL2025-26Results'!$E:$E,"&gt;0")/COUNTIFS('NHL2025-26Results'!$B:$B,A23,'NHL2025-26Results'!$E:$E,"&gt;0")</f>
        <v>2.7272727272727271</v>
      </c>
    </row>
    <row r="24" spans="1:18" x14ac:dyDescent="0.2">
      <c r="A24" s="4" t="s">
        <v>33</v>
      </c>
      <c r="B24">
        <f>SUM(Table1[[#This Row],[W]:[OTL]])</f>
        <v>27</v>
      </c>
      <c r="C24">
        <f>COUNTIF(NHL2025_26Results[Winning Team],Standings!A24)</f>
        <v>13</v>
      </c>
      <c r="D24">
        <f>COUNTIFS('NHL2025-26Results'!$H:$H,A24,'NHL2025-26Results'!$F:$F,"")</f>
        <v>11</v>
      </c>
      <c r="E24">
        <f>COUNTIFS('NHL2025-26Results'!$F:$F,"OT",'NHL2025-26Results'!$H:$H,A24) + COUNTIFS('NHL2025-26Results'!$F:$F,"SO",'NHL2025-26Results'!$H:$H,A24)</f>
        <v>3</v>
      </c>
      <c r="F24" s="3">
        <f>(Table1[[#This Row],[W]]*2)+Table1[[#This Row],[OTL]]</f>
        <v>29</v>
      </c>
      <c r="G24">
        <f>COUNTIFS('NHL2025-26Results'!$D:$D,A24,'NHL2025-26Results'!$G:$G,A24)</f>
        <v>9</v>
      </c>
      <c r="H24">
        <f>COUNTIFS('NHL2025-26Results'!$D:$D,A24,'NHL2025-26Results'!$H:$H,A24,'NHL2025-26Results'!$F:$F,"")</f>
        <v>4</v>
      </c>
      <c r="I24">
        <f>COUNTIFS('NHL2025-26Results'!$D:$D,A24,'NHL2025-26Results'!$H:$H,A24,'NHL2025-26Results'!$F:$F,"OT") + COUNTIFS('NHL2025-26Results'!$D:$D,A24,'NHL2025-26Results'!$H:$H,A24,'NHL2025-26Results'!$F:$F,"SO")</f>
        <v>3</v>
      </c>
      <c r="J24">
        <f>COUNTIFS('NHL2025-26Results'!$B:$B,A24,'NHL2025-26Results'!$G:$G,A24)</f>
        <v>4</v>
      </c>
      <c r="K24">
        <f>COUNTIFS('NHL2025-26Results'!$B:$B,A24,'NHL2025-26Results'!$H:$H,A24,'NHL2025-26Results'!$F:$F,"")</f>
        <v>7</v>
      </c>
      <c r="L24">
        <f>COUNTIFS('NHL2025-26Results'!$B:$B,A24,'NHL2025-26Results'!$H:$H,A24,'NHL2025-26Results'!$F:$F,"OT") + COUNTIFS('NHL2025-26Results'!$B:$B,A24,'NHL2025-26Results'!$H:$H,A24,'NHL2025-26Results'!$F:$F,"SO")</f>
        <v>0</v>
      </c>
      <c r="M24" s="11">
        <f>Table1[[#This Row],[HomeWins]]/SUM(Table1[[#This Row],[HomeWins]:[HomeOTL]])</f>
        <v>0.5625</v>
      </c>
      <c r="N24" s="11">
        <f>Table1[[#This Row],[AwayWins]]/SUM(Table1[[#This Row],[AwayWins]:[AwayOTL]])</f>
        <v>0.36363636363636365</v>
      </c>
      <c r="O24" s="14">
        <f>SUMIFS('NHL2025-26Results'!$E:$E,'NHL2025-26Results'!$D:$D,A24,'NHL2025-26Results'!$E:$E,"&gt;0")/COUNTIFS('NHL2025-26Results'!$D:$D,A24,'NHL2025-26Results'!$E:$E,"&gt;0")</f>
        <v>3.2666666666666666</v>
      </c>
      <c r="P24" s="14">
        <f>SUMIFS('NHL2025-26Results'!$C:$C,'NHL2025-26Results'!$B:$B,A24,'NHL2025-26Results'!$C:$C,"&gt;0")/COUNTIFS('NHL2025-26Results'!$B:$B,A24,'NHL2025-26Results'!$C:$C,"&gt;0")</f>
        <v>3.4444444444444446</v>
      </c>
      <c r="Q24" s="14">
        <f>SUMIFS('NHL2025-26Results'!$C:$C,'NHL2025-26Results'!$D:$D,A24,'NHL2025-26Results'!$C:$C,"&gt;0")/COUNTIFS('NHL2025-26Results'!$D:$D,A24,'NHL2025-26Results'!$C:$C,"&gt;0")</f>
        <v>2.875</v>
      </c>
      <c r="R24" s="14">
        <f>SUMIFS('NHL2025-26Results'!$E:$E,'NHL2025-26Results'!$B:$B,A24,'NHL2025-26Results'!$E:$E,"&gt;0")/COUNTIFS('NHL2025-26Results'!$B:$B,A24,'NHL2025-26Results'!$E:$E,"&gt;0")</f>
        <v>3.7272727272727271</v>
      </c>
    </row>
    <row r="25" spans="1:18" x14ac:dyDescent="0.2">
      <c r="A25" s="4" t="s">
        <v>32</v>
      </c>
      <c r="B25">
        <f>SUM(Table1[[#This Row],[W]:[OTL]])</f>
        <v>24</v>
      </c>
      <c r="C25">
        <f>COUNTIF(NHL2025_26Results[Winning Team],Standings!A25)</f>
        <v>11</v>
      </c>
      <c r="D25">
        <f>COUNTIFS('NHL2025-26Results'!$H:$H,A25,'NHL2025-26Results'!$F:$F,"")</f>
        <v>7</v>
      </c>
      <c r="E25">
        <f>COUNTIFS('NHL2025-26Results'!$F:$F,"OT",'NHL2025-26Results'!$H:$H,A25) + COUNTIFS('NHL2025-26Results'!$F:$F,"SO",'NHL2025-26Results'!$H:$H,A25)</f>
        <v>6</v>
      </c>
      <c r="F25" s="3">
        <f>(Table1[[#This Row],[W]]*2)+Table1[[#This Row],[OTL]]</f>
        <v>28</v>
      </c>
      <c r="G25">
        <f>COUNTIFS('NHL2025-26Results'!$D:$D,A25,'NHL2025-26Results'!$G:$G,A25)</f>
        <v>6</v>
      </c>
      <c r="H25">
        <f>COUNTIFS('NHL2025-26Results'!$D:$D,A25,'NHL2025-26Results'!$H:$H,A25,'NHL2025-26Results'!$F:$F,"")</f>
        <v>3</v>
      </c>
      <c r="I25">
        <f>COUNTIFS('NHL2025-26Results'!$D:$D,A25,'NHL2025-26Results'!$H:$H,A25,'NHL2025-26Results'!$F:$F,"OT") + COUNTIFS('NHL2025-26Results'!$D:$D,A25,'NHL2025-26Results'!$H:$H,A25,'NHL2025-26Results'!$F:$F,"SO")</f>
        <v>3</v>
      </c>
      <c r="J25">
        <f>COUNTIFS('NHL2025-26Results'!$B:$B,A25,'NHL2025-26Results'!$G:$G,A25)</f>
        <v>5</v>
      </c>
      <c r="K25">
        <f>COUNTIFS('NHL2025-26Results'!$B:$B,A25,'NHL2025-26Results'!$H:$H,A25,'NHL2025-26Results'!$F:$F,"")</f>
        <v>4</v>
      </c>
      <c r="L25">
        <f>COUNTIFS('NHL2025-26Results'!$B:$B,A25,'NHL2025-26Results'!$H:$H,A25,'NHL2025-26Results'!$F:$F,"OT") + COUNTIFS('NHL2025-26Results'!$B:$B,A25,'NHL2025-26Results'!$H:$H,A25,'NHL2025-26Results'!$F:$F,"SO")</f>
        <v>3</v>
      </c>
      <c r="M25" s="11">
        <f>Table1[[#This Row],[HomeWins]]/SUM(Table1[[#This Row],[HomeWins]:[HomeOTL]])</f>
        <v>0.5</v>
      </c>
      <c r="N25" s="11">
        <f>Table1[[#This Row],[AwayWins]]/SUM(Table1[[#This Row],[AwayWins]:[AwayOTL]])</f>
        <v>0.41666666666666669</v>
      </c>
      <c r="O25" s="14">
        <f>SUMIFS('NHL2025-26Results'!$E:$E,'NHL2025-26Results'!$D:$D,A25,'NHL2025-26Results'!$E:$E,"&gt;0")/COUNTIFS('NHL2025-26Results'!$D:$D,A25,'NHL2025-26Results'!$E:$E,"&gt;0")</f>
        <v>2.6363636363636362</v>
      </c>
      <c r="P25" s="14">
        <f>SUMIFS('NHL2025-26Results'!$C:$C,'NHL2025-26Results'!$B:$B,A25,'NHL2025-26Results'!$C:$C,"&gt;0")/COUNTIFS('NHL2025-26Results'!$B:$B,A25,'NHL2025-26Results'!$C:$C,"&gt;0")</f>
        <v>2.7272727272727271</v>
      </c>
      <c r="Q25" s="14">
        <f>SUMIFS('NHL2025-26Results'!$C:$C,'NHL2025-26Results'!$D:$D,A25,'NHL2025-26Results'!$C:$C,"&gt;0")/COUNTIFS('NHL2025-26Results'!$D:$D,A25,'NHL2025-26Results'!$C:$C,"&gt;0")</f>
        <v>2.5833333333333335</v>
      </c>
      <c r="R25" s="14">
        <f>SUMIFS('NHL2025-26Results'!$E:$E,'NHL2025-26Results'!$B:$B,A25,'NHL2025-26Results'!$E:$E,"&gt;0")/COUNTIFS('NHL2025-26Results'!$B:$B,A25,'NHL2025-26Results'!$E:$E,"&gt;0")</f>
        <v>3.1818181818181817</v>
      </c>
    </row>
    <row r="26" spans="1:18" x14ac:dyDescent="0.2">
      <c r="A26" s="4" t="s">
        <v>35</v>
      </c>
      <c r="B26">
        <f>SUM(Table1[[#This Row],[W]:[OTL]])</f>
        <v>27</v>
      </c>
      <c r="C26">
        <f>COUNTIF(NHL2025_26Results[Winning Team],Standings!A26)</f>
        <v>9</v>
      </c>
      <c r="D26">
        <f>COUNTIFS('NHL2025-26Results'!$H:$H,A26,'NHL2025-26Results'!$F:$F,"")</f>
        <v>11</v>
      </c>
      <c r="E26">
        <f>COUNTIFS('NHL2025-26Results'!$F:$F,"OT",'NHL2025-26Results'!$H:$H,A26) + COUNTIFS('NHL2025-26Results'!$F:$F,"SO",'NHL2025-26Results'!$H:$H,A26)</f>
        <v>7</v>
      </c>
      <c r="F26" s="3">
        <f>(Table1[[#This Row],[W]]*2)+Table1[[#This Row],[OTL]]</f>
        <v>25</v>
      </c>
      <c r="G26">
        <f>COUNTIFS('NHL2025-26Results'!$D:$D,A26,'NHL2025-26Results'!$G:$G,A26)</f>
        <v>5</v>
      </c>
      <c r="H26">
        <f>COUNTIFS('NHL2025-26Results'!$D:$D,A26,'NHL2025-26Results'!$H:$H,A26,'NHL2025-26Results'!$F:$F,"")</f>
        <v>6</v>
      </c>
      <c r="I26">
        <f>COUNTIFS('NHL2025-26Results'!$D:$D,A26,'NHL2025-26Results'!$H:$H,A26,'NHL2025-26Results'!$F:$F,"OT") + COUNTIFS('NHL2025-26Results'!$D:$D,A26,'NHL2025-26Results'!$H:$H,A26,'NHL2025-26Results'!$F:$F,"SO")</f>
        <v>4</v>
      </c>
      <c r="J26">
        <f>COUNTIFS('NHL2025-26Results'!$B:$B,A26,'NHL2025-26Results'!$G:$G,A26)</f>
        <v>4</v>
      </c>
      <c r="K26">
        <f>COUNTIFS('NHL2025-26Results'!$B:$B,A26,'NHL2025-26Results'!$H:$H,A26,'NHL2025-26Results'!$F:$F,"")</f>
        <v>5</v>
      </c>
      <c r="L26">
        <f>COUNTIFS('NHL2025-26Results'!$B:$B,A26,'NHL2025-26Results'!$H:$H,A26,'NHL2025-26Results'!$F:$F,"OT") + COUNTIFS('NHL2025-26Results'!$B:$B,A26,'NHL2025-26Results'!$H:$H,A26,'NHL2025-26Results'!$F:$F,"SO")</f>
        <v>3</v>
      </c>
      <c r="M26" s="11">
        <f>Table1[[#This Row],[HomeWins]]/SUM(Table1[[#This Row],[HomeWins]:[HomeOTL]])</f>
        <v>0.33333333333333331</v>
      </c>
      <c r="N26" s="11">
        <f>Table1[[#This Row],[AwayWins]]/SUM(Table1[[#This Row],[AwayWins]:[AwayOTL]])</f>
        <v>0.33333333333333331</v>
      </c>
      <c r="O26" s="14">
        <f>SUMIFS('NHL2025-26Results'!$E:$E,'NHL2025-26Results'!$D:$D,A26,'NHL2025-26Results'!$E:$E,"&gt;0")/COUNTIFS('NHL2025-26Results'!$D:$D,A26,'NHL2025-26Results'!$E:$E,"&gt;0")</f>
        <v>2.6428571428571428</v>
      </c>
      <c r="P26" s="14">
        <f>SUMIFS('NHL2025-26Results'!$C:$C,'NHL2025-26Results'!$B:$B,A26,'NHL2025-26Results'!$C:$C,"&gt;0")/COUNTIFS('NHL2025-26Results'!$B:$B,A26,'NHL2025-26Results'!$C:$C,"&gt;0")</f>
        <v>2.6666666666666665</v>
      </c>
      <c r="Q26" s="14">
        <f>SUMIFS('NHL2025-26Results'!$C:$C,'NHL2025-26Results'!$D:$D,A26,'NHL2025-26Results'!$C:$C,"&gt;0")/COUNTIFS('NHL2025-26Results'!$D:$D,A26,'NHL2025-26Results'!$C:$C,"&gt;0")</f>
        <v>4.0714285714285712</v>
      </c>
      <c r="R26" s="14">
        <f>SUMIFS('NHL2025-26Results'!$E:$E,'NHL2025-26Results'!$B:$B,A26,'NHL2025-26Results'!$E:$E,"&gt;0")/COUNTIFS('NHL2025-26Results'!$B:$B,A26,'NHL2025-26Results'!$E:$E,"&gt;0")</f>
        <v>3.4545454545454546</v>
      </c>
    </row>
    <row r="27" spans="1:18" x14ac:dyDescent="0.2">
      <c r="A27" s="4" t="s">
        <v>37</v>
      </c>
      <c r="B27">
        <f>SUM(Table1[[#This Row],[W]:[OTL]])</f>
        <v>25</v>
      </c>
      <c r="C27">
        <f>COUNTIF(NHL2025_26Results[Winning Team],Standings!A27)</f>
        <v>16</v>
      </c>
      <c r="D27">
        <f>COUNTIFS('NHL2025-26Results'!$H:$H,A27,'NHL2025-26Results'!$F:$F,"")</f>
        <v>7</v>
      </c>
      <c r="E27">
        <f>COUNTIFS('NHL2025-26Results'!$F:$F,"OT",'NHL2025-26Results'!$H:$H,A27) + COUNTIFS('NHL2025-26Results'!$F:$F,"SO",'NHL2025-26Results'!$H:$H,A27)</f>
        <v>2</v>
      </c>
      <c r="F27" s="3">
        <f>(Table1[[#This Row],[W]]*2)+Table1[[#This Row],[OTL]]</f>
        <v>34</v>
      </c>
      <c r="G27">
        <f>COUNTIFS('NHL2025-26Results'!$D:$D,A27,'NHL2025-26Results'!$G:$G,A27)</f>
        <v>8</v>
      </c>
      <c r="H27">
        <f>COUNTIFS('NHL2025-26Results'!$D:$D,A27,'NHL2025-26Results'!$H:$H,A27,'NHL2025-26Results'!$F:$F,"")</f>
        <v>5</v>
      </c>
      <c r="I27">
        <f>COUNTIFS('NHL2025-26Results'!$D:$D,A27,'NHL2025-26Results'!$H:$H,A27,'NHL2025-26Results'!$F:$F,"OT") + COUNTIFS('NHL2025-26Results'!$D:$D,A27,'NHL2025-26Results'!$H:$H,A27,'NHL2025-26Results'!$F:$F,"SO")</f>
        <v>0</v>
      </c>
      <c r="J27">
        <f>COUNTIFS('NHL2025-26Results'!$B:$B,A27,'NHL2025-26Results'!$G:$G,A27)</f>
        <v>8</v>
      </c>
      <c r="K27">
        <f>COUNTIFS('NHL2025-26Results'!$B:$B,A27,'NHL2025-26Results'!$H:$H,A27,'NHL2025-26Results'!$F:$F,"")</f>
        <v>2</v>
      </c>
      <c r="L27">
        <f>COUNTIFS('NHL2025-26Results'!$B:$B,A27,'NHL2025-26Results'!$H:$H,A27,'NHL2025-26Results'!$F:$F,"OT") + COUNTIFS('NHL2025-26Results'!$B:$B,A27,'NHL2025-26Results'!$H:$H,A27,'NHL2025-26Results'!$F:$F,"SO")</f>
        <v>2</v>
      </c>
      <c r="M27" s="11">
        <f>Table1[[#This Row],[HomeWins]]/SUM(Table1[[#This Row],[HomeWins]:[HomeOTL]])</f>
        <v>0.61538461538461542</v>
      </c>
      <c r="N27" s="11">
        <f>Table1[[#This Row],[AwayWins]]/SUM(Table1[[#This Row],[AwayWins]:[AwayOTL]])</f>
        <v>0.66666666666666663</v>
      </c>
      <c r="O27" s="14">
        <f>SUMIFS('NHL2025-26Results'!$E:$E,'NHL2025-26Results'!$D:$D,A27,'NHL2025-26Results'!$E:$E,"&gt;0")/COUNTIFS('NHL2025-26Results'!$D:$D,A27,'NHL2025-26Results'!$E:$E,"&gt;0")</f>
        <v>3.0769230769230771</v>
      </c>
      <c r="P27" s="14">
        <f>SUMIFS('NHL2025-26Results'!$C:$C,'NHL2025-26Results'!$B:$B,A27,'NHL2025-26Results'!$C:$C,"&gt;0")/COUNTIFS('NHL2025-26Results'!$B:$B,A27,'NHL2025-26Results'!$C:$C,"&gt;0")</f>
        <v>3.6666666666666665</v>
      </c>
      <c r="Q27" s="14">
        <f>SUMIFS('NHL2025-26Results'!$C:$C,'NHL2025-26Results'!$D:$D,A27,'NHL2025-26Results'!$C:$C,"&gt;0")/COUNTIFS('NHL2025-26Results'!$D:$D,A27,'NHL2025-26Results'!$C:$C,"&gt;0")</f>
        <v>3</v>
      </c>
      <c r="R27" s="14">
        <f>SUMIFS('NHL2025-26Results'!$E:$E,'NHL2025-26Results'!$B:$B,A27,'NHL2025-26Results'!$E:$E,"&gt;0")/COUNTIFS('NHL2025-26Results'!$B:$B,A27,'NHL2025-26Results'!$E:$E,"&gt;0")</f>
        <v>2.4166666666666665</v>
      </c>
    </row>
    <row r="28" spans="1:18" x14ac:dyDescent="0.2">
      <c r="A28" s="4" t="s">
        <v>19</v>
      </c>
      <c r="B28">
        <f>SUM(Table1[[#This Row],[W]:[OTL]])</f>
        <v>25</v>
      </c>
      <c r="C28">
        <f>COUNTIF(NHL2025_26Results[Winning Team],Standings!A28)</f>
        <v>11</v>
      </c>
      <c r="D28">
        <f>COUNTIFS('NHL2025-26Results'!$H:$H,A28,'NHL2025-26Results'!$F:$F,"")</f>
        <v>11</v>
      </c>
      <c r="E28">
        <f>COUNTIFS('NHL2025-26Results'!$F:$F,"OT",'NHL2025-26Results'!$H:$H,A28) + COUNTIFS('NHL2025-26Results'!$F:$F,"SO",'NHL2025-26Results'!$H:$H,A28)</f>
        <v>3</v>
      </c>
      <c r="F28" s="3">
        <f>(Table1[[#This Row],[W]]*2)+Table1[[#This Row],[OTL]]</f>
        <v>25</v>
      </c>
      <c r="G28">
        <f>COUNTIFS('NHL2025-26Results'!$D:$D,A28,'NHL2025-26Results'!$G:$G,A28)</f>
        <v>8</v>
      </c>
      <c r="H28">
        <f>COUNTIFS('NHL2025-26Results'!$D:$D,A28,'NHL2025-26Results'!$H:$H,A28,'NHL2025-26Results'!$F:$F,"")</f>
        <v>4</v>
      </c>
      <c r="I28">
        <f>COUNTIFS('NHL2025-26Results'!$D:$D,A28,'NHL2025-26Results'!$H:$H,A28,'NHL2025-26Results'!$F:$F,"OT") + COUNTIFS('NHL2025-26Results'!$D:$D,A28,'NHL2025-26Results'!$H:$H,A28,'NHL2025-26Results'!$F:$F,"SO")</f>
        <v>3</v>
      </c>
      <c r="J28">
        <f>COUNTIFS('NHL2025-26Results'!$B:$B,A28,'NHL2025-26Results'!$G:$G,A28)</f>
        <v>3</v>
      </c>
      <c r="K28">
        <f>COUNTIFS('NHL2025-26Results'!$B:$B,A28,'NHL2025-26Results'!$H:$H,A28,'NHL2025-26Results'!$F:$F,"")</f>
        <v>7</v>
      </c>
      <c r="L28">
        <f>COUNTIFS('NHL2025-26Results'!$B:$B,A28,'NHL2025-26Results'!$H:$H,A28,'NHL2025-26Results'!$F:$F,"OT") + COUNTIFS('NHL2025-26Results'!$B:$B,A28,'NHL2025-26Results'!$H:$H,A28,'NHL2025-26Results'!$F:$F,"SO")</f>
        <v>0</v>
      </c>
      <c r="M28" s="11">
        <f>Table1[[#This Row],[HomeWins]]/SUM(Table1[[#This Row],[HomeWins]:[HomeOTL]])</f>
        <v>0.53333333333333333</v>
      </c>
      <c r="N28" s="11">
        <f>Table1[[#This Row],[AwayWins]]/SUM(Table1[[#This Row],[AwayWins]:[AwayOTL]])</f>
        <v>0.3</v>
      </c>
      <c r="O28" s="14">
        <f>SUMIFS('NHL2025-26Results'!$E:$E,'NHL2025-26Results'!$D:$D,A28,'NHL2025-26Results'!$E:$E,"&gt;0")/COUNTIFS('NHL2025-26Results'!$D:$D,A28,'NHL2025-26Results'!$E:$E,"&gt;0")</f>
        <v>3.5333333333333332</v>
      </c>
      <c r="P28" s="14">
        <f>SUMIFS('NHL2025-26Results'!$C:$C,'NHL2025-26Results'!$B:$B,A28,'NHL2025-26Results'!$C:$C,"&gt;0")/COUNTIFS('NHL2025-26Results'!$B:$B,A28,'NHL2025-26Results'!$C:$C,"&gt;0")</f>
        <v>3.2</v>
      </c>
      <c r="Q28" s="14">
        <f>SUMIFS('NHL2025-26Results'!$C:$C,'NHL2025-26Results'!$D:$D,A28,'NHL2025-26Results'!$C:$C,"&gt;0")/COUNTIFS('NHL2025-26Results'!$D:$D,A28,'NHL2025-26Results'!$C:$C,"&gt;0")</f>
        <v>3.3333333333333335</v>
      </c>
      <c r="R28" s="14">
        <f>SUMIFS('NHL2025-26Results'!$E:$E,'NHL2025-26Results'!$B:$B,A28,'NHL2025-26Results'!$E:$E,"&gt;0")/COUNTIFS('NHL2025-26Results'!$B:$B,A28,'NHL2025-26Results'!$E:$E,"&gt;0")</f>
        <v>3.9</v>
      </c>
    </row>
    <row r="29" spans="1:18" x14ac:dyDescent="0.2">
      <c r="A29" t="s">
        <v>55</v>
      </c>
      <c r="B29">
        <f>SUM(Table1[[#This Row],[W]:[OTL]])</f>
        <v>27</v>
      </c>
      <c r="C29">
        <f>COUNTIF(NHL2025_26Results[Winning Team],Standings!A29)</f>
        <v>12</v>
      </c>
      <c r="D29">
        <f>COUNTIFS('NHL2025-26Results'!$H:$H,A29,'NHL2025-26Results'!$F:$F,"")</f>
        <v>12</v>
      </c>
      <c r="E29">
        <f>COUNTIFS('NHL2025-26Results'!$F:$F,"OT",'NHL2025-26Results'!$H:$H,A29) + COUNTIFS('NHL2025-26Results'!$F:$F,"SO",'NHL2025-26Results'!$H:$H,A29)</f>
        <v>3</v>
      </c>
      <c r="F29" s="3">
        <f>(Table1[[#This Row],[W]]*2)+Table1[[#This Row],[OTL]]</f>
        <v>27</v>
      </c>
      <c r="G29">
        <f>COUNTIFS('NHL2025-26Results'!$D:$D,A29,'NHL2025-26Results'!$G:$G,A29)</f>
        <v>7</v>
      </c>
      <c r="H29">
        <f>COUNTIFS('NHL2025-26Results'!$D:$D,A29,'NHL2025-26Results'!$H:$H,A29,'NHL2025-26Results'!$F:$F,"")</f>
        <v>3</v>
      </c>
      <c r="I29">
        <f>COUNTIFS('NHL2025-26Results'!$D:$D,A29,'NHL2025-26Results'!$H:$H,A29,'NHL2025-26Results'!$F:$F,"OT") + COUNTIFS('NHL2025-26Results'!$D:$D,A29,'NHL2025-26Results'!$H:$H,A29,'NHL2025-26Results'!$F:$F,"SO")</f>
        <v>1</v>
      </c>
      <c r="J29">
        <f>COUNTIFS('NHL2025-26Results'!$B:$B,A29,'NHL2025-26Results'!$G:$G,A29)</f>
        <v>5</v>
      </c>
      <c r="K29">
        <f>COUNTIFS('NHL2025-26Results'!$B:$B,A29,'NHL2025-26Results'!$H:$H,A29,'NHL2025-26Results'!$F:$F,"")</f>
        <v>9</v>
      </c>
      <c r="L29">
        <f>COUNTIFS('NHL2025-26Results'!$B:$B,A29,'NHL2025-26Results'!$H:$H,A29,'NHL2025-26Results'!$F:$F,"OT") + COUNTIFS('NHL2025-26Results'!$B:$B,A29,'NHL2025-26Results'!$H:$H,A29,'NHL2025-26Results'!$F:$F,"SO")</f>
        <v>2</v>
      </c>
      <c r="M29" s="11">
        <f>Table1[[#This Row],[HomeWins]]/SUM(Table1[[#This Row],[HomeWins]:[HomeOTL]])</f>
        <v>0.63636363636363635</v>
      </c>
      <c r="N29" s="11">
        <f>Table1[[#This Row],[AwayWins]]/SUM(Table1[[#This Row],[AwayWins]:[AwayOTL]])</f>
        <v>0.3125</v>
      </c>
      <c r="O29" s="14">
        <f>SUMIFS('NHL2025-26Results'!$E:$E,'NHL2025-26Results'!$D:$D,A29,'NHL2025-26Results'!$E:$E,"&gt;0")/COUNTIFS('NHL2025-26Results'!$D:$D,A29,'NHL2025-26Results'!$E:$E,"&gt;0")</f>
        <v>3.3636363636363638</v>
      </c>
      <c r="P29" s="14">
        <f>SUMIFS('NHL2025-26Results'!$C:$C,'NHL2025-26Results'!$B:$B,A29,'NHL2025-26Results'!$C:$C,"&gt;0")/COUNTIFS('NHL2025-26Results'!$B:$B,A29,'NHL2025-26Results'!$C:$C,"&gt;0")</f>
        <v>2.8666666666666667</v>
      </c>
      <c r="Q29" s="14">
        <f>SUMIFS('NHL2025-26Results'!$C:$C,'NHL2025-26Results'!$D:$D,A29,'NHL2025-26Results'!$C:$C,"&gt;0")/COUNTIFS('NHL2025-26Results'!$D:$D,A29,'NHL2025-26Results'!$C:$C,"&gt;0")</f>
        <v>2.6363636363636362</v>
      </c>
      <c r="R29" s="14">
        <f>SUMIFS('NHL2025-26Results'!$E:$E,'NHL2025-26Results'!$B:$B,A29,'NHL2025-26Results'!$E:$E,"&gt;0")/COUNTIFS('NHL2025-26Results'!$B:$B,A29,'NHL2025-26Results'!$E:$E,"&gt;0")</f>
        <v>3.375</v>
      </c>
    </row>
    <row r="30" spans="1:18" x14ac:dyDescent="0.2">
      <c r="A30" s="4" t="s">
        <v>38</v>
      </c>
      <c r="B30">
        <f>SUM(Table1[[#This Row],[W]:[OTL]])</f>
        <v>26</v>
      </c>
      <c r="C30">
        <f>COUNTIF(NHL2025_26Results[Winning Team],Standings!A30)</f>
        <v>10</v>
      </c>
      <c r="D30">
        <f>COUNTIFS('NHL2025-26Results'!$H:$H,A30,'NHL2025-26Results'!$F:$F,"")</f>
        <v>13</v>
      </c>
      <c r="E30">
        <f>COUNTIFS('NHL2025-26Results'!$F:$F,"OT",'NHL2025-26Results'!$H:$H,A30) + COUNTIFS('NHL2025-26Results'!$F:$F,"SO",'NHL2025-26Results'!$H:$H,A30)</f>
        <v>3</v>
      </c>
      <c r="F30" s="3">
        <f>(Table1[[#This Row],[W]]*2)+Table1[[#This Row],[OTL]]</f>
        <v>23</v>
      </c>
      <c r="G30">
        <f>COUNTIFS('NHL2025-26Results'!$D:$D,A30,'NHL2025-26Results'!$G:$G,A30)</f>
        <v>3</v>
      </c>
      <c r="H30">
        <f>COUNTIFS('NHL2025-26Results'!$D:$D,A30,'NHL2025-26Results'!$H:$H,A30,'NHL2025-26Results'!$F:$F,"")</f>
        <v>7</v>
      </c>
      <c r="I30">
        <f>COUNTIFS('NHL2025-26Results'!$D:$D,A30,'NHL2025-26Results'!$H:$H,A30,'NHL2025-26Results'!$F:$F,"OT") + COUNTIFS('NHL2025-26Results'!$D:$D,A30,'NHL2025-26Results'!$H:$H,A30,'NHL2025-26Results'!$F:$F,"SO")</f>
        <v>1</v>
      </c>
      <c r="J30">
        <f>COUNTIFS('NHL2025-26Results'!$B:$B,A30,'NHL2025-26Results'!$G:$G,A30)</f>
        <v>7</v>
      </c>
      <c r="K30">
        <f>COUNTIFS('NHL2025-26Results'!$B:$B,A30,'NHL2025-26Results'!$H:$H,A30,'NHL2025-26Results'!$F:$F,"")</f>
        <v>6</v>
      </c>
      <c r="L30">
        <f>COUNTIFS('NHL2025-26Results'!$B:$B,A30,'NHL2025-26Results'!$H:$H,A30,'NHL2025-26Results'!$F:$F,"OT") + COUNTIFS('NHL2025-26Results'!$B:$B,A30,'NHL2025-26Results'!$H:$H,A30,'NHL2025-26Results'!$F:$F,"SO")</f>
        <v>2</v>
      </c>
      <c r="M30" s="11">
        <f>Table1[[#This Row],[HomeWins]]/SUM(Table1[[#This Row],[HomeWins]:[HomeOTL]])</f>
        <v>0.27272727272727271</v>
      </c>
      <c r="N30" s="11">
        <f>Table1[[#This Row],[AwayWins]]/SUM(Table1[[#This Row],[AwayWins]:[AwayOTL]])</f>
        <v>0.46666666666666667</v>
      </c>
      <c r="O30" s="14">
        <f>SUMIFS('NHL2025-26Results'!$E:$E,'NHL2025-26Results'!$D:$D,A30,'NHL2025-26Results'!$E:$E,"&gt;0")/COUNTIFS('NHL2025-26Results'!$D:$D,A30,'NHL2025-26Results'!$E:$E,"&gt;0")</f>
        <v>3.1</v>
      </c>
      <c r="P30" s="14">
        <f>SUMIFS('NHL2025-26Results'!$C:$C,'NHL2025-26Results'!$B:$B,A30,'NHL2025-26Results'!$C:$C,"&gt;0")/COUNTIFS('NHL2025-26Results'!$B:$B,A30,'NHL2025-26Results'!$C:$C,"&gt;0")</f>
        <v>3.2</v>
      </c>
      <c r="Q30" s="14">
        <f>SUMIFS('NHL2025-26Results'!$C:$C,'NHL2025-26Results'!$D:$D,A30,'NHL2025-26Results'!$C:$C,"&gt;0")/COUNTIFS('NHL2025-26Results'!$D:$D,A30,'NHL2025-26Results'!$C:$C,"&gt;0")</f>
        <v>3.8181818181818183</v>
      </c>
      <c r="R30" s="14">
        <f>SUMIFS('NHL2025-26Results'!$E:$E,'NHL2025-26Results'!$B:$B,A30,'NHL2025-26Results'!$E:$E,"&gt;0")/COUNTIFS('NHL2025-26Results'!$B:$B,A30,'NHL2025-26Results'!$E:$E,"&gt;0")</f>
        <v>3.5333333333333332</v>
      </c>
    </row>
    <row r="31" spans="1:18" x14ac:dyDescent="0.2">
      <c r="A31" s="4" t="s">
        <v>20</v>
      </c>
      <c r="B31">
        <f>SUM(Table1[[#This Row],[W]:[OTL]])</f>
        <v>25</v>
      </c>
      <c r="C31">
        <f>COUNTIF(NHL2025_26Results[Winning Team],Standings!A31)</f>
        <v>11</v>
      </c>
      <c r="D31">
        <f>COUNTIFS('NHL2025-26Results'!$H:$H,A31,'NHL2025-26Results'!$F:$F,"")</f>
        <v>6</v>
      </c>
      <c r="E31">
        <f>COUNTIFS('NHL2025-26Results'!$F:$F,"OT",'NHL2025-26Results'!$H:$H,A31) + COUNTIFS('NHL2025-26Results'!$F:$F,"SO",'NHL2025-26Results'!$H:$H,A31)</f>
        <v>8</v>
      </c>
      <c r="F31" s="3">
        <f>(Table1[[#This Row],[W]]*2)+Table1[[#This Row],[OTL]]</f>
        <v>30</v>
      </c>
      <c r="G31">
        <f>COUNTIFS('NHL2025-26Results'!$D:$D,A31,'NHL2025-26Results'!$G:$G,A31)</f>
        <v>6</v>
      </c>
      <c r="H31">
        <f>COUNTIFS('NHL2025-26Results'!$D:$D,A31,'NHL2025-26Results'!$H:$H,A31,'NHL2025-26Results'!$F:$F,"")</f>
        <v>4</v>
      </c>
      <c r="I31">
        <f>COUNTIFS('NHL2025-26Results'!$D:$D,A31,'NHL2025-26Results'!$H:$H,A31,'NHL2025-26Results'!$F:$F,"OT") + COUNTIFS('NHL2025-26Results'!$D:$D,A31,'NHL2025-26Results'!$H:$H,A31,'NHL2025-26Results'!$F:$F,"SO")</f>
        <v>4</v>
      </c>
      <c r="J31">
        <f>COUNTIFS('NHL2025-26Results'!$B:$B,A31,'NHL2025-26Results'!$G:$G,A31)</f>
        <v>5</v>
      </c>
      <c r="K31">
        <f>COUNTIFS('NHL2025-26Results'!$B:$B,A31,'NHL2025-26Results'!$H:$H,A31,'NHL2025-26Results'!$F:$F,"")</f>
        <v>2</v>
      </c>
      <c r="L31">
        <f>COUNTIFS('NHL2025-26Results'!$B:$B,A31,'NHL2025-26Results'!$H:$H,A31,'NHL2025-26Results'!$F:$F,"OT") + COUNTIFS('NHL2025-26Results'!$B:$B,A31,'NHL2025-26Results'!$H:$H,A31,'NHL2025-26Results'!$F:$F,"SO")</f>
        <v>4</v>
      </c>
      <c r="M31" s="11">
        <f>Table1[[#This Row],[HomeWins]]/SUM(Table1[[#This Row],[HomeWins]:[HomeOTL]])</f>
        <v>0.42857142857142855</v>
      </c>
      <c r="N31" s="11">
        <f>Table1[[#This Row],[AwayWins]]/SUM(Table1[[#This Row],[AwayWins]:[AwayOTL]])</f>
        <v>0.45454545454545453</v>
      </c>
      <c r="O31" s="14">
        <f>SUMIFS('NHL2025-26Results'!$E:$E,'NHL2025-26Results'!$D:$D,A31,'NHL2025-26Results'!$E:$E,"&gt;0")/COUNTIFS('NHL2025-26Results'!$D:$D,A31,'NHL2025-26Results'!$E:$E,"&gt;0")</f>
        <v>3.2857142857142856</v>
      </c>
      <c r="P31" s="14">
        <f>SUMIFS('NHL2025-26Results'!$C:$C,'NHL2025-26Results'!$B:$B,A31,'NHL2025-26Results'!$C:$C,"&gt;0")/COUNTIFS('NHL2025-26Results'!$B:$B,A31,'NHL2025-26Results'!$C:$C,"&gt;0")</f>
        <v>3</v>
      </c>
      <c r="Q31" s="14">
        <f>SUMIFS('NHL2025-26Results'!$C:$C,'NHL2025-26Results'!$D:$D,A31,'NHL2025-26Results'!$C:$C,"&gt;0")/COUNTIFS('NHL2025-26Results'!$D:$D,A31,'NHL2025-26Results'!$C:$C,"&gt;0")</f>
        <v>3.6153846153846154</v>
      </c>
      <c r="R31" s="14">
        <f>SUMIFS('NHL2025-26Results'!$E:$E,'NHL2025-26Results'!$B:$B,A31,'NHL2025-26Results'!$E:$E,"&gt;0")/COUNTIFS('NHL2025-26Results'!$B:$B,A31,'NHL2025-26Results'!$E:$E,"&gt;0")</f>
        <v>2.6363636363636362</v>
      </c>
    </row>
    <row r="32" spans="1:18" x14ac:dyDescent="0.2">
      <c r="A32" s="4" t="s">
        <v>22</v>
      </c>
      <c r="B32">
        <f>SUM(Table1[[#This Row],[W]:[OTL]])</f>
        <v>26</v>
      </c>
      <c r="C32">
        <f>COUNTIF(NHL2025_26Results[Winning Team],Standings!A32)</f>
        <v>15</v>
      </c>
      <c r="D32">
        <f>COUNTIFS('NHL2025-26Results'!$H:$H,A32,'NHL2025-26Results'!$F:$F,"")</f>
        <v>9</v>
      </c>
      <c r="E32">
        <f>COUNTIFS('NHL2025-26Results'!$F:$F,"OT",'NHL2025-26Results'!$H:$H,A32) + COUNTIFS('NHL2025-26Results'!$F:$F,"SO",'NHL2025-26Results'!$H:$H,A32)</f>
        <v>2</v>
      </c>
      <c r="F32" s="3">
        <f>(Table1[[#This Row],[W]]*2)+Table1[[#This Row],[OTL]]</f>
        <v>32</v>
      </c>
      <c r="G32">
        <f>COUNTIFS('NHL2025-26Results'!$D:$D,A32,'NHL2025-26Results'!$G:$G,A32)</f>
        <v>9</v>
      </c>
      <c r="H32">
        <f>COUNTIFS('NHL2025-26Results'!$D:$D,A32,'NHL2025-26Results'!$H:$H,A32,'NHL2025-26Results'!$F:$F,"")</f>
        <v>5</v>
      </c>
      <c r="I32">
        <f>COUNTIFS('NHL2025-26Results'!$D:$D,A32,'NHL2025-26Results'!$H:$H,A32,'NHL2025-26Results'!$F:$F,"OT") + COUNTIFS('NHL2025-26Results'!$D:$D,A32,'NHL2025-26Results'!$H:$H,A32,'NHL2025-26Results'!$F:$F,"SO")</f>
        <v>1</v>
      </c>
      <c r="J32">
        <f>COUNTIFS('NHL2025-26Results'!$B:$B,A32,'NHL2025-26Results'!$G:$G,A32)</f>
        <v>6</v>
      </c>
      <c r="K32">
        <f>COUNTIFS('NHL2025-26Results'!$B:$B,A32,'NHL2025-26Results'!$H:$H,A32,'NHL2025-26Results'!$F:$F,"")</f>
        <v>4</v>
      </c>
      <c r="L32">
        <f>COUNTIFS('NHL2025-26Results'!$B:$B,A32,'NHL2025-26Results'!$H:$H,A32,'NHL2025-26Results'!$F:$F,"OT") + COUNTIFS('NHL2025-26Results'!$B:$B,A32,'NHL2025-26Results'!$H:$H,A32,'NHL2025-26Results'!$F:$F,"SO")</f>
        <v>1</v>
      </c>
      <c r="M32" s="11">
        <f>Table1[[#This Row],[HomeWins]]/SUM(Table1[[#This Row],[HomeWins]:[HomeOTL]])</f>
        <v>0.6</v>
      </c>
      <c r="N32" s="11">
        <f>Table1[[#This Row],[AwayWins]]/SUM(Table1[[#This Row],[AwayWins]:[AwayOTL]])</f>
        <v>0.54545454545454541</v>
      </c>
      <c r="O32" s="14">
        <f>SUMIFS('NHL2025-26Results'!$E:$E,'NHL2025-26Results'!$D:$D,A32,'NHL2025-26Results'!$E:$E,"&gt;0")/COUNTIFS('NHL2025-26Results'!$D:$D,A32,'NHL2025-26Results'!$E:$E,"&gt;0")</f>
        <v>3.4</v>
      </c>
      <c r="P32" s="14">
        <f>SUMIFS('NHL2025-26Results'!$C:$C,'NHL2025-26Results'!$B:$B,A32,'NHL2025-26Results'!$C:$C,"&gt;0")/COUNTIFS('NHL2025-26Results'!$B:$B,A32,'NHL2025-26Results'!$C:$C,"&gt;0")</f>
        <v>3.7</v>
      </c>
      <c r="Q32" s="14">
        <f>SUMIFS('NHL2025-26Results'!$C:$C,'NHL2025-26Results'!$D:$D,A32,'NHL2025-26Results'!$C:$C,"&gt;0")/COUNTIFS('NHL2025-26Results'!$D:$D,A32,'NHL2025-26Results'!$C:$C,"&gt;0")</f>
        <v>2.7333333333333334</v>
      </c>
      <c r="R32" s="14">
        <f>SUMIFS('NHL2025-26Results'!$E:$E,'NHL2025-26Results'!$B:$B,A32,'NHL2025-26Results'!$E:$E,"&gt;0")/COUNTIFS('NHL2025-26Results'!$B:$B,A32,'NHL2025-26Results'!$E:$E,"&gt;0")</f>
        <v>2.8</v>
      </c>
    </row>
    <row r="33" spans="1:18" x14ac:dyDescent="0.2">
      <c r="A33" s="4" t="s">
        <v>40</v>
      </c>
      <c r="B33">
        <f>SUM(Table1[[#This Row],[W]:[OTL]])</f>
        <v>25</v>
      </c>
      <c r="C33">
        <f>COUNTIF(NHL2025_26Results[Winning Team],Standings!A33)</f>
        <v>13</v>
      </c>
      <c r="D33">
        <f>COUNTIFS('NHL2025-26Results'!$H:$H,A33,'NHL2025-26Results'!$F:$F,"")</f>
        <v>12</v>
      </c>
      <c r="E33">
        <f>COUNTIFS('NHL2025-26Results'!$F:$F,"OT",'NHL2025-26Results'!$H:$H,A33) + COUNTIFS('NHL2025-26Results'!$F:$F,"SO",'NHL2025-26Results'!$H:$H,A33)</f>
        <v>0</v>
      </c>
      <c r="F33" s="3">
        <f>(Table1[[#This Row],[W]]*2)+Table1[[#This Row],[OTL]]</f>
        <v>26</v>
      </c>
      <c r="G33">
        <f>COUNTIFS('NHL2025-26Results'!$D:$D,A33,'NHL2025-26Results'!$G:$G,A33)</f>
        <v>6</v>
      </c>
      <c r="H33">
        <f>COUNTIFS('NHL2025-26Results'!$D:$D,A33,'NHL2025-26Results'!$H:$H,A33,'NHL2025-26Results'!$F:$F,"")</f>
        <v>5</v>
      </c>
      <c r="I33">
        <f>COUNTIFS('NHL2025-26Results'!$D:$D,A33,'NHL2025-26Results'!$H:$H,A33,'NHL2025-26Results'!$F:$F,"OT") + COUNTIFS('NHL2025-26Results'!$D:$D,A33,'NHL2025-26Results'!$H:$H,A33,'NHL2025-26Results'!$F:$F,"SO")</f>
        <v>0</v>
      </c>
      <c r="J33">
        <f>COUNTIFS('NHL2025-26Results'!$B:$B,A33,'NHL2025-26Results'!$G:$G,A33)</f>
        <v>7</v>
      </c>
      <c r="K33">
        <f>COUNTIFS('NHL2025-26Results'!$B:$B,A33,'NHL2025-26Results'!$H:$H,A33,'NHL2025-26Results'!$F:$F,"")</f>
        <v>7</v>
      </c>
      <c r="L33">
        <f>COUNTIFS('NHL2025-26Results'!$B:$B,A33,'NHL2025-26Results'!$H:$H,A33,'NHL2025-26Results'!$F:$F,"OT") + COUNTIFS('NHL2025-26Results'!$B:$B,A33,'NHL2025-26Results'!$H:$H,A33,'NHL2025-26Results'!$F:$F,"SO")</f>
        <v>0</v>
      </c>
      <c r="M33" s="11">
        <f>Table1[[#This Row],[HomeWins]]/SUM(Table1[[#This Row],[HomeWins]:[HomeOTL]])</f>
        <v>0.54545454545454541</v>
      </c>
      <c r="N33" s="11">
        <f>Table1[[#This Row],[AwayWins]]/SUM(Table1[[#This Row],[AwayWins]:[AwayOTL]])</f>
        <v>0.5</v>
      </c>
      <c r="O33" s="14">
        <f>SUMIFS('NHL2025-26Results'!$E:$E,'NHL2025-26Results'!$D:$D,A33,'NHL2025-26Results'!$E:$E,"&gt;0")/COUNTIFS('NHL2025-26Results'!$D:$D,A33,'NHL2025-26Results'!$E:$E,"&gt;0")</f>
        <v>4.1111111111111107</v>
      </c>
      <c r="P33" s="14">
        <f>SUMIFS('NHL2025-26Results'!$C:$C,'NHL2025-26Results'!$B:$B,A33,'NHL2025-26Results'!$C:$C,"&gt;0")/COUNTIFS('NHL2025-26Results'!$B:$B,A33,'NHL2025-26Results'!$C:$C,"&gt;0")</f>
        <v>3.0769230769230771</v>
      </c>
      <c r="Q33" s="14">
        <f>SUMIFS('NHL2025-26Results'!$C:$C,'NHL2025-26Results'!$D:$D,A33,'NHL2025-26Results'!$C:$C,"&gt;0")/COUNTIFS('NHL2025-26Results'!$D:$D,A33,'NHL2025-26Results'!$C:$C,"&gt;0")</f>
        <v>2.8181818181818183</v>
      </c>
      <c r="R33" s="14">
        <f>SUMIFS('NHL2025-26Results'!$E:$E,'NHL2025-26Results'!$B:$B,A33,'NHL2025-26Results'!$E:$E,"&gt;0")/COUNTIFS('NHL2025-26Results'!$B:$B,A33,'NHL2025-26Results'!$E:$E,"&gt;0")</f>
        <v>3.1428571428571428</v>
      </c>
    </row>
    <row r="35" spans="1:18" x14ac:dyDescent="0.2">
      <c r="O35" s="14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757691-E514-6B4C-9563-56D36E7A2768}">
  <dimension ref="A1:AA1313"/>
  <sheetViews>
    <sheetView tabSelected="1" topLeftCell="A390" zoomScale="75" workbookViewId="0">
      <selection activeCell="D425" sqref="D425"/>
    </sheetView>
  </sheetViews>
  <sheetFormatPr baseColWidth="10" defaultRowHeight="16" x14ac:dyDescent="0.2"/>
  <cols>
    <col min="1" max="2" width="14" bestFit="1" customWidth="1"/>
    <col min="3" max="4" width="20.6640625" bestFit="1" customWidth="1"/>
    <col min="5" max="5" width="41.6640625" bestFit="1" customWidth="1"/>
    <col min="6" max="6" width="20.6640625" bestFit="1" customWidth="1"/>
    <col min="7" max="7" width="17.33203125" bestFit="1" customWidth="1"/>
    <col min="8" max="8" width="18.1640625" bestFit="1" customWidth="1"/>
    <col min="9" max="9" width="17.33203125" style="13" bestFit="1" customWidth="1"/>
    <col min="10" max="10" width="9.5" bestFit="1" customWidth="1"/>
    <col min="11" max="11" width="14.33203125" style="18" bestFit="1" customWidth="1"/>
    <col min="12" max="12" width="13.6640625" bestFit="1" customWidth="1"/>
    <col min="13" max="13" width="59.6640625" bestFit="1" customWidth="1"/>
    <col min="14" max="14" width="20.6640625" bestFit="1" customWidth="1"/>
    <col min="15" max="15" width="19.6640625" bestFit="1" customWidth="1"/>
    <col min="16" max="16" width="20.6640625" bestFit="1" customWidth="1"/>
    <col min="17" max="17" width="19.6640625" style="13" bestFit="1" customWidth="1"/>
    <col min="18" max="18" width="12" bestFit="1" customWidth="1"/>
    <col min="19" max="19" width="17.5" bestFit="1" customWidth="1"/>
    <col min="20" max="20" width="16.1640625" bestFit="1" customWidth="1"/>
    <col min="21" max="21" width="20.6640625" bestFit="1" customWidth="1"/>
    <col min="22" max="22" width="20.1640625" bestFit="1" customWidth="1"/>
    <col min="23" max="23" width="21" bestFit="1" customWidth="1"/>
    <col min="24" max="24" width="12.33203125" bestFit="1" customWidth="1"/>
    <col min="25" max="25" width="15.33203125" bestFit="1" customWidth="1"/>
    <col min="26" max="27" width="20" bestFit="1" customWidth="1"/>
  </cols>
  <sheetData>
    <row r="1" spans="1:27" x14ac:dyDescent="0.2">
      <c r="A1" t="s">
        <v>272</v>
      </c>
      <c r="B1" t="s">
        <v>260</v>
      </c>
      <c r="C1" t="s">
        <v>262</v>
      </c>
      <c r="D1" t="s">
        <v>261</v>
      </c>
      <c r="E1" t="s">
        <v>273</v>
      </c>
      <c r="F1" t="s">
        <v>274</v>
      </c>
      <c r="G1" t="s">
        <v>275</v>
      </c>
      <c r="H1" t="s">
        <v>276</v>
      </c>
      <c r="I1" s="13" t="s">
        <v>263</v>
      </c>
      <c r="J1" t="s">
        <v>277</v>
      </c>
      <c r="K1" s="13" t="s">
        <v>278</v>
      </c>
      <c r="L1" t="s">
        <v>266</v>
      </c>
      <c r="M1" t="s">
        <v>279</v>
      </c>
      <c r="N1" t="s">
        <v>280</v>
      </c>
      <c r="O1" t="s">
        <v>281</v>
      </c>
      <c r="P1" t="s">
        <v>282</v>
      </c>
      <c r="Q1" s="13" t="s">
        <v>264</v>
      </c>
      <c r="R1" t="s">
        <v>283</v>
      </c>
      <c r="S1" t="s">
        <v>284</v>
      </c>
      <c r="T1" t="s">
        <v>267</v>
      </c>
      <c r="U1" t="s">
        <v>265</v>
      </c>
      <c r="V1" t="s">
        <v>271</v>
      </c>
      <c r="W1" t="s">
        <v>270</v>
      </c>
      <c r="X1" t="s">
        <v>285</v>
      </c>
      <c r="Y1" t="s">
        <v>286</v>
      </c>
      <c r="Z1" t="s">
        <v>287</v>
      </c>
      <c r="AA1" t="s">
        <v>288</v>
      </c>
    </row>
    <row r="2" spans="1:27" x14ac:dyDescent="0.2">
      <c r="A2" s="20" t="s">
        <v>176</v>
      </c>
      <c r="B2" s="20" t="s">
        <v>365</v>
      </c>
      <c r="C2" s="20" t="s">
        <v>10</v>
      </c>
      <c r="D2" s="20" t="s">
        <v>11</v>
      </c>
      <c r="E2" s="20" t="s">
        <v>488</v>
      </c>
      <c r="F2" s="20" t="s">
        <v>10</v>
      </c>
      <c r="G2" s="20">
        <v>2</v>
      </c>
      <c r="H2" s="20">
        <v>3</v>
      </c>
      <c r="I2" s="13">
        <v>0.6</v>
      </c>
      <c r="J2" s="20" t="s">
        <v>249</v>
      </c>
      <c r="L2" s="20" t="s">
        <v>249</v>
      </c>
      <c r="M2" s="20" t="s">
        <v>489</v>
      </c>
      <c r="N2" s="20" t="s">
        <v>10</v>
      </c>
      <c r="O2" s="20">
        <v>2</v>
      </c>
      <c r="P2" s="20">
        <v>3</v>
      </c>
      <c r="Q2" s="13">
        <v>0.46595263884762023</v>
      </c>
      <c r="R2" s="20" t="s">
        <v>249</v>
      </c>
      <c r="S2" s="20">
        <v>-0.17102128695663041</v>
      </c>
      <c r="T2" s="20" t="s">
        <v>249</v>
      </c>
      <c r="U2" s="20" t="s">
        <v>11</v>
      </c>
      <c r="V2" s="20">
        <v>2</v>
      </c>
      <c r="W2" s="20">
        <v>3</v>
      </c>
      <c r="X2" s="20" t="s">
        <v>490</v>
      </c>
      <c r="Y2" s="20" t="s">
        <v>292</v>
      </c>
      <c r="Z2" s="20" t="s">
        <v>60</v>
      </c>
      <c r="AA2" s="20" t="s">
        <v>491</v>
      </c>
    </row>
    <row r="3" spans="1:27" x14ac:dyDescent="0.2">
      <c r="A3" s="20" t="s">
        <v>176</v>
      </c>
      <c r="B3" s="20" t="s">
        <v>340</v>
      </c>
      <c r="C3" s="20" t="s">
        <v>12</v>
      </c>
      <c r="D3" s="20" t="s">
        <v>13</v>
      </c>
      <c r="E3" s="20" t="s">
        <v>492</v>
      </c>
      <c r="F3" s="20" t="s">
        <v>12</v>
      </c>
      <c r="G3" s="20">
        <v>2</v>
      </c>
      <c r="H3" s="20">
        <v>3</v>
      </c>
      <c r="I3" s="13">
        <v>0.6</v>
      </c>
      <c r="J3" s="20" t="s">
        <v>249</v>
      </c>
      <c r="L3" s="20" t="s">
        <v>248</v>
      </c>
      <c r="M3" s="20" t="s">
        <v>361</v>
      </c>
      <c r="N3" s="20" t="s">
        <v>12</v>
      </c>
      <c r="O3" s="20">
        <v>2</v>
      </c>
      <c r="P3" s="20">
        <v>3</v>
      </c>
      <c r="Q3" s="13">
        <v>0.7568449603440992</v>
      </c>
      <c r="R3" s="20" t="s">
        <v>249</v>
      </c>
      <c r="S3" s="20">
        <v>-1.920286508181027</v>
      </c>
      <c r="T3" s="20" t="s">
        <v>248</v>
      </c>
      <c r="U3" s="20" t="s">
        <v>12</v>
      </c>
      <c r="V3" s="20">
        <v>4</v>
      </c>
      <c r="W3" s="20">
        <v>1</v>
      </c>
      <c r="X3" s="20" t="s">
        <v>490</v>
      </c>
      <c r="Y3" s="20" t="s">
        <v>292</v>
      </c>
      <c r="Z3" s="20" t="s">
        <v>60</v>
      </c>
      <c r="AA3" s="20" t="s">
        <v>491</v>
      </c>
    </row>
    <row r="4" spans="1:27" x14ac:dyDescent="0.2">
      <c r="A4" s="20" t="s">
        <v>176</v>
      </c>
      <c r="B4" s="20" t="s">
        <v>324</v>
      </c>
      <c r="C4" s="20" t="s">
        <v>14</v>
      </c>
      <c r="D4" s="20" t="s">
        <v>15</v>
      </c>
      <c r="E4" s="20" t="s">
        <v>493</v>
      </c>
      <c r="F4" s="20" t="s">
        <v>14</v>
      </c>
      <c r="G4" s="20">
        <v>2</v>
      </c>
      <c r="H4" s="20">
        <v>3</v>
      </c>
      <c r="I4" s="13">
        <v>0.6</v>
      </c>
      <c r="J4" s="20" t="s">
        <v>249</v>
      </c>
      <c r="L4" s="20" t="s">
        <v>248</v>
      </c>
      <c r="M4" s="20" t="s">
        <v>451</v>
      </c>
      <c r="N4" s="20" t="s">
        <v>14</v>
      </c>
      <c r="O4" s="20">
        <v>2</v>
      </c>
      <c r="P4" s="20">
        <v>3</v>
      </c>
      <c r="Q4" s="13">
        <v>0.51071438506573652</v>
      </c>
      <c r="R4" s="20" t="s">
        <v>249</v>
      </c>
      <c r="S4" s="20">
        <v>-9.7869013995290133E-2</v>
      </c>
      <c r="T4" s="20" t="s">
        <v>248</v>
      </c>
      <c r="U4" s="20" t="s">
        <v>14</v>
      </c>
      <c r="V4" s="20">
        <v>3</v>
      </c>
      <c r="W4" s="20">
        <v>0</v>
      </c>
      <c r="X4" s="20" t="s">
        <v>490</v>
      </c>
      <c r="Y4" s="20" t="s">
        <v>292</v>
      </c>
      <c r="Z4" s="20" t="s">
        <v>60</v>
      </c>
      <c r="AA4" s="20" t="s">
        <v>491</v>
      </c>
    </row>
    <row r="5" spans="1:27" x14ac:dyDescent="0.2">
      <c r="A5" s="20" t="s">
        <v>177</v>
      </c>
      <c r="B5" s="20" t="s">
        <v>322</v>
      </c>
      <c r="C5" s="20" t="s">
        <v>16</v>
      </c>
      <c r="D5" s="20" t="s">
        <v>17</v>
      </c>
      <c r="E5" s="20" t="s">
        <v>494</v>
      </c>
      <c r="F5" s="20" t="s">
        <v>17</v>
      </c>
      <c r="G5" s="20">
        <v>2</v>
      </c>
      <c r="H5" s="20">
        <v>3</v>
      </c>
      <c r="I5" s="13">
        <v>0.6</v>
      </c>
      <c r="J5" s="20" t="s">
        <v>249</v>
      </c>
      <c r="L5" s="20" t="s">
        <v>249</v>
      </c>
      <c r="M5" s="20" t="s">
        <v>495</v>
      </c>
      <c r="N5" s="20" t="s">
        <v>17</v>
      </c>
      <c r="O5" s="20">
        <v>2</v>
      </c>
      <c r="P5" s="20">
        <v>3</v>
      </c>
      <c r="Q5" s="13">
        <v>0.58183430278759984</v>
      </c>
      <c r="R5" s="20" t="s">
        <v>249</v>
      </c>
      <c r="S5" s="20">
        <v>0.29793536373026153</v>
      </c>
      <c r="T5" s="20" t="s">
        <v>249</v>
      </c>
      <c r="U5" s="20" t="s">
        <v>16</v>
      </c>
      <c r="V5" s="20">
        <v>4</v>
      </c>
      <c r="W5" s="20">
        <v>3</v>
      </c>
      <c r="X5" s="20" t="s">
        <v>496</v>
      </c>
      <c r="Y5" s="20" t="s">
        <v>292</v>
      </c>
      <c r="Z5" s="20" t="s">
        <v>60</v>
      </c>
      <c r="AA5" s="20" t="s">
        <v>491</v>
      </c>
    </row>
    <row r="6" spans="1:27" x14ac:dyDescent="0.2">
      <c r="A6" s="20" t="s">
        <v>177</v>
      </c>
      <c r="B6" s="20" t="s">
        <v>328</v>
      </c>
      <c r="C6" s="20" t="s">
        <v>18</v>
      </c>
      <c r="D6" s="20" t="s">
        <v>19</v>
      </c>
      <c r="E6" s="20" t="s">
        <v>497</v>
      </c>
      <c r="F6" s="20" t="s">
        <v>19</v>
      </c>
      <c r="G6" s="20">
        <v>2</v>
      </c>
      <c r="H6" s="20">
        <v>3</v>
      </c>
      <c r="I6" s="13">
        <v>0.6</v>
      </c>
      <c r="J6" s="20" t="s">
        <v>249</v>
      </c>
      <c r="L6" s="20" t="s">
        <v>248</v>
      </c>
      <c r="M6" s="20" t="s">
        <v>312</v>
      </c>
      <c r="N6" s="20" t="s">
        <v>19</v>
      </c>
      <c r="O6" s="20">
        <v>2</v>
      </c>
      <c r="P6" s="20">
        <v>3</v>
      </c>
      <c r="Q6" s="13">
        <v>0.48168268984656842</v>
      </c>
      <c r="R6" s="20" t="s">
        <v>249</v>
      </c>
      <c r="S6" s="20">
        <v>8.3117858780070719E-3</v>
      </c>
      <c r="T6" s="20" t="s">
        <v>248</v>
      </c>
      <c r="U6" s="20" t="s">
        <v>19</v>
      </c>
      <c r="V6" s="20">
        <v>2</v>
      </c>
      <c r="W6" s="20">
        <v>5</v>
      </c>
      <c r="X6" s="20" t="s">
        <v>490</v>
      </c>
      <c r="Y6" s="20" t="s">
        <v>292</v>
      </c>
      <c r="Z6" s="20" t="s">
        <v>60</v>
      </c>
      <c r="AA6" s="20" t="s">
        <v>491</v>
      </c>
    </row>
    <row r="7" spans="1:27" x14ac:dyDescent="0.2">
      <c r="A7" s="20" t="s">
        <v>177</v>
      </c>
      <c r="B7" s="20" t="s">
        <v>322</v>
      </c>
      <c r="C7" s="20" t="s">
        <v>13</v>
      </c>
      <c r="D7" s="20" t="s">
        <v>20</v>
      </c>
      <c r="E7" s="20" t="s">
        <v>498</v>
      </c>
      <c r="F7" s="20" t="s">
        <v>20</v>
      </c>
      <c r="G7" s="20">
        <v>2</v>
      </c>
      <c r="H7" s="20">
        <v>3</v>
      </c>
      <c r="I7" s="13">
        <v>0.6</v>
      </c>
      <c r="J7" s="20" t="s">
        <v>249</v>
      </c>
      <c r="L7" s="20" t="s">
        <v>249</v>
      </c>
      <c r="M7" s="20" t="s">
        <v>499</v>
      </c>
      <c r="N7" s="20" t="s">
        <v>20</v>
      </c>
      <c r="O7" s="20">
        <v>2</v>
      </c>
      <c r="P7" s="20">
        <v>3</v>
      </c>
      <c r="Q7" s="13">
        <v>0.49046838767162682</v>
      </c>
      <c r="R7" s="20" t="s">
        <v>249</v>
      </c>
      <c r="S7" s="20">
        <v>0.14374351727973969</v>
      </c>
      <c r="T7" s="20" t="s">
        <v>249</v>
      </c>
      <c r="U7" s="20" t="s">
        <v>13</v>
      </c>
      <c r="V7" s="20">
        <v>6</v>
      </c>
      <c r="W7" s="20">
        <v>5</v>
      </c>
      <c r="X7" s="20" t="s">
        <v>496</v>
      </c>
      <c r="Y7" s="20" t="s">
        <v>292</v>
      </c>
      <c r="Z7" s="20" t="s">
        <v>60</v>
      </c>
      <c r="AA7" s="20" t="s">
        <v>491</v>
      </c>
    </row>
    <row r="8" spans="1:27" x14ac:dyDescent="0.2">
      <c r="A8" s="20" t="s">
        <v>177</v>
      </c>
      <c r="B8" s="20" t="s">
        <v>334</v>
      </c>
      <c r="C8" s="20" t="s">
        <v>21</v>
      </c>
      <c r="D8" s="20" t="s">
        <v>22</v>
      </c>
      <c r="E8" s="20" t="s">
        <v>500</v>
      </c>
      <c r="F8" s="20" t="s">
        <v>22</v>
      </c>
      <c r="G8" s="20">
        <v>2</v>
      </c>
      <c r="H8" s="20">
        <v>3</v>
      </c>
      <c r="I8" s="13">
        <v>0.6</v>
      </c>
      <c r="J8" s="20" t="s">
        <v>249</v>
      </c>
      <c r="L8" s="20" t="s">
        <v>249</v>
      </c>
      <c r="M8" s="20" t="s">
        <v>501</v>
      </c>
      <c r="N8" s="20" t="s">
        <v>22</v>
      </c>
      <c r="O8" s="20">
        <v>2</v>
      </c>
      <c r="P8" s="20">
        <v>3</v>
      </c>
      <c r="Q8" s="13">
        <v>0.64816447713626768</v>
      </c>
      <c r="R8" s="20" t="s">
        <v>249</v>
      </c>
      <c r="S8" s="20">
        <v>0.710377742224651</v>
      </c>
      <c r="T8" s="20" t="s">
        <v>249</v>
      </c>
      <c r="U8" s="20" t="s">
        <v>21</v>
      </c>
      <c r="V8" s="20">
        <v>3</v>
      </c>
      <c r="W8" s="20">
        <v>1</v>
      </c>
      <c r="X8" s="20" t="s">
        <v>490</v>
      </c>
      <c r="Y8" s="20" t="s">
        <v>292</v>
      </c>
      <c r="Z8" s="20" t="s">
        <v>60</v>
      </c>
      <c r="AA8" s="20" t="s">
        <v>491</v>
      </c>
    </row>
    <row r="9" spans="1:27" x14ac:dyDescent="0.2">
      <c r="A9" s="20" t="s">
        <v>178</v>
      </c>
      <c r="B9" s="20" t="s">
        <v>324</v>
      </c>
      <c r="C9" s="20" t="s">
        <v>28</v>
      </c>
      <c r="D9" s="20" t="s">
        <v>29</v>
      </c>
      <c r="E9" s="20" t="s">
        <v>502</v>
      </c>
      <c r="F9" s="20" t="s">
        <v>28</v>
      </c>
      <c r="G9" s="20">
        <v>2</v>
      </c>
      <c r="H9" s="20">
        <v>3</v>
      </c>
      <c r="I9" s="13">
        <v>0.6</v>
      </c>
      <c r="J9" s="20" t="s">
        <v>249</v>
      </c>
      <c r="L9" s="20" t="s">
        <v>249</v>
      </c>
      <c r="M9" s="20" t="s">
        <v>503</v>
      </c>
      <c r="N9" s="20" t="s">
        <v>28</v>
      </c>
      <c r="O9" s="20">
        <v>2</v>
      </c>
      <c r="P9" s="20">
        <v>3</v>
      </c>
      <c r="Q9" s="13">
        <v>0.54998524845144892</v>
      </c>
      <c r="R9" s="20" t="s">
        <v>249</v>
      </c>
      <c r="S9" s="20">
        <v>-0.74002713053635827</v>
      </c>
      <c r="T9" s="20" t="s">
        <v>249</v>
      </c>
      <c r="U9" s="20" t="s">
        <v>29</v>
      </c>
      <c r="V9" s="20">
        <v>1</v>
      </c>
      <c r="W9" s="20">
        <v>2</v>
      </c>
      <c r="X9" s="20" t="s">
        <v>490</v>
      </c>
      <c r="Y9" s="20" t="s">
        <v>292</v>
      </c>
      <c r="Z9" s="20" t="s">
        <v>60</v>
      </c>
      <c r="AA9" s="20" t="s">
        <v>491</v>
      </c>
    </row>
    <row r="10" spans="1:27" x14ac:dyDescent="0.2">
      <c r="A10" s="20" t="s">
        <v>178</v>
      </c>
      <c r="B10" s="20" t="s">
        <v>324</v>
      </c>
      <c r="C10" s="20" t="s">
        <v>39</v>
      </c>
      <c r="D10" s="20" t="s">
        <v>40</v>
      </c>
      <c r="E10" s="20" t="s">
        <v>504</v>
      </c>
      <c r="F10" s="20" t="s">
        <v>39</v>
      </c>
      <c r="G10" s="20">
        <v>2</v>
      </c>
      <c r="H10" s="20">
        <v>3</v>
      </c>
      <c r="I10" s="13">
        <v>0.6</v>
      </c>
      <c r="J10" s="20" t="s">
        <v>249</v>
      </c>
      <c r="L10" s="20" t="s">
        <v>248</v>
      </c>
      <c r="M10" s="20" t="s">
        <v>398</v>
      </c>
      <c r="N10" s="20" t="s">
        <v>39</v>
      </c>
      <c r="O10" s="20">
        <v>2</v>
      </c>
      <c r="P10" s="20">
        <v>3</v>
      </c>
      <c r="Q10" s="13">
        <v>0.63834650509244772</v>
      </c>
      <c r="R10" s="20" t="s">
        <v>249</v>
      </c>
      <c r="S10" s="20">
        <v>-0.67678357671474887</v>
      </c>
      <c r="T10" s="20" t="s">
        <v>248</v>
      </c>
      <c r="U10" s="20" t="s">
        <v>39</v>
      </c>
      <c r="V10" s="20">
        <v>5</v>
      </c>
      <c r="W10" s="20">
        <v>4</v>
      </c>
      <c r="X10" s="20" t="s">
        <v>490</v>
      </c>
      <c r="Y10" s="20" t="s">
        <v>292</v>
      </c>
      <c r="Z10" s="20" t="s">
        <v>60</v>
      </c>
      <c r="AA10" s="20" t="s">
        <v>491</v>
      </c>
    </row>
    <row r="11" spans="1:27" x14ac:dyDescent="0.2">
      <c r="A11" s="20" t="s">
        <v>178</v>
      </c>
      <c r="B11" s="20" t="s">
        <v>322</v>
      </c>
      <c r="C11" s="20" t="s">
        <v>16</v>
      </c>
      <c r="D11" s="20" t="s">
        <v>38</v>
      </c>
      <c r="E11" s="20" t="s">
        <v>368</v>
      </c>
      <c r="F11" s="20" t="s">
        <v>38</v>
      </c>
      <c r="G11" s="20">
        <v>2</v>
      </c>
      <c r="H11" s="20">
        <v>3</v>
      </c>
      <c r="I11" s="13">
        <v>0.6</v>
      </c>
      <c r="J11" s="20" t="s">
        <v>249</v>
      </c>
      <c r="L11" s="20" t="s">
        <v>248</v>
      </c>
      <c r="M11" s="20" t="s">
        <v>505</v>
      </c>
      <c r="N11" s="20" t="s">
        <v>38</v>
      </c>
      <c r="O11" s="20">
        <v>2</v>
      </c>
      <c r="P11" s="20">
        <v>3</v>
      </c>
      <c r="Q11" s="13">
        <v>0.55961697842215075</v>
      </c>
      <c r="R11" s="20" t="s">
        <v>249</v>
      </c>
      <c r="S11" s="20">
        <v>0.16800427285697919</v>
      </c>
      <c r="T11" s="20" t="s">
        <v>248</v>
      </c>
      <c r="U11" s="20" t="s">
        <v>38</v>
      </c>
      <c r="V11" s="20">
        <v>1</v>
      </c>
      <c r="W11" s="20">
        <v>5</v>
      </c>
      <c r="X11" s="20" t="s">
        <v>490</v>
      </c>
      <c r="Y11" s="20" t="s">
        <v>292</v>
      </c>
      <c r="Z11" s="20" t="s">
        <v>60</v>
      </c>
      <c r="AA11" s="20" t="s">
        <v>491</v>
      </c>
    </row>
    <row r="12" spans="1:27" x14ac:dyDescent="0.2">
      <c r="A12" s="20" t="s">
        <v>178</v>
      </c>
      <c r="B12" s="20" t="s">
        <v>328</v>
      </c>
      <c r="C12" s="20" t="s">
        <v>36</v>
      </c>
      <c r="D12" s="20" t="s">
        <v>37</v>
      </c>
      <c r="E12" s="20" t="s">
        <v>506</v>
      </c>
      <c r="F12" s="20" t="s">
        <v>37</v>
      </c>
      <c r="G12" s="20">
        <v>2</v>
      </c>
      <c r="H12" s="20">
        <v>3</v>
      </c>
      <c r="I12" s="13">
        <v>0.6</v>
      </c>
      <c r="J12" s="20" t="s">
        <v>249</v>
      </c>
      <c r="L12" s="20" t="s">
        <v>249</v>
      </c>
      <c r="M12" s="20" t="s">
        <v>507</v>
      </c>
      <c r="N12" s="20" t="s">
        <v>37</v>
      </c>
      <c r="O12" s="20">
        <v>2</v>
      </c>
      <c r="P12" s="20">
        <v>3</v>
      </c>
      <c r="Q12" s="13">
        <v>0.69972769826475267</v>
      </c>
      <c r="R12" s="20" t="s">
        <v>249</v>
      </c>
      <c r="S12" s="20">
        <v>1.0917817465346049</v>
      </c>
      <c r="T12" s="20" t="s">
        <v>249</v>
      </c>
      <c r="U12" s="20" t="s">
        <v>36</v>
      </c>
      <c r="V12" s="20">
        <v>5</v>
      </c>
      <c r="W12" s="20">
        <v>4</v>
      </c>
      <c r="X12" s="20" t="s">
        <v>490</v>
      </c>
      <c r="Y12" s="20" t="s">
        <v>292</v>
      </c>
      <c r="Z12" s="20" t="s">
        <v>60</v>
      </c>
      <c r="AA12" s="20" t="s">
        <v>491</v>
      </c>
    </row>
    <row r="13" spans="1:27" x14ac:dyDescent="0.2">
      <c r="A13" s="20" t="s">
        <v>178</v>
      </c>
      <c r="B13" s="20" t="s">
        <v>324</v>
      </c>
      <c r="C13" s="20" t="s">
        <v>34</v>
      </c>
      <c r="D13" s="20" t="s">
        <v>35</v>
      </c>
      <c r="E13" s="20" t="s">
        <v>508</v>
      </c>
      <c r="F13" s="20" t="s">
        <v>34</v>
      </c>
      <c r="G13" s="20">
        <v>2</v>
      </c>
      <c r="H13" s="20">
        <v>3</v>
      </c>
      <c r="I13" s="13">
        <v>0.6</v>
      </c>
      <c r="J13" s="20" t="s">
        <v>249</v>
      </c>
      <c r="L13" s="20" t="s">
        <v>248</v>
      </c>
      <c r="M13" s="20" t="s">
        <v>343</v>
      </c>
      <c r="N13" s="20" t="s">
        <v>34</v>
      </c>
      <c r="O13" s="20">
        <v>2</v>
      </c>
      <c r="P13" s="20">
        <v>3</v>
      </c>
      <c r="Q13" s="13">
        <v>0.65307521233305632</v>
      </c>
      <c r="R13" s="20" t="s">
        <v>249</v>
      </c>
      <c r="S13" s="20">
        <v>-1.2894528355750809</v>
      </c>
      <c r="T13" s="20" t="s">
        <v>248</v>
      </c>
      <c r="U13" s="20" t="s">
        <v>34</v>
      </c>
      <c r="V13" s="20">
        <v>5</v>
      </c>
      <c r="W13" s="20">
        <v>0</v>
      </c>
      <c r="X13" s="20" t="s">
        <v>490</v>
      </c>
      <c r="Y13" s="20" t="s">
        <v>292</v>
      </c>
      <c r="Z13" s="20" t="s">
        <v>60</v>
      </c>
      <c r="AA13" s="20" t="s">
        <v>491</v>
      </c>
    </row>
    <row r="14" spans="1:27" x14ac:dyDescent="0.2">
      <c r="A14" s="20" t="s">
        <v>178</v>
      </c>
      <c r="B14" s="20" t="s">
        <v>322</v>
      </c>
      <c r="C14" s="20" t="s">
        <v>20</v>
      </c>
      <c r="D14" s="20" t="s">
        <v>33</v>
      </c>
      <c r="E14" s="20" t="s">
        <v>509</v>
      </c>
      <c r="F14" s="20" t="s">
        <v>20</v>
      </c>
      <c r="G14" s="20">
        <v>2</v>
      </c>
      <c r="H14" s="20">
        <v>3</v>
      </c>
      <c r="I14" s="13">
        <v>0.6</v>
      </c>
      <c r="J14" s="20" t="s">
        <v>249</v>
      </c>
      <c r="L14" s="20" t="s">
        <v>248</v>
      </c>
      <c r="M14" s="20" t="s">
        <v>510</v>
      </c>
      <c r="N14" s="20" t="s">
        <v>20</v>
      </c>
      <c r="O14" s="20">
        <v>2</v>
      </c>
      <c r="P14" s="20">
        <v>3</v>
      </c>
      <c r="Q14" s="13">
        <v>0.46820858159353201</v>
      </c>
      <c r="R14" s="20" t="s">
        <v>249</v>
      </c>
      <c r="S14" s="20">
        <v>-0.1569894131384445</v>
      </c>
      <c r="T14" s="20" t="s">
        <v>248</v>
      </c>
      <c r="U14" s="20" t="s">
        <v>20</v>
      </c>
      <c r="V14" s="20">
        <v>4</v>
      </c>
      <c r="W14" s="20">
        <v>3</v>
      </c>
      <c r="X14" s="20" t="s">
        <v>496</v>
      </c>
      <c r="Y14" s="20" t="s">
        <v>292</v>
      </c>
      <c r="Z14" s="20" t="s">
        <v>60</v>
      </c>
      <c r="AA14" s="20" t="s">
        <v>491</v>
      </c>
    </row>
    <row r="15" spans="1:27" x14ac:dyDescent="0.2">
      <c r="A15" s="20" t="s">
        <v>178</v>
      </c>
      <c r="B15" s="20" t="s">
        <v>322</v>
      </c>
      <c r="C15" s="20" t="s">
        <v>31</v>
      </c>
      <c r="D15" s="20" t="s">
        <v>32</v>
      </c>
      <c r="E15" s="20" t="s">
        <v>511</v>
      </c>
      <c r="F15" s="20" t="s">
        <v>31</v>
      </c>
      <c r="G15" s="20">
        <v>2</v>
      </c>
      <c r="H15" s="20">
        <v>3</v>
      </c>
      <c r="I15" s="13">
        <v>0.6</v>
      </c>
      <c r="J15" s="20" t="s">
        <v>249</v>
      </c>
      <c r="L15" s="20" t="s">
        <v>249</v>
      </c>
      <c r="M15" s="20" t="s">
        <v>512</v>
      </c>
      <c r="N15" s="20" t="s">
        <v>31</v>
      </c>
      <c r="O15" s="20">
        <v>2</v>
      </c>
      <c r="P15" s="20">
        <v>3</v>
      </c>
      <c r="Q15" s="13">
        <v>0.57163317346074072</v>
      </c>
      <c r="R15" s="20" t="s">
        <v>249</v>
      </c>
      <c r="S15" s="20">
        <v>-0.77817950819419379</v>
      </c>
      <c r="T15" s="20" t="s">
        <v>249</v>
      </c>
      <c r="U15" s="20" t="s">
        <v>32</v>
      </c>
      <c r="V15" s="20">
        <v>1</v>
      </c>
      <c r="W15" s="20">
        <v>3</v>
      </c>
      <c r="X15" s="20" t="s">
        <v>490</v>
      </c>
      <c r="Y15" s="20" t="s">
        <v>292</v>
      </c>
      <c r="Z15" s="20" t="s">
        <v>60</v>
      </c>
      <c r="AA15" s="20" t="s">
        <v>491</v>
      </c>
    </row>
    <row r="16" spans="1:27" x14ac:dyDescent="0.2">
      <c r="A16" s="20" t="s">
        <v>178</v>
      </c>
      <c r="B16" s="20" t="s">
        <v>328</v>
      </c>
      <c r="C16" s="20" t="s">
        <v>30</v>
      </c>
      <c r="D16" s="20" t="s">
        <v>14</v>
      </c>
      <c r="E16" s="20" t="s">
        <v>513</v>
      </c>
      <c r="F16" s="20" t="s">
        <v>14</v>
      </c>
      <c r="G16" s="20">
        <v>2</v>
      </c>
      <c r="H16" s="20">
        <v>3</v>
      </c>
      <c r="I16" s="13">
        <v>0.6</v>
      </c>
      <c r="J16" s="20" t="s">
        <v>249</v>
      </c>
      <c r="L16" s="20" t="s">
        <v>248</v>
      </c>
      <c r="M16" s="20" t="s">
        <v>451</v>
      </c>
      <c r="N16" s="20" t="s">
        <v>14</v>
      </c>
      <c r="O16" s="20">
        <v>2</v>
      </c>
      <c r="P16" s="20">
        <v>3</v>
      </c>
      <c r="Q16" s="13">
        <v>0.48472439887735758</v>
      </c>
      <c r="R16" s="20" t="s">
        <v>249</v>
      </c>
      <c r="S16" s="20">
        <v>0.14856852479900509</v>
      </c>
      <c r="T16" s="20" t="s">
        <v>248</v>
      </c>
      <c r="U16" s="20" t="s">
        <v>14</v>
      </c>
      <c r="V16" s="20">
        <v>3</v>
      </c>
      <c r="W16" s="20">
        <v>4</v>
      </c>
      <c r="X16" s="20" t="s">
        <v>490</v>
      </c>
      <c r="Y16" s="20" t="s">
        <v>292</v>
      </c>
      <c r="Z16" s="20" t="s">
        <v>60</v>
      </c>
      <c r="AA16" s="20" t="s">
        <v>491</v>
      </c>
    </row>
    <row r="17" spans="1:27" x14ac:dyDescent="0.2">
      <c r="A17" s="20" t="s">
        <v>178</v>
      </c>
      <c r="B17" s="20" t="s">
        <v>326</v>
      </c>
      <c r="C17" s="20" t="s">
        <v>55</v>
      </c>
      <c r="D17" s="20" t="s">
        <v>12</v>
      </c>
      <c r="E17" s="20" t="s">
        <v>514</v>
      </c>
      <c r="F17" s="20" t="s">
        <v>12</v>
      </c>
      <c r="G17" s="20">
        <v>2</v>
      </c>
      <c r="H17" s="20">
        <v>3</v>
      </c>
      <c r="I17" s="13">
        <v>0.6</v>
      </c>
      <c r="J17" s="20" t="s">
        <v>249</v>
      </c>
      <c r="L17" s="20" t="s">
        <v>248</v>
      </c>
      <c r="M17" s="20" t="s">
        <v>361</v>
      </c>
      <c r="N17" s="20" t="s">
        <v>12</v>
      </c>
      <c r="O17" s="20">
        <v>2</v>
      </c>
      <c r="P17" s="20">
        <v>3</v>
      </c>
      <c r="Q17" s="13">
        <v>0.88777597679518749</v>
      </c>
      <c r="R17" s="20" t="s">
        <v>249</v>
      </c>
      <c r="S17" s="20">
        <v>2.084927696371321</v>
      </c>
      <c r="T17" s="20" t="s">
        <v>248</v>
      </c>
      <c r="U17" s="20" t="s">
        <v>12</v>
      </c>
      <c r="V17" s="20">
        <v>1</v>
      </c>
      <c r="W17" s="20">
        <v>2</v>
      </c>
      <c r="X17" s="20" t="s">
        <v>490</v>
      </c>
      <c r="Y17" s="20" t="s">
        <v>292</v>
      </c>
      <c r="Z17" s="20" t="s">
        <v>60</v>
      </c>
      <c r="AA17" s="20" t="s">
        <v>491</v>
      </c>
    </row>
    <row r="18" spans="1:27" x14ac:dyDescent="0.2">
      <c r="A18" s="20" t="s">
        <v>178</v>
      </c>
      <c r="B18" s="20" t="s">
        <v>328</v>
      </c>
      <c r="C18" s="20" t="s">
        <v>27</v>
      </c>
      <c r="D18" s="20" t="s">
        <v>11</v>
      </c>
      <c r="E18" s="20" t="s">
        <v>420</v>
      </c>
      <c r="F18" s="20" t="s">
        <v>11</v>
      </c>
      <c r="G18" s="20">
        <v>2</v>
      </c>
      <c r="H18" s="20">
        <v>3</v>
      </c>
      <c r="I18" s="13">
        <v>0.6</v>
      </c>
      <c r="J18" s="20" t="s">
        <v>249</v>
      </c>
      <c r="L18" s="20" t="s">
        <v>248</v>
      </c>
      <c r="M18" s="20" t="s">
        <v>391</v>
      </c>
      <c r="N18" s="20" t="s">
        <v>11</v>
      </c>
      <c r="O18" s="20">
        <v>2</v>
      </c>
      <c r="P18" s="20">
        <v>3</v>
      </c>
      <c r="Q18" s="13">
        <v>0.51548371767669787</v>
      </c>
      <c r="R18" s="20" t="s">
        <v>249</v>
      </c>
      <c r="S18" s="20">
        <v>3.3022041365371957E-2</v>
      </c>
      <c r="T18" s="20" t="s">
        <v>248</v>
      </c>
      <c r="U18" s="20" t="s">
        <v>11</v>
      </c>
      <c r="V18" s="20">
        <v>1</v>
      </c>
      <c r="W18" s="20">
        <v>2</v>
      </c>
      <c r="X18" s="20" t="s">
        <v>490</v>
      </c>
      <c r="Y18" s="20" t="s">
        <v>292</v>
      </c>
      <c r="Z18" s="20" t="s">
        <v>60</v>
      </c>
      <c r="AA18" s="20" t="s">
        <v>491</v>
      </c>
    </row>
    <row r="19" spans="1:27" x14ac:dyDescent="0.2">
      <c r="A19" s="20" t="s">
        <v>178</v>
      </c>
      <c r="B19" s="20" t="s">
        <v>328</v>
      </c>
      <c r="C19" s="20" t="s">
        <v>18</v>
      </c>
      <c r="D19" s="20" t="s">
        <v>26</v>
      </c>
      <c r="E19" s="20" t="s">
        <v>515</v>
      </c>
      <c r="F19" s="20" t="s">
        <v>18</v>
      </c>
      <c r="G19" s="20">
        <v>2</v>
      </c>
      <c r="H19" s="20">
        <v>3</v>
      </c>
      <c r="I19" s="13">
        <v>0.6</v>
      </c>
      <c r="J19" s="20" t="s">
        <v>249</v>
      </c>
      <c r="L19" s="20" t="s">
        <v>248</v>
      </c>
      <c r="M19" s="20" t="s">
        <v>360</v>
      </c>
      <c r="N19" s="20" t="s">
        <v>18</v>
      </c>
      <c r="O19" s="20">
        <v>2</v>
      </c>
      <c r="P19" s="20">
        <v>3</v>
      </c>
      <c r="Q19" s="13">
        <v>0.54644138368872142</v>
      </c>
      <c r="R19" s="20" t="s">
        <v>249</v>
      </c>
      <c r="S19" s="20">
        <v>-0.23254918783532191</v>
      </c>
      <c r="T19" s="20" t="s">
        <v>248</v>
      </c>
      <c r="U19" s="20" t="s">
        <v>18</v>
      </c>
      <c r="V19" s="20">
        <v>5</v>
      </c>
      <c r="W19" s="20">
        <v>1</v>
      </c>
      <c r="X19" s="20" t="s">
        <v>490</v>
      </c>
      <c r="Y19" s="20" t="s">
        <v>292</v>
      </c>
      <c r="Z19" s="20" t="s">
        <v>60</v>
      </c>
      <c r="AA19" s="20" t="s">
        <v>491</v>
      </c>
    </row>
    <row r="20" spans="1:27" x14ac:dyDescent="0.2">
      <c r="A20" s="20" t="s">
        <v>178</v>
      </c>
      <c r="B20" s="20" t="s">
        <v>334</v>
      </c>
      <c r="C20" s="20" t="s">
        <v>24</v>
      </c>
      <c r="D20" s="20" t="s">
        <v>25</v>
      </c>
      <c r="E20" s="20" t="s">
        <v>516</v>
      </c>
      <c r="F20" s="20" t="s">
        <v>25</v>
      </c>
      <c r="G20" s="20">
        <v>2</v>
      </c>
      <c r="H20" s="20">
        <v>3</v>
      </c>
      <c r="I20" s="13">
        <v>0.6</v>
      </c>
      <c r="J20" s="20" t="s">
        <v>249</v>
      </c>
      <c r="L20" s="20" t="s">
        <v>248</v>
      </c>
      <c r="M20" s="20" t="s">
        <v>450</v>
      </c>
      <c r="N20" s="20" t="s">
        <v>25</v>
      </c>
      <c r="O20" s="20">
        <v>2</v>
      </c>
      <c r="P20" s="20">
        <v>3</v>
      </c>
      <c r="Q20" s="13">
        <v>0.62678039578593081</v>
      </c>
      <c r="R20" s="20" t="s">
        <v>249</v>
      </c>
      <c r="S20" s="20">
        <v>0.47404563548711087</v>
      </c>
      <c r="T20" s="20" t="s">
        <v>248</v>
      </c>
      <c r="U20" s="20" t="s">
        <v>25</v>
      </c>
      <c r="V20" s="20">
        <v>3</v>
      </c>
      <c r="W20" s="20">
        <v>6</v>
      </c>
      <c r="X20" s="20" t="s">
        <v>490</v>
      </c>
      <c r="Y20" s="20" t="s">
        <v>292</v>
      </c>
      <c r="Z20" s="20" t="s">
        <v>60</v>
      </c>
      <c r="AA20" s="20" t="s">
        <v>491</v>
      </c>
    </row>
    <row r="21" spans="1:27" x14ac:dyDescent="0.2">
      <c r="A21" s="20" t="s">
        <v>178</v>
      </c>
      <c r="B21" s="20" t="s">
        <v>328</v>
      </c>
      <c r="C21" s="20" t="s">
        <v>15</v>
      </c>
      <c r="D21" s="20" t="s">
        <v>23</v>
      </c>
      <c r="E21" s="20" t="s">
        <v>517</v>
      </c>
      <c r="F21" s="20" t="s">
        <v>15</v>
      </c>
      <c r="G21" s="20">
        <v>2</v>
      </c>
      <c r="H21" s="20">
        <v>3</v>
      </c>
      <c r="I21" s="13">
        <v>0.6</v>
      </c>
      <c r="J21" s="20" t="s">
        <v>249</v>
      </c>
      <c r="L21" s="20" t="s">
        <v>248</v>
      </c>
      <c r="M21" s="20" t="s">
        <v>518</v>
      </c>
      <c r="N21" s="20" t="s">
        <v>15</v>
      </c>
      <c r="O21" s="20">
        <v>2</v>
      </c>
      <c r="P21" s="20">
        <v>3</v>
      </c>
      <c r="Q21" s="13">
        <v>0.56590052305735883</v>
      </c>
      <c r="R21" s="20" t="s">
        <v>249</v>
      </c>
      <c r="S21" s="20">
        <v>-0.13617570233348461</v>
      </c>
      <c r="T21" s="20" t="s">
        <v>248</v>
      </c>
      <c r="U21" s="20" t="s">
        <v>15</v>
      </c>
      <c r="V21" s="20">
        <v>4</v>
      </c>
      <c r="W21" s="20">
        <v>0</v>
      </c>
      <c r="X21" s="20" t="s">
        <v>490</v>
      </c>
      <c r="Y21" s="20" t="s">
        <v>292</v>
      </c>
      <c r="Z21" s="20" t="s">
        <v>60</v>
      </c>
      <c r="AA21" s="20" t="s">
        <v>491</v>
      </c>
    </row>
    <row r="22" spans="1:27" x14ac:dyDescent="0.2">
      <c r="A22" s="20" t="s">
        <v>178</v>
      </c>
      <c r="B22" s="20" t="s">
        <v>328</v>
      </c>
      <c r="C22" s="20" t="s">
        <v>10</v>
      </c>
      <c r="D22" s="20" t="s">
        <v>21</v>
      </c>
      <c r="E22" s="20" t="s">
        <v>519</v>
      </c>
      <c r="F22" s="20" t="s">
        <v>21</v>
      </c>
      <c r="G22" s="20">
        <v>2</v>
      </c>
      <c r="H22" s="20">
        <v>3</v>
      </c>
      <c r="I22" s="13">
        <v>0.6</v>
      </c>
      <c r="J22" s="20" t="s">
        <v>249</v>
      </c>
      <c r="L22" s="20" t="s">
        <v>248</v>
      </c>
      <c r="M22" s="20" t="s">
        <v>465</v>
      </c>
      <c r="N22" s="20" t="s">
        <v>21</v>
      </c>
      <c r="O22" s="20">
        <v>2</v>
      </c>
      <c r="P22" s="20">
        <v>3</v>
      </c>
      <c r="Q22" s="13">
        <v>0.58364035348487175</v>
      </c>
      <c r="R22" s="20" t="s">
        <v>249</v>
      </c>
      <c r="S22" s="20">
        <v>6.3272436597444914E-3</v>
      </c>
      <c r="T22" s="20" t="s">
        <v>248</v>
      </c>
      <c r="U22" s="20" t="s">
        <v>21</v>
      </c>
      <c r="V22" s="20">
        <v>3</v>
      </c>
      <c r="W22" s="20">
        <v>4</v>
      </c>
      <c r="X22" s="20" t="s">
        <v>496</v>
      </c>
      <c r="Y22" s="20" t="s">
        <v>292</v>
      </c>
      <c r="Z22" s="20" t="s">
        <v>60</v>
      </c>
      <c r="AA22" s="20" t="s">
        <v>491</v>
      </c>
    </row>
    <row r="23" spans="1:27" x14ac:dyDescent="0.2">
      <c r="A23" s="20" t="s">
        <v>179</v>
      </c>
      <c r="B23" s="20" t="s">
        <v>326</v>
      </c>
      <c r="C23" s="20" t="s">
        <v>39</v>
      </c>
      <c r="D23" s="20" t="s">
        <v>12</v>
      </c>
      <c r="E23" s="20" t="s">
        <v>520</v>
      </c>
      <c r="F23" s="20" t="s">
        <v>12</v>
      </c>
      <c r="G23" s="20">
        <v>2</v>
      </c>
      <c r="H23" s="20">
        <v>3</v>
      </c>
      <c r="I23" s="13">
        <v>0.6</v>
      </c>
      <c r="J23" s="20" t="s">
        <v>249</v>
      </c>
      <c r="L23" s="20" t="s">
        <v>249</v>
      </c>
      <c r="M23" s="20" t="s">
        <v>521</v>
      </c>
      <c r="N23" s="20" t="s">
        <v>12</v>
      </c>
      <c r="O23" s="20">
        <v>2</v>
      </c>
      <c r="P23" s="20">
        <v>3</v>
      </c>
      <c r="Q23" s="13">
        <v>0.69431845954718507</v>
      </c>
      <c r="R23" s="20" t="s">
        <v>249</v>
      </c>
      <c r="S23" s="20">
        <v>1.268361905495019</v>
      </c>
      <c r="T23" s="20" t="s">
        <v>249</v>
      </c>
      <c r="U23" s="20" t="s">
        <v>39</v>
      </c>
      <c r="V23" s="20">
        <v>5</v>
      </c>
      <c r="W23" s="20">
        <v>4</v>
      </c>
      <c r="X23" s="20" t="s">
        <v>496</v>
      </c>
      <c r="Y23" s="20" t="s">
        <v>292</v>
      </c>
      <c r="Z23" s="20" t="s">
        <v>60</v>
      </c>
      <c r="AA23" s="20" t="s">
        <v>491</v>
      </c>
    </row>
    <row r="24" spans="1:27" x14ac:dyDescent="0.2">
      <c r="A24" s="20" t="s">
        <v>179</v>
      </c>
      <c r="B24" s="20" t="s">
        <v>328</v>
      </c>
      <c r="C24" s="20" t="s">
        <v>19</v>
      </c>
      <c r="D24" s="20" t="s">
        <v>26</v>
      </c>
      <c r="E24" s="20" t="s">
        <v>522</v>
      </c>
      <c r="F24" s="20" t="s">
        <v>19</v>
      </c>
      <c r="G24" s="20">
        <v>2</v>
      </c>
      <c r="H24" s="20">
        <v>3</v>
      </c>
      <c r="I24" s="13">
        <v>0.6</v>
      </c>
      <c r="J24" s="20" t="s">
        <v>249</v>
      </c>
      <c r="L24" s="20" t="s">
        <v>249</v>
      </c>
      <c r="M24" s="20" t="s">
        <v>523</v>
      </c>
      <c r="N24" s="20" t="s">
        <v>19</v>
      </c>
      <c r="O24" s="20">
        <v>2</v>
      </c>
      <c r="P24" s="20">
        <v>3</v>
      </c>
      <c r="Q24" s="13">
        <v>0.48229742461601999</v>
      </c>
      <c r="R24" s="20" t="s">
        <v>249</v>
      </c>
      <c r="S24" s="20">
        <v>-0.1909602247901665</v>
      </c>
      <c r="T24" s="20" t="s">
        <v>249</v>
      </c>
      <c r="U24" s="20" t="s">
        <v>26</v>
      </c>
      <c r="V24" s="20">
        <v>3</v>
      </c>
      <c r="W24" s="20">
        <v>6</v>
      </c>
      <c r="X24" s="20" t="s">
        <v>490</v>
      </c>
      <c r="Y24" s="20" t="s">
        <v>292</v>
      </c>
      <c r="Z24" s="20" t="s">
        <v>60</v>
      </c>
      <c r="AA24" s="20" t="s">
        <v>491</v>
      </c>
    </row>
    <row r="25" spans="1:27" x14ac:dyDescent="0.2">
      <c r="A25" s="20" t="s">
        <v>179</v>
      </c>
      <c r="B25" s="20" t="s">
        <v>369</v>
      </c>
      <c r="C25" s="20" t="s">
        <v>35</v>
      </c>
      <c r="D25" s="20" t="s">
        <v>16</v>
      </c>
      <c r="E25" s="20" t="s">
        <v>524</v>
      </c>
      <c r="F25" s="20" t="s">
        <v>16</v>
      </c>
      <c r="G25" s="20">
        <v>2</v>
      </c>
      <c r="H25" s="20">
        <v>3</v>
      </c>
      <c r="I25" s="13">
        <v>0.6</v>
      </c>
      <c r="J25" s="20" t="s">
        <v>249</v>
      </c>
      <c r="L25" s="20" t="s">
        <v>249</v>
      </c>
      <c r="M25" s="20" t="s">
        <v>525</v>
      </c>
      <c r="N25" s="20" t="s">
        <v>16</v>
      </c>
      <c r="O25" s="20">
        <v>2</v>
      </c>
      <c r="P25" s="20">
        <v>3</v>
      </c>
      <c r="Q25" s="13">
        <v>0.58420688573856194</v>
      </c>
      <c r="R25" s="20" t="s">
        <v>249</v>
      </c>
      <c r="S25" s="20">
        <v>0.3785978418262641</v>
      </c>
      <c r="T25" s="20" t="s">
        <v>249</v>
      </c>
      <c r="U25" s="20" t="s">
        <v>35</v>
      </c>
      <c r="V25" s="20">
        <v>4</v>
      </c>
      <c r="W25" s="20">
        <v>2</v>
      </c>
      <c r="X25" s="20" t="s">
        <v>490</v>
      </c>
      <c r="Y25" s="20" t="s">
        <v>292</v>
      </c>
      <c r="Z25" s="20" t="s">
        <v>60</v>
      </c>
      <c r="AA25" s="20" t="s">
        <v>491</v>
      </c>
    </row>
    <row r="26" spans="1:27" x14ac:dyDescent="0.2">
      <c r="A26" s="20" t="s">
        <v>179</v>
      </c>
      <c r="B26" s="20" t="s">
        <v>324</v>
      </c>
      <c r="C26" s="20" t="s">
        <v>55</v>
      </c>
      <c r="D26" s="20" t="s">
        <v>29</v>
      </c>
      <c r="E26" s="20" t="s">
        <v>526</v>
      </c>
      <c r="F26" s="20" t="s">
        <v>55</v>
      </c>
      <c r="G26" s="20">
        <v>2</v>
      </c>
      <c r="H26" s="20">
        <v>3</v>
      </c>
      <c r="I26" s="13">
        <v>0.6</v>
      </c>
      <c r="J26" s="20" t="s">
        <v>249</v>
      </c>
      <c r="L26" s="20" t="s">
        <v>248</v>
      </c>
      <c r="M26" s="20" t="s">
        <v>362</v>
      </c>
      <c r="N26" s="20" t="s">
        <v>55</v>
      </c>
      <c r="O26" s="20">
        <v>2</v>
      </c>
      <c r="P26" s="20">
        <v>3</v>
      </c>
      <c r="Q26" s="13">
        <v>0.56881229021751245</v>
      </c>
      <c r="R26" s="20" t="s">
        <v>249</v>
      </c>
      <c r="S26" s="20">
        <v>-0.93189324586571609</v>
      </c>
      <c r="T26" s="20" t="s">
        <v>248</v>
      </c>
      <c r="U26" s="20" t="s">
        <v>55</v>
      </c>
      <c r="V26" s="20">
        <v>3</v>
      </c>
      <c r="W26" s="20">
        <v>2</v>
      </c>
      <c r="X26" s="20" t="s">
        <v>496</v>
      </c>
      <c r="Y26" s="20" t="s">
        <v>292</v>
      </c>
      <c r="Z26" s="20" t="s">
        <v>60</v>
      </c>
      <c r="AA26" s="20" t="s">
        <v>491</v>
      </c>
    </row>
    <row r="27" spans="1:27" x14ac:dyDescent="0.2">
      <c r="A27" s="20" t="s">
        <v>179</v>
      </c>
      <c r="B27" s="20" t="s">
        <v>328</v>
      </c>
      <c r="C27" s="20" t="s">
        <v>23</v>
      </c>
      <c r="D27" s="20" t="s">
        <v>21</v>
      </c>
      <c r="E27" s="20" t="s">
        <v>527</v>
      </c>
      <c r="F27" s="20" t="s">
        <v>21</v>
      </c>
      <c r="G27" s="20">
        <v>2</v>
      </c>
      <c r="H27" s="20">
        <v>3</v>
      </c>
      <c r="I27" s="13">
        <v>0.6</v>
      </c>
      <c r="J27" s="20" t="s">
        <v>249</v>
      </c>
      <c r="L27" s="20" t="s">
        <v>248</v>
      </c>
      <c r="M27" s="20" t="s">
        <v>465</v>
      </c>
      <c r="N27" s="20" t="s">
        <v>21</v>
      </c>
      <c r="O27" s="20">
        <v>2</v>
      </c>
      <c r="P27" s="20">
        <v>3</v>
      </c>
      <c r="Q27" s="13">
        <v>0.61865976048220439</v>
      </c>
      <c r="R27" s="20" t="s">
        <v>249</v>
      </c>
      <c r="S27" s="20">
        <v>0.30624142421602052</v>
      </c>
      <c r="T27" s="20" t="s">
        <v>248</v>
      </c>
      <c r="U27" s="20" t="s">
        <v>21</v>
      </c>
      <c r="V27" s="20">
        <v>1</v>
      </c>
      <c r="W27" s="20">
        <v>3</v>
      </c>
      <c r="X27" s="20" t="s">
        <v>490</v>
      </c>
      <c r="Y27" s="20" t="s">
        <v>292</v>
      </c>
      <c r="Z27" s="20" t="s">
        <v>60</v>
      </c>
      <c r="AA27" s="20" t="s">
        <v>491</v>
      </c>
    </row>
    <row r="28" spans="1:27" x14ac:dyDescent="0.2">
      <c r="A28" s="20" t="s">
        <v>179</v>
      </c>
      <c r="B28" s="20" t="s">
        <v>322</v>
      </c>
      <c r="C28" s="20" t="s">
        <v>38</v>
      </c>
      <c r="D28" s="20" t="s">
        <v>17</v>
      </c>
      <c r="E28" s="20" t="s">
        <v>528</v>
      </c>
      <c r="F28" s="20" t="s">
        <v>17</v>
      </c>
      <c r="G28" s="20">
        <v>2</v>
      </c>
      <c r="H28" s="20">
        <v>3</v>
      </c>
      <c r="I28" s="13">
        <v>0.6</v>
      </c>
      <c r="J28" s="20" t="s">
        <v>249</v>
      </c>
      <c r="L28" s="20" t="s">
        <v>248</v>
      </c>
      <c r="M28" s="20" t="s">
        <v>529</v>
      </c>
      <c r="N28" s="20" t="s">
        <v>17</v>
      </c>
      <c r="O28" s="20">
        <v>2</v>
      </c>
      <c r="P28" s="20">
        <v>3</v>
      </c>
      <c r="Q28" s="13">
        <v>0.564476282294328</v>
      </c>
      <c r="R28" s="20" t="s">
        <v>249</v>
      </c>
      <c r="S28" s="20">
        <v>0.17983183979644479</v>
      </c>
      <c r="T28" s="20" t="s">
        <v>248</v>
      </c>
      <c r="U28" s="20" t="s">
        <v>17</v>
      </c>
      <c r="V28" s="20">
        <v>1</v>
      </c>
      <c r="W28" s="20">
        <v>3</v>
      </c>
      <c r="X28" s="20" t="s">
        <v>490</v>
      </c>
      <c r="Y28" s="20" t="s">
        <v>292</v>
      </c>
      <c r="Z28" s="20" t="s">
        <v>60</v>
      </c>
      <c r="AA28" s="20" t="s">
        <v>491</v>
      </c>
    </row>
    <row r="29" spans="1:27" x14ac:dyDescent="0.2">
      <c r="A29" s="20" t="s">
        <v>179</v>
      </c>
      <c r="B29" s="20" t="s">
        <v>328</v>
      </c>
      <c r="C29" s="20" t="s">
        <v>27</v>
      </c>
      <c r="D29" s="20" t="s">
        <v>25</v>
      </c>
      <c r="E29" s="20" t="s">
        <v>530</v>
      </c>
      <c r="F29" s="20" t="s">
        <v>25</v>
      </c>
      <c r="G29" s="20">
        <v>2</v>
      </c>
      <c r="H29" s="20">
        <v>3</v>
      </c>
      <c r="I29" s="13">
        <v>0.6</v>
      </c>
      <c r="J29" s="20" t="s">
        <v>249</v>
      </c>
      <c r="L29" s="20" t="s">
        <v>248</v>
      </c>
      <c r="M29" s="20" t="s">
        <v>450</v>
      </c>
      <c r="N29" s="20" t="s">
        <v>25</v>
      </c>
      <c r="O29" s="20">
        <v>2</v>
      </c>
      <c r="P29" s="20">
        <v>3</v>
      </c>
      <c r="Q29" s="13">
        <v>0.64992908702910213</v>
      </c>
      <c r="R29" s="20" t="s">
        <v>249</v>
      </c>
      <c r="S29" s="20">
        <v>0.85581546975803113</v>
      </c>
      <c r="T29" s="20" t="s">
        <v>248</v>
      </c>
      <c r="U29" s="20" t="s">
        <v>25</v>
      </c>
      <c r="V29" s="20">
        <v>3</v>
      </c>
      <c r="W29" s="20">
        <v>4</v>
      </c>
      <c r="X29" s="20" t="s">
        <v>496</v>
      </c>
      <c r="Y29" s="20" t="s">
        <v>292</v>
      </c>
      <c r="Z29" s="20" t="s">
        <v>60</v>
      </c>
      <c r="AA29" s="20" t="s">
        <v>491</v>
      </c>
    </row>
    <row r="30" spans="1:27" x14ac:dyDescent="0.2">
      <c r="A30" s="20" t="s">
        <v>179</v>
      </c>
      <c r="B30" s="20" t="s">
        <v>328</v>
      </c>
      <c r="C30" s="20" t="s">
        <v>36</v>
      </c>
      <c r="D30" s="20" t="s">
        <v>11</v>
      </c>
      <c r="E30" s="20" t="s">
        <v>531</v>
      </c>
      <c r="F30" s="20" t="s">
        <v>11</v>
      </c>
      <c r="G30" s="20">
        <v>2</v>
      </c>
      <c r="H30" s="20">
        <v>3</v>
      </c>
      <c r="I30" s="13">
        <v>0.6</v>
      </c>
      <c r="J30" s="20" t="s">
        <v>249</v>
      </c>
      <c r="L30" s="20" t="s">
        <v>248</v>
      </c>
      <c r="M30" s="20" t="s">
        <v>391</v>
      </c>
      <c r="N30" s="20" t="s">
        <v>11</v>
      </c>
      <c r="O30" s="20">
        <v>2</v>
      </c>
      <c r="P30" s="20">
        <v>3</v>
      </c>
      <c r="Q30" s="13">
        <v>0.57551984437773329</v>
      </c>
      <c r="R30" s="20" t="s">
        <v>249</v>
      </c>
      <c r="S30" s="20">
        <v>0.18415850872389461</v>
      </c>
      <c r="T30" s="20" t="s">
        <v>248</v>
      </c>
      <c r="U30" s="20" t="s">
        <v>11</v>
      </c>
      <c r="V30" s="20">
        <v>2</v>
      </c>
      <c r="W30" s="20">
        <v>6</v>
      </c>
      <c r="X30" s="20" t="s">
        <v>490</v>
      </c>
      <c r="Y30" s="20" t="s">
        <v>292</v>
      </c>
      <c r="Z30" s="20" t="s">
        <v>60</v>
      </c>
      <c r="AA30" s="20" t="s">
        <v>491</v>
      </c>
    </row>
    <row r="31" spans="1:27" x14ac:dyDescent="0.2">
      <c r="A31" s="20" t="s">
        <v>179</v>
      </c>
      <c r="B31" s="20" t="s">
        <v>328</v>
      </c>
      <c r="C31" s="20" t="s">
        <v>18</v>
      </c>
      <c r="D31" s="20" t="s">
        <v>10</v>
      </c>
      <c r="E31" s="20" t="s">
        <v>532</v>
      </c>
      <c r="F31" s="20" t="s">
        <v>10</v>
      </c>
      <c r="G31" s="20">
        <v>2</v>
      </c>
      <c r="H31" s="20">
        <v>3</v>
      </c>
      <c r="I31" s="13">
        <v>0.6</v>
      </c>
      <c r="J31" s="20" t="s">
        <v>249</v>
      </c>
      <c r="L31" s="20" t="s">
        <v>249</v>
      </c>
      <c r="M31" s="20" t="s">
        <v>533</v>
      </c>
      <c r="N31" s="20" t="s">
        <v>10</v>
      </c>
      <c r="O31" s="20">
        <v>2</v>
      </c>
      <c r="P31" s="20">
        <v>3</v>
      </c>
      <c r="Q31" s="13">
        <v>0.53519391635483582</v>
      </c>
      <c r="R31" s="20" t="s">
        <v>249</v>
      </c>
      <c r="S31" s="20">
        <v>0.46659412201267397</v>
      </c>
      <c r="T31" s="20" t="s">
        <v>249</v>
      </c>
      <c r="U31" s="20" t="s">
        <v>18</v>
      </c>
      <c r="V31" s="20">
        <v>3</v>
      </c>
      <c r="W31" s="20">
        <v>2</v>
      </c>
      <c r="X31" s="20" t="s">
        <v>490</v>
      </c>
      <c r="Y31" s="20" t="s">
        <v>292</v>
      </c>
      <c r="Z31" s="20" t="s">
        <v>60</v>
      </c>
      <c r="AA31" s="20" t="s">
        <v>491</v>
      </c>
    </row>
    <row r="32" spans="1:27" x14ac:dyDescent="0.2">
      <c r="A32" s="20" t="s">
        <v>179</v>
      </c>
      <c r="B32" s="20" t="s">
        <v>328</v>
      </c>
      <c r="C32" s="20" t="s">
        <v>22</v>
      </c>
      <c r="D32" s="20" t="s">
        <v>30</v>
      </c>
      <c r="E32" s="20" t="s">
        <v>471</v>
      </c>
      <c r="F32" s="20" t="s">
        <v>22</v>
      </c>
      <c r="G32" s="20">
        <v>2</v>
      </c>
      <c r="H32" s="20">
        <v>3</v>
      </c>
      <c r="I32" s="13">
        <v>0.6</v>
      </c>
      <c r="J32" s="20" t="s">
        <v>249</v>
      </c>
      <c r="L32" s="20" t="s">
        <v>248</v>
      </c>
      <c r="M32" s="20" t="s">
        <v>321</v>
      </c>
      <c r="N32" s="20" t="s">
        <v>22</v>
      </c>
      <c r="O32" s="20">
        <v>2</v>
      </c>
      <c r="P32" s="20">
        <v>3</v>
      </c>
      <c r="Q32" s="13">
        <v>0.57627735430877991</v>
      </c>
      <c r="R32" s="20" t="s">
        <v>249</v>
      </c>
      <c r="S32" s="20">
        <v>-0.63173848137192712</v>
      </c>
      <c r="T32" s="20" t="s">
        <v>248</v>
      </c>
      <c r="U32" s="20" t="s">
        <v>22</v>
      </c>
      <c r="V32" s="20">
        <v>4</v>
      </c>
      <c r="W32" s="20">
        <v>2</v>
      </c>
      <c r="X32" s="20" t="s">
        <v>490</v>
      </c>
      <c r="Y32" s="20" t="s">
        <v>292</v>
      </c>
      <c r="Z32" s="20" t="s">
        <v>60</v>
      </c>
      <c r="AA32" s="20" t="s">
        <v>491</v>
      </c>
    </row>
    <row r="33" spans="1:27" x14ac:dyDescent="0.2">
      <c r="A33" s="20" t="s">
        <v>179</v>
      </c>
      <c r="B33" s="20" t="s">
        <v>328</v>
      </c>
      <c r="C33" s="20" t="s">
        <v>15</v>
      </c>
      <c r="D33" s="20" t="s">
        <v>14</v>
      </c>
      <c r="E33" s="20" t="s">
        <v>534</v>
      </c>
      <c r="F33" s="20" t="s">
        <v>14</v>
      </c>
      <c r="G33" s="20">
        <v>2</v>
      </c>
      <c r="H33" s="20">
        <v>3</v>
      </c>
      <c r="I33" s="13">
        <v>0.6</v>
      </c>
      <c r="J33" s="20" t="s">
        <v>249</v>
      </c>
      <c r="L33" s="20" t="s">
        <v>249</v>
      </c>
      <c r="M33" s="20" t="s">
        <v>535</v>
      </c>
      <c r="N33" s="20" t="s">
        <v>14</v>
      </c>
      <c r="O33" s="20">
        <v>2</v>
      </c>
      <c r="P33" s="20">
        <v>3</v>
      </c>
      <c r="Q33" s="13">
        <v>0.46299948327093321</v>
      </c>
      <c r="R33" s="20" t="s">
        <v>249</v>
      </c>
      <c r="S33" s="20">
        <v>0.19767051184161499</v>
      </c>
      <c r="T33" s="20" t="s">
        <v>249</v>
      </c>
      <c r="U33" s="20" t="s">
        <v>15</v>
      </c>
      <c r="V33" s="20">
        <v>6</v>
      </c>
      <c r="W33" s="20">
        <v>1</v>
      </c>
      <c r="X33" s="20" t="s">
        <v>490</v>
      </c>
      <c r="Y33" s="20" t="s">
        <v>292</v>
      </c>
      <c r="Z33" s="20" t="s">
        <v>60</v>
      </c>
      <c r="AA33" s="20" t="s">
        <v>491</v>
      </c>
    </row>
    <row r="34" spans="1:27" x14ac:dyDescent="0.2">
      <c r="A34" s="20" t="s">
        <v>179</v>
      </c>
      <c r="B34" s="20" t="s">
        <v>322</v>
      </c>
      <c r="C34" s="20" t="s">
        <v>20</v>
      </c>
      <c r="D34" s="20" t="s">
        <v>32</v>
      </c>
      <c r="E34" s="20" t="s">
        <v>536</v>
      </c>
      <c r="F34" s="20" t="s">
        <v>20</v>
      </c>
      <c r="G34" s="20">
        <v>2</v>
      </c>
      <c r="H34" s="20">
        <v>3</v>
      </c>
      <c r="I34" s="13">
        <v>0.6</v>
      </c>
      <c r="J34" s="20" t="s">
        <v>249</v>
      </c>
      <c r="L34" s="20" t="s">
        <v>249</v>
      </c>
      <c r="M34" s="20" t="s">
        <v>537</v>
      </c>
      <c r="N34" s="20" t="s">
        <v>20</v>
      </c>
      <c r="O34" s="20">
        <v>2</v>
      </c>
      <c r="P34" s="20">
        <v>3</v>
      </c>
      <c r="Q34" s="13">
        <v>0.50145565279430626</v>
      </c>
      <c r="R34" s="20" t="s">
        <v>249</v>
      </c>
      <c r="S34" s="20">
        <v>-0.3550356560342911</v>
      </c>
      <c r="T34" s="20" t="s">
        <v>249</v>
      </c>
      <c r="U34" s="20" t="s">
        <v>32</v>
      </c>
      <c r="V34" s="20">
        <v>1</v>
      </c>
      <c r="W34" s="20">
        <v>2</v>
      </c>
      <c r="X34" s="20" t="s">
        <v>496</v>
      </c>
      <c r="Y34" s="20" t="s">
        <v>292</v>
      </c>
      <c r="Z34" s="20" t="s">
        <v>60</v>
      </c>
      <c r="AA34" s="20" t="s">
        <v>491</v>
      </c>
    </row>
    <row r="35" spans="1:27" x14ac:dyDescent="0.2">
      <c r="A35" s="20" t="s">
        <v>179</v>
      </c>
      <c r="B35" s="20" t="s">
        <v>322</v>
      </c>
      <c r="C35" s="20" t="s">
        <v>31</v>
      </c>
      <c r="D35" s="20" t="s">
        <v>33</v>
      </c>
      <c r="E35" s="20" t="s">
        <v>538</v>
      </c>
      <c r="F35" s="20" t="s">
        <v>31</v>
      </c>
      <c r="G35" s="20">
        <v>2</v>
      </c>
      <c r="H35" s="20">
        <v>3</v>
      </c>
      <c r="I35" s="13">
        <v>0.6</v>
      </c>
      <c r="J35" s="20" t="s">
        <v>249</v>
      </c>
      <c r="L35" s="20" t="s">
        <v>248</v>
      </c>
      <c r="M35" s="20" t="s">
        <v>291</v>
      </c>
      <c r="N35" s="20" t="s">
        <v>31</v>
      </c>
      <c r="O35" s="20">
        <v>2</v>
      </c>
      <c r="P35" s="20">
        <v>3</v>
      </c>
      <c r="Q35" s="13">
        <v>0.53832735617360639</v>
      </c>
      <c r="R35" s="20" t="s">
        <v>249</v>
      </c>
      <c r="S35" s="20">
        <v>-0.58013326529834719</v>
      </c>
      <c r="T35" s="20" t="s">
        <v>248</v>
      </c>
      <c r="U35" s="20" t="s">
        <v>31</v>
      </c>
      <c r="V35" s="20">
        <v>7</v>
      </c>
      <c r="W35" s="20">
        <v>6</v>
      </c>
      <c r="X35" s="20" t="s">
        <v>496</v>
      </c>
      <c r="Y35" s="20" t="s">
        <v>292</v>
      </c>
      <c r="Z35" s="20" t="s">
        <v>60</v>
      </c>
      <c r="AA35" s="20" t="s">
        <v>491</v>
      </c>
    </row>
    <row r="36" spans="1:27" x14ac:dyDescent="0.2">
      <c r="A36" s="20" t="s">
        <v>179</v>
      </c>
      <c r="B36" s="20" t="s">
        <v>324</v>
      </c>
      <c r="C36" s="20" t="s">
        <v>28</v>
      </c>
      <c r="D36" s="20" t="s">
        <v>34</v>
      </c>
      <c r="E36" s="20" t="s">
        <v>539</v>
      </c>
      <c r="F36" s="20" t="s">
        <v>34</v>
      </c>
      <c r="G36" s="20">
        <v>2</v>
      </c>
      <c r="H36" s="20">
        <v>3</v>
      </c>
      <c r="I36" s="13">
        <v>0.6</v>
      </c>
      <c r="J36" s="20" t="s">
        <v>249</v>
      </c>
      <c r="L36" s="20" t="s">
        <v>249</v>
      </c>
      <c r="M36" s="20" t="s">
        <v>540</v>
      </c>
      <c r="N36" s="20" t="s">
        <v>34</v>
      </c>
      <c r="O36" s="20">
        <v>2</v>
      </c>
      <c r="P36" s="20">
        <v>3</v>
      </c>
      <c r="Q36" s="13">
        <v>0.60528765183514521</v>
      </c>
      <c r="R36" s="20" t="s">
        <v>249</v>
      </c>
      <c r="S36" s="20">
        <v>0.5897653658242239</v>
      </c>
      <c r="T36" s="20" t="s">
        <v>249</v>
      </c>
      <c r="U36" s="20" t="s">
        <v>28</v>
      </c>
      <c r="V36" s="20">
        <v>7</v>
      </c>
      <c r="W36" s="20">
        <v>4</v>
      </c>
      <c r="X36" s="20" t="s">
        <v>490</v>
      </c>
      <c r="Y36" s="20" t="s">
        <v>292</v>
      </c>
      <c r="Z36" s="20" t="s">
        <v>60</v>
      </c>
      <c r="AA36" s="20" t="s">
        <v>491</v>
      </c>
    </row>
    <row r="37" spans="1:27" x14ac:dyDescent="0.2">
      <c r="A37" s="20" t="s">
        <v>179</v>
      </c>
      <c r="B37" s="20" t="s">
        <v>328</v>
      </c>
      <c r="C37" s="20" t="s">
        <v>24</v>
      </c>
      <c r="D37" s="20" t="s">
        <v>37</v>
      </c>
      <c r="E37" s="20" t="s">
        <v>310</v>
      </c>
      <c r="F37" s="20" t="s">
        <v>37</v>
      </c>
      <c r="G37" s="20">
        <v>2</v>
      </c>
      <c r="H37" s="20">
        <v>3</v>
      </c>
      <c r="I37" s="13">
        <v>0.6</v>
      </c>
      <c r="J37" s="20" t="s">
        <v>249</v>
      </c>
      <c r="L37" s="20" t="s">
        <v>249</v>
      </c>
      <c r="M37" s="20" t="s">
        <v>541</v>
      </c>
      <c r="N37" s="20" t="s">
        <v>37</v>
      </c>
      <c r="O37" s="20">
        <v>2</v>
      </c>
      <c r="P37" s="20">
        <v>3</v>
      </c>
      <c r="Q37" s="13">
        <v>0.61698109453658201</v>
      </c>
      <c r="R37" s="20" t="s">
        <v>249</v>
      </c>
      <c r="S37" s="20">
        <v>0.5588754449051625</v>
      </c>
      <c r="T37" s="20" t="s">
        <v>249</v>
      </c>
      <c r="U37" s="20" t="s">
        <v>24</v>
      </c>
      <c r="V37" s="20">
        <v>5</v>
      </c>
      <c r="W37" s="20">
        <v>3</v>
      </c>
      <c r="X37" s="20" t="s">
        <v>490</v>
      </c>
      <c r="Y37" s="20" t="s">
        <v>292</v>
      </c>
      <c r="Z37" s="20" t="s">
        <v>60</v>
      </c>
      <c r="AA37" s="20" t="s">
        <v>491</v>
      </c>
    </row>
    <row r="38" spans="1:27" x14ac:dyDescent="0.2">
      <c r="A38" s="20" t="s">
        <v>179</v>
      </c>
      <c r="B38" s="20" t="s">
        <v>542</v>
      </c>
      <c r="C38" s="20" t="s">
        <v>13</v>
      </c>
      <c r="D38" s="20" t="s">
        <v>40</v>
      </c>
      <c r="E38" s="20" t="s">
        <v>543</v>
      </c>
      <c r="F38" s="20" t="s">
        <v>40</v>
      </c>
      <c r="G38" s="20">
        <v>2</v>
      </c>
      <c r="H38" s="20">
        <v>3</v>
      </c>
      <c r="I38" s="13">
        <v>0.6</v>
      </c>
      <c r="J38" s="20" t="s">
        <v>249</v>
      </c>
      <c r="L38" s="20" t="s">
        <v>248</v>
      </c>
      <c r="M38" s="20" t="s">
        <v>315</v>
      </c>
      <c r="N38" s="20" t="s">
        <v>40</v>
      </c>
      <c r="O38" s="20">
        <v>2</v>
      </c>
      <c r="P38" s="20">
        <v>3</v>
      </c>
      <c r="Q38" s="13">
        <v>0.48494112191888922</v>
      </c>
      <c r="R38" s="20" t="s">
        <v>249</v>
      </c>
      <c r="S38" s="20">
        <v>7.4942523817584594E-2</v>
      </c>
      <c r="T38" s="20" t="s">
        <v>248</v>
      </c>
      <c r="U38" s="20" t="s">
        <v>40</v>
      </c>
      <c r="V38" s="20">
        <v>2</v>
      </c>
      <c r="W38" s="20">
        <v>3</v>
      </c>
      <c r="X38" s="20" t="s">
        <v>490</v>
      </c>
      <c r="Y38" s="20" t="s">
        <v>292</v>
      </c>
      <c r="Z38" s="20" t="s">
        <v>60</v>
      </c>
      <c r="AA38" s="20" t="s">
        <v>491</v>
      </c>
    </row>
    <row r="39" spans="1:27" x14ac:dyDescent="0.2">
      <c r="A39" s="20" t="s">
        <v>180</v>
      </c>
      <c r="B39" s="20" t="s">
        <v>328</v>
      </c>
      <c r="C39" s="20" t="s">
        <v>22</v>
      </c>
      <c r="D39" s="20" t="s">
        <v>15</v>
      </c>
      <c r="E39" s="20" t="s">
        <v>544</v>
      </c>
      <c r="F39" s="20" t="s">
        <v>22</v>
      </c>
      <c r="G39" s="20">
        <v>2</v>
      </c>
      <c r="H39" s="20">
        <v>3</v>
      </c>
      <c r="I39" s="13">
        <v>0.6</v>
      </c>
      <c r="J39" s="20" t="s">
        <v>249</v>
      </c>
      <c r="L39" s="20" t="s">
        <v>248</v>
      </c>
      <c r="M39" s="20" t="s">
        <v>321</v>
      </c>
      <c r="N39" s="20" t="s">
        <v>22</v>
      </c>
      <c r="O39" s="20">
        <v>2</v>
      </c>
      <c r="P39" s="20">
        <v>3</v>
      </c>
      <c r="Q39" s="13">
        <v>0.58201073598961128</v>
      </c>
      <c r="R39" s="20" t="s">
        <v>249</v>
      </c>
      <c r="S39" s="20">
        <v>-0.68084046841453705</v>
      </c>
      <c r="T39" s="20" t="s">
        <v>248</v>
      </c>
      <c r="U39" s="20" t="s">
        <v>22</v>
      </c>
      <c r="V39" s="20">
        <v>1</v>
      </c>
      <c r="W39" s="20">
        <v>0</v>
      </c>
      <c r="X39" s="20" t="s">
        <v>490</v>
      </c>
      <c r="Y39" s="20" t="s">
        <v>292</v>
      </c>
      <c r="Z39" s="20" t="s">
        <v>60</v>
      </c>
      <c r="AA39" s="20" t="s">
        <v>491</v>
      </c>
    </row>
    <row r="40" spans="1:27" x14ac:dyDescent="0.2">
      <c r="A40" s="20" t="s">
        <v>181</v>
      </c>
      <c r="B40" s="20" t="s">
        <v>334</v>
      </c>
      <c r="C40" s="20" t="s">
        <v>35</v>
      </c>
      <c r="D40" s="20" t="s">
        <v>38</v>
      </c>
      <c r="E40" s="20" t="s">
        <v>545</v>
      </c>
      <c r="F40" s="20" t="s">
        <v>38</v>
      </c>
      <c r="G40" s="20">
        <v>2</v>
      </c>
      <c r="H40" s="20">
        <v>3</v>
      </c>
      <c r="I40" s="13">
        <v>0.6</v>
      </c>
      <c r="J40" s="20" t="s">
        <v>249</v>
      </c>
      <c r="L40" s="20" t="s">
        <v>249</v>
      </c>
      <c r="M40" s="20" t="s">
        <v>546</v>
      </c>
      <c r="N40" s="20" t="s">
        <v>38</v>
      </c>
      <c r="O40" s="20">
        <v>2</v>
      </c>
      <c r="P40" s="20">
        <v>3</v>
      </c>
      <c r="Q40" s="13">
        <v>0.59799721524144278</v>
      </c>
      <c r="R40" s="20" t="s">
        <v>249</v>
      </c>
      <c r="S40" s="20">
        <v>0.49670136576008078</v>
      </c>
      <c r="T40" s="20" t="s">
        <v>249</v>
      </c>
      <c r="U40" s="20" t="s">
        <v>35</v>
      </c>
      <c r="V40" s="20">
        <v>5</v>
      </c>
      <c r="W40" s="20">
        <v>2</v>
      </c>
      <c r="X40" s="20" t="s">
        <v>490</v>
      </c>
      <c r="Y40" s="20" t="s">
        <v>292</v>
      </c>
      <c r="Z40" s="20" t="s">
        <v>60</v>
      </c>
      <c r="AA40" s="20" t="s">
        <v>491</v>
      </c>
    </row>
    <row r="41" spans="1:27" x14ac:dyDescent="0.2">
      <c r="A41" s="20" t="s">
        <v>181</v>
      </c>
      <c r="B41" s="20" t="s">
        <v>369</v>
      </c>
      <c r="C41" s="20" t="s">
        <v>26</v>
      </c>
      <c r="D41" s="20" t="s">
        <v>19</v>
      </c>
      <c r="E41" s="20" t="s">
        <v>547</v>
      </c>
      <c r="F41" s="20" t="s">
        <v>19</v>
      </c>
      <c r="G41" s="20">
        <v>2</v>
      </c>
      <c r="H41" s="20">
        <v>3</v>
      </c>
      <c r="I41" s="13">
        <v>0.6</v>
      </c>
      <c r="J41" s="20" t="s">
        <v>249</v>
      </c>
      <c r="L41" s="20" t="s">
        <v>249</v>
      </c>
      <c r="M41" s="20" t="s">
        <v>523</v>
      </c>
      <c r="N41" s="20" t="s">
        <v>19</v>
      </c>
      <c r="O41" s="20">
        <v>2</v>
      </c>
      <c r="P41" s="20">
        <v>3</v>
      </c>
      <c r="Q41" s="13">
        <v>0.5739507224545598</v>
      </c>
      <c r="R41" s="20" t="s">
        <v>249</v>
      </c>
      <c r="S41" s="20">
        <v>0.29076172263649142</v>
      </c>
      <c r="T41" s="20" t="s">
        <v>249</v>
      </c>
      <c r="U41" s="20" t="s">
        <v>26</v>
      </c>
      <c r="V41" s="20">
        <v>3</v>
      </c>
      <c r="W41" s="20">
        <v>2</v>
      </c>
      <c r="X41" s="20" t="s">
        <v>490</v>
      </c>
      <c r="Y41" s="20" t="s">
        <v>292</v>
      </c>
      <c r="Z41" s="20" t="s">
        <v>60</v>
      </c>
      <c r="AA41" s="20" t="s">
        <v>491</v>
      </c>
    </row>
    <row r="42" spans="1:27" x14ac:dyDescent="0.2">
      <c r="A42" s="20" t="s">
        <v>181</v>
      </c>
      <c r="B42" s="20" t="s">
        <v>328</v>
      </c>
      <c r="C42" s="20" t="s">
        <v>11</v>
      </c>
      <c r="D42" s="20" t="s">
        <v>27</v>
      </c>
      <c r="E42" s="20" t="s">
        <v>548</v>
      </c>
      <c r="F42" s="20" t="s">
        <v>27</v>
      </c>
      <c r="G42" s="20">
        <v>2</v>
      </c>
      <c r="H42" s="20">
        <v>3</v>
      </c>
      <c r="I42" s="13">
        <v>0.6</v>
      </c>
      <c r="J42" s="20" t="s">
        <v>249</v>
      </c>
      <c r="L42" s="20" t="s">
        <v>248</v>
      </c>
      <c r="M42" s="20" t="s">
        <v>393</v>
      </c>
      <c r="N42" s="20" t="s">
        <v>27</v>
      </c>
      <c r="O42" s="20">
        <v>2</v>
      </c>
      <c r="P42" s="20">
        <v>3</v>
      </c>
      <c r="Q42" s="13">
        <v>0.56181410763720108</v>
      </c>
      <c r="R42" s="20" t="s">
        <v>249</v>
      </c>
      <c r="S42" s="20">
        <v>6.6779456480953014E-2</v>
      </c>
      <c r="T42" s="20" t="s">
        <v>248</v>
      </c>
      <c r="U42" s="20" t="s">
        <v>27</v>
      </c>
      <c r="V42" s="20">
        <v>2</v>
      </c>
      <c r="W42" s="20">
        <v>5</v>
      </c>
      <c r="X42" s="20" t="s">
        <v>490</v>
      </c>
      <c r="Y42" s="20" t="s">
        <v>292</v>
      </c>
      <c r="Z42" s="20" t="s">
        <v>60</v>
      </c>
      <c r="AA42" s="20" t="s">
        <v>491</v>
      </c>
    </row>
    <row r="43" spans="1:27" x14ac:dyDescent="0.2">
      <c r="A43" s="20" t="s">
        <v>181</v>
      </c>
      <c r="B43" s="20" t="s">
        <v>347</v>
      </c>
      <c r="C43" s="20" t="s">
        <v>29</v>
      </c>
      <c r="D43" s="20" t="s">
        <v>36</v>
      </c>
      <c r="E43" s="20" t="s">
        <v>549</v>
      </c>
      <c r="F43" s="20" t="s">
        <v>36</v>
      </c>
      <c r="G43" s="20">
        <v>2</v>
      </c>
      <c r="H43" s="20">
        <v>3</v>
      </c>
      <c r="I43" s="13">
        <v>0.6</v>
      </c>
      <c r="J43" s="20" t="s">
        <v>249</v>
      </c>
      <c r="L43" s="20" t="s">
        <v>249</v>
      </c>
      <c r="M43" s="20" t="s">
        <v>550</v>
      </c>
      <c r="N43" s="20" t="s">
        <v>36</v>
      </c>
      <c r="O43" s="20">
        <v>2</v>
      </c>
      <c r="P43" s="20">
        <v>3</v>
      </c>
      <c r="Q43" s="13">
        <v>0.64798566443947669</v>
      </c>
      <c r="R43" s="20" t="s">
        <v>249</v>
      </c>
      <c r="S43" s="20">
        <v>0.90344198186838476</v>
      </c>
      <c r="T43" s="20" t="s">
        <v>249</v>
      </c>
      <c r="U43" s="20" t="s">
        <v>29</v>
      </c>
      <c r="V43" s="20">
        <v>4</v>
      </c>
      <c r="W43" s="20">
        <v>1</v>
      </c>
      <c r="X43" s="20" t="s">
        <v>490</v>
      </c>
      <c r="Y43" s="20" t="s">
        <v>292</v>
      </c>
      <c r="Z43" s="20" t="s">
        <v>60</v>
      </c>
      <c r="AA43" s="20" t="s">
        <v>491</v>
      </c>
    </row>
    <row r="44" spans="1:27" x14ac:dyDescent="0.2">
      <c r="A44" s="20" t="s">
        <v>181</v>
      </c>
      <c r="B44" s="20" t="s">
        <v>347</v>
      </c>
      <c r="C44" s="20" t="s">
        <v>40</v>
      </c>
      <c r="D44" s="20" t="s">
        <v>30</v>
      </c>
      <c r="E44" s="20" t="s">
        <v>551</v>
      </c>
      <c r="F44" s="20" t="s">
        <v>30</v>
      </c>
      <c r="G44" s="20">
        <v>2</v>
      </c>
      <c r="H44" s="20">
        <v>3</v>
      </c>
      <c r="I44" s="13">
        <v>0.6</v>
      </c>
      <c r="J44" s="20" t="s">
        <v>249</v>
      </c>
      <c r="L44" s="20" t="s">
        <v>249</v>
      </c>
      <c r="M44" s="20" t="s">
        <v>552</v>
      </c>
      <c r="N44" s="20" t="s">
        <v>30</v>
      </c>
      <c r="O44" s="20">
        <v>2</v>
      </c>
      <c r="P44" s="20">
        <v>3</v>
      </c>
      <c r="Q44" s="13">
        <v>0.53350065759227305</v>
      </c>
      <c r="R44" s="20" t="s">
        <v>249</v>
      </c>
      <c r="S44" s="20">
        <v>0.1222105752646214</v>
      </c>
      <c r="T44" s="20" t="s">
        <v>249</v>
      </c>
      <c r="U44" s="20" t="s">
        <v>40</v>
      </c>
      <c r="V44" s="20">
        <v>5</v>
      </c>
      <c r="W44" s="20">
        <v>2</v>
      </c>
      <c r="X44" s="20" t="s">
        <v>490</v>
      </c>
      <c r="Y44" s="20" t="s">
        <v>292</v>
      </c>
      <c r="Z44" s="20" t="s">
        <v>60</v>
      </c>
      <c r="AA44" s="20" t="s">
        <v>491</v>
      </c>
    </row>
    <row r="45" spans="1:27" x14ac:dyDescent="0.2">
      <c r="A45" s="20" t="s">
        <v>181</v>
      </c>
      <c r="B45" s="20" t="s">
        <v>328</v>
      </c>
      <c r="C45" s="20" t="s">
        <v>24</v>
      </c>
      <c r="D45" s="20" t="s">
        <v>28</v>
      </c>
      <c r="E45" s="20" t="s">
        <v>553</v>
      </c>
      <c r="F45" s="20" t="s">
        <v>24</v>
      </c>
      <c r="G45" s="20">
        <v>2</v>
      </c>
      <c r="H45" s="20">
        <v>3</v>
      </c>
      <c r="I45" s="13">
        <v>0.6</v>
      </c>
      <c r="J45" s="20" t="s">
        <v>249</v>
      </c>
      <c r="L45" s="20" t="s">
        <v>248</v>
      </c>
      <c r="M45" s="20" t="s">
        <v>449</v>
      </c>
      <c r="N45" s="20" t="s">
        <v>24</v>
      </c>
      <c r="O45" s="20">
        <v>2</v>
      </c>
      <c r="P45" s="20">
        <v>3</v>
      </c>
      <c r="Q45" s="13">
        <v>0.54459505558641363</v>
      </c>
      <c r="R45" s="20" t="s">
        <v>249</v>
      </c>
      <c r="S45" s="20">
        <v>-0.54661890619198206</v>
      </c>
      <c r="T45" s="20" t="s">
        <v>248</v>
      </c>
      <c r="U45" s="20" t="s">
        <v>24</v>
      </c>
      <c r="V45" s="20">
        <v>3</v>
      </c>
      <c r="W45" s="20">
        <v>2</v>
      </c>
      <c r="X45" s="20" t="s">
        <v>490</v>
      </c>
      <c r="Y45" s="20" t="s">
        <v>292</v>
      </c>
      <c r="Z45" s="20" t="s">
        <v>60</v>
      </c>
      <c r="AA45" s="20" t="s">
        <v>491</v>
      </c>
    </row>
    <row r="46" spans="1:27" x14ac:dyDescent="0.2">
      <c r="A46" s="20" t="s">
        <v>181</v>
      </c>
      <c r="B46" s="20" t="s">
        <v>416</v>
      </c>
      <c r="C46" s="20" t="s">
        <v>55</v>
      </c>
      <c r="D46" s="20" t="s">
        <v>10</v>
      </c>
      <c r="E46" s="20" t="s">
        <v>554</v>
      </c>
      <c r="F46" s="20" t="s">
        <v>10</v>
      </c>
      <c r="G46" s="20">
        <v>2</v>
      </c>
      <c r="H46" s="20">
        <v>3</v>
      </c>
      <c r="I46" s="13">
        <v>0.6</v>
      </c>
      <c r="J46" s="20" t="s">
        <v>249</v>
      </c>
      <c r="L46" s="20" t="s">
        <v>248</v>
      </c>
      <c r="M46" s="20" t="s">
        <v>303</v>
      </c>
      <c r="N46" s="20" t="s">
        <v>10</v>
      </c>
      <c r="O46" s="20">
        <v>2</v>
      </c>
      <c r="P46" s="20">
        <v>3</v>
      </c>
      <c r="Q46" s="13">
        <v>0.57232372932370801</v>
      </c>
      <c r="R46" s="20" t="s">
        <v>249</v>
      </c>
      <c r="S46" s="20">
        <v>0.27682778276003128</v>
      </c>
      <c r="T46" s="20" t="s">
        <v>248</v>
      </c>
      <c r="U46" s="20" t="s">
        <v>10</v>
      </c>
      <c r="V46" s="20">
        <v>1</v>
      </c>
      <c r="W46" s="20">
        <v>3</v>
      </c>
      <c r="X46" s="20" t="s">
        <v>490</v>
      </c>
      <c r="Y46" s="20" t="s">
        <v>292</v>
      </c>
      <c r="Z46" s="20" t="s">
        <v>60</v>
      </c>
      <c r="AA46" s="20" t="s">
        <v>491</v>
      </c>
    </row>
    <row r="47" spans="1:27" x14ac:dyDescent="0.2">
      <c r="A47" s="20" t="s">
        <v>181</v>
      </c>
      <c r="B47" s="20" t="s">
        <v>555</v>
      </c>
      <c r="C47" s="20" t="s">
        <v>12</v>
      </c>
      <c r="D47" s="20" t="s">
        <v>23</v>
      </c>
      <c r="E47" s="20" t="s">
        <v>556</v>
      </c>
      <c r="F47" s="20" t="s">
        <v>12</v>
      </c>
      <c r="G47" s="20">
        <v>2</v>
      </c>
      <c r="H47" s="20">
        <v>3</v>
      </c>
      <c r="I47" s="13">
        <v>0.6</v>
      </c>
      <c r="J47" s="20" t="s">
        <v>249</v>
      </c>
      <c r="L47" s="20" t="s">
        <v>248</v>
      </c>
      <c r="M47" s="20" t="s">
        <v>361</v>
      </c>
      <c r="N47" s="20" t="s">
        <v>12</v>
      </c>
      <c r="O47" s="20">
        <v>2</v>
      </c>
      <c r="P47" s="20">
        <v>3</v>
      </c>
      <c r="Q47" s="13">
        <v>0.76276408823416275</v>
      </c>
      <c r="R47" s="20" t="s">
        <v>249</v>
      </c>
      <c r="S47" s="20">
        <v>-2.0581133452444029</v>
      </c>
      <c r="T47" s="20" t="s">
        <v>248</v>
      </c>
      <c r="U47" s="20" t="s">
        <v>12</v>
      </c>
      <c r="V47" s="20">
        <v>3</v>
      </c>
      <c r="W47" s="20">
        <v>1</v>
      </c>
      <c r="X47" s="20" t="s">
        <v>490</v>
      </c>
      <c r="Y47" s="20" t="s">
        <v>292</v>
      </c>
      <c r="Z47" s="20" t="s">
        <v>60</v>
      </c>
      <c r="AA47" s="20" t="s">
        <v>491</v>
      </c>
    </row>
    <row r="48" spans="1:27" x14ac:dyDescent="0.2">
      <c r="A48" s="20" t="s">
        <v>181</v>
      </c>
      <c r="B48" s="20" t="s">
        <v>347</v>
      </c>
      <c r="C48" s="20" t="s">
        <v>37</v>
      </c>
      <c r="D48" s="20" t="s">
        <v>21</v>
      </c>
      <c r="E48" s="20" t="s">
        <v>557</v>
      </c>
      <c r="F48" s="20" t="s">
        <v>37</v>
      </c>
      <c r="G48" s="20">
        <v>2</v>
      </c>
      <c r="H48" s="20">
        <v>3</v>
      </c>
      <c r="I48" s="13">
        <v>0.6</v>
      </c>
      <c r="J48" s="20" t="s">
        <v>249</v>
      </c>
      <c r="L48" s="20" t="s">
        <v>248</v>
      </c>
      <c r="M48" s="20" t="s">
        <v>395</v>
      </c>
      <c r="N48" s="20" t="s">
        <v>37</v>
      </c>
      <c r="O48" s="20">
        <v>2</v>
      </c>
      <c r="P48" s="20">
        <v>3</v>
      </c>
      <c r="Q48" s="13">
        <v>0.58853461032201404</v>
      </c>
      <c r="R48" s="20" t="s">
        <v>249</v>
      </c>
      <c r="S48" s="20">
        <v>-0.68037395827117342</v>
      </c>
      <c r="T48" s="20" t="s">
        <v>248</v>
      </c>
      <c r="U48" s="20" t="s">
        <v>37</v>
      </c>
      <c r="V48" s="20">
        <v>4</v>
      </c>
      <c r="W48" s="20">
        <v>3</v>
      </c>
      <c r="X48" s="20" t="s">
        <v>490</v>
      </c>
      <c r="Y48" s="20" t="s">
        <v>292</v>
      </c>
      <c r="Z48" s="20" t="s">
        <v>60</v>
      </c>
      <c r="AA48" s="20" t="s">
        <v>491</v>
      </c>
    </row>
    <row r="49" spans="1:27" x14ac:dyDescent="0.2">
      <c r="A49" s="20" t="s">
        <v>181</v>
      </c>
      <c r="B49" s="20" t="s">
        <v>324</v>
      </c>
      <c r="C49" s="20" t="s">
        <v>13</v>
      </c>
      <c r="D49" s="20" t="s">
        <v>34</v>
      </c>
      <c r="E49" s="20" t="s">
        <v>558</v>
      </c>
      <c r="F49" s="20" t="s">
        <v>34</v>
      </c>
      <c r="G49" s="20">
        <v>2</v>
      </c>
      <c r="H49" s="20">
        <v>3</v>
      </c>
      <c r="I49" s="13">
        <v>0.6</v>
      </c>
      <c r="J49" s="20" t="s">
        <v>249</v>
      </c>
      <c r="L49" s="20" t="s">
        <v>248</v>
      </c>
      <c r="M49" s="20" t="s">
        <v>343</v>
      </c>
      <c r="N49" s="20" t="s">
        <v>34</v>
      </c>
      <c r="O49" s="20">
        <v>2</v>
      </c>
      <c r="P49" s="20">
        <v>3</v>
      </c>
      <c r="Q49" s="13">
        <v>0.51257382978220933</v>
      </c>
      <c r="R49" s="20" t="s">
        <v>249</v>
      </c>
      <c r="S49" s="20">
        <v>0.33305956015089733</v>
      </c>
      <c r="T49" s="20" t="s">
        <v>248</v>
      </c>
      <c r="U49" s="20" t="s">
        <v>34</v>
      </c>
      <c r="V49" s="20">
        <v>3</v>
      </c>
      <c r="W49" s="20">
        <v>4</v>
      </c>
      <c r="X49" s="20" t="s">
        <v>496</v>
      </c>
      <c r="Y49" s="20" t="s">
        <v>292</v>
      </c>
      <c r="Z49" s="20" t="s">
        <v>60</v>
      </c>
      <c r="AA49" s="20" t="s">
        <v>491</v>
      </c>
    </row>
    <row r="50" spans="1:27" x14ac:dyDescent="0.2">
      <c r="A50" s="20" t="s">
        <v>182</v>
      </c>
      <c r="B50" s="20" t="s">
        <v>322</v>
      </c>
      <c r="C50" s="20" t="s">
        <v>25</v>
      </c>
      <c r="D50" s="20" t="s">
        <v>33</v>
      </c>
      <c r="E50" s="20" t="s">
        <v>559</v>
      </c>
      <c r="F50" s="20" t="s">
        <v>25</v>
      </c>
      <c r="G50" s="20">
        <v>2</v>
      </c>
      <c r="H50" s="20">
        <v>3</v>
      </c>
      <c r="I50" s="13">
        <v>0.6</v>
      </c>
      <c r="J50" s="20" t="s">
        <v>249</v>
      </c>
      <c r="L50" s="20" t="s">
        <v>248</v>
      </c>
      <c r="M50" s="20" t="s">
        <v>450</v>
      </c>
      <c r="N50" s="20" t="s">
        <v>25</v>
      </c>
      <c r="O50" s="20">
        <v>2</v>
      </c>
      <c r="P50" s="20">
        <v>3</v>
      </c>
      <c r="Q50" s="13">
        <v>0.61902574000297383</v>
      </c>
      <c r="R50" s="20" t="s">
        <v>249</v>
      </c>
      <c r="S50" s="20">
        <v>-0.82710538078763363</v>
      </c>
      <c r="T50" s="20" t="s">
        <v>248</v>
      </c>
      <c r="U50" s="20" t="s">
        <v>25</v>
      </c>
      <c r="V50" s="20">
        <v>5</v>
      </c>
      <c r="W50" s="20">
        <v>1</v>
      </c>
      <c r="X50" s="20" t="s">
        <v>490</v>
      </c>
      <c r="Y50" s="20" t="s">
        <v>292</v>
      </c>
      <c r="Z50" s="20" t="s">
        <v>60</v>
      </c>
      <c r="AA50" s="20" t="s">
        <v>491</v>
      </c>
    </row>
    <row r="51" spans="1:27" x14ac:dyDescent="0.2">
      <c r="A51" s="20" t="s">
        <v>182</v>
      </c>
      <c r="B51" s="20" t="s">
        <v>328</v>
      </c>
      <c r="C51" s="20" t="s">
        <v>29</v>
      </c>
      <c r="D51" s="20" t="s">
        <v>19</v>
      </c>
      <c r="E51" s="20" t="s">
        <v>560</v>
      </c>
      <c r="F51" s="20" t="s">
        <v>19</v>
      </c>
      <c r="G51" s="20">
        <v>2</v>
      </c>
      <c r="H51" s="20">
        <v>3</v>
      </c>
      <c r="I51" s="13">
        <v>0.6</v>
      </c>
      <c r="J51" s="20" t="s">
        <v>249</v>
      </c>
      <c r="L51" s="20" t="s">
        <v>248</v>
      </c>
      <c r="M51" s="20" t="s">
        <v>312</v>
      </c>
      <c r="N51" s="20" t="s">
        <v>19</v>
      </c>
      <c r="O51" s="20">
        <v>2</v>
      </c>
      <c r="P51" s="20">
        <v>3</v>
      </c>
      <c r="Q51" s="13">
        <v>0.63345144195222269</v>
      </c>
      <c r="R51" s="20" t="s">
        <v>249</v>
      </c>
      <c r="S51" s="20">
        <v>0.80033944141424285</v>
      </c>
      <c r="T51" s="20" t="s">
        <v>248</v>
      </c>
      <c r="U51" s="20" t="s">
        <v>19</v>
      </c>
      <c r="V51" s="20">
        <v>4</v>
      </c>
      <c r="W51" s="20">
        <v>7</v>
      </c>
      <c r="X51" s="20" t="s">
        <v>490</v>
      </c>
      <c r="Y51" s="20" t="s">
        <v>292</v>
      </c>
      <c r="Z51" s="20" t="s">
        <v>60</v>
      </c>
      <c r="AA51" s="20" t="s">
        <v>491</v>
      </c>
    </row>
    <row r="52" spans="1:27" x14ac:dyDescent="0.2">
      <c r="A52" s="20" t="s">
        <v>182</v>
      </c>
      <c r="B52" s="20" t="s">
        <v>328</v>
      </c>
      <c r="C52" s="20" t="s">
        <v>37</v>
      </c>
      <c r="D52" s="20" t="s">
        <v>22</v>
      </c>
      <c r="E52" s="20" t="s">
        <v>358</v>
      </c>
      <c r="F52" s="20" t="s">
        <v>37</v>
      </c>
      <c r="G52" s="20">
        <v>2</v>
      </c>
      <c r="H52" s="20">
        <v>3</v>
      </c>
      <c r="I52" s="13">
        <v>0.6</v>
      </c>
      <c r="J52" s="20" t="s">
        <v>249</v>
      </c>
      <c r="L52" s="20" t="s">
        <v>249</v>
      </c>
      <c r="M52" s="20" t="s">
        <v>561</v>
      </c>
      <c r="N52" s="20" t="s">
        <v>37</v>
      </c>
      <c r="O52" s="20">
        <v>2</v>
      </c>
      <c r="P52" s="20">
        <v>3</v>
      </c>
      <c r="Q52" s="13">
        <v>0.52863905379213916</v>
      </c>
      <c r="R52" s="20" t="s">
        <v>249</v>
      </c>
      <c r="S52" s="20">
        <v>-1.9896964969684901E-2</v>
      </c>
      <c r="T52" s="20" t="s">
        <v>249</v>
      </c>
      <c r="U52" s="20" t="s">
        <v>22</v>
      </c>
      <c r="V52" s="20">
        <v>2</v>
      </c>
      <c r="W52" s="20">
        <v>3</v>
      </c>
      <c r="X52" s="20" t="s">
        <v>496</v>
      </c>
      <c r="Y52" s="20" t="s">
        <v>292</v>
      </c>
      <c r="Z52" s="20" t="s">
        <v>60</v>
      </c>
      <c r="AA52" s="20" t="s">
        <v>491</v>
      </c>
    </row>
    <row r="53" spans="1:27" x14ac:dyDescent="0.2">
      <c r="A53" s="20" t="s">
        <v>182</v>
      </c>
      <c r="B53" s="20" t="s">
        <v>328</v>
      </c>
      <c r="C53" s="20" t="s">
        <v>17</v>
      </c>
      <c r="D53" s="20" t="s">
        <v>15</v>
      </c>
      <c r="E53" s="20" t="s">
        <v>562</v>
      </c>
      <c r="F53" s="20" t="s">
        <v>15</v>
      </c>
      <c r="G53" s="20">
        <v>2</v>
      </c>
      <c r="H53" s="20">
        <v>3</v>
      </c>
      <c r="I53" s="13">
        <v>0.6</v>
      </c>
      <c r="J53" s="20" t="s">
        <v>249</v>
      </c>
      <c r="L53" s="20" t="s">
        <v>249</v>
      </c>
      <c r="M53" s="20" t="s">
        <v>563</v>
      </c>
      <c r="N53" s="20" t="s">
        <v>15</v>
      </c>
      <c r="O53" s="20">
        <v>2</v>
      </c>
      <c r="P53" s="20">
        <v>3</v>
      </c>
      <c r="Q53" s="13">
        <v>0.60744489276378211</v>
      </c>
      <c r="R53" s="20" t="s">
        <v>249</v>
      </c>
      <c r="S53" s="20">
        <v>0.57761342867674159</v>
      </c>
      <c r="T53" s="20" t="s">
        <v>249</v>
      </c>
      <c r="U53" s="20" t="s">
        <v>17</v>
      </c>
      <c r="V53" s="20">
        <v>2</v>
      </c>
      <c r="W53" s="20">
        <v>0</v>
      </c>
      <c r="X53" s="20" t="s">
        <v>490</v>
      </c>
      <c r="Y53" s="20" t="s">
        <v>292</v>
      </c>
      <c r="Z53" s="20" t="s">
        <v>60</v>
      </c>
      <c r="AA53" s="20" t="s">
        <v>491</v>
      </c>
    </row>
    <row r="54" spans="1:27" x14ac:dyDescent="0.2">
      <c r="A54" s="20" t="s">
        <v>182</v>
      </c>
      <c r="B54" s="20" t="s">
        <v>326</v>
      </c>
      <c r="C54" s="20" t="s">
        <v>20</v>
      </c>
      <c r="D54" s="20" t="s">
        <v>16</v>
      </c>
      <c r="E54" s="20" t="s">
        <v>564</v>
      </c>
      <c r="F54" s="20" t="s">
        <v>20</v>
      </c>
      <c r="G54" s="20">
        <v>2</v>
      </c>
      <c r="H54" s="20">
        <v>3</v>
      </c>
      <c r="I54" s="13">
        <v>0.6</v>
      </c>
      <c r="J54" s="20" t="s">
        <v>249</v>
      </c>
      <c r="L54" s="20" t="s">
        <v>248</v>
      </c>
      <c r="M54" s="20" t="s">
        <v>510</v>
      </c>
      <c r="N54" s="20" t="s">
        <v>20</v>
      </c>
      <c r="O54" s="20">
        <v>2</v>
      </c>
      <c r="P54" s="20">
        <v>3</v>
      </c>
      <c r="Q54" s="13">
        <v>0.55007697058911142</v>
      </c>
      <c r="R54" s="20" t="s">
        <v>249</v>
      </c>
      <c r="S54" s="20">
        <v>-0.77143969980082194</v>
      </c>
      <c r="T54" s="20" t="s">
        <v>248</v>
      </c>
      <c r="U54" s="20" t="s">
        <v>20</v>
      </c>
      <c r="V54" s="20">
        <v>4</v>
      </c>
      <c r="W54" s="20">
        <v>2</v>
      </c>
      <c r="X54" s="20" t="s">
        <v>490</v>
      </c>
      <c r="Y54" s="20" t="s">
        <v>292</v>
      </c>
      <c r="Z54" s="20" t="s">
        <v>60</v>
      </c>
      <c r="AA54" s="20" t="s">
        <v>491</v>
      </c>
    </row>
    <row r="55" spans="1:27" x14ac:dyDescent="0.2">
      <c r="A55" s="20" t="s">
        <v>182</v>
      </c>
      <c r="B55" s="20" t="s">
        <v>426</v>
      </c>
      <c r="C55" s="20" t="s">
        <v>34</v>
      </c>
      <c r="D55" s="20" t="s">
        <v>39</v>
      </c>
      <c r="E55" s="20" t="s">
        <v>565</v>
      </c>
      <c r="F55" s="20" t="s">
        <v>39</v>
      </c>
      <c r="G55" s="20">
        <v>2</v>
      </c>
      <c r="H55" s="20">
        <v>3</v>
      </c>
      <c r="I55" s="13">
        <v>0.6</v>
      </c>
      <c r="J55" s="20" t="s">
        <v>249</v>
      </c>
      <c r="L55" s="20" t="s">
        <v>248</v>
      </c>
      <c r="M55" s="20" t="s">
        <v>398</v>
      </c>
      <c r="N55" s="20" t="s">
        <v>39</v>
      </c>
      <c r="O55" s="20">
        <v>2</v>
      </c>
      <c r="P55" s="20">
        <v>3</v>
      </c>
      <c r="Q55" s="13">
        <v>0.5906592774329128</v>
      </c>
      <c r="R55" s="20" t="s">
        <v>249</v>
      </c>
      <c r="S55" s="20">
        <v>0.51846803822776111</v>
      </c>
      <c r="T55" s="20" t="s">
        <v>248</v>
      </c>
      <c r="U55" s="20" t="s">
        <v>39</v>
      </c>
      <c r="V55" s="20">
        <v>2</v>
      </c>
      <c r="W55" s="20">
        <v>5</v>
      </c>
      <c r="X55" s="20" t="s">
        <v>490</v>
      </c>
      <c r="Y55" s="20" t="s">
        <v>292</v>
      </c>
      <c r="Z55" s="20" t="s">
        <v>60</v>
      </c>
      <c r="AA55" s="20" t="s">
        <v>491</v>
      </c>
    </row>
    <row r="56" spans="1:27" x14ac:dyDescent="0.2">
      <c r="A56" s="20" t="s">
        <v>182</v>
      </c>
      <c r="B56" s="20" t="s">
        <v>340</v>
      </c>
      <c r="C56" s="20" t="s">
        <v>14</v>
      </c>
      <c r="D56" s="20" t="s">
        <v>31</v>
      </c>
      <c r="E56" s="20" t="s">
        <v>566</v>
      </c>
      <c r="F56" s="20" t="s">
        <v>31</v>
      </c>
      <c r="G56" s="20">
        <v>2</v>
      </c>
      <c r="H56" s="20">
        <v>3</v>
      </c>
      <c r="I56" s="13">
        <v>0.6</v>
      </c>
      <c r="J56" s="20" t="s">
        <v>249</v>
      </c>
      <c r="L56" s="20" t="s">
        <v>248</v>
      </c>
      <c r="M56" s="20" t="s">
        <v>291</v>
      </c>
      <c r="N56" s="20" t="s">
        <v>31</v>
      </c>
      <c r="O56" s="20">
        <v>2</v>
      </c>
      <c r="P56" s="20">
        <v>3</v>
      </c>
      <c r="Q56" s="13">
        <v>0.62539386396399976</v>
      </c>
      <c r="R56" s="20" t="s">
        <v>249</v>
      </c>
      <c r="S56" s="20">
        <v>0.37086799232791878</v>
      </c>
      <c r="T56" s="20" t="s">
        <v>248</v>
      </c>
      <c r="U56" s="20" t="s">
        <v>31</v>
      </c>
      <c r="V56" s="20">
        <v>3</v>
      </c>
      <c r="W56" s="20">
        <v>4</v>
      </c>
      <c r="X56" s="20" t="s">
        <v>490</v>
      </c>
      <c r="Y56" s="20" t="s">
        <v>292</v>
      </c>
      <c r="Z56" s="20" t="s">
        <v>60</v>
      </c>
      <c r="AA56" s="20" t="s">
        <v>491</v>
      </c>
    </row>
    <row r="57" spans="1:27" x14ac:dyDescent="0.2">
      <c r="A57" s="20" t="s">
        <v>182</v>
      </c>
      <c r="B57" s="20" t="s">
        <v>328</v>
      </c>
      <c r="C57" s="20" t="s">
        <v>32</v>
      </c>
      <c r="D57" s="20" t="s">
        <v>18</v>
      </c>
      <c r="E57" s="20" t="s">
        <v>567</v>
      </c>
      <c r="F57" s="20" t="s">
        <v>18</v>
      </c>
      <c r="G57" s="20">
        <v>2</v>
      </c>
      <c r="H57" s="20">
        <v>3</v>
      </c>
      <c r="I57" s="13">
        <v>0.6</v>
      </c>
      <c r="J57" s="20" t="s">
        <v>249</v>
      </c>
      <c r="L57" s="20" t="s">
        <v>248</v>
      </c>
      <c r="M57" s="20" t="s">
        <v>360</v>
      </c>
      <c r="N57" s="20" t="s">
        <v>18</v>
      </c>
      <c r="O57" s="20">
        <v>2</v>
      </c>
      <c r="P57" s="20">
        <v>3</v>
      </c>
      <c r="Q57" s="13">
        <v>0.55242241073459541</v>
      </c>
      <c r="R57" s="20" t="s">
        <v>249</v>
      </c>
      <c r="S57" s="20">
        <v>0.10638835592742719</v>
      </c>
      <c r="T57" s="20" t="s">
        <v>248</v>
      </c>
      <c r="U57" s="20" t="s">
        <v>18</v>
      </c>
      <c r="V57" s="20">
        <v>4</v>
      </c>
      <c r="W57" s="20">
        <v>5</v>
      </c>
      <c r="X57" s="20" t="s">
        <v>496</v>
      </c>
      <c r="Y57" s="20" t="s">
        <v>292</v>
      </c>
      <c r="Z57" s="20" t="s">
        <v>60</v>
      </c>
      <c r="AA57" s="20" t="s">
        <v>491</v>
      </c>
    </row>
    <row r="58" spans="1:27" x14ac:dyDescent="0.2">
      <c r="A58" s="20" t="s">
        <v>183</v>
      </c>
      <c r="B58" s="20" t="s">
        <v>426</v>
      </c>
      <c r="C58" s="20" t="s">
        <v>10</v>
      </c>
      <c r="D58" s="20" t="s">
        <v>35</v>
      </c>
      <c r="E58" s="20" t="s">
        <v>568</v>
      </c>
      <c r="F58" s="20" t="s">
        <v>10</v>
      </c>
      <c r="G58" s="20">
        <v>2</v>
      </c>
      <c r="H58" s="20">
        <v>3</v>
      </c>
      <c r="I58" s="13">
        <v>0.6</v>
      </c>
      <c r="J58" s="20" t="s">
        <v>249</v>
      </c>
      <c r="L58" s="20" t="s">
        <v>248</v>
      </c>
      <c r="M58" s="20" t="s">
        <v>303</v>
      </c>
      <c r="N58" s="20" t="s">
        <v>10</v>
      </c>
      <c r="O58" s="20">
        <v>2</v>
      </c>
      <c r="P58" s="20">
        <v>3</v>
      </c>
      <c r="Q58" s="13">
        <v>0.59642576877361209</v>
      </c>
      <c r="R58" s="20" t="s">
        <v>249</v>
      </c>
      <c r="S58" s="20">
        <v>-1.1683813678402459</v>
      </c>
      <c r="T58" s="20" t="s">
        <v>248</v>
      </c>
      <c r="U58" s="20" t="s">
        <v>10</v>
      </c>
      <c r="V58" s="20">
        <v>8</v>
      </c>
      <c r="W58" s="20">
        <v>3</v>
      </c>
      <c r="X58" s="20" t="s">
        <v>490</v>
      </c>
      <c r="Y58" s="20" t="s">
        <v>292</v>
      </c>
      <c r="Z58" s="20" t="s">
        <v>60</v>
      </c>
      <c r="AA58" s="20" t="s">
        <v>491</v>
      </c>
    </row>
    <row r="59" spans="1:27" x14ac:dyDescent="0.2">
      <c r="A59" s="20" t="s">
        <v>183</v>
      </c>
      <c r="B59" s="20" t="s">
        <v>426</v>
      </c>
      <c r="C59" s="20" t="s">
        <v>16</v>
      </c>
      <c r="D59" s="20" t="s">
        <v>55</v>
      </c>
      <c r="E59" s="20" t="s">
        <v>569</v>
      </c>
      <c r="F59" s="20" t="s">
        <v>55</v>
      </c>
      <c r="G59" s="20">
        <v>2</v>
      </c>
      <c r="H59" s="20">
        <v>3</v>
      </c>
      <c r="I59" s="13">
        <v>0.6</v>
      </c>
      <c r="J59" s="20" t="s">
        <v>249</v>
      </c>
      <c r="L59" s="20" t="s">
        <v>248</v>
      </c>
      <c r="M59" s="20" t="s">
        <v>362</v>
      </c>
      <c r="N59" s="20" t="s">
        <v>55</v>
      </c>
      <c r="O59" s="20">
        <v>2</v>
      </c>
      <c r="P59" s="20">
        <v>3</v>
      </c>
      <c r="Q59" s="13">
        <v>0.66363292683452446</v>
      </c>
      <c r="R59" s="20" t="s">
        <v>249</v>
      </c>
      <c r="S59" s="20">
        <v>0.71255873894660082</v>
      </c>
      <c r="T59" s="20" t="s">
        <v>248</v>
      </c>
      <c r="U59" s="20" t="s">
        <v>55</v>
      </c>
      <c r="V59" s="20">
        <v>1</v>
      </c>
      <c r="W59" s="20">
        <v>3</v>
      </c>
      <c r="X59" s="20" t="s">
        <v>490</v>
      </c>
      <c r="Y59" s="20" t="s">
        <v>292</v>
      </c>
      <c r="Z59" s="20" t="s">
        <v>60</v>
      </c>
      <c r="AA59" s="20" t="s">
        <v>491</v>
      </c>
    </row>
    <row r="60" spans="1:27" x14ac:dyDescent="0.2">
      <c r="A60" s="20" t="s">
        <v>183</v>
      </c>
      <c r="B60" s="20" t="s">
        <v>328</v>
      </c>
      <c r="C60" s="20" t="s">
        <v>36</v>
      </c>
      <c r="D60" s="20" t="s">
        <v>23</v>
      </c>
      <c r="E60" s="20" t="s">
        <v>570</v>
      </c>
      <c r="F60" s="20" t="s">
        <v>23</v>
      </c>
      <c r="G60" s="20">
        <v>2</v>
      </c>
      <c r="H60" s="20">
        <v>3</v>
      </c>
      <c r="I60" s="13">
        <v>0.6</v>
      </c>
      <c r="J60" s="20" t="s">
        <v>249</v>
      </c>
      <c r="L60" s="20" t="s">
        <v>248</v>
      </c>
      <c r="M60" s="20" t="s">
        <v>296</v>
      </c>
      <c r="N60" s="20" t="s">
        <v>23</v>
      </c>
      <c r="O60" s="20">
        <v>2</v>
      </c>
      <c r="P60" s="20">
        <v>3</v>
      </c>
      <c r="Q60" s="13">
        <v>0.56240197453604368</v>
      </c>
      <c r="R60" s="20" t="s">
        <v>249</v>
      </c>
      <c r="S60" s="20">
        <v>0.10516636404741141</v>
      </c>
      <c r="T60" s="20" t="s">
        <v>248</v>
      </c>
      <c r="U60" s="20" t="s">
        <v>23</v>
      </c>
      <c r="V60" s="20">
        <v>4</v>
      </c>
      <c r="W60" s="20">
        <v>8</v>
      </c>
      <c r="X60" s="20" t="s">
        <v>490</v>
      </c>
      <c r="Y60" s="20" t="s">
        <v>292</v>
      </c>
      <c r="Z60" s="20" t="s">
        <v>60</v>
      </c>
      <c r="AA60" s="20" t="s">
        <v>491</v>
      </c>
    </row>
    <row r="61" spans="1:27" x14ac:dyDescent="0.2">
      <c r="A61" s="20" t="s">
        <v>183</v>
      </c>
      <c r="B61" s="20" t="s">
        <v>328</v>
      </c>
      <c r="C61" s="20" t="s">
        <v>11</v>
      </c>
      <c r="D61" s="20" t="s">
        <v>26</v>
      </c>
      <c r="E61" s="20" t="s">
        <v>571</v>
      </c>
      <c r="F61" s="20" t="s">
        <v>11</v>
      </c>
      <c r="G61" s="20">
        <v>2</v>
      </c>
      <c r="H61" s="20">
        <v>3</v>
      </c>
      <c r="I61" s="13">
        <v>0.6</v>
      </c>
      <c r="J61" s="20" t="s">
        <v>249</v>
      </c>
      <c r="L61" s="20" t="s">
        <v>249</v>
      </c>
      <c r="M61" s="20" t="s">
        <v>572</v>
      </c>
      <c r="N61" s="20" t="s">
        <v>11</v>
      </c>
      <c r="O61" s="20">
        <v>2</v>
      </c>
      <c r="P61" s="20">
        <v>3</v>
      </c>
      <c r="Q61" s="13">
        <v>0.51001274285878251</v>
      </c>
      <c r="R61" s="20" t="s">
        <v>249</v>
      </c>
      <c r="S61" s="20">
        <v>-0.42832052504504048</v>
      </c>
      <c r="T61" s="20" t="s">
        <v>249</v>
      </c>
      <c r="U61" s="20" t="s">
        <v>26</v>
      </c>
      <c r="V61" s="20">
        <v>1</v>
      </c>
      <c r="W61" s="20">
        <v>4</v>
      </c>
      <c r="X61" s="20" t="s">
        <v>490</v>
      </c>
      <c r="Y61" s="20" t="s">
        <v>292</v>
      </c>
      <c r="Z61" s="20" t="s">
        <v>60</v>
      </c>
      <c r="AA61" s="20" t="s">
        <v>491</v>
      </c>
    </row>
    <row r="62" spans="1:27" x14ac:dyDescent="0.2">
      <c r="A62" s="20" t="s">
        <v>184</v>
      </c>
      <c r="B62" s="20" t="s">
        <v>328</v>
      </c>
      <c r="C62" s="20" t="s">
        <v>12</v>
      </c>
      <c r="D62" s="20" t="s">
        <v>28</v>
      </c>
      <c r="E62" s="20" t="s">
        <v>573</v>
      </c>
      <c r="F62" s="20" t="s">
        <v>12</v>
      </c>
      <c r="G62" s="20">
        <v>2</v>
      </c>
      <c r="H62" s="20">
        <v>3</v>
      </c>
      <c r="I62" s="13">
        <v>0.6</v>
      </c>
      <c r="J62" s="20" t="s">
        <v>249</v>
      </c>
      <c r="L62" s="20" t="s">
        <v>248</v>
      </c>
      <c r="M62" s="20" t="s">
        <v>361</v>
      </c>
      <c r="N62" s="20" t="s">
        <v>12</v>
      </c>
      <c r="O62" s="20">
        <v>2</v>
      </c>
      <c r="P62" s="20">
        <v>3</v>
      </c>
      <c r="Q62" s="13">
        <v>0.78681915186374829</v>
      </c>
      <c r="R62" s="20" t="s">
        <v>249</v>
      </c>
      <c r="S62" s="20">
        <v>-2.1769923138543539</v>
      </c>
      <c r="T62" s="20" t="s">
        <v>248</v>
      </c>
      <c r="U62" s="20" t="s">
        <v>12</v>
      </c>
      <c r="V62" s="20">
        <v>4</v>
      </c>
      <c r="W62" s="20">
        <v>1</v>
      </c>
      <c r="X62" s="20" t="s">
        <v>490</v>
      </c>
      <c r="Y62" s="20" t="s">
        <v>292</v>
      </c>
      <c r="Z62" s="20" t="s">
        <v>60</v>
      </c>
      <c r="AA62" s="20" t="s">
        <v>491</v>
      </c>
    </row>
    <row r="63" spans="1:27" x14ac:dyDescent="0.2">
      <c r="A63" s="20" t="s">
        <v>184</v>
      </c>
      <c r="B63" s="20" t="s">
        <v>324</v>
      </c>
      <c r="C63" s="20" t="s">
        <v>38</v>
      </c>
      <c r="D63" s="20" t="s">
        <v>39</v>
      </c>
      <c r="E63" s="20" t="s">
        <v>574</v>
      </c>
      <c r="F63" s="20" t="s">
        <v>39</v>
      </c>
      <c r="G63" s="20">
        <v>2</v>
      </c>
      <c r="H63" s="20">
        <v>3</v>
      </c>
      <c r="I63" s="13">
        <v>0.6</v>
      </c>
      <c r="J63" s="20" t="s">
        <v>249</v>
      </c>
      <c r="L63" s="20" t="s">
        <v>249</v>
      </c>
      <c r="M63" s="20" t="s">
        <v>575</v>
      </c>
      <c r="N63" s="20" t="s">
        <v>39</v>
      </c>
      <c r="O63" s="20">
        <v>2</v>
      </c>
      <c r="P63" s="20">
        <v>3</v>
      </c>
      <c r="Q63" s="13">
        <v>0.73347790676820435</v>
      </c>
      <c r="R63" s="20" t="s">
        <v>249</v>
      </c>
      <c r="S63" s="20">
        <v>1.411021005889086</v>
      </c>
      <c r="T63" s="20" t="s">
        <v>249</v>
      </c>
      <c r="U63" s="20" t="s">
        <v>38</v>
      </c>
      <c r="V63" s="20">
        <v>5</v>
      </c>
      <c r="W63" s="20">
        <v>3</v>
      </c>
      <c r="X63" s="20" t="s">
        <v>490</v>
      </c>
      <c r="Y63" s="20" t="s">
        <v>292</v>
      </c>
      <c r="Z63" s="20" t="s">
        <v>60</v>
      </c>
      <c r="AA63" s="20" t="s">
        <v>491</v>
      </c>
    </row>
    <row r="64" spans="1:27" x14ac:dyDescent="0.2">
      <c r="A64" s="20" t="s">
        <v>184</v>
      </c>
      <c r="B64" s="20" t="s">
        <v>322</v>
      </c>
      <c r="C64" s="20" t="s">
        <v>21</v>
      </c>
      <c r="D64" s="20" t="s">
        <v>20</v>
      </c>
      <c r="E64" s="20" t="s">
        <v>576</v>
      </c>
      <c r="F64" s="20" t="s">
        <v>20</v>
      </c>
      <c r="G64" s="20">
        <v>2</v>
      </c>
      <c r="H64" s="20">
        <v>3</v>
      </c>
      <c r="I64" s="13">
        <v>0.6</v>
      </c>
      <c r="J64" s="20" t="s">
        <v>249</v>
      </c>
      <c r="L64" s="20" t="s">
        <v>248</v>
      </c>
      <c r="M64" s="20" t="s">
        <v>510</v>
      </c>
      <c r="N64" s="20" t="s">
        <v>20</v>
      </c>
      <c r="O64" s="20">
        <v>2</v>
      </c>
      <c r="P64" s="20">
        <v>3</v>
      </c>
      <c r="Q64" s="13">
        <v>0.5421164443050468</v>
      </c>
      <c r="R64" s="20" t="s">
        <v>249</v>
      </c>
      <c r="S64" s="20">
        <v>2.522967905025764E-2</v>
      </c>
      <c r="T64" s="20" t="s">
        <v>248</v>
      </c>
      <c r="U64" s="20" t="s">
        <v>20</v>
      </c>
      <c r="V64" s="20">
        <v>5</v>
      </c>
      <c r="W64" s="20">
        <v>6</v>
      </c>
      <c r="X64" s="20" t="s">
        <v>490</v>
      </c>
      <c r="Y64" s="20" t="s">
        <v>292</v>
      </c>
      <c r="Z64" s="20" t="s">
        <v>60</v>
      </c>
      <c r="AA64" s="20" t="s">
        <v>491</v>
      </c>
    </row>
    <row r="65" spans="1:27" x14ac:dyDescent="0.2">
      <c r="A65" s="20" t="s">
        <v>184</v>
      </c>
      <c r="B65" s="20" t="s">
        <v>328</v>
      </c>
      <c r="C65" s="20" t="s">
        <v>29</v>
      </c>
      <c r="D65" s="20" t="s">
        <v>18</v>
      </c>
      <c r="E65" s="20" t="s">
        <v>577</v>
      </c>
      <c r="F65" s="20" t="s">
        <v>18</v>
      </c>
      <c r="G65" s="20">
        <v>2</v>
      </c>
      <c r="H65" s="20">
        <v>3</v>
      </c>
      <c r="I65" s="13">
        <v>0.6</v>
      </c>
      <c r="J65" s="20" t="s">
        <v>249</v>
      </c>
      <c r="L65" s="20" t="s">
        <v>248</v>
      </c>
      <c r="M65" s="20" t="s">
        <v>360</v>
      </c>
      <c r="N65" s="20" t="s">
        <v>18</v>
      </c>
      <c r="O65" s="20">
        <v>2</v>
      </c>
      <c r="P65" s="20">
        <v>3</v>
      </c>
      <c r="Q65" s="13">
        <v>0.63830756719703108</v>
      </c>
      <c r="R65" s="20" t="s">
        <v>249</v>
      </c>
      <c r="S65" s="20">
        <v>0.84192840445939821</v>
      </c>
      <c r="T65" s="20" t="s">
        <v>248</v>
      </c>
      <c r="U65" s="20" t="s">
        <v>18</v>
      </c>
      <c r="V65" s="20">
        <v>2</v>
      </c>
      <c r="W65" s="20">
        <v>3</v>
      </c>
      <c r="X65" s="20" t="s">
        <v>496</v>
      </c>
      <c r="Y65" s="20" t="s">
        <v>292</v>
      </c>
      <c r="Z65" s="20" t="s">
        <v>60</v>
      </c>
      <c r="AA65" s="20" t="s">
        <v>491</v>
      </c>
    </row>
    <row r="66" spans="1:27" x14ac:dyDescent="0.2">
      <c r="A66" s="20" t="s">
        <v>184</v>
      </c>
      <c r="B66" s="20" t="s">
        <v>328</v>
      </c>
      <c r="C66" s="20" t="s">
        <v>11</v>
      </c>
      <c r="D66" s="20" t="s">
        <v>24</v>
      </c>
      <c r="E66" s="20" t="s">
        <v>578</v>
      </c>
      <c r="F66" s="20" t="s">
        <v>24</v>
      </c>
      <c r="G66" s="20">
        <v>2</v>
      </c>
      <c r="H66" s="20">
        <v>3</v>
      </c>
      <c r="I66" s="13">
        <v>0.6</v>
      </c>
      <c r="J66" s="20" t="s">
        <v>249</v>
      </c>
      <c r="L66" s="20" t="s">
        <v>248</v>
      </c>
      <c r="M66" s="20" t="s">
        <v>449</v>
      </c>
      <c r="N66" s="20" t="s">
        <v>24</v>
      </c>
      <c r="O66" s="20">
        <v>2</v>
      </c>
      <c r="P66" s="20">
        <v>3</v>
      </c>
      <c r="Q66" s="13">
        <v>0.67220946055413056</v>
      </c>
      <c r="R66" s="20" t="s">
        <v>249</v>
      </c>
      <c r="S66" s="20">
        <v>0.44854929075187328</v>
      </c>
      <c r="T66" s="20" t="s">
        <v>248</v>
      </c>
      <c r="U66" s="20" t="s">
        <v>24</v>
      </c>
      <c r="V66" s="20">
        <v>1</v>
      </c>
      <c r="W66" s="20">
        <v>3</v>
      </c>
      <c r="X66" s="20" t="s">
        <v>490</v>
      </c>
      <c r="Y66" s="20" t="s">
        <v>292</v>
      </c>
      <c r="Z66" s="20" t="s">
        <v>60</v>
      </c>
      <c r="AA66" s="20" t="s">
        <v>491</v>
      </c>
    </row>
    <row r="67" spans="1:27" x14ac:dyDescent="0.2">
      <c r="A67" s="20" t="s">
        <v>184</v>
      </c>
      <c r="B67" s="20" t="s">
        <v>334</v>
      </c>
      <c r="C67" s="20" t="s">
        <v>17</v>
      </c>
      <c r="D67" s="20" t="s">
        <v>30</v>
      </c>
      <c r="E67" s="20" t="s">
        <v>579</v>
      </c>
      <c r="F67" s="20" t="s">
        <v>30</v>
      </c>
      <c r="G67" s="20">
        <v>2</v>
      </c>
      <c r="H67" s="20">
        <v>3</v>
      </c>
      <c r="I67" s="13">
        <v>0.6</v>
      </c>
      <c r="J67" s="20" t="s">
        <v>249</v>
      </c>
      <c r="L67" s="20" t="s">
        <v>248</v>
      </c>
      <c r="M67" s="20" t="s">
        <v>580</v>
      </c>
      <c r="N67" s="20" t="s">
        <v>30</v>
      </c>
      <c r="O67" s="20">
        <v>2</v>
      </c>
      <c r="P67" s="20">
        <v>3</v>
      </c>
      <c r="Q67" s="13">
        <v>0.61317827444461348</v>
      </c>
      <c r="R67" s="20" t="s">
        <v>249</v>
      </c>
      <c r="S67" s="20">
        <v>0.62671541571935152</v>
      </c>
      <c r="T67" s="20" t="s">
        <v>248</v>
      </c>
      <c r="U67" s="20" t="s">
        <v>30</v>
      </c>
      <c r="V67" s="20">
        <v>2</v>
      </c>
      <c r="W67" s="20">
        <v>4</v>
      </c>
      <c r="X67" s="20" t="s">
        <v>490</v>
      </c>
      <c r="Y67" s="20" t="s">
        <v>292</v>
      </c>
      <c r="Z67" s="20" t="s">
        <v>60</v>
      </c>
      <c r="AA67" s="20" t="s">
        <v>491</v>
      </c>
    </row>
    <row r="68" spans="1:27" x14ac:dyDescent="0.2">
      <c r="A68" s="20" t="s">
        <v>184</v>
      </c>
      <c r="B68" s="20" t="s">
        <v>328</v>
      </c>
      <c r="C68" s="20" t="s">
        <v>32</v>
      </c>
      <c r="D68" s="20" t="s">
        <v>36</v>
      </c>
      <c r="E68" s="20" t="s">
        <v>581</v>
      </c>
      <c r="F68" s="20" t="s">
        <v>36</v>
      </c>
      <c r="G68" s="20">
        <v>2</v>
      </c>
      <c r="H68" s="20">
        <v>3</v>
      </c>
      <c r="I68" s="13">
        <v>0.6</v>
      </c>
      <c r="J68" s="20" t="s">
        <v>249</v>
      </c>
      <c r="L68" s="20" t="s">
        <v>248</v>
      </c>
      <c r="M68" s="20" t="s">
        <v>582</v>
      </c>
      <c r="N68" s="20" t="s">
        <v>36</v>
      </c>
      <c r="O68" s="20">
        <v>2</v>
      </c>
      <c r="P68" s="20">
        <v>3</v>
      </c>
      <c r="Q68" s="13">
        <v>0.56210050797704114</v>
      </c>
      <c r="R68" s="20" t="s">
        <v>249</v>
      </c>
      <c r="S68" s="20">
        <v>0.16790193333641379</v>
      </c>
      <c r="T68" s="20" t="s">
        <v>248</v>
      </c>
      <c r="U68" s="20" t="s">
        <v>36</v>
      </c>
      <c r="V68" s="20">
        <v>3</v>
      </c>
      <c r="W68" s="20">
        <v>4</v>
      </c>
      <c r="X68" s="20" t="s">
        <v>496</v>
      </c>
      <c r="Y68" s="20" t="s">
        <v>292</v>
      </c>
      <c r="Z68" s="20" t="s">
        <v>60</v>
      </c>
      <c r="AA68" s="20" t="s">
        <v>491</v>
      </c>
    </row>
    <row r="69" spans="1:27" x14ac:dyDescent="0.2">
      <c r="A69" s="20" t="s">
        <v>184</v>
      </c>
      <c r="B69" s="20" t="s">
        <v>328</v>
      </c>
      <c r="C69" s="20" t="s">
        <v>40</v>
      </c>
      <c r="D69" s="20" t="s">
        <v>27</v>
      </c>
      <c r="E69" s="20" t="s">
        <v>583</v>
      </c>
      <c r="F69" s="20" t="s">
        <v>40</v>
      </c>
      <c r="G69" s="20">
        <v>2</v>
      </c>
      <c r="H69" s="20">
        <v>3</v>
      </c>
      <c r="I69" s="13">
        <v>0.6</v>
      </c>
      <c r="J69" s="20" t="s">
        <v>249</v>
      </c>
      <c r="L69" s="20" t="s">
        <v>248</v>
      </c>
      <c r="M69" s="20" t="s">
        <v>315</v>
      </c>
      <c r="N69" s="20" t="s">
        <v>40</v>
      </c>
      <c r="O69" s="20">
        <v>2</v>
      </c>
      <c r="P69" s="20">
        <v>3</v>
      </c>
      <c r="Q69" s="13">
        <v>0.46866299501147912</v>
      </c>
      <c r="R69" s="20" t="s">
        <v>249</v>
      </c>
      <c r="S69" s="20">
        <v>-1.709701080036197E-2</v>
      </c>
      <c r="T69" s="20" t="s">
        <v>248</v>
      </c>
      <c r="U69" s="20" t="s">
        <v>40</v>
      </c>
      <c r="V69" s="20">
        <v>5</v>
      </c>
      <c r="W69" s="20">
        <v>2</v>
      </c>
      <c r="X69" s="20" t="s">
        <v>490</v>
      </c>
      <c r="Y69" s="20" t="s">
        <v>292</v>
      </c>
      <c r="Z69" s="20" t="s">
        <v>60</v>
      </c>
      <c r="AA69" s="20" t="s">
        <v>491</v>
      </c>
    </row>
    <row r="70" spans="1:27" x14ac:dyDescent="0.2">
      <c r="A70" s="20" t="s">
        <v>184</v>
      </c>
      <c r="B70" s="20" t="s">
        <v>328</v>
      </c>
      <c r="C70" s="20" t="s">
        <v>15</v>
      </c>
      <c r="D70" s="20" t="s">
        <v>19</v>
      </c>
      <c r="E70" s="20" t="s">
        <v>584</v>
      </c>
      <c r="F70" s="20" t="s">
        <v>15</v>
      </c>
      <c r="G70" s="20">
        <v>2</v>
      </c>
      <c r="H70" s="20">
        <v>3</v>
      </c>
      <c r="I70" s="13">
        <v>0.6</v>
      </c>
      <c r="J70" s="20" t="s">
        <v>249</v>
      </c>
      <c r="L70" s="20" t="s">
        <v>249</v>
      </c>
      <c r="M70" s="20" t="s">
        <v>585</v>
      </c>
      <c r="N70" s="20" t="s">
        <v>15</v>
      </c>
      <c r="O70" s="20">
        <v>2</v>
      </c>
      <c r="P70" s="20">
        <v>3</v>
      </c>
      <c r="Q70" s="13">
        <v>0.59447380896340563</v>
      </c>
      <c r="R70" s="20" t="s">
        <v>249</v>
      </c>
      <c r="S70" s="20">
        <v>-0.29454385791187548</v>
      </c>
      <c r="T70" s="20" t="s">
        <v>249</v>
      </c>
      <c r="U70" s="20" t="s">
        <v>19</v>
      </c>
      <c r="V70" s="20">
        <v>1</v>
      </c>
      <c r="W70" s="20">
        <v>2</v>
      </c>
      <c r="X70" s="20" t="s">
        <v>496</v>
      </c>
      <c r="Y70" s="20" t="s">
        <v>292</v>
      </c>
      <c r="Z70" s="20" t="s">
        <v>60</v>
      </c>
      <c r="AA70" s="20" t="s">
        <v>491</v>
      </c>
    </row>
    <row r="71" spans="1:27" x14ac:dyDescent="0.2">
      <c r="A71" s="20" t="s">
        <v>184</v>
      </c>
      <c r="B71" s="20" t="s">
        <v>322</v>
      </c>
      <c r="C71" s="20" t="s">
        <v>14</v>
      </c>
      <c r="D71" s="20" t="s">
        <v>13</v>
      </c>
      <c r="E71" s="20" t="s">
        <v>586</v>
      </c>
      <c r="F71" s="20" t="s">
        <v>14</v>
      </c>
      <c r="G71" s="20">
        <v>2</v>
      </c>
      <c r="H71" s="20">
        <v>3</v>
      </c>
      <c r="I71" s="13">
        <v>0.6</v>
      </c>
      <c r="J71" s="20" t="s">
        <v>249</v>
      </c>
      <c r="L71" s="20" t="s">
        <v>248</v>
      </c>
      <c r="M71" s="20" t="s">
        <v>451</v>
      </c>
      <c r="N71" s="20" t="s">
        <v>14</v>
      </c>
      <c r="O71" s="20">
        <v>2</v>
      </c>
      <c r="P71" s="20">
        <v>3</v>
      </c>
      <c r="Q71" s="13">
        <v>0.51634823963628218</v>
      </c>
      <c r="R71" s="20" t="s">
        <v>249</v>
      </c>
      <c r="S71" s="20">
        <v>-0.14611862818856119</v>
      </c>
      <c r="T71" s="20" t="s">
        <v>248</v>
      </c>
      <c r="U71" s="20" t="s">
        <v>14</v>
      </c>
      <c r="V71" s="20">
        <v>4</v>
      </c>
      <c r="W71" s="20">
        <v>2</v>
      </c>
      <c r="X71" s="20" t="s">
        <v>490</v>
      </c>
      <c r="Y71" s="20" t="s">
        <v>292</v>
      </c>
      <c r="Z71" s="20" t="s">
        <v>60</v>
      </c>
      <c r="AA71" s="20" t="s">
        <v>491</v>
      </c>
    </row>
    <row r="72" spans="1:27" x14ac:dyDescent="0.2">
      <c r="A72" s="20" t="s">
        <v>184</v>
      </c>
      <c r="B72" s="20" t="s">
        <v>322</v>
      </c>
      <c r="C72" s="20" t="s">
        <v>25</v>
      </c>
      <c r="D72" s="20" t="s">
        <v>31</v>
      </c>
      <c r="E72" s="20" t="s">
        <v>587</v>
      </c>
      <c r="F72" s="20" t="s">
        <v>25</v>
      </c>
      <c r="G72" s="20">
        <v>2</v>
      </c>
      <c r="H72" s="20">
        <v>3</v>
      </c>
      <c r="I72" s="13">
        <v>0.6</v>
      </c>
      <c r="J72" s="20" t="s">
        <v>249</v>
      </c>
      <c r="L72" s="20" t="s">
        <v>248</v>
      </c>
      <c r="M72" s="20" t="s">
        <v>450</v>
      </c>
      <c r="N72" s="20" t="s">
        <v>25</v>
      </c>
      <c r="O72" s="20">
        <v>2</v>
      </c>
      <c r="P72" s="20">
        <v>3</v>
      </c>
      <c r="Q72" s="13">
        <v>0.47371521596449112</v>
      </c>
      <c r="R72" s="20" t="s">
        <v>249</v>
      </c>
      <c r="S72" s="20">
        <v>-0.1970713665661239</v>
      </c>
      <c r="T72" s="20" t="s">
        <v>248</v>
      </c>
      <c r="U72" s="20" t="s">
        <v>25</v>
      </c>
      <c r="V72" s="20">
        <v>4</v>
      </c>
      <c r="W72" s="20">
        <v>1</v>
      </c>
      <c r="X72" s="20" t="s">
        <v>490</v>
      </c>
      <c r="Y72" s="20" t="s">
        <v>292</v>
      </c>
      <c r="Z72" s="20" t="s">
        <v>60</v>
      </c>
      <c r="AA72" s="20" t="s">
        <v>491</v>
      </c>
    </row>
    <row r="73" spans="1:27" x14ac:dyDescent="0.2">
      <c r="A73" s="20" t="s">
        <v>185</v>
      </c>
      <c r="B73" s="20" t="s">
        <v>416</v>
      </c>
      <c r="C73" s="20" t="s">
        <v>38</v>
      </c>
      <c r="D73" s="20" t="s">
        <v>10</v>
      </c>
      <c r="E73" s="20" t="s">
        <v>588</v>
      </c>
      <c r="F73" s="20" t="s">
        <v>10</v>
      </c>
      <c r="G73" s="20">
        <v>2</v>
      </c>
      <c r="H73" s="20">
        <v>3</v>
      </c>
      <c r="I73" s="13">
        <v>0.6</v>
      </c>
      <c r="J73" s="20" t="s">
        <v>249</v>
      </c>
      <c r="L73" s="20" t="s">
        <v>249</v>
      </c>
      <c r="M73" s="20" t="s">
        <v>589</v>
      </c>
      <c r="N73" s="20" t="s">
        <v>10</v>
      </c>
      <c r="O73" s="20">
        <v>2</v>
      </c>
      <c r="P73" s="20">
        <v>3</v>
      </c>
      <c r="Q73" s="13">
        <v>0.63233234134958161</v>
      </c>
      <c r="R73" s="20" t="s">
        <v>249</v>
      </c>
      <c r="S73" s="20">
        <v>0.82138224884965294</v>
      </c>
      <c r="T73" s="20" t="s">
        <v>249</v>
      </c>
      <c r="U73" s="20" t="s">
        <v>38</v>
      </c>
      <c r="V73" s="20">
        <v>3</v>
      </c>
      <c r="W73" s="20">
        <v>2</v>
      </c>
      <c r="X73" s="20" t="s">
        <v>496</v>
      </c>
      <c r="Y73" s="20" t="s">
        <v>292</v>
      </c>
      <c r="Z73" s="20" t="s">
        <v>60</v>
      </c>
      <c r="AA73" s="20" t="s">
        <v>491</v>
      </c>
    </row>
    <row r="74" spans="1:27" x14ac:dyDescent="0.2">
      <c r="A74" s="20" t="s">
        <v>185</v>
      </c>
      <c r="B74" s="20" t="s">
        <v>328</v>
      </c>
      <c r="C74" s="20" t="s">
        <v>34</v>
      </c>
      <c r="D74" s="20" t="s">
        <v>22</v>
      </c>
      <c r="E74" s="20" t="s">
        <v>590</v>
      </c>
      <c r="F74" s="20" t="s">
        <v>22</v>
      </c>
      <c r="G74" s="20">
        <v>2</v>
      </c>
      <c r="H74" s="20">
        <v>3</v>
      </c>
      <c r="I74" s="13">
        <v>0.6</v>
      </c>
      <c r="J74" s="20" t="s">
        <v>249</v>
      </c>
      <c r="L74" s="20" t="s">
        <v>248</v>
      </c>
      <c r="M74" s="20" t="s">
        <v>321</v>
      </c>
      <c r="N74" s="20" t="s">
        <v>22</v>
      </c>
      <c r="O74" s="20">
        <v>2</v>
      </c>
      <c r="P74" s="20">
        <v>3</v>
      </c>
      <c r="Q74" s="13">
        <v>0.58753187905752657</v>
      </c>
      <c r="R74" s="20" t="s">
        <v>249</v>
      </c>
      <c r="S74" s="20">
        <v>0.54573276922639824</v>
      </c>
      <c r="T74" s="20" t="s">
        <v>248</v>
      </c>
      <c r="U74" s="20" t="s">
        <v>22</v>
      </c>
      <c r="V74" s="20">
        <v>1</v>
      </c>
      <c r="W74" s="20">
        <v>5</v>
      </c>
      <c r="X74" s="20" t="s">
        <v>490</v>
      </c>
      <c r="Y74" s="20" t="s">
        <v>292</v>
      </c>
      <c r="Z74" s="20" t="s">
        <v>60</v>
      </c>
      <c r="AA74" s="20" t="s">
        <v>491</v>
      </c>
    </row>
    <row r="75" spans="1:27" x14ac:dyDescent="0.2">
      <c r="A75" s="20" t="s">
        <v>185</v>
      </c>
      <c r="B75" s="20" t="s">
        <v>326</v>
      </c>
      <c r="C75" s="20" t="s">
        <v>33</v>
      </c>
      <c r="D75" s="20" t="s">
        <v>55</v>
      </c>
      <c r="E75" s="20" t="s">
        <v>591</v>
      </c>
      <c r="F75" s="20" t="s">
        <v>55</v>
      </c>
      <c r="G75" s="20">
        <v>2</v>
      </c>
      <c r="H75" s="20">
        <v>3</v>
      </c>
      <c r="I75" s="13">
        <v>0.6</v>
      </c>
      <c r="J75" s="20" t="s">
        <v>249</v>
      </c>
      <c r="L75" s="20" t="s">
        <v>248</v>
      </c>
      <c r="M75" s="20" t="s">
        <v>362</v>
      </c>
      <c r="N75" s="20" t="s">
        <v>55</v>
      </c>
      <c r="O75" s="20">
        <v>2</v>
      </c>
      <c r="P75" s="20">
        <v>3</v>
      </c>
      <c r="Q75" s="13">
        <v>0.59188678722769805</v>
      </c>
      <c r="R75" s="20" t="s">
        <v>249</v>
      </c>
      <c r="S75" s="20">
        <v>9.810845228422338E-2</v>
      </c>
      <c r="T75" s="20" t="s">
        <v>248</v>
      </c>
      <c r="U75" s="20" t="s">
        <v>55</v>
      </c>
      <c r="V75" s="20">
        <v>3</v>
      </c>
      <c r="W75" s="20">
        <v>6</v>
      </c>
      <c r="X75" s="20" t="s">
        <v>490</v>
      </c>
      <c r="Y75" s="20" t="s">
        <v>292</v>
      </c>
      <c r="Z75" s="20" t="s">
        <v>60</v>
      </c>
      <c r="AA75" s="20" t="s">
        <v>491</v>
      </c>
    </row>
    <row r="76" spans="1:27" x14ac:dyDescent="0.2">
      <c r="A76" s="20" t="s">
        <v>185</v>
      </c>
      <c r="B76" s="20" t="s">
        <v>328</v>
      </c>
      <c r="C76" s="20" t="s">
        <v>37</v>
      </c>
      <c r="D76" s="20" t="s">
        <v>26</v>
      </c>
      <c r="E76" s="20" t="s">
        <v>440</v>
      </c>
      <c r="F76" s="20" t="s">
        <v>37</v>
      </c>
      <c r="G76" s="20">
        <v>2</v>
      </c>
      <c r="H76" s="20">
        <v>3</v>
      </c>
      <c r="I76" s="13">
        <v>0.6</v>
      </c>
      <c r="J76" s="20" t="s">
        <v>249</v>
      </c>
      <c r="L76" s="20" t="s">
        <v>249</v>
      </c>
      <c r="M76" s="20" t="s">
        <v>592</v>
      </c>
      <c r="N76" s="20" t="s">
        <v>37</v>
      </c>
      <c r="O76" s="20">
        <v>2</v>
      </c>
      <c r="P76" s="20">
        <v>3</v>
      </c>
      <c r="Q76" s="13">
        <v>0.70847733928142309</v>
      </c>
      <c r="R76" s="20" t="s">
        <v>249</v>
      </c>
      <c r="S76" s="20">
        <v>-1.3359437628557509</v>
      </c>
      <c r="T76" s="20" t="s">
        <v>249</v>
      </c>
      <c r="U76" s="20" t="s">
        <v>26</v>
      </c>
      <c r="V76" s="20">
        <v>1</v>
      </c>
      <c r="W76" s="20">
        <v>2</v>
      </c>
      <c r="X76" s="20" t="s">
        <v>496</v>
      </c>
      <c r="Y76" s="20" t="s">
        <v>292</v>
      </c>
      <c r="Z76" s="20" t="s">
        <v>60</v>
      </c>
      <c r="AA76" s="20" t="s">
        <v>491</v>
      </c>
    </row>
    <row r="77" spans="1:27" x14ac:dyDescent="0.2">
      <c r="A77" s="20" t="s">
        <v>186</v>
      </c>
      <c r="B77" s="20" t="s">
        <v>347</v>
      </c>
      <c r="C77" s="20" t="s">
        <v>11</v>
      </c>
      <c r="D77" s="20" t="s">
        <v>23</v>
      </c>
      <c r="E77" s="20" t="s">
        <v>593</v>
      </c>
      <c r="F77" s="20" t="s">
        <v>11</v>
      </c>
      <c r="G77" s="20">
        <v>2</v>
      </c>
      <c r="H77" s="20">
        <v>3</v>
      </c>
      <c r="I77" s="13">
        <v>0.6</v>
      </c>
      <c r="J77" s="20" t="s">
        <v>249</v>
      </c>
      <c r="L77" s="20" t="s">
        <v>249</v>
      </c>
      <c r="M77" s="20" t="s">
        <v>594</v>
      </c>
      <c r="N77" s="20" t="s">
        <v>11</v>
      </c>
      <c r="O77" s="20">
        <v>2</v>
      </c>
      <c r="P77" s="20">
        <v>3</v>
      </c>
      <c r="Q77" s="13">
        <v>0.45327460042380469</v>
      </c>
      <c r="R77" s="20" t="s">
        <v>249</v>
      </c>
      <c r="S77" s="20">
        <v>-2.9091395753320651E-2</v>
      </c>
      <c r="T77" s="20" t="s">
        <v>249</v>
      </c>
      <c r="U77" s="20" t="s">
        <v>23</v>
      </c>
      <c r="V77" s="20">
        <v>0</v>
      </c>
      <c r="W77" s="20">
        <v>3</v>
      </c>
      <c r="X77" s="20" t="s">
        <v>490</v>
      </c>
      <c r="Y77" s="20" t="s">
        <v>292</v>
      </c>
      <c r="Z77" s="20" t="s">
        <v>60</v>
      </c>
      <c r="AA77" s="20" t="s">
        <v>491</v>
      </c>
    </row>
    <row r="78" spans="1:27" x14ac:dyDescent="0.2">
      <c r="A78" s="20" t="s">
        <v>186</v>
      </c>
      <c r="B78" s="20" t="s">
        <v>328</v>
      </c>
      <c r="C78" s="20" t="s">
        <v>37</v>
      </c>
      <c r="D78" s="20" t="s">
        <v>28</v>
      </c>
      <c r="E78" s="20" t="s">
        <v>595</v>
      </c>
      <c r="F78" s="20" t="s">
        <v>37</v>
      </c>
      <c r="G78" s="20">
        <v>2</v>
      </c>
      <c r="H78" s="20">
        <v>3</v>
      </c>
      <c r="I78" s="13">
        <v>0.6</v>
      </c>
      <c r="J78" s="20" t="s">
        <v>249</v>
      </c>
      <c r="L78" s="20" t="s">
        <v>249</v>
      </c>
      <c r="M78" s="20" t="s">
        <v>596</v>
      </c>
      <c r="N78" s="20" t="s">
        <v>37</v>
      </c>
      <c r="O78" s="20">
        <v>2</v>
      </c>
      <c r="P78" s="20">
        <v>3</v>
      </c>
      <c r="Q78" s="13">
        <v>0.67574232034876447</v>
      </c>
      <c r="R78" s="20" t="s">
        <v>249</v>
      </c>
      <c r="S78" s="20">
        <v>-1.055593602173982</v>
      </c>
      <c r="T78" s="20" t="s">
        <v>249</v>
      </c>
      <c r="U78" s="20" t="s">
        <v>28</v>
      </c>
      <c r="V78" s="20">
        <v>2</v>
      </c>
      <c r="W78" s="20">
        <v>3</v>
      </c>
      <c r="X78" s="20" t="s">
        <v>490</v>
      </c>
      <c r="Y78" s="20" t="s">
        <v>292</v>
      </c>
      <c r="Z78" s="20" t="s">
        <v>60</v>
      </c>
      <c r="AA78" s="20" t="s">
        <v>491</v>
      </c>
    </row>
    <row r="79" spans="1:27" x14ac:dyDescent="0.2">
      <c r="A79" s="20" t="s">
        <v>186</v>
      </c>
      <c r="B79" s="20" t="s">
        <v>326</v>
      </c>
      <c r="C79" s="20" t="s">
        <v>21</v>
      </c>
      <c r="D79" s="20" t="s">
        <v>12</v>
      </c>
      <c r="E79" s="20" t="s">
        <v>597</v>
      </c>
      <c r="F79" s="20" t="s">
        <v>12</v>
      </c>
      <c r="G79" s="20">
        <v>2</v>
      </c>
      <c r="H79" s="20">
        <v>3</v>
      </c>
      <c r="I79" s="13">
        <v>0.6</v>
      </c>
      <c r="J79" s="20" t="s">
        <v>249</v>
      </c>
      <c r="L79" s="20" t="s">
        <v>248</v>
      </c>
      <c r="M79" s="20" t="s">
        <v>361</v>
      </c>
      <c r="N79" s="20" t="s">
        <v>12</v>
      </c>
      <c r="O79" s="20">
        <v>2</v>
      </c>
      <c r="P79" s="20">
        <v>3</v>
      </c>
      <c r="Q79" s="13">
        <v>0.86560120575771982</v>
      </c>
      <c r="R79" s="20" t="s">
        <v>249</v>
      </c>
      <c r="S79" s="20">
        <v>1.9015741677978699</v>
      </c>
      <c r="T79" s="20" t="s">
        <v>248</v>
      </c>
      <c r="U79" s="20" t="s">
        <v>12</v>
      </c>
      <c r="V79" s="20">
        <v>1</v>
      </c>
      <c r="W79" s="20">
        <v>4</v>
      </c>
      <c r="X79" s="20" t="s">
        <v>490</v>
      </c>
      <c r="Y79" s="20" t="s">
        <v>292</v>
      </c>
      <c r="Z79" s="20" t="s">
        <v>60</v>
      </c>
      <c r="AA79" s="20" t="s">
        <v>491</v>
      </c>
    </row>
    <row r="80" spans="1:27" x14ac:dyDescent="0.2">
      <c r="A80" s="20" t="s">
        <v>186</v>
      </c>
      <c r="B80" s="20" t="s">
        <v>326</v>
      </c>
      <c r="C80" s="20" t="s">
        <v>25</v>
      </c>
      <c r="D80" s="20" t="s">
        <v>13</v>
      </c>
      <c r="E80" s="20" t="s">
        <v>598</v>
      </c>
      <c r="F80" s="20" t="s">
        <v>25</v>
      </c>
      <c r="G80" s="20">
        <v>2</v>
      </c>
      <c r="H80" s="20">
        <v>3</v>
      </c>
      <c r="I80" s="13">
        <v>0.6</v>
      </c>
      <c r="J80" s="20" t="s">
        <v>249</v>
      </c>
      <c r="L80" s="20" t="s">
        <v>248</v>
      </c>
      <c r="M80" s="20" t="s">
        <v>450</v>
      </c>
      <c r="N80" s="20" t="s">
        <v>25</v>
      </c>
      <c r="O80" s="20">
        <v>2</v>
      </c>
      <c r="P80" s="20">
        <v>3</v>
      </c>
      <c r="Q80" s="13">
        <v>0.6159999778434796</v>
      </c>
      <c r="R80" s="20" t="s">
        <v>249</v>
      </c>
      <c r="S80" s="20">
        <v>-0.71405798708260382</v>
      </c>
      <c r="T80" s="20" t="s">
        <v>248</v>
      </c>
      <c r="U80" s="20" t="s">
        <v>25</v>
      </c>
      <c r="V80" s="20">
        <v>4</v>
      </c>
      <c r="W80" s="20">
        <v>3</v>
      </c>
      <c r="X80" s="20" t="s">
        <v>496</v>
      </c>
      <c r="Y80" s="20" t="s">
        <v>292</v>
      </c>
      <c r="Z80" s="20" t="s">
        <v>60</v>
      </c>
      <c r="AA80" s="20" t="s">
        <v>491</v>
      </c>
    </row>
    <row r="81" spans="1:27" x14ac:dyDescent="0.2">
      <c r="A81" s="20" t="s">
        <v>186</v>
      </c>
      <c r="B81" s="20" t="s">
        <v>328</v>
      </c>
      <c r="C81" s="20" t="s">
        <v>15</v>
      </c>
      <c r="D81" s="20" t="s">
        <v>18</v>
      </c>
      <c r="E81" s="20" t="s">
        <v>599</v>
      </c>
      <c r="F81" s="20" t="s">
        <v>15</v>
      </c>
      <c r="G81" s="20">
        <v>2</v>
      </c>
      <c r="H81" s="20">
        <v>3</v>
      </c>
      <c r="I81" s="13">
        <v>0.6</v>
      </c>
      <c r="J81" s="20" t="s">
        <v>249</v>
      </c>
      <c r="L81" s="20" t="s">
        <v>248</v>
      </c>
      <c r="M81" s="20" t="s">
        <v>518</v>
      </c>
      <c r="N81" s="20" t="s">
        <v>15</v>
      </c>
      <c r="O81" s="20">
        <v>2</v>
      </c>
      <c r="P81" s="20">
        <v>3</v>
      </c>
      <c r="Q81" s="13">
        <v>0.58961768371859735</v>
      </c>
      <c r="R81" s="20" t="s">
        <v>249</v>
      </c>
      <c r="S81" s="20">
        <v>-0.25295489486672013</v>
      </c>
      <c r="T81" s="20" t="s">
        <v>248</v>
      </c>
      <c r="U81" s="20" t="s">
        <v>15</v>
      </c>
      <c r="V81" s="20">
        <v>4</v>
      </c>
      <c r="W81" s="20">
        <v>3</v>
      </c>
      <c r="X81" s="20" t="s">
        <v>490</v>
      </c>
      <c r="Y81" s="20" t="s">
        <v>292</v>
      </c>
      <c r="Z81" s="20" t="s">
        <v>60</v>
      </c>
      <c r="AA81" s="20" t="s">
        <v>491</v>
      </c>
    </row>
    <row r="82" spans="1:27" x14ac:dyDescent="0.2">
      <c r="A82" s="20" t="s">
        <v>186</v>
      </c>
      <c r="B82" s="20" t="s">
        <v>352</v>
      </c>
      <c r="C82" s="20" t="s">
        <v>17</v>
      </c>
      <c r="D82" s="20" t="s">
        <v>24</v>
      </c>
      <c r="E82" s="20" t="s">
        <v>600</v>
      </c>
      <c r="F82" s="20" t="s">
        <v>24</v>
      </c>
      <c r="G82" s="20">
        <v>2</v>
      </c>
      <c r="H82" s="20">
        <v>3</v>
      </c>
      <c r="I82" s="13">
        <v>0.6</v>
      </c>
      <c r="J82" s="20" t="s">
        <v>249</v>
      </c>
      <c r="L82" s="20" t="s">
        <v>248</v>
      </c>
      <c r="M82" s="20" t="s">
        <v>449</v>
      </c>
      <c r="N82" s="20" t="s">
        <v>24</v>
      </c>
      <c r="O82" s="20">
        <v>2</v>
      </c>
      <c r="P82" s="20">
        <v>3</v>
      </c>
      <c r="Q82" s="13">
        <v>0.7213240311538418</v>
      </c>
      <c r="R82" s="20" t="s">
        <v>249</v>
      </c>
      <c r="S82" s="20">
        <v>0.8691776639252885</v>
      </c>
      <c r="T82" s="20" t="s">
        <v>248</v>
      </c>
      <c r="U82" s="20" t="s">
        <v>24</v>
      </c>
      <c r="V82" s="20">
        <v>3</v>
      </c>
      <c r="W82" s="20">
        <v>5</v>
      </c>
      <c r="X82" s="20" t="s">
        <v>490</v>
      </c>
      <c r="Y82" s="20" t="s">
        <v>292</v>
      </c>
      <c r="Z82" s="20" t="s">
        <v>60</v>
      </c>
      <c r="AA82" s="20" t="s">
        <v>491</v>
      </c>
    </row>
    <row r="83" spans="1:27" x14ac:dyDescent="0.2">
      <c r="A83" s="20" t="s">
        <v>186</v>
      </c>
      <c r="B83" s="20" t="s">
        <v>453</v>
      </c>
      <c r="C83" s="20" t="s">
        <v>30</v>
      </c>
      <c r="D83" s="20" t="s">
        <v>36</v>
      </c>
      <c r="E83" s="20" t="s">
        <v>601</v>
      </c>
      <c r="F83" s="20" t="s">
        <v>30</v>
      </c>
      <c r="G83" s="20">
        <v>2</v>
      </c>
      <c r="H83" s="20">
        <v>3</v>
      </c>
      <c r="I83" s="13">
        <v>0.6</v>
      </c>
      <c r="J83" s="20" t="s">
        <v>249</v>
      </c>
      <c r="L83" s="20" t="s">
        <v>248</v>
      </c>
      <c r="M83" s="20" t="s">
        <v>580</v>
      </c>
      <c r="N83" s="20" t="s">
        <v>30</v>
      </c>
      <c r="O83" s="20">
        <v>2</v>
      </c>
      <c r="P83" s="20">
        <v>3</v>
      </c>
      <c r="Q83" s="13">
        <v>0.55820746289392176</v>
      </c>
      <c r="R83" s="20" t="s">
        <v>249</v>
      </c>
      <c r="S83" s="20">
        <v>-0.2405433045003435</v>
      </c>
      <c r="T83" s="20" t="s">
        <v>248</v>
      </c>
      <c r="U83" s="20" t="s">
        <v>30</v>
      </c>
      <c r="V83" s="20">
        <v>5</v>
      </c>
      <c r="W83" s="20">
        <v>4</v>
      </c>
      <c r="X83" s="20" t="s">
        <v>490</v>
      </c>
      <c r="Y83" s="20" t="s">
        <v>292</v>
      </c>
      <c r="Z83" s="20" t="s">
        <v>60</v>
      </c>
      <c r="AA83" s="20" t="s">
        <v>491</v>
      </c>
    </row>
    <row r="84" spans="1:27" x14ac:dyDescent="0.2">
      <c r="A84" s="20" t="s">
        <v>186</v>
      </c>
      <c r="B84" s="20" t="s">
        <v>328</v>
      </c>
      <c r="C84" s="20" t="s">
        <v>34</v>
      </c>
      <c r="D84" s="20" t="s">
        <v>27</v>
      </c>
      <c r="E84" s="20" t="s">
        <v>602</v>
      </c>
      <c r="F84" s="20" t="s">
        <v>34</v>
      </c>
      <c r="G84" s="20">
        <v>2</v>
      </c>
      <c r="H84" s="20">
        <v>3</v>
      </c>
      <c r="I84" s="13">
        <v>0.6</v>
      </c>
      <c r="J84" s="20" t="s">
        <v>249</v>
      </c>
      <c r="L84" s="20" t="s">
        <v>249</v>
      </c>
      <c r="M84" s="20" t="s">
        <v>603</v>
      </c>
      <c r="N84" s="20" t="s">
        <v>34</v>
      </c>
      <c r="O84" s="20">
        <v>2</v>
      </c>
      <c r="P84" s="20">
        <v>3</v>
      </c>
      <c r="Q84" s="13">
        <v>0.52050739489554854</v>
      </c>
      <c r="R84" s="20" t="s">
        <v>249</v>
      </c>
      <c r="S84" s="20">
        <v>-0.2752140471336747</v>
      </c>
      <c r="T84" s="20" t="s">
        <v>249</v>
      </c>
      <c r="U84" s="20" t="s">
        <v>27</v>
      </c>
      <c r="V84" s="20">
        <v>1</v>
      </c>
      <c r="W84" s="20">
        <v>2</v>
      </c>
      <c r="X84" s="20" t="s">
        <v>496</v>
      </c>
      <c r="Y84" s="20" t="s">
        <v>292</v>
      </c>
      <c r="Z84" s="20" t="s">
        <v>60</v>
      </c>
      <c r="AA84" s="20" t="s">
        <v>491</v>
      </c>
    </row>
    <row r="85" spans="1:27" x14ac:dyDescent="0.2">
      <c r="A85" s="20" t="s">
        <v>186</v>
      </c>
      <c r="B85" s="20" t="s">
        <v>322</v>
      </c>
      <c r="C85" s="20" t="s">
        <v>14</v>
      </c>
      <c r="D85" s="20" t="s">
        <v>33</v>
      </c>
      <c r="E85" s="20" t="s">
        <v>604</v>
      </c>
      <c r="F85" s="20" t="s">
        <v>14</v>
      </c>
      <c r="G85" s="20">
        <v>2</v>
      </c>
      <c r="H85" s="20">
        <v>3</v>
      </c>
      <c r="I85" s="13">
        <v>0.6</v>
      </c>
      <c r="J85" s="20" t="s">
        <v>249</v>
      </c>
      <c r="L85" s="20" t="s">
        <v>248</v>
      </c>
      <c r="M85" s="20" t="s">
        <v>451</v>
      </c>
      <c r="N85" s="20" t="s">
        <v>14</v>
      </c>
      <c r="O85" s="20">
        <v>2</v>
      </c>
      <c r="P85" s="20">
        <v>3</v>
      </c>
      <c r="Q85" s="13">
        <v>0.51934442750587928</v>
      </c>
      <c r="R85" s="20" t="s">
        <v>249</v>
      </c>
      <c r="S85" s="20">
        <v>-0.25916602189359078</v>
      </c>
      <c r="T85" s="20" t="s">
        <v>248</v>
      </c>
      <c r="U85" s="20" t="s">
        <v>14</v>
      </c>
      <c r="V85" s="20">
        <v>3</v>
      </c>
      <c r="W85" s="20">
        <v>0</v>
      </c>
      <c r="X85" s="20" t="s">
        <v>490</v>
      </c>
      <c r="Y85" s="20" t="s">
        <v>292</v>
      </c>
      <c r="Z85" s="20" t="s">
        <v>60</v>
      </c>
      <c r="AA85" s="20" t="s">
        <v>491</v>
      </c>
    </row>
    <row r="86" spans="1:27" x14ac:dyDescent="0.2">
      <c r="A86" s="20" t="s">
        <v>186</v>
      </c>
      <c r="B86" s="20" t="s">
        <v>328</v>
      </c>
      <c r="C86" s="20" t="s">
        <v>39</v>
      </c>
      <c r="D86" s="20" t="s">
        <v>35</v>
      </c>
      <c r="E86" s="20" t="s">
        <v>605</v>
      </c>
      <c r="F86" s="20" t="s">
        <v>39</v>
      </c>
      <c r="G86" s="20">
        <v>2</v>
      </c>
      <c r="H86" s="20">
        <v>3</v>
      </c>
      <c r="I86" s="13">
        <v>0.6</v>
      </c>
      <c r="J86" s="20" t="s">
        <v>249</v>
      </c>
      <c r="L86" s="20" t="s">
        <v>249</v>
      </c>
      <c r="M86" s="20" t="s">
        <v>606</v>
      </c>
      <c r="N86" s="20" t="s">
        <v>39</v>
      </c>
      <c r="O86" s="20">
        <v>2</v>
      </c>
      <c r="P86" s="20">
        <v>3</v>
      </c>
      <c r="Q86" s="13">
        <v>0.76707254891390675</v>
      </c>
      <c r="R86" s="20" t="s">
        <v>249</v>
      </c>
      <c r="S86" s="20">
        <v>-1.7580201248796801</v>
      </c>
      <c r="T86" s="20" t="s">
        <v>249</v>
      </c>
      <c r="U86" s="20" t="s">
        <v>35</v>
      </c>
      <c r="V86" s="20">
        <v>1</v>
      </c>
      <c r="W86" s="20">
        <v>3</v>
      </c>
      <c r="X86" s="20" t="s">
        <v>490</v>
      </c>
      <c r="Y86" s="20" t="s">
        <v>292</v>
      </c>
      <c r="Z86" s="20" t="s">
        <v>60</v>
      </c>
      <c r="AA86" s="20" t="s">
        <v>491</v>
      </c>
    </row>
    <row r="87" spans="1:27" x14ac:dyDescent="0.2">
      <c r="A87" s="20" t="s">
        <v>186</v>
      </c>
      <c r="B87" s="20" t="s">
        <v>328</v>
      </c>
      <c r="C87" s="20" t="s">
        <v>32</v>
      </c>
      <c r="D87" s="20" t="s">
        <v>19</v>
      </c>
      <c r="E87" s="20" t="s">
        <v>607</v>
      </c>
      <c r="F87" s="20" t="s">
        <v>19</v>
      </c>
      <c r="G87" s="20">
        <v>2</v>
      </c>
      <c r="H87" s="20">
        <v>3</v>
      </c>
      <c r="I87" s="13">
        <v>0.6</v>
      </c>
      <c r="J87" s="20" t="s">
        <v>249</v>
      </c>
      <c r="L87" s="20" t="s">
        <v>249</v>
      </c>
      <c r="M87" s="20" t="s">
        <v>608</v>
      </c>
      <c r="N87" s="20" t="s">
        <v>19</v>
      </c>
      <c r="O87" s="20">
        <v>2</v>
      </c>
      <c r="P87" s="20">
        <v>3</v>
      </c>
      <c r="Q87" s="13">
        <v>0.54756628548978714</v>
      </c>
      <c r="R87" s="20" t="s">
        <v>249</v>
      </c>
      <c r="S87" s="20">
        <v>6.4799392882271878E-2</v>
      </c>
      <c r="T87" s="20" t="s">
        <v>249</v>
      </c>
      <c r="U87" s="20" t="s">
        <v>32</v>
      </c>
      <c r="V87" s="20">
        <v>4</v>
      </c>
      <c r="W87" s="20">
        <v>3</v>
      </c>
      <c r="X87" s="20" t="s">
        <v>496</v>
      </c>
      <c r="Y87" s="20" t="s">
        <v>292</v>
      </c>
      <c r="Z87" s="20" t="s">
        <v>60</v>
      </c>
      <c r="AA87" s="20" t="s">
        <v>491</v>
      </c>
    </row>
    <row r="88" spans="1:27" x14ac:dyDescent="0.2">
      <c r="A88" s="20" t="s">
        <v>186</v>
      </c>
      <c r="B88" s="20" t="s">
        <v>322</v>
      </c>
      <c r="C88" s="20" t="s">
        <v>16</v>
      </c>
      <c r="D88" s="20" t="s">
        <v>20</v>
      </c>
      <c r="E88" s="20" t="s">
        <v>609</v>
      </c>
      <c r="F88" s="20" t="s">
        <v>20</v>
      </c>
      <c r="G88" s="20">
        <v>2</v>
      </c>
      <c r="H88" s="20">
        <v>3</v>
      </c>
      <c r="I88" s="13">
        <v>0.6</v>
      </c>
      <c r="J88" s="20" t="s">
        <v>249</v>
      </c>
      <c r="L88" s="20" t="s">
        <v>248</v>
      </c>
      <c r="M88" s="20" t="s">
        <v>510</v>
      </c>
      <c r="N88" s="20" t="s">
        <v>20</v>
      </c>
      <c r="O88" s="20">
        <v>2</v>
      </c>
      <c r="P88" s="20">
        <v>3</v>
      </c>
      <c r="Q88" s="13">
        <v>0.64173026842765124</v>
      </c>
      <c r="R88" s="20" t="s">
        <v>249</v>
      </c>
      <c r="S88" s="20">
        <v>0.8712411976471468</v>
      </c>
      <c r="T88" s="20" t="s">
        <v>248</v>
      </c>
      <c r="U88" s="20" t="s">
        <v>20</v>
      </c>
      <c r="V88" s="20">
        <v>1</v>
      </c>
      <c r="W88" s="20">
        <v>6</v>
      </c>
      <c r="X88" s="20" t="s">
        <v>490</v>
      </c>
      <c r="Y88" s="20" t="s">
        <v>292</v>
      </c>
      <c r="Z88" s="20" t="s">
        <v>60</v>
      </c>
      <c r="AA88" s="20" t="s">
        <v>491</v>
      </c>
    </row>
    <row r="89" spans="1:27" x14ac:dyDescent="0.2">
      <c r="A89" s="20" t="s">
        <v>186</v>
      </c>
      <c r="B89" s="20" t="s">
        <v>328</v>
      </c>
      <c r="C89" s="20" t="s">
        <v>29</v>
      </c>
      <c r="D89" s="20" t="s">
        <v>40</v>
      </c>
      <c r="E89" s="20" t="s">
        <v>610</v>
      </c>
      <c r="F89" s="20" t="s">
        <v>40</v>
      </c>
      <c r="G89" s="20">
        <v>2</v>
      </c>
      <c r="H89" s="20">
        <v>3</v>
      </c>
      <c r="I89" s="13">
        <v>0.6</v>
      </c>
      <c r="J89" s="20" t="s">
        <v>249</v>
      </c>
      <c r="L89" s="20" t="s">
        <v>248</v>
      </c>
      <c r="M89" s="20" t="s">
        <v>315</v>
      </c>
      <c r="N89" s="20" t="s">
        <v>40</v>
      </c>
      <c r="O89" s="20">
        <v>2</v>
      </c>
      <c r="P89" s="20">
        <v>3</v>
      </c>
      <c r="Q89" s="13">
        <v>0.67345605488272364</v>
      </c>
      <c r="R89" s="20" t="s">
        <v>249</v>
      </c>
      <c r="S89" s="20">
        <v>1.121576208950432</v>
      </c>
      <c r="T89" s="20" t="s">
        <v>248</v>
      </c>
      <c r="U89" s="20" t="s">
        <v>40</v>
      </c>
      <c r="V89" s="20">
        <v>1</v>
      </c>
      <c r="W89" s="20">
        <v>4</v>
      </c>
      <c r="X89" s="20" t="s">
        <v>490</v>
      </c>
      <c r="Y89" s="20" t="s">
        <v>292</v>
      </c>
      <c r="Z89" s="20" t="s">
        <v>60</v>
      </c>
      <c r="AA89" s="20" t="s">
        <v>491</v>
      </c>
    </row>
    <row r="90" spans="1:27" x14ac:dyDescent="0.2">
      <c r="A90" s="20" t="s">
        <v>187</v>
      </c>
      <c r="B90" s="20" t="s">
        <v>328</v>
      </c>
      <c r="C90" s="20" t="s">
        <v>31</v>
      </c>
      <c r="D90" s="20" t="s">
        <v>10</v>
      </c>
      <c r="E90" s="20" t="s">
        <v>468</v>
      </c>
      <c r="F90" s="20" t="s">
        <v>31</v>
      </c>
      <c r="G90" s="20">
        <v>2</v>
      </c>
      <c r="H90" s="20">
        <v>3</v>
      </c>
      <c r="I90" s="13">
        <v>0.6</v>
      </c>
      <c r="J90" s="20" t="s">
        <v>249</v>
      </c>
      <c r="L90" s="20" t="s">
        <v>249</v>
      </c>
      <c r="M90" s="20" t="s">
        <v>611</v>
      </c>
      <c r="N90" s="20" t="s">
        <v>31</v>
      </c>
      <c r="O90" s="20">
        <v>2</v>
      </c>
      <c r="P90" s="20">
        <v>3</v>
      </c>
      <c r="Q90" s="13">
        <v>0.51638231038195603</v>
      </c>
      <c r="R90" s="20" t="s">
        <v>249</v>
      </c>
      <c r="S90" s="20">
        <v>-0.3049985281004175</v>
      </c>
      <c r="T90" s="20" t="s">
        <v>249</v>
      </c>
      <c r="U90" s="20" t="s">
        <v>10</v>
      </c>
      <c r="V90" s="20">
        <v>1</v>
      </c>
      <c r="W90" s="20">
        <v>2</v>
      </c>
      <c r="X90" s="20" t="s">
        <v>496</v>
      </c>
      <c r="Y90" s="20" t="s">
        <v>292</v>
      </c>
      <c r="Z90" s="20" t="s">
        <v>60</v>
      </c>
      <c r="AA90" s="20" t="s">
        <v>491</v>
      </c>
    </row>
    <row r="91" spans="1:27" x14ac:dyDescent="0.2">
      <c r="A91" s="20" t="s">
        <v>187</v>
      </c>
      <c r="B91" s="20" t="s">
        <v>453</v>
      </c>
      <c r="C91" s="20" t="s">
        <v>17</v>
      </c>
      <c r="D91" s="20" t="s">
        <v>26</v>
      </c>
      <c r="E91" s="20" t="s">
        <v>612</v>
      </c>
      <c r="F91" s="20" t="s">
        <v>17</v>
      </c>
      <c r="G91" s="20">
        <v>2</v>
      </c>
      <c r="H91" s="20">
        <v>3</v>
      </c>
      <c r="I91" s="13">
        <v>0.6</v>
      </c>
      <c r="J91" s="20" t="s">
        <v>249</v>
      </c>
      <c r="L91" s="20" t="s">
        <v>249</v>
      </c>
      <c r="M91" s="20" t="s">
        <v>613</v>
      </c>
      <c r="N91" s="20" t="s">
        <v>17</v>
      </c>
      <c r="O91" s="20">
        <v>2</v>
      </c>
      <c r="P91" s="20">
        <v>3</v>
      </c>
      <c r="Q91" s="13">
        <v>0.46089817225907131</v>
      </c>
      <c r="R91" s="20" t="s">
        <v>249</v>
      </c>
      <c r="S91" s="20">
        <v>-7.6921518716253079E-3</v>
      </c>
      <c r="T91" s="20" t="s">
        <v>249</v>
      </c>
      <c r="U91" s="20" t="s">
        <v>26</v>
      </c>
      <c r="V91" s="20">
        <v>2</v>
      </c>
      <c r="W91" s="20">
        <v>4</v>
      </c>
      <c r="X91" s="20" t="s">
        <v>490</v>
      </c>
      <c r="Y91" s="20" t="s">
        <v>292</v>
      </c>
      <c r="Z91" s="20" t="s">
        <v>60</v>
      </c>
      <c r="AA91" s="20" t="s">
        <v>491</v>
      </c>
    </row>
    <row r="92" spans="1:27" x14ac:dyDescent="0.2">
      <c r="A92" s="20" t="s">
        <v>187</v>
      </c>
      <c r="B92" s="20" t="s">
        <v>328</v>
      </c>
      <c r="C92" s="20" t="s">
        <v>21</v>
      </c>
      <c r="D92" s="20" t="s">
        <v>55</v>
      </c>
      <c r="E92" s="20" t="s">
        <v>614</v>
      </c>
      <c r="F92" s="20" t="s">
        <v>21</v>
      </c>
      <c r="G92" s="20">
        <v>2</v>
      </c>
      <c r="H92" s="20">
        <v>3</v>
      </c>
      <c r="I92" s="13">
        <v>0.6</v>
      </c>
      <c r="J92" s="20" t="s">
        <v>249</v>
      </c>
      <c r="L92" s="20" t="s">
        <v>249</v>
      </c>
      <c r="M92" s="20" t="s">
        <v>615</v>
      </c>
      <c r="N92" s="20" t="s">
        <v>21</v>
      </c>
      <c r="O92" s="20">
        <v>2</v>
      </c>
      <c r="P92" s="20">
        <v>3</v>
      </c>
      <c r="Q92" s="13">
        <v>0.43596474725172057</v>
      </c>
      <c r="R92" s="20" t="s">
        <v>249</v>
      </c>
      <c r="S92" s="20">
        <v>-0.1334527796502884</v>
      </c>
      <c r="T92" s="20" t="s">
        <v>249</v>
      </c>
      <c r="U92" s="20" t="s">
        <v>55</v>
      </c>
      <c r="V92" s="20">
        <v>2</v>
      </c>
      <c r="W92" s="20">
        <v>3</v>
      </c>
      <c r="X92" s="20" t="s">
        <v>490</v>
      </c>
      <c r="Y92" s="20" t="s">
        <v>292</v>
      </c>
      <c r="Z92" s="20" t="s">
        <v>60</v>
      </c>
      <c r="AA92" s="20" t="s">
        <v>491</v>
      </c>
    </row>
    <row r="93" spans="1:27" x14ac:dyDescent="0.2">
      <c r="A93" s="20" t="s">
        <v>187</v>
      </c>
      <c r="B93" s="20" t="s">
        <v>555</v>
      </c>
      <c r="C93" s="20" t="s">
        <v>38</v>
      </c>
      <c r="D93" s="20" t="s">
        <v>22</v>
      </c>
      <c r="E93" s="20" t="s">
        <v>616</v>
      </c>
      <c r="F93" s="20" t="s">
        <v>22</v>
      </c>
      <c r="G93" s="20">
        <v>2</v>
      </c>
      <c r="H93" s="20">
        <v>3</v>
      </c>
      <c r="I93" s="13">
        <v>0.6</v>
      </c>
      <c r="J93" s="20" t="s">
        <v>249</v>
      </c>
      <c r="L93" s="20" t="s">
        <v>249</v>
      </c>
      <c r="M93" s="20" t="s">
        <v>617</v>
      </c>
      <c r="N93" s="20" t="s">
        <v>22</v>
      </c>
      <c r="O93" s="20">
        <v>2</v>
      </c>
      <c r="P93" s="20">
        <v>3</v>
      </c>
      <c r="Q93" s="13">
        <v>0.73044108736408575</v>
      </c>
      <c r="R93" s="20" t="s">
        <v>249</v>
      </c>
      <c r="S93" s="20">
        <v>1.438285736887724</v>
      </c>
      <c r="T93" s="20" t="s">
        <v>249</v>
      </c>
      <c r="U93" s="20" t="s">
        <v>38</v>
      </c>
      <c r="V93" s="20">
        <v>4</v>
      </c>
      <c r="W93" s="20">
        <v>3</v>
      </c>
      <c r="X93" s="20" t="s">
        <v>490</v>
      </c>
      <c r="Y93" s="20" t="s">
        <v>292</v>
      </c>
      <c r="Z93" s="20" t="s">
        <v>60</v>
      </c>
      <c r="AA93" s="20" t="s">
        <v>491</v>
      </c>
    </row>
    <row r="94" spans="1:27" x14ac:dyDescent="0.2">
      <c r="A94" s="20" t="s">
        <v>188</v>
      </c>
      <c r="B94" s="20" t="s">
        <v>426</v>
      </c>
      <c r="C94" s="20" t="s">
        <v>40</v>
      </c>
      <c r="D94" s="20" t="s">
        <v>16</v>
      </c>
      <c r="E94" s="20" t="s">
        <v>618</v>
      </c>
      <c r="F94" s="20" t="s">
        <v>40</v>
      </c>
      <c r="G94" s="20">
        <v>2</v>
      </c>
      <c r="H94" s="20">
        <v>3</v>
      </c>
      <c r="I94" s="13">
        <v>0.6</v>
      </c>
      <c r="J94" s="20" t="s">
        <v>249</v>
      </c>
      <c r="L94" s="20" t="s">
        <v>248</v>
      </c>
      <c r="M94" s="20" t="s">
        <v>315</v>
      </c>
      <c r="N94" s="20" t="s">
        <v>40</v>
      </c>
      <c r="O94" s="20">
        <v>2</v>
      </c>
      <c r="P94" s="20">
        <v>3</v>
      </c>
      <c r="Q94" s="13">
        <v>0.56281266994144419</v>
      </c>
      <c r="R94" s="20" t="s">
        <v>249</v>
      </c>
      <c r="S94" s="20">
        <v>-0.70263870633866676</v>
      </c>
      <c r="T94" s="20" t="s">
        <v>248</v>
      </c>
      <c r="U94" s="20" t="s">
        <v>40</v>
      </c>
      <c r="V94" s="20">
        <v>2</v>
      </c>
      <c r="W94" s="20">
        <v>1</v>
      </c>
      <c r="X94" s="20" t="s">
        <v>490</v>
      </c>
      <c r="Y94" s="20" t="s">
        <v>292</v>
      </c>
      <c r="Z94" s="20" t="s">
        <v>60</v>
      </c>
      <c r="AA94" s="20" t="s">
        <v>491</v>
      </c>
    </row>
    <row r="95" spans="1:27" x14ac:dyDescent="0.2">
      <c r="A95" s="20" t="s">
        <v>188</v>
      </c>
      <c r="B95" s="20" t="s">
        <v>334</v>
      </c>
      <c r="C95" s="20" t="s">
        <v>23</v>
      </c>
      <c r="D95" s="20" t="s">
        <v>18</v>
      </c>
      <c r="E95" s="20" t="s">
        <v>619</v>
      </c>
      <c r="F95" s="20" t="s">
        <v>23</v>
      </c>
      <c r="G95" s="20">
        <v>2</v>
      </c>
      <c r="H95" s="20">
        <v>3</v>
      </c>
      <c r="I95" s="13">
        <v>0.6</v>
      </c>
      <c r="J95" s="20" t="s">
        <v>249</v>
      </c>
      <c r="L95" s="20" t="s">
        <v>249</v>
      </c>
      <c r="M95" s="20" t="s">
        <v>620</v>
      </c>
      <c r="N95" s="20" t="s">
        <v>23</v>
      </c>
      <c r="O95" s="20">
        <v>2</v>
      </c>
      <c r="P95" s="20">
        <v>3</v>
      </c>
      <c r="Q95" s="13">
        <v>0.46780904534685669</v>
      </c>
      <c r="R95" s="20" t="s">
        <v>249</v>
      </c>
      <c r="S95" s="20">
        <v>-6.6878443610073057E-2</v>
      </c>
      <c r="T95" s="20" t="s">
        <v>249</v>
      </c>
      <c r="U95" s="20" t="s">
        <v>18</v>
      </c>
      <c r="V95" s="20">
        <v>2</v>
      </c>
      <c r="W95" s="20">
        <v>4</v>
      </c>
      <c r="X95" s="20" t="s">
        <v>490</v>
      </c>
      <c r="Y95" s="20" t="s">
        <v>292</v>
      </c>
      <c r="Z95" s="20" t="s">
        <v>60</v>
      </c>
      <c r="AA95" s="20" t="s">
        <v>491</v>
      </c>
    </row>
    <row r="96" spans="1:27" x14ac:dyDescent="0.2">
      <c r="A96" s="20" t="s">
        <v>188</v>
      </c>
      <c r="B96" s="20" t="s">
        <v>328</v>
      </c>
      <c r="C96" s="20" t="s">
        <v>34</v>
      </c>
      <c r="D96" s="20" t="s">
        <v>15</v>
      </c>
      <c r="E96" s="20" t="s">
        <v>621</v>
      </c>
      <c r="F96" s="20" t="s">
        <v>34</v>
      </c>
      <c r="G96" s="20">
        <v>2</v>
      </c>
      <c r="H96" s="20">
        <v>3</v>
      </c>
      <c r="I96" s="13">
        <v>0.6</v>
      </c>
      <c r="J96" s="20" t="s">
        <v>249</v>
      </c>
      <c r="L96" s="20" t="s">
        <v>248</v>
      </c>
      <c r="M96" s="20" t="s">
        <v>343</v>
      </c>
      <c r="N96" s="20" t="s">
        <v>34</v>
      </c>
      <c r="O96" s="20">
        <v>2</v>
      </c>
      <c r="P96" s="20">
        <v>3</v>
      </c>
      <c r="Q96" s="13">
        <v>0.52411502966087842</v>
      </c>
      <c r="R96" s="20" t="s">
        <v>249</v>
      </c>
      <c r="S96" s="20">
        <v>-0.18500844811130129</v>
      </c>
      <c r="T96" s="20" t="s">
        <v>248</v>
      </c>
      <c r="U96" s="20" t="s">
        <v>34</v>
      </c>
      <c r="V96" s="20">
        <v>3</v>
      </c>
      <c r="W96" s="20">
        <v>1</v>
      </c>
      <c r="X96" s="20" t="s">
        <v>490</v>
      </c>
      <c r="Y96" s="20" t="s">
        <v>292</v>
      </c>
      <c r="Z96" s="20" t="s">
        <v>60</v>
      </c>
      <c r="AA96" s="20" t="s">
        <v>491</v>
      </c>
    </row>
    <row r="97" spans="1:27" x14ac:dyDescent="0.2">
      <c r="A97" s="20" t="s">
        <v>188</v>
      </c>
      <c r="B97" s="20" t="s">
        <v>328</v>
      </c>
      <c r="C97" s="20" t="s">
        <v>32</v>
      </c>
      <c r="D97" s="20" t="s">
        <v>27</v>
      </c>
      <c r="E97" s="20" t="s">
        <v>622</v>
      </c>
      <c r="F97" s="20" t="s">
        <v>27</v>
      </c>
      <c r="G97" s="20">
        <v>2</v>
      </c>
      <c r="H97" s="20">
        <v>3</v>
      </c>
      <c r="I97" s="13">
        <v>0.6</v>
      </c>
      <c r="J97" s="20" t="s">
        <v>249</v>
      </c>
      <c r="L97" s="20" t="s">
        <v>248</v>
      </c>
      <c r="M97" s="20" t="s">
        <v>393</v>
      </c>
      <c r="N97" s="20" t="s">
        <v>27</v>
      </c>
      <c r="O97" s="20">
        <v>2</v>
      </c>
      <c r="P97" s="20">
        <v>3</v>
      </c>
      <c r="Q97" s="13">
        <v>0.59126906245048083</v>
      </c>
      <c r="R97" s="20" t="s">
        <v>249</v>
      </c>
      <c r="S97" s="20">
        <v>0.31903840069493639</v>
      </c>
      <c r="T97" s="20" t="s">
        <v>248</v>
      </c>
      <c r="U97" s="20" t="s">
        <v>27</v>
      </c>
      <c r="V97" s="20">
        <v>2</v>
      </c>
      <c r="W97" s="20">
        <v>5</v>
      </c>
      <c r="X97" s="20" t="s">
        <v>490</v>
      </c>
      <c r="Y97" s="20" t="s">
        <v>292</v>
      </c>
      <c r="Z97" s="20" t="s">
        <v>60</v>
      </c>
      <c r="AA97" s="20" t="s">
        <v>491</v>
      </c>
    </row>
    <row r="98" spans="1:27" x14ac:dyDescent="0.2">
      <c r="A98" s="20" t="s">
        <v>188</v>
      </c>
      <c r="B98" s="20" t="s">
        <v>322</v>
      </c>
      <c r="C98" s="20" t="s">
        <v>25</v>
      </c>
      <c r="D98" s="20" t="s">
        <v>20</v>
      </c>
      <c r="E98" s="20" t="s">
        <v>623</v>
      </c>
      <c r="F98" s="20" t="s">
        <v>25</v>
      </c>
      <c r="G98" s="20">
        <v>2</v>
      </c>
      <c r="H98" s="20">
        <v>3</v>
      </c>
      <c r="I98" s="13">
        <v>0.6</v>
      </c>
      <c r="J98" s="20" t="s">
        <v>249</v>
      </c>
      <c r="L98" s="20" t="s">
        <v>249</v>
      </c>
      <c r="M98" s="20" t="s">
        <v>624</v>
      </c>
      <c r="N98" s="20" t="s">
        <v>25</v>
      </c>
      <c r="O98" s="20">
        <v>2</v>
      </c>
      <c r="P98" s="20">
        <v>3</v>
      </c>
      <c r="Q98" s="13">
        <v>0.60504244961743847</v>
      </c>
      <c r="R98" s="20" t="s">
        <v>249</v>
      </c>
      <c r="S98" s="20">
        <v>-0.62021521872602658</v>
      </c>
      <c r="T98" s="20" t="s">
        <v>249</v>
      </c>
      <c r="U98" s="20" t="s">
        <v>20</v>
      </c>
      <c r="V98" s="20">
        <v>1</v>
      </c>
      <c r="W98" s="20">
        <v>4</v>
      </c>
      <c r="X98" s="20" t="s">
        <v>490</v>
      </c>
      <c r="Y98" s="20" t="s">
        <v>292</v>
      </c>
      <c r="Z98" s="20" t="s">
        <v>60</v>
      </c>
      <c r="AA98" s="20" t="s">
        <v>491</v>
      </c>
    </row>
    <row r="99" spans="1:27" x14ac:dyDescent="0.2">
      <c r="A99" s="20" t="s">
        <v>189</v>
      </c>
      <c r="B99" s="20" t="s">
        <v>322</v>
      </c>
      <c r="C99" s="20" t="s">
        <v>12</v>
      </c>
      <c r="D99" s="20" t="s">
        <v>55</v>
      </c>
      <c r="E99" s="20" t="s">
        <v>625</v>
      </c>
      <c r="F99" s="20" t="s">
        <v>12</v>
      </c>
      <c r="G99" s="20">
        <v>2</v>
      </c>
      <c r="H99" s="20">
        <v>3</v>
      </c>
      <c r="I99" s="13">
        <v>0.6</v>
      </c>
      <c r="J99" s="20" t="s">
        <v>249</v>
      </c>
      <c r="L99" s="20" t="s">
        <v>249</v>
      </c>
      <c r="M99" s="20" t="s">
        <v>626</v>
      </c>
      <c r="N99" s="20" t="s">
        <v>12</v>
      </c>
      <c r="O99" s="20">
        <v>2</v>
      </c>
      <c r="P99" s="20">
        <v>3</v>
      </c>
      <c r="Q99" s="13">
        <v>0.72341289378127493</v>
      </c>
      <c r="R99" s="20" t="s">
        <v>249</v>
      </c>
      <c r="S99" s="20">
        <v>-1.9851261985249959</v>
      </c>
      <c r="T99" s="20" t="s">
        <v>249</v>
      </c>
      <c r="U99" s="20" t="s">
        <v>55</v>
      </c>
      <c r="V99" s="20">
        <v>3</v>
      </c>
      <c r="W99" s="20">
        <v>4</v>
      </c>
      <c r="X99" s="20" t="s">
        <v>496</v>
      </c>
      <c r="Y99" s="20" t="s">
        <v>292</v>
      </c>
      <c r="Z99" s="20" t="s">
        <v>60</v>
      </c>
      <c r="AA99" s="20" t="s">
        <v>491</v>
      </c>
    </row>
    <row r="100" spans="1:27" x14ac:dyDescent="0.2">
      <c r="A100" s="20" t="s">
        <v>189</v>
      </c>
      <c r="B100" s="20" t="s">
        <v>324</v>
      </c>
      <c r="C100" s="20" t="s">
        <v>13</v>
      </c>
      <c r="D100" s="20" t="s">
        <v>35</v>
      </c>
      <c r="E100" s="20" t="s">
        <v>627</v>
      </c>
      <c r="F100" s="20" t="s">
        <v>13</v>
      </c>
      <c r="G100" s="20">
        <v>2</v>
      </c>
      <c r="H100" s="20">
        <v>3</v>
      </c>
      <c r="I100" s="13">
        <v>0.6</v>
      </c>
      <c r="J100" s="20" t="s">
        <v>249</v>
      </c>
      <c r="L100" s="20" t="s">
        <v>248</v>
      </c>
      <c r="M100" s="20" t="s">
        <v>628</v>
      </c>
      <c r="N100" s="20" t="s">
        <v>13</v>
      </c>
      <c r="O100" s="20">
        <v>2</v>
      </c>
      <c r="P100" s="20">
        <v>3</v>
      </c>
      <c r="Q100" s="13">
        <v>0.64381546865604655</v>
      </c>
      <c r="R100" s="20" t="s">
        <v>249</v>
      </c>
      <c r="S100" s="20">
        <v>-1.0062940243473459</v>
      </c>
      <c r="T100" s="20" t="s">
        <v>248</v>
      </c>
      <c r="U100" s="20" t="s">
        <v>13</v>
      </c>
      <c r="V100" s="20">
        <v>2</v>
      </c>
      <c r="W100" s="20">
        <v>1</v>
      </c>
      <c r="X100" s="20" t="s">
        <v>496</v>
      </c>
      <c r="Y100" s="20" t="s">
        <v>292</v>
      </c>
      <c r="Z100" s="20" t="s">
        <v>60</v>
      </c>
      <c r="AA100" s="20" t="s">
        <v>491</v>
      </c>
    </row>
    <row r="101" spans="1:27" x14ac:dyDescent="0.2">
      <c r="A101" s="20" t="s">
        <v>189</v>
      </c>
      <c r="B101" s="20" t="s">
        <v>328</v>
      </c>
      <c r="C101" s="20" t="s">
        <v>38</v>
      </c>
      <c r="D101" s="20" t="s">
        <v>14</v>
      </c>
      <c r="E101" s="20" t="s">
        <v>629</v>
      </c>
      <c r="F101" s="20" t="s">
        <v>14</v>
      </c>
      <c r="G101" s="20">
        <v>2</v>
      </c>
      <c r="H101" s="20">
        <v>3</v>
      </c>
      <c r="I101" s="13">
        <v>0.6</v>
      </c>
      <c r="J101" s="20" t="s">
        <v>249</v>
      </c>
      <c r="L101" s="20" t="s">
        <v>248</v>
      </c>
      <c r="M101" s="20" t="s">
        <v>451</v>
      </c>
      <c r="N101" s="20" t="s">
        <v>14</v>
      </c>
      <c r="O101" s="20">
        <v>2</v>
      </c>
      <c r="P101" s="20">
        <v>3</v>
      </c>
      <c r="Q101" s="13">
        <v>0.63629440707565277</v>
      </c>
      <c r="R101" s="20" t="s">
        <v>249</v>
      </c>
      <c r="S101" s="20">
        <v>0.85531428246847652</v>
      </c>
      <c r="T101" s="20" t="s">
        <v>248</v>
      </c>
      <c r="U101" s="20" t="s">
        <v>14</v>
      </c>
      <c r="V101" s="20">
        <v>1</v>
      </c>
      <c r="W101" s="20">
        <v>5</v>
      </c>
      <c r="X101" s="20" t="s">
        <v>490</v>
      </c>
      <c r="Y101" s="20" t="s">
        <v>292</v>
      </c>
      <c r="Z101" s="20" t="s">
        <v>60</v>
      </c>
      <c r="AA101" s="20" t="s">
        <v>491</v>
      </c>
    </row>
    <row r="102" spans="1:27" x14ac:dyDescent="0.2">
      <c r="A102" s="20" t="s">
        <v>189</v>
      </c>
      <c r="B102" s="20" t="s">
        <v>328</v>
      </c>
      <c r="C102" s="20" t="s">
        <v>17</v>
      </c>
      <c r="D102" s="20" t="s">
        <v>36</v>
      </c>
      <c r="E102" s="20" t="s">
        <v>630</v>
      </c>
      <c r="F102" s="20" t="s">
        <v>36</v>
      </c>
      <c r="G102" s="20">
        <v>2</v>
      </c>
      <c r="H102" s="20">
        <v>3</v>
      </c>
      <c r="I102" s="13">
        <v>0.6</v>
      </c>
      <c r="J102" s="20" t="s">
        <v>249</v>
      </c>
      <c r="L102" s="20" t="s">
        <v>249</v>
      </c>
      <c r="M102" s="20" t="s">
        <v>631</v>
      </c>
      <c r="N102" s="20" t="s">
        <v>36</v>
      </c>
      <c r="O102" s="20">
        <v>2</v>
      </c>
      <c r="P102" s="20">
        <v>3</v>
      </c>
      <c r="Q102" s="13">
        <v>0.58176012376347264</v>
      </c>
      <c r="R102" s="20" t="s">
        <v>249</v>
      </c>
      <c r="S102" s="20">
        <v>0.33627136229584559</v>
      </c>
      <c r="T102" s="20" t="s">
        <v>249</v>
      </c>
      <c r="U102" s="20" t="s">
        <v>17</v>
      </c>
      <c r="V102" s="20">
        <v>3</v>
      </c>
      <c r="W102" s="20">
        <v>2</v>
      </c>
      <c r="X102" s="20" t="s">
        <v>496</v>
      </c>
      <c r="Y102" s="20" t="s">
        <v>292</v>
      </c>
      <c r="Z102" s="20" t="s">
        <v>60</v>
      </c>
      <c r="AA102" s="20" t="s">
        <v>491</v>
      </c>
    </row>
    <row r="103" spans="1:27" x14ac:dyDescent="0.2">
      <c r="A103" s="20" t="s">
        <v>189</v>
      </c>
      <c r="B103" s="20" t="s">
        <v>324</v>
      </c>
      <c r="C103" s="20" t="s">
        <v>28</v>
      </c>
      <c r="D103" s="20" t="s">
        <v>39</v>
      </c>
      <c r="E103" s="20" t="s">
        <v>632</v>
      </c>
      <c r="F103" s="20" t="s">
        <v>39</v>
      </c>
      <c r="G103" s="20">
        <v>2</v>
      </c>
      <c r="H103" s="20">
        <v>3</v>
      </c>
      <c r="I103" s="13">
        <v>0.6</v>
      </c>
      <c r="J103" s="20" t="s">
        <v>249</v>
      </c>
      <c r="L103" s="20" t="s">
        <v>249</v>
      </c>
      <c r="M103" s="20" t="s">
        <v>633</v>
      </c>
      <c r="N103" s="20" t="s">
        <v>39</v>
      </c>
      <c r="O103" s="20">
        <v>2</v>
      </c>
      <c r="P103" s="20">
        <v>3</v>
      </c>
      <c r="Q103" s="13">
        <v>0.69229633650839406</v>
      </c>
      <c r="R103" s="20" t="s">
        <v>249</v>
      </c>
      <c r="S103" s="20">
        <v>1.058332655128823</v>
      </c>
      <c r="T103" s="20" t="s">
        <v>249</v>
      </c>
      <c r="U103" s="20" t="s">
        <v>28</v>
      </c>
      <c r="V103" s="20">
        <v>5</v>
      </c>
      <c r="W103" s="20">
        <v>1</v>
      </c>
      <c r="X103" s="20" t="s">
        <v>490</v>
      </c>
      <c r="Y103" s="20" t="s">
        <v>292</v>
      </c>
      <c r="Z103" s="20" t="s">
        <v>60</v>
      </c>
      <c r="AA103" s="20" t="s">
        <v>491</v>
      </c>
    </row>
    <row r="104" spans="1:27" x14ac:dyDescent="0.2">
      <c r="A104" s="20" t="s">
        <v>189</v>
      </c>
      <c r="B104" s="20" t="s">
        <v>324</v>
      </c>
      <c r="C104" s="20" t="s">
        <v>31</v>
      </c>
      <c r="D104" s="20" t="s">
        <v>29</v>
      </c>
      <c r="E104" s="20" t="s">
        <v>634</v>
      </c>
      <c r="F104" s="20" t="s">
        <v>31</v>
      </c>
      <c r="G104" s="20">
        <v>2</v>
      </c>
      <c r="H104" s="20">
        <v>3</v>
      </c>
      <c r="I104" s="13">
        <v>0.6</v>
      </c>
      <c r="J104" s="20" t="s">
        <v>249</v>
      </c>
      <c r="L104" s="20" t="s">
        <v>248</v>
      </c>
      <c r="M104" s="20" t="s">
        <v>291</v>
      </c>
      <c r="N104" s="20" t="s">
        <v>31</v>
      </c>
      <c r="O104" s="20">
        <v>2</v>
      </c>
      <c r="P104" s="20">
        <v>3</v>
      </c>
      <c r="Q104" s="13">
        <v>0.65751832992317638</v>
      </c>
      <c r="R104" s="20" t="s">
        <v>249</v>
      </c>
      <c r="S104" s="20">
        <v>-1.513719556726165</v>
      </c>
      <c r="T104" s="20" t="s">
        <v>248</v>
      </c>
      <c r="U104" s="20" t="s">
        <v>31</v>
      </c>
      <c r="V104" s="20">
        <v>5</v>
      </c>
      <c r="W104" s="20">
        <v>2</v>
      </c>
      <c r="X104" s="20" t="s">
        <v>490</v>
      </c>
      <c r="Y104" s="20" t="s">
        <v>292</v>
      </c>
      <c r="Z104" s="20" t="s">
        <v>60</v>
      </c>
      <c r="AA104" s="20" t="s">
        <v>491</v>
      </c>
    </row>
    <row r="105" spans="1:27" x14ac:dyDescent="0.2">
      <c r="A105" s="20" t="s">
        <v>189</v>
      </c>
      <c r="B105" s="20" t="s">
        <v>328</v>
      </c>
      <c r="C105" s="20" t="s">
        <v>32</v>
      </c>
      <c r="D105" s="20" t="s">
        <v>22</v>
      </c>
      <c r="E105" s="20" t="s">
        <v>635</v>
      </c>
      <c r="F105" s="20" t="s">
        <v>22</v>
      </c>
      <c r="G105" s="20">
        <v>2</v>
      </c>
      <c r="H105" s="20">
        <v>3</v>
      </c>
      <c r="I105" s="13">
        <v>0.6</v>
      </c>
      <c r="J105" s="20" t="s">
        <v>249</v>
      </c>
      <c r="L105" s="20" t="s">
        <v>248</v>
      </c>
      <c r="M105" s="20" t="s">
        <v>321</v>
      </c>
      <c r="N105" s="20" t="s">
        <v>22</v>
      </c>
      <c r="O105" s="20">
        <v>2</v>
      </c>
      <c r="P105" s="20">
        <v>3</v>
      </c>
      <c r="Q105" s="13">
        <v>0.69914783492121801</v>
      </c>
      <c r="R105" s="20" t="s">
        <v>249</v>
      </c>
      <c r="S105" s="20">
        <v>1.1399852170550091</v>
      </c>
      <c r="T105" s="20" t="s">
        <v>248</v>
      </c>
      <c r="U105" s="20" t="s">
        <v>22</v>
      </c>
      <c r="V105" s="20">
        <v>1</v>
      </c>
      <c r="W105" s="20">
        <v>4</v>
      </c>
      <c r="X105" s="20" t="s">
        <v>490</v>
      </c>
      <c r="Y105" s="20" t="s">
        <v>292</v>
      </c>
      <c r="Z105" s="20" t="s">
        <v>60</v>
      </c>
      <c r="AA105" s="20" t="s">
        <v>491</v>
      </c>
    </row>
    <row r="106" spans="1:27" x14ac:dyDescent="0.2">
      <c r="A106" s="20" t="s">
        <v>189</v>
      </c>
      <c r="B106" s="20" t="s">
        <v>334</v>
      </c>
      <c r="C106" s="20" t="s">
        <v>11</v>
      </c>
      <c r="D106" s="20" t="s">
        <v>21</v>
      </c>
      <c r="E106" s="20" t="s">
        <v>636</v>
      </c>
      <c r="F106" s="20" t="s">
        <v>21</v>
      </c>
      <c r="G106" s="20">
        <v>2</v>
      </c>
      <c r="H106" s="20">
        <v>3</v>
      </c>
      <c r="I106" s="13">
        <v>0.6</v>
      </c>
      <c r="J106" s="20" t="s">
        <v>249</v>
      </c>
      <c r="L106" s="20" t="s">
        <v>249</v>
      </c>
      <c r="M106" s="20" t="s">
        <v>637</v>
      </c>
      <c r="N106" s="20" t="s">
        <v>21</v>
      </c>
      <c r="O106" s="20">
        <v>2</v>
      </c>
      <c r="P106" s="20">
        <v>3</v>
      </c>
      <c r="Q106" s="13">
        <v>0.6094362617503768</v>
      </c>
      <c r="R106" s="20" t="s">
        <v>249</v>
      </c>
      <c r="S106" s="20">
        <v>0.22724927953953741</v>
      </c>
      <c r="T106" s="20" t="s">
        <v>249</v>
      </c>
      <c r="U106" s="20" t="s">
        <v>11</v>
      </c>
      <c r="V106" s="20">
        <v>4</v>
      </c>
      <c r="W106" s="20">
        <v>3</v>
      </c>
      <c r="X106" s="20" t="s">
        <v>490</v>
      </c>
      <c r="Y106" s="20" t="s">
        <v>292</v>
      </c>
      <c r="Z106" s="20" t="s">
        <v>60</v>
      </c>
      <c r="AA106" s="20" t="s">
        <v>491</v>
      </c>
    </row>
    <row r="107" spans="1:27" x14ac:dyDescent="0.2">
      <c r="A107" s="20" t="s">
        <v>189</v>
      </c>
      <c r="B107" s="20" t="s">
        <v>328</v>
      </c>
      <c r="C107" s="20" t="s">
        <v>33</v>
      </c>
      <c r="D107" s="20" t="s">
        <v>30</v>
      </c>
      <c r="E107" s="20" t="s">
        <v>638</v>
      </c>
      <c r="F107" s="20" t="s">
        <v>30</v>
      </c>
      <c r="G107" s="20">
        <v>2</v>
      </c>
      <c r="H107" s="20">
        <v>3</v>
      </c>
      <c r="I107" s="13">
        <v>0.6</v>
      </c>
      <c r="J107" s="20" t="s">
        <v>249</v>
      </c>
      <c r="L107" s="20" t="s">
        <v>248</v>
      </c>
      <c r="M107" s="20" t="s">
        <v>580</v>
      </c>
      <c r="N107" s="20" t="s">
        <v>30</v>
      </c>
      <c r="O107" s="20">
        <v>2</v>
      </c>
      <c r="P107" s="20">
        <v>3</v>
      </c>
      <c r="Q107" s="13">
        <v>0.57039383684616074</v>
      </c>
      <c r="R107" s="20" t="s">
        <v>249</v>
      </c>
      <c r="S107" s="20">
        <v>0.26029974386407317</v>
      </c>
      <c r="T107" s="20" t="s">
        <v>248</v>
      </c>
      <c r="U107" s="20" t="s">
        <v>30</v>
      </c>
      <c r="V107" s="20">
        <v>3</v>
      </c>
      <c r="W107" s="20">
        <v>4</v>
      </c>
      <c r="X107" s="20" t="s">
        <v>490</v>
      </c>
      <c r="Y107" s="20" t="s">
        <v>292</v>
      </c>
      <c r="Z107" s="20" t="s">
        <v>60</v>
      </c>
      <c r="AA107" s="20" t="s">
        <v>491</v>
      </c>
    </row>
    <row r="108" spans="1:27" x14ac:dyDescent="0.2">
      <c r="A108" s="20" t="s">
        <v>189</v>
      </c>
      <c r="B108" s="20" t="s">
        <v>328</v>
      </c>
      <c r="C108" s="20" t="s">
        <v>24</v>
      </c>
      <c r="D108" s="20" t="s">
        <v>19</v>
      </c>
      <c r="E108" s="20" t="s">
        <v>639</v>
      </c>
      <c r="F108" s="20" t="s">
        <v>24</v>
      </c>
      <c r="G108" s="20">
        <v>2</v>
      </c>
      <c r="H108" s="20">
        <v>3</v>
      </c>
      <c r="I108" s="13">
        <v>0.6</v>
      </c>
      <c r="J108" s="20" t="s">
        <v>249</v>
      </c>
      <c r="L108" s="20" t="s">
        <v>248</v>
      </c>
      <c r="M108" s="20" t="s">
        <v>449</v>
      </c>
      <c r="N108" s="20" t="s">
        <v>24</v>
      </c>
      <c r="O108" s="20">
        <v>2</v>
      </c>
      <c r="P108" s="20">
        <v>3</v>
      </c>
      <c r="Q108" s="13">
        <v>0.54920600098378236</v>
      </c>
      <c r="R108" s="20" t="s">
        <v>249</v>
      </c>
      <c r="S108" s="20">
        <v>-0.58610809316042234</v>
      </c>
      <c r="T108" s="20" t="s">
        <v>248</v>
      </c>
      <c r="U108" s="20" t="s">
        <v>24</v>
      </c>
      <c r="V108" s="20">
        <v>5</v>
      </c>
      <c r="W108" s="20">
        <v>2</v>
      </c>
      <c r="X108" s="20" t="s">
        <v>490</v>
      </c>
      <c r="Y108" s="20" t="s">
        <v>292</v>
      </c>
      <c r="Z108" s="20" t="s">
        <v>60</v>
      </c>
      <c r="AA108" s="20" t="s">
        <v>491</v>
      </c>
    </row>
    <row r="109" spans="1:27" x14ac:dyDescent="0.2">
      <c r="A109" s="20" t="s">
        <v>190</v>
      </c>
      <c r="B109" s="20" t="s">
        <v>328</v>
      </c>
      <c r="C109" s="20" t="s">
        <v>34</v>
      </c>
      <c r="D109" s="20" t="s">
        <v>24</v>
      </c>
      <c r="E109" s="20" t="s">
        <v>640</v>
      </c>
      <c r="F109" s="20" t="s">
        <v>24</v>
      </c>
      <c r="G109" s="20">
        <v>2</v>
      </c>
      <c r="H109" s="20">
        <v>3</v>
      </c>
      <c r="I109" s="13">
        <v>0.6</v>
      </c>
      <c r="J109" s="20" t="s">
        <v>249</v>
      </c>
      <c r="L109" s="20" t="s">
        <v>248</v>
      </c>
      <c r="M109" s="20" t="s">
        <v>449</v>
      </c>
      <c r="N109" s="20" t="s">
        <v>24</v>
      </c>
      <c r="O109" s="20">
        <v>2</v>
      </c>
      <c r="P109" s="20">
        <v>3</v>
      </c>
      <c r="Q109" s="13">
        <v>0.59138932922050258</v>
      </c>
      <c r="R109" s="20" t="s">
        <v>249</v>
      </c>
      <c r="S109" s="20">
        <v>0.1065557871372456</v>
      </c>
      <c r="T109" s="20" t="s">
        <v>248</v>
      </c>
      <c r="U109" s="20" t="s">
        <v>24</v>
      </c>
      <c r="V109" s="20">
        <v>1</v>
      </c>
      <c r="W109" s="20">
        <v>4</v>
      </c>
      <c r="X109" s="20" t="s">
        <v>490</v>
      </c>
      <c r="Y109" s="20" t="s">
        <v>292</v>
      </c>
      <c r="Z109" s="20" t="s">
        <v>60</v>
      </c>
      <c r="AA109" s="20" t="s">
        <v>491</v>
      </c>
    </row>
    <row r="110" spans="1:27" x14ac:dyDescent="0.2">
      <c r="A110" s="20" t="s">
        <v>190</v>
      </c>
      <c r="B110" s="20" t="s">
        <v>416</v>
      </c>
      <c r="C110" s="20" t="s">
        <v>18</v>
      </c>
      <c r="D110" s="20" t="s">
        <v>16</v>
      </c>
      <c r="E110" s="20" t="s">
        <v>641</v>
      </c>
      <c r="F110" s="20" t="s">
        <v>18</v>
      </c>
      <c r="G110" s="20">
        <v>2</v>
      </c>
      <c r="H110" s="20">
        <v>3</v>
      </c>
      <c r="I110" s="13">
        <v>0.6</v>
      </c>
      <c r="J110" s="20" t="s">
        <v>249</v>
      </c>
      <c r="L110" s="20" t="s">
        <v>248</v>
      </c>
      <c r="M110" s="20" t="s">
        <v>360</v>
      </c>
      <c r="N110" s="20" t="s">
        <v>18</v>
      </c>
      <c r="O110" s="20">
        <v>2</v>
      </c>
      <c r="P110" s="20">
        <v>3</v>
      </c>
      <c r="Q110" s="13">
        <v>0.56867826451875392</v>
      </c>
      <c r="R110" s="20" t="s">
        <v>249</v>
      </c>
      <c r="S110" s="20">
        <v>-0.42299090184763322</v>
      </c>
      <c r="T110" s="20" t="s">
        <v>248</v>
      </c>
      <c r="U110" s="20" t="s">
        <v>18</v>
      </c>
      <c r="V110" s="20">
        <v>2</v>
      </c>
      <c r="W110" s="20">
        <v>1</v>
      </c>
      <c r="X110" s="20" t="s">
        <v>496</v>
      </c>
      <c r="Y110" s="20" t="s">
        <v>292</v>
      </c>
      <c r="Z110" s="20" t="s">
        <v>60</v>
      </c>
      <c r="AA110" s="20" t="s">
        <v>491</v>
      </c>
    </row>
    <row r="111" spans="1:27" x14ac:dyDescent="0.2">
      <c r="A111" s="20" t="s">
        <v>190</v>
      </c>
      <c r="B111" s="20" t="s">
        <v>334</v>
      </c>
      <c r="C111" s="20" t="s">
        <v>26</v>
      </c>
      <c r="D111" s="20" t="s">
        <v>23</v>
      </c>
      <c r="E111" s="20" t="s">
        <v>642</v>
      </c>
      <c r="F111" s="20" t="s">
        <v>23</v>
      </c>
      <c r="G111" s="20">
        <v>2</v>
      </c>
      <c r="H111" s="20">
        <v>3</v>
      </c>
      <c r="I111" s="13">
        <v>0.6</v>
      </c>
      <c r="J111" s="20" t="s">
        <v>249</v>
      </c>
      <c r="L111" s="20" t="s">
        <v>248</v>
      </c>
      <c r="M111" s="20" t="s">
        <v>296</v>
      </c>
      <c r="N111" s="20" t="s">
        <v>23</v>
      </c>
      <c r="O111" s="20">
        <v>2</v>
      </c>
      <c r="P111" s="20">
        <v>3</v>
      </c>
      <c r="Q111" s="13">
        <v>0.60256479135424768</v>
      </c>
      <c r="R111" s="20" t="s">
        <v>249</v>
      </c>
      <c r="S111" s="20">
        <v>0.44912987821488232</v>
      </c>
      <c r="T111" s="20" t="s">
        <v>248</v>
      </c>
      <c r="U111" s="20" t="s">
        <v>23</v>
      </c>
      <c r="V111" s="20">
        <v>2</v>
      </c>
      <c r="W111" s="20">
        <v>4</v>
      </c>
      <c r="X111" s="20" t="s">
        <v>490</v>
      </c>
      <c r="Y111" s="20" t="s">
        <v>292</v>
      </c>
      <c r="Z111" s="20" t="s">
        <v>60</v>
      </c>
      <c r="AA111" s="20" t="s">
        <v>491</v>
      </c>
    </row>
    <row r="112" spans="1:27" x14ac:dyDescent="0.2">
      <c r="A112" s="20" t="s">
        <v>191</v>
      </c>
      <c r="B112" s="20" t="s">
        <v>326</v>
      </c>
      <c r="C112" s="20" t="s">
        <v>25</v>
      </c>
      <c r="D112" s="20" t="s">
        <v>12</v>
      </c>
      <c r="E112" s="20" t="s">
        <v>643</v>
      </c>
      <c r="F112" s="20" t="s">
        <v>12</v>
      </c>
      <c r="G112" s="20">
        <v>2</v>
      </c>
      <c r="H112" s="20">
        <v>3</v>
      </c>
      <c r="I112" s="13">
        <v>0.6</v>
      </c>
      <c r="J112" s="20" t="s">
        <v>249</v>
      </c>
      <c r="L112" s="20" t="s">
        <v>249</v>
      </c>
      <c r="M112" s="20" t="s">
        <v>644</v>
      </c>
      <c r="N112" s="20" t="s">
        <v>12</v>
      </c>
      <c r="O112" s="20">
        <v>2</v>
      </c>
      <c r="P112" s="20">
        <v>3</v>
      </c>
      <c r="Q112" s="13">
        <v>0.7218928703579427</v>
      </c>
      <c r="R112" s="20" t="s">
        <v>249</v>
      </c>
      <c r="S112" s="20">
        <v>1.256129270021586</v>
      </c>
      <c r="T112" s="20" t="s">
        <v>249</v>
      </c>
      <c r="U112" s="20" t="s">
        <v>25</v>
      </c>
      <c r="V112" s="20">
        <v>5</v>
      </c>
      <c r="W112" s="20">
        <v>4</v>
      </c>
      <c r="X112" s="20" t="s">
        <v>496</v>
      </c>
      <c r="Y112" s="20" t="s">
        <v>292</v>
      </c>
      <c r="Z112" s="20" t="s">
        <v>60</v>
      </c>
      <c r="AA112" s="20" t="s">
        <v>491</v>
      </c>
    </row>
    <row r="113" spans="1:27" x14ac:dyDescent="0.2">
      <c r="A113" s="20" t="s">
        <v>191</v>
      </c>
      <c r="B113" s="20" t="s">
        <v>328</v>
      </c>
      <c r="C113" s="20" t="s">
        <v>31</v>
      </c>
      <c r="D113" s="20" t="s">
        <v>21</v>
      </c>
      <c r="E113" s="20" t="s">
        <v>645</v>
      </c>
      <c r="F113" s="20" t="s">
        <v>31</v>
      </c>
      <c r="G113" s="20">
        <v>2</v>
      </c>
      <c r="H113" s="20">
        <v>3</v>
      </c>
      <c r="I113" s="13">
        <v>0.6</v>
      </c>
      <c r="J113" s="20" t="s">
        <v>249</v>
      </c>
      <c r="L113" s="20" t="s">
        <v>248</v>
      </c>
      <c r="M113" s="20" t="s">
        <v>291</v>
      </c>
      <c r="N113" s="20" t="s">
        <v>31</v>
      </c>
      <c r="O113" s="20">
        <v>2</v>
      </c>
      <c r="P113" s="20">
        <v>3</v>
      </c>
      <c r="Q113" s="13">
        <v>0.47820092945126852</v>
      </c>
      <c r="R113" s="20" t="s">
        <v>249</v>
      </c>
      <c r="S113" s="20">
        <v>-0.34857203336383552</v>
      </c>
      <c r="T113" s="20" t="s">
        <v>248</v>
      </c>
      <c r="U113" s="20" t="s">
        <v>31</v>
      </c>
      <c r="V113" s="20">
        <v>7</v>
      </c>
      <c r="W113" s="20">
        <v>5</v>
      </c>
      <c r="X113" s="20" t="s">
        <v>490</v>
      </c>
      <c r="Y113" s="20" t="s">
        <v>292</v>
      </c>
      <c r="Z113" s="20" t="s">
        <v>60</v>
      </c>
      <c r="AA113" s="20" t="s">
        <v>491</v>
      </c>
    </row>
    <row r="114" spans="1:27" x14ac:dyDescent="0.2">
      <c r="A114" s="20" t="s">
        <v>191</v>
      </c>
      <c r="B114" s="20" t="s">
        <v>646</v>
      </c>
      <c r="C114" s="20" t="s">
        <v>10</v>
      </c>
      <c r="D114" s="20" t="s">
        <v>37</v>
      </c>
      <c r="E114" s="20" t="s">
        <v>647</v>
      </c>
      <c r="F114" s="20" t="s">
        <v>37</v>
      </c>
      <c r="G114" s="20">
        <v>2</v>
      </c>
      <c r="H114" s="20">
        <v>3</v>
      </c>
      <c r="I114" s="13">
        <v>0.6</v>
      </c>
      <c r="J114" s="20" t="s">
        <v>249</v>
      </c>
      <c r="L114" s="20" t="s">
        <v>249</v>
      </c>
      <c r="M114" s="20" t="s">
        <v>648</v>
      </c>
      <c r="N114" s="20" t="s">
        <v>37</v>
      </c>
      <c r="O114" s="20">
        <v>2</v>
      </c>
      <c r="P114" s="20">
        <v>3</v>
      </c>
      <c r="Q114" s="13">
        <v>0.65825521503939921</v>
      </c>
      <c r="R114" s="20" t="s">
        <v>249</v>
      </c>
      <c r="S114" s="20">
        <v>0.73660195085408042</v>
      </c>
      <c r="T114" s="20" t="s">
        <v>249</v>
      </c>
      <c r="U114" s="20" t="s">
        <v>10</v>
      </c>
      <c r="V114" s="20">
        <v>3</v>
      </c>
      <c r="W114" s="20">
        <v>2</v>
      </c>
      <c r="X114" s="20" t="s">
        <v>490</v>
      </c>
      <c r="Y114" s="20" t="s">
        <v>292</v>
      </c>
      <c r="Z114" s="20" t="s">
        <v>60</v>
      </c>
      <c r="AA114" s="20" t="s">
        <v>491</v>
      </c>
    </row>
    <row r="115" spans="1:27" x14ac:dyDescent="0.2">
      <c r="A115" s="20" t="s">
        <v>191</v>
      </c>
      <c r="B115" s="20" t="s">
        <v>324</v>
      </c>
      <c r="C115" s="20" t="s">
        <v>55</v>
      </c>
      <c r="D115" s="20" t="s">
        <v>35</v>
      </c>
      <c r="E115" s="20" t="s">
        <v>463</v>
      </c>
      <c r="F115" s="20" t="s">
        <v>55</v>
      </c>
      <c r="G115" s="20">
        <v>2</v>
      </c>
      <c r="H115" s="20">
        <v>3</v>
      </c>
      <c r="I115" s="13">
        <v>0.6</v>
      </c>
      <c r="J115" s="20" t="s">
        <v>249</v>
      </c>
      <c r="L115" s="20" t="s">
        <v>248</v>
      </c>
      <c r="M115" s="20" t="s">
        <v>362</v>
      </c>
      <c r="N115" s="20" t="s">
        <v>55</v>
      </c>
      <c r="O115" s="20">
        <v>2</v>
      </c>
      <c r="P115" s="20">
        <v>3</v>
      </c>
      <c r="Q115" s="13">
        <v>0.5699286883691741</v>
      </c>
      <c r="R115" s="20" t="s">
        <v>249</v>
      </c>
      <c r="S115" s="20">
        <v>-0.94145433400337764</v>
      </c>
      <c r="T115" s="20" t="s">
        <v>248</v>
      </c>
      <c r="U115" s="20" t="s">
        <v>55</v>
      </c>
      <c r="V115" s="20">
        <v>7</v>
      </c>
      <c r="W115" s="20">
        <v>4</v>
      </c>
      <c r="X115" s="20" t="s">
        <v>490</v>
      </c>
      <c r="Y115" s="20" t="s">
        <v>292</v>
      </c>
      <c r="Z115" s="20" t="s">
        <v>60</v>
      </c>
      <c r="AA115" s="20" t="s">
        <v>491</v>
      </c>
    </row>
    <row r="116" spans="1:27" x14ac:dyDescent="0.2">
      <c r="A116" s="20" t="s">
        <v>191</v>
      </c>
      <c r="B116" s="20" t="s">
        <v>328</v>
      </c>
      <c r="C116" s="20" t="s">
        <v>27</v>
      </c>
      <c r="D116" s="20" t="s">
        <v>36</v>
      </c>
      <c r="E116" s="20" t="s">
        <v>649</v>
      </c>
      <c r="F116" s="20" t="s">
        <v>27</v>
      </c>
      <c r="G116" s="20">
        <v>2</v>
      </c>
      <c r="H116" s="20">
        <v>3</v>
      </c>
      <c r="I116" s="13">
        <v>0.6</v>
      </c>
      <c r="J116" s="20" t="s">
        <v>249</v>
      </c>
      <c r="L116" s="20" t="s">
        <v>249</v>
      </c>
      <c r="M116" s="20" t="s">
        <v>650</v>
      </c>
      <c r="N116" s="20" t="s">
        <v>27</v>
      </c>
      <c r="O116" s="20">
        <v>2</v>
      </c>
      <c r="P116" s="20">
        <v>3</v>
      </c>
      <c r="Q116" s="13">
        <v>0.51182076425989476</v>
      </c>
      <c r="R116" s="20" t="s">
        <v>249</v>
      </c>
      <c r="S116" s="20">
        <v>-0.1012357184353601</v>
      </c>
      <c r="T116" s="20" t="s">
        <v>249</v>
      </c>
      <c r="U116" s="20" t="s">
        <v>36</v>
      </c>
      <c r="V116" s="20">
        <v>1</v>
      </c>
      <c r="W116" s="20">
        <v>2</v>
      </c>
      <c r="X116" s="20" t="s">
        <v>490</v>
      </c>
      <c r="Y116" s="20" t="s">
        <v>292</v>
      </c>
      <c r="Z116" s="20" t="s">
        <v>60</v>
      </c>
      <c r="AA116" s="20" t="s">
        <v>491</v>
      </c>
    </row>
    <row r="117" spans="1:27" x14ac:dyDescent="0.2">
      <c r="A117" s="20" t="s">
        <v>191</v>
      </c>
      <c r="B117" s="20" t="s">
        <v>324</v>
      </c>
      <c r="C117" s="20" t="s">
        <v>32</v>
      </c>
      <c r="D117" s="20" t="s">
        <v>40</v>
      </c>
      <c r="E117" s="20" t="s">
        <v>651</v>
      </c>
      <c r="F117" s="20" t="s">
        <v>40</v>
      </c>
      <c r="G117" s="20">
        <v>2</v>
      </c>
      <c r="H117" s="20">
        <v>3</v>
      </c>
      <c r="I117" s="13">
        <v>0.6</v>
      </c>
      <c r="J117" s="20" t="s">
        <v>249</v>
      </c>
      <c r="L117" s="20" t="s">
        <v>249</v>
      </c>
      <c r="M117" s="20" t="s">
        <v>652</v>
      </c>
      <c r="N117" s="20" t="s">
        <v>40</v>
      </c>
      <c r="O117" s="20">
        <v>2</v>
      </c>
      <c r="P117" s="20">
        <v>3</v>
      </c>
      <c r="Q117" s="13">
        <v>0.58757089842028809</v>
      </c>
      <c r="R117" s="20" t="s">
        <v>249</v>
      </c>
      <c r="S117" s="20">
        <v>0.38603616041846089</v>
      </c>
      <c r="T117" s="20" t="s">
        <v>249</v>
      </c>
      <c r="U117" s="20" t="s">
        <v>32</v>
      </c>
      <c r="V117" s="20">
        <v>3</v>
      </c>
      <c r="W117" s="20">
        <v>0</v>
      </c>
      <c r="X117" s="20" t="s">
        <v>490</v>
      </c>
      <c r="Y117" s="20" t="s">
        <v>292</v>
      </c>
      <c r="Z117" s="20" t="s">
        <v>60</v>
      </c>
      <c r="AA117" s="20" t="s">
        <v>491</v>
      </c>
    </row>
    <row r="118" spans="1:27" x14ac:dyDescent="0.2">
      <c r="A118" s="20" t="s">
        <v>191</v>
      </c>
      <c r="B118" s="20" t="s">
        <v>328</v>
      </c>
      <c r="C118" s="20" t="s">
        <v>26</v>
      </c>
      <c r="D118" s="20" t="s">
        <v>30</v>
      </c>
      <c r="E118" s="20" t="s">
        <v>653</v>
      </c>
      <c r="F118" s="20" t="s">
        <v>30</v>
      </c>
      <c r="G118" s="20">
        <v>2</v>
      </c>
      <c r="H118" s="20">
        <v>3</v>
      </c>
      <c r="I118" s="13">
        <v>0.6</v>
      </c>
      <c r="J118" s="20" t="s">
        <v>249</v>
      </c>
      <c r="L118" s="20" t="s">
        <v>248</v>
      </c>
      <c r="M118" s="20" t="s">
        <v>580</v>
      </c>
      <c r="N118" s="20" t="s">
        <v>30</v>
      </c>
      <c r="O118" s="20">
        <v>2</v>
      </c>
      <c r="P118" s="20">
        <v>3</v>
      </c>
      <c r="Q118" s="13">
        <v>0.61990309562295465</v>
      </c>
      <c r="R118" s="20" t="s">
        <v>249</v>
      </c>
      <c r="S118" s="20">
        <v>0.68430831651413926</v>
      </c>
      <c r="T118" s="20" t="s">
        <v>248</v>
      </c>
      <c r="U118" s="20" t="s">
        <v>30</v>
      </c>
      <c r="V118" s="20">
        <v>2</v>
      </c>
      <c r="W118" s="20">
        <v>7</v>
      </c>
      <c r="X118" s="20" t="s">
        <v>490</v>
      </c>
      <c r="Y118" s="20" t="s">
        <v>292</v>
      </c>
      <c r="Z118" s="20" t="s">
        <v>60</v>
      </c>
      <c r="AA118" s="20" t="s">
        <v>491</v>
      </c>
    </row>
    <row r="119" spans="1:27" x14ac:dyDescent="0.2">
      <c r="A119" s="20" t="s">
        <v>191</v>
      </c>
      <c r="B119" s="20" t="s">
        <v>324</v>
      </c>
      <c r="C119" s="20" t="s">
        <v>38</v>
      </c>
      <c r="D119" s="20" t="s">
        <v>29</v>
      </c>
      <c r="E119" s="20" t="s">
        <v>654</v>
      </c>
      <c r="F119" s="20" t="s">
        <v>38</v>
      </c>
      <c r="G119" s="20">
        <v>2</v>
      </c>
      <c r="H119" s="20">
        <v>3</v>
      </c>
      <c r="I119" s="13">
        <v>0.6</v>
      </c>
      <c r="J119" s="20" t="s">
        <v>249</v>
      </c>
      <c r="L119" s="20" t="s">
        <v>249</v>
      </c>
      <c r="M119" s="20" t="s">
        <v>655</v>
      </c>
      <c r="N119" s="20" t="s">
        <v>38</v>
      </c>
      <c r="O119" s="20">
        <v>2</v>
      </c>
      <c r="P119" s="20">
        <v>3</v>
      </c>
      <c r="Q119" s="13">
        <v>0.50880367819163874</v>
      </c>
      <c r="R119" s="20" t="s">
        <v>249</v>
      </c>
      <c r="S119" s="20">
        <v>-0.38733877977609438</v>
      </c>
      <c r="T119" s="20" t="s">
        <v>249</v>
      </c>
      <c r="U119" s="20" t="s">
        <v>29</v>
      </c>
      <c r="V119" s="20">
        <v>1</v>
      </c>
      <c r="W119" s="20">
        <v>2</v>
      </c>
      <c r="X119" s="20" t="s">
        <v>490</v>
      </c>
      <c r="Y119" s="20" t="s">
        <v>292</v>
      </c>
      <c r="Z119" s="20" t="s">
        <v>60</v>
      </c>
      <c r="AA119" s="20" t="s">
        <v>491</v>
      </c>
    </row>
    <row r="120" spans="1:27" x14ac:dyDescent="0.2">
      <c r="A120" s="20" t="s">
        <v>191</v>
      </c>
      <c r="B120" s="20" t="s">
        <v>328</v>
      </c>
      <c r="C120" s="20" t="s">
        <v>14</v>
      </c>
      <c r="D120" s="20" t="s">
        <v>11</v>
      </c>
      <c r="E120" s="20" t="s">
        <v>656</v>
      </c>
      <c r="F120" s="20" t="s">
        <v>14</v>
      </c>
      <c r="G120" s="20">
        <v>2</v>
      </c>
      <c r="H120" s="20">
        <v>3</v>
      </c>
      <c r="I120" s="13">
        <v>0.6</v>
      </c>
      <c r="J120" s="20" t="s">
        <v>249</v>
      </c>
      <c r="L120" s="20" t="s">
        <v>248</v>
      </c>
      <c r="M120" s="20" t="s">
        <v>451</v>
      </c>
      <c r="N120" s="20" t="s">
        <v>14</v>
      </c>
      <c r="O120" s="20">
        <v>2</v>
      </c>
      <c r="P120" s="20">
        <v>3</v>
      </c>
      <c r="Q120" s="13">
        <v>0.50907983992379147</v>
      </c>
      <c r="R120" s="20" t="s">
        <v>249</v>
      </c>
      <c r="S120" s="20">
        <v>-0.20495332057545401</v>
      </c>
      <c r="T120" s="20" t="s">
        <v>248</v>
      </c>
      <c r="U120" s="20" t="s">
        <v>14</v>
      </c>
      <c r="V120" s="20">
        <v>5</v>
      </c>
      <c r="W120" s="20">
        <v>3</v>
      </c>
      <c r="X120" s="20" t="s">
        <v>490</v>
      </c>
      <c r="Y120" s="20" t="s">
        <v>292</v>
      </c>
      <c r="Z120" s="20" t="s">
        <v>60</v>
      </c>
      <c r="AA120" s="20" t="s">
        <v>491</v>
      </c>
    </row>
    <row r="121" spans="1:27" x14ac:dyDescent="0.2">
      <c r="A121" s="20" t="s">
        <v>191</v>
      </c>
      <c r="B121" s="20" t="s">
        <v>326</v>
      </c>
      <c r="C121" s="20" t="s">
        <v>18</v>
      </c>
      <c r="D121" s="20" t="s">
        <v>17</v>
      </c>
      <c r="E121" s="20" t="s">
        <v>657</v>
      </c>
      <c r="F121" s="20" t="s">
        <v>18</v>
      </c>
      <c r="G121" s="20">
        <v>2</v>
      </c>
      <c r="H121" s="20">
        <v>3</v>
      </c>
      <c r="I121" s="13">
        <v>0.6</v>
      </c>
      <c r="J121" s="20" t="s">
        <v>249</v>
      </c>
      <c r="L121" s="20" t="s">
        <v>249</v>
      </c>
      <c r="M121" s="20" t="s">
        <v>658</v>
      </c>
      <c r="N121" s="20" t="s">
        <v>18</v>
      </c>
      <c r="O121" s="20">
        <v>2</v>
      </c>
      <c r="P121" s="20">
        <v>3</v>
      </c>
      <c r="Q121" s="13">
        <v>0.53262385063370665</v>
      </c>
      <c r="R121" s="20" t="s">
        <v>249</v>
      </c>
      <c r="S121" s="20">
        <v>-0.17495628704053409</v>
      </c>
      <c r="T121" s="20" t="s">
        <v>249</v>
      </c>
      <c r="U121" s="20" t="s">
        <v>17</v>
      </c>
      <c r="V121" s="20">
        <v>5</v>
      </c>
      <c r="W121" s="20">
        <v>6</v>
      </c>
      <c r="X121" s="20" t="s">
        <v>490</v>
      </c>
      <c r="Y121" s="20" t="s">
        <v>292</v>
      </c>
      <c r="Z121" s="20" t="s">
        <v>60</v>
      </c>
      <c r="AA121" s="20" t="s">
        <v>491</v>
      </c>
    </row>
    <row r="122" spans="1:27" x14ac:dyDescent="0.2">
      <c r="A122" s="20" t="s">
        <v>191</v>
      </c>
      <c r="B122" s="20" t="s">
        <v>326</v>
      </c>
      <c r="C122" s="20" t="s">
        <v>13</v>
      </c>
      <c r="D122" s="20" t="s">
        <v>39</v>
      </c>
      <c r="E122" s="20" t="s">
        <v>659</v>
      </c>
      <c r="F122" s="20" t="s">
        <v>39</v>
      </c>
      <c r="G122" s="20">
        <v>2</v>
      </c>
      <c r="H122" s="20">
        <v>3</v>
      </c>
      <c r="I122" s="13">
        <v>0.6</v>
      </c>
      <c r="J122" s="20" t="s">
        <v>249</v>
      </c>
      <c r="L122" s="20" t="s">
        <v>249</v>
      </c>
      <c r="M122" s="20" t="s">
        <v>660</v>
      </c>
      <c r="N122" s="20" t="s">
        <v>39</v>
      </c>
      <c r="O122" s="20">
        <v>2</v>
      </c>
      <c r="P122" s="20">
        <v>3</v>
      </c>
      <c r="Q122" s="13">
        <v>0.59993087976587611</v>
      </c>
      <c r="R122" s="20" t="s">
        <v>249</v>
      </c>
      <c r="S122" s="20">
        <v>0.80162684945549589</v>
      </c>
      <c r="T122" s="20" t="s">
        <v>249</v>
      </c>
      <c r="U122" s="20" t="s">
        <v>13</v>
      </c>
      <c r="V122" s="20">
        <v>3</v>
      </c>
      <c r="W122" s="20">
        <v>2</v>
      </c>
      <c r="X122" s="20" t="s">
        <v>496</v>
      </c>
      <c r="Y122" s="20" t="s">
        <v>292</v>
      </c>
      <c r="Z122" s="20" t="s">
        <v>60</v>
      </c>
      <c r="AA122" s="20" t="s">
        <v>491</v>
      </c>
    </row>
    <row r="123" spans="1:27" x14ac:dyDescent="0.2">
      <c r="A123" s="20" t="s">
        <v>191</v>
      </c>
      <c r="B123" s="20" t="s">
        <v>328</v>
      </c>
      <c r="C123" s="20" t="s">
        <v>33</v>
      </c>
      <c r="D123" s="20" t="s">
        <v>15</v>
      </c>
      <c r="E123" s="20" t="s">
        <v>661</v>
      </c>
      <c r="F123" s="20" t="s">
        <v>15</v>
      </c>
      <c r="G123" s="20">
        <v>2</v>
      </c>
      <c r="H123" s="20">
        <v>3</v>
      </c>
      <c r="I123" s="13">
        <v>0.6</v>
      </c>
      <c r="J123" s="20" t="s">
        <v>249</v>
      </c>
      <c r="L123" s="20" t="s">
        <v>249</v>
      </c>
      <c r="M123" s="20" t="s">
        <v>662</v>
      </c>
      <c r="N123" s="20" t="s">
        <v>15</v>
      </c>
      <c r="O123" s="20">
        <v>2</v>
      </c>
      <c r="P123" s="20">
        <v>3</v>
      </c>
      <c r="Q123" s="13">
        <v>0.56466045516532937</v>
      </c>
      <c r="R123" s="20" t="s">
        <v>249</v>
      </c>
      <c r="S123" s="20">
        <v>0.21119775682146319</v>
      </c>
      <c r="T123" s="20" t="s">
        <v>249</v>
      </c>
      <c r="U123" s="20" t="s">
        <v>33</v>
      </c>
      <c r="V123" s="20">
        <v>6</v>
      </c>
      <c r="W123" s="20">
        <v>5</v>
      </c>
      <c r="X123" s="20" t="s">
        <v>496</v>
      </c>
      <c r="Y123" s="20" t="s">
        <v>292</v>
      </c>
      <c r="Z123" s="20" t="s">
        <v>60</v>
      </c>
      <c r="AA123" s="20" t="s">
        <v>491</v>
      </c>
    </row>
    <row r="124" spans="1:27" x14ac:dyDescent="0.2">
      <c r="A124" s="20" t="s">
        <v>192</v>
      </c>
      <c r="B124" s="20" t="s">
        <v>334</v>
      </c>
      <c r="C124" s="20" t="s">
        <v>19</v>
      </c>
      <c r="D124" s="20" t="s">
        <v>23</v>
      </c>
      <c r="E124" s="20" t="s">
        <v>663</v>
      </c>
      <c r="F124" s="20" t="s">
        <v>23</v>
      </c>
      <c r="G124" s="20">
        <v>2</v>
      </c>
      <c r="H124" s="20">
        <v>3</v>
      </c>
      <c r="I124" s="13">
        <v>0.6</v>
      </c>
      <c r="J124" s="20" t="s">
        <v>249</v>
      </c>
      <c r="L124" s="20" t="s">
        <v>248</v>
      </c>
      <c r="M124" s="20" t="s">
        <v>296</v>
      </c>
      <c r="N124" s="20" t="s">
        <v>23</v>
      </c>
      <c r="O124" s="20">
        <v>2</v>
      </c>
      <c r="P124" s="20">
        <v>3</v>
      </c>
      <c r="Q124" s="13">
        <v>0.57444071781895778</v>
      </c>
      <c r="R124" s="20" t="s">
        <v>249</v>
      </c>
      <c r="S124" s="20">
        <v>0.2082689045015533</v>
      </c>
      <c r="T124" s="20" t="s">
        <v>248</v>
      </c>
      <c r="U124" s="20" t="s">
        <v>23</v>
      </c>
      <c r="V124" s="20">
        <v>3</v>
      </c>
      <c r="W124" s="20">
        <v>5</v>
      </c>
      <c r="X124" s="20" t="s">
        <v>490</v>
      </c>
      <c r="Y124" s="20" t="s">
        <v>292</v>
      </c>
      <c r="Z124" s="20" t="s">
        <v>60</v>
      </c>
      <c r="AA124" s="20" t="s">
        <v>491</v>
      </c>
    </row>
    <row r="125" spans="1:27" x14ac:dyDescent="0.2">
      <c r="A125" s="20" t="s">
        <v>192</v>
      </c>
      <c r="B125" s="20" t="s">
        <v>328</v>
      </c>
      <c r="C125" s="20" t="s">
        <v>22</v>
      </c>
      <c r="D125" s="20" t="s">
        <v>28</v>
      </c>
      <c r="E125" s="20" t="s">
        <v>664</v>
      </c>
      <c r="F125" s="20" t="s">
        <v>22</v>
      </c>
      <c r="G125" s="20">
        <v>2</v>
      </c>
      <c r="H125" s="20">
        <v>3</v>
      </c>
      <c r="I125" s="13">
        <v>0.6</v>
      </c>
      <c r="J125" s="20" t="s">
        <v>249</v>
      </c>
      <c r="L125" s="20" t="s">
        <v>248</v>
      </c>
      <c r="M125" s="20" t="s">
        <v>321</v>
      </c>
      <c r="N125" s="20" t="s">
        <v>22</v>
      </c>
      <c r="O125" s="20">
        <v>2</v>
      </c>
      <c r="P125" s="20">
        <v>3</v>
      </c>
      <c r="Q125" s="13">
        <v>0.61761878207980603</v>
      </c>
      <c r="R125" s="20" t="s">
        <v>249</v>
      </c>
      <c r="S125" s="20">
        <v>-0.98579588828113474</v>
      </c>
      <c r="T125" s="20" t="s">
        <v>248</v>
      </c>
      <c r="U125" s="20" t="s">
        <v>22</v>
      </c>
      <c r="V125" s="20">
        <v>5</v>
      </c>
      <c r="W125" s="20">
        <v>1</v>
      </c>
      <c r="X125" s="20" t="s">
        <v>490</v>
      </c>
      <c r="Y125" s="20" t="s">
        <v>292</v>
      </c>
      <c r="Z125" s="20" t="s">
        <v>60</v>
      </c>
      <c r="AA125" s="20" t="s">
        <v>491</v>
      </c>
    </row>
    <row r="126" spans="1:27" x14ac:dyDescent="0.2">
      <c r="A126" s="20" t="s">
        <v>192</v>
      </c>
      <c r="B126" s="20" t="s">
        <v>328</v>
      </c>
      <c r="C126" s="20" t="s">
        <v>33</v>
      </c>
      <c r="D126" s="20" t="s">
        <v>24</v>
      </c>
      <c r="E126" s="20" t="s">
        <v>665</v>
      </c>
      <c r="F126" s="20" t="s">
        <v>24</v>
      </c>
      <c r="G126" s="20">
        <v>2</v>
      </c>
      <c r="H126" s="20">
        <v>3</v>
      </c>
      <c r="I126" s="13">
        <v>0.6</v>
      </c>
      <c r="J126" s="20" t="s">
        <v>249</v>
      </c>
      <c r="L126" s="20" t="s">
        <v>248</v>
      </c>
      <c r="M126" s="20" t="s">
        <v>449</v>
      </c>
      <c r="N126" s="20" t="s">
        <v>24</v>
      </c>
      <c r="O126" s="20">
        <v>2</v>
      </c>
      <c r="P126" s="20">
        <v>3</v>
      </c>
      <c r="Q126" s="13">
        <v>0.67853959355538906</v>
      </c>
      <c r="R126" s="20" t="s">
        <v>249</v>
      </c>
      <c r="S126" s="20">
        <v>0.50276199207001016</v>
      </c>
      <c r="T126" s="20" t="s">
        <v>248</v>
      </c>
      <c r="U126" s="20" t="s">
        <v>24</v>
      </c>
      <c r="V126" s="20">
        <v>1</v>
      </c>
      <c r="W126" s="20">
        <v>3</v>
      </c>
      <c r="X126" s="20" t="s">
        <v>490</v>
      </c>
      <c r="Y126" s="20" t="s">
        <v>292</v>
      </c>
      <c r="Z126" s="20" t="s">
        <v>60</v>
      </c>
      <c r="AA126" s="20" t="s">
        <v>491</v>
      </c>
    </row>
    <row r="127" spans="1:27" x14ac:dyDescent="0.2">
      <c r="A127" s="20" t="s">
        <v>192</v>
      </c>
      <c r="B127" s="20" t="s">
        <v>324</v>
      </c>
      <c r="C127" s="20" t="s">
        <v>16</v>
      </c>
      <c r="D127" s="20" t="s">
        <v>40</v>
      </c>
      <c r="E127" s="20" t="s">
        <v>666</v>
      </c>
      <c r="F127" s="20" t="s">
        <v>40</v>
      </c>
      <c r="G127" s="20">
        <v>2</v>
      </c>
      <c r="H127" s="20">
        <v>3</v>
      </c>
      <c r="I127" s="13">
        <v>0.6</v>
      </c>
      <c r="J127" s="20" t="s">
        <v>249</v>
      </c>
      <c r="L127" s="20" t="s">
        <v>248</v>
      </c>
      <c r="M127" s="20" t="s">
        <v>315</v>
      </c>
      <c r="N127" s="20" t="s">
        <v>40</v>
      </c>
      <c r="O127" s="20">
        <v>2</v>
      </c>
      <c r="P127" s="20">
        <v>3</v>
      </c>
      <c r="Q127" s="13">
        <v>0.63619221621509325</v>
      </c>
      <c r="R127" s="20" t="s">
        <v>249</v>
      </c>
      <c r="S127" s="20">
        <v>0.80244020418499173</v>
      </c>
      <c r="T127" s="20" t="s">
        <v>248</v>
      </c>
      <c r="U127" s="20" t="s">
        <v>40</v>
      </c>
      <c r="V127" s="20">
        <v>3</v>
      </c>
      <c r="W127" s="20">
        <v>5</v>
      </c>
      <c r="X127" s="20" t="s">
        <v>490</v>
      </c>
      <c r="Y127" s="20" t="s">
        <v>292</v>
      </c>
      <c r="Z127" s="20" t="s">
        <v>60</v>
      </c>
      <c r="AA127" s="20" t="s">
        <v>491</v>
      </c>
    </row>
    <row r="128" spans="1:27" x14ac:dyDescent="0.2">
      <c r="A128" s="20" t="s">
        <v>193</v>
      </c>
      <c r="B128" s="20" t="s">
        <v>365</v>
      </c>
      <c r="C128" s="20" t="s">
        <v>31</v>
      </c>
      <c r="D128" s="20" t="s">
        <v>37</v>
      </c>
      <c r="E128" s="20" t="s">
        <v>667</v>
      </c>
      <c r="F128" s="20" t="s">
        <v>37</v>
      </c>
      <c r="G128" s="20">
        <v>2</v>
      </c>
      <c r="H128" s="20">
        <v>3</v>
      </c>
      <c r="I128" s="13">
        <v>0.6</v>
      </c>
      <c r="J128" s="20" t="s">
        <v>249</v>
      </c>
      <c r="L128" s="20" t="s">
        <v>248</v>
      </c>
      <c r="M128" s="20" t="s">
        <v>395</v>
      </c>
      <c r="N128" s="20" t="s">
        <v>37</v>
      </c>
      <c r="O128" s="20">
        <v>2</v>
      </c>
      <c r="P128" s="20">
        <v>3</v>
      </c>
      <c r="Q128" s="13">
        <v>0.59629355863014089</v>
      </c>
      <c r="R128" s="20" t="s">
        <v>249</v>
      </c>
      <c r="S128" s="20">
        <v>0.38170267383050038</v>
      </c>
      <c r="T128" s="20" t="s">
        <v>248</v>
      </c>
      <c r="U128" s="20" t="s">
        <v>37</v>
      </c>
      <c r="V128" s="20">
        <v>3</v>
      </c>
      <c r="W128" s="20">
        <v>4</v>
      </c>
      <c r="X128" s="20" t="s">
        <v>490</v>
      </c>
      <c r="Y128" s="20" t="s">
        <v>292</v>
      </c>
      <c r="Z128" s="20" t="s">
        <v>60</v>
      </c>
      <c r="AA128" s="20" t="s">
        <v>491</v>
      </c>
    </row>
    <row r="129" spans="1:27" x14ac:dyDescent="0.2">
      <c r="A129" s="20" t="s">
        <v>193</v>
      </c>
      <c r="B129" s="20" t="s">
        <v>328</v>
      </c>
      <c r="C129" s="20" t="s">
        <v>36</v>
      </c>
      <c r="D129" s="20" t="s">
        <v>22</v>
      </c>
      <c r="E129" s="20" t="s">
        <v>668</v>
      </c>
      <c r="F129" s="20" t="s">
        <v>22</v>
      </c>
      <c r="G129" s="20">
        <v>2</v>
      </c>
      <c r="H129" s="20">
        <v>3</v>
      </c>
      <c r="I129" s="13">
        <v>0.6</v>
      </c>
      <c r="J129" s="20" t="s">
        <v>249</v>
      </c>
      <c r="L129" s="20" t="s">
        <v>249</v>
      </c>
      <c r="M129" s="20" t="s">
        <v>669</v>
      </c>
      <c r="N129" s="20" t="s">
        <v>22</v>
      </c>
      <c r="O129" s="20">
        <v>2</v>
      </c>
      <c r="P129" s="20">
        <v>3</v>
      </c>
      <c r="Q129" s="13">
        <v>0.68536945506778668</v>
      </c>
      <c r="R129" s="20" t="s">
        <v>249</v>
      </c>
      <c r="S129" s="20">
        <v>1.021984032641758</v>
      </c>
      <c r="T129" s="20" t="s">
        <v>249</v>
      </c>
      <c r="U129" s="20" t="s">
        <v>36</v>
      </c>
      <c r="V129" s="20">
        <v>7</v>
      </c>
      <c r="W129" s="20">
        <v>1</v>
      </c>
      <c r="X129" s="20" t="s">
        <v>490</v>
      </c>
      <c r="Y129" s="20" t="s">
        <v>292</v>
      </c>
      <c r="Z129" s="20" t="s">
        <v>60</v>
      </c>
      <c r="AA129" s="20" t="s">
        <v>491</v>
      </c>
    </row>
    <row r="130" spans="1:27" x14ac:dyDescent="0.2">
      <c r="A130" s="20" t="s">
        <v>193</v>
      </c>
      <c r="B130" s="20" t="s">
        <v>328</v>
      </c>
      <c r="C130" s="20" t="s">
        <v>18</v>
      </c>
      <c r="D130" s="20" t="s">
        <v>38</v>
      </c>
      <c r="E130" s="20" t="s">
        <v>670</v>
      </c>
      <c r="F130" s="20" t="s">
        <v>18</v>
      </c>
      <c r="G130" s="20">
        <v>2</v>
      </c>
      <c r="H130" s="20">
        <v>3</v>
      </c>
      <c r="I130" s="13">
        <v>0.6</v>
      </c>
      <c r="J130" s="20" t="s">
        <v>249</v>
      </c>
      <c r="L130" s="20" t="s">
        <v>248</v>
      </c>
      <c r="M130" s="20" t="s">
        <v>360</v>
      </c>
      <c r="N130" s="20" t="s">
        <v>18</v>
      </c>
      <c r="O130" s="20">
        <v>2</v>
      </c>
      <c r="P130" s="20">
        <v>3</v>
      </c>
      <c r="Q130" s="13">
        <v>0.55488793501587308</v>
      </c>
      <c r="R130" s="20" t="s">
        <v>249</v>
      </c>
      <c r="S130" s="20">
        <v>-0.30488737791381648</v>
      </c>
      <c r="T130" s="20" t="s">
        <v>248</v>
      </c>
      <c r="U130" s="20" t="s">
        <v>18</v>
      </c>
      <c r="V130" s="20">
        <v>4</v>
      </c>
      <c r="W130" s="20">
        <v>3</v>
      </c>
      <c r="X130" s="20" t="s">
        <v>490</v>
      </c>
      <c r="Y130" s="20" t="s">
        <v>292</v>
      </c>
      <c r="Z130" s="20" t="s">
        <v>60</v>
      </c>
      <c r="AA130" s="20" t="s">
        <v>491</v>
      </c>
    </row>
    <row r="131" spans="1:27" x14ac:dyDescent="0.2">
      <c r="A131" s="20" t="s">
        <v>193</v>
      </c>
      <c r="B131" s="20" t="s">
        <v>328</v>
      </c>
      <c r="C131" s="20" t="s">
        <v>23</v>
      </c>
      <c r="D131" s="20" t="s">
        <v>19</v>
      </c>
      <c r="E131" s="20" t="s">
        <v>671</v>
      </c>
      <c r="F131" s="20" t="s">
        <v>23</v>
      </c>
      <c r="G131" s="20">
        <v>2</v>
      </c>
      <c r="H131" s="20">
        <v>3</v>
      </c>
      <c r="I131" s="13">
        <v>0.6</v>
      </c>
      <c r="J131" s="20" t="s">
        <v>249</v>
      </c>
      <c r="L131" s="20" t="s">
        <v>249</v>
      </c>
      <c r="M131" s="20" t="s">
        <v>672</v>
      </c>
      <c r="N131" s="20" t="s">
        <v>23</v>
      </c>
      <c r="O131" s="20">
        <v>2</v>
      </c>
      <c r="P131" s="20">
        <v>3</v>
      </c>
      <c r="Q131" s="13">
        <v>0.47266517059166502</v>
      </c>
      <c r="R131" s="20" t="s">
        <v>249</v>
      </c>
      <c r="S131" s="20">
        <v>-0.1084674066552284</v>
      </c>
      <c r="T131" s="20" t="s">
        <v>249</v>
      </c>
      <c r="U131" s="20" t="s">
        <v>19</v>
      </c>
      <c r="V131" s="20">
        <v>3</v>
      </c>
      <c r="W131" s="20">
        <v>4</v>
      </c>
      <c r="X131" s="20" t="s">
        <v>496</v>
      </c>
      <c r="Y131" s="20" t="s">
        <v>292</v>
      </c>
      <c r="Z131" s="20" t="s">
        <v>60</v>
      </c>
      <c r="AA131" s="20" t="s">
        <v>491</v>
      </c>
    </row>
    <row r="132" spans="1:27" x14ac:dyDescent="0.2">
      <c r="A132" s="20" t="s">
        <v>193</v>
      </c>
      <c r="B132" s="20" t="s">
        <v>322</v>
      </c>
      <c r="C132" s="20" t="s">
        <v>17</v>
      </c>
      <c r="D132" s="20" t="s">
        <v>32</v>
      </c>
      <c r="E132" s="20" t="s">
        <v>462</v>
      </c>
      <c r="F132" s="20" t="s">
        <v>32</v>
      </c>
      <c r="G132" s="20">
        <v>2</v>
      </c>
      <c r="H132" s="20">
        <v>3</v>
      </c>
      <c r="I132" s="13">
        <v>0.6</v>
      </c>
      <c r="J132" s="20" t="s">
        <v>249</v>
      </c>
      <c r="L132" s="20" t="s">
        <v>248</v>
      </c>
      <c r="M132" s="20" t="s">
        <v>673</v>
      </c>
      <c r="N132" s="20" t="s">
        <v>32</v>
      </c>
      <c r="O132" s="20">
        <v>2</v>
      </c>
      <c r="P132" s="20">
        <v>3</v>
      </c>
      <c r="Q132" s="13">
        <v>0.5654862647057014</v>
      </c>
      <c r="R132" s="20" t="s">
        <v>249</v>
      </c>
      <c r="S132" s="20">
        <v>0.2182701778825942</v>
      </c>
      <c r="T132" s="20" t="s">
        <v>248</v>
      </c>
      <c r="U132" s="20" t="s">
        <v>32</v>
      </c>
      <c r="V132" s="20">
        <v>2</v>
      </c>
      <c r="W132" s="20">
        <v>3</v>
      </c>
      <c r="X132" s="20" t="s">
        <v>490</v>
      </c>
      <c r="Y132" s="20" t="s">
        <v>292</v>
      </c>
      <c r="Z132" s="20" t="s">
        <v>60</v>
      </c>
      <c r="AA132" s="20" t="s">
        <v>491</v>
      </c>
    </row>
    <row r="133" spans="1:27" x14ac:dyDescent="0.2">
      <c r="A133" s="20" t="s">
        <v>193</v>
      </c>
      <c r="B133" s="20" t="s">
        <v>324</v>
      </c>
      <c r="C133" s="20" t="s">
        <v>25</v>
      </c>
      <c r="D133" s="20" t="s">
        <v>39</v>
      </c>
      <c r="E133" s="20" t="s">
        <v>674</v>
      </c>
      <c r="F133" s="20" t="s">
        <v>39</v>
      </c>
      <c r="G133" s="20">
        <v>2</v>
      </c>
      <c r="H133" s="20">
        <v>3</v>
      </c>
      <c r="I133" s="13">
        <v>0.6</v>
      </c>
      <c r="J133" s="20" t="s">
        <v>249</v>
      </c>
      <c r="L133" s="20" t="s">
        <v>248</v>
      </c>
      <c r="M133" s="20" t="s">
        <v>398</v>
      </c>
      <c r="N133" s="20" t="s">
        <v>39</v>
      </c>
      <c r="O133" s="20">
        <v>2</v>
      </c>
      <c r="P133" s="20">
        <v>3</v>
      </c>
      <c r="Q133" s="13">
        <v>0.50439830818693232</v>
      </c>
      <c r="R133" s="20" t="s">
        <v>249</v>
      </c>
      <c r="S133" s="20">
        <v>3.766811344972959E-2</v>
      </c>
      <c r="T133" s="20" t="s">
        <v>248</v>
      </c>
      <c r="U133" s="20" t="s">
        <v>39</v>
      </c>
      <c r="V133" s="20">
        <v>2</v>
      </c>
      <c r="W133" s="20">
        <v>3</v>
      </c>
      <c r="X133" s="20" t="s">
        <v>490</v>
      </c>
      <c r="Y133" s="20" t="s">
        <v>292</v>
      </c>
      <c r="Z133" s="20" t="s">
        <v>60</v>
      </c>
      <c r="AA133" s="20" t="s">
        <v>491</v>
      </c>
    </row>
    <row r="134" spans="1:27" x14ac:dyDescent="0.2">
      <c r="A134" s="20" t="s">
        <v>193</v>
      </c>
      <c r="B134" s="20" t="s">
        <v>555</v>
      </c>
      <c r="C134" s="20" t="s">
        <v>30</v>
      </c>
      <c r="D134" s="20" t="s">
        <v>27</v>
      </c>
      <c r="E134" s="20" t="s">
        <v>675</v>
      </c>
      <c r="F134" s="20" t="s">
        <v>30</v>
      </c>
      <c r="G134" s="20">
        <v>2</v>
      </c>
      <c r="H134" s="20">
        <v>3</v>
      </c>
      <c r="I134" s="13">
        <v>0.6</v>
      </c>
      <c r="J134" s="20" t="s">
        <v>249</v>
      </c>
      <c r="L134" s="20" t="s">
        <v>249</v>
      </c>
      <c r="M134" s="20" t="s">
        <v>676</v>
      </c>
      <c r="N134" s="20" t="s">
        <v>30</v>
      </c>
      <c r="O134" s="20">
        <v>2</v>
      </c>
      <c r="P134" s="20">
        <v>3</v>
      </c>
      <c r="Q134" s="13">
        <v>0.52895808630556485</v>
      </c>
      <c r="R134" s="20" t="s">
        <v>249</v>
      </c>
      <c r="S134" s="20">
        <v>-8.9406837141820905E-2</v>
      </c>
      <c r="T134" s="20" t="s">
        <v>249</v>
      </c>
      <c r="U134" s="20" t="s">
        <v>27</v>
      </c>
      <c r="V134" s="20">
        <v>3</v>
      </c>
      <c r="W134" s="20">
        <v>4</v>
      </c>
      <c r="X134" s="20" t="s">
        <v>496</v>
      </c>
      <c r="Y134" s="20" t="s">
        <v>292</v>
      </c>
      <c r="Z134" s="20" t="s">
        <v>60</v>
      </c>
      <c r="AA134" s="20" t="s">
        <v>491</v>
      </c>
    </row>
    <row r="135" spans="1:27" x14ac:dyDescent="0.2">
      <c r="A135" s="20" t="s">
        <v>193</v>
      </c>
      <c r="B135" s="20" t="s">
        <v>324</v>
      </c>
      <c r="C135" s="20" t="s">
        <v>13</v>
      </c>
      <c r="D135" s="20" t="s">
        <v>29</v>
      </c>
      <c r="E135" s="20" t="s">
        <v>677</v>
      </c>
      <c r="F135" s="20" t="s">
        <v>13</v>
      </c>
      <c r="G135" s="20">
        <v>2</v>
      </c>
      <c r="H135" s="20">
        <v>3</v>
      </c>
      <c r="I135" s="13">
        <v>0.6</v>
      </c>
      <c r="J135" s="20" t="s">
        <v>249</v>
      </c>
      <c r="L135" s="20" t="s">
        <v>249</v>
      </c>
      <c r="M135" s="20" t="s">
        <v>678</v>
      </c>
      <c r="N135" s="20" t="s">
        <v>13</v>
      </c>
      <c r="O135" s="20">
        <v>2</v>
      </c>
      <c r="P135" s="20">
        <v>3</v>
      </c>
      <c r="Q135" s="13">
        <v>0.64269907050438491</v>
      </c>
      <c r="R135" s="20" t="s">
        <v>249</v>
      </c>
      <c r="S135" s="20">
        <v>-0.99673293620968484</v>
      </c>
      <c r="T135" s="20" t="s">
        <v>249</v>
      </c>
      <c r="U135" s="20" t="s">
        <v>29</v>
      </c>
      <c r="V135" s="20">
        <v>4</v>
      </c>
      <c r="W135" s="20">
        <v>5</v>
      </c>
      <c r="X135" s="20" t="s">
        <v>496</v>
      </c>
      <c r="Y135" s="20" t="s">
        <v>292</v>
      </c>
      <c r="Z135" s="20" t="s">
        <v>60</v>
      </c>
      <c r="AA135" s="20" t="s">
        <v>491</v>
      </c>
    </row>
    <row r="136" spans="1:27" x14ac:dyDescent="0.2">
      <c r="A136" s="20" t="s">
        <v>193</v>
      </c>
      <c r="B136" s="20" t="s">
        <v>469</v>
      </c>
      <c r="C136" s="20" t="s">
        <v>55</v>
      </c>
      <c r="D136" s="20" t="s">
        <v>34</v>
      </c>
      <c r="E136" s="20" t="s">
        <v>679</v>
      </c>
      <c r="F136" s="20" t="s">
        <v>34</v>
      </c>
      <c r="G136" s="20">
        <v>2</v>
      </c>
      <c r="H136" s="20">
        <v>3</v>
      </c>
      <c r="I136" s="13">
        <v>0.6</v>
      </c>
      <c r="J136" s="20" t="s">
        <v>249</v>
      </c>
      <c r="L136" s="20" t="s">
        <v>249</v>
      </c>
      <c r="M136" s="20" t="s">
        <v>680</v>
      </c>
      <c r="N136" s="20" t="s">
        <v>34</v>
      </c>
      <c r="O136" s="20">
        <v>2</v>
      </c>
      <c r="P136" s="20">
        <v>3</v>
      </c>
      <c r="Q136" s="13">
        <v>0.5864606100690819</v>
      </c>
      <c r="R136" s="20" t="s">
        <v>249</v>
      </c>
      <c r="S136" s="20">
        <v>0.39789925049486607</v>
      </c>
      <c r="T136" s="20" t="s">
        <v>249</v>
      </c>
      <c r="U136" s="20" t="s">
        <v>55</v>
      </c>
      <c r="V136" s="20">
        <v>6</v>
      </c>
      <c r="W136" s="20">
        <v>2</v>
      </c>
      <c r="X136" s="20" t="s">
        <v>490</v>
      </c>
      <c r="Y136" s="20" t="s">
        <v>292</v>
      </c>
      <c r="Z136" s="20" t="s">
        <v>60</v>
      </c>
      <c r="AA136" s="20" t="s">
        <v>491</v>
      </c>
    </row>
    <row r="137" spans="1:27" x14ac:dyDescent="0.2">
      <c r="A137" s="20" t="s">
        <v>193</v>
      </c>
      <c r="B137" s="20" t="s">
        <v>469</v>
      </c>
      <c r="C137" s="20" t="s">
        <v>20</v>
      </c>
      <c r="D137" s="20" t="s">
        <v>11</v>
      </c>
      <c r="E137" s="20" t="s">
        <v>681</v>
      </c>
      <c r="F137" s="20" t="s">
        <v>20</v>
      </c>
      <c r="G137" s="20">
        <v>2</v>
      </c>
      <c r="H137" s="20">
        <v>3</v>
      </c>
      <c r="I137" s="13">
        <v>0.6</v>
      </c>
      <c r="J137" s="20" t="s">
        <v>249</v>
      </c>
      <c r="L137" s="20" t="s">
        <v>249</v>
      </c>
      <c r="M137" s="20" t="s">
        <v>682</v>
      </c>
      <c r="N137" s="20" t="s">
        <v>20</v>
      </c>
      <c r="O137" s="20">
        <v>2</v>
      </c>
      <c r="P137" s="20">
        <v>3</v>
      </c>
      <c r="Q137" s="13">
        <v>0.45798407748241171</v>
      </c>
      <c r="R137" s="20" t="s">
        <v>249</v>
      </c>
      <c r="S137" s="20">
        <v>-0.10277671182030761</v>
      </c>
      <c r="T137" s="20" t="s">
        <v>249</v>
      </c>
      <c r="U137" s="20" t="s">
        <v>11</v>
      </c>
      <c r="V137" s="20">
        <v>0</v>
      </c>
      <c r="W137" s="20">
        <v>3</v>
      </c>
      <c r="X137" s="20" t="s">
        <v>490</v>
      </c>
      <c r="Y137" s="20" t="s">
        <v>292</v>
      </c>
      <c r="Z137" s="20" t="s">
        <v>60</v>
      </c>
      <c r="AA137" s="20" t="s">
        <v>491</v>
      </c>
    </row>
    <row r="138" spans="1:27" x14ac:dyDescent="0.2">
      <c r="A138" s="20" t="s">
        <v>193</v>
      </c>
      <c r="B138" s="20" t="s">
        <v>328</v>
      </c>
      <c r="C138" s="20" t="s">
        <v>35</v>
      </c>
      <c r="D138" s="20" t="s">
        <v>26</v>
      </c>
      <c r="E138" s="20" t="s">
        <v>683</v>
      </c>
      <c r="F138" s="20" t="s">
        <v>26</v>
      </c>
      <c r="G138" s="20">
        <v>2</v>
      </c>
      <c r="H138" s="20">
        <v>3</v>
      </c>
      <c r="I138" s="13">
        <v>0.6</v>
      </c>
      <c r="J138" s="20" t="s">
        <v>249</v>
      </c>
      <c r="L138" s="20" t="s">
        <v>248</v>
      </c>
      <c r="M138" s="20" t="s">
        <v>307</v>
      </c>
      <c r="N138" s="20" t="s">
        <v>26</v>
      </c>
      <c r="O138" s="20">
        <v>2</v>
      </c>
      <c r="P138" s="20">
        <v>3</v>
      </c>
      <c r="Q138" s="13">
        <v>0.60644376656859444</v>
      </c>
      <c r="R138" s="20" t="s">
        <v>249</v>
      </c>
      <c r="S138" s="20">
        <v>0.56903955583857546</v>
      </c>
      <c r="T138" s="20" t="s">
        <v>248</v>
      </c>
      <c r="U138" s="20" t="s">
        <v>26</v>
      </c>
      <c r="V138" s="20">
        <v>4</v>
      </c>
      <c r="W138" s="20">
        <v>6</v>
      </c>
      <c r="X138" s="20" t="s">
        <v>490</v>
      </c>
      <c r="Y138" s="20" t="s">
        <v>292</v>
      </c>
      <c r="Z138" s="20" t="s">
        <v>60</v>
      </c>
      <c r="AA138" s="20" t="s">
        <v>491</v>
      </c>
    </row>
    <row r="139" spans="1:27" x14ac:dyDescent="0.2">
      <c r="A139" s="20" t="s">
        <v>193</v>
      </c>
      <c r="B139" s="20" t="s">
        <v>328</v>
      </c>
      <c r="C139" s="20" t="s">
        <v>28</v>
      </c>
      <c r="D139" s="20" t="s">
        <v>14</v>
      </c>
      <c r="E139" s="20" t="s">
        <v>684</v>
      </c>
      <c r="F139" s="20" t="s">
        <v>14</v>
      </c>
      <c r="G139" s="20">
        <v>2</v>
      </c>
      <c r="H139" s="20">
        <v>3</v>
      </c>
      <c r="I139" s="13">
        <v>0.6</v>
      </c>
      <c r="J139" s="20" t="s">
        <v>249</v>
      </c>
      <c r="L139" s="20" t="s">
        <v>249</v>
      </c>
      <c r="M139" s="20" t="s">
        <v>685</v>
      </c>
      <c r="N139" s="20" t="s">
        <v>14</v>
      </c>
      <c r="O139" s="20">
        <v>2</v>
      </c>
      <c r="P139" s="20">
        <v>3</v>
      </c>
      <c r="Q139" s="13">
        <v>0.59511283681584248</v>
      </c>
      <c r="R139" s="20" t="s">
        <v>249</v>
      </c>
      <c r="S139" s="20">
        <v>0.50262593170821268</v>
      </c>
      <c r="T139" s="20" t="s">
        <v>249</v>
      </c>
      <c r="U139" s="20" t="s">
        <v>28</v>
      </c>
      <c r="V139" s="20">
        <v>5</v>
      </c>
      <c r="W139" s="20">
        <v>4</v>
      </c>
      <c r="X139" s="20" t="s">
        <v>496</v>
      </c>
      <c r="Y139" s="20" t="s">
        <v>292</v>
      </c>
      <c r="Z139" s="20" t="s">
        <v>60</v>
      </c>
      <c r="AA139" s="20" t="s">
        <v>491</v>
      </c>
    </row>
    <row r="140" spans="1:27" x14ac:dyDescent="0.2">
      <c r="A140" s="20" t="s">
        <v>193</v>
      </c>
      <c r="B140" s="20" t="s">
        <v>453</v>
      </c>
      <c r="C140" s="20" t="s">
        <v>12</v>
      </c>
      <c r="D140" s="20" t="s">
        <v>21</v>
      </c>
      <c r="E140" s="20" t="s">
        <v>686</v>
      </c>
      <c r="F140" s="20" t="s">
        <v>12</v>
      </c>
      <c r="G140" s="20">
        <v>2</v>
      </c>
      <c r="H140" s="20">
        <v>3</v>
      </c>
      <c r="I140" s="13">
        <v>0.6</v>
      </c>
      <c r="J140" s="20" t="s">
        <v>249</v>
      </c>
      <c r="L140" s="20" t="s">
        <v>249</v>
      </c>
      <c r="M140" s="20" t="s">
        <v>687</v>
      </c>
      <c r="N140" s="20" t="s">
        <v>12</v>
      </c>
      <c r="O140" s="20">
        <v>2</v>
      </c>
      <c r="P140" s="20">
        <v>3</v>
      </c>
      <c r="Q140" s="13">
        <v>0.69946652091585082</v>
      </c>
      <c r="R140" s="20" t="s">
        <v>249</v>
      </c>
      <c r="S140" s="20">
        <v>-1.8017726699515451</v>
      </c>
      <c r="T140" s="20" t="s">
        <v>249</v>
      </c>
      <c r="U140" s="20" t="s">
        <v>21</v>
      </c>
      <c r="V140" s="20">
        <v>2</v>
      </c>
      <c r="W140" s="20">
        <v>3</v>
      </c>
      <c r="X140" s="20" t="s">
        <v>490</v>
      </c>
      <c r="Y140" s="20" t="s">
        <v>292</v>
      </c>
      <c r="Z140" s="20" t="s">
        <v>60</v>
      </c>
      <c r="AA140" s="20" t="s">
        <v>491</v>
      </c>
    </row>
    <row r="141" spans="1:27" x14ac:dyDescent="0.2">
      <c r="A141" s="20" t="s">
        <v>194</v>
      </c>
      <c r="B141" s="20" t="s">
        <v>322</v>
      </c>
      <c r="C141" s="20" t="s">
        <v>17</v>
      </c>
      <c r="D141" s="20" t="s">
        <v>38</v>
      </c>
      <c r="E141" s="20" t="s">
        <v>688</v>
      </c>
      <c r="F141" s="20" t="s">
        <v>17</v>
      </c>
      <c r="G141" s="20">
        <v>2</v>
      </c>
      <c r="H141" s="20">
        <v>3</v>
      </c>
      <c r="I141" s="13">
        <v>0.6</v>
      </c>
      <c r="J141" s="20" t="s">
        <v>249</v>
      </c>
      <c r="L141" s="20" t="s">
        <v>249</v>
      </c>
      <c r="M141" s="20" t="s">
        <v>689</v>
      </c>
      <c r="N141" s="20" t="s">
        <v>17</v>
      </c>
      <c r="O141" s="20">
        <v>2</v>
      </c>
      <c r="P141" s="20">
        <v>3</v>
      </c>
      <c r="Q141" s="13">
        <v>0.46934472358622298</v>
      </c>
      <c r="R141" s="20" t="s">
        <v>249</v>
      </c>
      <c r="S141" s="20">
        <v>-8.0030341950119932E-2</v>
      </c>
      <c r="T141" s="20" t="s">
        <v>249</v>
      </c>
      <c r="U141" s="20" t="s">
        <v>38</v>
      </c>
      <c r="V141" s="20">
        <v>3</v>
      </c>
      <c r="W141" s="20">
        <v>4</v>
      </c>
      <c r="X141" s="20" t="s">
        <v>496</v>
      </c>
      <c r="Y141" s="20" t="s">
        <v>292</v>
      </c>
      <c r="Z141" s="20" t="s">
        <v>60</v>
      </c>
      <c r="AA141" s="20" t="s">
        <v>491</v>
      </c>
    </row>
    <row r="142" spans="1:27" x14ac:dyDescent="0.2">
      <c r="A142" s="20" t="s">
        <v>194</v>
      </c>
      <c r="B142" s="20" t="s">
        <v>365</v>
      </c>
      <c r="C142" s="20" t="s">
        <v>20</v>
      </c>
      <c r="D142" s="20" t="s">
        <v>37</v>
      </c>
      <c r="E142" s="20" t="s">
        <v>690</v>
      </c>
      <c r="F142" s="20" t="s">
        <v>37</v>
      </c>
      <c r="G142" s="20">
        <v>2</v>
      </c>
      <c r="H142" s="20">
        <v>3</v>
      </c>
      <c r="I142" s="13">
        <v>0.6</v>
      </c>
      <c r="J142" s="20" t="s">
        <v>249</v>
      </c>
      <c r="L142" s="20" t="s">
        <v>248</v>
      </c>
      <c r="M142" s="20" t="s">
        <v>395</v>
      </c>
      <c r="N142" s="20" t="s">
        <v>37</v>
      </c>
      <c r="O142" s="20">
        <v>2</v>
      </c>
      <c r="P142" s="20">
        <v>3</v>
      </c>
      <c r="Q142" s="13">
        <v>0.66622377640460784</v>
      </c>
      <c r="R142" s="20" t="s">
        <v>249</v>
      </c>
      <c r="S142" s="20">
        <v>0.80484652599040318</v>
      </c>
      <c r="T142" s="20" t="s">
        <v>248</v>
      </c>
      <c r="U142" s="20" t="s">
        <v>37</v>
      </c>
      <c r="V142" s="20">
        <v>1</v>
      </c>
      <c r="W142" s="20">
        <v>2</v>
      </c>
      <c r="X142" s="20" t="s">
        <v>496</v>
      </c>
      <c r="Y142" s="20" t="s">
        <v>292</v>
      </c>
      <c r="Z142" s="20" t="s">
        <v>60</v>
      </c>
      <c r="AA142" s="20" t="s">
        <v>491</v>
      </c>
    </row>
    <row r="143" spans="1:27" x14ac:dyDescent="0.2">
      <c r="A143" s="20" t="s">
        <v>194</v>
      </c>
      <c r="B143" s="20" t="s">
        <v>469</v>
      </c>
      <c r="C143" s="20" t="s">
        <v>55</v>
      </c>
      <c r="D143" s="20" t="s">
        <v>40</v>
      </c>
      <c r="E143" s="20" t="s">
        <v>691</v>
      </c>
      <c r="F143" s="20" t="s">
        <v>40</v>
      </c>
      <c r="G143" s="20">
        <v>2</v>
      </c>
      <c r="H143" s="20">
        <v>3</v>
      </c>
      <c r="I143" s="13">
        <v>0.6</v>
      </c>
      <c r="J143" s="20" t="s">
        <v>249</v>
      </c>
      <c r="L143" s="20" t="s">
        <v>249</v>
      </c>
      <c r="M143" s="20" t="s">
        <v>692</v>
      </c>
      <c r="N143" s="20" t="s">
        <v>40</v>
      </c>
      <c r="O143" s="20">
        <v>2</v>
      </c>
      <c r="P143" s="20">
        <v>3</v>
      </c>
      <c r="Q143" s="13">
        <v>0.5588171157459414</v>
      </c>
      <c r="R143" s="20" t="s">
        <v>249</v>
      </c>
      <c r="S143" s="20">
        <v>0.1397822141615534</v>
      </c>
      <c r="T143" s="20" t="s">
        <v>249</v>
      </c>
      <c r="U143" s="20" t="s">
        <v>55</v>
      </c>
      <c r="V143" s="20">
        <v>3</v>
      </c>
      <c r="W143" s="20">
        <v>2</v>
      </c>
      <c r="X143" s="20" t="s">
        <v>490</v>
      </c>
      <c r="Y143" s="20" t="s">
        <v>292</v>
      </c>
      <c r="Z143" s="20" t="s">
        <v>60</v>
      </c>
      <c r="AA143" s="20" t="s">
        <v>491</v>
      </c>
    </row>
    <row r="144" spans="1:27" x14ac:dyDescent="0.2">
      <c r="A144" s="20" t="s">
        <v>194</v>
      </c>
      <c r="B144" s="20" t="s">
        <v>347</v>
      </c>
      <c r="C144" s="20" t="s">
        <v>12</v>
      </c>
      <c r="D144" s="20" t="s">
        <v>24</v>
      </c>
      <c r="E144" s="20" t="s">
        <v>693</v>
      </c>
      <c r="F144" s="20" t="s">
        <v>12</v>
      </c>
      <c r="G144" s="20">
        <v>2</v>
      </c>
      <c r="H144" s="20">
        <v>3</v>
      </c>
      <c r="I144" s="13">
        <v>0.6</v>
      </c>
      <c r="J144" s="20" t="s">
        <v>249</v>
      </c>
      <c r="L144" s="20" t="s">
        <v>249</v>
      </c>
      <c r="M144" s="20" t="s">
        <v>694</v>
      </c>
      <c r="N144" s="20" t="s">
        <v>12</v>
      </c>
      <c r="O144" s="20">
        <v>2</v>
      </c>
      <c r="P144" s="20">
        <v>3</v>
      </c>
      <c r="Q144" s="13">
        <v>0.63524773437155191</v>
      </c>
      <c r="R144" s="20" t="s">
        <v>249</v>
      </c>
      <c r="S144" s="20">
        <v>-1.5804726587392099</v>
      </c>
      <c r="T144" s="20" t="s">
        <v>249</v>
      </c>
      <c r="U144" s="20" t="s">
        <v>24</v>
      </c>
      <c r="V144" s="20">
        <v>3</v>
      </c>
      <c r="W144" s="20">
        <v>4</v>
      </c>
      <c r="X144" s="20" t="s">
        <v>496</v>
      </c>
      <c r="Y144" s="20" t="s">
        <v>292</v>
      </c>
      <c r="Z144" s="20" t="s">
        <v>60</v>
      </c>
      <c r="AA144" s="20" t="s">
        <v>491</v>
      </c>
    </row>
    <row r="145" spans="1:27" x14ac:dyDescent="0.2">
      <c r="A145" s="20" t="s">
        <v>194</v>
      </c>
      <c r="B145" s="20" t="s">
        <v>469</v>
      </c>
      <c r="C145" s="20" t="s">
        <v>33</v>
      </c>
      <c r="D145" s="20" t="s">
        <v>34</v>
      </c>
      <c r="E145" s="20" t="s">
        <v>695</v>
      </c>
      <c r="F145" s="20" t="s">
        <v>34</v>
      </c>
      <c r="G145" s="20">
        <v>2</v>
      </c>
      <c r="H145" s="20">
        <v>3</v>
      </c>
      <c r="I145" s="13">
        <v>0.6</v>
      </c>
      <c r="J145" s="20" t="s">
        <v>249</v>
      </c>
      <c r="L145" s="20" t="s">
        <v>249</v>
      </c>
      <c r="M145" s="20" t="s">
        <v>696</v>
      </c>
      <c r="N145" s="20" t="s">
        <v>34</v>
      </c>
      <c r="O145" s="20">
        <v>2</v>
      </c>
      <c r="P145" s="20">
        <v>3</v>
      </c>
      <c r="Q145" s="13">
        <v>0.59208957093140724</v>
      </c>
      <c r="R145" s="20" t="s">
        <v>249</v>
      </c>
      <c r="S145" s="20">
        <v>0.44610695385592702</v>
      </c>
      <c r="T145" s="20" t="s">
        <v>249</v>
      </c>
      <c r="U145" s="20" t="s">
        <v>33</v>
      </c>
      <c r="V145" s="20">
        <v>6</v>
      </c>
      <c r="W145" s="20">
        <v>5</v>
      </c>
      <c r="X145" s="20" t="s">
        <v>496</v>
      </c>
      <c r="Y145" s="20" t="s">
        <v>292</v>
      </c>
      <c r="Z145" s="20" t="s">
        <v>60</v>
      </c>
      <c r="AA145" s="20" t="s">
        <v>491</v>
      </c>
    </row>
    <row r="146" spans="1:27" x14ac:dyDescent="0.2">
      <c r="A146" s="20" t="s">
        <v>194</v>
      </c>
      <c r="B146" s="20" t="s">
        <v>328</v>
      </c>
      <c r="C146" s="20" t="s">
        <v>13</v>
      </c>
      <c r="D146" s="20" t="s">
        <v>10</v>
      </c>
      <c r="E146" s="20" t="s">
        <v>697</v>
      </c>
      <c r="F146" s="20" t="s">
        <v>10</v>
      </c>
      <c r="G146" s="20">
        <v>2</v>
      </c>
      <c r="H146" s="20">
        <v>3</v>
      </c>
      <c r="I146" s="13">
        <v>0.6</v>
      </c>
      <c r="J146" s="20" t="s">
        <v>249</v>
      </c>
      <c r="L146" s="20" t="s">
        <v>249</v>
      </c>
      <c r="M146" s="20" t="s">
        <v>698</v>
      </c>
      <c r="N146" s="20" t="s">
        <v>10</v>
      </c>
      <c r="O146" s="20">
        <v>2</v>
      </c>
      <c r="P146" s="20">
        <v>3</v>
      </c>
      <c r="Q146" s="13">
        <v>0.49843694903683539</v>
      </c>
      <c r="R146" s="20" t="s">
        <v>249</v>
      </c>
      <c r="S146" s="20">
        <v>0.21198809241606251</v>
      </c>
      <c r="T146" s="20" t="s">
        <v>249</v>
      </c>
      <c r="U146" s="20" t="s">
        <v>13</v>
      </c>
      <c r="V146" s="20">
        <v>3</v>
      </c>
      <c r="W146" s="20">
        <v>1</v>
      </c>
      <c r="X146" s="20" t="s">
        <v>490</v>
      </c>
      <c r="Y146" s="20" t="s">
        <v>292</v>
      </c>
      <c r="Z146" s="20" t="s">
        <v>60</v>
      </c>
      <c r="AA146" s="20" t="s">
        <v>491</v>
      </c>
    </row>
    <row r="147" spans="1:27" x14ac:dyDescent="0.2">
      <c r="A147" s="20" t="s">
        <v>194</v>
      </c>
      <c r="B147" s="20" t="s">
        <v>328</v>
      </c>
      <c r="C147" s="20" t="s">
        <v>39</v>
      </c>
      <c r="D147" s="20" t="s">
        <v>29</v>
      </c>
      <c r="E147" s="20" t="s">
        <v>699</v>
      </c>
      <c r="F147" s="20" t="s">
        <v>39</v>
      </c>
      <c r="G147" s="20">
        <v>2</v>
      </c>
      <c r="H147" s="20">
        <v>3</v>
      </c>
      <c r="I147" s="13">
        <v>0.6</v>
      </c>
      <c r="J147" s="20" t="s">
        <v>249</v>
      </c>
      <c r="L147" s="20" t="s">
        <v>248</v>
      </c>
      <c r="M147" s="20" t="s">
        <v>398</v>
      </c>
      <c r="N147" s="20" t="s">
        <v>39</v>
      </c>
      <c r="O147" s="20">
        <v>2</v>
      </c>
      <c r="P147" s="20">
        <v>3</v>
      </c>
      <c r="Q147" s="13">
        <v>0.7659561507622451</v>
      </c>
      <c r="R147" s="20" t="s">
        <v>249</v>
      </c>
      <c r="S147" s="20">
        <v>-1.7484590367420181</v>
      </c>
      <c r="T147" s="20" t="s">
        <v>248</v>
      </c>
      <c r="U147" s="20" t="s">
        <v>39</v>
      </c>
      <c r="V147" s="20">
        <v>3</v>
      </c>
      <c r="W147" s="20">
        <v>2</v>
      </c>
      <c r="X147" s="20" t="s">
        <v>490</v>
      </c>
      <c r="Y147" s="20" t="s">
        <v>292</v>
      </c>
      <c r="Z147" s="20" t="s">
        <v>60</v>
      </c>
      <c r="AA147" s="20" t="s">
        <v>491</v>
      </c>
    </row>
    <row r="148" spans="1:27" x14ac:dyDescent="0.2">
      <c r="A148" s="20" t="s">
        <v>194</v>
      </c>
      <c r="B148" s="20" t="s">
        <v>324</v>
      </c>
      <c r="C148" s="20" t="s">
        <v>15</v>
      </c>
      <c r="D148" s="20" t="s">
        <v>16</v>
      </c>
      <c r="E148" s="20" t="s">
        <v>700</v>
      </c>
      <c r="F148" s="20" t="s">
        <v>15</v>
      </c>
      <c r="G148" s="20">
        <v>2</v>
      </c>
      <c r="H148" s="20">
        <v>3</v>
      </c>
      <c r="I148" s="13">
        <v>0.6</v>
      </c>
      <c r="J148" s="20" t="s">
        <v>249</v>
      </c>
      <c r="L148" s="20" t="s">
        <v>249</v>
      </c>
      <c r="M148" s="20" t="s">
        <v>701</v>
      </c>
      <c r="N148" s="20" t="s">
        <v>15</v>
      </c>
      <c r="O148" s="20">
        <v>2</v>
      </c>
      <c r="P148" s="20">
        <v>3</v>
      </c>
      <c r="Q148" s="13">
        <v>0.64483476332872802</v>
      </c>
      <c r="R148" s="20" t="s">
        <v>249</v>
      </c>
      <c r="S148" s="20">
        <v>-0.72584654563751583</v>
      </c>
      <c r="T148" s="20" t="s">
        <v>249</v>
      </c>
      <c r="U148" s="20" t="s">
        <v>16</v>
      </c>
      <c r="V148" s="20">
        <v>1</v>
      </c>
      <c r="W148" s="20">
        <v>5</v>
      </c>
      <c r="X148" s="20" t="s">
        <v>490</v>
      </c>
      <c r="Y148" s="20" t="s">
        <v>292</v>
      </c>
      <c r="Z148" s="20" t="s">
        <v>60</v>
      </c>
      <c r="AA148" s="20" t="s">
        <v>491</v>
      </c>
    </row>
    <row r="149" spans="1:27" x14ac:dyDescent="0.2">
      <c r="A149" s="20" t="s">
        <v>195</v>
      </c>
      <c r="B149" s="20" t="s">
        <v>334</v>
      </c>
      <c r="C149" s="20" t="s">
        <v>21</v>
      </c>
      <c r="D149" s="20" t="s">
        <v>36</v>
      </c>
      <c r="E149" s="20" t="s">
        <v>702</v>
      </c>
      <c r="F149" s="20" t="s">
        <v>21</v>
      </c>
      <c r="G149" s="20">
        <v>2</v>
      </c>
      <c r="H149" s="20">
        <v>3</v>
      </c>
      <c r="I149" s="13">
        <v>0.6</v>
      </c>
      <c r="J149" s="20" t="s">
        <v>249</v>
      </c>
      <c r="L149" s="20" t="s">
        <v>249</v>
      </c>
      <c r="M149" s="20" t="s">
        <v>703</v>
      </c>
      <c r="N149" s="20" t="s">
        <v>21</v>
      </c>
      <c r="O149" s="20">
        <v>2</v>
      </c>
      <c r="P149" s="20">
        <v>3</v>
      </c>
      <c r="Q149" s="13">
        <v>0.48889131780087369</v>
      </c>
      <c r="R149" s="20" t="s">
        <v>249</v>
      </c>
      <c r="S149" s="20">
        <v>-0.26170554149394448</v>
      </c>
      <c r="T149" s="20" t="s">
        <v>249</v>
      </c>
      <c r="U149" s="20" t="s">
        <v>36</v>
      </c>
      <c r="V149" s="20">
        <v>2</v>
      </c>
      <c r="W149" s="20">
        <v>7</v>
      </c>
      <c r="X149" s="20" t="s">
        <v>490</v>
      </c>
      <c r="Y149" s="20" t="s">
        <v>292</v>
      </c>
      <c r="Z149" s="20" t="s">
        <v>60</v>
      </c>
      <c r="AA149" s="20" t="s">
        <v>491</v>
      </c>
    </row>
    <row r="150" spans="1:27" x14ac:dyDescent="0.2">
      <c r="A150" s="20" t="s">
        <v>195</v>
      </c>
      <c r="B150" s="20" t="s">
        <v>328</v>
      </c>
      <c r="C150" s="20" t="s">
        <v>35</v>
      </c>
      <c r="D150" s="20" t="s">
        <v>14</v>
      </c>
      <c r="E150" s="20" t="s">
        <v>704</v>
      </c>
      <c r="F150" s="20" t="s">
        <v>14</v>
      </c>
      <c r="G150" s="20">
        <v>2</v>
      </c>
      <c r="H150" s="20">
        <v>3</v>
      </c>
      <c r="I150" s="13">
        <v>0.6</v>
      </c>
      <c r="J150" s="20" t="s">
        <v>249</v>
      </c>
      <c r="L150" s="20" t="s">
        <v>248</v>
      </c>
      <c r="M150" s="20" t="s">
        <v>451</v>
      </c>
      <c r="N150" s="20" t="s">
        <v>14</v>
      </c>
      <c r="O150" s="20">
        <v>2</v>
      </c>
      <c r="P150" s="20">
        <v>3</v>
      </c>
      <c r="Q150" s="13">
        <v>0.69204113233822317</v>
      </c>
      <c r="R150" s="20" t="s">
        <v>249</v>
      </c>
      <c r="S150" s="20">
        <v>1.302114899305395</v>
      </c>
      <c r="T150" s="20" t="s">
        <v>248</v>
      </c>
      <c r="U150" s="20" t="s">
        <v>14</v>
      </c>
      <c r="V150" s="20">
        <v>3</v>
      </c>
      <c r="W150" s="20">
        <v>6</v>
      </c>
      <c r="X150" s="20" t="s">
        <v>490</v>
      </c>
      <c r="Y150" s="20" t="s">
        <v>292</v>
      </c>
      <c r="Z150" s="20" t="s">
        <v>60</v>
      </c>
      <c r="AA150" s="20" t="s">
        <v>491</v>
      </c>
    </row>
    <row r="151" spans="1:27" x14ac:dyDescent="0.2">
      <c r="A151" s="20" t="s">
        <v>196</v>
      </c>
      <c r="B151" s="20" t="s">
        <v>322</v>
      </c>
      <c r="C151" s="20" t="s">
        <v>15</v>
      </c>
      <c r="D151" s="20" t="s">
        <v>38</v>
      </c>
      <c r="E151" s="20" t="s">
        <v>705</v>
      </c>
      <c r="F151" s="20" t="s">
        <v>15</v>
      </c>
      <c r="G151" s="20">
        <v>2</v>
      </c>
      <c r="H151" s="20">
        <v>3</v>
      </c>
      <c r="I151" s="13">
        <v>0.6</v>
      </c>
      <c r="J151" s="20" t="s">
        <v>249</v>
      </c>
      <c r="L151" s="20" t="s">
        <v>248</v>
      </c>
      <c r="M151" s="20" t="s">
        <v>518</v>
      </c>
      <c r="N151" s="20" t="s">
        <v>15</v>
      </c>
      <c r="O151" s="20">
        <v>2</v>
      </c>
      <c r="P151" s="20">
        <v>3</v>
      </c>
      <c r="Q151" s="13">
        <v>0.63104443382584718</v>
      </c>
      <c r="R151" s="20" t="s">
        <v>249</v>
      </c>
      <c r="S151" s="20">
        <v>-0.60774302170369898</v>
      </c>
      <c r="T151" s="20" t="s">
        <v>248</v>
      </c>
      <c r="U151" s="20" t="s">
        <v>15</v>
      </c>
      <c r="V151" s="20">
        <v>2</v>
      </c>
      <c r="W151" s="20">
        <v>0</v>
      </c>
      <c r="X151" s="20" t="s">
        <v>490</v>
      </c>
      <c r="Y151" s="20" t="s">
        <v>292</v>
      </c>
      <c r="Z151" s="20" t="s">
        <v>60</v>
      </c>
      <c r="AA151" s="20" t="s">
        <v>491</v>
      </c>
    </row>
    <row r="152" spans="1:27" x14ac:dyDescent="0.2">
      <c r="A152" s="20" t="s">
        <v>196</v>
      </c>
      <c r="B152" s="20" t="s">
        <v>706</v>
      </c>
      <c r="C152" s="20" t="s">
        <v>16</v>
      </c>
      <c r="D152" s="20" t="s">
        <v>19</v>
      </c>
      <c r="E152" s="20" t="s">
        <v>707</v>
      </c>
      <c r="F152" s="20" t="s">
        <v>19</v>
      </c>
      <c r="G152" s="20">
        <v>2</v>
      </c>
      <c r="H152" s="20">
        <v>3</v>
      </c>
      <c r="I152" s="13">
        <v>0.6</v>
      </c>
      <c r="J152" s="20" t="s">
        <v>249</v>
      </c>
      <c r="L152" s="20" t="s">
        <v>248</v>
      </c>
      <c r="M152" s="20" t="s">
        <v>312</v>
      </c>
      <c r="N152" s="20" t="s">
        <v>19</v>
      </c>
      <c r="O152" s="20">
        <v>2</v>
      </c>
      <c r="P152" s="20">
        <v>3</v>
      </c>
      <c r="Q152" s="13">
        <v>0.5961876032845923</v>
      </c>
      <c r="R152" s="20" t="s">
        <v>249</v>
      </c>
      <c r="S152" s="20">
        <v>0.48120343664880272</v>
      </c>
      <c r="T152" s="20" t="s">
        <v>248</v>
      </c>
      <c r="U152" s="20" t="s">
        <v>19</v>
      </c>
      <c r="V152" s="20">
        <v>3</v>
      </c>
      <c r="W152" s="20">
        <v>4</v>
      </c>
      <c r="X152" s="20" t="s">
        <v>490</v>
      </c>
      <c r="Y152" s="20" t="s">
        <v>292</v>
      </c>
      <c r="Z152" s="20" t="s">
        <v>60</v>
      </c>
      <c r="AA152" s="20" t="s">
        <v>491</v>
      </c>
    </row>
    <row r="153" spans="1:27" x14ac:dyDescent="0.2">
      <c r="A153" s="20" t="s">
        <v>196</v>
      </c>
      <c r="B153" s="20" t="s">
        <v>708</v>
      </c>
      <c r="C153" s="20" t="s">
        <v>26</v>
      </c>
      <c r="D153" s="20" t="s">
        <v>35</v>
      </c>
      <c r="E153" s="20" t="s">
        <v>709</v>
      </c>
      <c r="F153" s="20" t="s">
        <v>26</v>
      </c>
      <c r="G153" s="20">
        <v>2</v>
      </c>
      <c r="H153" s="20">
        <v>3</v>
      </c>
      <c r="I153" s="13">
        <v>0.6</v>
      </c>
      <c r="J153" s="20" t="s">
        <v>249</v>
      </c>
      <c r="L153" s="20" t="s">
        <v>248</v>
      </c>
      <c r="M153" s="20" t="s">
        <v>307</v>
      </c>
      <c r="N153" s="20" t="s">
        <v>26</v>
      </c>
      <c r="O153" s="20">
        <v>2</v>
      </c>
      <c r="P153" s="20">
        <v>3</v>
      </c>
      <c r="Q153" s="13">
        <v>0.51479046873005474</v>
      </c>
      <c r="R153" s="20" t="s">
        <v>249</v>
      </c>
      <c r="S153" s="20">
        <v>-0.4692380579922506</v>
      </c>
      <c r="T153" s="20" t="s">
        <v>248</v>
      </c>
      <c r="U153" s="20" t="s">
        <v>26</v>
      </c>
      <c r="V153" s="20">
        <v>5</v>
      </c>
      <c r="W153" s="20">
        <v>2</v>
      </c>
      <c r="X153" s="20" t="s">
        <v>490</v>
      </c>
      <c r="Y153" s="20" t="s">
        <v>292</v>
      </c>
      <c r="Z153" s="20" t="s">
        <v>60</v>
      </c>
      <c r="AA153" s="20" t="s">
        <v>491</v>
      </c>
    </row>
    <row r="154" spans="1:27" x14ac:dyDescent="0.2">
      <c r="A154" s="20" t="s">
        <v>196</v>
      </c>
      <c r="B154" s="20" t="s">
        <v>340</v>
      </c>
      <c r="C154" s="20" t="s">
        <v>18</v>
      </c>
      <c r="D154" s="20" t="s">
        <v>32</v>
      </c>
      <c r="E154" s="20" t="s">
        <v>710</v>
      </c>
      <c r="F154" s="20" t="s">
        <v>18</v>
      </c>
      <c r="G154" s="20">
        <v>2</v>
      </c>
      <c r="H154" s="20">
        <v>3</v>
      </c>
      <c r="I154" s="13">
        <v>0.6</v>
      </c>
      <c r="J154" s="20" t="s">
        <v>249</v>
      </c>
      <c r="L154" s="20" t="s">
        <v>248</v>
      </c>
      <c r="M154" s="20" t="s">
        <v>360</v>
      </c>
      <c r="N154" s="20" t="s">
        <v>18</v>
      </c>
      <c r="O154" s="20">
        <v>2</v>
      </c>
      <c r="P154" s="20">
        <v>3</v>
      </c>
      <c r="Q154" s="13">
        <v>0.52005694672394875</v>
      </c>
      <c r="R154" s="20" t="s">
        <v>249</v>
      </c>
      <c r="S154" s="20">
        <v>-6.5868580811023758E-3</v>
      </c>
      <c r="T154" s="20" t="s">
        <v>248</v>
      </c>
      <c r="U154" s="20" t="s">
        <v>18</v>
      </c>
      <c r="V154" s="20">
        <v>4</v>
      </c>
      <c r="W154" s="20">
        <v>3</v>
      </c>
      <c r="X154" s="20" t="s">
        <v>496</v>
      </c>
      <c r="Y154" s="20" t="s">
        <v>292</v>
      </c>
      <c r="Z154" s="20" t="s">
        <v>60</v>
      </c>
      <c r="AA154" s="20" t="s">
        <v>491</v>
      </c>
    </row>
    <row r="155" spans="1:27" x14ac:dyDescent="0.2">
      <c r="A155" s="20" t="s">
        <v>196</v>
      </c>
      <c r="B155" s="20" t="s">
        <v>469</v>
      </c>
      <c r="C155" s="20" t="s">
        <v>14</v>
      </c>
      <c r="D155" s="20" t="s">
        <v>27</v>
      </c>
      <c r="E155" s="20" t="s">
        <v>475</v>
      </c>
      <c r="F155" s="20" t="s">
        <v>14</v>
      </c>
      <c r="G155" s="20">
        <v>2</v>
      </c>
      <c r="H155" s="20">
        <v>3</v>
      </c>
      <c r="I155" s="13">
        <v>0.6</v>
      </c>
      <c r="J155" s="20" t="s">
        <v>249</v>
      </c>
      <c r="L155" s="20" t="s">
        <v>249</v>
      </c>
      <c r="M155" s="20" t="s">
        <v>711</v>
      </c>
      <c r="N155" s="20" t="s">
        <v>14</v>
      </c>
      <c r="O155" s="20">
        <v>2</v>
      </c>
      <c r="P155" s="20">
        <v>3</v>
      </c>
      <c r="Q155" s="13">
        <v>0.50710900170447515</v>
      </c>
      <c r="R155" s="20" t="s">
        <v>249</v>
      </c>
      <c r="S155" s="20">
        <v>-0.18807461301766351</v>
      </c>
      <c r="T155" s="20" t="s">
        <v>249</v>
      </c>
      <c r="U155" s="20" t="s">
        <v>27</v>
      </c>
      <c r="V155" s="20">
        <v>2</v>
      </c>
      <c r="W155" s="20">
        <v>3</v>
      </c>
      <c r="X155" s="20" t="s">
        <v>496</v>
      </c>
      <c r="Y155" s="20" t="s">
        <v>292</v>
      </c>
      <c r="Z155" s="20" t="s">
        <v>60</v>
      </c>
      <c r="AA155" s="20" t="s">
        <v>491</v>
      </c>
    </row>
    <row r="156" spans="1:27" x14ac:dyDescent="0.2">
      <c r="A156" s="20" t="s">
        <v>196</v>
      </c>
      <c r="B156" s="20" t="s">
        <v>712</v>
      </c>
      <c r="C156" s="20" t="s">
        <v>37</v>
      </c>
      <c r="D156" s="20" t="s">
        <v>29</v>
      </c>
      <c r="E156" s="20" t="s">
        <v>713</v>
      </c>
      <c r="F156" s="20" t="s">
        <v>37</v>
      </c>
      <c r="G156" s="20">
        <v>2</v>
      </c>
      <c r="H156" s="20">
        <v>3</v>
      </c>
      <c r="I156" s="13">
        <v>0.6</v>
      </c>
      <c r="J156" s="20" t="s">
        <v>249</v>
      </c>
      <c r="L156" s="20" t="s">
        <v>248</v>
      </c>
      <c r="M156" s="20" t="s">
        <v>395</v>
      </c>
      <c r="N156" s="20" t="s">
        <v>37</v>
      </c>
      <c r="O156" s="20">
        <v>2</v>
      </c>
      <c r="P156" s="20">
        <v>3</v>
      </c>
      <c r="Q156" s="13">
        <v>0.76797805877908609</v>
      </c>
      <c r="R156" s="20" t="s">
        <v>249</v>
      </c>
      <c r="S156" s="20">
        <v>-1.845521481633503</v>
      </c>
      <c r="T156" s="20" t="s">
        <v>248</v>
      </c>
      <c r="U156" s="20" t="s">
        <v>37</v>
      </c>
      <c r="V156" s="20">
        <v>5</v>
      </c>
      <c r="W156" s="20">
        <v>2</v>
      </c>
      <c r="X156" s="20" t="s">
        <v>490</v>
      </c>
      <c r="Y156" s="20" t="s">
        <v>292</v>
      </c>
      <c r="Z156" s="20" t="s">
        <v>60</v>
      </c>
      <c r="AA156" s="20" t="s">
        <v>491</v>
      </c>
    </row>
    <row r="157" spans="1:27" x14ac:dyDescent="0.2">
      <c r="A157" s="20" t="s">
        <v>196</v>
      </c>
      <c r="B157" s="20" t="s">
        <v>324</v>
      </c>
      <c r="C157" s="20" t="s">
        <v>40</v>
      </c>
      <c r="D157" s="20" t="s">
        <v>34</v>
      </c>
      <c r="E157" s="20" t="s">
        <v>714</v>
      </c>
      <c r="F157" s="20" t="s">
        <v>34</v>
      </c>
      <c r="G157" s="20">
        <v>2</v>
      </c>
      <c r="H157" s="20">
        <v>3</v>
      </c>
      <c r="I157" s="13">
        <v>0.6</v>
      </c>
      <c r="J157" s="20" t="s">
        <v>249</v>
      </c>
      <c r="L157" s="20" t="s">
        <v>249</v>
      </c>
      <c r="M157" s="20" t="s">
        <v>715</v>
      </c>
      <c r="N157" s="20" t="s">
        <v>34</v>
      </c>
      <c r="O157" s="20">
        <v>2</v>
      </c>
      <c r="P157" s="20">
        <v>3</v>
      </c>
      <c r="Q157" s="13">
        <v>0.55519639167751955</v>
      </c>
      <c r="R157" s="20" t="s">
        <v>249</v>
      </c>
      <c r="S157" s="20">
        <v>0.30801778525647522</v>
      </c>
      <c r="T157" s="20" t="s">
        <v>249</v>
      </c>
      <c r="U157" s="20" t="s">
        <v>40</v>
      </c>
      <c r="V157" s="20">
        <v>4</v>
      </c>
      <c r="W157" s="20">
        <v>3</v>
      </c>
      <c r="X157" s="20" t="s">
        <v>496</v>
      </c>
      <c r="Y157" s="20" t="s">
        <v>292</v>
      </c>
      <c r="Z157" s="20" t="s">
        <v>60</v>
      </c>
      <c r="AA157" s="20" t="s">
        <v>491</v>
      </c>
    </row>
    <row r="158" spans="1:27" x14ac:dyDescent="0.2">
      <c r="A158" s="20" t="s">
        <v>196</v>
      </c>
      <c r="B158" s="20" t="s">
        <v>716</v>
      </c>
      <c r="C158" s="20" t="s">
        <v>13</v>
      </c>
      <c r="D158" s="20" t="s">
        <v>33</v>
      </c>
      <c r="E158" s="20" t="s">
        <v>333</v>
      </c>
      <c r="F158" s="20" t="s">
        <v>13</v>
      </c>
      <c r="G158" s="20">
        <v>2</v>
      </c>
      <c r="H158" s="20">
        <v>3</v>
      </c>
      <c r="I158" s="13">
        <v>0.6</v>
      </c>
      <c r="J158" s="20" t="s">
        <v>249</v>
      </c>
      <c r="L158" s="20" t="s">
        <v>248</v>
      </c>
      <c r="M158" s="20" t="s">
        <v>628</v>
      </c>
      <c r="N158" s="20" t="s">
        <v>13</v>
      </c>
      <c r="O158" s="20">
        <v>2</v>
      </c>
      <c r="P158" s="20">
        <v>3</v>
      </c>
      <c r="Q158" s="13">
        <v>0.52350233501430832</v>
      </c>
      <c r="R158" s="20" t="s">
        <v>249</v>
      </c>
      <c r="S158" s="20">
        <v>-6.3146644781867212E-2</v>
      </c>
      <c r="T158" s="20" t="s">
        <v>248</v>
      </c>
      <c r="U158" s="20" t="s">
        <v>13</v>
      </c>
      <c r="V158" s="20">
        <v>4</v>
      </c>
      <c r="W158" s="20">
        <v>3</v>
      </c>
      <c r="X158" s="20" t="s">
        <v>490</v>
      </c>
      <c r="Y158" s="20" t="s">
        <v>292</v>
      </c>
      <c r="Z158" s="20" t="s">
        <v>60</v>
      </c>
      <c r="AA158" s="20" t="s">
        <v>491</v>
      </c>
    </row>
    <row r="159" spans="1:27" x14ac:dyDescent="0.2">
      <c r="A159" s="20" t="s">
        <v>196</v>
      </c>
      <c r="B159" s="20" t="s">
        <v>416</v>
      </c>
      <c r="C159" s="20" t="s">
        <v>22</v>
      </c>
      <c r="D159" s="20" t="s">
        <v>39</v>
      </c>
      <c r="E159" s="20" t="s">
        <v>717</v>
      </c>
      <c r="F159" s="20" t="s">
        <v>39</v>
      </c>
      <c r="G159" s="20">
        <v>2</v>
      </c>
      <c r="H159" s="20">
        <v>3</v>
      </c>
      <c r="I159" s="13">
        <v>0.6</v>
      </c>
      <c r="J159" s="20" t="s">
        <v>249</v>
      </c>
      <c r="L159" s="20" t="s">
        <v>248</v>
      </c>
      <c r="M159" s="20" t="s">
        <v>398</v>
      </c>
      <c r="N159" s="20" t="s">
        <v>39</v>
      </c>
      <c r="O159" s="20">
        <v>2</v>
      </c>
      <c r="P159" s="20">
        <v>3</v>
      </c>
      <c r="Q159" s="13">
        <v>0.53276357110417993</v>
      </c>
      <c r="R159" s="20" t="s">
        <v>249</v>
      </c>
      <c r="S159" s="20">
        <v>2.263601792452535E-2</v>
      </c>
      <c r="T159" s="20" t="s">
        <v>248</v>
      </c>
      <c r="U159" s="20" t="s">
        <v>39</v>
      </c>
      <c r="V159" s="20">
        <v>0</v>
      </c>
      <c r="W159" s="20">
        <v>1</v>
      </c>
      <c r="X159" s="20" t="s">
        <v>490</v>
      </c>
      <c r="Y159" s="20" t="s">
        <v>292</v>
      </c>
      <c r="Z159" s="20" t="s">
        <v>60</v>
      </c>
      <c r="AA159" s="20" t="s">
        <v>491</v>
      </c>
    </row>
    <row r="160" spans="1:27" x14ac:dyDescent="0.2">
      <c r="A160" s="20" t="s">
        <v>196</v>
      </c>
      <c r="B160" s="20" t="s">
        <v>426</v>
      </c>
      <c r="C160" s="20" t="s">
        <v>55</v>
      </c>
      <c r="D160" s="20" t="s">
        <v>17</v>
      </c>
      <c r="E160" s="20" t="s">
        <v>718</v>
      </c>
      <c r="F160" s="20" t="s">
        <v>55</v>
      </c>
      <c r="G160" s="20">
        <v>2</v>
      </c>
      <c r="H160" s="20">
        <v>3</v>
      </c>
      <c r="I160" s="13">
        <v>0.6</v>
      </c>
      <c r="J160" s="20" t="s">
        <v>249</v>
      </c>
      <c r="L160" s="20" t="s">
        <v>249</v>
      </c>
      <c r="M160" s="20" t="s">
        <v>719</v>
      </c>
      <c r="N160" s="20" t="s">
        <v>55</v>
      </c>
      <c r="O160" s="20">
        <v>2</v>
      </c>
      <c r="P160" s="20">
        <v>3</v>
      </c>
      <c r="Q160" s="13">
        <v>0.49554079768155213</v>
      </c>
      <c r="R160" s="20" t="s">
        <v>249</v>
      </c>
      <c r="S160" s="20">
        <v>-0.36472262629317681</v>
      </c>
      <c r="T160" s="20" t="s">
        <v>249</v>
      </c>
      <c r="U160" s="20" t="s">
        <v>17</v>
      </c>
      <c r="V160" s="20">
        <v>3</v>
      </c>
      <c r="W160" s="20">
        <v>6</v>
      </c>
      <c r="X160" s="20" t="s">
        <v>490</v>
      </c>
      <c r="Y160" s="20" t="s">
        <v>292</v>
      </c>
      <c r="Z160" s="20" t="s">
        <v>60</v>
      </c>
      <c r="AA160" s="20" t="s">
        <v>491</v>
      </c>
    </row>
    <row r="161" spans="1:27" x14ac:dyDescent="0.2">
      <c r="A161" s="20" t="s">
        <v>196</v>
      </c>
      <c r="B161" s="20" t="s">
        <v>720</v>
      </c>
      <c r="C161" s="20" t="s">
        <v>30</v>
      </c>
      <c r="D161" s="20" t="s">
        <v>21</v>
      </c>
      <c r="E161" s="20" t="s">
        <v>721</v>
      </c>
      <c r="F161" s="20" t="s">
        <v>21</v>
      </c>
      <c r="G161" s="20">
        <v>2</v>
      </c>
      <c r="H161" s="20">
        <v>3</v>
      </c>
      <c r="I161" s="13">
        <v>0.6</v>
      </c>
      <c r="J161" s="20" t="s">
        <v>249</v>
      </c>
      <c r="L161" s="20" t="s">
        <v>248</v>
      </c>
      <c r="M161" s="20" t="s">
        <v>465</v>
      </c>
      <c r="N161" s="20" t="s">
        <v>21</v>
      </c>
      <c r="O161" s="20">
        <v>2</v>
      </c>
      <c r="P161" s="20">
        <v>3</v>
      </c>
      <c r="Q161" s="13">
        <v>0.51921468298828499</v>
      </c>
      <c r="R161" s="20" t="s">
        <v>249</v>
      </c>
      <c r="S161" s="20">
        <v>7.1062985916763494E-2</v>
      </c>
      <c r="T161" s="20" t="s">
        <v>248</v>
      </c>
      <c r="U161" s="20" t="s">
        <v>21</v>
      </c>
      <c r="V161" s="20">
        <v>2</v>
      </c>
      <c r="W161" s="20">
        <v>5</v>
      </c>
      <c r="X161" s="20" t="s">
        <v>490</v>
      </c>
      <c r="Y161" s="20" t="s">
        <v>292</v>
      </c>
      <c r="Z161" s="20" t="s">
        <v>60</v>
      </c>
      <c r="AA161" s="20" t="s">
        <v>491</v>
      </c>
    </row>
    <row r="162" spans="1:27" x14ac:dyDescent="0.2">
      <c r="A162" s="20" t="s">
        <v>196</v>
      </c>
      <c r="B162" s="20" t="s">
        <v>646</v>
      </c>
      <c r="C162" s="20" t="s">
        <v>28</v>
      </c>
      <c r="D162" s="20" t="s">
        <v>23</v>
      </c>
      <c r="E162" s="20" t="s">
        <v>722</v>
      </c>
      <c r="F162" s="20" t="s">
        <v>23</v>
      </c>
      <c r="G162" s="20">
        <v>2</v>
      </c>
      <c r="H162" s="20">
        <v>3</v>
      </c>
      <c r="I162" s="13">
        <v>0.6</v>
      </c>
      <c r="J162" s="20" t="s">
        <v>249</v>
      </c>
      <c r="L162" s="20" t="s">
        <v>249</v>
      </c>
      <c r="M162" s="20" t="s">
        <v>723</v>
      </c>
      <c r="N162" s="20" t="s">
        <v>23</v>
      </c>
      <c r="O162" s="20">
        <v>2</v>
      </c>
      <c r="P162" s="20">
        <v>3</v>
      </c>
      <c r="Q162" s="13">
        <v>0.5662662274862772</v>
      </c>
      <c r="R162" s="20" t="s">
        <v>249</v>
      </c>
      <c r="S162" s="20">
        <v>0.16877971753311299</v>
      </c>
      <c r="T162" s="20" t="s">
        <v>249</v>
      </c>
      <c r="U162" s="20" t="s">
        <v>28</v>
      </c>
      <c r="V162" s="20">
        <v>4</v>
      </c>
      <c r="W162" s="20">
        <v>3</v>
      </c>
      <c r="X162" s="20" t="s">
        <v>496</v>
      </c>
      <c r="Y162" s="20" t="s">
        <v>292</v>
      </c>
      <c r="Z162" s="20" t="s">
        <v>60</v>
      </c>
      <c r="AA162" s="20" t="s">
        <v>491</v>
      </c>
    </row>
    <row r="163" spans="1:27" x14ac:dyDescent="0.2">
      <c r="A163" s="20" t="s">
        <v>196</v>
      </c>
      <c r="B163" s="20" t="s">
        <v>328</v>
      </c>
      <c r="C163" s="20" t="s">
        <v>31</v>
      </c>
      <c r="D163" s="20" t="s">
        <v>11</v>
      </c>
      <c r="E163" s="20" t="s">
        <v>724</v>
      </c>
      <c r="F163" s="20" t="s">
        <v>31</v>
      </c>
      <c r="G163" s="20">
        <v>2</v>
      </c>
      <c r="H163" s="20">
        <v>3</v>
      </c>
      <c r="I163" s="13">
        <v>0.6</v>
      </c>
      <c r="J163" s="20" t="s">
        <v>249</v>
      </c>
      <c r="L163" s="20" t="s">
        <v>248</v>
      </c>
      <c r="M163" s="20" t="s">
        <v>291</v>
      </c>
      <c r="N163" s="20" t="s">
        <v>31</v>
      </c>
      <c r="O163" s="20">
        <v>2</v>
      </c>
      <c r="P163" s="20">
        <v>3</v>
      </c>
      <c r="Q163" s="13">
        <v>0.52807565454489702</v>
      </c>
      <c r="R163" s="20" t="s">
        <v>249</v>
      </c>
      <c r="S163" s="20">
        <v>-0.52592056398021036</v>
      </c>
      <c r="T163" s="20" t="s">
        <v>248</v>
      </c>
      <c r="U163" s="20" t="s">
        <v>31</v>
      </c>
      <c r="V163" s="20">
        <v>3</v>
      </c>
      <c r="W163" s="20">
        <v>2</v>
      </c>
      <c r="X163" s="20" t="s">
        <v>496</v>
      </c>
      <c r="Y163" s="20" t="s">
        <v>292</v>
      </c>
      <c r="Z163" s="20" t="s">
        <v>60</v>
      </c>
      <c r="AA163" s="20" t="s">
        <v>491</v>
      </c>
    </row>
    <row r="164" spans="1:27" x14ac:dyDescent="0.2">
      <c r="A164" s="20" t="s">
        <v>196</v>
      </c>
      <c r="B164" s="20" t="s">
        <v>725</v>
      </c>
      <c r="C164" s="20" t="s">
        <v>20</v>
      </c>
      <c r="D164" s="20" t="s">
        <v>25</v>
      </c>
      <c r="E164" s="20" t="s">
        <v>726</v>
      </c>
      <c r="F164" s="20" t="s">
        <v>25</v>
      </c>
      <c r="G164" s="20">
        <v>2</v>
      </c>
      <c r="H164" s="20">
        <v>3</v>
      </c>
      <c r="I164" s="13">
        <v>0.6</v>
      </c>
      <c r="J164" s="20" t="s">
        <v>249</v>
      </c>
      <c r="L164" s="20" t="s">
        <v>249</v>
      </c>
      <c r="M164" s="20" t="s">
        <v>624</v>
      </c>
      <c r="N164" s="20" t="s">
        <v>25</v>
      </c>
      <c r="O164" s="20">
        <v>2</v>
      </c>
      <c r="P164" s="20">
        <v>3</v>
      </c>
      <c r="Q164" s="13">
        <v>0.67578855467948284</v>
      </c>
      <c r="R164" s="20" t="s">
        <v>249</v>
      </c>
      <c r="S164" s="20">
        <v>0.72001671657235156</v>
      </c>
      <c r="T164" s="20" t="s">
        <v>249</v>
      </c>
      <c r="U164" s="20" t="s">
        <v>20</v>
      </c>
      <c r="V164" s="20">
        <v>6</v>
      </c>
      <c r="W164" s="20">
        <v>3</v>
      </c>
      <c r="X164" s="20" t="s">
        <v>490</v>
      </c>
      <c r="Y164" s="20" t="s">
        <v>292</v>
      </c>
      <c r="Z164" s="20" t="s">
        <v>60</v>
      </c>
      <c r="AA164" s="20" t="s">
        <v>491</v>
      </c>
    </row>
    <row r="165" spans="1:27" x14ac:dyDescent="0.2">
      <c r="A165" s="20" t="s">
        <v>196</v>
      </c>
      <c r="B165" s="20" t="s">
        <v>727</v>
      </c>
      <c r="C165" s="20" t="s">
        <v>36</v>
      </c>
      <c r="D165" s="20" t="s">
        <v>10</v>
      </c>
      <c r="E165" s="20" t="s">
        <v>728</v>
      </c>
      <c r="F165" s="20" t="s">
        <v>10</v>
      </c>
      <c r="G165" s="20">
        <v>2</v>
      </c>
      <c r="H165" s="20">
        <v>3</v>
      </c>
      <c r="I165" s="13">
        <v>0.6</v>
      </c>
      <c r="J165" s="20" t="s">
        <v>249</v>
      </c>
      <c r="L165" s="20" t="s">
        <v>248</v>
      </c>
      <c r="M165" s="20" t="s">
        <v>303</v>
      </c>
      <c r="N165" s="20" t="s">
        <v>10</v>
      </c>
      <c r="O165" s="20">
        <v>2</v>
      </c>
      <c r="P165" s="20">
        <v>3</v>
      </c>
      <c r="Q165" s="13">
        <v>0.58729913214462337</v>
      </c>
      <c r="R165" s="20" t="s">
        <v>249</v>
      </c>
      <c r="S165" s="20">
        <v>0.40508054460368748</v>
      </c>
      <c r="T165" s="20" t="s">
        <v>248</v>
      </c>
      <c r="U165" s="20" t="s">
        <v>10</v>
      </c>
      <c r="V165" s="20">
        <v>3</v>
      </c>
      <c r="W165" s="20">
        <v>7</v>
      </c>
      <c r="X165" s="20" t="s">
        <v>490</v>
      </c>
      <c r="Y165" s="20" t="s">
        <v>292</v>
      </c>
      <c r="Z165" s="20" t="s">
        <v>60</v>
      </c>
      <c r="AA165" s="20" t="s">
        <v>491</v>
      </c>
    </row>
    <row r="166" spans="1:27" x14ac:dyDescent="0.2">
      <c r="A166" s="20" t="s">
        <v>196</v>
      </c>
      <c r="B166" s="20" t="s">
        <v>326</v>
      </c>
      <c r="C166" s="20" t="s">
        <v>24</v>
      </c>
      <c r="D166" s="20" t="s">
        <v>12</v>
      </c>
      <c r="E166" s="20" t="s">
        <v>729</v>
      </c>
      <c r="F166" s="20" t="s">
        <v>12</v>
      </c>
      <c r="G166" s="20">
        <v>2</v>
      </c>
      <c r="H166" s="20">
        <v>3</v>
      </c>
      <c r="I166" s="13">
        <v>0.6</v>
      </c>
      <c r="J166" s="20" t="s">
        <v>249</v>
      </c>
      <c r="L166" s="20" t="s">
        <v>248</v>
      </c>
      <c r="M166" s="20" t="s">
        <v>361</v>
      </c>
      <c r="N166" s="20" t="s">
        <v>12</v>
      </c>
      <c r="O166" s="20">
        <v>2</v>
      </c>
      <c r="P166" s="20">
        <v>3</v>
      </c>
      <c r="Q166" s="13">
        <v>0.82119680685797902</v>
      </c>
      <c r="R166" s="20" t="s">
        <v>249</v>
      </c>
      <c r="S166" s="20">
        <v>1.6802741565855339</v>
      </c>
      <c r="T166" s="20" t="s">
        <v>248</v>
      </c>
      <c r="U166" s="20" t="s">
        <v>12</v>
      </c>
      <c r="V166" s="20">
        <v>4</v>
      </c>
      <c r="W166" s="20">
        <v>8</v>
      </c>
      <c r="X166" s="20" t="s">
        <v>490</v>
      </c>
      <c r="Y166" s="20" t="s">
        <v>292</v>
      </c>
      <c r="Z166" s="20" t="s">
        <v>60</v>
      </c>
      <c r="AA166" s="20" t="s">
        <v>491</v>
      </c>
    </row>
    <row r="167" spans="1:27" x14ac:dyDescent="0.2">
      <c r="A167" s="20" t="s">
        <v>197</v>
      </c>
      <c r="B167" s="20" t="s">
        <v>334</v>
      </c>
      <c r="C167" s="20" t="s">
        <v>19</v>
      </c>
      <c r="D167" s="20" t="s">
        <v>28</v>
      </c>
      <c r="E167" s="20" t="s">
        <v>415</v>
      </c>
      <c r="F167" s="20" t="s">
        <v>28</v>
      </c>
      <c r="G167" s="20">
        <v>2</v>
      </c>
      <c r="H167" s="20">
        <v>3</v>
      </c>
      <c r="I167" s="13">
        <v>0.6</v>
      </c>
      <c r="J167" s="20" t="s">
        <v>249</v>
      </c>
      <c r="L167" s="20" t="s">
        <v>248</v>
      </c>
      <c r="M167" s="20" t="s">
        <v>730</v>
      </c>
      <c r="N167" s="20" t="s">
        <v>28</v>
      </c>
      <c r="O167" s="20">
        <v>2</v>
      </c>
      <c r="P167" s="20">
        <v>3</v>
      </c>
      <c r="Q167" s="13">
        <v>0.55043759431663863</v>
      </c>
      <c r="R167" s="20" t="s">
        <v>249</v>
      </c>
      <c r="S167" s="20">
        <v>8.9389935891602712E-2</v>
      </c>
      <c r="T167" s="20" t="s">
        <v>248</v>
      </c>
      <c r="U167" s="20" t="s">
        <v>28</v>
      </c>
      <c r="V167" s="20">
        <v>3</v>
      </c>
      <c r="W167" s="20">
        <v>6</v>
      </c>
      <c r="X167" s="20" t="s">
        <v>490</v>
      </c>
      <c r="Y167" s="20" t="s">
        <v>292</v>
      </c>
      <c r="Z167" s="20" t="s">
        <v>60</v>
      </c>
      <c r="AA167" s="20" t="s">
        <v>491</v>
      </c>
    </row>
    <row r="168" spans="1:27" x14ac:dyDescent="0.2">
      <c r="A168" s="20" t="s">
        <v>198</v>
      </c>
      <c r="B168" s="20" t="s">
        <v>324</v>
      </c>
      <c r="C168" s="20" t="s">
        <v>10</v>
      </c>
      <c r="D168" s="20" t="s">
        <v>40</v>
      </c>
      <c r="E168" s="20" t="s">
        <v>731</v>
      </c>
      <c r="F168" s="20" t="s">
        <v>10</v>
      </c>
      <c r="G168" s="20">
        <v>2</v>
      </c>
      <c r="H168" s="20">
        <v>3</v>
      </c>
      <c r="I168" s="13">
        <v>0.6</v>
      </c>
      <c r="J168" s="20" t="s">
        <v>249</v>
      </c>
      <c r="L168" s="20" t="s">
        <v>249</v>
      </c>
      <c r="M168" s="20" t="s">
        <v>732</v>
      </c>
      <c r="N168" s="20" t="s">
        <v>10</v>
      </c>
      <c r="O168" s="20">
        <v>2</v>
      </c>
      <c r="P168" s="20">
        <v>3</v>
      </c>
      <c r="Q168" s="13">
        <v>0.46767996465849671</v>
      </c>
      <c r="R168" s="20" t="s">
        <v>249</v>
      </c>
      <c r="S168" s="20">
        <v>-8.7144819675315455E-2</v>
      </c>
      <c r="T168" s="20" t="s">
        <v>249</v>
      </c>
      <c r="U168" s="20" t="s">
        <v>40</v>
      </c>
      <c r="V168" s="20">
        <v>3</v>
      </c>
      <c r="W168" s="20">
        <v>6</v>
      </c>
      <c r="X168" s="20" t="s">
        <v>490</v>
      </c>
      <c r="Y168" s="20" t="s">
        <v>292</v>
      </c>
      <c r="Z168" s="20" t="s">
        <v>60</v>
      </c>
      <c r="AA168" s="20" t="s">
        <v>491</v>
      </c>
    </row>
    <row r="169" spans="1:27" x14ac:dyDescent="0.2">
      <c r="A169" s="20" t="s">
        <v>198</v>
      </c>
      <c r="B169" s="20" t="s">
        <v>328</v>
      </c>
      <c r="C169" s="20" t="s">
        <v>39</v>
      </c>
      <c r="D169" s="20" t="s">
        <v>37</v>
      </c>
      <c r="E169" s="20" t="s">
        <v>733</v>
      </c>
      <c r="F169" s="20" t="s">
        <v>37</v>
      </c>
      <c r="G169" s="20">
        <v>2</v>
      </c>
      <c r="H169" s="20">
        <v>3</v>
      </c>
      <c r="I169" s="13">
        <v>0.6</v>
      </c>
      <c r="J169" s="20" t="s">
        <v>249</v>
      </c>
      <c r="L169" s="20" t="s">
        <v>248</v>
      </c>
      <c r="M169" s="20" t="s">
        <v>395</v>
      </c>
      <c r="N169" s="20" t="s">
        <v>37</v>
      </c>
      <c r="O169" s="20">
        <v>2</v>
      </c>
      <c r="P169" s="20">
        <v>3</v>
      </c>
      <c r="Q169" s="13">
        <v>0.48774835719391318</v>
      </c>
      <c r="R169" s="20" t="s">
        <v>249</v>
      </c>
      <c r="S169" s="20">
        <v>0.14696319381464701</v>
      </c>
      <c r="T169" s="20" t="s">
        <v>248</v>
      </c>
      <c r="U169" s="20" t="s">
        <v>37</v>
      </c>
      <c r="V169" s="20">
        <v>1</v>
      </c>
      <c r="W169" s="20">
        <v>2</v>
      </c>
      <c r="X169" s="20" t="s">
        <v>496</v>
      </c>
      <c r="Y169" s="20" t="s">
        <v>292</v>
      </c>
      <c r="Z169" s="20" t="s">
        <v>60</v>
      </c>
      <c r="AA169" s="20" t="s">
        <v>491</v>
      </c>
    </row>
    <row r="170" spans="1:27" x14ac:dyDescent="0.2">
      <c r="A170" s="20" t="s">
        <v>198</v>
      </c>
      <c r="B170" s="20" t="s">
        <v>324</v>
      </c>
      <c r="C170" s="20" t="s">
        <v>38</v>
      </c>
      <c r="D170" s="20" t="s">
        <v>35</v>
      </c>
      <c r="E170" s="20" t="s">
        <v>734</v>
      </c>
      <c r="F170" s="20" t="s">
        <v>38</v>
      </c>
      <c r="G170" s="20">
        <v>2</v>
      </c>
      <c r="H170" s="20">
        <v>3</v>
      </c>
      <c r="I170" s="13">
        <v>0.6</v>
      </c>
      <c r="J170" s="20" t="s">
        <v>249</v>
      </c>
      <c r="L170" s="20" t="s">
        <v>248</v>
      </c>
      <c r="M170" s="20" t="s">
        <v>505</v>
      </c>
      <c r="N170" s="20" t="s">
        <v>38</v>
      </c>
      <c r="O170" s="20">
        <v>2</v>
      </c>
      <c r="P170" s="20">
        <v>3</v>
      </c>
      <c r="Q170" s="13">
        <v>0.50992007634330028</v>
      </c>
      <c r="R170" s="20" t="s">
        <v>249</v>
      </c>
      <c r="S170" s="20">
        <v>-0.39689986791375598</v>
      </c>
      <c r="T170" s="20" t="s">
        <v>248</v>
      </c>
      <c r="U170" s="20" t="s">
        <v>38</v>
      </c>
      <c r="V170" s="20">
        <v>4</v>
      </c>
      <c r="W170" s="20">
        <v>3</v>
      </c>
      <c r="X170" s="20" t="s">
        <v>496</v>
      </c>
      <c r="Y170" s="20" t="s">
        <v>292</v>
      </c>
      <c r="Z170" s="20" t="s">
        <v>60</v>
      </c>
      <c r="AA170" s="20" t="s">
        <v>491</v>
      </c>
    </row>
    <row r="171" spans="1:27" x14ac:dyDescent="0.2">
      <c r="A171" s="20" t="s">
        <v>198</v>
      </c>
      <c r="B171" s="20" t="s">
        <v>322</v>
      </c>
      <c r="C171" s="20" t="s">
        <v>24</v>
      </c>
      <c r="D171" s="20" t="s">
        <v>33</v>
      </c>
      <c r="E171" s="20" t="s">
        <v>735</v>
      </c>
      <c r="F171" s="20" t="s">
        <v>24</v>
      </c>
      <c r="G171" s="20">
        <v>2</v>
      </c>
      <c r="H171" s="20">
        <v>3</v>
      </c>
      <c r="I171" s="13">
        <v>0.6</v>
      </c>
      <c r="J171" s="20" t="s">
        <v>249</v>
      </c>
      <c r="L171" s="20" t="s">
        <v>249</v>
      </c>
      <c r="M171" s="20" t="s">
        <v>736</v>
      </c>
      <c r="N171" s="20" t="s">
        <v>24</v>
      </c>
      <c r="O171" s="20">
        <v>2</v>
      </c>
      <c r="P171" s="20">
        <v>3</v>
      </c>
      <c r="Q171" s="13">
        <v>0.51763982026716526</v>
      </c>
      <c r="R171" s="20" t="s">
        <v>249</v>
      </c>
      <c r="S171" s="20">
        <v>-0.40296049422368518</v>
      </c>
      <c r="T171" s="20" t="s">
        <v>249</v>
      </c>
      <c r="U171" s="20" t="s">
        <v>33</v>
      </c>
      <c r="V171" s="20">
        <v>2</v>
      </c>
      <c r="W171" s="20">
        <v>5</v>
      </c>
      <c r="X171" s="20" t="s">
        <v>490</v>
      </c>
      <c r="Y171" s="20" t="s">
        <v>292</v>
      </c>
      <c r="Z171" s="20" t="s">
        <v>60</v>
      </c>
      <c r="AA171" s="20" t="s">
        <v>491</v>
      </c>
    </row>
    <row r="172" spans="1:27" x14ac:dyDescent="0.2">
      <c r="A172" s="20" t="s">
        <v>198</v>
      </c>
      <c r="B172" s="20" t="s">
        <v>328</v>
      </c>
      <c r="C172" s="20" t="s">
        <v>29</v>
      </c>
      <c r="D172" s="20" t="s">
        <v>27</v>
      </c>
      <c r="E172" s="20" t="s">
        <v>737</v>
      </c>
      <c r="F172" s="20" t="s">
        <v>27</v>
      </c>
      <c r="G172" s="20">
        <v>2</v>
      </c>
      <c r="H172" s="20">
        <v>3</v>
      </c>
      <c r="I172" s="13">
        <v>0.6</v>
      </c>
      <c r="J172" s="20" t="s">
        <v>249</v>
      </c>
      <c r="L172" s="20" t="s">
        <v>248</v>
      </c>
      <c r="M172" s="20" t="s">
        <v>393</v>
      </c>
      <c r="N172" s="20" t="s">
        <v>27</v>
      </c>
      <c r="O172" s="20">
        <v>2</v>
      </c>
      <c r="P172" s="20">
        <v>3</v>
      </c>
      <c r="Q172" s="13">
        <v>0.67715421891291649</v>
      </c>
      <c r="R172" s="20" t="s">
        <v>249</v>
      </c>
      <c r="S172" s="20">
        <v>1.054578449226907</v>
      </c>
      <c r="T172" s="20" t="s">
        <v>248</v>
      </c>
      <c r="U172" s="20" t="s">
        <v>27</v>
      </c>
      <c r="V172" s="20">
        <v>1</v>
      </c>
      <c r="W172" s="20">
        <v>4</v>
      </c>
      <c r="X172" s="20" t="s">
        <v>490</v>
      </c>
      <c r="Y172" s="20" t="s">
        <v>292</v>
      </c>
      <c r="Z172" s="20" t="s">
        <v>60</v>
      </c>
      <c r="AA172" s="20" t="s">
        <v>491</v>
      </c>
    </row>
    <row r="173" spans="1:27" x14ac:dyDescent="0.2">
      <c r="A173" s="20" t="s">
        <v>198</v>
      </c>
      <c r="B173" s="20" t="s">
        <v>328</v>
      </c>
      <c r="C173" s="20" t="s">
        <v>16</v>
      </c>
      <c r="D173" s="20" t="s">
        <v>36</v>
      </c>
      <c r="E173" s="20" t="s">
        <v>738</v>
      </c>
      <c r="F173" s="20" t="s">
        <v>36</v>
      </c>
      <c r="G173" s="20">
        <v>2</v>
      </c>
      <c r="H173" s="20">
        <v>3</v>
      </c>
      <c r="I173" s="13">
        <v>0.6</v>
      </c>
      <c r="J173" s="20" t="s">
        <v>249</v>
      </c>
      <c r="L173" s="20" t="s">
        <v>248</v>
      </c>
      <c r="M173" s="20" t="s">
        <v>582</v>
      </c>
      <c r="N173" s="20" t="s">
        <v>36</v>
      </c>
      <c r="O173" s="20">
        <v>2</v>
      </c>
      <c r="P173" s="20">
        <v>3</v>
      </c>
      <c r="Q173" s="13">
        <v>0.61072182577184631</v>
      </c>
      <c r="R173" s="20" t="s">
        <v>249</v>
      </c>
      <c r="S173" s="20">
        <v>0.58430597710294463</v>
      </c>
      <c r="T173" s="20" t="s">
        <v>248</v>
      </c>
      <c r="U173" s="20" t="s">
        <v>36</v>
      </c>
      <c r="V173" s="20">
        <v>3</v>
      </c>
      <c r="W173" s="20">
        <v>4</v>
      </c>
      <c r="X173" s="20" t="s">
        <v>496</v>
      </c>
      <c r="Y173" s="20" t="s">
        <v>292</v>
      </c>
      <c r="Z173" s="20" t="s">
        <v>60</v>
      </c>
      <c r="AA173" s="20" t="s">
        <v>491</v>
      </c>
    </row>
    <row r="174" spans="1:27" x14ac:dyDescent="0.2">
      <c r="A174" s="20" t="s">
        <v>198</v>
      </c>
      <c r="B174" s="20" t="s">
        <v>324</v>
      </c>
      <c r="C174" s="20" t="s">
        <v>14</v>
      </c>
      <c r="D174" s="20" t="s">
        <v>34</v>
      </c>
      <c r="E174" s="20" t="s">
        <v>739</v>
      </c>
      <c r="F174" s="20" t="s">
        <v>34</v>
      </c>
      <c r="G174" s="20">
        <v>2</v>
      </c>
      <c r="H174" s="20">
        <v>3</v>
      </c>
      <c r="I174" s="13">
        <v>0.6</v>
      </c>
      <c r="J174" s="20" t="s">
        <v>249</v>
      </c>
      <c r="L174" s="20" t="s">
        <v>249</v>
      </c>
      <c r="M174" s="20" t="s">
        <v>740</v>
      </c>
      <c r="N174" s="20" t="s">
        <v>34</v>
      </c>
      <c r="O174" s="20">
        <v>2</v>
      </c>
      <c r="P174" s="20">
        <v>3</v>
      </c>
      <c r="Q174" s="13">
        <v>0.51671473070034157</v>
      </c>
      <c r="R174" s="20" t="s">
        <v>249</v>
      </c>
      <c r="S174" s="20">
        <v>0.13704018303917359</v>
      </c>
      <c r="T174" s="20" t="s">
        <v>249</v>
      </c>
      <c r="U174" s="20" t="s">
        <v>14</v>
      </c>
      <c r="V174" s="20">
        <v>4</v>
      </c>
      <c r="W174" s="20">
        <v>1</v>
      </c>
      <c r="X174" s="20" t="s">
        <v>490</v>
      </c>
      <c r="Y174" s="20" t="s">
        <v>292</v>
      </c>
      <c r="Z174" s="20" t="s">
        <v>60</v>
      </c>
      <c r="AA174" s="20" t="s">
        <v>491</v>
      </c>
    </row>
    <row r="175" spans="1:27" x14ac:dyDescent="0.2">
      <c r="A175" s="20" t="s">
        <v>198</v>
      </c>
      <c r="B175" s="20" t="s">
        <v>326</v>
      </c>
      <c r="C175" s="20" t="s">
        <v>15</v>
      </c>
      <c r="D175" s="20" t="s">
        <v>17</v>
      </c>
      <c r="E175" s="20" t="s">
        <v>741</v>
      </c>
      <c r="F175" s="20" t="s">
        <v>15</v>
      </c>
      <c r="G175" s="20">
        <v>2</v>
      </c>
      <c r="H175" s="20">
        <v>3</v>
      </c>
      <c r="I175" s="13">
        <v>0.6</v>
      </c>
      <c r="J175" s="20" t="s">
        <v>249</v>
      </c>
      <c r="L175" s="20" t="s">
        <v>248</v>
      </c>
      <c r="M175" s="20" t="s">
        <v>518</v>
      </c>
      <c r="N175" s="20" t="s">
        <v>15</v>
      </c>
      <c r="O175" s="20">
        <v>2</v>
      </c>
      <c r="P175" s="20">
        <v>3</v>
      </c>
      <c r="Q175" s="13">
        <v>0.60886422062356638</v>
      </c>
      <c r="R175" s="20" t="s">
        <v>249</v>
      </c>
      <c r="S175" s="20">
        <v>-0.47781193083041668</v>
      </c>
      <c r="T175" s="20" t="s">
        <v>248</v>
      </c>
      <c r="U175" s="20" t="s">
        <v>15</v>
      </c>
      <c r="V175" s="20">
        <v>4</v>
      </c>
      <c r="W175" s="20">
        <v>3</v>
      </c>
      <c r="X175" s="20" t="s">
        <v>496</v>
      </c>
      <c r="Y175" s="20" t="s">
        <v>292</v>
      </c>
      <c r="Z175" s="20" t="s">
        <v>60</v>
      </c>
      <c r="AA175" s="20" t="s">
        <v>491</v>
      </c>
    </row>
    <row r="176" spans="1:27" x14ac:dyDescent="0.2">
      <c r="A176" s="20" t="s">
        <v>198</v>
      </c>
      <c r="B176" s="20" t="s">
        <v>334</v>
      </c>
      <c r="C176" s="20" t="s">
        <v>30</v>
      </c>
      <c r="D176" s="20" t="s">
        <v>25</v>
      </c>
      <c r="E176" s="20" t="s">
        <v>742</v>
      </c>
      <c r="F176" s="20" t="s">
        <v>25</v>
      </c>
      <c r="G176" s="20">
        <v>2</v>
      </c>
      <c r="H176" s="20">
        <v>3</v>
      </c>
      <c r="I176" s="13">
        <v>0.6</v>
      </c>
      <c r="J176" s="20" t="s">
        <v>249</v>
      </c>
      <c r="L176" s="20" t="s">
        <v>248</v>
      </c>
      <c r="M176" s="20" t="s">
        <v>450</v>
      </c>
      <c r="N176" s="20" t="s">
        <v>25</v>
      </c>
      <c r="O176" s="20">
        <v>2</v>
      </c>
      <c r="P176" s="20">
        <v>3</v>
      </c>
      <c r="Q176" s="13">
        <v>0.60366287032278598</v>
      </c>
      <c r="R176" s="20" t="s">
        <v>249</v>
      </c>
      <c r="S176" s="20">
        <v>0.71650788369304785</v>
      </c>
      <c r="T176" s="20" t="s">
        <v>248</v>
      </c>
      <c r="U176" s="20" t="s">
        <v>25</v>
      </c>
      <c r="V176" s="20">
        <v>2</v>
      </c>
      <c r="W176" s="20">
        <v>6</v>
      </c>
      <c r="X176" s="20" t="s">
        <v>490</v>
      </c>
      <c r="Y176" s="20" t="s">
        <v>292</v>
      </c>
      <c r="Z176" s="20" t="s">
        <v>60</v>
      </c>
      <c r="AA176" s="20" t="s">
        <v>491</v>
      </c>
    </row>
    <row r="177" spans="1:27" x14ac:dyDescent="0.2">
      <c r="A177" s="20" t="s">
        <v>198</v>
      </c>
      <c r="B177" s="20" t="s">
        <v>328</v>
      </c>
      <c r="C177" s="20" t="s">
        <v>23</v>
      </c>
      <c r="D177" s="20" t="s">
        <v>21</v>
      </c>
      <c r="E177" s="20" t="s">
        <v>527</v>
      </c>
      <c r="F177" s="20" t="s">
        <v>21</v>
      </c>
      <c r="G177" s="20">
        <v>2</v>
      </c>
      <c r="H177" s="20">
        <v>3</v>
      </c>
      <c r="I177" s="13">
        <v>0.6</v>
      </c>
      <c r="J177" s="20" t="s">
        <v>249</v>
      </c>
      <c r="L177" s="20" t="s">
        <v>248</v>
      </c>
      <c r="M177" s="20" t="s">
        <v>465</v>
      </c>
      <c r="N177" s="20" t="s">
        <v>21</v>
      </c>
      <c r="O177" s="20">
        <v>2</v>
      </c>
      <c r="P177" s="20">
        <v>3</v>
      </c>
      <c r="Q177" s="13">
        <v>0.61865976048220439</v>
      </c>
      <c r="R177" s="20" t="s">
        <v>249</v>
      </c>
      <c r="S177" s="20">
        <v>0.30624142421602052</v>
      </c>
      <c r="T177" s="20" t="s">
        <v>248</v>
      </c>
      <c r="U177" s="20" t="s">
        <v>21</v>
      </c>
      <c r="V177" s="20">
        <v>3</v>
      </c>
      <c r="W177" s="20">
        <v>4</v>
      </c>
      <c r="X177" s="20" t="s">
        <v>496</v>
      </c>
      <c r="Y177" s="20" t="s">
        <v>292</v>
      </c>
      <c r="Z177" s="20" t="s">
        <v>60</v>
      </c>
      <c r="AA177" s="20" t="s">
        <v>491</v>
      </c>
    </row>
    <row r="178" spans="1:27" x14ac:dyDescent="0.2">
      <c r="A178" s="20" t="s">
        <v>198</v>
      </c>
      <c r="B178" s="20" t="s">
        <v>340</v>
      </c>
      <c r="C178" s="20" t="s">
        <v>26</v>
      </c>
      <c r="D178" s="20" t="s">
        <v>13</v>
      </c>
      <c r="E178" s="20" t="s">
        <v>743</v>
      </c>
      <c r="F178" s="20" t="s">
        <v>13</v>
      </c>
      <c r="G178" s="20">
        <v>2</v>
      </c>
      <c r="H178" s="20">
        <v>3</v>
      </c>
      <c r="I178" s="13">
        <v>0.6</v>
      </c>
      <c r="J178" s="20" t="s">
        <v>249</v>
      </c>
      <c r="L178" s="20" t="s">
        <v>249</v>
      </c>
      <c r="M178" s="20" t="s">
        <v>744</v>
      </c>
      <c r="N178" s="20" t="s">
        <v>13</v>
      </c>
      <c r="O178" s="20">
        <v>2</v>
      </c>
      <c r="P178" s="20">
        <v>3</v>
      </c>
      <c r="Q178" s="13">
        <v>0.6085358593715775</v>
      </c>
      <c r="R178" s="20" t="s">
        <v>249</v>
      </c>
      <c r="S178" s="20">
        <v>0.58695671527825821</v>
      </c>
      <c r="T178" s="20" t="s">
        <v>249</v>
      </c>
      <c r="U178" s="20" t="s">
        <v>26</v>
      </c>
      <c r="V178" s="20">
        <v>4</v>
      </c>
      <c r="W178" s="20">
        <v>3</v>
      </c>
      <c r="X178" s="20" t="s">
        <v>496</v>
      </c>
      <c r="Y178" s="20" t="s">
        <v>292</v>
      </c>
      <c r="Z178" s="20" t="s">
        <v>60</v>
      </c>
      <c r="AA178" s="20" t="s">
        <v>491</v>
      </c>
    </row>
    <row r="179" spans="1:27" x14ac:dyDescent="0.2">
      <c r="A179" s="20" t="s">
        <v>199</v>
      </c>
      <c r="B179" s="20" t="s">
        <v>322</v>
      </c>
      <c r="C179" s="20" t="s">
        <v>26</v>
      </c>
      <c r="D179" s="20" t="s">
        <v>31</v>
      </c>
      <c r="E179" s="20" t="s">
        <v>745</v>
      </c>
      <c r="F179" s="20" t="s">
        <v>31</v>
      </c>
      <c r="G179" s="20">
        <v>2</v>
      </c>
      <c r="H179" s="20">
        <v>3</v>
      </c>
      <c r="I179" s="13">
        <v>0.6</v>
      </c>
      <c r="J179" s="20" t="s">
        <v>249</v>
      </c>
      <c r="L179" s="20" t="s">
        <v>248</v>
      </c>
      <c r="M179" s="20" t="s">
        <v>291</v>
      </c>
      <c r="N179" s="20" t="s">
        <v>31</v>
      </c>
      <c r="O179" s="20">
        <v>2</v>
      </c>
      <c r="P179" s="20">
        <v>3</v>
      </c>
      <c r="Q179" s="13">
        <v>0.7487363882386241</v>
      </c>
      <c r="R179" s="20" t="s">
        <v>249</v>
      </c>
      <c r="S179" s="20">
        <v>1.1039433357947379</v>
      </c>
      <c r="T179" s="20" t="s">
        <v>248</v>
      </c>
      <c r="U179" s="20" t="s">
        <v>31</v>
      </c>
      <c r="V179" s="20">
        <v>2</v>
      </c>
      <c r="W179" s="20">
        <v>5</v>
      </c>
      <c r="X179" s="20" t="s">
        <v>490</v>
      </c>
      <c r="Y179" s="20" t="s">
        <v>292</v>
      </c>
      <c r="Z179" s="20" t="s">
        <v>60</v>
      </c>
      <c r="AA179" s="20" t="s">
        <v>491</v>
      </c>
    </row>
    <row r="180" spans="1:27" x14ac:dyDescent="0.2">
      <c r="A180" s="20" t="s">
        <v>199</v>
      </c>
      <c r="B180" s="20" t="s">
        <v>369</v>
      </c>
      <c r="C180" s="20" t="s">
        <v>12</v>
      </c>
      <c r="D180" s="20" t="s">
        <v>20</v>
      </c>
      <c r="E180" s="20" t="s">
        <v>746</v>
      </c>
      <c r="F180" s="20" t="s">
        <v>12</v>
      </c>
      <c r="G180" s="20">
        <v>2</v>
      </c>
      <c r="H180" s="20">
        <v>3</v>
      </c>
      <c r="I180" s="13">
        <v>0.6</v>
      </c>
      <c r="J180" s="20" t="s">
        <v>249</v>
      </c>
      <c r="L180" s="20" t="s">
        <v>248</v>
      </c>
      <c r="M180" s="20" t="s">
        <v>361</v>
      </c>
      <c r="N180" s="20" t="s">
        <v>12</v>
      </c>
      <c r="O180" s="20">
        <v>2</v>
      </c>
      <c r="P180" s="20">
        <v>3</v>
      </c>
      <c r="Q180" s="13">
        <v>0.74588743211805819</v>
      </c>
      <c r="R180" s="20" t="s">
        <v>249</v>
      </c>
      <c r="S180" s="20">
        <v>-1.82644373982445</v>
      </c>
      <c r="T180" s="20" t="s">
        <v>248</v>
      </c>
      <c r="U180" s="20" t="s">
        <v>12</v>
      </c>
      <c r="V180" s="20">
        <v>4</v>
      </c>
      <c r="W180" s="20">
        <v>2</v>
      </c>
      <c r="X180" s="20" t="s">
        <v>490</v>
      </c>
      <c r="Y180" s="20" t="s">
        <v>292</v>
      </c>
      <c r="Z180" s="20" t="s">
        <v>60</v>
      </c>
      <c r="AA180" s="20" t="s">
        <v>491</v>
      </c>
    </row>
    <row r="181" spans="1:27" x14ac:dyDescent="0.2">
      <c r="A181" s="20" t="s">
        <v>199</v>
      </c>
      <c r="B181" s="20" t="s">
        <v>328</v>
      </c>
      <c r="C181" s="20" t="s">
        <v>30</v>
      </c>
      <c r="D181" s="20" t="s">
        <v>22</v>
      </c>
      <c r="E181" s="20" t="s">
        <v>747</v>
      </c>
      <c r="F181" s="20" t="s">
        <v>22</v>
      </c>
      <c r="G181" s="20">
        <v>2</v>
      </c>
      <c r="H181" s="20">
        <v>3</v>
      </c>
      <c r="I181" s="13">
        <v>0.6</v>
      </c>
      <c r="J181" s="20" t="s">
        <v>249</v>
      </c>
      <c r="L181" s="20" t="s">
        <v>249</v>
      </c>
      <c r="M181" s="20" t="s">
        <v>748</v>
      </c>
      <c r="N181" s="20" t="s">
        <v>22</v>
      </c>
      <c r="O181" s="20">
        <v>2</v>
      </c>
      <c r="P181" s="20">
        <v>3</v>
      </c>
      <c r="Q181" s="13">
        <v>0.57908897540919857</v>
      </c>
      <c r="R181" s="20" t="s">
        <v>249</v>
      </c>
      <c r="S181" s="20">
        <v>0.73153997921825198</v>
      </c>
      <c r="T181" s="20" t="s">
        <v>249</v>
      </c>
      <c r="U181" s="20" t="s">
        <v>30</v>
      </c>
      <c r="V181" s="20">
        <v>3</v>
      </c>
      <c r="W181" s="20">
        <v>1</v>
      </c>
      <c r="X181" s="20" t="s">
        <v>490</v>
      </c>
      <c r="Y181" s="20" t="s">
        <v>292</v>
      </c>
      <c r="Z181" s="20" t="s">
        <v>60</v>
      </c>
      <c r="AA181" s="20" t="s">
        <v>491</v>
      </c>
    </row>
    <row r="182" spans="1:27" x14ac:dyDescent="0.2">
      <c r="A182" s="20" t="s">
        <v>200</v>
      </c>
      <c r="B182" s="20" t="s">
        <v>347</v>
      </c>
      <c r="C182" s="20" t="s">
        <v>25</v>
      </c>
      <c r="D182" s="20" t="s">
        <v>21</v>
      </c>
      <c r="E182" s="20" t="s">
        <v>294</v>
      </c>
      <c r="F182" s="20" t="s">
        <v>25</v>
      </c>
      <c r="G182" s="20">
        <v>2</v>
      </c>
      <c r="H182" s="20">
        <v>3</v>
      </c>
      <c r="I182" s="13">
        <v>0.6</v>
      </c>
      <c r="J182" s="20" t="s">
        <v>249</v>
      </c>
      <c r="L182" s="20" t="s">
        <v>249</v>
      </c>
      <c r="M182" s="20" t="s">
        <v>749</v>
      </c>
      <c r="N182" s="20" t="s">
        <v>25</v>
      </c>
      <c r="O182" s="20">
        <v>2</v>
      </c>
      <c r="P182" s="20">
        <v>3</v>
      </c>
      <c r="Q182" s="13">
        <v>0.55862153841523121</v>
      </c>
      <c r="R182" s="20" t="s">
        <v>249</v>
      </c>
      <c r="S182" s="20">
        <v>-0.59554414885312179</v>
      </c>
      <c r="T182" s="20" t="s">
        <v>249</v>
      </c>
      <c r="U182" s="20" t="s">
        <v>21</v>
      </c>
      <c r="V182" s="20">
        <v>1</v>
      </c>
      <c r="W182" s="20">
        <v>2</v>
      </c>
      <c r="X182" s="20" t="s">
        <v>490</v>
      </c>
      <c r="Y182" s="20" t="s">
        <v>292</v>
      </c>
      <c r="Z182" s="20" t="s">
        <v>60</v>
      </c>
      <c r="AA182" s="20" t="s">
        <v>491</v>
      </c>
    </row>
    <row r="183" spans="1:27" x14ac:dyDescent="0.2">
      <c r="A183" s="20" t="s">
        <v>200</v>
      </c>
      <c r="B183" s="20" t="s">
        <v>328</v>
      </c>
      <c r="C183" s="20" t="s">
        <v>35</v>
      </c>
      <c r="D183" s="20" t="s">
        <v>28</v>
      </c>
      <c r="E183" s="20" t="s">
        <v>750</v>
      </c>
      <c r="F183" s="20" t="s">
        <v>28</v>
      </c>
      <c r="G183" s="20">
        <v>2</v>
      </c>
      <c r="H183" s="20">
        <v>3</v>
      </c>
      <c r="I183" s="13">
        <v>0.6</v>
      </c>
      <c r="J183" s="20" t="s">
        <v>249</v>
      </c>
      <c r="L183" s="20" t="s">
        <v>248</v>
      </c>
      <c r="M183" s="20" t="s">
        <v>730</v>
      </c>
      <c r="N183" s="20" t="s">
        <v>28</v>
      </c>
      <c r="O183" s="20">
        <v>2</v>
      </c>
      <c r="P183" s="20">
        <v>3</v>
      </c>
      <c r="Q183" s="13">
        <v>0.63917878550125307</v>
      </c>
      <c r="R183" s="20" t="s">
        <v>249</v>
      </c>
      <c r="S183" s="20">
        <v>0.84938971652034467</v>
      </c>
      <c r="T183" s="20" t="s">
        <v>248</v>
      </c>
      <c r="U183" s="20" t="s">
        <v>28</v>
      </c>
      <c r="V183" s="20">
        <v>2</v>
      </c>
      <c r="W183" s="20">
        <v>3</v>
      </c>
      <c r="X183" s="20" t="s">
        <v>490</v>
      </c>
      <c r="Y183" s="20" t="s">
        <v>292</v>
      </c>
      <c r="Z183" s="20" t="s">
        <v>60</v>
      </c>
      <c r="AA183" s="20" t="s">
        <v>491</v>
      </c>
    </row>
    <row r="184" spans="1:27" x14ac:dyDescent="0.2">
      <c r="A184" s="20" t="s">
        <v>200</v>
      </c>
      <c r="B184" s="20" t="s">
        <v>322</v>
      </c>
      <c r="C184" s="20" t="s">
        <v>10</v>
      </c>
      <c r="D184" s="20" t="s">
        <v>17</v>
      </c>
      <c r="E184" s="20" t="s">
        <v>751</v>
      </c>
      <c r="F184" s="20" t="s">
        <v>10</v>
      </c>
      <c r="G184" s="20">
        <v>2</v>
      </c>
      <c r="H184" s="20">
        <v>3</v>
      </c>
      <c r="I184" s="13">
        <v>0.6</v>
      </c>
      <c r="J184" s="20" t="s">
        <v>249</v>
      </c>
      <c r="L184" s="20" t="s">
        <v>249</v>
      </c>
      <c r="M184" s="20" t="s">
        <v>752</v>
      </c>
      <c r="N184" s="20" t="s">
        <v>10</v>
      </c>
      <c r="O184" s="20">
        <v>2</v>
      </c>
      <c r="P184" s="20">
        <v>3</v>
      </c>
      <c r="Q184" s="13">
        <v>0.52203787808599023</v>
      </c>
      <c r="R184" s="20" t="s">
        <v>249</v>
      </c>
      <c r="S184" s="20">
        <v>-0.59164966013004561</v>
      </c>
      <c r="T184" s="20" t="s">
        <v>249</v>
      </c>
      <c r="U184" s="20" t="s">
        <v>17</v>
      </c>
      <c r="V184" s="20">
        <v>2</v>
      </c>
      <c r="W184" s="20">
        <v>3</v>
      </c>
      <c r="X184" s="20" t="s">
        <v>496</v>
      </c>
      <c r="Y184" s="20" t="s">
        <v>292</v>
      </c>
      <c r="Z184" s="20" t="s">
        <v>60</v>
      </c>
      <c r="AA184" s="20" t="s">
        <v>491</v>
      </c>
    </row>
    <row r="185" spans="1:27" x14ac:dyDescent="0.2">
      <c r="A185" s="20" t="s">
        <v>200</v>
      </c>
      <c r="B185" s="20" t="s">
        <v>469</v>
      </c>
      <c r="C185" s="20" t="s">
        <v>39</v>
      </c>
      <c r="D185" s="20" t="s">
        <v>11</v>
      </c>
      <c r="E185" s="20" t="s">
        <v>753</v>
      </c>
      <c r="F185" s="20" t="s">
        <v>39</v>
      </c>
      <c r="G185" s="20">
        <v>2</v>
      </c>
      <c r="H185" s="20">
        <v>3</v>
      </c>
      <c r="I185" s="13">
        <v>0.6</v>
      </c>
      <c r="J185" s="20" t="s">
        <v>249</v>
      </c>
      <c r="L185" s="20" t="s">
        <v>249</v>
      </c>
      <c r="M185" s="20" t="s">
        <v>754</v>
      </c>
      <c r="N185" s="20" t="s">
        <v>39</v>
      </c>
      <c r="O185" s="20">
        <v>2</v>
      </c>
      <c r="P185" s="20">
        <v>3</v>
      </c>
      <c r="Q185" s="13">
        <v>0.6366443736340629</v>
      </c>
      <c r="R185" s="20" t="s">
        <v>249</v>
      </c>
      <c r="S185" s="20">
        <v>-0.76066004399606379</v>
      </c>
      <c r="T185" s="20" t="s">
        <v>249</v>
      </c>
      <c r="U185" s="20" t="s">
        <v>11</v>
      </c>
      <c r="V185" s="20">
        <v>3</v>
      </c>
      <c r="W185" s="20">
        <v>4</v>
      </c>
      <c r="X185" s="20" t="s">
        <v>496</v>
      </c>
      <c r="Y185" s="20" t="s">
        <v>292</v>
      </c>
      <c r="Z185" s="20" t="s">
        <v>60</v>
      </c>
      <c r="AA185" s="20" t="s">
        <v>491</v>
      </c>
    </row>
    <row r="186" spans="1:27" x14ac:dyDescent="0.2">
      <c r="A186" s="20" t="s">
        <v>200</v>
      </c>
      <c r="B186" s="20" t="s">
        <v>326</v>
      </c>
      <c r="C186" s="20" t="s">
        <v>24</v>
      </c>
      <c r="D186" s="20" t="s">
        <v>13</v>
      </c>
      <c r="E186" s="20" t="s">
        <v>755</v>
      </c>
      <c r="F186" s="20" t="s">
        <v>24</v>
      </c>
      <c r="G186" s="20">
        <v>2</v>
      </c>
      <c r="H186" s="20">
        <v>3</v>
      </c>
      <c r="I186" s="13">
        <v>0.6</v>
      </c>
      <c r="J186" s="20" t="s">
        <v>249</v>
      </c>
      <c r="L186" s="20" t="s">
        <v>248</v>
      </c>
      <c r="M186" s="20" t="s">
        <v>449</v>
      </c>
      <c r="N186" s="20" t="s">
        <v>24</v>
      </c>
      <c r="O186" s="20">
        <v>2</v>
      </c>
      <c r="P186" s="20">
        <v>3</v>
      </c>
      <c r="Q186" s="13">
        <v>0.51462086406676455</v>
      </c>
      <c r="R186" s="20" t="s">
        <v>249</v>
      </c>
      <c r="S186" s="20">
        <v>-0.28991310051865549</v>
      </c>
      <c r="T186" s="20" t="s">
        <v>248</v>
      </c>
      <c r="U186" s="20" t="s">
        <v>24</v>
      </c>
      <c r="V186" s="20">
        <v>4</v>
      </c>
      <c r="W186" s="20">
        <v>1</v>
      </c>
      <c r="X186" s="20" t="s">
        <v>490</v>
      </c>
      <c r="Y186" s="20" t="s">
        <v>292</v>
      </c>
      <c r="Z186" s="20" t="s">
        <v>60</v>
      </c>
      <c r="AA186" s="20" t="s">
        <v>491</v>
      </c>
    </row>
    <row r="187" spans="1:27" x14ac:dyDescent="0.2">
      <c r="A187" s="20" t="s">
        <v>200</v>
      </c>
      <c r="B187" s="20" t="s">
        <v>328</v>
      </c>
      <c r="C187" s="20" t="s">
        <v>38</v>
      </c>
      <c r="D187" s="20" t="s">
        <v>34</v>
      </c>
      <c r="E187" s="20" t="s">
        <v>756</v>
      </c>
      <c r="F187" s="20" t="s">
        <v>34</v>
      </c>
      <c r="G187" s="20">
        <v>2</v>
      </c>
      <c r="H187" s="20">
        <v>3</v>
      </c>
      <c r="I187" s="13">
        <v>0.6</v>
      </c>
      <c r="J187" s="20" t="s">
        <v>249</v>
      </c>
      <c r="L187" s="20" t="s">
        <v>248</v>
      </c>
      <c r="M187" s="20" t="s">
        <v>343</v>
      </c>
      <c r="N187" s="20" t="s">
        <v>34</v>
      </c>
      <c r="O187" s="20">
        <v>2</v>
      </c>
      <c r="P187" s="20">
        <v>3</v>
      </c>
      <c r="Q187" s="13">
        <v>0.6464692220949555</v>
      </c>
      <c r="R187" s="20" t="s">
        <v>249</v>
      </c>
      <c r="S187" s="20">
        <v>0.94245371658448773</v>
      </c>
      <c r="T187" s="20" t="s">
        <v>248</v>
      </c>
      <c r="U187" s="20" t="s">
        <v>34</v>
      </c>
      <c r="V187" s="20">
        <v>2</v>
      </c>
      <c r="W187" s="20">
        <v>5</v>
      </c>
      <c r="X187" s="20" t="s">
        <v>490</v>
      </c>
      <c r="Y187" s="20" t="s">
        <v>292</v>
      </c>
      <c r="Z187" s="20" t="s">
        <v>60</v>
      </c>
      <c r="AA187" s="20" t="s">
        <v>491</v>
      </c>
    </row>
    <row r="188" spans="1:27" x14ac:dyDescent="0.2">
      <c r="A188" s="20" t="s">
        <v>200</v>
      </c>
      <c r="B188" s="20" t="s">
        <v>328</v>
      </c>
      <c r="C188" s="20" t="s">
        <v>36</v>
      </c>
      <c r="D188" s="20" t="s">
        <v>18</v>
      </c>
      <c r="E188" s="20" t="s">
        <v>483</v>
      </c>
      <c r="F188" s="20" t="s">
        <v>36</v>
      </c>
      <c r="G188" s="20">
        <v>2</v>
      </c>
      <c r="H188" s="20">
        <v>3</v>
      </c>
      <c r="I188" s="13">
        <v>0.6</v>
      </c>
      <c r="J188" s="20" t="s">
        <v>249</v>
      </c>
      <c r="L188" s="20" t="s">
        <v>249</v>
      </c>
      <c r="M188" s="20" t="s">
        <v>757</v>
      </c>
      <c r="N188" s="20" t="s">
        <v>36</v>
      </c>
      <c r="O188" s="20">
        <v>2</v>
      </c>
      <c r="P188" s="20">
        <v>3</v>
      </c>
      <c r="Q188" s="13">
        <v>0.46135596911883597</v>
      </c>
      <c r="R188" s="20" t="s">
        <v>249</v>
      </c>
      <c r="S188" s="20">
        <v>-1.1612828485824119E-2</v>
      </c>
      <c r="T188" s="20" t="s">
        <v>249</v>
      </c>
      <c r="U188" s="20" t="s">
        <v>18</v>
      </c>
      <c r="V188" s="20">
        <v>3</v>
      </c>
      <c r="W188" s="20">
        <v>4</v>
      </c>
      <c r="X188" s="20" t="s">
        <v>496</v>
      </c>
      <c r="Y188" s="20" t="s">
        <v>292</v>
      </c>
      <c r="Z188" s="20" t="s">
        <v>60</v>
      </c>
      <c r="AA188" s="20" t="s">
        <v>491</v>
      </c>
    </row>
    <row r="189" spans="1:27" x14ac:dyDescent="0.2">
      <c r="A189" s="20" t="s">
        <v>200</v>
      </c>
      <c r="B189" s="20" t="s">
        <v>352</v>
      </c>
      <c r="C189" s="20" t="s">
        <v>16</v>
      </c>
      <c r="D189" s="20" t="s">
        <v>29</v>
      </c>
      <c r="E189" s="20" t="s">
        <v>484</v>
      </c>
      <c r="F189" s="20" t="s">
        <v>16</v>
      </c>
      <c r="G189" s="20">
        <v>2</v>
      </c>
      <c r="H189" s="20">
        <v>3</v>
      </c>
      <c r="I189" s="13">
        <v>0.6</v>
      </c>
      <c r="J189" s="20" t="s">
        <v>249</v>
      </c>
      <c r="L189" s="20" t="s">
        <v>249</v>
      </c>
      <c r="M189" s="20" t="s">
        <v>758</v>
      </c>
      <c r="N189" s="20" t="s">
        <v>16</v>
      </c>
      <c r="O189" s="20">
        <v>2</v>
      </c>
      <c r="P189" s="20">
        <v>3</v>
      </c>
      <c r="Q189" s="13">
        <v>0.49143718974836059</v>
      </c>
      <c r="R189" s="20" t="s">
        <v>249</v>
      </c>
      <c r="S189" s="20">
        <v>-0.2692352558422777</v>
      </c>
      <c r="T189" s="20" t="s">
        <v>249</v>
      </c>
      <c r="U189" s="20" t="s">
        <v>29</v>
      </c>
      <c r="V189" s="20">
        <v>2</v>
      </c>
      <c r="W189" s="20">
        <v>4</v>
      </c>
      <c r="X189" s="20" t="s">
        <v>490</v>
      </c>
      <c r="Y189" s="20" t="s">
        <v>292</v>
      </c>
      <c r="Z189" s="20" t="s">
        <v>60</v>
      </c>
      <c r="AA189" s="20" t="s">
        <v>491</v>
      </c>
    </row>
    <row r="190" spans="1:27" x14ac:dyDescent="0.2">
      <c r="A190" s="20" t="s">
        <v>200</v>
      </c>
      <c r="B190" s="20" t="s">
        <v>328</v>
      </c>
      <c r="C190" s="20" t="s">
        <v>19</v>
      </c>
      <c r="D190" s="20" t="s">
        <v>27</v>
      </c>
      <c r="E190" s="20" t="s">
        <v>759</v>
      </c>
      <c r="F190" s="20" t="s">
        <v>27</v>
      </c>
      <c r="G190" s="20">
        <v>2</v>
      </c>
      <c r="H190" s="20">
        <v>3</v>
      </c>
      <c r="I190" s="13">
        <v>0.6</v>
      </c>
      <c r="J190" s="20" t="s">
        <v>249</v>
      </c>
      <c r="L190" s="20" t="s">
        <v>249</v>
      </c>
      <c r="M190" s="20" t="s">
        <v>760</v>
      </c>
      <c r="N190" s="20" t="s">
        <v>27</v>
      </c>
      <c r="O190" s="20">
        <v>2</v>
      </c>
      <c r="P190" s="20">
        <v>3</v>
      </c>
      <c r="Q190" s="13">
        <v>0.5895294258799636</v>
      </c>
      <c r="R190" s="20" t="s">
        <v>249</v>
      </c>
      <c r="S190" s="20">
        <v>0.30413975673582699</v>
      </c>
      <c r="T190" s="20" t="s">
        <v>249</v>
      </c>
      <c r="U190" s="20" t="s">
        <v>19</v>
      </c>
      <c r="V190" s="20">
        <v>5</v>
      </c>
      <c r="W190" s="20">
        <v>2</v>
      </c>
      <c r="X190" s="20" t="s">
        <v>490</v>
      </c>
      <c r="Y190" s="20" t="s">
        <v>292</v>
      </c>
      <c r="Z190" s="20" t="s">
        <v>60</v>
      </c>
      <c r="AA190" s="20" t="s">
        <v>491</v>
      </c>
    </row>
    <row r="191" spans="1:27" x14ac:dyDescent="0.2">
      <c r="A191" s="20" t="s">
        <v>200</v>
      </c>
      <c r="B191" s="20" t="s">
        <v>322</v>
      </c>
      <c r="C191" s="20" t="s">
        <v>15</v>
      </c>
      <c r="D191" s="20" t="s">
        <v>32</v>
      </c>
      <c r="E191" s="20" t="s">
        <v>761</v>
      </c>
      <c r="F191" s="20" t="s">
        <v>15</v>
      </c>
      <c r="G191" s="20">
        <v>2</v>
      </c>
      <c r="H191" s="20">
        <v>3</v>
      </c>
      <c r="I191" s="13">
        <v>0.6</v>
      </c>
      <c r="J191" s="20" t="s">
        <v>249</v>
      </c>
      <c r="L191" s="20" t="s">
        <v>248</v>
      </c>
      <c r="M191" s="20" t="s">
        <v>518</v>
      </c>
      <c r="N191" s="20" t="s">
        <v>15</v>
      </c>
      <c r="O191" s="20">
        <v>2</v>
      </c>
      <c r="P191" s="20">
        <v>3</v>
      </c>
      <c r="Q191" s="13">
        <v>0.59621344553392286</v>
      </c>
      <c r="R191" s="20" t="s">
        <v>249</v>
      </c>
      <c r="S191" s="20">
        <v>-0.30944250187098488</v>
      </c>
      <c r="T191" s="20" t="s">
        <v>248</v>
      </c>
      <c r="U191" s="20" t="s">
        <v>15</v>
      </c>
      <c r="V191" s="20">
        <v>3</v>
      </c>
      <c r="W191" s="20">
        <v>2</v>
      </c>
      <c r="X191" s="20" t="s">
        <v>496</v>
      </c>
      <c r="Y191" s="20" t="s">
        <v>292</v>
      </c>
      <c r="Z191" s="20" t="s">
        <v>60</v>
      </c>
      <c r="AA191" s="20" t="s">
        <v>491</v>
      </c>
    </row>
    <row r="192" spans="1:27" x14ac:dyDescent="0.2">
      <c r="A192" s="20" t="s">
        <v>200</v>
      </c>
      <c r="B192" s="20" t="s">
        <v>369</v>
      </c>
      <c r="C192" s="20" t="s">
        <v>12</v>
      </c>
      <c r="D192" s="20" t="s">
        <v>33</v>
      </c>
      <c r="E192" s="20" t="s">
        <v>762</v>
      </c>
      <c r="F192" s="20" t="s">
        <v>12</v>
      </c>
      <c r="G192" s="20">
        <v>2</v>
      </c>
      <c r="H192" s="20">
        <v>3</v>
      </c>
      <c r="I192" s="13">
        <v>0.6</v>
      </c>
      <c r="J192" s="20" t="s">
        <v>249</v>
      </c>
      <c r="L192" s="20" t="s">
        <v>249</v>
      </c>
      <c r="M192" s="20" t="s">
        <v>763</v>
      </c>
      <c r="N192" s="20" t="s">
        <v>12</v>
      </c>
      <c r="O192" s="20">
        <v>2</v>
      </c>
      <c r="P192" s="20">
        <v>3</v>
      </c>
      <c r="Q192" s="13">
        <v>0.75987072250359355</v>
      </c>
      <c r="R192" s="20" t="s">
        <v>249</v>
      </c>
      <c r="S192" s="20">
        <v>-2.0333339018860568</v>
      </c>
      <c r="T192" s="20" t="s">
        <v>249</v>
      </c>
      <c r="U192" s="20" t="s">
        <v>33</v>
      </c>
      <c r="V192" s="20">
        <v>2</v>
      </c>
      <c r="W192" s="20">
        <v>3</v>
      </c>
      <c r="X192" s="20" t="s">
        <v>496</v>
      </c>
      <c r="Y192" s="20" t="s">
        <v>292</v>
      </c>
      <c r="Z192" s="20" t="s">
        <v>60</v>
      </c>
      <c r="AA192" s="20" t="s">
        <v>491</v>
      </c>
    </row>
    <row r="193" spans="1:27" x14ac:dyDescent="0.2">
      <c r="A193" s="20" t="s">
        <v>200</v>
      </c>
      <c r="B193" s="20" t="s">
        <v>453</v>
      </c>
      <c r="C193" s="20" t="s">
        <v>14</v>
      </c>
      <c r="D193" s="20" t="s">
        <v>40</v>
      </c>
      <c r="E193" s="20" t="s">
        <v>764</v>
      </c>
      <c r="F193" s="20" t="s">
        <v>14</v>
      </c>
      <c r="G193" s="20">
        <v>2</v>
      </c>
      <c r="H193" s="20">
        <v>3</v>
      </c>
      <c r="I193" s="13">
        <v>0.6</v>
      </c>
      <c r="J193" s="20" t="s">
        <v>249</v>
      </c>
      <c r="L193" s="20" t="s">
        <v>249</v>
      </c>
      <c r="M193" s="20" t="s">
        <v>765</v>
      </c>
      <c r="N193" s="20" t="s">
        <v>14</v>
      </c>
      <c r="O193" s="20">
        <v>2</v>
      </c>
      <c r="P193" s="20">
        <v>3</v>
      </c>
      <c r="Q193" s="13">
        <v>0.51091170313729506</v>
      </c>
      <c r="R193" s="20" t="s">
        <v>249</v>
      </c>
      <c r="S193" s="20">
        <v>-0.1210768532941391</v>
      </c>
      <c r="T193" s="20" t="s">
        <v>249</v>
      </c>
      <c r="U193" s="20" t="s">
        <v>40</v>
      </c>
      <c r="V193" s="20">
        <v>2</v>
      </c>
      <c r="W193" s="20">
        <v>5</v>
      </c>
      <c r="X193" s="20" t="s">
        <v>490</v>
      </c>
      <c r="Y193" s="20" t="s">
        <v>292</v>
      </c>
      <c r="Z193" s="20" t="s">
        <v>60</v>
      </c>
      <c r="AA193" s="20" t="s">
        <v>491</v>
      </c>
    </row>
    <row r="194" spans="1:27" x14ac:dyDescent="0.2">
      <c r="A194" s="20" t="s">
        <v>200</v>
      </c>
      <c r="B194" s="20" t="s">
        <v>328</v>
      </c>
      <c r="C194" s="20" t="s">
        <v>22</v>
      </c>
      <c r="D194" s="20" t="s">
        <v>23</v>
      </c>
      <c r="E194" s="20" t="s">
        <v>766</v>
      </c>
      <c r="F194" s="20" t="s">
        <v>22</v>
      </c>
      <c r="G194" s="20">
        <v>2</v>
      </c>
      <c r="H194" s="20">
        <v>3</v>
      </c>
      <c r="I194" s="13">
        <v>0.6</v>
      </c>
      <c r="J194" s="20" t="s">
        <v>249</v>
      </c>
      <c r="L194" s="20" t="s">
        <v>249</v>
      </c>
      <c r="M194" s="20" t="s">
        <v>767</v>
      </c>
      <c r="N194" s="20" t="s">
        <v>22</v>
      </c>
      <c r="O194" s="20">
        <v>2</v>
      </c>
      <c r="P194" s="20">
        <v>3</v>
      </c>
      <c r="Q194" s="13">
        <v>0.59353303745986197</v>
      </c>
      <c r="R194" s="20" t="s">
        <v>249</v>
      </c>
      <c r="S194" s="20">
        <v>-0.86691691967118412</v>
      </c>
      <c r="T194" s="20" t="s">
        <v>249</v>
      </c>
      <c r="U194" s="20" t="s">
        <v>23</v>
      </c>
      <c r="V194" s="20">
        <v>3</v>
      </c>
      <c r="W194" s="20">
        <v>4</v>
      </c>
      <c r="X194" s="20" t="s">
        <v>496</v>
      </c>
      <c r="Y194" s="20" t="s">
        <v>292</v>
      </c>
      <c r="Z194" s="20" t="s">
        <v>60</v>
      </c>
      <c r="AA194" s="20" t="s">
        <v>491</v>
      </c>
    </row>
    <row r="195" spans="1:27" x14ac:dyDescent="0.2">
      <c r="A195" s="20" t="s">
        <v>201</v>
      </c>
      <c r="B195" s="20" t="s">
        <v>352</v>
      </c>
      <c r="C195" s="20" t="s">
        <v>37</v>
      </c>
      <c r="D195" s="20" t="s">
        <v>55</v>
      </c>
      <c r="E195" s="20" t="s">
        <v>768</v>
      </c>
      <c r="F195" s="20" t="s">
        <v>37</v>
      </c>
      <c r="G195" s="20">
        <v>2</v>
      </c>
      <c r="H195" s="20">
        <v>3</v>
      </c>
      <c r="I195" s="13">
        <v>0.6</v>
      </c>
      <c r="J195" s="20" t="s">
        <v>249</v>
      </c>
      <c r="L195" s="20" t="s">
        <v>248</v>
      </c>
      <c r="M195" s="20" t="s">
        <v>395</v>
      </c>
      <c r="N195" s="20" t="s">
        <v>37</v>
      </c>
      <c r="O195" s="20">
        <v>2</v>
      </c>
      <c r="P195" s="20">
        <v>3</v>
      </c>
      <c r="Q195" s="13">
        <v>0.61248083877374404</v>
      </c>
      <c r="R195" s="20" t="s">
        <v>249</v>
      </c>
      <c r="S195" s="20">
        <v>-0.8637274868446243</v>
      </c>
      <c r="T195" s="20" t="s">
        <v>248</v>
      </c>
      <c r="U195" s="20" t="s">
        <v>37</v>
      </c>
      <c r="V195" s="20">
        <v>4</v>
      </c>
      <c r="W195" s="20">
        <v>2</v>
      </c>
      <c r="X195" s="20" t="s">
        <v>490</v>
      </c>
      <c r="Y195" s="20" t="s">
        <v>292</v>
      </c>
      <c r="Z195" s="20" t="s">
        <v>60</v>
      </c>
      <c r="AA195" s="20" t="s">
        <v>491</v>
      </c>
    </row>
    <row r="196" spans="1:27" x14ac:dyDescent="0.2">
      <c r="A196" s="20" t="s">
        <v>201</v>
      </c>
      <c r="B196" s="20" t="s">
        <v>324</v>
      </c>
      <c r="C196" s="20" t="s">
        <v>26</v>
      </c>
      <c r="D196" s="20" t="s">
        <v>33</v>
      </c>
      <c r="E196" s="20" t="s">
        <v>769</v>
      </c>
      <c r="F196" s="20" t="s">
        <v>33</v>
      </c>
      <c r="G196" s="20">
        <v>2</v>
      </c>
      <c r="H196" s="20">
        <v>3</v>
      </c>
      <c r="I196" s="13">
        <v>0.6</v>
      </c>
      <c r="J196" s="20" t="s">
        <v>249</v>
      </c>
      <c r="L196" s="20" t="s">
        <v>249</v>
      </c>
      <c r="M196" s="20" t="s">
        <v>770</v>
      </c>
      <c r="N196" s="20" t="s">
        <v>33</v>
      </c>
      <c r="O196" s="20">
        <v>2</v>
      </c>
      <c r="P196" s="20">
        <v>3</v>
      </c>
      <c r="Q196" s="13">
        <v>0.60545815708481687</v>
      </c>
      <c r="R196" s="20" t="s">
        <v>249</v>
      </c>
      <c r="S196" s="20">
        <v>0.47390932157322863</v>
      </c>
      <c r="T196" s="20" t="s">
        <v>249</v>
      </c>
      <c r="U196" s="20" t="s">
        <v>26</v>
      </c>
      <c r="V196" s="20">
        <v>3</v>
      </c>
      <c r="W196" s="20">
        <v>2</v>
      </c>
      <c r="X196" s="20" t="s">
        <v>496</v>
      </c>
      <c r="Y196" s="20" t="s">
        <v>292</v>
      </c>
      <c r="Z196" s="20" t="s">
        <v>60</v>
      </c>
      <c r="AA196" s="20" t="s">
        <v>491</v>
      </c>
    </row>
    <row r="197" spans="1:27" x14ac:dyDescent="0.2">
      <c r="A197" s="20" t="s">
        <v>201</v>
      </c>
      <c r="B197" s="20" t="s">
        <v>365</v>
      </c>
      <c r="C197" s="20" t="s">
        <v>28</v>
      </c>
      <c r="D197" s="20" t="s">
        <v>30</v>
      </c>
      <c r="E197" s="20" t="s">
        <v>771</v>
      </c>
      <c r="F197" s="20" t="s">
        <v>30</v>
      </c>
      <c r="G197" s="20">
        <v>2</v>
      </c>
      <c r="H197" s="20">
        <v>3</v>
      </c>
      <c r="I197" s="13">
        <v>0.6</v>
      </c>
      <c r="J197" s="20" t="s">
        <v>249</v>
      </c>
      <c r="L197" s="20" t="s">
        <v>248</v>
      </c>
      <c r="M197" s="20" t="s">
        <v>580</v>
      </c>
      <c r="N197" s="20" t="s">
        <v>30</v>
      </c>
      <c r="O197" s="20">
        <v>2</v>
      </c>
      <c r="P197" s="20">
        <v>3</v>
      </c>
      <c r="Q197" s="13">
        <v>0.5835919177498986</v>
      </c>
      <c r="R197" s="20" t="s">
        <v>249</v>
      </c>
      <c r="S197" s="20">
        <v>0.40395815583236999</v>
      </c>
      <c r="T197" s="20" t="s">
        <v>248</v>
      </c>
      <c r="U197" s="20" t="s">
        <v>30</v>
      </c>
      <c r="V197" s="20">
        <v>2</v>
      </c>
      <c r="W197" s="20">
        <v>3</v>
      </c>
      <c r="X197" s="20" t="s">
        <v>490</v>
      </c>
      <c r="Y197" s="20" t="s">
        <v>292</v>
      </c>
      <c r="Z197" s="20" t="s">
        <v>60</v>
      </c>
      <c r="AA197" s="20" t="s">
        <v>491</v>
      </c>
    </row>
    <row r="198" spans="1:27" x14ac:dyDescent="0.2">
      <c r="A198" s="20" t="s">
        <v>201</v>
      </c>
      <c r="B198" s="20" t="s">
        <v>324</v>
      </c>
      <c r="C198" s="20" t="s">
        <v>24</v>
      </c>
      <c r="D198" s="20" t="s">
        <v>31</v>
      </c>
      <c r="E198" s="20" t="s">
        <v>772</v>
      </c>
      <c r="F198" s="20" t="s">
        <v>31</v>
      </c>
      <c r="G198" s="20">
        <v>2</v>
      </c>
      <c r="H198" s="20">
        <v>3</v>
      </c>
      <c r="I198" s="13">
        <v>0.6</v>
      </c>
      <c r="J198" s="20" t="s">
        <v>249</v>
      </c>
      <c r="L198" s="20" t="s">
        <v>248</v>
      </c>
      <c r="M198" s="20" t="s">
        <v>291</v>
      </c>
      <c r="N198" s="20" t="s">
        <v>31</v>
      </c>
      <c r="O198" s="20">
        <v>2</v>
      </c>
      <c r="P198" s="20">
        <v>3</v>
      </c>
      <c r="Q198" s="13">
        <v>0.62651418482571097</v>
      </c>
      <c r="R198" s="20" t="s">
        <v>249</v>
      </c>
      <c r="S198" s="20">
        <v>0.22707351999782449</v>
      </c>
      <c r="T198" s="20" t="s">
        <v>248</v>
      </c>
      <c r="U198" s="20" t="s">
        <v>31</v>
      </c>
      <c r="V198" s="20">
        <v>1</v>
      </c>
      <c r="W198" s="20">
        <v>4</v>
      </c>
      <c r="X198" s="20" t="s">
        <v>490</v>
      </c>
      <c r="Y198" s="20" t="s">
        <v>292</v>
      </c>
      <c r="Z198" s="20" t="s">
        <v>60</v>
      </c>
      <c r="AA198" s="20" t="s">
        <v>491</v>
      </c>
    </row>
    <row r="199" spans="1:27" x14ac:dyDescent="0.2">
      <c r="A199" s="20" t="s">
        <v>201</v>
      </c>
      <c r="B199" s="20" t="s">
        <v>328</v>
      </c>
      <c r="C199" s="20" t="s">
        <v>16</v>
      </c>
      <c r="D199" s="20" t="s">
        <v>27</v>
      </c>
      <c r="E199" s="20" t="s">
        <v>773</v>
      </c>
      <c r="F199" s="20" t="s">
        <v>27</v>
      </c>
      <c r="G199" s="20">
        <v>2</v>
      </c>
      <c r="H199" s="20">
        <v>3</v>
      </c>
      <c r="I199" s="13">
        <v>0.6</v>
      </c>
      <c r="J199" s="20" t="s">
        <v>249</v>
      </c>
      <c r="L199" s="20" t="s">
        <v>249</v>
      </c>
      <c r="M199" s="20" t="s">
        <v>774</v>
      </c>
      <c r="N199" s="20" t="s">
        <v>27</v>
      </c>
      <c r="O199" s="20">
        <v>2</v>
      </c>
      <c r="P199" s="20">
        <v>3</v>
      </c>
      <c r="Q199" s="13">
        <v>0.63989038024528599</v>
      </c>
      <c r="R199" s="20" t="s">
        <v>249</v>
      </c>
      <c r="S199" s="20">
        <v>0.73544244446146734</v>
      </c>
      <c r="T199" s="20" t="s">
        <v>249</v>
      </c>
      <c r="U199" s="20" t="s">
        <v>16</v>
      </c>
      <c r="V199" s="20">
        <v>2</v>
      </c>
      <c r="W199" s="20">
        <v>1</v>
      </c>
      <c r="X199" s="20" t="s">
        <v>490</v>
      </c>
      <c r="Y199" s="20" t="s">
        <v>292</v>
      </c>
      <c r="Z199" s="20" t="s">
        <v>60</v>
      </c>
      <c r="AA199" s="20" t="s">
        <v>491</v>
      </c>
    </row>
    <row r="200" spans="1:27" x14ac:dyDescent="0.2">
      <c r="A200" s="20" t="s">
        <v>202</v>
      </c>
      <c r="B200" s="20" t="s">
        <v>416</v>
      </c>
      <c r="C200" s="20" t="s">
        <v>38</v>
      </c>
      <c r="D200" s="20" t="s">
        <v>29</v>
      </c>
      <c r="E200" s="20" t="s">
        <v>654</v>
      </c>
      <c r="F200" s="20" t="s">
        <v>38</v>
      </c>
      <c r="G200" s="20">
        <v>2</v>
      </c>
      <c r="H200" s="20">
        <v>3</v>
      </c>
      <c r="I200" s="13">
        <v>0.6</v>
      </c>
      <c r="J200" s="20" t="s">
        <v>249</v>
      </c>
      <c r="L200" s="20" t="s">
        <v>248</v>
      </c>
      <c r="M200" s="20" t="s">
        <v>505</v>
      </c>
      <c r="N200" s="20" t="s">
        <v>38</v>
      </c>
      <c r="O200" s="20">
        <v>2</v>
      </c>
      <c r="P200" s="20">
        <v>3</v>
      </c>
      <c r="Q200" s="13">
        <v>0.50880367819163874</v>
      </c>
      <c r="R200" s="20" t="s">
        <v>249</v>
      </c>
      <c r="S200" s="20">
        <v>-0.38733877977609438</v>
      </c>
      <c r="T200" s="20" t="s">
        <v>248</v>
      </c>
      <c r="U200" s="20" t="s">
        <v>38</v>
      </c>
      <c r="V200" s="20">
        <v>5</v>
      </c>
      <c r="W200" s="20">
        <v>4</v>
      </c>
      <c r="X200" s="20" t="s">
        <v>496</v>
      </c>
      <c r="Y200" s="20" t="s">
        <v>292</v>
      </c>
      <c r="Z200" s="20" t="s">
        <v>60</v>
      </c>
      <c r="AA200" s="20" t="s">
        <v>491</v>
      </c>
    </row>
    <row r="201" spans="1:27" x14ac:dyDescent="0.2">
      <c r="A201" s="20" t="s">
        <v>202</v>
      </c>
      <c r="B201" s="20" t="s">
        <v>322</v>
      </c>
      <c r="C201" s="20" t="s">
        <v>10</v>
      </c>
      <c r="D201" s="20" t="s">
        <v>32</v>
      </c>
      <c r="E201" s="20" t="s">
        <v>775</v>
      </c>
      <c r="F201" s="20" t="s">
        <v>10</v>
      </c>
      <c r="G201" s="20">
        <v>2</v>
      </c>
      <c r="H201" s="20">
        <v>3</v>
      </c>
      <c r="I201" s="13">
        <v>0.6</v>
      </c>
      <c r="J201" s="20" t="s">
        <v>249</v>
      </c>
      <c r="L201" s="20" t="s">
        <v>249</v>
      </c>
      <c r="M201" s="20" t="s">
        <v>389</v>
      </c>
      <c r="N201" s="20" t="s">
        <v>10</v>
      </c>
      <c r="O201" s="20">
        <v>2</v>
      </c>
      <c r="P201" s="20">
        <v>3</v>
      </c>
      <c r="Q201" s="13">
        <v>0.50942421415951489</v>
      </c>
      <c r="R201" s="20" t="s">
        <v>249</v>
      </c>
      <c r="S201" s="20">
        <v>-0.42328023117061392</v>
      </c>
      <c r="T201" s="20" t="s">
        <v>249</v>
      </c>
      <c r="U201" s="20" t="s">
        <v>32</v>
      </c>
      <c r="V201" s="20">
        <v>1</v>
      </c>
      <c r="W201" s="20">
        <v>3</v>
      </c>
      <c r="X201" s="20" t="s">
        <v>490</v>
      </c>
      <c r="Y201" s="20" t="s">
        <v>292</v>
      </c>
      <c r="Z201" s="20" t="s">
        <v>60</v>
      </c>
      <c r="AA201" s="20" t="s">
        <v>491</v>
      </c>
    </row>
    <row r="202" spans="1:27" x14ac:dyDescent="0.2">
      <c r="A202" s="20" t="s">
        <v>202</v>
      </c>
      <c r="B202" s="20" t="s">
        <v>416</v>
      </c>
      <c r="C202" s="20" t="s">
        <v>17</v>
      </c>
      <c r="D202" s="20" t="s">
        <v>35</v>
      </c>
      <c r="E202" s="20" t="s">
        <v>776</v>
      </c>
      <c r="F202" s="20" t="s">
        <v>17</v>
      </c>
      <c r="G202" s="20">
        <v>2</v>
      </c>
      <c r="H202" s="20">
        <v>3</v>
      </c>
      <c r="I202" s="13">
        <v>0.6</v>
      </c>
      <c r="J202" s="20" t="s">
        <v>249</v>
      </c>
      <c r="L202" s="20" t="s">
        <v>249</v>
      </c>
      <c r="M202" s="20" t="s">
        <v>777</v>
      </c>
      <c r="N202" s="20" t="s">
        <v>17</v>
      </c>
      <c r="O202" s="20">
        <v>2</v>
      </c>
      <c r="P202" s="20">
        <v>3</v>
      </c>
      <c r="Q202" s="13">
        <v>0.52151528990839591</v>
      </c>
      <c r="R202" s="20" t="s">
        <v>249</v>
      </c>
      <c r="S202" s="20">
        <v>-0.52683095878703834</v>
      </c>
      <c r="T202" s="20" t="s">
        <v>249</v>
      </c>
      <c r="U202" s="20" t="s">
        <v>35</v>
      </c>
      <c r="V202" s="20">
        <v>2</v>
      </c>
      <c r="W202" s="20">
        <v>3</v>
      </c>
      <c r="X202" s="20" t="s">
        <v>490</v>
      </c>
      <c r="Y202" s="20" t="s">
        <v>292</v>
      </c>
      <c r="Z202" s="20" t="s">
        <v>60</v>
      </c>
      <c r="AA202" s="20" t="s">
        <v>491</v>
      </c>
    </row>
    <row r="203" spans="1:27" x14ac:dyDescent="0.2">
      <c r="A203" s="20" t="s">
        <v>202</v>
      </c>
      <c r="B203" s="20" t="s">
        <v>334</v>
      </c>
      <c r="C203" s="20" t="s">
        <v>14</v>
      </c>
      <c r="D203" s="20" t="s">
        <v>19</v>
      </c>
      <c r="E203" s="20" t="s">
        <v>778</v>
      </c>
      <c r="F203" s="20" t="s">
        <v>14</v>
      </c>
      <c r="G203" s="20">
        <v>2</v>
      </c>
      <c r="H203" s="20">
        <v>3</v>
      </c>
      <c r="I203" s="13">
        <v>0.6</v>
      </c>
      <c r="J203" s="20" t="s">
        <v>249</v>
      </c>
      <c r="L203" s="20" t="s">
        <v>249</v>
      </c>
      <c r="M203" s="20" t="s">
        <v>779</v>
      </c>
      <c r="N203" s="20" t="s">
        <v>14</v>
      </c>
      <c r="O203" s="20">
        <v>2</v>
      </c>
      <c r="P203" s="20">
        <v>3</v>
      </c>
      <c r="Q203" s="13">
        <v>0.55093337655329999</v>
      </c>
      <c r="R203" s="20" t="s">
        <v>249</v>
      </c>
      <c r="S203" s="20">
        <v>-0.4423136208303281</v>
      </c>
      <c r="T203" s="20" t="s">
        <v>249</v>
      </c>
      <c r="U203" s="20" t="s">
        <v>19</v>
      </c>
      <c r="V203" s="20">
        <v>3</v>
      </c>
      <c r="W203" s="20">
        <v>4</v>
      </c>
      <c r="X203" s="20" t="s">
        <v>490</v>
      </c>
      <c r="Y203" s="20" t="s">
        <v>292</v>
      </c>
      <c r="Z203" s="20" t="s">
        <v>60</v>
      </c>
      <c r="AA203" s="20" t="s">
        <v>491</v>
      </c>
    </row>
    <row r="204" spans="1:27" x14ac:dyDescent="0.2">
      <c r="A204" s="20" t="s">
        <v>203</v>
      </c>
      <c r="B204" s="20" t="s">
        <v>328</v>
      </c>
      <c r="C204" s="20" t="s">
        <v>21</v>
      </c>
      <c r="D204" s="20" t="s">
        <v>30</v>
      </c>
      <c r="E204" s="20" t="s">
        <v>422</v>
      </c>
      <c r="F204" s="20" t="s">
        <v>30</v>
      </c>
      <c r="G204" s="20">
        <v>2</v>
      </c>
      <c r="H204" s="20">
        <v>3</v>
      </c>
      <c r="I204" s="13">
        <v>0.6</v>
      </c>
      <c r="J204" s="20" t="s">
        <v>249</v>
      </c>
      <c r="L204" s="20" t="s">
        <v>249</v>
      </c>
      <c r="M204" s="20" t="s">
        <v>780</v>
      </c>
      <c r="N204" s="20" t="s">
        <v>30</v>
      </c>
      <c r="O204" s="20">
        <v>2</v>
      </c>
      <c r="P204" s="20">
        <v>3</v>
      </c>
      <c r="Q204" s="13">
        <v>0.54252615233038282</v>
      </c>
      <c r="R204" s="20" t="s">
        <v>249</v>
      </c>
      <c r="S204" s="20">
        <v>2.8738511929561419E-2</v>
      </c>
      <c r="T204" s="20" t="s">
        <v>249</v>
      </c>
      <c r="U204" s="20" t="s">
        <v>21</v>
      </c>
      <c r="V204" s="20">
        <v>4</v>
      </c>
      <c r="W204" s="20">
        <v>3</v>
      </c>
      <c r="X204" s="20" t="s">
        <v>496</v>
      </c>
      <c r="Y204" s="20" t="s">
        <v>292</v>
      </c>
      <c r="Z204" s="20" t="s">
        <v>60</v>
      </c>
      <c r="AA204" s="20" t="s">
        <v>491</v>
      </c>
    </row>
    <row r="205" spans="1:27" x14ac:dyDescent="0.2">
      <c r="A205" s="20" t="s">
        <v>203</v>
      </c>
      <c r="B205" s="20" t="s">
        <v>322</v>
      </c>
      <c r="C205" s="20" t="s">
        <v>26</v>
      </c>
      <c r="D205" s="20" t="s">
        <v>20</v>
      </c>
      <c r="E205" s="20" t="s">
        <v>781</v>
      </c>
      <c r="F205" s="20" t="s">
        <v>20</v>
      </c>
      <c r="G205" s="20">
        <v>2</v>
      </c>
      <c r="H205" s="20">
        <v>3</v>
      </c>
      <c r="I205" s="13">
        <v>0.6</v>
      </c>
      <c r="J205" s="20" t="s">
        <v>249</v>
      </c>
      <c r="L205" s="20" t="s">
        <v>248</v>
      </c>
      <c r="M205" s="20" t="s">
        <v>510</v>
      </c>
      <c r="N205" s="20" t="s">
        <v>20</v>
      </c>
      <c r="O205" s="20">
        <v>2</v>
      </c>
      <c r="P205" s="20">
        <v>3</v>
      </c>
      <c r="Q205" s="13">
        <v>0.61949338759761874</v>
      </c>
      <c r="R205" s="20" t="s">
        <v>249</v>
      </c>
      <c r="S205" s="20">
        <v>0.68079948363483545</v>
      </c>
      <c r="T205" s="20" t="s">
        <v>248</v>
      </c>
      <c r="U205" s="20" t="s">
        <v>20</v>
      </c>
      <c r="V205" s="20">
        <v>0</v>
      </c>
      <c r="W205" s="20">
        <v>1</v>
      </c>
      <c r="X205" s="20" t="s">
        <v>490</v>
      </c>
      <c r="Y205" s="20" t="s">
        <v>292</v>
      </c>
      <c r="Z205" s="20" t="s">
        <v>60</v>
      </c>
      <c r="AA205" s="20" t="s">
        <v>491</v>
      </c>
    </row>
    <row r="206" spans="1:27" x14ac:dyDescent="0.2">
      <c r="A206" s="20" t="s">
        <v>203</v>
      </c>
      <c r="B206" s="20" t="s">
        <v>328</v>
      </c>
      <c r="C206" s="20" t="s">
        <v>25</v>
      </c>
      <c r="D206" s="20" t="s">
        <v>15</v>
      </c>
      <c r="E206" s="20" t="s">
        <v>782</v>
      </c>
      <c r="F206" s="20" t="s">
        <v>25</v>
      </c>
      <c r="G206" s="20">
        <v>2</v>
      </c>
      <c r="H206" s="20">
        <v>3</v>
      </c>
      <c r="I206" s="13">
        <v>0.6</v>
      </c>
      <c r="J206" s="20" t="s">
        <v>249</v>
      </c>
      <c r="L206" s="20" t="s">
        <v>248</v>
      </c>
      <c r="M206" s="20" t="s">
        <v>450</v>
      </c>
      <c r="N206" s="20" t="s">
        <v>25</v>
      </c>
      <c r="O206" s="20">
        <v>2</v>
      </c>
      <c r="P206" s="20">
        <v>3</v>
      </c>
      <c r="Q206" s="13">
        <v>0.61036612327293382</v>
      </c>
      <c r="R206" s="20" t="s">
        <v>249</v>
      </c>
      <c r="S206" s="20">
        <v>-0.66580837288933281</v>
      </c>
      <c r="T206" s="20" t="s">
        <v>248</v>
      </c>
      <c r="U206" s="20" t="s">
        <v>25</v>
      </c>
      <c r="V206" s="20">
        <v>3</v>
      </c>
      <c r="W206" s="20">
        <v>0</v>
      </c>
      <c r="X206" s="20" t="s">
        <v>490</v>
      </c>
      <c r="Y206" s="20" t="s">
        <v>292</v>
      </c>
      <c r="Z206" s="20" t="s">
        <v>60</v>
      </c>
      <c r="AA206" s="20" t="s">
        <v>491</v>
      </c>
    </row>
    <row r="207" spans="1:27" x14ac:dyDescent="0.2">
      <c r="A207" s="20" t="s">
        <v>203</v>
      </c>
      <c r="B207" s="20" t="s">
        <v>328</v>
      </c>
      <c r="C207" s="20" t="s">
        <v>27</v>
      </c>
      <c r="D207" s="20" t="s">
        <v>18</v>
      </c>
      <c r="E207" s="20" t="s">
        <v>783</v>
      </c>
      <c r="F207" s="20" t="s">
        <v>27</v>
      </c>
      <c r="G207" s="20">
        <v>2</v>
      </c>
      <c r="H207" s="20">
        <v>3</v>
      </c>
      <c r="I207" s="13">
        <v>0.6</v>
      </c>
      <c r="J207" s="20" t="s">
        <v>249</v>
      </c>
      <c r="L207" s="20" t="s">
        <v>248</v>
      </c>
      <c r="M207" s="20" t="s">
        <v>393</v>
      </c>
      <c r="N207" s="20" t="s">
        <v>27</v>
      </c>
      <c r="O207" s="20">
        <v>2</v>
      </c>
      <c r="P207" s="20">
        <v>3</v>
      </c>
      <c r="Q207" s="13">
        <v>0.52151594511207089</v>
      </c>
      <c r="R207" s="20" t="s">
        <v>249</v>
      </c>
      <c r="S207" s="20">
        <v>-0.16274929584434669</v>
      </c>
      <c r="T207" s="20" t="s">
        <v>248</v>
      </c>
      <c r="U207" s="20" t="s">
        <v>27</v>
      </c>
      <c r="V207" s="20">
        <v>5</v>
      </c>
      <c r="W207" s="20">
        <v>4</v>
      </c>
      <c r="X207" s="20" t="s">
        <v>496</v>
      </c>
      <c r="Y207" s="20" t="s">
        <v>292</v>
      </c>
      <c r="Z207" s="20" t="s">
        <v>60</v>
      </c>
      <c r="AA207" s="20" t="s">
        <v>491</v>
      </c>
    </row>
    <row r="208" spans="1:27" x14ac:dyDescent="0.2">
      <c r="A208" s="20" t="s">
        <v>203</v>
      </c>
      <c r="B208" s="20" t="s">
        <v>324</v>
      </c>
      <c r="C208" s="20" t="s">
        <v>17</v>
      </c>
      <c r="D208" s="20" t="s">
        <v>39</v>
      </c>
      <c r="E208" s="20" t="s">
        <v>784</v>
      </c>
      <c r="F208" s="20" t="s">
        <v>39</v>
      </c>
      <c r="G208" s="20">
        <v>2</v>
      </c>
      <c r="H208" s="20">
        <v>3</v>
      </c>
      <c r="I208" s="13">
        <v>0.6</v>
      </c>
      <c r="J208" s="20" t="s">
        <v>249</v>
      </c>
      <c r="L208" s="20" t="s">
        <v>248</v>
      </c>
      <c r="M208" s="20" t="s">
        <v>398</v>
      </c>
      <c r="N208" s="20" t="s">
        <v>39</v>
      </c>
      <c r="O208" s="20">
        <v>2</v>
      </c>
      <c r="P208" s="20">
        <v>3</v>
      </c>
      <c r="Q208" s="13">
        <v>0.72183222092408972</v>
      </c>
      <c r="R208" s="20" t="s">
        <v>249</v>
      </c>
      <c r="S208" s="20">
        <v>1.2810899150158039</v>
      </c>
      <c r="T208" s="20" t="s">
        <v>248</v>
      </c>
      <c r="U208" s="20" t="s">
        <v>39</v>
      </c>
      <c r="V208" s="20">
        <v>3</v>
      </c>
      <c r="W208" s="20">
        <v>4</v>
      </c>
      <c r="X208" s="20" t="s">
        <v>496</v>
      </c>
      <c r="Y208" s="20" t="s">
        <v>292</v>
      </c>
      <c r="Z208" s="20" t="s">
        <v>60</v>
      </c>
      <c r="AA208" s="20" t="s">
        <v>491</v>
      </c>
    </row>
    <row r="209" spans="1:27" x14ac:dyDescent="0.2">
      <c r="A209" s="20" t="s">
        <v>203</v>
      </c>
      <c r="B209" s="20" t="s">
        <v>340</v>
      </c>
      <c r="C209" s="20" t="s">
        <v>40</v>
      </c>
      <c r="D209" s="20" t="s">
        <v>13</v>
      </c>
      <c r="E209" s="20" t="s">
        <v>785</v>
      </c>
      <c r="F209" s="20" t="s">
        <v>13</v>
      </c>
      <c r="G209" s="20">
        <v>2</v>
      </c>
      <c r="H209" s="20">
        <v>3</v>
      </c>
      <c r="I209" s="13">
        <v>0.6</v>
      </c>
      <c r="J209" s="20" t="s">
        <v>249</v>
      </c>
      <c r="L209" s="20" t="s">
        <v>248</v>
      </c>
      <c r="M209" s="20" t="s">
        <v>628</v>
      </c>
      <c r="N209" s="20" t="s">
        <v>13</v>
      </c>
      <c r="O209" s="20">
        <v>2</v>
      </c>
      <c r="P209" s="20">
        <v>3</v>
      </c>
      <c r="Q209" s="13">
        <v>0.52213342134089591</v>
      </c>
      <c r="R209" s="20" t="s">
        <v>249</v>
      </c>
      <c r="S209" s="20">
        <v>2.4858974028740381E-2</v>
      </c>
      <c r="T209" s="20" t="s">
        <v>248</v>
      </c>
      <c r="U209" s="20" t="s">
        <v>13</v>
      </c>
      <c r="V209" s="20">
        <v>0</v>
      </c>
      <c r="W209" s="20">
        <v>3</v>
      </c>
      <c r="X209" s="20" t="s">
        <v>490</v>
      </c>
      <c r="Y209" s="20" t="s">
        <v>292</v>
      </c>
      <c r="Z209" s="20" t="s">
        <v>60</v>
      </c>
      <c r="AA209" s="20" t="s">
        <v>491</v>
      </c>
    </row>
    <row r="210" spans="1:27" x14ac:dyDescent="0.2">
      <c r="A210" s="20" t="s">
        <v>203</v>
      </c>
      <c r="B210" s="20" t="s">
        <v>426</v>
      </c>
      <c r="C210" s="20" t="s">
        <v>37</v>
      </c>
      <c r="D210" s="20" t="s">
        <v>12</v>
      </c>
      <c r="E210" s="20" t="s">
        <v>786</v>
      </c>
      <c r="F210" s="20" t="s">
        <v>12</v>
      </c>
      <c r="G210" s="20">
        <v>2</v>
      </c>
      <c r="H210" s="20">
        <v>3</v>
      </c>
      <c r="I210" s="13">
        <v>0.6</v>
      </c>
      <c r="J210" s="20" t="s">
        <v>249</v>
      </c>
      <c r="L210" s="20" t="s">
        <v>248</v>
      </c>
      <c r="M210" s="20" t="s">
        <v>361</v>
      </c>
      <c r="N210" s="20" t="s">
        <v>12</v>
      </c>
      <c r="O210" s="20">
        <v>2</v>
      </c>
      <c r="P210" s="20">
        <v>3</v>
      </c>
      <c r="Q210" s="13">
        <v>0.69232205472725694</v>
      </c>
      <c r="R210" s="20" t="s">
        <v>249</v>
      </c>
      <c r="S210" s="20">
        <v>1.1712994606035341</v>
      </c>
      <c r="T210" s="20" t="s">
        <v>248</v>
      </c>
      <c r="U210" s="20" t="s">
        <v>12</v>
      </c>
      <c r="V210" s="20">
        <v>2</v>
      </c>
      <c r="W210" s="20">
        <v>3</v>
      </c>
      <c r="X210" s="20" t="s">
        <v>490</v>
      </c>
      <c r="Y210" s="20" t="s">
        <v>292</v>
      </c>
      <c r="Z210" s="20" t="s">
        <v>60</v>
      </c>
      <c r="AA210" s="20" t="s">
        <v>491</v>
      </c>
    </row>
    <row r="211" spans="1:27" x14ac:dyDescent="0.2">
      <c r="A211" s="20" t="s">
        <v>203</v>
      </c>
      <c r="B211" s="20" t="s">
        <v>328</v>
      </c>
      <c r="C211" s="20" t="s">
        <v>55</v>
      </c>
      <c r="D211" s="20" t="s">
        <v>23</v>
      </c>
      <c r="E211" s="20" t="s">
        <v>787</v>
      </c>
      <c r="F211" s="20" t="s">
        <v>55</v>
      </c>
      <c r="G211" s="20">
        <v>2</v>
      </c>
      <c r="H211" s="20">
        <v>3</v>
      </c>
      <c r="I211" s="13">
        <v>0.6</v>
      </c>
      <c r="J211" s="20" t="s">
        <v>249</v>
      </c>
      <c r="L211" s="20" t="s">
        <v>248</v>
      </c>
      <c r="M211" s="20" t="s">
        <v>362</v>
      </c>
      <c r="N211" s="20" t="s">
        <v>55</v>
      </c>
      <c r="O211" s="20">
        <v>2</v>
      </c>
      <c r="P211" s="20">
        <v>3</v>
      </c>
      <c r="Q211" s="13">
        <v>0.45257342828487168</v>
      </c>
      <c r="R211" s="20" t="s">
        <v>249</v>
      </c>
      <c r="S211" s="20">
        <v>-2.3086397796244721E-2</v>
      </c>
      <c r="T211" s="20" t="s">
        <v>248</v>
      </c>
      <c r="U211" s="20" t="s">
        <v>55</v>
      </c>
      <c r="V211" s="20">
        <v>2</v>
      </c>
      <c r="W211" s="20">
        <v>1</v>
      </c>
      <c r="X211" s="20" t="s">
        <v>496</v>
      </c>
      <c r="Y211" s="20" t="s">
        <v>292</v>
      </c>
      <c r="Z211" s="20" t="s">
        <v>60</v>
      </c>
      <c r="AA211" s="20" t="s">
        <v>491</v>
      </c>
    </row>
    <row r="212" spans="1:27" x14ac:dyDescent="0.2">
      <c r="A212" s="20" t="s">
        <v>203</v>
      </c>
      <c r="B212" s="20" t="s">
        <v>322</v>
      </c>
      <c r="C212" s="20" t="s">
        <v>11</v>
      </c>
      <c r="D212" s="20" t="s">
        <v>31</v>
      </c>
      <c r="E212" s="20" t="s">
        <v>788</v>
      </c>
      <c r="F212" s="20" t="s">
        <v>31</v>
      </c>
      <c r="G212" s="20">
        <v>2</v>
      </c>
      <c r="H212" s="20">
        <v>3</v>
      </c>
      <c r="I212" s="13">
        <v>0.6</v>
      </c>
      <c r="J212" s="20" t="s">
        <v>249</v>
      </c>
      <c r="L212" s="20" t="s">
        <v>248</v>
      </c>
      <c r="M212" s="20" t="s">
        <v>291</v>
      </c>
      <c r="N212" s="20" t="s">
        <v>31</v>
      </c>
      <c r="O212" s="20">
        <v>2</v>
      </c>
      <c r="P212" s="20">
        <v>3</v>
      </c>
      <c r="Q212" s="13">
        <v>0.69289699646057179</v>
      </c>
      <c r="R212" s="20" t="s">
        <v>249</v>
      </c>
      <c r="S212" s="20">
        <v>0.62572206182653534</v>
      </c>
      <c r="T212" s="20" t="s">
        <v>248</v>
      </c>
      <c r="U212" s="20" t="s">
        <v>31</v>
      </c>
      <c r="V212" s="20">
        <v>3</v>
      </c>
      <c r="W212" s="20">
        <v>7</v>
      </c>
      <c r="X212" s="20" t="s">
        <v>490</v>
      </c>
      <c r="Y212" s="20" t="s">
        <v>292</v>
      </c>
      <c r="Z212" s="20" t="s">
        <v>60</v>
      </c>
      <c r="AA212" s="20" t="s">
        <v>491</v>
      </c>
    </row>
    <row r="213" spans="1:27" x14ac:dyDescent="0.2">
      <c r="A213" s="20" t="s">
        <v>203</v>
      </c>
      <c r="B213" s="20" t="s">
        <v>324</v>
      </c>
      <c r="C213" s="20" t="s">
        <v>29</v>
      </c>
      <c r="D213" s="20" t="s">
        <v>34</v>
      </c>
      <c r="E213" s="20" t="s">
        <v>789</v>
      </c>
      <c r="F213" s="20" t="s">
        <v>34</v>
      </c>
      <c r="G213" s="20">
        <v>2</v>
      </c>
      <c r="H213" s="20">
        <v>3</v>
      </c>
      <c r="I213" s="13">
        <v>0.6</v>
      </c>
      <c r="J213" s="20" t="s">
        <v>249</v>
      </c>
      <c r="L213" s="20" t="s">
        <v>248</v>
      </c>
      <c r="M213" s="20" t="s">
        <v>343</v>
      </c>
      <c r="N213" s="20" t="s">
        <v>34</v>
      </c>
      <c r="O213" s="20">
        <v>2</v>
      </c>
      <c r="P213" s="20">
        <v>3</v>
      </c>
      <c r="Q213" s="13">
        <v>0.70109954920586415</v>
      </c>
      <c r="R213" s="20" t="s">
        <v>249</v>
      </c>
      <c r="S213" s="20">
        <v>1.379693245283744</v>
      </c>
      <c r="T213" s="20" t="s">
        <v>248</v>
      </c>
      <c r="U213" s="20" t="s">
        <v>34</v>
      </c>
      <c r="V213" s="20">
        <v>2</v>
      </c>
      <c r="W213" s="20">
        <v>3</v>
      </c>
      <c r="X213" s="20" t="s">
        <v>496</v>
      </c>
      <c r="Y213" s="20" t="s">
        <v>292</v>
      </c>
      <c r="Z213" s="20" t="s">
        <v>60</v>
      </c>
      <c r="AA213" s="20" t="s">
        <v>491</v>
      </c>
    </row>
    <row r="214" spans="1:27" x14ac:dyDescent="0.2">
      <c r="A214" s="20" t="s">
        <v>204</v>
      </c>
      <c r="B214" s="20" t="s">
        <v>426</v>
      </c>
      <c r="C214" s="20" t="s">
        <v>28</v>
      </c>
      <c r="D214" s="20" t="s">
        <v>16</v>
      </c>
      <c r="E214" s="20" t="s">
        <v>790</v>
      </c>
      <c r="F214" s="20" t="s">
        <v>28</v>
      </c>
      <c r="G214" s="20">
        <v>2</v>
      </c>
      <c r="H214" s="20">
        <v>3</v>
      </c>
      <c r="I214" s="13">
        <v>0.6</v>
      </c>
      <c r="J214" s="20" t="s">
        <v>249</v>
      </c>
      <c r="L214" s="20" t="s">
        <v>249</v>
      </c>
      <c r="M214" s="20" t="s">
        <v>791</v>
      </c>
      <c r="N214" s="20" t="s">
        <v>28</v>
      </c>
      <c r="O214" s="20">
        <v>2</v>
      </c>
      <c r="P214" s="20">
        <v>3</v>
      </c>
      <c r="Q214" s="13">
        <v>0.51272140978381853</v>
      </c>
      <c r="R214" s="20" t="s">
        <v>249</v>
      </c>
      <c r="S214" s="20">
        <v>-0.42089112577091808</v>
      </c>
      <c r="T214" s="20" t="s">
        <v>249</v>
      </c>
      <c r="U214" s="20" t="s">
        <v>16</v>
      </c>
      <c r="V214" s="20">
        <v>1</v>
      </c>
      <c r="W214" s="20">
        <v>5</v>
      </c>
      <c r="X214" s="20" t="s">
        <v>490</v>
      </c>
      <c r="Y214" s="20" t="s">
        <v>292</v>
      </c>
      <c r="Z214" s="20" t="s">
        <v>60</v>
      </c>
      <c r="AA214" s="20" t="s">
        <v>491</v>
      </c>
    </row>
    <row r="215" spans="1:27" x14ac:dyDescent="0.2">
      <c r="A215" s="20" t="s">
        <v>204</v>
      </c>
      <c r="B215" s="20" t="s">
        <v>322</v>
      </c>
      <c r="C215" s="20" t="s">
        <v>33</v>
      </c>
      <c r="D215" s="20" t="s">
        <v>32</v>
      </c>
      <c r="E215" s="20" t="s">
        <v>792</v>
      </c>
      <c r="F215" s="20" t="s">
        <v>33</v>
      </c>
      <c r="G215" s="20">
        <v>2</v>
      </c>
      <c r="H215" s="20">
        <v>3</v>
      </c>
      <c r="I215" s="13">
        <v>0.6</v>
      </c>
      <c r="J215" s="20" t="s">
        <v>249</v>
      </c>
      <c r="L215" s="20" t="s">
        <v>248</v>
      </c>
      <c r="M215" s="20" t="s">
        <v>309</v>
      </c>
      <c r="N215" s="20" t="s">
        <v>33</v>
      </c>
      <c r="O215" s="20">
        <v>2</v>
      </c>
      <c r="P215" s="20">
        <v>3</v>
      </c>
      <c r="Q215" s="13">
        <v>0.47729817289275139</v>
      </c>
      <c r="R215" s="20" t="s">
        <v>249</v>
      </c>
      <c r="S215" s="20">
        <v>-0.1481454939726842</v>
      </c>
      <c r="T215" s="20" t="s">
        <v>248</v>
      </c>
      <c r="U215" s="20" t="s">
        <v>33</v>
      </c>
      <c r="V215" s="20">
        <v>6</v>
      </c>
      <c r="W215" s="20">
        <v>1</v>
      </c>
      <c r="X215" s="20" t="s">
        <v>490</v>
      </c>
      <c r="Y215" s="20" t="s">
        <v>292</v>
      </c>
      <c r="Z215" s="20" t="s">
        <v>60</v>
      </c>
      <c r="AA215" s="20" t="s">
        <v>491</v>
      </c>
    </row>
    <row r="216" spans="1:27" x14ac:dyDescent="0.2">
      <c r="A216" s="20" t="s">
        <v>204</v>
      </c>
      <c r="B216" s="20" t="s">
        <v>328</v>
      </c>
      <c r="C216" s="20" t="s">
        <v>55</v>
      </c>
      <c r="D216" s="20" t="s">
        <v>19</v>
      </c>
      <c r="E216" s="20" t="s">
        <v>793</v>
      </c>
      <c r="F216" s="20" t="s">
        <v>55</v>
      </c>
      <c r="G216" s="20">
        <v>2</v>
      </c>
      <c r="H216" s="20">
        <v>3</v>
      </c>
      <c r="I216" s="13">
        <v>0.6</v>
      </c>
      <c r="J216" s="20" t="s">
        <v>249</v>
      </c>
      <c r="L216" s="20" t="s">
        <v>249</v>
      </c>
      <c r="M216" s="20" t="s">
        <v>794</v>
      </c>
      <c r="N216" s="20" t="s">
        <v>55</v>
      </c>
      <c r="O216" s="20">
        <v>2</v>
      </c>
      <c r="P216" s="20">
        <v>3</v>
      </c>
      <c r="Q216" s="13">
        <v>0.48118749718455961</v>
      </c>
      <c r="R216" s="20" t="s">
        <v>249</v>
      </c>
      <c r="S216" s="20">
        <v>-0.18145455337463559</v>
      </c>
      <c r="T216" s="20" t="s">
        <v>249</v>
      </c>
      <c r="U216" s="20" t="s">
        <v>19</v>
      </c>
      <c r="V216" s="20">
        <v>3</v>
      </c>
      <c r="W216" s="20">
        <v>5</v>
      </c>
      <c r="X216" s="20" t="s">
        <v>490</v>
      </c>
      <c r="Y216" s="20" t="s">
        <v>292</v>
      </c>
      <c r="Z216" s="20" t="s">
        <v>60</v>
      </c>
      <c r="AA216" s="20" t="s">
        <v>491</v>
      </c>
    </row>
    <row r="217" spans="1:27" x14ac:dyDescent="0.2">
      <c r="A217" s="20" t="s">
        <v>204</v>
      </c>
      <c r="B217" s="20" t="s">
        <v>322</v>
      </c>
      <c r="C217" s="20" t="s">
        <v>10</v>
      </c>
      <c r="D217" s="20" t="s">
        <v>38</v>
      </c>
      <c r="E217" s="20" t="s">
        <v>795</v>
      </c>
      <c r="F217" s="20" t="s">
        <v>10</v>
      </c>
      <c r="G217" s="20">
        <v>2</v>
      </c>
      <c r="H217" s="20">
        <v>3</v>
      </c>
      <c r="I217" s="13">
        <v>0.6</v>
      </c>
      <c r="J217" s="20" t="s">
        <v>249</v>
      </c>
      <c r="L217" s="20" t="s">
        <v>248</v>
      </c>
      <c r="M217" s="20" t="s">
        <v>303</v>
      </c>
      <c r="N217" s="20" t="s">
        <v>10</v>
      </c>
      <c r="O217" s="20">
        <v>2</v>
      </c>
      <c r="P217" s="20">
        <v>3</v>
      </c>
      <c r="Q217" s="13">
        <v>0.54425520245143921</v>
      </c>
      <c r="R217" s="20" t="s">
        <v>249</v>
      </c>
      <c r="S217" s="20">
        <v>-0.72158075100332808</v>
      </c>
      <c r="T217" s="20" t="s">
        <v>248</v>
      </c>
      <c r="U217" s="20" t="s">
        <v>10</v>
      </c>
      <c r="V217" s="20">
        <v>5</v>
      </c>
      <c r="W217" s="20">
        <v>2</v>
      </c>
      <c r="X217" s="20" t="s">
        <v>490</v>
      </c>
      <c r="Y217" s="20" t="s">
        <v>292</v>
      </c>
      <c r="Z217" s="20" t="s">
        <v>60</v>
      </c>
      <c r="AA217" s="20" t="s">
        <v>491</v>
      </c>
    </row>
    <row r="218" spans="1:27" x14ac:dyDescent="0.2">
      <c r="A218" s="20" t="s">
        <v>204</v>
      </c>
      <c r="B218" s="20" t="s">
        <v>334</v>
      </c>
      <c r="C218" s="20" t="s">
        <v>35</v>
      </c>
      <c r="D218" s="20" t="s">
        <v>22</v>
      </c>
      <c r="E218" s="20" t="s">
        <v>796</v>
      </c>
      <c r="F218" s="20" t="s">
        <v>22</v>
      </c>
      <c r="G218" s="20">
        <v>2</v>
      </c>
      <c r="H218" s="20">
        <v>3</v>
      </c>
      <c r="I218" s="13">
        <v>0.6</v>
      </c>
      <c r="J218" s="20" t="s">
        <v>249</v>
      </c>
      <c r="L218" s="20" t="s">
        <v>248</v>
      </c>
      <c r="M218" s="20" t="s">
        <v>321</v>
      </c>
      <c r="N218" s="20" t="s">
        <v>22</v>
      </c>
      <c r="O218" s="20">
        <v>2</v>
      </c>
      <c r="P218" s="20">
        <v>3</v>
      </c>
      <c r="Q218" s="13">
        <v>0.78614938953531521</v>
      </c>
      <c r="R218" s="20" t="s">
        <v>249</v>
      </c>
      <c r="S218" s="20">
        <v>1.8850863537246421</v>
      </c>
      <c r="T218" s="20" t="s">
        <v>248</v>
      </c>
      <c r="U218" s="20" t="s">
        <v>22</v>
      </c>
      <c r="V218" s="20">
        <v>1</v>
      </c>
      <c r="W218" s="20">
        <v>6</v>
      </c>
      <c r="X218" s="20" t="s">
        <v>490</v>
      </c>
      <c r="Y218" s="20" t="s">
        <v>292</v>
      </c>
      <c r="Z218" s="20" t="s">
        <v>60</v>
      </c>
      <c r="AA218" s="20" t="s">
        <v>491</v>
      </c>
    </row>
    <row r="219" spans="1:27" x14ac:dyDescent="0.2">
      <c r="A219" s="20" t="s">
        <v>205</v>
      </c>
      <c r="B219" s="20" t="s">
        <v>322</v>
      </c>
      <c r="C219" s="20" t="s">
        <v>37</v>
      </c>
      <c r="D219" s="20" t="s">
        <v>20</v>
      </c>
      <c r="E219" s="20" t="s">
        <v>797</v>
      </c>
      <c r="F219" s="20" t="s">
        <v>37</v>
      </c>
      <c r="G219" s="20">
        <v>2</v>
      </c>
      <c r="H219" s="20">
        <v>3</v>
      </c>
      <c r="I219" s="13">
        <v>0.6</v>
      </c>
      <c r="J219" s="20" t="s">
        <v>249</v>
      </c>
      <c r="L219" s="20" t="s">
        <v>248</v>
      </c>
      <c r="M219" s="20" t="s">
        <v>395</v>
      </c>
      <c r="N219" s="20" t="s">
        <v>37</v>
      </c>
      <c r="O219" s="20">
        <v>2</v>
      </c>
      <c r="P219" s="20">
        <v>3</v>
      </c>
      <c r="Q219" s="13">
        <v>0.63481060060307437</v>
      </c>
      <c r="R219" s="20" t="s">
        <v>249</v>
      </c>
      <c r="S219" s="20">
        <v>-0.70504502814407832</v>
      </c>
      <c r="T219" s="20" t="s">
        <v>248</v>
      </c>
      <c r="U219" s="20" t="s">
        <v>37</v>
      </c>
      <c r="V219" s="20">
        <v>6</v>
      </c>
      <c r="W219" s="20">
        <v>3</v>
      </c>
      <c r="X219" s="20" t="s">
        <v>490</v>
      </c>
      <c r="Y219" s="20" t="s">
        <v>292</v>
      </c>
      <c r="Z219" s="20" t="s">
        <v>60</v>
      </c>
      <c r="AA219" s="20" t="s">
        <v>491</v>
      </c>
    </row>
    <row r="220" spans="1:27" x14ac:dyDescent="0.2">
      <c r="A220" s="20" t="s">
        <v>205</v>
      </c>
      <c r="B220" s="20" t="s">
        <v>334</v>
      </c>
      <c r="C220" s="20" t="s">
        <v>22</v>
      </c>
      <c r="D220" s="20" t="s">
        <v>14</v>
      </c>
      <c r="E220" s="20" t="s">
        <v>798</v>
      </c>
      <c r="F220" s="20" t="s">
        <v>22</v>
      </c>
      <c r="G220" s="20">
        <v>2</v>
      </c>
      <c r="H220" s="20">
        <v>3</v>
      </c>
      <c r="I220" s="13">
        <v>0.6</v>
      </c>
      <c r="J220" s="20" t="s">
        <v>249</v>
      </c>
      <c r="L220" s="20" t="s">
        <v>249</v>
      </c>
      <c r="M220" s="20" t="s">
        <v>799</v>
      </c>
      <c r="N220" s="20" t="s">
        <v>22</v>
      </c>
      <c r="O220" s="20">
        <v>2</v>
      </c>
      <c r="P220" s="20">
        <v>3</v>
      </c>
      <c r="Q220" s="13">
        <v>0.56475643524283603</v>
      </c>
      <c r="R220" s="20" t="s">
        <v>249</v>
      </c>
      <c r="S220" s="20">
        <v>-0.53307070549608448</v>
      </c>
      <c r="T220" s="20" t="s">
        <v>249</v>
      </c>
      <c r="U220" s="20" t="s">
        <v>14</v>
      </c>
      <c r="V220" s="20">
        <v>3</v>
      </c>
      <c r="W220" s="20">
        <v>5</v>
      </c>
      <c r="X220" s="20" t="s">
        <v>490</v>
      </c>
      <c r="Y220" s="20" t="s">
        <v>292</v>
      </c>
      <c r="Z220" s="20" t="s">
        <v>60</v>
      </c>
      <c r="AA220" s="20" t="s">
        <v>491</v>
      </c>
    </row>
    <row r="221" spans="1:27" x14ac:dyDescent="0.2">
      <c r="A221" s="20" t="s">
        <v>205</v>
      </c>
      <c r="B221" s="20" t="s">
        <v>324</v>
      </c>
      <c r="C221" s="20" t="s">
        <v>27</v>
      </c>
      <c r="D221" s="20" t="s">
        <v>29</v>
      </c>
      <c r="E221" s="20" t="s">
        <v>800</v>
      </c>
      <c r="F221" s="20" t="s">
        <v>27</v>
      </c>
      <c r="G221" s="20">
        <v>2</v>
      </c>
      <c r="H221" s="20">
        <v>3</v>
      </c>
      <c r="I221" s="13">
        <v>0.6</v>
      </c>
      <c r="J221" s="20" t="s">
        <v>249</v>
      </c>
      <c r="L221" s="20" t="s">
        <v>248</v>
      </c>
      <c r="M221" s="20" t="s">
        <v>393</v>
      </c>
      <c r="N221" s="20" t="s">
        <v>27</v>
      </c>
      <c r="O221" s="20">
        <v>2</v>
      </c>
      <c r="P221" s="20">
        <v>3</v>
      </c>
      <c r="Q221" s="13">
        <v>0.61399686338983206</v>
      </c>
      <c r="R221" s="20" t="s">
        <v>249</v>
      </c>
      <c r="S221" s="20">
        <v>-0.95477695138058249</v>
      </c>
      <c r="T221" s="20" t="s">
        <v>248</v>
      </c>
      <c r="U221" s="20" t="s">
        <v>27</v>
      </c>
      <c r="V221" s="20">
        <v>3</v>
      </c>
      <c r="W221" s="20">
        <v>1</v>
      </c>
      <c r="X221" s="20" t="s">
        <v>490</v>
      </c>
      <c r="Y221" s="20" t="s">
        <v>292</v>
      </c>
      <c r="Z221" s="20" t="s">
        <v>60</v>
      </c>
      <c r="AA221" s="20" t="s">
        <v>491</v>
      </c>
    </row>
    <row r="222" spans="1:27" x14ac:dyDescent="0.2">
      <c r="A222" s="20" t="s">
        <v>205</v>
      </c>
      <c r="B222" s="20" t="s">
        <v>328</v>
      </c>
      <c r="C222" s="20" t="s">
        <v>18</v>
      </c>
      <c r="D222" s="20" t="s">
        <v>24</v>
      </c>
      <c r="E222" s="20" t="s">
        <v>801</v>
      </c>
      <c r="F222" s="20" t="s">
        <v>24</v>
      </c>
      <c r="G222" s="20">
        <v>2</v>
      </c>
      <c r="H222" s="20">
        <v>3</v>
      </c>
      <c r="I222" s="13">
        <v>0.6</v>
      </c>
      <c r="J222" s="20" t="s">
        <v>249</v>
      </c>
      <c r="L222" s="20" t="s">
        <v>248</v>
      </c>
      <c r="M222" s="20" t="s">
        <v>449</v>
      </c>
      <c r="N222" s="20" t="s">
        <v>24</v>
      </c>
      <c r="O222" s="20">
        <v>2</v>
      </c>
      <c r="P222" s="20">
        <v>3</v>
      </c>
      <c r="Q222" s="13">
        <v>0.63773394280828299</v>
      </c>
      <c r="R222" s="20" t="s">
        <v>249</v>
      </c>
      <c r="S222" s="20">
        <v>0.64432062796159195</v>
      </c>
      <c r="T222" s="20" t="s">
        <v>248</v>
      </c>
      <c r="U222" s="20" t="s">
        <v>24</v>
      </c>
      <c r="V222" s="20">
        <v>3</v>
      </c>
      <c r="W222" s="20">
        <v>4</v>
      </c>
      <c r="X222" s="20" t="s">
        <v>496</v>
      </c>
      <c r="Y222" s="20" t="s">
        <v>292</v>
      </c>
      <c r="Z222" s="20" t="s">
        <v>60</v>
      </c>
      <c r="AA222" s="20" t="s">
        <v>491</v>
      </c>
    </row>
    <row r="223" spans="1:27" x14ac:dyDescent="0.2">
      <c r="A223" s="20" t="s">
        <v>205</v>
      </c>
      <c r="B223" s="20" t="s">
        <v>322</v>
      </c>
      <c r="C223" s="20" t="s">
        <v>11</v>
      </c>
      <c r="D223" s="20" t="s">
        <v>13</v>
      </c>
      <c r="E223" s="20" t="s">
        <v>802</v>
      </c>
      <c r="F223" s="20" t="s">
        <v>13</v>
      </c>
      <c r="G223" s="20">
        <v>2</v>
      </c>
      <c r="H223" s="20">
        <v>3</v>
      </c>
      <c r="I223" s="13">
        <v>0.6</v>
      </c>
      <c r="J223" s="20" t="s">
        <v>249</v>
      </c>
      <c r="L223" s="20" t="s">
        <v>249</v>
      </c>
      <c r="M223" s="20" t="s">
        <v>803</v>
      </c>
      <c r="N223" s="20" t="s">
        <v>13</v>
      </c>
      <c r="O223" s="20">
        <v>2</v>
      </c>
      <c r="P223" s="20">
        <v>3</v>
      </c>
      <c r="Q223" s="13">
        <v>0.5526964675935252</v>
      </c>
      <c r="R223" s="20" t="s">
        <v>249</v>
      </c>
      <c r="S223" s="20">
        <v>0.1087354413100554</v>
      </c>
      <c r="T223" s="20" t="s">
        <v>249</v>
      </c>
      <c r="U223" s="20" t="s">
        <v>11</v>
      </c>
      <c r="V223" s="20">
        <v>5</v>
      </c>
      <c r="W223" s="20">
        <v>2</v>
      </c>
      <c r="X223" s="20" t="s">
        <v>490</v>
      </c>
      <c r="Y223" s="20" t="s">
        <v>292</v>
      </c>
      <c r="Z223" s="20" t="s">
        <v>60</v>
      </c>
      <c r="AA223" s="20" t="s">
        <v>491</v>
      </c>
    </row>
    <row r="224" spans="1:27" x14ac:dyDescent="0.2">
      <c r="A224" s="20" t="s">
        <v>205</v>
      </c>
      <c r="B224" s="20" t="s">
        <v>324</v>
      </c>
      <c r="C224" s="20" t="s">
        <v>31</v>
      </c>
      <c r="D224" s="20" t="s">
        <v>39</v>
      </c>
      <c r="E224" s="20" t="s">
        <v>804</v>
      </c>
      <c r="F224" s="20" t="s">
        <v>39</v>
      </c>
      <c r="G224" s="20">
        <v>2</v>
      </c>
      <c r="H224" s="20">
        <v>3</v>
      </c>
      <c r="I224" s="13">
        <v>0.6</v>
      </c>
      <c r="J224" s="20" t="s">
        <v>249</v>
      </c>
      <c r="L224" s="20" t="s">
        <v>249</v>
      </c>
      <c r="M224" s="20" t="s">
        <v>805</v>
      </c>
      <c r="N224" s="20" t="s">
        <v>39</v>
      </c>
      <c r="O224" s="20">
        <v>2</v>
      </c>
      <c r="P224" s="20">
        <v>3</v>
      </c>
      <c r="Q224" s="13">
        <v>0.5849600856496151</v>
      </c>
      <c r="R224" s="20" t="s">
        <v>249</v>
      </c>
      <c r="S224" s="20">
        <v>0.28464022893901603</v>
      </c>
      <c r="T224" s="20" t="s">
        <v>249</v>
      </c>
      <c r="U224" s="20" t="s">
        <v>31</v>
      </c>
      <c r="V224" s="20">
        <v>7</v>
      </c>
      <c r="W224" s="20">
        <v>5</v>
      </c>
      <c r="X224" s="20" t="s">
        <v>490</v>
      </c>
      <c r="Y224" s="20" t="s">
        <v>292</v>
      </c>
      <c r="Z224" s="20" t="s">
        <v>60</v>
      </c>
      <c r="AA224" s="20" t="s">
        <v>491</v>
      </c>
    </row>
    <row r="225" spans="1:27" x14ac:dyDescent="0.2">
      <c r="A225" s="20" t="s">
        <v>205</v>
      </c>
      <c r="B225" s="20" t="s">
        <v>328</v>
      </c>
      <c r="C225" s="20" t="s">
        <v>34</v>
      </c>
      <c r="D225" s="20" t="s">
        <v>25</v>
      </c>
      <c r="E225" s="20" t="s">
        <v>806</v>
      </c>
      <c r="F225" s="20" t="s">
        <v>25</v>
      </c>
      <c r="G225" s="20">
        <v>2</v>
      </c>
      <c r="H225" s="20">
        <v>3</v>
      </c>
      <c r="I225" s="13">
        <v>0.6</v>
      </c>
      <c r="J225" s="20" t="s">
        <v>249</v>
      </c>
      <c r="L225" s="20" t="s">
        <v>248</v>
      </c>
      <c r="M225" s="20" t="s">
        <v>450</v>
      </c>
      <c r="N225" s="20" t="s">
        <v>25</v>
      </c>
      <c r="O225" s="20">
        <v>2</v>
      </c>
      <c r="P225" s="20">
        <v>3</v>
      </c>
      <c r="Q225" s="13">
        <v>0.61196713623753951</v>
      </c>
      <c r="R225" s="20" t="s">
        <v>249</v>
      </c>
      <c r="S225" s="20">
        <v>0.530700673701194</v>
      </c>
      <c r="T225" s="20" t="s">
        <v>248</v>
      </c>
      <c r="U225" s="20" t="s">
        <v>25</v>
      </c>
      <c r="V225" s="20">
        <v>3</v>
      </c>
      <c r="W225" s="20">
        <v>4</v>
      </c>
      <c r="X225" s="20" t="s">
        <v>490</v>
      </c>
      <c r="Y225" s="20" t="s">
        <v>292</v>
      </c>
      <c r="Z225" s="20" t="s">
        <v>60</v>
      </c>
      <c r="AA225" s="20" t="s">
        <v>491</v>
      </c>
    </row>
    <row r="226" spans="1:27" x14ac:dyDescent="0.2">
      <c r="A226" s="20" t="s">
        <v>205</v>
      </c>
      <c r="B226" s="20" t="s">
        <v>328</v>
      </c>
      <c r="C226" s="20" t="s">
        <v>35</v>
      </c>
      <c r="D226" s="20" t="s">
        <v>23</v>
      </c>
      <c r="E226" s="20" t="s">
        <v>807</v>
      </c>
      <c r="F226" s="20" t="s">
        <v>23</v>
      </c>
      <c r="G226" s="20">
        <v>2</v>
      </c>
      <c r="H226" s="20">
        <v>3</v>
      </c>
      <c r="I226" s="13">
        <v>0.6</v>
      </c>
      <c r="J226" s="20" t="s">
        <v>249</v>
      </c>
      <c r="L226" s="20" t="s">
        <v>249</v>
      </c>
      <c r="M226" s="20" t="s">
        <v>808</v>
      </c>
      <c r="N226" s="20" t="s">
        <v>23</v>
      </c>
      <c r="O226" s="20">
        <v>2</v>
      </c>
      <c r="P226" s="20">
        <v>3</v>
      </c>
      <c r="Q226" s="13">
        <v>0.66318190900357221</v>
      </c>
      <c r="R226" s="20" t="s">
        <v>249</v>
      </c>
      <c r="S226" s="20">
        <v>0.96826868513029529</v>
      </c>
      <c r="T226" s="20" t="s">
        <v>249</v>
      </c>
      <c r="U226" s="20" t="s">
        <v>35</v>
      </c>
      <c r="V226" s="20">
        <v>3</v>
      </c>
      <c r="W226" s="20">
        <v>0</v>
      </c>
      <c r="X226" s="20" t="s">
        <v>490</v>
      </c>
      <c r="Y226" s="20" t="s">
        <v>292</v>
      </c>
      <c r="Z226" s="20" t="s">
        <v>60</v>
      </c>
      <c r="AA226" s="20" t="s">
        <v>491</v>
      </c>
    </row>
    <row r="227" spans="1:27" x14ac:dyDescent="0.2">
      <c r="A227" s="20" t="s">
        <v>205</v>
      </c>
      <c r="B227" s="20" t="s">
        <v>328</v>
      </c>
      <c r="C227" s="20" t="s">
        <v>36</v>
      </c>
      <c r="D227" s="20" t="s">
        <v>21</v>
      </c>
      <c r="E227" s="20" t="s">
        <v>809</v>
      </c>
      <c r="F227" s="20" t="s">
        <v>21</v>
      </c>
      <c r="G227" s="20">
        <v>2</v>
      </c>
      <c r="H227" s="20">
        <v>3</v>
      </c>
      <c r="I227" s="13">
        <v>0.6</v>
      </c>
      <c r="J227" s="20" t="s">
        <v>249</v>
      </c>
      <c r="L227" s="20" t="s">
        <v>248</v>
      </c>
      <c r="M227" s="20" t="s">
        <v>465</v>
      </c>
      <c r="N227" s="20" t="s">
        <v>21</v>
      </c>
      <c r="O227" s="20">
        <v>2</v>
      </c>
      <c r="P227" s="20">
        <v>3</v>
      </c>
      <c r="Q227" s="13">
        <v>0.62511283671022522</v>
      </c>
      <c r="R227" s="20" t="s">
        <v>249</v>
      </c>
      <c r="S227" s="20">
        <v>0.36150703934026951</v>
      </c>
      <c r="T227" s="20" t="s">
        <v>248</v>
      </c>
      <c r="U227" s="20" t="s">
        <v>21</v>
      </c>
      <c r="V227" s="20">
        <v>2</v>
      </c>
      <c r="W227" s="20">
        <v>3</v>
      </c>
      <c r="X227" s="20" t="s">
        <v>496</v>
      </c>
      <c r="Y227" s="20" t="s">
        <v>292</v>
      </c>
      <c r="Z227" s="20" t="s">
        <v>60</v>
      </c>
      <c r="AA227" s="20" t="s">
        <v>491</v>
      </c>
    </row>
    <row r="228" spans="1:27" x14ac:dyDescent="0.2">
      <c r="A228" s="20" t="s">
        <v>206</v>
      </c>
      <c r="B228" s="20" t="s">
        <v>326</v>
      </c>
      <c r="C228" s="20" t="s">
        <v>10</v>
      </c>
      <c r="D228" s="20" t="s">
        <v>16</v>
      </c>
      <c r="E228" s="20" t="s">
        <v>810</v>
      </c>
      <c r="F228" s="20" t="s">
        <v>10</v>
      </c>
      <c r="G228" s="20">
        <v>2</v>
      </c>
      <c r="H228" s="20">
        <v>3</v>
      </c>
      <c r="I228" s="13">
        <v>0.6</v>
      </c>
      <c r="J228" s="20" t="s">
        <v>249</v>
      </c>
      <c r="L228" s="20" t="s">
        <v>248</v>
      </c>
      <c r="M228" s="20" t="s">
        <v>303</v>
      </c>
      <c r="N228" s="20" t="s">
        <v>10</v>
      </c>
      <c r="O228" s="20">
        <v>2</v>
      </c>
      <c r="P228" s="20">
        <v>3</v>
      </c>
      <c r="Q228" s="13">
        <v>0.55804553195432005</v>
      </c>
      <c r="R228" s="20" t="s">
        <v>249</v>
      </c>
      <c r="S228" s="20">
        <v>-0.8396842749371447</v>
      </c>
      <c r="T228" s="20" t="s">
        <v>248</v>
      </c>
      <c r="U228" s="20" t="s">
        <v>10</v>
      </c>
      <c r="V228" s="20">
        <v>4</v>
      </c>
      <c r="W228" s="20">
        <v>0</v>
      </c>
      <c r="X228" s="20" t="s">
        <v>490</v>
      </c>
      <c r="Y228" s="20" t="s">
        <v>292</v>
      </c>
      <c r="Z228" s="20" t="s">
        <v>60</v>
      </c>
      <c r="AA228" s="20" t="s">
        <v>491</v>
      </c>
    </row>
    <row r="229" spans="1:27" x14ac:dyDescent="0.2">
      <c r="A229" s="20" t="s">
        <v>206</v>
      </c>
      <c r="B229" s="20" t="s">
        <v>328</v>
      </c>
      <c r="C229" s="20" t="s">
        <v>15</v>
      </c>
      <c r="D229" s="20" t="s">
        <v>26</v>
      </c>
      <c r="E229" s="20" t="s">
        <v>811</v>
      </c>
      <c r="F229" s="20" t="s">
        <v>15</v>
      </c>
      <c r="G229" s="20">
        <v>2</v>
      </c>
      <c r="H229" s="20">
        <v>3</v>
      </c>
      <c r="I229" s="13">
        <v>0.6</v>
      </c>
      <c r="J229" s="20" t="s">
        <v>249</v>
      </c>
      <c r="L229" s="20" t="s">
        <v>248</v>
      </c>
      <c r="M229" s="20" t="s">
        <v>518</v>
      </c>
      <c r="N229" s="20" t="s">
        <v>15</v>
      </c>
      <c r="O229" s="20">
        <v>2</v>
      </c>
      <c r="P229" s="20">
        <v>3</v>
      </c>
      <c r="Q229" s="13">
        <v>0.62259788249869552</v>
      </c>
      <c r="R229" s="20" t="s">
        <v>249</v>
      </c>
      <c r="S229" s="20">
        <v>-0.53540483162520447</v>
      </c>
      <c r="T229" s="20" t="s">
        <v>248</v>
      </c>
      <c r="U229" s="20" t="s">
        <v>15</v>
      </c>
      <c r="V229" s="20">
        <v>4</v>
      </c>
      <c r="W229" s="20">
        <v>1</v>
      </c>
      <c r="X229" s="20" t="s">
        <v>490</v>
      </c>
      <c r="Y229" s="20" t="s">
        <v>292</v>
      </c>
      <c r="Z229" s="20" t="s">
        <v>60</v>
      </c>
      <c r="AA229" s="20" t="s">
        <v>491</v>
      </c>
    </row>
    <row r="230" spans="1:27" x14ac:dyDescent="0.2">
      <c r="A230" s="20" t="s">
        <v>206</v>
      </c>
      <c r="B230" s="20" t="s">
        <v>328</v>
      </c>
      <c r="C230" s="20" t="s">
        <v>34</v>
      </c>
      <c r="D230" s="20" t="s">
        <v>30</v>
      </c>
      <c r="E230" s="20" t="s">
        <v>812</v>
      </c>
      <c r="F230" s="20" t="s">
        <v>34</v>
      </c>
      <c r="G230" s="20">
        <v>2</v>
      </c>
      <c r="H230" s="20">
        <v>3</v>
      </c>
      <c r="I230" s="13">
        <v>0.6</v>
      </c>
      <c r="J230" s="20" t="s">
        <v>249</v>
      </c>
      <c r="L230" s="20" t="s">
        <v>248</v>
      </c>
      <c r="M230" s="20" t="s">
        <v>343</v>
      </c>
      <c r="N230" s="20" t="s">
        <v>34</v>
      </c>
      <c r="O230" s="20">
        <v>2</v>
      </c>
      <c r="P230" s="20">
        <v>3</v>
      </c>
      <c r="Q230" s="13">
        <v>0.51838164798004693</v>
      </c>
      <c r="R230" s="20" t="s">
        <v>249</v>
      </c>
      <c r="S230" s="20">
        <v>-0.13590646106869131</v>
      </c>
      <c r="T230" s="20" t="s">
        <v>248</v>
      </c>
      <c r="U230" s="20" t="s">
        <v>34</v>
      </c>
      <c r="V230" s="20">
        <v>5</v>
      </c>
      <c r="W230" s="20">
        <v>2</v>
      </c>
      <c r="X230" s="20" t="s">
        <v>490</v>
      </c>
      <c r="Y230" s="20" t="s">
        <v>292</v>
      </c>
      <c r="Z230" s="20" t="s">
        <v>60</v>
      </c>
      <c r="AA230" s="20" t="s">
        <v>491</v>
      </c>
    </row>
    <row r="231" spans="1:27" x14ac:dyDescent="0.2">
      <c r="A231" s="20" t="s">
        <v>206</v>
      </c>
      <c r="B231" s="20" t="s">
        <v>322</v>
      </c>
      <c r="C231" s="20" t="s">
        <v>40</v>
      </c>
      <c r="D231" s="20" t="s">
        <v>33</v>
      </c>
      <c r="E231" s="20" t="s">
        <v>813</v>
      </c>
      <c r="F231" s="20" t="s">
        <v>40</v>
      </c>
      <c r="G231" s="20">
        <v>2</v>
      </c>
      <c r="H231" s="20">
        <v>3</v>
      </c>
      <c r="I231" s="13">
        <v>0.6</v>
      </c>
      <c r="J231" s="20" t="s">
        <v>249</v>
      </c>
      <c r="L231" s="20" t="s">
        <v>249</v>
      </c>
      <c r="M231" s="20" t="s">
        <v>814</v>
      </c>
      <c r="N231" s="20" t="s">
        <v>40</v>
      </c>
      <c r="O231" s="20">
        <v>2</v>
      </c>
      <c r="P231" s="20">
        <v>3</v>
      </c>
      <c r="Q231" s="13">
        <v>0.48088553485950469</v>
      </c>
      <c r="R231" s="20" t="s">
        <v>249</v>
      </c>
      <c r="S231" s="20">
        <v>-8.818841967628932E-2</v>
      </c>
      <c r="T231" s="20" t="s">
        <v>249</v>
      </c>
      <c r="U231" s="20" t="s">
        <v>33</v>
      </c>
      <c r="V231" s="20">
        <v>1</v>
      </c>
      <c r="W231" s="20">
        <v>2</v>
      </c>
      <c r="X231" s="20" t="s">
        <v>490</v>
      </c>
      <c r="Y231" s="20" t="s">
        <v>292</v>
      </c>
      <c r="Z231" s="20" t="s">
        <v>60</v>
      </c>
      <c r="AA231" s="20" t="s">
        <v>491</v>
      </c>
    </row>
    <row r="232" spans="1:27" x14ac:dyDescent="0.2">
      <c r="A232" s="20" t="s">
        <v>207</v>
      </c>
      <c r="B232" s="20" t="s">
        <v>322</v>
      </c>
      <c r="C232" s="20" t="s">
        <v>28</v>
      </c>
      <c r="D232" s="20" t="s">
        <v>38</v>
      </c>
      <c r="E232" s="20" t="s">
        <v>815</v>
      </c>
      <c r="F232" s="20" t="s">
        <v>28</v>
      </c>
      <c r="G232" s="20">
        <v>2</v>
      </c>
      <c r="H232" s="20">
        <v>3</v>
      </c>
      <c r="I232" s="13">
        <v>0.6</v>
      </c>
      <c r="J232" s="20" t="s">
        <v>249</v>
      </c>
      <c r="L232" s="20" t="s">
        <v>249</v>
      </c>
      <c r="M232" s="20" t="s">
        <v>816</v>
      </c>
      <c r="N232" s="20" t="s">
        <v>28</v>
      </c>
      <c r="O232" s="20">
        <v>2</v>
      </c>
      <c r="P232" s="20">
        <v>3</v>
      </c>
      <c r="Q232" s="13">
        <v>0.49893108028093769</v>
      </c>
      <c r="R232" s="20" t="s">
        <v>249</v>
      </c>
      <c r="S232" s="20">
        <v>-0.30278760183710141</v>
      </c>
      <c r="T232" s="20" t="s">
        <v>249</v>
      </c>
      <c r="U232" s="20" t="s">
        <v>38</v>
      </c>
      <c r="V232" s="20">
        <v>3</v>
      </c>
      <c r="W232" s="20">
        <v>4</v>
      </c>
      <c r="X232" s="20" t="s">
        <v>490</v>
      </c>
      <c r="Y232" s="20" t="s">
        <v>292</v>
      </c>
      <c r="Z232" s="20" t="s">
        <v>60</v>
      </c>
      <c r="AA232" s="20" t="s">
        <v>491</v>
      </c>
    </row>
    <row r="233" spans="1:27" x14ac:dyDescent="0.2">
      <c r="A233" s="20" t="s">
        <v>207</v>
      </c>
      <c r="B233" s="20" t="s">
        <v>328</v>
      </c>
      <c r="C233" s="20" t="s">
        <v>21</v>
      </c>
      <c r="D233" s="20" t="s">
        <v>19</v>
      </c>
      <c r="E233" s="20" t="s">
        <v>817</v>
      </c>
      <c r="F233" s="20" t="s">
        <v>21</v>
      </c>
      <c r="G233" s="20">
        <v>2</v>
      </c>
      <c r="H233" s="20">
        <v>3</v>
      </c>
      <c r="I233" s="13">
        <v>0.6</v>
      </c>
      <c r="J233" s="20" t="s">
        <v>249</v>
      </c>
      <c r="L233" s="20" t="s">
        <v>248</v>
      </c>
      <c r="M233" s="20" t="s">
        <v>465</v>
      </c>
      <c r="N233" s="20" t="s">
        <v>21</v>
      </c>
      <c r="O233" s="20">
        <v>2</v>
      </c>
      <c r="P233" s="20">
        <v>3</v>
      </c>
      <c r="Q233" s="13">
        <v>0.50342622083801203</v>
      </c>
      <c r="R233" s="20" t="s">
        <v>249</v>
      </c>
      <c r="S233" s="20">
        <v>-0.3648080819480865</v>
      </c>
      <c r="T233" s="20" t="s">
        <v>248</v>
      </c>
      <c r="U233" s="20" t="s">
        <v>21</v>
      </c>
      <c r="V233" s="20">
        <v>5</v>
      </c>
      <c r="W233" s="20">
        <v>3</v>
      </c>
      <c r="X233" s="20" t="s">
        <v>490</v>
      </c>
      <c r="Y233" s="20" t="s">
        <v>292</v>
      </c>
      <c r="Z233" s="20" t="s">
        <v>60</v>
      </c>
      <c r="AA233" s="20" t="s">
        <v>491</v>
      </c>
    </row>
    <row r="234" spans="1:27" x14ac:dyDescent="0.2">
      <c r="A234" s="20" t="s">
        <v>207</v>
      </c>
      <c r="B234" s="20" t="s">
        <v>328</v>
      </c>
      <c r="C234" s="20" t="s">
        <v>22</v>
      </c>
      <c r="D234" s="20" t="s">
        <v>37</v>
      </c>
      <c r="E234" s="20" t="s">
        <v>818</v>
      </c>
      <c r="F234" s="20" t="s">
        <v>37</v>
      </c>
      <c r="G234" s="20">
        <v>2</v>
      </c>
      <c r="H234" s="20">
        <v>3</v>
      </c>
      <c r="I234" s="13">
        <v>0.6</v>
      </c>
      <c r="J234" s="20" t="s">
        <v>249</v>
      </c>
      <c r="L234" s="20" t="s">
        <v>248</v>
      </c>
      <c r="M234" s="20" t="s">
        <v>395</v>
      </c>
      <c r="N234" s="20" t="s">
        <v>37</v>
      </c>
      <c r="O234" s="20">
        <v>2</v>
      </c>
      <c r="P234" s="20">
        <v>3</v>
      </c>
      <c r="Q234" s="13">
        <v>0.54409704408470561</v>
      </c>
      <c r="R234" s="20" t="s">
        <v>249</v>
      </c>
      <c r="S234" s="20">
        <v>0.11969846281600981</v>
      </c>
      <c r="T234" s="20" t="s">
        <v>248</v>
      </c>
      <c r="U234" s="20" t="s">
        <v>37</v>
      </c>
      <c r="V234" s="20">
        <v>2</v>
      </c>
      <c r="W234" s="20">
        <v>3</v>
      </c>
      <c r="X234" s="20" t="s">
        <v>490</v>
      </c>
      <c r="Y234" s="20" t="s">
        <v>292</v>
      </c>
      <c r="Z234" s="20" t="s">
        <v>60</v>
      </c>
      <c r="AA234" s="20" t="s">
        <v>491</v>
      </c>
    </row>
    <row r="235" spans="1:27" x14ac:dyDescent="0.2">
      <c r="A235" s="20" t="s">
        <v>207</v>
      </c>
      <c r="B235" s="20" t="s">
        <v>328</v>
      </c>
      <c r="C235" s="20" t="s">
        <v>32</v>
      </c>
      <c r="D235" s="20" t="s">
        <v>35</v>
      </c>
      <c r="E235" s="20" t="s">
        <v>819</v>
      </c>
      <c r="F235" s="20" t="s">
        <v>32</v>
      </c>
      <c r="G235" s="20">
        <v>2</v>
      </c>
      <c r="H235" s="20">
        <v>3</v>
      </c>
      <c r="I235" s="13">
        <v>0.6</v>
      </c>
      <c r="J235" s="20" t="s">
        <v>249</v>
      </c>
      <c r="L235" s="20" t="s">
        <v>248</v>
      </c>
      <c r="M235" s="20" t="s">
        <v>673</v>
      </c>
      <c r="N235" s="20" t="s">
        <v>32</v>
      </c>
      <c r="O235" s="20">
        <v>2</v>
      </c>
      <c r="P235" s="20">
        <v>3</v>
      </c>
      <c r="Q235" s="13">
        <v>0.5411749056948274</v>
      </c>
      <c r="R235" s="20" t="s">
        <v>249</v>
      </c>
      <c r="S235" s="20">
        <v>-0.69520038774647008</v>
      </c>
      <c r="T235" s="20" t="s">
        <v>248</v>
      </c>
      <c r="U235" s="20" t="s">
        <v>32</v>
      </c>
      <c r="V235" s="20">
        <v>4</v>
      </c>
      <c r="W235" s="20">
        <v>3</v>
      </c>
      <c r="X235" s="20" t="s">
        <v>496</v>
      </c>
      <c r="Y235" s="20" t="s">
        <v>292</v>
      </c>
      <c r="Z235" s="20" t="s">
        <v>60</v>
      </c>
      <c r="AA235" s="20" t="s">
        <v>491</v>
      </c>
    </row>
    <row r="236" spans="1:27" x14ac:dyDescent="0.2">
      <c r="A236" s="20" t="s">
        <v>207</v>
      </c>
      <c r="B236" s="20" t="s">
        <v>322</v>
      </c>
      <c r="C236" s="20" t="s">
        <v>11</v>
      </c>
      <c r="D236" s="20" t="s">
        <v>33</v>
      </c>
      <c r="E236" s="20" t="s">
        <v>820</v>
      </c>
      <c r="F236" s="20" t="s">
        <v>11</v>
      </c>
      <c r="G236" s="20">
        <v>2</v>
      </c>
      <c r="H236" s="20">
        <v>3</v>
      </c>
      <c r="I236" s="13">
        <v>0.6</v>
      </c>
      <c r="J236" s="20" t="s">
        <v>249</v>
      </c>
      <c r="L236" s="20" t="s">
        <v>249</v>
      </c>
      <c r="M236" s="20" t="s">
        <v>821</v>
      </c>
      <c r="N236" s="20" t="s">
        <v>11</v>
      </c>
      <c r="O236" s="20">
        <v>2</v>
      </c>
      <c r="P236" s="20">
        <v>3</v>
      </c>
      <c r="Q236" s="13">
        <v>0.45038123469323549</v>
      </c>
      <c r="R236" s="20" t="s">
        <v>249</v>
      </c>
      <c r="S236" s="20">
        <v>-4.3119523949743388E-3</v>
      </c>
      <c r="T236" s="20" t="s">
        <v>249</v>
      </c>
      <c r="U236" s="20" t="s">
        <v>33</v>
      </c>
      <c r="V236" s="20">
        <v>1</v>
      </c>
      <c r="W236" s="20">
        <v>3</v>
      </c>
      <c r="X236" s="20" t="s">
        <v>490</v>
      </c>
      <c r="Y236" s="20" t="s">
        <v>292</v>
      </c>
      <c r="Z236" s="20" t="s">
        <v>60</v>
      </c>
      <c r="AA236" s="20" t="s">
        <v>491</v>
      </c>
    </row>
    <row r="237" spans="1:27" x14ac:dyDescent="0.2">
      <c r="A237" s="20" t="s">
        <v>207</v>
      </c>
      <c r="B237" s="20" t="s">
        <v>322</v>
      </c>
      <c r="C237" s="20" t="s">
        <v>31</v>
      </c>
      <c r="D237" s="20" t="s">
        <v>20</v>
      </c>
      <c r="E237" s="20" t="s">
        <v>822</v>
      </c>
      <c r="F237" s="20" t="s">
        <v>31</v>
      </c>
      <c r="G237" s="20">
        <v>2</v>
      </c>
      <c r="H237" s="20">
        <v>3</v>
      </c>
      <c r="I237" s="13">
        <v>0.6</v>
      </c>
      <c r="J237" s="20" t="s">
        <v>249</v>
      </c>
      <c r="L237" s="20" t="s">
        <v>248</v>
      </c>
      <c r="M237" s="20" t="s">
        <v>291</v>
      </c>
      <c r="N237" s="20" t="s">
        <v>31</v>
      </c>
      <c r="O237" s="20">
        <v>2</v>
      </c>
      <c r="P237" s="20">
        <v>3</v>
      </c>
      <c r="Q237" s="13">
        <v>0.52435087174716466</v>
      </c>
      <c r="R237" s="20" t="s">
        <v>249</v>
      </c>
      <c r="S237" s="20">
        <v>-0.37324310323674031</v>
      </c>
      <c r="T237" s="20" t="s">
        <v>248</v>
      </c>
      <c r="U237" s="20" t="s">
        <v>31</v>
      </c>
      <c r="V237" s="20">
        <v>4</v>
      </c>
      <c r="W237" s="20">
        <v>3</v>
      </c>
      <c r="X237" s="20" t="s">
        <v>496</v>
      </c>
      <c r="Y237" s="20" t="s">
        <v>292</v>
      </c>
      <c r="Z237" s="20" t="s">
        <v>60</v>
      </c>
      <c r="AA237" s="20" t="s">
        <v>491</v>
      </c>
    </row>
    <row r="238" spans="1:27" x14ac:dyDescent="0.2">
      <c r="A238" s="20" t="s">
        <v>207</v>
      </c>
      <c r="B238" s="20" t="s">
        <v>328</v>
      </c>
      <c r="C238" s="20" t="s">
        <v>30</v>
      </c>
      <c r="D238" s="20" t="s">
        <v>15</v>
      </c>
      <c r="E238" s="20" t="s">
        <v>823</v>
      </c>
      <c r="F238" s="20" t="s">
        <v>15</v>
      </c>
      <c r="G238" s="20">
        <v>2</v>
      </c>
      <c r="H238" s="20">
        <v>3</v>
      </c>
      <c r="I238" s="13">
        <v>0.6</v>
      </c>
      <c r="J238" s="20" t="s">
        <v>249</v>
      </c>
      <c r="L238" s="20" t="s">
        <v>249</v>
      </c>
      <c r="M238" s="20" t="s">
        <v>824</v>
      </c>
      <c r="N238" s="20" t="s">
        <v>15</v>
      </c>
      <c r="O238" s="20">
        <v>2</v>
      </c>
      <c r="P238" s="20">
        <v>3</v>
      </c>
      <c r="Q238" s="13">
        <v>0.46747009813058232</v>
      </c>
      <c r="R238" s="20" t="s">
        <v>249</v>
      </c>
      <c r="S238" s="20">
        <v>7.9876188055247321E-4</v>
      </c>
      <c r="T238" s="20" t="s">
        <v>249</v>
      </c>
      <c r="U238" s="20" t="s">
        <v>30</v>
      </c>
      <c r="V238" s="20">
        <v>5</v>
      </c>
      <c r="W238" s="20">
        <v>0</v>
      </c>
      <c r="X238" s="20" t="s">
        <v>490</v>
      </c>
      <c r="Y238" s="20" t="s">
        <v>292</v>
      </c>
      <c r="Z238" s="20" t="s">
        <v>60</v>
      </c>
      <c r="AA238" s="20" t="s">
        <v>491</v>
      </c>
    </row>
    <row r="239" spans="1:27" x14ac:dyDescent="0.2">
      <c r="A239" s="20" t="s">
        <v>207</v>
      </c>
      <c r="B239" s="20" t="s">
        <v>352</v>
      </c>
      <c r="C239" s="20" t="s">
        <v>39</v>
      </c>
      <c r="D239" s="20" t="s">
        <v>29</v>
      </c>
      <c r="E239" s="20" t="s">
        <v>699</v>
      </c>
      <c r="F239" s="20" t="s">
        <v>39</v>
      </c>
      <c r="G239" s="20">
        <v>2</v>
      </c>
      <c r="H239" s="20">
        <v>3</v>
      </c>
      <c r="I239" s="13">
        <v>0.6</v>
      </c>
      <c r="J239" s="20" t="s">
        <v>249</v>
      </c>
      <c r="L239" s="20" t="s">
        <v>248</v>
      </c>
      <c r="M239" s="20" t="s">
        <v>398</v>
      </c>
      <c r="N239" s="20" t="s">
        <v>39</v>
      </c>
      <c r="O239" s="20">
        <v>2</v>
      </c>
      <c r="P239" s="20">
        <v>3</v>
      </c>
      <c r="Q239" s="13">
        <v>0.7659561507622451</v>
      </c>
      <c r="R239" s="20" t="s">
        <v>249</v>
      </c>
      <c r="S239" s="20">
        <v>-1.7484590367420181</v>
      </c>
      <c r="T239" s="20" t="s">
        <v>248</v>
      </c>
      <c r="U239" s="20" t="s">
        <v>39</v>
      </c>
      <c r="V239" s="20">
        <v>5</v>
      </c>
      <c r="W239" s="20">
        <v>4</v>
      </c>
      <c r="X239" s="20" t="s">
        <v>490</v>
      </c>
      <c r="Y239" s="20" t="s">
        <v>292</v>
      </c>
      <c r="Z239" s="20" t="s">
        <v>60</v>
      </c>
      <c r="AA239" s="20" t="s">
        <v>491</v>
      </c>
    </row>
    <row r="240" spans="1:27" x14ac:dyDescent="0.2">
      <c r="A240" s="20" t="s">
        <v>207</v>
      </c>
      <c r="B240" s="20" t="s">
        <v>555</v>
      </c>
      <c r="C240" s="20" t="s">
        <v>14</v>
      </c>
      <c r="D240" s="20" t="s">
        <v>24</v>
      </c>
      <c r="E240" s="20" t="s">
        <v>825</v>
      </c>
      <c r="F240" s="20" t="s">
        <v>24</v>
      </c>
      <c r="G240" s="20">
        <v>2</v>
      </c>
      <c r="H240" s="20">
        <v>3</v>
      </c>
      <c r="I240" s="13">
        <v>0.6</v>
      </c>
      <c r="J240" s="20" t="s">
        <v>249</v>
      </c>
      <c r="L240" s="20" t="s">
        <v>248</v>
      </c>
      <c r="M240" s="20" t="s">
        <v>449</v>
      </c>
      <c r="N240" s="20" t="s">
        <v>24</v>
      </c>
      <c r="O240" s="20">
        <v>2</v>
      </c>
      <c r="P240" s="20">
        <v>3</v>
      </c>
      <c r="Q240" s="13">
        <v>0.60470632805755864</v>
      </c>
      <c r="R240" s="20" t="s">
        <v>249</v>
      </c>
      <c r="S240" s="20">
        <v>0.19369522125325681</v>
      </c>
      <c r="T240" s="20" t="s">
        <v>248</v>
      </c>
      <c r="U240" s="20" t="s">
        <v>24</v>
      </c>
      <c r="V240" s="20">
        <v>1</v>
      </c>
      <c r="W240" s="20">
        <v>2</v>
      </c>
      <c r="X240" s="20" t="s">
        <v>496</v>
      </c>
      <c r="Y240" s="20" t="s">
        <v>292</v>
      </c>
      <c r="Z240" s="20" t="s">
        <v>60</v>
      </c>
      <c r="AA240" s="20" t="s">
        <v>491</v>
      </c>
    </row>
    <row r="241" spans="1:27" x14ac:dyDescent="0.2">
      <c r="A241" s="20" t="s">
        <v>207</v>
      </c>
      <c r="B241" s="20" t="s">
        <v>328</v>
      </c>
      <c r="C241" s="20" t="s">
        <v>55</v>
      </c>
      <c r="D241" s="20" t="s">
        <v>18</v>
      </c>
      <c r="E241" s="20" t="s">
        <v>826</v>
      </c>
      <c r="F241" s="20" t="s">
        <v>55</v>
      </c>
      <c r="G241" s="20">
        <v>2</v>
      </c>
      <c r="H241" s="20">
        <v>3</v>
      </c>
      <c r="I241" s="13">
        <v>0.6</v>
      </c>
      <c r="J241" s="20" t="s">
        <v>249</v>
      </c>
      <c r="L241" s="20" t="s">
        <v>249</v>
      </c>
      <c r="M241" s="20" t="s">
        <v>827</v>
      </c>
      <c r="N241" s="20" t="s">
        <v>55</v>
      </c>
      <c r="O241" s="20">
        <v>2</v>
      </c>
      <c r="P241" s="20">
        <v>3</v>
      </c>
      <c r="Q241" s="13">
        <v>0.47633137193975128</v>
      </c>
      <c r="R241" s="20" t="s">
        <v>249</v>
      </c>
      <c r="S241" s="20">
        <v>-0.13986559032948029</v>
      </c>
      <c r="T241" s="20" t="s">
        <v>249</v>
      </c>
      <c r="U241" s="20" t="s">
        <v>18</v>
      </c>
      <c r="V241" s="20">
        <v>2</v>
      </c>
      <c r="W241" s="20">
        <v>6</v>
      </c>
      <c r="X241" s="20" t="s">
        <v>490</v>
      </c>
      <c r="Y241" s="20" t="s">
        <v>292</v>
      </c>
      <c r="Z241" s="20" t="s">
        <v>60</v>
      </c>
      <c r="AA241" s="20" t="s">
        <v>491</v>
      </c>
    </row>
    <row r="242" spans="1:27" x14ac:dyDescent="0.2">
      <c r="A242" s="20" t="s">
        <v>207</v>
      </c>
      <c r="B242" s="20" t="s">
        <v>322</v>
      </c>
      <c r="C242" s="20" t="s">
        <v>12</v>
      </c>
      <c r="D242" s="20" t="s">
        <v>17</v>
      </c>
      <c r="E242" s="20" t="s">
        <v>828</v>
      </c>
      <c r="F242" s="20" t="s">
        <v>12</v>
      </c>
      <c r="G242" s="20">
        <v>2</v>
      </c>
      <c r="H242" s="20">
        <v>3</v>
      </c>
      <c r="I242" s="13">
        <v>0.6</v>
      </c>
      <c r="J242" s="20" t="s">
        <v>249</v>
      </c>
      <c r="L242" s="20" t="s">
        <v>248</v>
      </c>
      <c r="M242" s="20" t="s">
        <v>361</v>
      </c>
      <c r="N242" s="20" t="s">
        <v>12</v>
      </c>
      <c r="O242" s="20">
        <v>2</v>
      </c>
      <c r="P242" s="20">
        <v>3</v>
      </c>
      <c r="Q242" s="13">
        <v>0.80575362576568399</v>
      </c>
      <c r="R242" s="20" t="s">
        <v>249</v>
      </c>
      <c r="S242" s="20">
        <v>-2.3997495737413348</v>
      </c>
      <c r="T242" s="20" t="s">
        <v>248</v>
      </c>
      <c r="U242" s="20" t="s">
        <v>12</v>
      </c>
      <c r="V242" s="20">
        <v>9</v>
      </c>
      <c r="W242" s="20">
        <v>1</v>
      </c>
      <c r="X242" s="20" t="s">
        <v>490</v>
      </c>
      <c r="Y242" s="20" t="s">
        <v>292</v>
      </c>
      <c r="Z242" s="20" t="s">
        <v>60</v>
      </c>
      <c r="AA242" s="20" t="s">
        <v>491</v>
      </c>
    </row>
    <row r="243" spans="1:27" x14ac:dyDescent="0.2">
      <c r="A243" s="20" t="s">
        <v>207</v>
      </c>
      <c r="B243" s="20" t="s">
        <v>347</v>
      </c>
      <c r="C243" s="20" t="s">
        <v>36</v>
      </c>
      <c r="D243" s="20" t="s">
        <v>27</v>
      </c>
      <c r="E243" s="20" t="s">
        <v>829</v>
      </c>
      <c r="F243" s="20" t="s">
        <v>27</v>
      </c>
      <c r="G243" s="20">
        <v>2</v>
      </c>
      <c r="H243" s="20">
        <v>3</v>
      </c>
      <c r="I243" s="13">
        <v>0.6</v>
      </c>
      <c r="J243" s="20" t="s">
        <v>249</v>
      </c>
      <c r="L243" s="20" t="s">
        <v>249</v>
      </c>
      <c r="M243" s="20" t="s">
        <v>650</v>
      </c>
      <c r="N243" s="20" t="s">
        <v>27</v>
      </c>
      <c r="O243" s="20">
        <v>2</v>
      </c>
      <c r="P243" s="20">
        <v>3</v>
      </c>
      <c r="Q243" s="13">
        <v>0.5774906825970495</v>
      </c>
      <c r="R243" s="20" t="s">
        <v>249</v>
      </c>
      <c r="S243" s="20">
        <v>0.20103721628168511</v>
      </c>
      <c r="T243" s="20" t="s">
        <v>249</v>
      </c>
      <c r="U243" s="20" t="s">
        <v>36</v>
      </c>
      <c r="V243" s="20">
        <v>3</v>
      </c>
      <c r="W243" s="20">
        <v>2</v>
      </c>
      <c r="X243" s="20" t="s">
        <v>496</v>
      </c>
      <c r="Y243" s="20" t="s">
        <v>292</v>
      </c>
      <c r="Z243" s="20" t="s">
        <v>60</v>
      </c>
      <c r="AA243" s="20" t="s">
        <v>491</v>
      </c>
    </row>
    <row r="244" spans="1:27" x14ac:dyDescent="0.2">
      <c r="A244" s="20" t="s">
        <v>207</v>
      </c>
      <c r="B244" s="20" t="s">
        <v>328</v>
      </c>
      <c r="C244" s="20" t="s">
        <v>23</v>
      </c>
      <c r="D244" s="20" t="s">
        <v>25</v>
      </c>
      <c r="E244" s="20" t="s">
        <v>830</v>
      </c>
      <c r="F244" s="20" t="s">
        <v>25</v>
      </c>
      <c r="G244" s="20">
        <v>2</v>
      </c>
      <c r="H244" s="20">
        <v>3</v>
      </c>
      <c r="I244" s="13">
        <v>0.6</v>
      </c>
      <c r="J244" s="20" t="s">
        <v>249</v>
      </c>
      <c r="L244" s="20" t="s">
        <v>248</v>
      </c>
      <c r="M244" s="20" t="s">
        <v>450</v>
      </c>
      <c r="N244" s="20" t="s">
        <v>25</v>
      </c>
      <c r="O244" s="20">
        <v>2</v>
      </c>
      <c r="P244" s="20">
        <v>3</v>
      </c>
      <c r="Q244" s="13">
        <v>0.70283940031160697</v>
      </c>
      <c r="R244" s="20" t="s">
        <v>249</v>
      </c>
      <c r="S244" s="20">
        <v>0.95168632199230485</v>
      </c>
      <c r="T244" s="20" t="s">
        <v>248</v>
      </c>
      <c r="U244" s="20" t="s">
        <v>25</v>
      </c>
      <c r="V244" s="20">
        <v>3</v>
      </c>
      <c r="W244" s="20">
        <v>6</v>
      </c>
      <c r="X244" s="20" t="s">
        <v>490</v>
      </c>
      <c r="Y244" s="20" t="s">
        <v>292</v>
      </c>
      <c r="Z244" s="20" t="s">
        <v>60</v>
      </c>
      <c r="AA244" s="20" t="s">
        <v>491</v>
      </c>
    </row>
    <row r="245" spans="1:27" x14ac:dyDescent="0.2">
      <c r="A245" s="20" t="s">
        <v>208</v>
      </c>
      <c r="B245" s="20" t="s">
        <v>322</v>
      </c>
      <c r="C245" s="20" t="s">
        <v>12</v>
      </c>
      <c r="D245" s="20" t="s">
        <v>38</v>
      </c>
      <c r="E245" s="20" t="s">
        <v>831</v>
      </c>
      <c r="F245" s="20" t="s">
        <v>12</v>
      </c>
      <c r="G245" s="20">
        <v>2</v>
      </c>
      <c r="H245" s="20">
        <v>3</v>
      </c>
      <c r="I245" s="13">
        <v>0.6</v>
      </c>
      <c r="J245" s="20" t="s">
        <v>249</v>
      </c>
      <c r="L245" s="20" t="s">
        <v>248</v>
      </c>
      <c r="M245" s="20" t="s">
        <v>361</v>
      </c>
      <c r="N245" s="20" t="s">
        <v>12</v>
      </c>
      <c r="O245" s="20">
        <v>2</v>
      </c>
      <c r="P245" s="20">
        <v>3</v>
      </c>
      <c r="Q245" s="13">
        <v>0.82800072212355857</v>
      </c>
      <c r="R245" s="20" t="s">
        <v>249</v>
      </c>
      <c r="S245" s="20">
        <v>-2.5296806646146179</v>
      </c>
      <c r="T245" s="20" t="s">
        <v>248</v>
      </c>
      <c r="U245" s="20" t="s">
        <v>12</v>
      </c>
      <c r="V245" s="20">
        <v>5</v>
      </c>
      <c r="W245" s="20">
        <v>4</v>
      </c>
      <c r="X245" s="20" t="s">
        <v>496</v>
      </c>
      <c r="Y245" s="20" t="s">
        <v>292</v>
      </c>
      <c r="Z245" s="20" t="s">
        <v>60</v>
      </c>
      <c r="AA245" s="20" t="s">
        <v>491</v>
      </c>
    </row>
    <row r="246" spans="1:27" x14ac:dyDescent="0.2">
      <c r="A246" s="20" t="s">
        <v>208</v>
      </c>
      <c r="B246" s="20" t="s">
        <v>328</v>
      </c>
      <c r="C246" s="20" t="s">
        <v>25</v>
      </c>
      <c r="D246" s="20" t="s">
        <v>19</v>
      </c>
      <c r="E246" s="20" t="s">
        <v>832</v>
      </c>
      <c r="F246" s="20" t="s">
        <v>25</v>
      </c>
      <c r="G246" s="20">
        <v>2</v>
      </c>
      <c r="H246" s="20">
        <v>3</v>
      </c>
      <c r="I246" s="13">
        <v>0.6</v>
      </c>
      <c r="J246" s="20" t="s">
        <v>249</v>
      </c>
      <c r="L246" s="20" t="s">
        <v>248</v>
      </c>
      <c r="M246" s="20" t="s">
        <v>450</v>
      </c>
      <c r="N246" s="20" t="s">
        <v>25</v>
      </c>
      <c r="O246" s="20">
        <v>2</v>
      </c>
      <c r="P246" s="20">
        <v>3</v>
      </c>
      <c r="Q246" s="13">
        <v>0.6505851147604973</v>
      </c>
      <c r="R246" s="20" t="s">
        <v>249</v>
      </c>
      <c r="S246" s="20">
        <v>-1.0102529797243709</v>
      </c>
      <c r="T246" s="20" t="s">
        <v>248</v>
      </c>
      <c r="U246" s="20" t="s">
        <v>25</v>
      </c>
      <c r="V246" s="20">
        <v>5</v>
      </c>
      <c r="W246" s="20">
        <v>4</v>
      </c>
      <c r="X246" s="20" t="s">
        <v>490</v>
      </c>
      <c r="Y246" s="20" t="s">
        <v>292</v>
      </c>
      <c r="Z246" s="20" t="s">
        <v>60</v>
      </c>
      <c r="AA246" s="20" t="s">
        <v>491</v>
      </c>
    </row>
    <row r="247" spans="1:27" x14ac:dyDescent="0.2">
      <c r="A247" s="20" t="s">
        <v>208</v>
      </c>
      <c r="B247" s="20" t="s">
        <v>459</v>
      </c>
      <c r="C247" s="20" t="s">
        <v>13</v>
      </c>
      <c r="D247" s="20" t="s">
        <v>14</v>
      </c>
      <c r="E247" s="20" t="s">
        <v>833</v>
      </c>
      <c r="F247" s="20" t="s">
        <v>14</v>
      </c>
      <c r="G247" s="20">
        <v>2</v>
      </c>
      <c r="H247" s="20">
        <v>3</v>
      </c>
      <c r="I247" s="13">
        <v>0.6</v>
      </c>
      <c r="J247" s="20" t="s">
        <v>249</v>
      </c>
      <c r="L247" s="20" t="s">
        <v>249</v>
      </c>
      <c r="M247" s="20" t="s">
        <v>834</v>
      </c>
      <c r="N247" s="20" t="s">
        <v>14</v>
      </c>
      <c r="O247" s="20">
        <v>2</v>
      </c>
      <c r="P247" s="20">
        <v>3</v>
      </c>
      <c r="Q247" s="13">
        <v>0.5023990147629066</v>
      </c>
      <c r="R247" s="20" t="s">
        <v>249</v>
      </c>
      <c r="S247" s="20">
        <v>0.24592012603488611</v>
      </c>
      <c r="T247" s="20" t="s">
        <v>249</v>
      </c>
      <c r="U247" s="20" t="s">
        <v>13</v>
      </c>
      <c r="V247" s="20">
        <v>3</v>
      </c>
      <c r="W247" s="20">
        <v>2</v>
      </c>
      <c r="X247" s="20" t="s">
        <v>490</v>
      </c>
      <c r="Y247" s="20" t="s">
        <v>292</v>
      </c>
      <c r="Z247" s="20" t="s">
        <v>60</v>
      </c>
      <c r="AA247" s="20" t="s">
        <v>491</v>
      </c>
    </row>
    <row r="248" spans="1:27" x14ac:dyDescent="0.2">
      <c r="A248" s="20" t="s">
        <v>208</v>
      </c>
      <c r="B248" s="20" t="s">
        <v>324</v>
      </c>
      <c r="C248" s="20" t="s">
        <v>16</v>
      </c>
      <c r="D248" s="20" t="s">
        <v>34</v>
      </c>
      <c r="E248" s="20" t="s">
        <v>835</v>
      </c>
      <c r="F248" s="20" t="s">
        <v>34</v>
      </c>
      <c r="G248" s="20">
        <v>2</v>
      </c>
      <c r="H248" s="20">
        <v>3</v>
      </c>
      <c r="I248" s="13">
        <v>0.6</v>
      </c>
      <c r="J248" s="20" t="s">
        <v>249</v>
      </c>
      <c r="L248" s="20" t="s">
        <v>248</v>
      </c>
      <c r="M248" s="20" t="s">
        <v>343</v>
      </c>
      <c r="N248" s="20" t="s">
        <v>34</v>
      </c>
      <c r="O248" s="20">
        <v>2</v>
      </c>
      <c r="P248" s="20">
        <v>3</v>
      </c>
      <c r="Q248" s="13">
        <v>0.66383571053823376</v>
      </c>
      <c r="R248" s="20" t="s">
        <v>249</v>
      </c>
      <c r="S248" s="20">
        <v>1.0605572405183039</v>
      </c>
      <c r="T248" s="20" t="s">
        <v>248</v>
      </c>
      <c r="U248" s="20" t="s">
        <v>34</v>
      </c>
      <c r="V248" s="20">
        <v>0</v>
      </c>
      <c r="W248" s="20">
        <v>2</v>
      </c>
      <c r="X248" s="20" t="s">
        <v>490</v>
      </c>
      <c r="Y248" s="20" t="s">
        <v>292</v>
      </c>
      <c r="Z248" s="20" t="s">
        <v>60</v>
      </c>
      <c r="AA248" s="20" t="s">
        <v>491</v>
      </c>
    </row>
    <row r="249" spans="1:27" x14ac:dyDescent="0.2">
      <c r="A249" s="20" t="s">
        <v>208</v>
      </c>
      <c r="B249" s="20" t="s">
        <v>347</v>
      </c>
      <c r="C249" s="20" t="s">
        <v>10</v>
      </c>
      <c r="D249" s="20" t="s">
        <v>26</v>
      </c>
      <c r="E249" s="20" t="s">
        <v>836</v>
      </c>
      <c r="F249" s="20" t="s">
        <v>10</v>
      </c>
      <c r="G249" s="20">
        <v>2</v>
      </c>
      <c r="H249" s="20">
        <v>3</v>
      </c>
      <c r="I249" s="13">
        <v>0.6</v>
      </c>
      <c r="J249" s="20" t="s">
        <v>249</v>
      </c>
      <c r="L249" s="20" t="s">
        <v>248</v>
      </c>
      <c r="M249" s="20" t="s">
        <v>303</v>
      </c>
      <c r="N249" s="20" t="s">
        <v>10</v>
      </c>
      <c r="O249" s="20">
        <v>2</v>
      </c>
      <c r="P249" s="20">
        <v>3</v>
      </c>
      <c r="Q249" s="13">
        <v>0.53580865112428755</v>
      </c>
      <c r="R249" s="20" t="s">
        <v>249</v>
      </c>
      <c r="S249" s="20">
        <v>-0.64924256092483335</v>
      </c>
      <c r="T249" s="20" t="s">
        <v>248</v>
      </c>
      <c r="U249" s="20" t="s">
        <v>10</v>
      </c>
      <c r="V249" s="20">
        <v>5</v>
      </c>
      <c r="W249" s="20">
        <v>1</v>
      </c>
      <c r="X249" s="20" t="s">
        <v>490</v>
      </c>
      <c r="Y249" s="20" t="s">
        <v>292</v>
      </c>
      <c r="Z249" s="20" t="s">
        <v>60</v>
      </c>
      <c r="AA249" s="20" t="s">
        <v>491</v>
      </c>
    </row>
    <row r="250" spans="1:27" x14ac:dyDescent="0.2">
      <c r="A250" s="20" t="s">
        <v>208</v>
      </c>
      <c r="B250" s="20" t="s">
        <v>328</v>
      </c>
      <c r="C250" s="20" t="s">
        <v>32</v>
      </c>
      <c r="D250" s="20" t="s">
        <v>39</v>
      </c>
      <c r="E250" s="20" t="s">
        <v>837</v>
      </c>
      <c r="F250" s="20" t="s">
        <v>39</v>
      </c>
      <c r="G250" s="20">
        <v>2</v>
      </c>
      <c r="H250" s="20">
        <v>3</v>
      </c>
      <c r="I250" s="13">
        <v>0.6</v>
      </c>
      <c r="J250" s="20" t="s">
        <v>249</v>
      </c>
      <c r="L250" s="20" t="s">
        <v>248</v>
      </c>
      <c r="M250" s="20" t="s">
        <v>398</v>
      </c>
      <c r="N250" s="20" t="s">
        <v>39</v>
      </c>
      <c r="O250" s="20">
        <v>2</v>
      </c>
      <c r="P250" s="20">
        <v>3</v>
      </c>
      <c r="Q250" s="13">
        <v>0.70217260513765822</v>
      </c>
      <c r="R250" s="20" t="s">
        <v>249</v>
      </c>
      <c r="S250" s="20">
        <v>1.112720486056372</v>
      </c>
      <c r="T250" s="20" t="s">
        <v>248</v>
      </c>
      <c r="U250" s="20" t="s">
        <v>39</v>
      </c>
      <c r="V250" s="20">
        <v>1</v>
      </c>
      <c r="W250" s="20">
        <v>2</v>
      </c>
      <c r="X250" s="20" t="s">
        <v>490</v>
      </c>
      <c r="Y250" s="20" t="s">
        <v>292</v>
      </c>
      <c r="Z250" s="20" t="s">
        <v>60</v>
      </c>
      <c r="AA250" s="20" t="s">
        <v>491</v>
      </c>
    </row>
    <row r="251" spans="1:27" x14ac:dyDescent="0.2">
      <c r="A251" s="20" t="s">
        <v>208</v>
      </c>
      <c r="B251" s="20" t="s">
        <v>322</v>
      </c>
      <c r="C251" s="20" t="s">
        <v>40</v>
      </c>
      <c r="D251" s="20" t="s">
        <v>31</v>
      </c>
      <c r="E251" s="20" t="s">
        <v>838</v>
      </c>
      <c r="F251" s="20" t="s">
        <v>31</v>
      </c>
      <c r="G251" s="20">
        <v>2</v>
      </c>
      <c r="H251" s="20">
        <v>3</v>
      </c>
      <c r="I251" s="13">
        <v>0.6</v>
      </c>
      <c r="J251" s="20" t="s">
        <v>249</v>
      </c>
      <c r="L251" s="20" t="s">
        <v>248</v>
      </c>
      <c r="M251" s="20" t="s">
        <v>291</v>
      </c>
      <c r="N251" s="20" t="s">
        <v>31</v>
      </c>
      <c r="O251" s="20">
        <v>2</v>
      </c>
      <c r="P251" s="20">
        <v>3</v>
      </c>
      <c r="Q251" s="13">
        <v>0.66326847023337154</v>
      </c>
      <c r="R251" s="20" t="s">
        <v>249</v>
      </c>
      <c r="S251" s="20">
        <v>0.5418455945452203</v>
      </c>
      <c r="T251" s="20" t="s">
        <v>248</v>
      </c>
      <c r="U251" s="20" t="s">
        <v>31</v>
      </c>
      <c r="V251" s="20">
        <v>1</v>
      </c>
      <c r="W251" s="20">
        <v>4</v>
      </c>
      <c r="X251" s="20" t="s">
        <v>490</v>
      </c>
      <c r="Y251" s="20" t="s">
        <v>292</v>
      </c>
      <c r="Z251" s="20" t="s">
        <v>60</v>
      </c>
      <c r="AA251" s="20" t="s">
        <v>491</v>
      </c>
    </row>
    <row r="252" spans="1:27" x14ac:dyDescent="0.2">
      <c r="A252" s="20" t="s">
        <v>208</v>
      </c>
      <c r="B252" s="20" t="s">
        <v>328</v>
      </c>
      <c r="C252" s="20" t="s">
        <v>55</v>
      </c>
      <c r="D252" s="20" t="s">
        <v>36</v>
      </c>
      <c r="E252" s="20" t="s">
        <v>839</v>
      </c>
      <c r="F252" s="20" t="s">
        <v>55</v>
      </c>
      <c r="G252" s="20">
        <v>2</v>
      </c>
      <c r="H252" s="20">
        <v>3</v>
      </c>
      <c r="I252" s="13">
        <v>0.6</v>
      </c>
      <c r="J252" s="20" t="s">
        <v>249</v>
      </c>
      <c r="L252" s="20" t="s">
        <v>249</v>
      </c>
      <c r="M252" s="20" t="s">
        <v>840</v>
      </c>
      <c r="N252" s="20" t="s">
        <v>55</v>
      </c>
      <c r="O252" s="20">
        <v>2</v>
      </c>
      <c r="P252" s="20">
        <v>3</v>
      </c>
      <c r="Q252" s="13">
        <v>0.46665327469730561</v>
      </c>
      <c r="R252" s="20" t="s">
        <v>249</v>
      </c>
      <c r="S252" s="20">
        <v>-7.8352012920493652E-2</v>
      </c>
      <c r="T252" s="20" t="s">
        <v>249</v>
      </c>
      <c r="U252" s="20" t="s">
        <v>36</v>
      </c>
      <c r="V252" s="20">
        <v>2</v>
      </c>
      <c r="W252" s="20">
        <v>4</v>
      </c>
      <c r="X252" s="20" t="s">
        <v>490</v>
      </c>
      <c r="Y252" s="20" t="s">
        <v>292</v>
      </c>
      <c r="Z252" s="20" t="s">
        <v>60</v>
      </c>
      <c r="AA252" s="20" t="s">
        <v>491</v>
      </c>
    </row>
    <row r="253" spans="1:27" x14ac:dyDescent="0.2">
      <c r="A253" s="20" t="s">
        <v>209</v>
      </c>
      <c r="B253" s="20" t="s">
        <v>416</v>
      </c>
      <c r="C253" s="20" t="s">
        <v>28</v>
      </c>
      <c r="D253" s="20" t="s">
        <v>17</v>
      </c>
      <c r="E253" s="20" t="s">
        <v>841</v>
      </c>
      <c r="F253" s="20" t="s">
        <v>28</v>
      </c>
      <c r="G253" s="20">
        <v>2</v>
      </c>
      <c r="H253" s="20">
        <v>3</v>
      </c>
      <c r="I253" s="13">
        <v>0.6</v>
      </c>
      <c r="J253" s="20" t="s">
        <v>249</v>
      </c>
      <c r="L253" s="20" t="s">
        <v>249</v>
      </c>
      <c r="M253" s="20" t="s">
        <v>842</v>
      </c>
      <c r="N253" s="20" t="s">
        <v>28</v>
      </c>
      <c r="O253" s="20">
        <v>2</v>
      </c>
      <c r="P253" s="20">
        <v>3</v>
      </c>
      <c r="Q253" s="13">
        <v>0.47670528796548239</v>
      </c>
      <c r="R253" s="20" t="s">
        <v>249</v>
      </c>
      <c r="S253" s="20">
        <v>-0.17285651096381899</v>
      </c>
      <c r="T253" s="20" t="s">
        <v>249</v>
      </c>
      <c r="U253" s="20" t="s">
        <v>17</v>
      </c>
      <c r="V253" s="20">
        <v>4</v>
      </c>
      <c r="W253" s="20">
        <v>5</v>
      </c>
      <c r="X253" s="20" t="s">
        <v>496</v>
      </c>
      <c r="Y253" s="20" t="s">
        <v>292</v>
      </c>
      <c r="Z253" s="20" t="s">
        <v>60</v>
      </c>
      <c r="AA253" s="20" t="s">
        <v>491</v>
      </c>
    </row>
    <row r="254" spans="1:27" x14ac:dyDescent="0.2">
      <c r="A254" s="20" t="s">
        <v>209</v>
      </c>
      <c r="B254" s="20" t="s">
        <v>328</v>
      </c>
      <c r="C254" s="20" t="s">
        <v>30</v>
      </c>
      <c r="D254" s="20" t="s">
        <v>24</v>
      </c>
      <c r="E254" s="20" t="s">
        <v>843</v>
      </c>
      <c r="F254" s="20" t="s">
        <v>24</v>
      </c>
      <c r="G254" s="20">
        <v>2</v>
      </c>
      <c r="H254" s="20">
        <v>3</v>
      </c>
      <c r="I254" s="13">
        <v>0.6</v>
      </c>
      <c r="J254" s="20" t="s">
        <v>249</v>
      </c>
      <c r="L254" s="20" t="s">
        <v>249</v>
      </c>
      <c r="M254" s="20" t="s">
        <v>844</v>
      </c>
      <c r="N254" s="20" t="s">
        <v>24</v>
      </c>
      <c r="O254" s="20">
        <v>2</v>
      </c>
      <c r="P254" s="20">
        <v>3</v>
      </c>
      <c r="Q254" s="13">
        <v>0.58343346953258379</v>
      </c>
      <c r="R254" s="20" t="s">
        <v>249</v>
      </c>
      <c r="S254" s="20">
        <v>0.29236299712909941</v>
      </c>
      <c r="T254" s="20" t="s">
        <v>249</v>
      </c>
      <c r="U254" s="20" t="s">
        <v>30</v>
      </c>
      <c r="V254" s="20">
        <v>3</v>
      </c>
      <c r="W254" s="20">
        <v>2</v>
      </c>
      <c r="X254" s="20" t="s">
        <v>496</v>
      </c>
      <c r="Y254" s="20" t="s">
        <v>292</v>
      </c>
      <c r="Z254" s="20" t="s">
        <v>60</v>
      </c>
      <c r="AA254" s="20" t="s">
        <v>491</v>
      </c>
    </row>
    <row r="255" spans="1:27" x14ac:dyDescent="0.2">
      <c r="A255" s="20" t="s">
        <v>209</v>
      </c>
      <c r="B255" s="20" t="s">
        <v>328</v>
      </c>
      <c r="C255" s="20" t="s">
        <v>29</v>
      </c>
      <c r="D255" s="20" t="s">
        <v>15</v>
      </c>
      <c r="E255" s="20" t="s">
        <v>845</v>
      </c>
      <c r="F255" s="20" t="s">
        <v>15</v>
      </c>
      <c r="G255" s="20">
        <v>2</v>
      </c>
      <c r="H255" s="20">
        <v>3</v>
      </c>
      <c r="I255" s="13">
        <v>0.6</v>
      </c>
      <c r="J255" s="20" t="s">
        <v>249</v>
      </c>
      <c r="L255" s="20" t="s">
        <v>248</v>
      </c>
      <c r="M255" s="20" t="s">
        <v>518</v>
      </c>
      <c r="N255" s="20" t="s">
        <v>15</v>
      </c>
      <c r="O255" s="20">
        <v>2</v>
      </c>
      <c r="P255" s="20">
        <v>3</v>
      </c>
      <c r="Q255" s="13">
        <v>0.67367043343978616</v>
      </c>
      <c r="R255" s="20" t="s">
        <v>249</v>
      </c>
      <c r="S255" s="20">
        <v>1.144784048249281</v>
      </c>
      <c r="T255" s="20" t="s">
        <v>248</v>
      </c>
      <c r="U255" s="20" t="s">
        <v>15</v>
      </c>
      <c r="V255" s="20">
        <v>3</v>
      </c>
      <c r="W255" s="20">
        <v>6</v>
      </c>
      <c r="X255" s="20" t="s">
        <v>490</v>
      </c>
      <c r="Y255" s="20" t="s">
        <v>292</v>
      </c>
      <c r="Z255" s="20" t="s">
        <v>60</v>
      </c>
      <c r="AA255" s="20" t="s">
        <v>491</v>
      </c>
    </row>
    <row r="256" spans="1:27" x14ac:dyDescent="0.2">
      <c r="A256" s="20" t="s">
        <v>209</v>
      </c>
      <c r="B256" s="20" t="s">
        <v>322</v>
      </c>
      <c r="C256" s="20" t="s">
        <v>11</v>
      </c>
      <c r="D256" s="20" t="s">
        <v>20</v>
      </c>
      <c r="E256" s="20" t="s">
        <v>846</v>
      </c>
      <c r="F256" s="20" t="s">
        <v>20</v>
      </c>
      <c r="G256" s="20">
        <v>2</v>
      </c>
      <c r="H256" s="20">
        <v>3</v>
      </c>
      <c r="I256" s="13">
        <v>0.6</v>
      </c>
      <c r="J256" s="20" t="s">
        <v>249</v>
      </c>
      <c r="L256" s="20" t="s">
        <v>249</v>
      </c>
      <c r="M256" s="20" t="s">
        <v>682</v>
      </c>
      <c r="N256" s="20" t="s">
        <v>20</v>
      </c>
      <c r="O256" s="20">
        <v>2</v>
      </c>
      <c r="P256" s="20">
        <v>3</v>
      </c>
      <c r="Q256" s="13">
        <v>0.56365399581956632</v>
      </c>
      <c r="R256" s="20" t="s">
        <v>249</v>
      </c>
      <c r="S256" s="20">
        <v>0.20257820966663259</v>
      </c>
      <c r="T256" s="20" t="s">
        <v>249</v>
      </c>
      <c r="U256" s="20" t="s">
        <v>11</v>
      </c>
      <c r="V256" s="20">
        <v>3</v>
      </c>
      <c r="W256" s="20">
        <v>2</v>
      </c>
      <c r="X256" s="20" t="s">
        <v>490</v>
      </c>
      <c r="Y256" s="20" t="s">
        <v>292</v>
      </c>
      <c r="Z256" s="20" t="s">
        <v>60</v>
      </c>
      <c r="AA256" s="20" t="s">
        <v>491</v>
      </c>
    </row>
    <row r="257" spans="1:27" x14ac:dyDescent="0.2">
      <c r="A257" s="20" t="s">
        <v>210</v>
      </c>
      <c r="B257" s="20" t="s">
        <v>324</v>
      </c>
      <c r="C257" s="20" t="s">
        <v>16</v>
      </c>
      <c r="D257" s="20" t="s">
        <v>35</v>
      </c>
      <c r="E257" s="20" t="s">
        <v>847</v>
      </c>
      <c r="F257" s="20" t="s">
        <v>16</v>
      </c>
      <c r="G257" s="20">
        <v>2</v>
      </c>
      <c r="H257" s="20">
        <v>3</v>
      </c>
      <c r="I257" s="13">
        <v>0.6</v>
      </c>
      <c r="J257" s="20" t="s">
        <v>249</v>
      </c>
      <c r="L257" s="20" t="s">
        <v>249</v>
      </c>
      <c r="M257" s="20" t="s">
        <v>525</v>
      </c>
      <c r="N257" s="20" t="s">
        <v>16</v>
      </c>
      <c r="O257" s="20">
        <v>2</v>
      </c>
      <c r="P257" s="20">
        <v>3</v>
      </c>
      <c r="Q257" s="13">
        <v>0.49255358790002218</v>
      </c>
      <c r="R257" s="20" t="s">
        <v>249</v>
      </c>
      <c r="S257" s="20">
        <v>-0.27879634397993919</v>
      </c>
      <c r="T257" s="20" t="s">
        <v>249</v>
      </c>
      <c r="U257" s="20" t="s">
        <v>35</v>
      </c>
      <c r="V257" s="20">
        <v>2</v>
      </c>
      <c r="W257" s="20">
        <v>3</v>
      </c>
      <c r="X257" s="20" t="s">
        <v>490</v>
      </c>
      <c r="Y257" s="20" t="s">
        <v>292</v>
      </c>
      <c r="Z257" s="20" t="s">
        <v>60</v>
      </c>
      <c r="AA257" s="20" t="s">
        <v>491</v>
      </c>
    </row>
    <row r="258" spans="1:27" x14ac:dyDescent="0.2">
      <c r="A258" s="20" t="s">
        <v>210</v>
      </c>
      <c r="B258" s="20" t="s">
        <v>322</v>
      </c>
      <c r="C258" s="20" t="s">
        <v>40</v>
      </c>
      <c r="D258" s="20" t="s">
        <v>38</v>
      </c>
      <c r="E258" s="20" t="s">
        <v>848</v>
      </c>
      <c r="F258" s="20" t="s">
        <v>40</v>
      </c>
      <c r="G258" s="20">
        <v>2</v>
      </c>
      <c r="H258" s="20">
        <v>3</v>
      </c>
      <c r="I258" s="13">
        <v>0.6</v>
      </c>
      <c r="J258" s="20" t="s">
        <v>249</v>
      </c>
      <c r="L258" s="20" t="s">
        <v>248</v>
      </c>
      <c r="M258" s="20" t="s">
        <v>315</v>
      </c>
      <c r="N258" s="20" t="s">
        <v>40</v>
      </c>
      <c r="O258" s="20">
        <v>2</v>
      </c>
      <c r="P258" s="20">
        <v>3</v>
      </c>
      <c r="Q258" s="13">
        <v>0.54902234043856335</v>
      </c>
      <c r="R258" s="20" t="s">
        <v>249</v>
      </c>
      <c r="S258" s="20">
        <v>-0.58453518240485014</v>
      </c>
      <c r="T258" s="20" t="s">
        <v>248</v>
      </c>
      <c r="U258" s="20" t="s">
        <v>40</v>
      </c>
      <c r="V258" s="20">
        <v>5</v>
      </c>
      <c r="W258" s="20">
        <v>3</v>
      </c>
      <c r="X258" s="20" t="s">
        <v>490</v>
      </c>
      <c r="Y258" s="20" t="s">
        <v>292</v>
      </c>
      <c r="Z258" s="20" t="s">
        <v>60</v>
      </c>
      <c r="AA258" s="20" t="s">
        <v>491</v>
      </c>
    </row>
    <row r="259" spans="1:27" x14ac:dyDescent="0.2">
      <c r="A259" s="20" t="s">
        <v>210</v>
      </c>
      <c r="B259" s="20" t="s">
        <v>322</v>
      </c>
      <c r="C259" s="20" t="s">
        <v>28</v>
      </c>
      <c r="D259" s="20" t="s">
        <v>32</v>
      </c>
      <c r="E259" s="20" t="s">
        <v>849</v>
      </c>
      <c r="F259" s="20" t="s">
        <v>28</v>
      </c>
      <c r="G259" s="20">
        <v>2</v>
      </c>
      <c r="H259" s="20">
        <v>3</v>
      </c>
      <c r="I259" s="13">
        <v>0.6</v>
      </c>
      <c r="J259" s="20" t="s">
        <v>249</v>
      </c>
      <c r="L259" s="20" t="s">
        <v>248</v>
      </c>
      <c r="M259" s="20" t="s">
        <v>730</v>
      </c>
      <c r="N259" s="20" t="s">
        <v>28</v>
      </c>
      <c r="O259" s="20">
        <v>2</v>
      </c>
      <c r="P259" s="20">
        <v>3</v>
      </c>
      <c r="Q259" s="13">
        <v>0.46410009198901342</v>
      </c>
      <c r="R259" s="20" t="s">
        <v>249</v>
      </c>
      <c r="S259" s="20">
        <v>-4.4870820043872994E-3</v>
      </c>
      <c r="T259" s="20" t="s">
        <v>248</v>
      </c>
      <c r="U259" s="20" t="s">
        <v>28</v>
      </c>
      <c r="V259" s="20">
        <v>2</v>
      </c>
      <c r="W259" s="20">
        <v>1</v>
      </c>
      <c r="X259" s="20" t="s">
        <v>496</v>
      </c>
      <c r="Y259" s="20" t="s">
        <v>292</v>
      </c>
      <c r="Z259" s="20" t="s">
        <v>60</v>
      </c>
      <c r="AA259" s="20" t="s">
        <v>491</v>
      </c>
    </row>
    <row r="260" spans="1:27" x14ac:dyDescent="0.2">
      <c r="A260" s="20" t="s">
        <v>210</v>
      </c>
      <c r="B260" s="20" t="s">
        <v>328</v>
      </c>
      <c r="C260" s="20" t="s">
        <v>19</v>
      </c>
      <c r="D260" s="20" t="s">
        <v>21</v>
      </c>
      <c r="E260" s="20" t="s">
        <v>850</v>
      </c>
      <c r="F260" s="20" t="s">
        <v>21</v>
      </c>
      <c r="G260" s="20">
        <v>2</v>
      </c>
      <c r="H260" s="20">
        <v>3</v>
      </c>
      <c r="I260" s="13">
        <v>0.6</v>
      </c>
      <c r="J260" s="20" t="s">
        <v>249</v>
      </c>
      <c r="L260" s="20" t="s">
        <v>248</v>
      </c>
      <c r="M260" s="20" t="s">
        <v>465</v>
      </c>
      <c r="N260" s="20" t="s">
        <v>21</v>
      </c>
      <c r="O260" s="20">
        <v>2</v>
      </c>
      <c r="P260" s="20">
        <v>3</v>
      </c>
      <c r="Q260" s="13">
        <v>0.63715157999313932</v>
      </c>
      <c r="R260" s="20" t="s">
        <v>249</v>
      </c>
      <c r="S260" s="20">
        <v>0.46460957979441142</v>
      </c>
      <c r="T260" s="20" t="s">
        <v>248</v>
      </c>
      <c r="U260" s="20" t="s">
        <v>21</v>
      </c>
      <c r="V260" s="20">
        <v>3</v>
      </c>
      <c r="W260" s="20">
        <v>5</v>
      </c>
      <c r="X260" s="20" t="s">
        <v>490</v>
      </c>
      <c r="Y260" s="20" t="s">
        <v>292</v>
      </c>
      <c r="Z260" s="20" t="s">
        <v>60</v>
      </c>
      <c r="AA260" s="20" t="s">
        <v>491</v>
      </c>
    </row>
    <row r="261" spans="1:27" x14ac:dyDescent="0.2">
      <c r="A261" s="20" t="s">
        <v>210</v>
      </c>
      <c r="B261" s="20" t="s">
        <v>328</v>
      </c>
      <c r="C261" s="20" t="s">
        <v>13</v>
      </c>
      <c r="D261" s="20" t="s">
        <v>18</v>
      </c>
      <c r="E261" s="20" t="s">
        <v>851</v>
      </c>
      <c r="F261" s="20" t="s">
        <v>13</v>
      </c>
      <c r="G261" s="20">
        <v>2</v>
      </c>
      <c r="H261" s="20">
        <v>3</v>
      </c>
      <c r="I261" s="13">
        <v>0.6</v>
      </c>
      <c r="J261" s="20" t="s">
        <v>249</v>
      </c>
      <c r="L261" s="20" t="s">
        <v>248</v>
      </c>
      <c r="M261" s="20" t="s">
        <v>628</v>
      </c>
      <c r="N261" s="20" t="s">
        <v>13</v>
      </c>
      <c r="O261" s="20">
        <v>2</v>
      </c>
      <c r="P261" s="20">
        <v>3</v>
      </c>
      <c r="Q261" s="13">
        <v>0.55021815222662374</v>
      </c>
      <c r="R261" s="20" t="s">
        <v>249</v>
      </c>
      <c r="S261" s="20">
        <v>-0.20470528067344909</v>
      </c>
      <c r="T261" s="20" t="s">
        <v>248</v>
      </c>
      <c r="U261" s="20" t="s">
        <v>13</v>
      </c>
      <c r="V261" s="20">
        <v>5</v>
      </c>
      <c r="W261" s="20">
        <v>1</v>
      </c>
      <c r="X261" s="20" t="s">
        <v>490</v>
      </c>
      <c r="Y261" s="20" t="s">
        <v>292</v>
      </c>
      <c r="Z261" s="20" t="s">
        <v>60</v>
      </c>
      <c r="AA261" s="20" t="s">
        <v>491</v>
      </c>
    </row>
    <row r="262" spans="1:27" x14ac:dyDescent="0.2">
      <c r="A262" s="20" t="s">
        <v>210</v>
      </c>
      <c r="B262" s="20" t="s">
        <v>324</v>
      </c>
      <c r="C262" s="20" t="s">
        <v>33</v>
      </c>
      <c r="D262" s="20" t="s">
        <v>34</v>
      </c>
      <c r="E262" s="20" t="s">
        <v>695</v>
      </c>
      <c r="F262" s="20" t="s">
        <v>34</v>
      </c>
      <c r="G262" s="20">
        <v>2</v>
      </c>
      <c r="H262" s="20">
        <v>3</v>
      </c>
      <c r="I262" s="13">
        <v>0.6</v>
      </c>
      <c r="J262" s="20" t="s">
        <v>249</v>
      </c>
      <c r="L262" s="20" t="s">
        <v>249</v>
      </c>
      <c r="M262" s="20" t="s">
        <v>696</v>
      </c>
      <c r="N262" s="20" t="s">
        <v>34</v>
      </c>
      <c r="O262" s="20">
        <v>2</v>
      </c>
      <c r="P262" s="20">
        <v>3</v>
      </c>
      <c r="Q262" s="13">
        <v>0.59208957093140724</v>
      </c>
      <c r="R262" s="20" t="s">
        <v>249</v>
      </c>
      <c r="S262" s="20">
        <v>0.44610695385592702</v>
      </c>
      <c r="T262" s="20" t="s">
        <v>249</v>
      </c>
      <c r="U262" s="20" t="s">
        <v>33</v>
      </c>
      <c r="V262" s="20">
        <v>2</v>
      </c>
      <c r="W262" s="20">
        <v>1</v>
      </c>
      <c r="X262" s="20" t="s">
        <v>496</v>
      </c>
      <c r="Y262" s="20" t="s">
        <v>292</v>
      </c>
      <c r="Z262" s="20" t="s">
        <v>60</v>
      </c>
      <c r="AA262" s="20" t="s">
        <v>491</v>
      </c>
    </row>
    <row r="263" spans="1:27" x14ac:dyDescent="0.2">
      <c r="A263" s="20" t="s">
        <v>210</v>
      </c>
      <c r="B263" s="20" t="s">
        <v>426</v>
      </c>
      <c r="C263" s="20" t="s">
        <v>31</v>
      </c>
      <c r="D263" s="20" t="s">
        <v>12</v>
      </c>
      <c r="E263" s="20" t="s">
        <v>852</v>
      </c>
      <c r="F263" s="20" t="s">
        <v>12</v>
      </c>
      <c r="G263" s="20">
        <v>2</v>
      </c>
      <c r="H263" s="20">
        <v>3</v>
      </c>
      <c r="I263" s="13">
        <v>0.6</v>
      </c>
      <c r="J263" s="20" t="s">
        <v>249</v>
      </c>
      <c r="L263" s="20" t="s">
        <v>248</v>
      </c>
      <c r="M263" s="20" t="s">
        <v>361</v>
      </c>
      <c r="N263" s="20" t="s">
        <v>12</v>
      </c>
      <c r="O263" s="20">
        <v>2</v>
      </c>
      <c r="P263" s="20">
        <v>3</v>
      </c>
      <c r="Q263" s="13">
        <v>0.8005092709515379</v>
      </c>
      <c r="R263" s="20" t="s">
        <v>249</v>
      </c>
      <c r="S263" s="20">
        <v>1.5031013855108719</v>
      </c>
      <c r="T263" s="20" t="s">
        <v>248</v>
      </c>
      <c r="U263" s="20" t="s">
        <v>12</v>
      </c>
      <c r="V263" s="20">
        <v>1</v>
      </c>
      <c r="W263" s="20">
        <v>4</v>
      </c>
      <c r="X263" s="20" t="s">
        <v>490</v>
      </c>
      <c r="Y263" s="20" t="s">
        <v>292</v>
      </c>
      <c r="Z263" s="20" t="s">
        <v>60</v>
      </c>
      <c r="AA263" s="20" t="s">
        <v>491</v>
      </c>
    </row>
    <row r="264" spans="1:27" x14ac:dyDescent="0.2">
      <c r="A264" s="20" t="s">
        <v>210</v>
      </c>
      <c r="B264" s="20" t="s">
        <v>328</v>
      </c>
      <c r="C264" s="20" t="s">
        <v>39</v>
      </c>
      <c r="D264" s="20" t="s">
        <v>36</v>
      </c>
      <c r="E264" s="20" t="s">
        <v>853</v>
      </c>
      <c r="F264" s="20" t="s">
        <v>39</v>
      </c>
      <c r="G264" s="20">
        <v>2</v>
      </c>
      <c r="H264" s="20">
        <v>3</v>
      </c>
      <c r="I264" s="13">
        <v>0.6</v>
      </c>
      <c r="J264" s="20" t="s">
        <v>249</v>
      </c>
      <c r="L264" s="20" t="s">
        <v>248</v>
      </c>
      <c r="M264" s="20" t="s">
        <v>398</v>
      </c>
      <c r="N264" s="20" t="s">
        <v>39</v>
      </c>
      <c r="O264" s="20">
        <v>2</v>
      </c>
      <c r="P264" s="20">
        <v>3</v>
      </c>
      <c r="Q264" s="13">
        <v>0.66381689553569467</v>
      </c>
      <c r="R264" s="20" t="s">
        <v>249</v>
      </c>
      <c r="S264" s="20">
        <v>-0.89491780379679597</v>
      </c>
      <c r="T264" s="20" t="s">
        <v>248</v>
      </c>
      <c r="U264" s="20" t="s">
        <v>39</v>
      </c>
      <c r="V264" s="20">
        <v>3</v>
      </c>
      <c r="W264" s="20">
        <v>2</v>
      </c>
      <c r="X264" s="20" t="s">
        <v>496</v>
      </c>
      <c r="Y264" s="20" t="s">
        <v>292</v>
      </c>
      <c r="Z264" s="20" t="s">
        <v>60</v>
      </c>
      <c r="AA264" s="20" t="s">
        <v>491</v>
      </c>
    </row>
    <row r="265" spans="1:27" x14ac:dyDescent="0.2">
      <c r="A265" s="20" t="s">
        <v>210</v>
      </c>
      <c r="B265" s="20" t="s">
        <v>328</v>
      </c>
      <c r="C265" s="20" t="s">
        <v>22</v>
      </c>
      <c r="D265" s="20" t="s">
        <v>25</v>
      </c>
      <c r="E265" s="20" t="s">
        <v>854</v>
      </c>
      <c r="F265" s="20" t="s">
        <v>25</v>
      </c>
      <c r="G265" s="20">
        <v>2</v>
      </c>
      <c r="H265" s="20">
        <v>3</v>
      </c>
      <c r="I265" s="13">
        <v>0.6</v>
      </c>
      <c r="J265" s="20" t="s">
        <v>249</v>
      </c>
      <c r="L265" s="20" t="s">
        <v>249</v>
      </c>
      <c r="M265" s="20" t="s">
        <v>855</v>
      </c>
      <c r="N265" s="20" t="s">
        <v>25</v>
      </c>
      <c r="O265" s="20">
        <v>2</v>
      </c>
      <c r="P265" s="20">
        <v>3</v>
      </c>
      <c r="Q265" s="13">
        <v>0.55407142990880653</v>
      </c>
      <c r="R265" s="20" t="s">
        <v>249</v>
      </c>
      <c r="S265" s="20">
        <v>3.4868653397958249E-2</v>
      </c>
      <c r="T265" s="20" t="s">
        <v>249</v>
      </c>
      <c r="U265" s="20" t="s">
        <v>22</v>
      </c>
      <c r="V265" s="20">
        <v>4</v>
      </c>
      <c r="W265" s="20">
        <v>1</v>
      </c>
      <c r="X265" s="20" t="s">
        <v>490</v>
      </c>
      <c r="Y265" s="20" t="s">
        <v>292</v>
      </c>
      <c r="Z265" s="20" t="s">
        <v>60</v>
      </c>
      <c r="AA265" s="20" t="s">
        <v>491</v>
      </c>
    </row>
    <row r="266" spans="1:27" x14ac:dyDescent="0.2">
      <c r="A266" s="20" t="s">
        <v>211</v>
      </c>
      <c r="B266" s="20" t="s">
        <v>426</v>
      </c>
      <c r="C266" s="20" t="s">
        <v>24</v>
      </c>
      <c r="D266" s="20" t="s">
        <v>10</v>
      </c>
      <c r="E266" s="20" t="s">
        <v>856</v>
      </c>
      <c r="F266" s="20" t="s">
        <v>24</v>
      </c>
      <c r="G266" s="20">
        <v>2</v>
      </c>
      <c r="H266" s="20">
        <v>3</v>
      </c>
      <c r="I266" s="13">
        <v>0.6</v>
      </c>
      <c r="J266" s="20" t="s">
        <v>249</v>
      </c>
      <c r="L266" s="20" t="s">
        <v>248</v>
      </c>
      <c r="M266" s="20" t="s">
        <v>449</v>
      </c>
      <c r="N266" s="20" t="s">
        <v>24</v>
      </c>
      <c r="O266" s="20">
        <v>2</v>
      </c>
      <c r="P266" s="20">
        <v>3</v>
      </c>
      <c r="Q266" s="13">
        <v>0.49569477447551491</v>
      </c>
      <c r="R266" s="20" t="s">
        <v>249</v>
      </c>
      <c r="S266" s="20">
        <v>-0.12782575702575541</v>
      </c>
      <c r="T266" s="20" t="s">
        <v>248</v>
      </c>
      <c r="U266" s="20" t="s">
        <v>24</v>
      </c>
      <c r="V266" s="20">
        <v>4</v>
      </c>
      <c r="W266" s="20">
        <v>3</v>
      </c>
      <c r="X266" s="20" t="s">
        <v>496</v>
      </c>
      <c r="Y266" s="20" t="s">
        <v>292</v>
      </c>
      <c r="Z266" s="20" t="s">
        <v>60</v>
      </c>
      <c r="AA266" s="20" t="s">
        <v>491</v>
      </c>
    </row>
    <row r="267" spans="1:27" x14ac:dyDescent="0.2">
      <c r="A267" s="20" t="s">
        <v>211</v>
      </c>
      <c r="B267" s="20" t="s">
        <v>334</v>
      </c>
      <c r="C267" s="20" t="s">
        <v>17</v>
      </c>
      <c r="D267" s="20" t="s">
        <v>27</v>
      </c>
      <c r="E267" s="20" t="s">
        <v>857</v>
      </c>
      <c r="F267" s="20" t="s">
        <v>27</v>
      </c>
      <c r="G267" s="20">
        <v>2</v>
      </c>
      <c r="H267" s="20">
        <v>3</v>
      </c>
      <c r="I267" s="13">
        <v>0.6</v>
      </c>
      <c r="J267" s="20" t="s">
        <v>249</v>
      </c>
      <c r="L267" s="20" t="s">
        <v>249</v>
      </c>
      <c r="M267" s="20" t="s">
        <v>858</v>
      </c>
      <c r="N267" s="20" t="s">
        <v>27</v>
      </c>
      <c r="O267" s="20">
        <v>2</v>
      </c>
      <c r="P267" s="20">
        <v>3</v>
      </c>
      <c r="Q267" s="13">
        <v>0.61092867823691233</v>
      </c>
      <c r="R267" s="20" t="s">
        <v>249</v>
      </c>
      <c r="S267" s="20">
        <v>0.48740782965436819</v>
      </c>
      <c r="T267" s="20" t="s">
        <v>249</v>
      </c>
      <c r="U267" s="20" t="s">
        <v>17</v>
      </c>
      <c r="V267" s="20">
        <v>2</v>
      </c>
      <c r="W267" s="20">
        <v>1</v>
      </c>
      <c r="X267" s="20" t="s">
        <v>496</v>
      </c>
      <c r="Y267" s="20" t="s">
        <v>292</v>
      </c>
      <c r="Z267" s="20" t="s">
        <v>60</v>
      </c>
      <c r="AA267" s="20" t="s">
        <v>491</v>
      </c>
    </row>
    <row r="268" spans="1:27" x14ac:dyDescent="0.2">
      <c r="A268" s="20" t="s">
        <v>211</v>
      </c>
      <c r="B268" s="20" t="s">
        <v>328</v>
      </c>
      <c r="C268" s="20" t="s">
        <v>15</v>
      </c>
      <c r="D268" s="20" t="s">
        <v>37</v>
      </c>
      <c r="E268" s="20" t="s">
        <v>859</v>
      </c>
      <c r="F268" s="20" t="s">
        <v>37</v>
      </c>
      <c r="G268" s="20">
        <v>2</v>
      </c>
      <c r="H268" s="20">
        <v>3</v>
      </c>
      <c r="I268" s="13">
        <v>0.6</v>
      </c>
      <c r="J268" s="20" t="s">
        <v>249</v>
      </c>
      <c r="L268" s="20" t="s">
        <v>249</v>
      </c>
      <c r="M268" s="20" t="s">
        <v>860</v>
      </c>
      <c r="N268" s="20" t="s">
        <v>37</v>
      </c>
      <c r="O268" s="20">
        <v>2</v>
      </c>
      <c r="P268" s="20">
        <v>3</v>
      </c>
      <c r="Q268" s="13">
        <v>0.57162610749903808</v>
      </c>
      <c r="R268" s="20" t="s">
        <v>249</v>
      </c>
      <c r="S268" s="20">
        <v>0.8504396801537093</v>
      </c>
      <c r="T268" s="20" t="s">
        <v>249</v>
      </c>
      <c r="U268" s="20" t="s">
        <v>15</v>
      </c>
      <c r="V268" s="20">
        <v>7</v>
      </c>
      <c r="W268" s="20">
        <v>3</v>
      </c>
      <c r="X268" s="20" t="s">
        <v>490</v>
      </c>
      <c r="Y268" s="20" t="s">
        <v>292</v>
      </c>
      <c r="Z268" s="20" t="s">
        <v>60</v>
      </c>
      <c r="AA268" s="20" t="s">
        <v>491</v>
      </c>
    </row>
    <row r="269" spans="1:27" x14ac:dyDescent="0.2">
      <c r="A269" s="20" t="s">
        <v>211</v>
      </c>
      <c r="B269" s="20" t="s">
        <v>326</v>
      </c>
      <c r="C269" s="20" t="s">
        <v>23</v>
      </c>
      <c r="D269" s="20" t="s">
        <v>55</v>
      </c>
      <c r="E269" s="20" t="s">
        <v>861</v>
      </c>
      <c r="F269" s="20" t="s">
        <v>55</v>
      </c>
      <c r="G269" s="20">
        <v>2</v>
      </c>
      <c r="H269" s="20">
        <v>3</v>
      </c>
      <c r="I269" s="13">
        <v>0.6</v>
      </c>
      <c r="J269" s="20" t="s">
        <v>249</v>
      </c>
      <c r="L269" s="20" t="s">
        <v>248</v>
      </c>
      <c r="M269" s="20" t="s">
        <v>362</v>
      </c>
      <c r="N269" s="20" t="s">
        <v>55</v>
      </c>
      <c r="O269" s="20">
        <v>2</v>
      </c>
      <c r="P269" s="20">
        <v>3</v>
      </c>
      <c r="Q269" s="13">
        <v>0.59478015295826725</v>
      </c>
      <c r="R269" s="20" t="s">
        <v>249</v>
      </c>
      <c r="S269" s="20">
        <v>0.1228878956425697</v>
      </c>
      <c r="T269" s="20" t="s">
        <v>248</v>
      </c>
      <c r="U269" s="20" t="s">
        <v>55</v>
      </c>
      <c r="V269" s="20">
        <v>2</v>
      </c>
      <c r="W269" s="20">
        <v>5</v>
      </c>
      <c r="X269" s="20" t="s">
        <v>490</v>
      </c>
      <c r="Y269" s="20" t="s">
        <v>292</v>
      </c>
      <c r="Z269" s="20" t="s">
        <v>60</v>
      </c>
      <c r="AA269" s="20" t="s">
        <v>491</v>
      </c>
    </row>
    <row r="270" spans="1:27" x14ac:dyDescent="0.2">
      <c r="A270" s="20" t="s">
        <v>212</v>
      </c>
      <c r="B270" s="20" t="s">
        <v>322</v>
      </c>
      <c r="C270" s="20" t="s">
        <v>30</v>
      </c>
      <c r="D270" s="20" t="s">
        <v>20</v>
      </c>
      <c r="E270" s="20" t="s">
        <v>862</v>
      </c>
      <c r="F270" s="20" t="s">
        <v>20</v>
      </c>
      <c r="G270" s="20">
        <v>2</v>
      </c>
      <c r="H270" s="20">
        <v>3</v>
      </c>
      <c r="I270" s="13">
        <v>0.6</v>
      </c>
      <c r="J270" s="20" t="s">
        <v>249</v>
      </c>
      <c r="L270" s="20" t="s">
        <v>249</v>
      </c>
      <c r="M270" s="20" t="s">
        <v>863</v>
      </c>
      <c r="N270" s="20" t="s">
        <v>20</v>
      </c>
      <c r="O270" s="20">
        <v>2</v>
      </c>
      <c r="P270" s="20">
        <v>3</v>
      </c>
      <c r="Q270" s="13">
        <v>0.47279377178607768</v>
      </c>
      <c r="R270" s="20" t="s">
        <v>249</v>
      </c>
      <c r="S270" s="20">
        <v>4.6391916043858672E-2</v>
      </c>
      <c r="T270" s="20" t="s">
        <v>249</v>
      </c>
      <c r="U270" s="20" t="s">
        <v>30</v>
      </c>
      <c r="V270" s="20">
        <v>4</v>
      </c>
      <c r="W270" s="20">
        <v>3</v>
      </c>
      <c r="X270" s="20" t="s">
        <v>496</v>
      </c>
      <c r="Y270" s="20" t="s">
        <v>292</v>
      </c>
      <c r="Z270" s="20" t="s">
        <v>60</v>
      </c>
      <c r="AA270" s="20" t="s">
        <v>491</v>
      </c>
    </row>
    <row r="271" spans="1:27" x14ac:dyDescent="0.2">
      <c r="A271" s="20" t="s">
        <v>212</v>
      </c>
      <c r="B271" s="20" t="s">
        <v>328</v>
      </c>
      <c r="C271" s="20" t="s">
        <v>13</v>
      </c>
      <c r="D271" s="20" t="s">
        <v>19</v>
      </c>
      <c r="E271" s="20" t="s">
        <v>864</v>
      </c>
      <c r="F271" s="20" t="s">
        <v>13</v>
      </c>
      <c r="G271" s="20">
        <v>2</v>
      </c>
      <c r="H271" s="20">
        <v>3</v>
      </c>
      <c r="I271" s="13">
        <v>0.6</v>
      </c>
      <c r="J271" s="20" t="s">
        <v>249</v>
      </c>
      <c r="L271" s="20" t="s">
        <v>248</v>
      </c>
      <c r="M271" s="20" t="s">
        <v>628</v>
      </c>
      <c r="N271" s="20" t="s">
        <v>13</v>
      </c>
      <c r="O271" s="20">
        <v>2</v>
      </c>
      <c r="P271" s="20">
        <v>3</v>
      </c>
      <c r="Q271" s="13">
        <v>0.55507427747143212</v>
      </c>
      <c r="R271" s="20" t="s">
        <v>249</v>
      </c>
      <c r="S271" s="20">
        <v>-0.24629424371860439</v>
      </c>
      <c r="T271" s="20" t="s">
        <v>248</v>
      </c>
      <c r="U271" s="20" t="s">
        <v>13</v>
      </c>
      <c r="V271" s="20">
        <v>4</v>
      </c>
      <c r="W271" s="20">
        <v>3</v>
      </c>
      <c r="X271" s="20" t="s">
        <v>496</v>
      </c>
      <c r="Y271" s="20" t="s">
        <v>292</v>
      </c>
      <c r="Z271" s="20" t="s">
        <v>60</v>
      </c>
      <c r="AA271" s="20" t="s">
        <v>491</v>
      </c>
    </row>
    <row r="272" spans="1:27" x14ac:dyDescent="0.2">
      <c r="A272" s="20" t="s">
        <v>212</v>
      </c>
      <c r="B272" s="20" t="s">
        <v>322</v>
      </c>
      <c r="C272" s="20" t="s">
        <v>40</v>
      </c>
      <c r="D272" s="20" t="s">
        <v>32</v>
      </c>
      <c r="E272" s="20" t="s">
        <v>865</v>
      </c>
      <c r="F272" s="20" t="s">
        <v>40</v>
      </c>
      <c r="G272" s="20">
        <v>2</v>
      </c>
      <c r="H272" s="20">
        <v>3</v>
      </c>
      <c r="I272" s="13">
        <v>0.6</v>
      </c>
      <c r="J272" s="20" t="s">
        <v>249</v>
      </c>
      <c r="L272" s="20" t="s">
        <v>249</v>
      </c>
      <c r="M272" s="20" t="s">
        <v>652</v>
      </c>
      <c r="N272" s="20" t="s">
        <v>40</v>
      </c>
      <c r="O272" s="20">
        <v>2</v>
      </c>
      <c r="P272" s="20">
        <v>3</v>
      </c>
      <c r="Q272" s="13">
        <v>0.51419135214663902</v>
      </c>
      <c r="R272" s="20" t="s">
        <v>249</v>
      </c>
      <c r="S272" s="20">
        <v>-0.28623466257213598</v>
      </c>
      <c r="T272" s="20" t="s">
        <v>249</v>
      </c>
      <c r="U272" s="20" t="s">
        <v>32</v>
      </c>
      <c r="V272" s="20">
        <v>3</v>
      </c>
      <c r="W272" s="20">
        <v>5</v>
      </c>
      <c r="X272" s="20" t="s">
        <v>490</v>
      </c>
      <c r="Y272" s="20" t="s">
        <v>292</v>
      </c>
      <c r="Z272" s="20" t="s">
        <v>60</v>
      </c>
      <c r="AA272" s="20" t="s">
        <v>491</v>
      </c>
    </row>
    <row r="273" spans="1:27" x14ac:dyDescent="0.2">
      <c r="A273" s="20" t="s">
        <v>212</v>
      </c>
      <c r="B273" s="20" t="s">
        <v>328</v>
      </c>
      <c r="C273" s="20" t="s">
        <v>21</v>
      </c>
      <c r="D273" s="20" t="s">
        <v>36</v>
      </c>
      <c r="E273" s="20" t="s">
        <v>702</v>
      </c>
      <c r="F273" s="20" t="s">
        <v>21</v>
      </c>
      <c r="G273" s="20">
        <v>2</v>
      </c>
      <c r="H273" s="20">
        <v>3</v>
      </c>
      <c r="I273" s="13">
        <v>0.6</v>
      </c>
      <c r="J273" s="20" t="s">
        <v>249</v>
      </c>
      <c r="L273" s="20" t="s">
        <v>249</v>
      </c>
      <c r="M273" s="20" t="s">
        <v>703</v>
      </c>
      <c r="N273" s="20" t="s">
        <v>21</v>
      </c>
      <c r="O273" s="20">
        <v>2</v>
      </c>
      <c r="P273" s="20">
        <v>3</v>
      </c>
      <c r="Q273" s="13">
        <v>0.48889131780087369</v>
      </c>
      <c r="R273" s="20" t="s">
        <v>249</v>
      </c>
      <c r="S273" s="20">
        <v>-0.26170554149394448</v>
      </c>
      <c r="T273" s="20" t="s">
        <v>249</v>
      </c>
      <c r="U273" s="20" t="s">
        <v>36</v>
      </c>
      <c r="V273" s="20">
        <v>3</v>
      </c>
      <c r="W273" s="20">
        <v>5</v>
      </c>
      <c r="X273" s="20" t="s">
        <v>490</v>
      </c>
      <c r="Y273" s="20" t="s">
        <v>292</v>
      </c>
      <c r="Z273" s="20" t="s">
        <v>60</v>
      </c>
      <c r="AA273" s="20" t="s">
        <v>491</v>
      </c>
    </row>
    <row r="274" spans="1:27" x14ac:dyDescent="0.2">
      <c r="A274" s="20" t="s">
        <v>212</v>
      </c>
      <c r="B274" s="20" t="s">
        <v>326</v>
      </c>
      <c r="C274" s="20" t="s">
        <v>33</v>
      </c>
      <c r="D274" s="20" t="s">
        <v>16</v>
      </c>
      <c r="E274" s="20" t="s">
        <v>866</v>
      </c>
      <c r="F274" s="20" t="s">
        <v>33</v>
      </c>
      <c r="G274" s="20">
        <v>2</v>
      </c>
      <c r="H274" s="20">
        <v>3</v>
      </c>
      <c r="I274" s="13">
        <v>0.6</v>
      </c>
      <c r="J274" s="20" t="s">
        <v>249</v>
      </c>
      <c r="L274" s="20" t="s">
        <v>249</v>
      </c>
      <c r="M274" s="20" t="s">
        <v>867</v>
      </c>
      <c r="N274" s="20" t="s">
        <v>33</v>
      </c>
      <c r="O274" s="20">
        <v>2</v>
      </c>
      <c r="P274" s="20">
        <v>3</v>
      </c>
      <c r="Q274" s="13">
        <v>0.52591949068755661</v>
      </c>
      <c r="R274" s="20" t="s">
        <v>249</v>
      </c>
      <c r="S274" s="20">
        <v>-0.56454953773921501</v>
      </c>
      <c r="T274" s="20" t="s">
        <v>249</v>
      </c>
      <c r="U274" s="20" t="s">
        <v>16</v>
      </c>
      <c r="V274" s="20">
        <v>0</v>
      </c>
      <c r="W274" s="20">
        <v>2</v>
      </c>
      <c r="X274" s="20" t="s">
        <v>490</v>
      </c>
      <c r="Y274" s="20" t="s">
        <v>292</v>
      </c>
      <c r="Z274" s="20" t="s">
        <v>60</v>
      </c>
      <c r="AA274" s="20" t="s">
        <v>491</v>
      </c>
    </row>
    <row r="275" spans="1:27" x14ac:dyDescent="0.2">
      <c r="A275" s="20" t="s">
        <v>212</v>
      </c>
      <c r="B275" s="20" t="s">
        <v>328</v>
      </c>
      <c r="C275" s="20" t="s">
        <v>22</v>
      </c>
      <c r="D275" s="20" t="s">
        <v>11</v>
      </c>
      <c r="E275" s="20" t="s">
        <v>868</v>
      </c>
      <c r="F275" s="20" t="s">
        <v>22</v>
      </c>
      <c r="G275" s="20">
        <v>2</v>
      </c>
      <c r="H275" s="20">
        <v>3</v>
      </c>
      <c r="I275" s="13">
        <v>0.6</v>
      </c>
      <c r="J275" s="20" t="s">
        <v>249</v>
      </c>
      <c r="L275" s="20" t="s">
        <v>249</v>
      </c>
      <c r="M275" s="20" t="s">
        <v>869</v>
      </c>
      <c r="N275" s="20" t="s">
        <v>22</v>
      </c>
      <c r="O275" s="20">
        <v>2</v>
      </c>
      <c r="P275" s="20">
        <v>3</v>
      </c>
      <c r="Q275" s="13">
        <v>0.58037393944359772</v>
      </c>
      <c r="R275" s="20" t="s">
        <v>249</v>
      </c>
      <c r="S275" s="20">
        <v>-0.78792477499470093</v>
      </c>
      <c r="T275" s="20" t="s">
        <v>249</v>
      </c>
      <c r="U275" s="20" t="s">
        <v>11</v>
      </c>
      <c r="V275" s="20">
        <v>3</v>
      </c>
      <c r="W275" s="20">
        <v>6</v>
      </c>
      <c r="X275" s="20" t="s">
        <v>490</v>
      </c>
      <c r="Y275" s="20" t="s">
        <v>292</v>
      </c>
      <c r="Z275" s="20" t="s">
        <v>60</v>
      </c>
      <c r="AA275" s="20" t="s">
        <v>491</v>
      </c>
    </row>
    <row r="276" spans="1:27" x14ac:dyDescent="0.2">
      <c r="A276" s="20" t="s">
        <v>212</v>
      </c>
      <c r="B276" s="20" t="s">
        <v>328</v>
      </c>
      <c r="C276" s="20" t="s">
        <v>31</v>
      </c>
      <c r="D276" s="20" t="s">
        <v>26</v>
      </c>
      <c r="E276" s="20" t="s">
        <v>870</v>
      </c>
      <c r="F276" s="20" t="s">
        <v>31</v>
      </c>
      <c r="G276" s="20">
        <v>2</v>
      </c>
      <c r="H276" s="20">
        <v>3</v>
      </c>
      <c r="I276" s="13">
        <v>0.6</v>
      </c>
      <c r="J276" s="20" t="s">
        <v>249</v>
      </c>
      <c r="L276" s="20" t="s">
        <v>249</v>
      </c>
      <c r="M276" s="20" t="s">
        <v>871</v>
      </c>
      <c r="N276" s="20" t="s">
        <v>31</v>
      </c>
      <c r="O276" s="20">
        <v>2</v>
      </c>
      <c r="P276" s="20">
        <v>3</v>
      </c>
      <c r="Q276" s="13">
        <v>0.59801761042551338</v>
      </c>
      <c r="R276" s="20" t="s">
        <v>249</v>
      </c>
      <c r="S276" s="20">
        <v>-1.0041418379484131</v>
      </c>
      <c r="T276" s="20" t="s">
        <v>249</v>
      </c>
      <c r="U276" s="20" t="s">
        <v>26</v>
      </c>
      <c r="V276" s="20">
        <v>3</v>
      </c>
      <c r="W276" s="20">
        <v>6</v>
      </c>
      <c r="X276" s="20" t="s">
        <v>490</v>
      </c>
      <c r="Y276" s="20" t="s">
        <v>292</v>
      </c>
      <c r="Z276" s="20" t="s">
        <v>60</v>
      </c>
      <c r="AA276" s="20" t="s">
        <v>491</v>
      </c>
    </row>
    <row r="277" spans="1:27" x14ac:dyDescent="0.2">
      <c r="A277" s="20" t="s">
        <v>212</v>
      </c>
      <c r="B277" s="20" t="s">
        <v>326</v>
      </c>
      <c r="C277" s="20" t="s">
        <v>23</v>
      </c>
      <c r="D277" s="20" t="s">
        <v>12</v>
      </c>
      <c r="E277" s="20" t="s">
        <v>872</v>
      </c>
      <c r="F277" s="20" t="s">
        <v>12</v>
      </c>
      <c r="G277" s="20">
        <v>2</v>
      </c>
      <c r="H277" s="20">
        <v>3</v>
      </c>
      <c r="I277" s="13">
        <v>0.6</v>
      </c>
      <c r="J277" s="20" t="s">
        <v>249</v>
      </c>
      <c r="L277" s="20" t="s">
        <v>248</v>
      </c>
      <c r="M277" s="20" t="s">
        <v>361</v>
      </c>
      <c r="N277" s="20" t="s">
        <v>12</v>
      </c>
      <c r="O277" s="20">
        <v>2</v>
      </c>
      <c r="P277" s="20">
        <v>3</v>
      </c>
      <c r="Q277" s="13">
        <v>0.89629830338808214</v>
      </c>
      <c r="R277" s="20" t="s">
        <v>249</v>
      </c>
      <c r="S277" s="20">
        <v>2.1579148430907278</v>
      </c>
      <c r="T277" s="20" t="s">
        <v>248</v>
      </c>
      <c r="U277" s="20" t="s">
        <v>12</v>
      </c>
      <c r="V277" s="20">
        <v>3</v>
      </c>
      <c r="W277" s="20">
        <v>6</v>
      </c>
      <c r="X277" s="20" t="s">
        <v>490</v>
      </c>
      <c r="Y277" s="20" t="s">
        <v>292</v>
      </c>
      <c r="Z277" s="20" t="s">
        <v>60</v>
      </c>
      <c r="AA277" s="20" t="s">
        <v>491</v>
      </c>
    </row>
    <row r="278" spans="1:27" x14ac:dyDescent="0.2">
      <c r="A278" s="20" t="s">
        <v>212</v>
      </c>
      <c r="B278" s="20" t="s">
        <v>328</v>
      </c>
      <c r="C278" s="20" t="s">
        <v>39</v>
      </c>
      <c r="D278" s="20" t="s">
        <v>18</v>
      </c>
      <c r="E278" s="20" t="s">
        <v>873</v>
      </c>
      <c r="F278" s="20" t="s">
        <v>39</v>
      </c>
      <c r="G278" s="20">
        <v>2</v>
      </c>
      <c r="H278" s="20">
        <v>3</v>
      </c>
      <c r="I278" s="13">
        <v>0.6</v>
      </c>
      <c r="J278" s="20" t="s">
        <v>249</v>
      </c>
      <c r="L278" s="20" t="s">
        <v>248</v>
      </c>
      <c r="M278" s="20" t="s">
        <v>398</v>
      </c>
      <c r="N278" s="20" t="s">
        <v>39</v>
      </c>
      <c r="O278" s="20">
        <v>2</v>
      </c>
      <c r="P278" s="20">
        <v>3</v>
      </c>
      <c r="Q278" s="13">
        <v>0.67347523248448404</v>
      </c>
      <c r="R278" s="20" t="s">
        <v>249</v>
      </c>
      <c r="S278" s="20">
        <v>-0.95643138120578253</v>
      </c>
      <c r="T278" s="20" t="s">
        <v>248</v>
      </c>
      <c r="U278" s="20" t="s">
        <v>39</v>
      </c>
      <c r="V278" s="20">
        <v>7</v>
      </c>
      <c r="W278" s="20">
        <v>0</v>
      </c>
      <c r="X278" s="20" t="s">
        <v>490</v>
      </c>
      <c r="Y278" s="20" t="s">
        <v>292</v>
      </c>
      <c r="Z278" s="20" t="s">
        <v>60</v>
      </c>
      <c r="AA278" s="20" t="s">
        <v>491</v>
      </c>
    </row>
    <row r="279" spans="1:27" x14ac:dyDescent="0.2">
      <c r="A279" s="20" t="s">
        <v>212</v>
      </c>
      <c r="B279" s="20" t="s">
        <v>334</v>
      </c>
      <c r="C279" s="20" t="s">
        <v>17</v>
      </c>
      <c r="D279" s="20" t="s">
        <v>28</v>
      </c>
      <c r="E279" s="20" t="s">
        <v>874</v>
      </c>
      <c r="F279" s="20" t="s">
        <v>28</v>
      </c>
      <c r="G279" s="20">
        <v>2</v>
      </c>
      <c r="H279" s="20">
        <v>3</v>
      </c>
      <c r="I279" s="13">
        <v>0.6</v>
      </c>
      <c r="J279" s="20" t="s">
        <v>249</v>
      </c>
      <c r="L279" s="20" t="s">
        <v>248</v>
      </c>
      <c r="M279" s="20" t="s">
        <v>730</v>
      </c>
      <c r="N279" s="20" t="s">
        <v>28</v>
      </c>
      <c r="O279" s="20">
        <v>2</v>
      </c>
      <c r="P279" s="20">
        <v>3</v>
      </c>
      <c r="Q279" s="13">
        <v>0.57183684667358736</v>
      </c>
      <c r="R279" s="20" t="s">
        <v>249</v>
      </c>
      <c r="S279" s="20">
        <v>0.2726580088101439</v>
      </c>
      <c r="T279" s="20" t="s">
        <v>248</v>
      </c>
      <c r="U279" s="20" t="s">
        <v>28</v>
      </c>
      <c r="V279" s="20">
        <v>4</v>
      </c>
      <c r="W279" s="20">
        <v>5</v>
      </c>
      <c r="X279" s="20" t="s">
        <v>490</v>
      </c>
      <c r="Y279" s="20" t="s">
        <v>292</v>
      </c>
      <c r="Z279" s="20" t="s">
        <v>60</v>
      </c>
      <c r="AA279" s="20" t="s">
        <v>491</v>
      </c>
    </row>
    <row r="280" spans="1:27" x14ac:dyDescent="0.2">
      <c r="A280" s="20" t="s">
        <v>213</v>
      </c>
      <c r="B280" s="20" t="s">
        <v>326</v>
      </c>
      <c r="C280" s="20" t="s">
        <v>30</v>
      </c>
      <c r="D280" s="20" t="s">
        <v>55</v>
      </c>
      <c r="E280" s="20" t="s">
        <v>875</v>
      </c>
      <c r="F280" s="20" t="s">
        <v>30</v>
      </c>
      <c r="G280" s="20">
        <v>2</v>
      </c>
      <c r="H280" s="20">
        <v>3</v>
      </c>
      <c r="I280" s="13">
        <v>0.6</v>
      </c>
      <c r="J280" s="20" t="s">
        <v>249</v>
      </c>
      <c r="L280" s="20" t="s">
        <v>248</v>
      </c>
      <c r="M280" s="20" t="s">
        <v>580</v>
      </c>
      <c r="N280" s="20" t="s">
        <v>30</v>
      </c>
      <c r="O280" s="20">
        <v>2</v>
      </c>
      <c r="P280" s="20">
        <v>3</v>
      </c>
      <c r="Q280" s="13">
        <v>0.50473168987713912</v>
      </c>
      <c r="R280" s="20" t="s">
        <v>249</v>
      </c>
      <c r="S280" s="20">
        <v>-0.11229054265668741</v>
      </c>
      <c r="T280" s="20" t="s">
        <v>248</v>
      </c>
      <c r="U280" s="20" t="s">
        <v>30</v>
      </c>
      <c r="V280" s="20">
        <v>3</v>
      </c>
      <c r="W280" s="20">
        <v>2</v>
      </c>
      <c r="X280" s="20" t="s">
        <v>496</v>
      </c>
      <c r="Y280" s="20" t="s">
        <v>292</v>
      </c>
      <c r="Z280" s="20" t="s">
        <v>60</v>
      </c>
      <c r="AA280" s="20" t="s">
        <v>491</v>
      </c>
    </row>
    <row r="281" spans="1:27" x14ac:dyDescent="0.2">
      <c r="A281" s="20" t="s">
        <v>213</v>
      </c>
      <c r="B281" s="20" t="s">
        <v>459</v>
      </c>
      <c r="C281" s="20" t="s">
        <v>14</v>
      </c>
      <c r="D281" s="20" t="s">
        <v>29</v>
      </c>
      <c r="E281" s="20" t="s">
        <v>876</v>
      </c>
      <c r="F281" s="20" t="s">
        <v>14</v>
      </c>
      <c r="G281" s="20">
        <v>2</v>
      </c>
      <c r="H281" s="20">
        <v>3</v>
      </c>
      <c r="I281" s="13">
        <v>0.6</v>
      </c>
      <c r="J281" s="20" t="s">
        <v>249</v>
      </c>
      <c r="L281" s="20" t="s">
        <v>249</v>
      </c>
      <c r="M281" s="20" t="s">
        <v>877</v>
      </c>
      <c r="N281" s="20" t="s">
        <v>14</v>
      </c>
      <c r="O281" s="20">
        <v>2</v>
      </c>
      <c r="P281" s="20">
        <v>3</v>
      </c>
      <c r="Q281" s="13">
        <v>0.63855816958625278</v>
      </c>
      <c r="R281" s="20" t="s">
        <v>249</v>
      </c>
      <c r="S281" s="20">
        <v>-1.192752313321408</v>
      </c>
      <c r="T281" s="20" t="s">
        <v>249</v>
      </c>
      <c r="U281" s="20" t="s">
        <v>29</v>
      </c>
      <c r="V281" s="20">
        <v>1</v>
      </c>
      <c r="W281" s="20">
        <v>2</v>
      </c>
      <c r="X281" s="20" t="s">
        <v>496</v>
      </c>
      <c r="Y281" s="20" t="s">
        <v>292</v>
      </c>
      <c r="Z281" s="20" t="s">
        <v>60</v>
      </c>
      <c r="AA281" s="20" t="s">
        <v>491</v>
      </c>
    </row>
    <row r="282" spans="1:27" x14ac:dyDescent="0.2">
      <c r="A282" s="20" t="s">
        <v>213</v>
      </c>
      <c r="B282" s="20" t="s">
        <v>324</v>
      </c>
      <c r="C282" s="20" t="s">
        <v>27</v>
      </c>
      <c r="D282" s="20" t="s">
        <v>35</v>
      </c>
      <c r="E282" s="20" t="s">
        <v>878</v>
      </c>
      <c r="F282" s="20" t="s">
        <v>27</v>
      </c>
      <c r="G282" s="20">
        <v>2</v>
      </c>
      <c r="H282" s="20">
        <v>3</v>
      </c>
      <c r="I282" s="13">
        <v>0.6</v>
      </c>
      <c r="J282" s="20" t="s">
        <v>249</v>
      </c>
      <c r="L282" s="20" t="s">
        <v>248</v>
      </c>
      <c r="M282" s="20" t="s">
        <v>393</v>
      </c>
      <c r="N282" s="20" t="s">
        <v>27</v>
      </c>
      <c r="O282" s="20">
        <v>2</v>
      </c>
      <c r="P282" s="20">
        <v>3</v>
      </c>
      <c r="Q282" s="13">
        <v>0.61511326154149359</v>
      </c>
      <c r="R282" s="20" t="s">
        <v>249</v>
      </c>
      <c r="S282" s="20">
        <v>-0.96433803951824404</v>
      </c>
      <c r="T282" s="20" t="s">
        <v>248</v>
      </c>
      <c r="U282" s="20" t="s">
        <v>27</v>
      </c>
      <c r="V282" s="20">
        <v>6</v>
      </c>
      <c r="W282" s="20">
        <v>5</v>
      </c>
      <c r="X282" s="20" t="s">
        <v>496</v>
      </c>
      <c r="Y282" s="20" t="s">
        <v>292</v>
      </c>
      <c r="Z282" s="20" t="s">
        <v>60</v>
      </c>
      <c r="AA282" s="20" t="s">
        <v>491</v>
      </c>
    </row>
    <row r="283" spans="1:27" x14ac:dyDescent="0.2">
      <c r="A283" s="20" t="s">
        <v>213</v>
      </c>
      <c r="B283" s="20" t="s">
        <v>328</v>
      </c>
      <c r="C283" s="20" t="s">
        <v>38</v>
      </c>
      <c r="D283" s="20" t="s">
        <v>25</v>
      </c>
      <c r="E283" s="20" t="s">
        <v>879</v>
      </c>
      <c r="F283" s="20" t="s">
        <v>25</v>
      </c>
      <c r="G283" s="20">
        <v>2</v>
      </c>
      <c r="H283" s="20">
        <v>3</v>
      </c>
      <c r="I283" s="13">
        <v>0.6</v>
      </c>
      <c r="J283" s="20" t="s">
        <v>249</v>
      </c>
      <c r="L283" s="20" t="s">
        <v>248</v>
      </c>
      <c r="M283" s="20" t="s">
        <v>450</v>
      </c>
      <c r="N283" s="20" t="s">
        <v>25</v>
      </c>
      <c r="O283" s="20">
        <v>2</v>
      </c>
      <c r="P283" s="20">
        <v>3</v>
      </c>
      <c r="Q283" s="13">
        <v>0.75442116247126945</v>
      </c>
      <c r="R283" s="20" t="s">
        <v>249</v>
      </c>
      <c r="S283" s="20">
        <v>1.423253641362519</v>
      </c>
      <c r="T283" s="20" t="s">
        <v>248</v>
      </c>
      <c r="U283" s="20" t="s">
        <v>25</v>
      </c>
      <c r="V283" s="20">
        <v>3</v>
      </c>
      <c r="W283" s="20">
        <v>4</v>
      </c>
      <c r="X283" s="20" t="s">
        <v>496</v>
      </c>
      <c r="Y283" s="20" t="s">
        <v>292</v>
      </c>
      <c r="Z283" s="20" t="s">
        <v>60</v>
      </c>
      <c r="AA283" s="20" t="s">
        <v>491</v>
      </c>
    </row>
    <row r="284" spans="1:27" x14ac:dyDescent="0.2">
      <c r="A284" s="20" t="s">
        <v>214</v>
      </c>
      <c r="B284" s="20" t="s">
        <v>328</v>
      </c>
      <c r="C284" s="20" t="s">
        <v>24</v>
      </c>
      <c r="D284" s="20" t="s">
        <v>22</v>
      </c>
      <c r="E284" s="20" t="s">
        <v>880</v>
      </c>
      <c r="F284" s="20" t="s">
        <v>22</v>
      </c>
      <c r="G284" s="20">
        <v>2</v>
      </c>
      <c r="H284" s="20">
        <v>3</v>
      </c>
      <c r="I284" s="13">
        <v>0.6</v>
      </c>
      <c r="J284" s="20" t="s">
        <v>249</v>
      </c>
      <c r="L284" s="20" t="s">
        <v>249</v>
      </c>
      <c r="M284" s="20" t="s">
        <v>881</v>
      </c>
      <c r="N284" s="20" t="s">
        <v>22</v>
      </c>
      <c r="O284" s="20">
        <v>2</v>
      </c>
      <c r="P284" s="20">
        <v>3</v>
      </c>
      <c r="Q284" s="13">
        <v>0.6025615888223681</v>
      </c>
      <c r="R284" s="20" t="s">
        <v>249</v>
      </c>
      <c r="S284" s="20">
        <v>0.48907773101231511</v>
      </c>
      <c r="T284" s="20" t="s">
        <v>249</v>
      </c>
      <c r="U284" s="20" t="s">
        <v>24</v>
      </c>
      <c r="V284" s="20">
        <v>3</v>
      </c>
      <c r="W284" s="20">
        <v>2</v>
      </c>
      <c r="X284" s="20" t="s">
        <v>496</v>
      </c>
      <c r="Y284" s="20" t="s">
        <v>292</v>
      </c>
      <c r="Z284" s="20" t="s">
        <v>60</v>
      </c>
      <c r="AA284" s="20" t="s">
        <v>491</v>
      </c>
    </row>
    <row r="285" spans="1:27" x14ac:dyDescent="0.2">
      <c r="A285" s="20" t="s">
        <v>214</v>
      </c>
      <c r="B285" s="20" t="s">
        <v>324</v>
      </c>
      <c r="C285" s="20" t="s">
        <v>20</v>
      </c>
      <c r="D285" s="20" t="s">
        <v>35</v>
      </c>
      <c r="E285" s="20" t="s">
        <v>882</v>
      </c>
      <c r="F285" s="20" t="s">
        <v>20</v>
      </c>
      <c r="G285" s="20">
        <v>2</v>
      </c>
      <c r="H285" s="20">
        <v>3</v>
      </c>
      <c r="I285" s="13">
        <v>0.6</v>
      </c>
      <c r="J285" s="20" t="s">
        <v>249</v>
      </c>
      <c r="L285" s="20" t="s">
        <v>248</v>
      </c>
      <c r="M285" s="20" t="s">
        <v>510</v>
      </c>
      <c r="N285" s="20" t="s">
        <v>20</v>
      </c>
      <c r="O285" s="20">
        <v>2</v>
      </c>
      <c r="P285" s="20">
        <v>3</v>
      </c>
      <c r="Q285" s="13">
        <v>0.58845720740840357</v>
      </c>
      <c r="R285" s="20" t="s">
        <v>249</v>
      </c>
      <c r="S285" s="20">
        <v>-1.1001367927039241</v>
      </c>
      <c r="T285" s="20" t="s">
        <v>248</v>
      </c>
      <c r="U285" s="20" t="s">
        <v>20</v>
      </c>
      <c r="V285" s="20">
        <v>4</v>
      </c>
      <c r="W285" s="20">
        <v>1</v>
      </c>
      <c r="X285" s="20" t="s">
        <v>490</v>
      </c>
      <c r="Y285" s="20" t="s">
        <v>292</v>
      </c>
      <c r="Z285" s="20" t="s">
        <v>60</v>
      </c>
      <c r="AA285" s="20" t="s">
        <v>491</v>
      </c>
    </row>
    <row r="286" spans="1:27" x14ac:dyDescent="0.2">
      <c r="A286" s="20" t="s">
        <v>214</v>
      </c>
      <c r="B286" s="20" t="s">
        <v>322</v>
      </c>
      <c r="C286" s="20" t="s">
        <v>33</v>
      </c>
      <c r="D286" s="20" t="s">
        <v>32</v>
      </c>
      <c r="E286" s="20" t="s">
        <v>792</v>
      </c>
      <c r="F286" s="20" t="s">
        <v>33</v>
      </c>
      <c r="G286" s="20">
        <v>2</v>
      </c>
      <c r="H286" s="20">
        <v>3</v>
      </c>
      <c r="I286" s="13">
        <v>0.6</v>
      </c>
      <c r="J286" s="20" t="s">
        <v>249</v>
      </c>
      <c r="L286" s="20" t="s">
        <v>249</v>
      </c>
      <c r="M286" s="20" t="s">
        <v>883</v>
      </c>
      <c r="N286" s="20" t="s">
        <v>33</v>
      </c>
      <c r="O286" s="20">
        <v>2</v>
      </c>
      <c r="P286" s="20">
        <v>3</v>
      </c>
      <c r="Q286" s="13">
        <v>0.47729817289275139</v>
      </c>
      <c r="R286" s="20" t="s">
        <v>249</v>
      </c>
      <c r="S286" s="20">
        <v>-0.1481454939726842</v>
      </c>
      <c r="T286" s="20" t="s">
        <v>249</v>
      </c>
      <c r="U286" s="20" t="s">
        <v>32</v>
      </c>
      <c r="V286" s="20">
        <v>1</v>
      </c>
      <c r="W286" s="20">
        <v>4</v>
      </c>
      <c r="X286" s="20" t="s">
        <v>490</v>
      </c>
      <c r="Y286" s="20" t="s">
        <v>292</v>
      </c>
      <c r="Z286" s="20" t="s">
        <v>60</v>
      </c>
      <c r="AA286" s="20" t="s">
        <v>491</v>
      </c>
    </row>
    <row r="287" spans="1:27" x14ac:dyDescent="0.2">
      <c r="A287" s="20" t="s">
        <v>214</v>
      </c>
      <c r="B287" s="20" t="s">
        <v>328</v>
      </c>
      <c r="C287" s="20" t="s">
        <v>21</v>
      </c>
      <c r="D287" s="20" t="s">
        <v>18</v>
      </c>
      <c r="E287" s="20" t="s">
        <v>884</v>
      </c>
      <c r="F287" s="20" t="s">
        <v>21</v>
      </c>
      <c r="G287" s="20">
        <v>2</v>
      </c>
      <c r="H287" s="20">
        <v>3</v>
      </c>
      <c r="I287" s="13">
        <v>0.6</v>
      </c>
      <c r="J287" s="20" t="s">
        <v>249</v>
      </c>
      <c r="L287" s="20" t="s">
        <v>248</v>
      </c>
      <c r="M287" s="20" t="s">
        <v>465</v>
      </c>
      <c r="N287" s="20" t="s">
        <v>21</v>
      </c>
      <c r="O287" s="20">
        <v>2</v>
      </c>
      <c r="P287" s="20">
        <v>3</v>
      </c>
      <c r="Q287" s="13">
        <v>0.49857009559320381</v>
      </c>
      <c r="R287" s="20" t="s">
        <v>249</v>
      </c>
      <c r="S287" s="20">
        <v>-0.32321911890293109</v>
      </c>
      <c r="T287" s="20" t="s">
        <v>248</v>
      </c>
      <c r="U287" s="20" t="s">
        <v>21</v>
      </c>
      <c r="V287" s="20">
        <v>3</v>
      </c>
      <c r="W287" s="20">
        <v>2</v>
      </c>
      <c r="X287" s="20" t="s">
        <v>490</v>
      </c>
      <c r="Y287" s="20" t="s">
        <v>292</v>
      </c>
      <c r="Z287" s="20" t="s">
        <v>60</v>
      </c>
      <c r="AA287" s="20" t="s">
        <v>491</v>
      </c>
    </row>
    <row r="288" spans="1:27" x14ac:dyDescent="0.2">
      <c r="A288" s="20" t="s">
        <v>214</v>
      </c>
      <c r="B288" s="20" t="s">
        <v>469</v>
      </c>
      <c r="C288" s="20" t="s">
        <v>31</v>
      </c>
      <c r="D288" s="20" t="s">
        <v>34</v>
      </c>
      <c r="E288" s="20" t="s">
        <v>885</v>
      </c>
      <c r="F288" s="20" t="s">
        <v>31</v>
      </c>
      <c r="G288" s="20">
        <v>2</v>
      </c>
      <c r="H288" s="20">
        <v>3</v>
      </c>
      <c r="I288" s="13">
        <v>0.6</v>
      </c>
      <c r="J288" s="20" t="s">
        <v>249</v>
      </c>
      <c r="L288" s="20" t="s">
        <v>249</v>
      </c>
      <c r="M288" s="20" t="s">
        <v>886</v>
      </c>
      <c r="N288" s="20" t="s">
        <v>31</v>
      </c>
      <c r="O288" s="20">
        <v>2</v>
      </c>
      <c r="P288" s="20">
        <v>3</v>
      </c>
      <c r="Q288" s="13">
        <v>0.50224542963658214</v>
      </c>
      <c r="R288" s="20" t="s">
        <v>249</v>
      </c>
      <c r="S288" s="20">
        <v>-0.18392706036558271</v>
      </c>
      <c r="T288" s="20" t="s">
        <v>249</v>
      </c>
      <c r="U288" s="20" t="s">
        <v>34</v>
      </c>
      <c r="V288" s="20">
        <v>0</v>
      </c>
      <c r="W288" s="20">
        <v>2</v>
      </c>
      <c r="X288" s="20" t="s">
        <v>490</v>
      </c>
      <c r="Y288" s="20" t="s">
        <v>292</v>
      </c>
      <c r="Z288" s="20" t="s">
        <v>60</v>
      </c>
      <c r="AA288" s="20" t="s">
        <v>491</v>
      </c>
    </row>
    <row r="289" spans="1:27" x14ac:dyDescent="0.2">
      <c r="A289" s="20" t="s">
        <v>214</v>
      </c>
      <c r="B289" s="20" t="s">
        <v>328</v>
      </c>
      <c r="C289" s="20" t="s">
        <v>13</v>
      </c>
      <c r="D289" s="20" t="s">
        <v>36</v>
      </c>
      <c r="E289" s="20" t="s">
        <v>887</v>
      </c>
      <c r="F289" s="20" t="s">
        <v>13</v>
      </c>
      <c r="G289" s="20">
        <v>2</v>
      </c>
      <c r="H289" s="20">
        <v>3</v>
      </c>
      <c r="I289" s="13">
        <v>0.6</v>
      </c>
      <c r="J289" s="20" t="s">
        <v>249</v>
      </c>
      <c r="L289" s="20" t="s">
        <v>248</v>
      </c>
      <c r="M289" s="20" t="s">
        <v>628</v>
      </c>
      <c r="N289" s="20" t="s">
        <v>13</v>
      </c>
      <c r="O289" s="20">
        <v>2</v>
      </c>
      <c r="P289" s="20">
        <v>3</v>
      </c>
      <c r="Q289" s="13">
        <v>0.54052926852435756</v>
      </c>
      <c r="R289" s="20" t="s">
        <v>249</v>
      </c>
      <c r="S289" s="20">
        <v>-0.14319170326446251</v>
      </c>
      <c r="T289" s="20" t="s">
        <v>248</v>
      </c>
      <c r="U289" s="20" t="s">
        <v>13</v>
      </c>
      <c r="V289" s="20">
        <v>1</v>
      </c>
      <c r="W289" s="20">
        <v>0</v>
      </c>
      <c r="X289" s="20" t="s">
        <v>490</v>
      </c>
      <c r="Y289" s="20" t="s">
        <v>292</v>
      </c>
      <c r="Z289" s="20" t="s">
        <v>60</v>
      </c>
      <c r="AA289" s="20" t="s">
        <v>491</v>
      </c>
    </row>
    <row r="290" spans="1:27" x14ac:dyDescent="0.2">
      <c r="A290" s="20" t="s">
        <v>214</v>
      </c>
      <c r="B290" s="20" t="s">
        <v>324</v>
      </c>
      <c r="C290" s="20" t="s">
        <v>27</v>
      </c>
      <c r="D290" s="20" t="s">
        <v>39</v>
      </c>
      <c r="E290" s="20" t="s">
        <v>888</v>
      </c>
      <c r="F290" s="20" t="s">
        <v>39</v>
      </c>
      <c r="G290" s="20">
        <v>2</v>
      </c>
      <c r="H290" s="20">
        <v>3</v>
      </c>
      <c r="I290" s="13">
        <v>0.6</v>
      </c>
      <c r="J290" s="20" t="s">
        <v>249</v>
      </c>
      <c r="L290" s="20" t="s">
        <v>248</v>
      </c>
      <c r="M290" s="20" t="s">
        <v>398</v>
      </c>
      <c r="N290" s="20" t="s">
        <v>39</v>
      </c>
      <c r="O290" s="20">
        <v>2</v>
      </c>
      <c r="P290" s="20">
        <v>3</v>
      </c>
      <c r="Q290" s="13">
        <v>0.62862122822447553</v>
      </c>
      <c r="R290" s="20" t="s">
        <v>249</v>
      </c>
      <c r="S290" s="20">
        <v>0.84358283428459835</v>
      </c>
      <c r="T290" s="20" t="s">
        <v>248</v>
      </c>
      <c r="U290" s="20" t="s">
        <v>39</v>
      </c>
      <c r="V290" s="20">
        <v>1</v>
      </c>
      <c r="W290" s="20">
        <v>5</v>
      </c>
      <c r="X290" s="20" t="s">
        <v>490</v>
      </c>
      <c r="Y290" s="20" t="s">
        <v>292</v>
      </c>
      <c r="Z290" s="20" t="s">
        <v>60</v>
      </c>
      <c r="AA290" s="20" t="s">
        <v>491</v>
      </c>
    </row>
    <row r="291" spans="1:27" x14ac:dyDescent="0.2">
      <c r="A291" s="20" t="s">
        <v>214</v>
      </c>
      <c r="B291" s="20" t="s">
        <v>328</v>
      </c>
      <c r="C291" s="20" t="s">
        <v>19</v>
      </c>
      <c r="D291" s="20" t="s">
        <v>10</v>
      </c>
      <c r="E291" s="20" t="s">
        <v>889</v>
      </c>
      <c r="F291" s="20" t="s">
        <v>10</v>
      </c>
      <c r="G291" s="20">
        <v>2</v>
      </c>
      <c r="H291" s="20">
        <v>3</v>
      </c>
      <c r="I291" s="13">
        <v>0.6</v>
      </c>
      <c r="J291" s="20" t="s">
        <v>249</v>
      </c>
      <c r="L291" s="20" t="s">
        <v>248</v>
      </c>
      <c r="M291" s="20" t="s">
        <v>303</v>
      </c>
      <c r="N291" s="20" t="s">
        <v>10</v>
      </c>
      <c r="O291" s="20">
        <v>2</v>
      </c>
      <c r="P291" s="20">
        <v>3</v>
      </c>
      <c r="Q291" s="13">
        <v>0.59933787542753747</v>
      </c>
      <c r="R291" s="20" t="s">
        <v>249</v>
      </c>
      <c r="S291" s="20">
        <v>0.50818308505782939</v>
      </c>
      <c r="T291" s="20" t="s">
        <v>248</v>
      </c>
      <c r="U291" s="20" t="s">
        <v>10</v>
      </c>
      <c r="V291" s="20">
        <v>2</v>
      </c>
      <c r="W291" s="20">
        <v>3</v>
      </c>
      <c r="X291" s="20" t="s">
        <v>490</v>
      </c>
      <c r="Y291" s="20" t="s">
        <v>292</v>
      </c>
      <c r="Z291" s="20" t="s">
        <v>60</v>
      </c>
      <c r="AA291" s="20" t="s">
        <v>491</v>
      </c>
    </row>
    <row r="292" spans="1:27" x14ac:dyDescent="0.2">
      <c r="A292" s="20" t="s">
        <v>214</v>
      </c>
      <c r="B292" s="20" t="s">
        <v>322</v>
      </c>
      <c r="C292" s="20" t="s">
        <v>40</v>
      </c>
      <c r="D292" s="20" t="s">
        <v>16</v>
      </c>
      <c r="E292" s="20" t="s">
        <v>618</v>
      </c>
      <c r="F292" s="20" t="s">
        <v>40</v>
      </c>
      <c r="G292" s="20">
        <v>2</v>
      </c>
      <c r="H292" s="20">
        <v>3</v>
      </c>
      <c r="I292" s="13">
        <v>0.6</v>
      </c>
      <c r="J292" s="20" t="s">
        <v>249</v>
      </c>
      <c r="L292" s="20" t="s">
        <v>248</v>
      </c>
      <c r="M292" s="20" t="s">
        <v>315</v>
      </c>
      <c r="N292" s="20" t="s">
        <v>40</v>
      </c>
      <c r="O292" s="20">
        <v>2</v>
      </c>
      <c r="P292" s="20">
        <v>3</v>
      </c>
      <c r="Q292" s="13">
        <v>0.56281266994144419</v>
      </c>
      <c r="R292" s="20" t="s">
        <v>249</v>
      </c>
      <c r="S292" s="20">
        <v>-0.70263870633866676</v>
      </c>
      <c r="T292" s="20" t="s">
        <v>248</v>
      </c>
      <c r="U292" s="20" t="s">
        <v>40</v>
      </c>
      <c r="V292" s="20">
        <v>4</v>
      </c>
      <c r="W292" s="20">
        <v>3</v>
      </c>
      <c r="X292" s="20" t="s">
        <v>496</v>
      </c>
      <c r="Y292" s="20" t="s">
        <v>292</v>
      </c>
      <c r="Z292" s="20" t="s">
        <v>60</v>
      </c>
      <c r="AA292" s="20" t="s">
        <v>491</v>
      </c>
    </row>
    <row r="293" spans="1:27" x14ac:dyDescent="0.2">
      <c r="A293" s="20" t="s">
        <v>214</v>
      </c>
      <c r="B293" s="20" t="s">
        <v>328</v>
      </c>
      <c r="C293" s="20" t="s">
        <v>15</v>
      </c>
      <c r="D293" s="20" t="s">
        <v>28</v>
      </c>
      <c r="E293" s="20" t="s">
        <v>890</v>
      </c>
      <c r="F293" s="20" t="s">
        <v>15</v>
      </c>
      <c r="G293" s="20">
        <v>2</v>
      </c>
      <c r="H293" s="20">
        <v>3</v>
      </c>
      <c r="I293" s="13">
        <v>0.6</v>
      </c>
      <c r="J293" s="20" t="s">
        <v>249</v>
      </c>
      <c r="L293" s="20" t="s">
        <v>248</v>
      </c>
      <c r="M293" s="20" t="s">
        <v>518</v>
      </c>
      <c r="N293" s="20" t="s">
        <v>15</v>
      </c>
      <c r="O293" s="20">
        <v>2</v>
      </c>
      <c r="P293" s="20">
        <v>3</v>
      </c>
      <c r="Q293" s="13">
        <v>0.5898628635660369</v>
      </c>
      <c r="R293" s="20" t="s">
        <v>249</v>
      </c>
      <c r="S293" s="20">
        <v>-0.2550546709434352</v>
      </c>
      <c r="T293" s="20" t="s">
        <v>248</v>
      </c>
      <c r="U293" s="20" t="s">
        <v>15</v>
      </c>
      <c r="V293" s="20">
        <v>2</v>
      </c>
      <c r="W293" s="20">
        <v>1</v>
      </c>
      <c r="X293" s="20" t="s">
        <v>496</v>
      </c>
      <c r="Y293" s="20" t="s">
        <v>292</v>
      </c>
      <c r="Z293" s="20" t="s">
        <v>60</v>
      </c>
      <c r="AA293" s="20" t="s">
        <v>491</v>
      </c>
    </row>
    <row r="294" spans="1:27" x14ac:dyDescent="0.2">
      <c r="A294" s="20" t="s">
        <v>214</v>
      </c>
      <c r="B294" s="20" t="s">
        <v>328</v>
      </c>
      <c r="C294" s="20" t="s">
        <v>17</v>
      </c>
      <c r="D294" s="20" t="s">
        <v>25</v>
      </c>
      <c r="E294" s="20" t="s">
        <v>891</v>
      </c>
      <c r="F294" s="20" t="s">
        <v>25</v>
      </c>
      <c r="G294" s="20">
        <v>2</v>
      </c>
      <c r="H294" s="20">
        <v>3</v>
      </c>
      <c r="I294" s="13">
        <v>0.6</v>
      </c>
      <c r="J294" s="20" t="s">
        <v>249</v>
      </c>
      <c r="L294" s="20" t="s">
        <v>249</v>
      </c>
      <c r="M294" s="20" t="s">
        <v>892</v>
      </c>
      <c r="N294" s="20" t="s">
        <v>25</v>
      </c>
      <c r="O294" s="20">
        <v>2</v>
      </c>
      <c r="P294" s="20">
        <v>3</v>
      </c>
      <c r="Q294" s="13">
        <v>0.74273047217949051</v>
      </c>
      <c r="R294" s="20" t="s">
        <v>249</v>
      </c>
      <c r="S294" s="20">
        <v>1.2933225504892369</v>
      </c>
      <c r="T294" s="20" t="s">
        <v>249</v>
      </c>
      <c r="U294" s="20" t="s">
        <v>17</v>
      </c>
      <c r="V294" s="20">
        <v>4</v>
      </c>
      <c r="W294" s="20">
        <v>3</v>
      </c>
      <c r="X294" s="20" t="s">
        <v>496</v>
      </c>
      <c r="Y294" s="20" t="s">
        <v>292</v>
      </c>
      <c r="Z294" s="20" t="s">
        <v>60</v>
      </c>
      <c r="AA294" s="20" t="s">
        <v>491</v>
      </c>
    </row>
    <row r="295" spans="1:27" x14ac:dyDescent="0.2">
      <c r="A295" s="20" t="s">
        <v>214</v>
      </c>
      <c r="B295" s="20" t="s">
        <v>328</v>
      </c>
      <c r="C295" s="20" t="s">
        <v>23</v>
      </c>
      <c r="D295" s="20" t="s">
        <v>26</v>
      </c>
      <c r="E295" s="20" t="s">
        <v>893</v>
      </c>
      <c r="F295" s="20" t="s">
        <v>23</v>
      </c>
      <c r="G295" s="20">
        <v>2</v>
      </c>
      <c r="H295" s="20">
        <v>3</v>
      </c>
      <c r="I295" s="13">
        <v>0.6</v>
      </c>
      <c r="J295" s="20" t="s">
        <v>249</v>
      </c>
      <c r="L295" s="20" t="s">
        <v>248</v>
      </c>
      <c r="M295" s="20" t="s">
        <v>296</v>
      </c>
      <c r="N295" s="20" t="s">
        <v>23</v>
      </c>
      <c r="O295" s="20">
        <v>2</v>
      </c>
      <c r="P295" s="20">
        <v>3</v>
      </c>
      <c r="Q295" s="13">
        <v>0.5007892441269548</v>
      </c>
      <c r="R295" s="20" t="s">
        <v>249</v>
      </c>
      <c r="S295" s="20">
        <v>-0.34932838036855729</v>
      </c>
      <c r="T295" s="20" t="s">
        <v>248</v>
      </c>
      <c r="U295" s="20" t="s">
        <v>23</v>
      </c>
      <c r="V295" s="20">
        <v>5</v>
      </c>
      <c r="W295" s="20">
        <v>4</v>
      </c>
      <c r="X295" s="20" t="s">
        <v>496</v>
      </c>
      <c r="Y295" s="20" t="s">
        <v>292</v>
      </c>
      <c r="Z295" s="20" t="s">
        <v>60</v>
      </c>
      <c r="AA295" s="20" t="s">
        <v>491</v>
      </c>
    </row>
    <row r="296" spans="1:27" x14ac:dyDescent="0.2">
      <c r="A296" s="20" t="s">
        <v>214</v>
      </c>
      <c r="B296" s="20" t="s">
        <v>365</v>
      </c>
      <c r="C296" s="20" t="s">
        <v>37</v>
      </c>
      <c r="D296" s="20" t="s">
        <v>11</v>
      </c>
      <c r="E296" s="20" t="s">
        <v>894</v>
      </c>
      <c r="F296" s="20" t="s">
        <v>37</v>
      </c>
      <c r="G296" s="20">
        <v>2</v>
      </c>
      <c r="H296" s="20">
        <v>3</v>
      </c>
      <c r="I296" s="13">
        <v>0.6</v>
      </c>
      <c r="J296" s="20" t="s">
        <v>249</v>
      </c>
      <c r="L296" s="20" t="s">
        <v>248</v>
      </c>
      <c r="M296" s="20" t="s">
        <v>395</v>
      </c>
      <c r="N296" s="20" t="s">
        <v>37</v>
      </c>
      <c r="O296" s="20">
        <v>2</v>
      </c>
      <c r="P296" s="20">
        <v>3</v>
      </c>
      <c r="Q296" s="13">
        <v>0.63861329811960532</v>
      </c>
      <c r="R296" s="20" t="s">
        <v>249</v>
      </c>
      <c r="S296" s="20">
        <v>-0.85772248888754832</v>
      </c>
      <c r="T296" s="20" t="s">
        <v>248</v>
      </c>
      <c r="U296" s="20" t="s">
        <v>37</v>
      </c>
      <c r="V296" s="20">
        <v>3</v>
      </c>
      <c r="W296" s="20">
        <v>1</v>
      </c>
      <c r="X296" s="20" t="s">
        <v>490</v>
      </c>
      <c r="Y296" s="20" t="s">
        <v>292</v>
      </c>
      <c r="Z296" s="20" t="s">
        <v>60</v>
      </c>
      <c r="AA296" s="20" t="s">
        <v>491</v>
      </c>
    </row>
    <row r="297" spans="1:27" x14ac:dyDescent="0.2">
      <c r="A297" s="20" t="s">
        <v>215</v>
      </c>
      <c r="B297" s="20" t="s">
        <v>326</v>
      </c>
      <c r="C297" s="20" t="s">
        <v>30</v>
      </c>
      <c r="D297" s="20" t="s">
        <v>12</v>
      </c>
      <c r="E297" s="20" t="s">
        <v>895</v>
      </c>
      <c r="F297" s="20" t="s">
        <v>12</v>
      </c>
      <c r="G297" s="20">
        <v>2</v>
      </c>
      <c r="H297" s="20">
        <v>3</v>
      </c>
      <c r="I297" s="13">
        <v>0.6</v>
      </c>
      <c r="J297" s="20" t="s">
        <v>249</v>
      </c>
      <c r="L297" s="20" t="s">
        <v>248</v>
      </c>
      <c r="M297" s="20" t="s">
        <v>361</v>
      </c>
      <c r="N297" s="20" t="s">
        <v>12</v>
      </c>
      <c r="O297" s="20">
        <v>2</v>
      </c>
      <c r="P297" s="20">
        <v>3</v>
      </c>
      <c r="Q297" s="13">
        <v>0.79972909176145879</v>
      </c>
      <c r="R297" s="20" t="s">
        <v>249</v>
      </c>
      <c r="S297" s="20">
        <v>1.922736404791471</v>
      </c>
      <c r="T297" s="20" t="s">
        <v>248</v>
      </c>
      <c r="U297" s="20" t="s">
        <v>12</v>
      </c>
      <c r="V297" s="20">
        <v>1</v>
      </c>
      <c r="W297" s="20">
        <v>4</v>
      </c>
      <c r="X297" s="20" t="s">
        <v>490</v>
      </c>
      <c r="Y297" s="20" t="s">
        <v>292</v>
      </c>
      <c r="Z297" s="20" t="s">
        <v>60</v>
      </c>
      <c r="AA297" s="20" t="s">
        <v>491</v>
      </c>
    </row>
    <row r="298" spans="1:27" x14ac:dyDescent="0.2">
      <c r="A298" s="20" t="s">
        <v>215</v>
      </c>
      <c r="B298" s="20" t="s">
        <v>469</v>
      </c>
      <c r="C298" s="20" t="s">
        <v>20</v>
      </c>
      <c r="D298" s="20" t="s">
        <v>34</v>
      </c>
      <c r="E298" s="20" t="s">
        <v>896</v>
      </c>
      <c r="F298" s="20" t="s">
        <v>34</v>
      </c>
      <c r="G298" s="20">
        <v>2</v>
      </c>
      <c r="H298" s="20">
        <v>3</v>
      </c>
      <c r="I298" s="13">
        <v>0.6</v>
      </c>
      <c r="J298" s="20" t="s">
        <v>249</v>
      </c>
      <c r="L298" s="20" t="s">
        <v>248</v>
      </c>
      <c r="M298" s="20" t="s">
        <v>343</v>
      </c>
      <c r="N298" s="20" t="s">
        <v>34</v>
      </c>
      <c r="O298" s="20">
        <v>2</v>
      </c>
      <c r="P298" s="20">
        <v>3</v>
      </c>
      <c r="Q298" s="13">
        <v>0.56793209102985243</v>
      </c>
      <c r="R298" s="20" t="s">
        <v>249</v>
      </c>
      <c r="S298" s="20">
        <v>0.23921679179432001</v>
      </c>
      <c r="T298" s="20" t="s">
        <v>248</v>
      </c>
      <c r="U298" s="20" t="s">
        <v>34</v>
      </c>
      <c r="V298" s="20">
        <v>2</v>
      </c>
      <c r="W298" s="20">
        <v>3</v>
      </c>
      <c r="X298" s="20" t="s">
        <v>496</v>
      </c>
      <c r="Y298" s="20" t="s">
        <v>292</v>
      </c>
      <c r="Z298" s="20" t="s">
        <v>60</v>
      </c>
      <c r="AA298" s="20" t="s">
        <v>491</v>
      </c>
    </row>
    <row r="299" spans="1:27" x14ac:dyDescent="0.2">
      <c r="A299" s="20" t="s">
        <v>215</v>
      </c>
      <c r="B299" s="20" t="s">
        <v>328</v>
      </c>
      <c r="C299" s="20" t="s">
        <v>26</v>
      </c>
      <c r="D299" s="20" t="s">
        <v>15</v>
      </c>
      <c r="E299" s="20" t="s">
        <v>897</v>
      </c>
      <c r="F299" s="20" t="s">
        <v>15</v>
      </c>
      <c r="G299" s="20">
        <v>2</v>
      </c>
      <c r="H299" s="20">
        <v>3</v>
      </c>
      <c r="I299" s="13">
        <v>0.6</v>
      </c>
      <c r="J299" s="20" t="s">
        <v>249</v>
      </c>
      <c r="L299" s="20" t="s">
        <v>249</v>
      </c>
      <c r="M299" s="20" t="s">
        <v>898</v>
      </c>
      <c r="N299" s="20" t="s">
        <v>15</v>
      </c>
      <c r="O299" s="20">
        <v>2</v>
      </c>
      <c r="P299" s="20">
        <v>3</v>
      </c>
      <c r="Q299" s="13">
        <v>0.61416971394212327</v>
      </c>
      <c r="R299" s="20" t="s">
        <v>249</v>
      </c>
      <c r="S299" s="20">
        <v>0.63520632947152933</v>
      </c>
      <c r="T299" s="20" t="s">
        <v>249</v>
      </c>
      <c r="U299" s="20" t="s">
        <v>26</v>
      </c>
      <c r="V299" s="20">
        <v>2</v>
      </c>
      <c r="W299" s="20">
        <v>1</v>
      </c>
      <c r="X299" s="20" t="s">
        <v>490</v>
      </c>
      <c r="Y299" s="20" t="s">
        <v>292</v>
      </c>
      <c r="Z299" s="20" t="s">
        <v>60</v>
      </c>
      <c r="AA299" s="20" t="s">
        <v>491</v>
      </c>
    </row>
    <row r="300" spans="1:27" x14ac:dyDescent="0.2">
      <c r="A300" s="20" t="s">
        <v>215</v>
      </c>
      <c r="B300" s="20" t="s">
        <v>899</v>
      </c>
      <c r="C300" s="20" t="s">
        <v>29</v>
      </c>
      <c r="D300" s="20" t="s">
        <v>14</v>
      </c>
      <c r="E300" s="20" t="s">
        <v>900</v>
      </c>
      <c r="F300" s="20" t="s">
        <v>14</v>
      </c>
      <c r="G300" s="20">
        <v>2</v>
      </c>
      <c r="H300" s="20">
        <v>3</v>
      </c>
      <c r="I300" s="13">
        <v>0.6</v>
      </c>
      <c r="J300" s="20" t="s">
        <v>249</v>
      </c>
      <c r="L300" s="20" t="s">
        <v>248</v>
      </c>
      <c r="M300" s="20" t="s">
        <v>451</v>
      </c>
      <c r="N300" s="20" t="s">
        <v>14</v>
      </c>
      <c r="O300" s="20">
        <v>2</v>
      </c>
      <c r="P300" s="20">
        <v>3</v>
      </c>
      <c r="Q300" s="13">
        <v>0.69092473418656142</v>
      </c>
      <c r="R300" s="20" t="s">
        <v>249</v>
      </c>
      <c r="S300" s="20">
        <v>1.292553811167733</v>
      </c>
      <c r="T300" s="20" t="s">
        <v>248</v>
      </c>
      <c r="U300" s="20" t="s">
        <v>14</v>
      </c>
      <c r="V300" s="20">
        <v>0</v>
      </c>
      <c r="W300" s="20">
        <v>4</v>
      </c>
      <c r="X300" s="20" t="s">
        <v>490</v>
      </c>
      <c r="Y300" s="20" t="s">
        <v>292</v>
      </c>
      <c r="Z300" s="20" t="s">
        <v>60</v>
      </c>
      <c r="AA300" s="20" t="s">
        <v>491</v>
      </c>
    </row>
    <row r="301" spans="1:27" x14ac:dyDescent="0.2">
      <c r="A301" s="20" t="s">
        <v>215</v>
      </c>
      <c r="B301" s="20" t="s">
        <v>365</v>
      </c>
      <c r="C301" s="20" t="s">
        <v>38</v>
      </c>
      <c r="D301" s="20" t="s">
        <v>37</v>
      </c>
      <c r="E301" s="20" t="s">
        <v>901</v>
      </c>
      <c r="F301" s="20" t="s">
        <v>37</v>
      </c>
      <c r="G301" s="20">
        <v>2</v>
      </c>
      <c r="H301" s="20">
        <v>3</v>
      </c>
      <c r="I301" s="13">
        <v>0.6</v>
      </c>
      <c r="J301" s="20" t="s">
        <v>249</v>
      </c>
      <c r="L301" s="20" t="s">
        <v>249</v>
      </c>
      <c r="M301" s="20" t="s">
        <v>902</v>
      </c>
      <c r="N301" s="20" t="s">
        <v>37</v>
      </c>
      <c r="O301" s="20">
        <v>2</v>
      </c>
      <c r="P301" s="20">
        <v>3</v>
      </c>
      <c r="Q301" s="13">
        <v>0.74481137974873002</v>
      </c>
      <c r="R301" s="20" t="s">
        <v>249</v>
      </c>
      <c r="S301" s="20">
        <v>1.5080834507805709</v>
      </c>
      <c r="T301" s="20" t="s">
        <v>249</v>
      </c>
      <c r="U301" s="20" t="s">
        <v>38</v>
      </c>
      <c r="V301" s="20">
        <v>6</v>
      </c>
      <c r="W301" s="20">
        <v>2</v>
      </c>
      <c r="X301" s="20" t="s">
        <v>490</v>
      </c>
      <c r="Y301" s="20" t="s">
        <v>292</v>
      </c>
      <c r="Z301" s="20" t="s">
        <v>60</v>
      </c>
      <c r="AA301" s="20" t="s">
        <v>491</v>
      </c>
    </row>
    <row r="302" spans="1:27" x14ac:dyDescent="0.2">
      <c r="A302" s="20" t="s">
        <v>216</v>
      </c>
      <c r="B302" s="20" t="s">
        <v>289</v>
      </c>
      <c r="C302" s="20" t="s">
        <v>55</v>
      </c>
      <c r="D302" s="20" t="s">
        <v>31</v>
      </c>
      <c r="E302" s="20" t="s">
        <v>290</v>
      </c>
      <c r="F302" s="20" t="s">
        <v>31</v>
      </c>
      <c r="G302" s="20">
        <v>4</v>
      </c>
      <c r="H302" s="20">
        <v>5</v>
      </c>
      <c r="I302" s="13">
        <v>0.96</v>
      </c>
      <c r="J302" s="20" t="s">
        <v>249</v>
      </c>
      <c r="L302" s="20" t="s">
        <v>248</v>
      </c>
      <c r="M302" s="20" t="s">
        <v>291</v>
      </c>
      <c r="N302" s="20" t="s">
        <v>31</v>
      </c>
      <c r="O302" s="20">
        <v>2</v>
      </c>
      <c r="P302" s="20">
        <v>4</v>
      </c>
      <c r="Q302" s="13">
        <v>0.75549999999999995</v>
      </c>
      <c r="R302" s="20" t="s">
        <v>249</v>
      </c>
      <c r="S302" s="20">
        <v>0.8</v>
      </c>
      <c r="T302" s="20" t="s">
        <v>248</v>
      </c>
      <c r="U302" s="20" t="s">
        <v>31</v>
      </c>
      <c r="V302" s="20">
        <v>2</v>
      </c>
      <c r="W302" s="20">
        <v>3</v>
      </c>
      <c r="X302" s="20" t="s">
        <v>496</v>
      </c>
      <c r="Y302" s="20" t="s">
        <v>292</v>
      </c>
      <c r="Z302" s="20" t="s">
        <v>60</v>
      </c>
      <c r="AA302" s="20" t="s">
        <v>491</v>
      </c>
    </row>
    <row r="303" spans="1:27" x14ac:dyDescent="0.2">
      <c r="A303" s="20" t="s">
        <v>216</v>
      </c>
      <c r="B303" s="20" t="s">
        <v>293</v>
      </c>
      <c r="C303" s="20" t="s">
        <v>25</v>
      </c>
      <c r="D303" s="20" t="s">
        <v>21</v>
      </c>
      <c r="E303" s="20" t="s">
        <v>294</v>
      </c>
      <c r="F303" s="20" t="s">
        <v>21</v>
      </c>
      <c r="G303" s="20">
        <v>3</v>
      </c>
      <c r="H303" s="20">
        <v>4</v>
      </c>
      <c r="I303" s="13">
        <v>0.54630000000000001</v>
      </c>
      <c r="J303" s="20" t="s">
        <v>249</v>
      </c>
      <c r="L303" s="20" t="s">
        <v>249</v>
      </c>
      <c r="M303" s="20" t="s">
        <v>379</v>
      </c>
      <c r="N303" s="20" t="s">
        <v>25</v>
      </c>
      <c r="O303" s="20">
        <v>2</v>
      </c>
      <c r="P303" s="20">
        <v>3</v>
      </c>
      <c r="Q303" s="13">
        <v>0.54330000000000001</v>
      </c>
      <c r="R303" s="20" t="s">
        <v>249</v>
      </c>
      <c r="S303" s="20">
        <v>-0.47</v>
      </c>
      <c r="T303" s="20" t="s">
        <v>248</v>
      </c>
      <c r="U303" s="20" t="s">
        <v>25</v>
      </c>
      <c r="V303" s="20">
        <v>3</v>
      </c>
      <c r="W303" s="20">
        <v>1</v>
      </c>
      <c r="X303" s="20" t="s">
        <v>490</v>
      </c>
      <c r="Y303" s="20" t="s">
        <v>292</v>
      </c>
      <c r="Z303" s="20" t="s">
        <v>60</v>
      </c>
      <c r="AA303" s="20" t="s">
        <v>491</v>
      </c>
    </row>
    <row r="304" spans="1:27" x14ac:dyDescent="0.2">
      <c r="A304" s="20" t="s">
        <v>216</v>
      </c>
      <c r="B304" s="20" t="s">
        <v>293</v>
      </c>
      <c r="C304" s="20" t="s">
        <v>17</v>
      </c>
      <c r="D304" s="20" t="s">
        <v>23</v>
      </c>
      <c r="E304" s="20" t="s">
        <v>295</v>
      </c>
      <c r="F304" s="20" t="s">
        <v>23</v>
      </c>
      <c r="G304" s="20">
        <v>3</v>
      </c>
      <c r="H304" s="20">
        <v>4</v>
      </c>
      <c r="I304" s="13">
        <v>0.55500000000000005</v>
      </c>
      <c r="J304" s="20" t="s">
        <v>249</v>
      </c>
      <c r="L304" s="20" t="s">
        <v>248</v>
      </c>
      <c r="M304" s="20" t="s">
        <v>296</v>
      </c>
      <c r="N304" s="20" t="s">
        <v>17</v>
      </c>
      <c r="O304" s="20">
        <v>2</v>
      </c>
      <c r="P304" s="20">
        <v>3</v>
      </c>
      <c r="Q304" s="13">
        <v>0.47189999999999999</v>
      </c>
      <c r="R304" s="20" t="s">
        <v>248</v>
      </c>
      <c r="S304" s="20">
        <v>-0.09</v>
      </c>
      <c r="T304" s="20" t="s">
        <v>249</v>
      </c>
      <c r="U304" s="20" t="s">
        <v>23</v>
      </c>
      <c r="V304" s="20">
        <v>1</v>
      </c>
      <c r="W304" s="20">
        <v>5</v>
      </c>
      <c r="X304" s="20" t="s">
        <v>490</v>
      </c>
      <c r="Y304" s="20" t="s">
        <v>292</v>
      </c>
      <c r="Z304" s="20" t="s">
        <v>60</v>
      </c>
      <c r="AA304" s="20" t="s">
        <v>491</v>
      </c>
    </row>
    <row r="305" spans="1:27" x14ac:dyDescent="0.2">
      <c r="A305" s="20" t="s">
        <v>216</v>
      </c>
      <c r="B305" s="20" t="s">
        <v>297</v>
      </c>
      <c r="C305" s="20" t="s">
        <v>18</v>
      </c>
      <c r="D305" s="20" t="s">
        <v>28</v>
      </c>
      <c r="E305" s="20" t="s">
        <v>298</v>
      </c>
      <c r="F305" s="20" t="s">
        <v>18</v>
      </c>
      <c r="G305" s="20">
        <v>4</v>
      </c>
      <c r="H305" s="20">
        <v>3</v>
      </c>
      <c r="I305" s="13">
        <v>0.7097</v>
      </c>
      <c r="J305" s="20" t="s">
        <v>249</v>
      </c>
      <c r="L305" s="20" t="s">
        <v>249</v>
      </c>
      <c r="M305" s="20" t="s">
        <v>380</v>
      </c>
      <c r="N305" s="20" t="s">
        <v>28</v>
      </c>
      <c r="O305" s="20">
        <v>2</v>
      </c>
      <c r="P305" s="20">
        <v>3</v>
      </c>
      <c r="Q305" s="13">
        <v>0.50209999999999999</v>
      </c>
      <c r="R305" s="20" t="s">
        <v>248</v>
      </c>
      <c r="S305" s="20">
        <v>0.28000000000000003</v>
      </c>
      <c r="T305" s="20" t="s">
        <v>248</v>
      </c>
      <c r="U305" s="20" t="s">
        <v>28</v>
      </c>
      <c r="V305" s="20">
        <v>3</v>
      </c>
      <c r="W305" s="20">
        <v>4</v>
      </c>
      <c r="X305" s="20" t="s">
        <v>496</v>
      </c>
      <c r="Y305" s="20" t="s">
        <v>292</v>
      </c>
      <c r="Z305" s="20" t="s">
        <v>60</v>
      </c>
      <c r="AA305" s="20" t="s">
        <v>491</v>
      </c>
    </row>
    <row r="306" spans="1:27" x14ac:dyDescent="0.2">
      <c r="A306" s="20" t="s">
        <v>216</v>
      </c>
      <c r="B306" s="20" t="s">
        <v>293</v>
      </c>
      <c r="C306" s="20" t="s">
        <v>38</v>
      </c>
      <c r="D306" s="20" t="s">
        <v>11</v>
      </c>
      <c r="E306" s="20" t="s">
        <v>299</v>
      </c>
      <c r="F306" s="20" t="s">
        <v>38</v>
      </c>
      <c r="G306" s="20">
        <v>5</v>
      </c>
      <c r="H306" s="20">
        <v>4</v>
      </c>
      <c r="I306" s="13">
        <v>0.5766</v>
      </c>
      <c r="J306" s="20" t="s">
        <v>249</v>
      </c>
      <c r="L306" s="20" t="s">
        <v>249</v>
      </c>
      <c r="M306" s="20" t="s">
        <v>381</v>
      </c>
      <c r="N306" s="20" t="s">
        <v>11</v>
      </c>
      <c r="O306" s="20">
        <v>2</v>
      </c>
      <c r="P306" s="20">
        <v>4</v>
      </c>
      <c r="Q306" s="13">
        <v>0.62919999999999998</v>
      </c>
      <c r="R306" s="20" t="s">
        <v>249</v>
      </c>
      <c r="S306" s="20">
        <v>0.56999999999999995</v>
      </c>
      <c r="T306" s="20" t="s">
        <v>248</v>
      </c>
      <c r="U306" s="20" t="s">
        <v>11</v>
      </c>
      <c r="V306" s="20">
        <v>5</v>
      </c>
      <c r="W306" s="20">
        <v>8</v>
      </c>
      <c r="X306" s="20" t="s">
        <v>490</v>
      </c>
      <c r="Y306" s="20" t="s">
        <v>292</v>
      </c>
      <c r="Z306" s="20" t="s">
        <v>60</v>
      </c>
      <c r="AA306" s="20" t="s">
        <v>491</v>
      </c>
    </row>
    <row r="307" spans="1:27" x14ac:dyDescent="0.2">
      <c r="A307" s="20" t="s">
        <v>216</v>
      </c>
      <c r="B307" s="20" t="s">
        <v>293</v>
      </c>
      <c r="C307" s="20" t="s">
        <v>13</v>
      </c>
      <c r="D307" s="20" t="s">
        <v>22</v>
      </c>
      <c r="E307" s="20" t="s">
        <v>300</v>
      </c>
      <c r="F307" s="20" t="s">
        <v>13</v>
      </c>
      <c r="G307" s="20">
        <v>4</v>
      </c>
      <c r="H307" s="20">
        <v>1</v>
      </c>
      <c r="I307" s="13">
        <v>0.84499999999999997</v>
      </c>
      <c r="J307" s="20" t="s">
        <v>249</v>
      </c>
      <c r="L307" s="20" t="s">
        <v>249</v>
      </c>
      <c r="M307" s="20" t="s">
        <v>382</v>
      </c>
      <c r="N307" s="20" t="s">
        <v>22</v>
      </c>
      <c r="O307" s="20">
        <v>2</v>
      </c>
      <c r="P307" s="20">
        <v>3</v>
      </c>
      <c r="Q307" s="13">
        <v>0.44309999999999999</v>
      </c>
      <c r="R307" s="20" t="s">
        <v>248</v>
      </c>
      <c r="S307" s="20">
        <v>0.18</v>
      </c>
      <c r="T307" s="20" t="s">
        <v>248</v>
      </c>
      <c r="U307" s="20" t="s">
        <v>22</v>
      </c>
      <c r="V307" s="20">
        <v>1</v>
      </c>
      <c r="W307" s="20">
        <v>2</v>
      </c>
      <c r="X307" s="20" t="s">
        <v>490</v>
      </c>
      <c r="Y307" s="20" t="s">
        <v>292</v>
      </c>
      <c r="Z307" s="20" t="s">
        <v>60</v>
      </c>
      <c r="AA307" s="20" t="s">
        <v>491</v>
      </c>
    </row>
    <row r="308" spans="1:27" x14ac:dyDescent="0.2">
      <c r="A308" s="20" t="s">
        <v>217</v>
      </c>
      <c r="B308" s="20" t="s">
        <v>293</v>
      </c>
      <c r="C308" s="20" t="s">
        <v>24</v>
      </c>
      <c r="D308" s="20" t="s">
        <v>37</v>
      </c>
      <c r="E308" s="20" t="s">
        <v>310</v>
      </c>
      <c r="F308" s="20" t="s">
        <v>24</v>
      </c>
      <c r="G308" s="20">
        <v>4</v>
      </c>
      <c r="H308" s="20">
        <v>3</v>
      </c>
      <c r="I308" s="13">
        <v>0.66</v>
      </c>
      <c r="J308" s="20" t="s">
        <v>249</v>
      </c>
      <c r="L308" s="20" t="s">
        <v>249</v>
      </c>
      <c r="M308" s="20" t="s">
        <v>384</v>
      </c>
      <c r="N308" s="20" t="s">
        <v>24</v>
      </c>
      <c r="O308" s="20">
        <v>2</v>
      </c>
      <c r="P308" s="20">
        <v>3</v>
      </c>
      <c r="Q308" s="13">
        <v>0.59699999999999998</v>
      </c>
      <c r="R308" s="20" t="s">
        <v>249</v>
      </c>
      <c r="S308" s="20">
        <v>-0.49</v>
      </c>
      <c r="T308" s="20" t="s">
        <v>249</v>
      </c>
      <c r="U308" s="20" t="s">
        <v>37</v>
      </c>
      <c r="V308" s="20">
        <v>1</v>
      </c>
      <c r="W308" s="20">
        <v>5</v>
      </c>
      <c r="X308" s="20" t="s">
        <v>490</v>
      </c>
      <c r="Y308" s="20" t="s">
        <v>292</v>
      </c>
      <c r="Z308" s="20" t="s">
        <v>60</v>
      </c>
      <c r="AA308" s="20" t="s">
        <v>491</v>
      </c>
    </row>
    <row r="309" spans="1:27" x14ac:dyDescent="0.2">
      <c r="A309" s="20" t="s">
        <v>217</v>
      </c>
      <c r="B309" s="20" t="s">
        <v>289</v>
      </c>
      <c r="C309" s="20" t="s">
        <v>55</v>
      </c>
      <c r="D309" s="20" t="s">
        <v>33</v>
      </c>
      <c r="E309" s="20" t="s">
        <v>308</v>
      </c>
      <c r="F309" s="20" t="s">
        <v>33</v>
      </c>
      <c r="G309" s="20">
        <v>3</v>
      </c>
      <c r="H309" s="20">
        <v>4</v>
      </c>
      <c r="I309" s="13">
        <v>0.51419999999999999</v>
      </c>
      <c r="J309" s="20" t="s">
        <v>249</v>
      </c>
      <c r="L309" s="20" t="s">
        <v>248</v>
      </c>
      <c r="M309" s="20" t="s">
        <v>309</v>
      </c>
      <c r="N309" s="20" t="s">
        <v>55</v>
      </c>
      <c r="O309" s="20">
        <v>2</v>
      </c>
      <c r="P309" s="20">
        <v>3</v>
      </c>
      <c r="Q309" s="13">
        <v>0.47210000000000002</v>
      </c>
      <c r="R309" s="20" t="s">
        <v>248</v>
      </c>
      <c r="S309" s="20">
        <v>-0.08</v>
      </c>
      <c r="T309" s="20" t="s">
        <v>249</v>
      </c>
      <c r="U309" s="20" t="s">
        <v>33</v>
      </c>
      <c r="V309" s="20">
        <v>2</v>
      </c>
      <c r="W309" s="20">
        <v>3</v>
      </c>
      <c r="X309" s="20" t="s">
        <v>496</v>
      </c>
      <c r="Y309" s="20" t="s">
        <v>292</v>
      </c>
      <c r="Z309" s="20" t="s">
        <v>60</v>
      </c>
      <c r="AA309" s="20" t="s">
        <v>491</v>
      </c>
    </row>
    <row r="310" spans="1:27" x14ac:dyDescent="0.2">
      <c r="A310" s="20" t="s">
        <v>217</v>
      </c>
      <c r="B310" s="20" t="s">
        <v>293</v>
      </c>
      <c r="C310" s="20" t="s">
        <v>32</v>
      </c>
      <c r="D310" s="20" t="s">
        <v>26</v>
      </c>
      <c r="E310" s="20" t="s">
        <v>306</v>
      </c>
      <c r="F310" s="20" t="s">
        <v>26</v>
      </c>
      <c r="G310" s="20">
        <v>3</v>
      </c>
      <c r="H310" s="20">
        <v>4</v>
      </c>
      <c r="I310" s="13">
        <v>0.51580000000000004</v>
      </c>
      <c r="J310" s="20" t="s">
        <v>249</v>
      </c>
      <c r="L310" s="20" t="s">
        <v>248</v>
      </c>
      <c r="M310" s="20" t="s">
        <v>307</v>
      </c>
      <c r="N310" s="20" t="s">
        <v>26</v>
      </c>
      <c r="O310" s="20">
        <v>2</v>
      </c>
      <c r="P310" s="20">
        <v>3</v>
      </c>
      <c r="Q310" s="13">
        <v>0.57440000000000002</v>
      </c>
      <c r="R310" s="20" t="s">
        <v>248</v>
      </c>
      <c r="S310" s="20">
        <v>0.06</v>
      </c>
      <c r="T310" s="20" t="s">
        <v>248</v>
      </c>
      <c r="U310" s="20" t="s">
        <v>26</v>
      </c>
      <c r="V310" s="20">
        <v>2</v>
      </c>
      <c r="W310" s="20">
        <v>4</v>
      </c>
      <c r="X310" s="20" t="s">
        <v>490</v>
      </c>
      <c r="Y310" s="20" t="s">
        <v>292</v>
      </c>
      <c r="Z310" s="20" t="s">
        <v>60</v>
      </c>
      <c r="AA310" s="20" t="s">
        <v>491</v>
      </c>
    </row>
    <row r="311" spans="1:27" x14ac:dyDescent="0.2">
      <c r="A311" s="20" t="s">
        <v>217</v>
      </c>
      <c r="B311" s="20" t="s">
        <v>304</v>
      </c>
      <c r="C311" s="20" t="s">
        <v>28</v>
      </c>
      <c r="D311" s="20" t="s">
        <v>40</v>
      </c>
      <c r="E311" s="20" t="s">
        <v>314</v>
      </c>
      <c r="F311" s="20" t="s">
        <v>40</v>
      </c>
      <c r="G311" s="20">
        <v>3</v>
      </c>
      <c r="H311" s="20">
        <v>4</v>
      </c>
      <c r="I311" s="13">
        <v>0.67559999999999998</v>
      </c>
      <c r="J311" s="20" t="s">
        <v>249</v>
      </c>
      <c r="L311" s="20" t="s">
        <v>248</v>
      </c>
      <c r="M311" s="20" t="s">
        <v>315</v>
      </c>
      <c r="N311" s="20" t="s">
        <v>40</v>
      </c>
      <c r="O311" s="20">
        <v>2</v>
      </c>
      <c r="P311" s="20">
        <v>4</v>
      </c>
      <c r="Q311" s="13">
        <v>0.64970000000000006</v>
      </c>
      <c r="R311" s="20" t="s">
        <v>249</v>
      </c>
      <c r="S311" s="20">
        <v>0.66</v>
      </c>
      <c r="T311" s="20" t="s">
        <v>248</v>
      </c>
      <c r="U311" s="20" t="s">
        <v>40</v>
      </c>
      <c r="V311" s="20">
        <v>2</v>
      </c>
      <c r="W311" s="20">
        <v>5</v>
      </c>
      <c r="X311" s="20" t="s">
        <v>490</v>
      </c>
      <c r="Y311" s="20" t="s">
        <v>292</v>
      </c>
      <c r="Z311" s="20" t="s">
        <v>60</v>
      </c>
      <c r="AA311" s="20" t="s">
        <v>491</v>
      </c>
    </row>
    <row r="312" spans="1:27" x14ac:dyDescent="0.2">
      <c r="A312" s="20" t="s">
        <v>217</v>
      </c>
      <c r="B312" s="20" t="s">
        <v>293</v>
      </c>
      <c r="C312" s="20" t="s">
        <v>35</v>
      </c>
      <c r="D312" s="20" t="s">
        <v>19</v>
      </c>
      <c r="E312" s="20" t="s">
        <v>311</v>
      </c>
      <c r="F312" s="20" t="s">
        <v>19</v>
      </c>
      <c r="G312" s="20">
        <v>3</v>
      </c>
      <c r="H312" s="20">
        <v>4</v>
      </c>
      <c r="I312" s="13">
        <v>0.5917</v>
      </c>
      <c r="J312" s="20" t="s">
        <v>249</v>
      </c>
      <c r="L312" s="20" t="s">
        <v>248</v>
      </c>
      <c r="M312" s="20" t="s">
        <v>312</v>
      </c>
      <c r="N312" s="20" t="s">
        <v>19</v>
      </c>
      <c r="O312" s="20">
        <v>2</v>
      </c>
      <c r="P312" s="20">
        <v>4</v>
      </c>
      <c r="Q312" s="13">
        <v>0.7107</v>
      </c>
      <c r="R312" s="20" t="s">
        <v>249</v>
      </c>
      <c r="S312" s="20">
        <v>1.19</v>
      </c>
      <c r="T312" s="20" t="s">
        <v>248</v>
      </c>
      <c r="U312" s="20" t="s">
        <v>19</v>
      </c>
      <c r="V312" s="20">
        <v>2</v>
      </c>
      <c r="W312" s="20">
        <v>3</v>
      </c>
      <c r="X312" s="20" t="s">
        <v>496</v>
      </c>
      <c r="Y312" s="20" t="s">
        <v>292</v>
      </c>
      <c r="Z312" s="20" t="s">
        <v>60</v>
      </c>
      <c r="AA312" s="20" t="s">
        <v>491</v>
      </c>
    </row>
    <row r="313" spans="1:27" x14ac:dyDescent="0.2">
      <c r="A313" s="20" t="s">
        <v>217</v>
      </c>
      <c r="B313" s="20" t="s">
        <v>289</v>
      </c>
      <c r="C313" s="20" t="s">
        <v>15</v>
      </c>
      <c r="D313" s="20" t="s">
        <v>20</v>
      </c>
      <c r="E313" s="20" t="s">
        <v>313</v>
      </c>
      <c r="F313" s="20" t="s">
        <v>15</v>
      </c>
      <c r="G313" s="20">
        <v>5</v>
      </c>
      <c r="H313" s="20">
        <v>4</v>
      </c>
      <c r="I313" s="13">
        <v>0.55930000000000002</v>
      </c>
      <c r="J313" s="20" t="s">
        <v>249</v>
      </c>
      <c r="L313" s="20" t="s">
        <v>249</v>
      </c>
      <c r="M313" s="20" t="s">
        <v>385</v>
      </c>
      <c r="N313" s="20" t="s">
        <v>20</v>
      </c>
      <c r="O313" s="20">
        <v>2</v>
      </c>
      <c r="P313" s="20">
        <v>4</v>
      </c>
      <c r="Q313" s="13">
        <v>0.47089999999999999</v>
      </c>
      <c r="R313" s="20" t="s">
        <v>249</v>
      </c>
      <c r="S313" s="20">
        <v>0.51</v>
      </c>
      <c r="T313" s="20" t="s">
        <v>248</v>
      </c>
      <c r="U313" s="20" t="s">
        <v>20</v>
      </c>
      <c r="V313" s="20">
        <v>2</v>
      </c>
      <c r="W313" s="20">
        <v>3</v>
      </c>
      <c r="X313" s="20" t="s">
        <v>490</v>
      </c>
      <c r="Y313" s="20" t="s">
        <v>292</v>
      </c>
      <c r="Z313" s="20" t="s">
        <v>60</v>
      </c>
      <c r="AA313" s="20" t="s">
        <v>491</v>
      </c>
    </row>
    <row r="314" spans="1:27" x14ac:dyDescent="0.2">
      <c r="A314" s="20" t="s">
        <v>217</v>
      </c>
      <c r="B314" s="20" t="s">
        <v>304</v>
      </c>
      <c r="C314" s="20" t="s">
        <v>30</v>
      </c>
      <c r="D314" s="20" t="s">
        <v>39</v>
      </c>
      <c r="E314" s="20" t="s">
        <v>305</v>
      </c>
      <c r="F314" s="20" t="s">
        <v>39</v>
      </c>
      <c r="G314" s="20">
        <v>3</v>
      </c>
      <c r="H314" s="20">
        <v>4</v>
      </c>
      <c r="I314" s="13">
        <v>0.60160000000000002</v>
      </c>
      <c r="J314" s="20" t="s">
        <v>249</v>
      </c>
      <c r="L314" s="20" t="s">
        <v>249</v>
      </c>
      <c r="M314" s="20" t="s">
        <v>383</v>
      </c>
      <c r="N314" s="20" t="s">
        <v>39</v>
      </c>
      <c r="O314" s="20">
        <v>2</v>
      </c>
      <c r="P314" s="20">
        <v>3</v>
      </c>
      <c r="Q314" s="13">
        <v>0.58560000000000001</v>
      </c>
      <c r="R314" s="20" t="s">
        <v>249</v>
      </c>
      <c r="S314" s="20">
        <v>0.43</v>
      </c>
      <c r="T314" s="20" t="s">
        <v>249</v>
      </c>
      <c r="U314" s="20" t="s">
        <v>30</v>
      </c>
      <c r="V314" s="20">
        <v>3</v>
      </c>
      <c r="W314" s="20">
        <v>2</v>
      </c>
      <c r="X314" s="20" t="s">
        <v>490</v>
      </c>
      <c r="Y314" s="20" t="s">
        <v>292</v>
      </c>
      <c r="Z314" s="20" t="s">
        <v>60</v>
      </c>
      <c r="AA314" s="20" t="s">
        <v>491</v>
      </c>
    </row>
    <row r="315" spans="1:27" x14ac:dyDescent="0.2">
      <c r="A315" s="20" t="s">
        <v>217</v>
      </c>
      <c r="B315" s="20" t="s">
        <v>301</v>
      </c>
      <c r="C315" s="20" t="s">
        <v>16</v>
      </c>
      <c r="D315" s="20" t="s">
        <v>10</v>
      </c>
      <c r="E315" s="20" t="s">
        <v>302</v>
      </c>
      <c r="F315" s="20" t="s">
        <v>10</v>
      </c>
      <c r="G315" s="20">
        <v>4</v>
      </c>
      <c r="H315" s="20">
        <v>5</v>
      </c>
      <c r="I315" s="13">
        <v>0.66520000000000001</v>
      </c>
      <c r="J315" s="20" t="s">
        <v>249</v>
      </c>
      <c r="L315" s="20" t="s">
        <v>248</v>
      </c>
      <c r="M315" s="20" t="s">
        <v>303</v>
      </c>
      <c r="N315" s="20" t="s">
        <v>10</v>
      </c>
      <c r="O315" s="20">
        <v>2</v>
      </c>
      <c r="P315" s="20">
        <v>5</v>
      </c>
      <c r="Q315" s="13">
        <v>0.80840000000000001</v>
      </c>
      <c r="R315" s="20" t="s">
        <v>249</v>
      </c>
      <c r="S315" s="20">
        <v>1.87</v>
      </c>
      <c r="T315" s="20" t="s">
        <v>248</v>
      </c>
      <c r="U315" s="20" t="s">
        <v>10</v>
      </c>
      <c r="V315" s="20">
        <v>2</v>
      </c>
      <c r="W315" s="20">
        <v>5</v>
      </c>
      <c r="X315" s="20" t="s">
        <v>490</v>
      </c>
      <c r="Y315" s="20" t="s">
        <v>292</v>
      </c>
      <c r="Z315" s="20" t="s">
        <v>60</v>
      </c>
      <c r="AA315" s="20" t="s">
        <v>491</v>
      </c>
    </row>
    <row r="316" spans="1:27" x14ac:dyDescent="0.2">
      <c r="A316" s="20" t="s">
        <v>218</v>
      </c>
      <c r="B316" s="20" t="s">
        <v>289</v>
      </c>
      <c r="C316" s="20" t="s">
        <v>21</v>
      </c>
      <c r="D316" s="20" t="s">
        <v>31</v>
      </c>
      <c r="E316" s="20" t="s">
        <v>316</v>
      </c>
      <c r="F316" s="20" t="s">
        <v>31</v>
      </c>
      <c r="G316" s="20">
        <v>4</v>
      </c>
      <c r="H316" s="20">
        <v>5</v>
      </c>
      <c r="I316" s="13">
        <v>0.84830000000000005</v>
      </c>
      <c r="J316" s="20" t="s">
        <v>249</v>
      </c>
      <c r="L316" s="20" t="s">
        <v>248</v>
      </c>
      <c r="M316" s="20" t="s">
        <v>291</v>
      </c>
      <c r="N316" s="20" t="s">
        <v>31</v>
      </c>
      <c r="O316" s="20">
        <v>2</v>
      </c>
      <c r="P316" s="20">
        <v>4</v>
      </c>
      <c r="Q316" s="13">
        <v>0.76080000000000003</v>
      </c>
      <c r="R316" s="20" t="s">
        <v>249</v>
      </c>
      <c r="S316" s="20">
        <v>0.77</v>
      </c>
      <c r="T316" s="20" t="s">
        <v>248</v>
      </c>
      <c r="U316" s="20" t="s">
        <v>31</v>
      </c>
      <c r="V316" s="20">
        <v>3</v>
      </c>
      <c r="W316" s="20">
        <v>4</v>
      </c>
      <c r="X316" s="20" t="s">
        <v>490</v>
      </c>
      <c r="Y316" s="20" t="s">
        <v>292</v>
      </c>
      <c r="Z316" s="20" t="s">
        <v>60</v>
      </c>
      <c r="AA316" s="20" t="s">
        <v>491</v>
      </c>
    </row>
    <row r="317" spans="1:27" x14ac:dyDescent="0.2">
      <c r="A317" s="20" t="s">
        <v>218</v>
      </c>
      <c r="B317" s="20" t="s">
        <v>297</v>
      </c>
      <c r="C317" s="20" t="s">
        <v>16</v>
      </c>
      <c r="D317" s="20" t="s">
        <v>23</v>
      </c>
      <c r="E317" s="20" t="s">
        <v>317</v>
      </c>
      <c r="F317" s="20" t="s">
        <v>23</v>
      </c>
      <c r="G317" s="20">
        <v>3</v>
      </c>
      <c r="H317" s="20">
        <v>4</v>
      </c>
      <c r="I317" s="13">
        <v>0.82420000000000004</v>
      </c>
      <c r="J317" s="20" t="s">
        <v>249</v>
      </c>
      <c r="L317" s="20" t="s">
        <v>249</v>
      </c>
      <c r="M317" s="20" t="s">
        <v>386</v>
      </c>
      <c r="N317" s="20" t="s">
        <v>23</v>
      </c>
      <c r="O317" s="20">
        <v>2</v>
      </c>
      <c r="P317" s="20">
        <v>4</v>
      </c>
      <c r="Q317" s="13">
        <v>0.68479999999999996</v>
      </c>
      <c r="R317" s="20" t="s">
        <v>249</v>
      </c>
      <c r="S317" s="20">
        <v>0.99</v>
      </c>
      <c r="T317" s="20" t="s">
        <v>249</v>
      </c>
      <c r="U317" s="20" t="s">
        <v>16</v>
      </c>
      <c r="V317" s="20">
        <v>6</v>
      </c>
      <c r="W317" s="20">
        <v>2</v>
      </c>
      <c r="X317" s="20" t="s">
        <v>490</v>
      </c>
      <c r="Y317" s="20" t="s">
        <v>292</v>
      </c>
      <c r="Z317" s="20" t="s">
        <v>60</v>
      </c>
      <c r="AA317" s="20" t="s">
        <v>491</v>
      </c>
    </row>
    <row r="318" spans="1:27" x14ac:dyDescent="0.2">
      <c r="A318" s="20" t="s">
        <v>218</v>
      </c>
      <c r="B318" s="20" t="s">
        <v>318</v>
      </c>
      <c r="C318" s="20" t="s">
        <v>25</v>
      </c>
      <c r="D318" s="20" t="s">
        <v>34</v>
      </c>
      <c r="E318" s="20" t="s">
        <v>319</v>
      </c>
      <c r="F318" s="20" t="s">
        <v>25</v>
      </c>
      <c r="G318" s="20">
        <v>5</v>
      </c>
      <c r="H318" s="20">
        <v>4</v>
      </c>
      <c r="I318" s="13">
        <v>0.62329999999999997</v>
      </c>
      <c r="J318" s="20" t="s">
        <v>249</v>
      </c>
      <c r="L318" s="20" t="s">
        <v>249</v>
      </c>
      <c r="M318" s="20" t="s">
        <v>387</v>
      </c>
      <c r="N318" s="20" t="s">
        <v>25</v>
      </c>
      <c r="O318" s="20">
        <v>2</v>
      </c>
      <c r="P318" s="20">
        <v>4</v>
      </c>
      <c r="Q318" s="13">
        <v>0.72150000000000003</v>
      </c>
      <c r="R318" s="20" t="s">
        <v>249</v>
      </c>
      <c r="S318" s="20">
        <v>-1.0900000000000001</v>
      </c>
      <c r="T318" s="20" t="s">
        <v>249</v>
      </c>
      <c r="U318" s="20" t="s">
        <v>34</v>
      </c>
      <c r="V318" s="20">
        <v>3</v>
      </c>
      <c r="W318" s="20">
        <v>4</v>
      </c>
      <c r="X318" s="20" t="s">
        <v>496</v>
      </c>
      <c r="Y318" s="20" t="s">
        <v>292</v>
      </c>
      <c r="Z318" s="20" t="s">
        <v>60</v>
      </c>
      <c r="AA318" s="20" t="s">
        <v>491</v>
      </c>
    </row>
    <row r="319" spans="1:27" x14ac:dyDescent="0.2">
      <c r="A319" s="20" t="s">
        <v>218</v>
      </c>
      <c r="B319" s="20" t="s">
        <v>293</v>
      </c>
      <c r="C319" s="20" t="s">
        <v>17</v>
      </c>
      <c r="D319" s="20" t="s">
        <v>22</v>
      </c>
      <c r="E319" s="20" t="s">
        <v>320</v>
      </c>
      <c r="F319" s="20" t="s">
        <v>22</v>
      </c>
      <c r="G319" s="20">
        <v>3</v>
      </c>
      <c r="H319" s="20">
        <v>4</v>
      </c>
      <c r="I319" s="13">
        <v>0.54659999999999997</v>
      </c>
      <c r="J319" s="20" t="s">
        <v>249</v>
      </c>
      <c r="L319" s="20" t="s">
        <v>248</v>
      </c>
      <c r="M319" s="20" t="s">
        <v>321</v>
      </c>
      <c r="N319" s="20" t="s">
        <v>22</v>
      </c>
      <c r="O319" s="20">
        <v>2</v>
      </c>
      <c r="P319" s="20">
        <v>4</v>
      </c>
      <c r="Q319" s="13">
        <v>0.68869999999999998</v>
      </c>
      <c r="R319" s="20" t="s">
        <v>249</v>
      </c>
      <c r="S319" s="20">
        <v>1.03</v>
      </c>
      <c r="T319" s="20" t="s">
        <v>248</v>
      </c>
      <c r="U319" s="20" t="s">
        <v>22</v>
      </c>
      <c r="V319" s="20">
        <v>4</v>
      </c>
      <c r="W319" s="20">
        <v>7</v>
      </c>
      <c r="X319" s="20" t="s">
        <v>490</v>
      </c>
      <c r="Y319" s="20" t="s">
        <v>292</v>
      </c>
      <c r="Z319" s="20" t="s">
        <v>60</v>
      </c>
      <c r="AA319" s="20" t="s">
        <v>491</v>
      </c>
    </row>
    <row r="320" spans="1:27" x14ac:dyDescent="0.2">
      <c r="A320" s="20" t="s">
        <v>219</v>
      </c>
      <c r="B320" s="20" t="s">
        <v>326</v>
      </c>
      <c r="C320" s="20" t="s">
        <v>20</v>
      </c>
      <c r="D320" s="20" t="s">
        <v>55</v>
      </c>
      <c r="E320" s="20" t="s">
        <v>337</v>
      </c>
      <c r="F320" s="20" t="s">
        <v>55</v>
      </c>
      <c r="G320" s="20">
        <v>3</v>
      </c>
      <c r="H320" s="20">
        <v>4</v>
      </c>
      <c r="I320" s="13">
        <v>0.67815371762740195</v>
      </c>
      <c r="J320" s="20" t="s">
        <v>248</v>
      </c>
      <c r="K320" s="18">
        <v>0.54</v>
      </c>
      <c r="L320" s="20" t="s">
        <v>249</v>
      </c>
      <c r="M320" s="20" t="s">
        <v>397</v>
      </c>
      <c r="N320" s="20" t="s">
        <v>20</v>
      </c>
      <c r="O320" s="20">
        <v>2</v>
      </c>
      <c r="P320" s="20">
        <v>3</v>
      </c>
      <c r="Q320" s="13">
        <v>0.41674861628270699</v>
      </c>
      <c r="R320" s="20" t="s">
        <v>248</v>
      </c>
      <c r="S320" s="20">
        <v>-0.04</v>
      </c>
      <c r="T320" s="20" t="s">
        <v>248</v>
      </c>
      <c r="U320" s="20" t="s">
        <v>20</v>
      </c>
      <c r="V320" s="20">
        <v>4</v>
      </c>
      <c r="W320" s="20">
        <v>1</v>
      </c>
      <c r="X320" s="20" t="s">
        <v>490</v>
      </c>
      <c r="Y320" s="20" t="s">
        <v>292</v>
      </c>
      <c r="Z320" s="20" t="s">
        <v>60</v>
      </c>
      <c r="AA320" s="20" t="s">
        <v>491</v>
      </c>
    </row>
    <row r="321" spans="1:27" x14ac:dyDescent="0.2">
      <c r="A321" s="20" t="s">
        <v>219</v>
      </c>
      <c r="B321" s="20" t="s">
        <v>328</v>
      </c>
      <c r="C321" s="20" t="s">
        <v>28</v>
      </c>
      <c r="D321" s="20" t="s">
        <v>19</v>
      </c>
      <c r="E321" s="20" t="s">
        <v>336</v>
      </c>
      <c r="F321" s="20" t="s">
        <v>19</v>
      </c>
      <c r="G321" s="20">
        <v>3</v>
      </c>
      <c r="H321" s="20">
        <v>4</v>
      </c>
      <c r="I321" s="13">
        <v>0.56100667919398595</v>
      </c>
      <c r="J321" s="20" t="s">
        <v>249</v>
      </c>
      <c r="K321" s="18">
        <v>0.11600000000000001</v>
      </c>
      <c r="L321" s="20" t="s">
        <v>249</v>
      </c>
      <c r="M321" s="20" t="s">
        <v>396</v>
      </c>
      <c r="N321" s="20" t="s">
        <v>19</v>
      </c>
      <c r="O321" s="20">
        <v>2</v>
      </c>
      <c r="P321" s="20">
        <v>3</v>
      </c>
      <c r="Q321" s="13">
        <v>0.55864324773890295</v>
      </c>
      <c r="R321" s="20" t="s">
        <v>248</v>
      </c>
      <c r="S321" s="20">
        <v>0.03</v>
      </c>
      <c r="T321" s="20" t="s">
        <v>249</v>
      </c>
      <c r="U321" s="20" t="s">
        <v>28</v>
      </c>
      <c r="V321" s="20">
        <v>3</v>
      </c>
      <c r="W321" s="20">
        <v>2</v>
      </c>
      <c r="X321" s="20" t="s">
        <v>496</v>
      </c>
      <c r="Y321" s="20" t="s">
        <v>292</v>
      </c>
      <c r="Z321" s="20" t="s">
        <v>60</v>
      </c>
      <c r="AA321" s="20" t="s">
        <v>491</v>
      </c>
    </row>
    <row r="322" spans="1:27" x14ac:dyDescent="0.2">
      <c r="A322" s="20" t="s">
        <v>219</v>
      </c>
      <c r="B322" s="20" t="s">
        <v>334</v>
      </c>
      <c r="C322" s="20" t="s">
        <v>17</v>
      </c>
      <c r="D322" s="20" t="s">
        <v>37</v>
      </c>
      <c r="E322" s="20" t="s">
        <v>335</v>
      </c>
      <c r="F322" s="20" t="s">
        <v>37</v>
      </c>
      <c r="G322" s="20">
        <v>3</v>
      </c>
      <c r="H322" s="20">
        <v>4</v>
      </c>
      <c r="I322" s="13">
        <v>0.77119047619047598</v>
      </c>
      <c r="J322" s="20" t="s">
        <v>248</v>
      </c>
      <c r="K322" s="18">
        <v>0.61599999999999999</v>
      </c>
      <c r="L322" s="20" t="s">
        <v>248</v>
      </c>
      <c r="M322" s="20" t="s">
        <v>395</v>
      </c>
      <c r="N322" s="20" t="s">
        <v>37</v>
      </c>
      <c r="O322" s="20">
        <v>2</v>
      </c>
      <c r="P322" s="20">
        <v>4</v>
      </c>
      <c r="Q322" s="13">
        <v>0.711970082114465</v>
      </c>
      <c r="R322" s="20" t="s">
        <v>249</v>
      </c>
      <c r="S322" s="20">
        <v>1.25</v>
      </c>
      <c r="T322" s="20" t="s">
        <v>248</v>
      </c>
      <c r="U322" s="20" t="s">
        <v>37</v>
      </c>
      <c r="V322" s="20">
        <v>1</v>
      </c>
      <c r="W322" s="20">
        <v>2</v>
      </c>
      <c r="X322" s="20" t="s">
        <v>496</v>
      </c>
      <c r="Y322" s="20" t="s">
        <v>292</v>
      </c>
      <c r="Z322" s="20" t="s">
        <v>60</v>
      </c>
      <c r="AA322" s="20" t="s">
        <v>491</v>
      </c>
    </row>
    <row r="323" spans="1:27" x14ac:dyDescent="0.2">
      <c r="A323" s="20" t="s">
        <v>219</v>
      </c>
      <c r="B323" s="20" t="s">
        <v>322</v>
      </c>
      <c r="C323" s="20" t="s">
        <v>39</v>
      </c>
      <c r="D323" s="20" t="s">
        <v>38</v>
      </c>
      <c r="E323" s="20" t="s">
        <v>338</v>
      </c>
      <c r="F323" s="20" t="s">
        <v>39</v>
      </c>
      <c r="G323" s="20">
        <v>5</v>
      </c>
      <c r="H323" s="20">
        <v>4</v>
      </c>
      <c r="I323" s="13">
        <v>0.73677777777777798</v>
      </c>
      <c r="J323" s="20" t="s">
        <v>249</v>
      </c>
      <c r="K323" s="18">
        <v>0.39100000000000001</v>
      </c>
      <c r="L323" s="20" t="s">
        <v>248</v>
      </c>
      <c r="M323" s="20" t="s">
        <v>398</v>
      </c>
      <c r="N323" s="20" t="s">
        <v>39</v>
      </c>
      <c r="O323" s="20">
        <v>2</v>
      </c>
      <c r="P323" s="20">
        <v>4</v>
      </c>
      <c r="Q323" s="13">
        <v>0.65070700646466895</v>
      </c>
      <c r="R323" s="20" t="s">
        <v>249</v>
      </c>
      <c r="S323" s="20">
        <v>-0.71</v>
      </c>
      <c r="T323" s="20" t="s">
        <v>248</v>
      </c>
      <c r="U323" s="20" t="s">
        <v>39</v>
      </c>
      <c r="V323" s="20">
        <v>4</v>
      </c>
      <c r="W323" s="20">
        <v>2</v>
      </c>
      <c r="X323" s="20" t="s">
        <v>490</v>
      </c>
      <c r="Y323" s="20" t="s">
        <v>292</v>
      </c>
      <c r="Z323" s="20" t="s">
        <v>60</v>
      </c>
      <c r="AA323" s="20" t="s">
        <v>491</v>
      </c>
    </row>
    <row r="324" spans="1:27" x14ac:dyDescent="0.2">
      <c r="A324" s="20" t="s">
        <v>219</v>
      </c>
      <c r="B324" s="20" t="s">
        <v>322</v>
      </c>
      <c r="C324" s="20" t="s">
        <v>36</v>
      </c>
      <c r="D324" s="20" t="s">
        <v>31</v>
      </c>
      <c r="E324" s="20" t="s">
        <v>323</v>
      </c>
      <c r="F324" s="20" t="s">
        <v>31</v>
      </c>
      <c r="G324" s="20">
        <v>3</v>
      </c>
      <c r="H324" s="20">
        <v>4</v>
      </c>
      <c r="I324" s="13">
        <v>0.79971067821067798</v>
      </c>
      <c r="J324" s="20" t="s">
        <v>248</v>
      </c>
      <c r="K324" s="18">
        <v>0.53300000000000003</v>
      </c>
      <c r="L324" s="20" t="s">
        <v>249</v>
      </c>
      <c r="M324" s="20" t="s">
        <v>388</v>
      </c>
      <c r="N324" s="20" t="s">
        <v>31</v>
      </c>
      <c r="O324" s="20">
        <v>2</v>
      </c>
      <c r="P324" s="20">
        <v>4</v>
      </c>
      <c r="Q324" s="13">
        <v>0.82141601872248204</v>
      </c>
      <c r="R324" s="20" t="s">
        <v>249</v>
      </c>
      <c r="S324" s="20">
        <v>1.21</v>
      </c>
      <c r="T324" s="20" t="s">
        <v>249</v>
      </c>
      <c r="U324" s="20" t="s">
        <v>36</v>
      </c>
      <c r="V324" s="20">
        <v>3</v>
      </c>
      <c r="W324" s="20">
        <v>2</v>
      </c>
      <c r="X324" s="20" t="s">
        <v>490</v>
      </c>
      <c r="Y324" s="20" t="s">
        <v>292</v>
      </c>
      <c r="Z324" s="20" t="s">
        <v>60</v>
      </c>
      <c r="AA324" s="20" t="s">
        <v>491</v>
      </c>
    </row>
    <row r="325" spans="1:27" x14ac:dyDescent="0.2">
      <c r="A325" s="20" t="s">
        <v>219</v>
      </c>
      <c r="B325" s="20" t="s">
        <v>328</v>
      </c>
      <c r="C325" s="20" t="s">
        <v>35</v>
      </c>
      <c r="D325" s="20" t="s">
        <v>27</v>
      </c>
      <c r="E325" s="20" t="s">
        <v>332</v>
      </c>
      <c r="F325" s="20" t="s">
        <v>27</v>
      </c>
      <c r="G325" s="20">
        <v>3</v>
      </c>
      <c r="H325" s="20">
        <v>4</v>
      </c>
      <c r="I325" s="13">
        <v>0.78318759018758999</v>
      </c>
      <c r="J325" s="20" t="s">
        <v>249</v>
      </c>
      <c r="K325" s="18">
        <v>0.42499999999999999</v>
      </c>
      <c r="L325" s="20" t="s">
        <v>248</v>
      </c>
      <c r="M325" s="20" t="s">
        <v>393</v>
      </c>
      <c r="N325" s="20" t="s">
        <v>27</v>
      </c>
      <c r="O325" s="20">
        <v>2</v>
      </c>
      <c r="P325" s="20">
        <v>4</v>
      </c>
      <c r="Q325" s="13">
        <v>0.72316153141538597</v>
      </c>
      <c r="R325" s="20" t="s">
        <v>249</v>
      </c>
      <c r="S325" s="20">
        <v>1.31</v>
      </c>
      <c r="T325" s="20" t="s">
        <v>248</v>
      </c>
      <c r="U325" s="20" t="s">
        <v>27</v>
      </c>
      <c r="V325" s="20">
        <v>2</v>
      </c>
      <c r="W325" s="20">
        <v>3</v>
      </c>
      <c r="X325" s="20" t="s">
        <v>496</v>
      </c>
      <c r="Y325" s="20" t="s">
        <v>292</v>
      </c>
      <c r="Z325" s="20" t="s">
        <v>60</v>
      </c>
      <c r="AA325" s="20" t="s">
        <v>491</v>
      </c>
    </row>
    <row r="326" spans="1:27" x14ac:dyDescent="0.2">
      <c r="A326" s="20" t="s">
        <v>219</v>
      </c>
      <c r="B326" s="20" t="s">
        <v>324</v>
      </c>
      <c r="C326" s="20" t="s">
        <v>32</v>
      </c>
      <c r="D326" s="20" t="s">
        <v>10</v>
      </c>
      <c r="E326" s="20" t="s">
        <v>325</v>
      </c>
      <c r="F326" s="20" t="s">
        <v>10</v>
      </c>
      <c r="G326" s="20">
        <v>3</v>
      </c>
      <c r="H326" s="20">
        <v>4</v>
      </c>
      <c r="I326" s="13">
        <v>0.81409746588693999</v>
      </c>
      <c r="J326" s="20" t="s">
        <v>248</v>
      </c>
      <c r="K326" s="18">
        <v>0.50700000000000001</v>
      </c>
      <c r="L326" s="20" t="s">
        <v>249</v>
      </c>
      <c r="M326" s="20" t="s">
        <v>389</v>
      </c>
      <c r="N326" s="20" t="s">
        <v>10</v>
      </c>
      <c r="O326" s="20">
        <v>2</v>
      </c>
      <c r="P326" s="20">
        <v>4</v>
      </c>
      <c r="Q326" s="13">
        <v>0.68955873942591095</v>
      </c>
      <c r="R326" s="20" t="s">
        <v>249</v>
      </c>
      <c r="S326" s="20">
        <v>1.04</v>
      </c>
      <c r="T326" s="20" t="s">
        <v>249</v>
      </c>
      <c r="U326" s="20" t="s">
        <v>32</v>
      </c>
      <c r="V326" s="20">
        <v>3</v>
      </c>
      <c r="W326" s="20">
        <v>2</v>
      </c>
      <c r="X326" s="20" t="s">
        <v>490</v>
      </c>
      <c r="Y326" s="20" t="s">
        <v>292</v>
      </c>
      <c r="Z326" s="20" t="s">
        <v>60</v>
      </c>
      <c r="AA326" s="20" t="s">
        <v>491</v>
      </c>
    </row>
    <row r="327" spans="1:27" x14ac:dyDescent="0.2">
      <c r="A327" s="20" t="s">
        <v>219</v>
      </c>
      <c r="B327" s="20" t="s">
        <v>326</v>
      </c>
      <c r="C327" s="20" t="s">
        <v>15</v>
      </c>
      <c r="D327" s="20" t="s">
        <v>12</v>
      </c>
      <c r="E327" s="20" t="s">
        <v>327</v>
      </c>
      <c r="F327" s="20" t="s">
        <v>12</v>
      </c>
      <c r="G327" s="20">
        <v>3</v>
      </c>
      <c r="H327" s="20">
        <v>4</v>
      </c>
      <c r="I327" s="13">
        <v>0.68089417989418</v>
      </c>
      <c r="J327" s="20" t="s">
        <v>249</v>
      </c>
      <c r="K327" s="18">
        <v>0.28699999999999998</v>
      </c>
      <c r="L327" s="20" t="s">
        <v>248</v>
      </c>
      <c r="M327" s="20" t="s">
        <v>361</v>
      </c>
      <c r="N327" s="20" t="s">
        <v>12</v>
      </c>
      <c r="O327" s="20">
        <v>1</v>
      </c>
      <c r="P327" s="20">
        <v>5</v>
      </c>
      <c r="Q327" s="13">
        <v>0.79009355708149598</v>
      </c>
      <c r="R327" s="20" t="s">
        <v>249</v>
      </c>
      <c r="S327" s="20">
        <v>2.04</v>
      </c>
      <c r="T327" s="20" t="s">
        <v>248</v>
      </c>
      <c r="U327" s="20" t="s">
        <v>12</v>
      </c>
      <c r="V327" s="20">
        <v>3</v>
      </c>
      <c r="W327" s="20">
        <v>6</v>
      </c>
      <c r="X327" s="20" t="s">
        <v>490</v>
      </c>
      <c r="Y327" s="20" t="s">
        <v>292</v>
      </c>
      <c r="Z327" s="20" t="s">
        <v>60</v>
      </c>
      <c r="AA327" s="20" t="s">
        <v>491</v>
      </c>
    </row>
    <row r="328" spans="1:27" x14ac:dyDescent="0.2">
      <c r="A328" s="20" t="s">
        <v>219</v>
      </c>
      <c r="B328" s="20" t="s">
        <v>322</v>
      </c>
      <c r="C328" s="20" t="s">
        <v>13</v>
      </c>
      <c r="D328" s="20" t="s">
        <v>33</v>
      </c>
      <c r="E328" s="20" t="s">
        <v>333</v>
      </c>
      <c r="F328" s="20" t="s">
        <v>13</v>
      </c>
      <c r="G328" s="20">
        <v>5</v>
      </c>
      <c r="H328" s="20">
        <v>4</v>
      </c>
      <c r="I328" s="13">
        <v>0.68822126022125996</v>
      </c>
      <c r="J328" s="20" t="s">
        <v>249</v>
      </c>
      <c r="K328" s="18">
        <v>0.28199999999999997</v>
      </c>
      <c r="L328" s="20" t="s">
        <v>249</v>
      </c>
      <c r="M328" s="20" t="s">
        <v>394</v>
      </c>
      <c r="N328" s="20" t="s">
        <v>13</v>
      </c>
      <c r="O328" s="20">
        <v>2</v>
      </c>
      <c r="P328" s="20">
        <v>3</v>
      </c>
      <c r="Q328" s="13">
        <v>0.56836235759955001</v>
      </c>
      <c r="R328" s="20" t="s">
        <v>248</v>
      </c>
      <c r="S328" s="20">
        <v>-0.05</v>
      </c>
      <c r="T328" s="20" t="s">
        <v>249</v>
      </c>
      <c r="U328" s="20" t="s">
        <v>33</v>
      </c>
      <c r="V328" s="20">
        <v>3</v>
      </c>
      <c r="W328" s="20">
        <v>4</v>
      </c>
      <c r="X328" s="20" t="s">
        <v>496</v>
      </c>
      <c r="Y328" s="20" t="s">
        <v>292</v>
      </c>
      <c r="Z328" s="20" t="s">
        <v>60</v>
      </c>
      <c r="AA328" s="20" t="s">
        <v>491</v>
      </c>
    </row>
    <row r="329" spans="1:27" x14ac:dyDescent="0.2">
      <c r="A329" s="20" t="s">
        <v>219</v>
      </c>
      <c r="B329" s="20" t="s">
        <v>328</v>
      </c>
      <c r="C329" s="20" t="s">
        <v>24</v>
      </c>
      <c r="D329" s="20" t="s">
        <v>11</v>
      </c>
      <c r="E329" s="20" t="s">
        <v>330</v>
      </c>
      <c r="F329" s="20" t="s">
        <v>11</v>
      </c>
      <c r="G329" s="20">
        <v>3</v>
      </c>
      <c r="H329" s="20">
        <v>4</v>
      </c>
      <c r="I329" s="13">
        <v>0.61979461279461301</v>
      </c>
      <c r="J329" s="20" t="s">
        <v>249</v>
      </c>
      <c r="K329" s="18">
        <v>0.38100000000000001</v>
      </c>
      <c r="L329" s="20" t="s">
        <v>248</v>
      </c>
      <c r="M329" s="20" t="s">
        <v>391</v>
      </c>
      <c r="N329" s="20" t="s">
        <v>24</v>
      </c>
      <c r="O329" s="20">
        <v>2</v>
      </c>
      <c r="P329" s="20">
        <v>3</v>
      </c>
      <c r="Q329" s="13">
        <v>0.47717133510972898</v>
      </c>
      <c r="R329" s="20" t="s">
        <v>248</v>
      </c>
      <c r="S329" s="20">
        <v>-0.28000000000000003</v>
      </c>
      <c r="T329" s="20" t="s">
        <v>249</v>
      </c>
      <c r="U329" s="20" t="s">
        <v>11</v>
      </c>
      <c r="V329" s="20">
        <v>0</v>
      </c>
      <c r="W329" s="20">
        <v>1</v>
      </c>
      <c r="X329" s="20" t="s">
        <v>490</v>
      </c>
      <c r="Y329" s="20" t="s">
        <v>292</v>
      </c>
      <c r="Z329" s="20" t="s">
        <v>60</v>
      </c>
      <c r="AA329" s="20" t="s">
        <v>491</v>
      </c>
    </row>
    <row r="330" spans="1:27" x14ac:dyDescent="0.2">
      <c r="A330" s="20" t="s">
        <v>219</v>
      </c>
      <c r="B330" s="20" t="s">
        <v>328</v>
      </c>
      <c r="C330" s="20" t="s">
        <v>22</v>
      </c>
      <c r="D330" s="20" t="s">
        <v>18</v>
      </c>
      <c r="E330" s="20" t="s">
        <v>331</v>
      </c>
      <c r="F330" s="20" t="s">
        <v>18</v>
      </c>
      <c r="G330" s="20">
        <v>3</v>
      </c>
      <c r="H330" s="20">
        <v>4</v>
      </c>
      <c r="I330" s="13">
        <v>0.75639782537151001</v>
      </c>
      <c r="J330" s="20" t="s">
        <v>248</v>
      </c>
      <c r="K330" s="18">
        <v>0.63100000000000001</v>
      </c>
      <c r="L330" s="20" t="s">
        <v>249</v>
      </c>
      <c r="M330" s="20" t="s">
        <v>392</v>
      </c>
      <c r="N330" s="20" t="s">
        <v>22</v>
      </c>
      <c r="O330" s="20">
        <v>2</v>
      </c>
      <c r="P330" s="20">
        <v>3</v>
      </c>
      <c r="Q330" s="13">
        <v>0.52653488689618599</v>
      </c>
      <c r="R330" s="20" t="s">
        <v>249</v>
      </c>
      <c r="S330" s="20">
        <v>-0.48</v>
      </c>
      <c r="T330" s="20" t="s">
        <v>248</v>
      </c>
      <c r="U330" s="20" t="s">
        <v>22</v>
      </c>
      <c r="V330" s="20">
        <v>8</v>
      </c>
      <c r="W330" s="20">
        <v>4</v>
      </c>
      <c r="X330" s="20" t="s">
        <v>490</v>
      </c>
      <c r="Y330" s="20" t="s">
        <v>292</v>
      </c>
      <c r="Z330" s="20" t="s">
        <v>60</v>
      </c>
      <c r="AA330" s="20" t="s">
        <v>491</v>
      </c>
    </row>
    <row r="331" spans="1:27" x14ac:dyDescent="0.2">
      <c r="A331" s="20" t="s">
        <v>219</v>
      </c>
      <c r="B331" s="20" t="s">
        <v>328</v>
      </c>
      <c r="C331" s="20" t="s">
        <v>30</v>
      </c>
      <c r="D331" s="20" t="s">
        <v>26</v>
      </c>
      <c r="E331" s="20" t="s">
        <v>329</v>
      </c>
      <c r="F331" s="20" t="s">
        <v>26</v>
      </c>
      <c r="G331" s="20">
        <v>3</v>
      </c>
      <c r="H331" s="20">
        <v>4</v>
      </c>
      <c r="I331" s="13">
        <v>0.507202173213117</v>
      </c>
      <c r="J331" s="20" t="s">
        <v>249</v>
      </c>
      <c r="K331" s="18">
        <v>0.44</v>
      </c>
      <c r="L331" s="20" t="s">
        <v>249</v>
      </c>
      <c r="M331" s="20" t="s">
        <v>390</v>
      </c>
      <c r="N331" s="20" t="s">
        <v>30</v>
      </c>
      <c r="O331" s="20">
        <v>2</v>
      </c>
      <c r="P331" s="20">
        <v>3</v>
      </c>
      <c r="Q331" s="13">
        <v>0.50783942088355705</v>
      </c>
      <c r="R331" s="20" t="s">
        <v>248</v>
      </c>
      <c r="S331" s="20">
        <v>-0.21</v>
      </c>
      <c r="T331" s="20" t="s">
        <v>248</v>
      </c>
      <c r="U331" s="20" t="s">
        <v>30</v>
      </c>
      <c r="V331" s="20">
        <v>5</v>
      </c>
      <c r="W331" s="20">
        <v>0</v>
      </c>
      <c r="X331" s="20" t="s">
        <v>490</v>
      </c>
      <c r="Y331" s="20" t="s">
        <v>292</v>
      </c>
      <c r="Z331" s="20" t="s">
        <v>60</v>
      </c>
      <c r="AA331" s="20" t="s">
        <v>491</v>
      </c>
    </row>
    <row r="332" spans="1:27" x14ac:dyDescent="0.2">
      <c r="A332" s="20" t="s">
        <v>220</v>
      </c>
      <c r="B332" s="20" t="s">
        <v>328</v>
      </c>
      <c r="C332" s="20" t="s">
        <v>10</v>
      </c>
      <c r="D332" s="20" t="s">
        <v>23</v>
      </c>
      <c r="E332" s="20" t="s">
        <v>339</v>
      </c>
      <c r="F332" s="20" t="s">
        <v>10</v>
      </c>
      <c r="G332" s="20">
        <v>4</v>
      </c>
      <c r="H332" s="20">
        <v>3</v>
      </c>
      <c r="I332" s="13">
        <v>0.58904761904761893</v>
      </c>
      <c r="J332" s="20" t="s">
        <v>248</v>
      </c>
      <c r="K332" s="18">
        <v>0.58099999999999996</v>
      </c>
      <c r="L332" s="20" t="s">
        <v>249</v>
      </c>
      <c r="M332" s="20" t="s">
        <v>399</v>
      </c>
      <c r="N332" s="20" t="s">
        <v>10</v>
      </c>
      <c r="O332" s="20">
        <v>2</v>
      </c>
      <c r="P332" s="20">
        <v>4</v>
      </c>
      <c r="Q332" s="13">
        <v>0.62127138852721631</v>
      </c>
      <c r="R332" s="20" t="s">
        <v>249</v>
      </c>
      <c r="S332" s="20">
        <v>-1.01</v>
      </c>
      <c r="T332" s="20" t="s">
        <v>249</v>
      </c>
      <c r="U332" s="20" t="s">
        <v>23</v>
      </c>
      <c r="V332" s="20">
        <v>3</v>
      </c>
      <c r="W332" s="20">
        <v>9</v>
      </c>
      <c r="X332" s="20" t="s">
        <v>490</v>
      </c>
      <c r="Y332" s="20" t="s">
        <v>292</v>
      </c>
      <c r="Z332" s="20" t="s">
        <v>60</v>
      </c>
      <c r="AA332" s="20" t="s">
        <v>491</v>
      </c>
    </row>
    <row r="333" spans="1:27" x14ac:dyDescent="0.2">
      <c r="A333" s="20" t="s">
        <v>220</v>
      </c>
      <c r="B333" s="20" t="s">
        <v>340</v>
      </c>
      <c r="C333" s="20" t="s">
        <v>21</v>
      </c>
      <c r="D333" s="20" t="s">
        <v>13</v>
      </c>
      <c r="E333" s="20" t="s">
        <v>341</v>
      </c>
      <c r="F333" s="20" t="s">
        <v>13</v>
      </c>
      <c r="G333" s="20">
        <v>3</v>
      </c>
      <c r="H333" s="20">
        <v>4</v>
      </c>
      <c r="I333" s="13">
        <v>0.54508201058201067</v>
      </c>
      <c r="J333" s="20" t="s">
        <v>248</v>
      </c>
      <c r="K333" s="18">
        <v>0.63700000000000001</v>
      </c>
      <c r="L333" s="20" t="s">
        <v>249</v>
      </c>
      <c r="M333" s="20" t="s">
        <v>400</v>
      </c>
      <c r="N333" s="20" t="s">
        <v>13</v>
      </c>
      <c r="O333" s="20">
        <v>2</v>
      </c>
      <c r="P333" s="20">
        <v>3</v>
      </c>
      <c r="Q333" s="13">
        <v>0.54352487978663888</v>
      </c>
      <c r="R333" s="20" t="s">
        <v>248</v>
      </c>
      <c r="S333" s="20">
        <v>0.03</v>
      </c>
      <c r="T333" s="20" t="s">
        <v>249</v>
      </c>
      <c r="U333" s="20" t="s">
        <v>21</v>
      </c>
      <c r="V333" s="20">
        <v>2</v>
      </c>
      <c r="W333" s="20">
        <v>1</v>
      </c>
      <c r="X333" s="20" t="s">
        <v>496</v>
      </c>
      <c r="Y333" s="20" t="s">
        <v>292</v>
      </c>
      <c r="Z333" s="20" t="s">
        <v>60</v>
      </c>
      <c r="AA333" s="20" t="s">
        <v>491</v>
      </c>
    </row>
    <row r="334" spans="1:27" x14ac:dyDescent="0.2">
      <c r="A334" s="20" t="s">
        <v>220</v>
      </c>
      <c r="B334" s="20" t="s">
        <v>328</v>
      </c>
      <c r="C334" s="20" t="s">
        <v>34</v>
      </c>
      <c r="D334" s="20" t="s">
        <v>14</v>
      </c>
      <c r="E334" s="20" t="s">
        <v>342</v>
      </c>
      <c r="F334" s="20" t="s">
        <v>34</v>
      </c>
      <c r="G334" s="20">
        <v>3</v>
      </c>
      <c r="H334" s="20">
        <v>2</v>
      </c>
      <c r="I334" s="13">
        <v>0.51067724867724873</v>
      </c>
      <c r="J334" s="20" t="s">
        <v>249</v>
      </c>
      <c r="K334" s="18">
        <v>0.44400000000000001</v>
      </c>
      <c r="L334" s="20" t="s">
        <v>248</v>
      </c>
      <c r="M334" s="20" t="s">
        <v>343</v>
      </c>
      <c r="N334" s="20" t="s">
        <v>14</v>
      </c>
      <c r="O334" s="20">
        <v>2</v>
      </c>
      <c r="P334" s="20">
        <v>4</v>
      </c>
      <c r="Q334" s="13">
        <v>0.69427003530691833</v>
      </c>
      <c r="R334" s="20" t="s">
        <v>249</v>
      </c>
      <c r="S334" s="20">
        <v>0.85</v>
      </c>
      <c r="T334" s="20" t="s">
        <v>249</v>
      </c>
      <c r="U334" s="20" t="s">
        <v>34</v>
      </c>
      <c r="V334" s="20">
        <v>5</v>
      </c>
      <c r="W334" s="20">
        <v>0</v>
      </c>
      <c r="X334" s="20" t="s">
        <v>490</v>
      </c>
      <c r="Y334" s="20" t="s">
        <v>292</v>
      </c>
      <c r="Z334" s="20" t="s">
        <v>60</v>
      </c>
      <c r="AA334" s="20" t="s">
        <v>491</v>
      </c>
    </row>
    <row r="335" spans="1:27" x14ac:dyDescent="0.2">
      <c r="A335" s="20" t="s">
        <v>220</v>
      </c>
      <c r="B335" s="20" t="s">
        <v>324</v>
      </c>
      <c r="C335" s="20" t="s">
        <v>25</v>
      </c>
      <c r="D335" s="20" t="s">
        <v>40</v>
      </c>
      <c r="E335" s="20" t="s">
        <v>344</v>
      </c>
      <c r="F335" s="20" t="s">
        <v>40</v>
      </c>
      <c r="G335" s="20">
        <v>3</v>
      </c>
      <c r="H335" s="20">
        <v>4</v>
      </c>
      <c r="I335" s="13">
        <v>0.75196825396825406</v>
      </c>
      <c r="J335" s="20" t="s">
        <v>248</v>
      </c>
      <c r="K335" s="18">
        <v>0.64800000000000002</v>
      </c>
      <c r="L335" s="20" t="s">
        <v>249</v>
      </c>
      <c r="M335" s="20" t="s">
        <v>401</v>
      </c>
      <c r="N335" s="20" t="s">
        <v>25</v>
      </c>
      <c r="O335" s="20">
        <v>2</v>
      </c>
      <c r="P335" s="20">
        <v>3</v>
      </c>
      <c r="Q335" s="13">
        <v>0.52384786307493458</v>
      </c>
      <c r="R335" s="20" t="s">
        <v>248</v>
      </c>
      <c r="S335" s="20">
        <v>-0.26</v>
      </c>
      <c r="T335" s="20" t="s">
        <v>248</v>
      </c>
      <c r="U335" s="20" t="s">
        <v>25</v>
      </c>
      <c r="V335" s="20">
        <v>4</v>
      </c>
      <c r="W335" s="20">
        <v>3</v>
      </c>
      <c r="X335" s="20" t="s">
        <v>490</v>
      </c>
      <c r="Y335" s="20" t="s">
        <v>292</v>
      </c>
      <c r="Z335" s="20" t="s">
        <v>60</v>
      </c>
      <c r="AA335" s="20" t="s">
        <v>491</v>
      </c>
    </row>
    <row r="336" spans="1:27" x14ac:dyDescent="0.2">
      <c r="A336" s="20" t="s">
        <v>221</v>
      </c>
      <c r="B336" s="20" t="s">
        <v>326</v>
      </c>
      <c r="C336" s="20" t="s">
        <v>15</v>
      </c>
      <c r="D336" s="20" t="s">
        <v>55</v>
      </c>
      <c r="E336" s="20" t="s">
        <v>357</v>
      </c>
      <c r="F336" s="20" t="s">
        <v>55</v>
      </c>
      <c r="G336" s="20">
        <v>3</v>
      </c>
      <c r="H336" s="20">
        <v>4</v>
      </c>
      <c r="I336" s="13">
        <v>0.6337840563691628</v>
      </c>
      <c r="J336" s="20" t="s">
        <v>249</v>
      </c>
      <c r="K336" s="18">
        <v>0.313</v>
      </c>
      <c r="L336" s="20" t="s">
        <v>248</v>
      </c>
      <c r="M336" s="20" t="s">
        <v>362</v>
      </c>
      <c r="N336" s="20" t="s">
        <v>55</v>
      </c>
      <c r="O336" s="20">
        <v>2</v>
      </c>
      <c r="P336" s="20">
        <v>3</v>
      </c>
      <c r="Q336" s="13">
        <v>0.51017063196028578</v>
      </c>
      <c r="R336" s="20" t="s">
        <v>248</v>
      </c>
      <c r="S336" s="20">
        <v>0.25</v>
      </c>
      <c r="T336" s="20" t="s">
        <v>248</v>
      </c>
      <c r="U336" s="20" t="s">
        <v>55</v>
      </c>
      <c r="V336" s="20">
        <v>2</v>
      </c>
      <c r="W336" s="20">
        <v>3</v>
      </c>
      <c r="X336" s="20" t="s">
        <v>490</v>
      </c>
      <c r="Y336" s="20" t="s">
        <v>292</v>
      </c>
      <c r="Z336" s="20" t="s">
        <v>60</v>
      </c>
      <c r="AA336" s="20" t="s">
        <v>491</v>
      </c>
    </row>
    <row r="337" spans="1:27" x14ac:dyDescent="0.2">
      <c r="A337" s="20" t="s">
        <v>221</v>
      </c>
      <c r="B337" s="20" t="s">
        <v>328</v>
      </c>
      <c r="C337" s="20" t="s">
        <v>36</v>
      </c>
      <c r="D337" s="20" t="s">
        <v>33</v>
      </c>
      <c r="E337" s="20" t="s">
        <v>356</v>
      </c>
      <c r="F337" s="20" t="s">
        <v>33</v>
      </c>
      <c r="G337" s="20">
        <v>4</v>
      </c>
      <c r="H337" s="20">
        <v>5</v>
      </c>
      <c r="I337" s="13">
        <v>0.57873187202660858</v>
      </c>
      <c r="J337" s="20" t="s">
        <v>248</v>
      </c>
      <c r="K337" s="18">
        <v>0.627</v>
      </c>
      <c r="L337" s="20" t="s">
        <v>249</v>
      </c>
      <c r="M337" s="20" t="s">
        <v>407</v>
      </c>
      <c r="N337" s="20" t="s">
        <v>33</v>
      </c>
      <c r="O337" s="20">
        <v>2</v>
      </c>
      <c r="P337" s="20">
        <v>3</v>
      </c>
      <c r="Q337" s="13">
        <v>0.5625647207386173</v>
      </c>
      <c r="R337" s="20" t="s">
        <v>248</v>
      </c>
      <c r="S337" s="20">
        <v>0.16</v>
      </c>
      <c r="T337" s="20" t="s">
        <v>249</v>
      </c>
      <c r="U337" s="20" t="s">
        <v>36</v>
      </c>
      <c r="V337" s="20">
        <v>3</v>
      </c>
      <c r="W337" s="20">
        <v>2</v>
      </c>
      <c r="X337" s="20" t="s">
        <v>490</v>
      </c>
      <c r="Y337" s="20" t="s">
        <v>292</v>
      </c>
      <c r="Z337" s="20" t="s">
        <v>60</v>
      </c>
      <c r="AA337" s="20" t="s">
        <v>491</v>
      </c>
    </row>
    <row r="338" spans="1:27" x14ac:dyDescent="0.2">
      <c r="A338" s="20" t="s">
        <v>221</v>
      </c>
      <c r="B338" s="20" t="s">
        <v>328</v>
      </c>
      <c r="C338" s="20" t="s">
        <v>32</v>
      </c>
      <c r="D338" s="20" t="s">
        <v>14</v>
      </c>
      <c r="E338" s="20" t="s">
        <v>355</v>
      </c>
      <c r="F338" s="20" t="s">
        <v>14</v>
      </c>
      <c r="G338" s="20">
        <v>3</v>
      </c>
      <c r="H338" s="20">
        <v>4</v>
      </c>
      <c r="I338" s="13">
        <v>0.53547883597883605</v>
      </c>
      <c r="J338" s="20" t="s">
        <v>249</v>
      </c>
      <c r="K338" s="18">
        <v>0.40500000000000003</v>
      </c>
      <c r="L338" s="20" t="s">
        <v>249</v>
      </c>
      <c r="M338" s="20" t="s">
        <v>406</v>
      </c>
      <c r="N338" s="20" t="s">
        <v>14</v>
      </c>
      <c r="O338" s="20">
        <v>2</v>
      </c>
      <c r="P338" s="20">
        <v>4</v>
      </c>
      <c r="Q338" s="13">
        <v>0.62760419841259008</v>
      </c>
      <c r="R338" s="20" t="s">
        <v>249</v>
      </c>
      <c r="S338" s="20">
        <v>0.56000000000000005</v>
      </c>
      <c r="T338" s="20" t="s">
        <v>249</v>
      </c>
      <c r="U338" s="20" t="s">
        <v>32</v>
      </c>
      <c r="V338" s="20">
        <v>3</v>
      </c>
      <c r="W338" s="20">
        <v>2</v>
      </c>
      <c r="X338" s="20" t="s">
        <v>496</v>
      </c>
      <c r="Y338" s="20" t="s">
        <v>292</v>
      </c>
      <c r="Z338" s="20" t="s">
        <v>60</v>
      </c>
      <c r="AA338" s="20" t="s">
        <v>491</v>
      </c>
    </row>
    <row r="339" spans="1:27" x14ac:dyDescent="0.2">
      <c r="A339" s="20" t="s">
        <v>221</v>
      </c>
      <c r="B339" s="20" t="s">
        <v>328</v>
      </c>
      <c r="C339" s="20" t="s">
        <v>24</v>
      </c>
      <c r="D339" s="20" t="s">
        <v>27</v>
      </c>
      <c r="E339" s="20" t="s">
        <v>354</v>
      </c>
      <c r="F339" s="20" t="s">
        <v>24</v>
      </c>
      <c r="G339" s="20">
        <v>4</v>
      </c>
      <c r="H339" s="20">
        <v>3</v>
      </c>
      <c r="I339" s="13">
        <v>0.63601404151404162</v>
      </c>
      <c r="J339" s="20" t="s">
        <v>249</v>
      </c>
      <c r="K339" s="18">
        <v>0.44</v>
      </c>
      <c r="L339" s="20" t="s">
        <v>249</v>
      </c>
      <c r="M339" s="20" t="s">
        <v>405</v>
      </c>
      <c r="N339" s="20" t="s">
        <v>24</v>
      </c>
      <c r="O339" s="20">
        <v>2</v>
      </c>
      <c r="P339" s="20">
        <v>4</v>
      </c>
      <c r="Q339" s="13">
        <v>0.55265687829531895</v>
      </c>
      <c r="R339" s="20" t="s">
        <v>249</v>
      </c>
      <c r="S339" s="20">
        <v>-0.63</v>
      </c>
      <c r="T339" s="20" t="s">
        <v>249</v>
      </c>
      <c r="U339" s="20" t="s">
        <v>27</v>
      </c>
      <c r="V339" s="20">
        <v>3</v>
      </c>
      <c r="W339" s="20">
        <v>6</v>
      </c>
      <c r="X339" s="20" t="s">
        <v>490</v>
      </c>
      <c r="Y339" s="20" t="s">
        <v>292</v>
      </c>
      <c r="Z339" s="20" t="s">
        <v>60</v>
      </c>
      <c r="AA339" s="20" t="s">
        <v>491</v>
      </c>
    </row>
    <row r="340" spans="1:27" x14ac:dyDescent="0.2">
      <c r="A340" s="20" t="s">
        <v>221</v>
      </c>
      <c r="B340" s="20" t="s">
        <v>328</v>
      </c>
      <c r="C340" s="20" t="s">
        <v>17</v>
      </c>
      <c r="D340" s="20" t="s">
        <v>11</v>
      </c>
      <c r="E340" s="20" t="s">
        <v>349</v>
      </c>
      <c r="F340" s="20" t="s">
        <v>11</v>
      </c>
      <c r="G340" s="20">
        <v>3</v>
      </c>
      <c r="H340" s="20">
        <v>4</v>
      </c>
      <c r="I340" s="13">
        <v>0.71271640211640208</v>
      </c>
      <c r="J340" s="20" t="s">
        <v>249</v>
      </c>
      <c r="K340" s="18">
        <v>0.317</v>
      </c>
      <c r="L340" s="20" t="s">
        <v>249</v>
      </c>
      <c r="M340" s="20" t="s">
        <v>403</v>
      </c>
      <c r="N340" s="20" t="s">
        <v>11</v>
      </c>
      <c r="O340" s="20">
        <v>2</v>
      </c>
      <c r="P340" s="20">
        <v>4</v>
      </c>
      <c r="Q340" s="13">
        <v>0.7567456775048037</v>
      </c>
      <c r="R340" s="20" t="s">
        <v>249</v>
      </c>
      <c r="S340" s="20">
        <v>1</v>
      </c>
      <c r="T340" s="20" t="s">
        <v>249</v>
      </c>
      <c r="U340" s="20" t="s">
        <v>17</v>
      </c>
      <c r="V340" s="20">
        <v>6</v>
      </c>
      <c r="W340" s="20">
        <v>3</v>
      </c>
      <c r="X340" s="20" t="s">
        <v>490</v>
      </c>
      <c r="Y340" s="20" t="s">
        <v>292</v>
      </c>
      <c r="Z340" s="20" t="s">
        <v>60</v>
      </c>
      <c r="AA340" s="20" t="s">
        <v>491</v>
      </c>
    </row>
    <row r="341" spans="1:27" x14ac:dyDescent="0.2">
      <c r="A341" s="20" t="s">
        <v>221</v>
      </c>
      <c r="B341" s="20" t="s">
        <v>324</v>
      </c>
      <c r="C341" s="20" t="s">
        <v>12</v>
      </c>
      <c r="D341" s="20" t="s">
        <v>29</v>
      </c>
      <c r="E341" s="20" t="s">
        <v>351</v>
      </c>
      <c r="F341" s="20" t="s">
        <v>12</v>
      </c>
      <c r="G341" s="20">
        <v>4</v>
      </c>
      <c r="H341" s="20">
        <v>3</v>
      </c>
      <c r="I341" s="13">
        <v>0.79329100529100538</v>
      </c>
      <c r="J341" s="20" t="s">
        <v>249</v>
      </c>
      <c r="K341" s="18">
        <v>0.34200000000000003</v>
      </c>
      <c r="L341" s="20" t="s">
        <v>248</v>
      </c>
      <c r="M341" s="20" t="s">
        <v>361</v>
      </c>
      <c r="N341" s="20" t="s">
        <v>12</v>
      </c>
      <c r="O341" s="20">
        <v>1</v>
      </c>
      <c r="P341" s="20">
        <v>6</v>
      </c>
      <c r="Q341" s="13">
        <v>0.93629488580979003</v>
      </c>
      <c r="R341" s="20" t="s">
        <v>249</v>
      </c>
      <c r="S341" s="20">
        <v>-2.83</v>
      </c>
      <c r="T341" s="20" t="s">
        <v>248</v>
      </c>
      <c r="U341" s="20" t="s">
        <v>12</v>
      </c>
      <c r="V341" s="20">
        <v>3</v>
      </c>
      <c r="W341" s="20">
        <v>0</v>
      </c>
      <c r="X341" s="20" t="s">
        <v>490</v>
      </c>
      <c r="Y341" s="20" t="s">
        <v>292</v>
      </c>
      <c r="Z341" s="20" t="s">
        <v>60</v>
      </c>
      <c r="AA341" s="20" t="s">
        <v>491</v>
      </c>
    </row>
    <row r="342" spans="1:27" x14ac:dyDescent="0.2">
      <c r="A342" s="20" t="s">
        <v>221</v>
      </c>
      <c r="B342" s="20" t="s">
        <v>328</v>
      </c>
      <c r="C342" s="20" t="s">
        <v>19</v>
      </c>
      <c r="D342" s="20" t="s">
        <v>18</v>
      </c>
      <c r="E342" s="20" t="s">
        <v>350</v>
      </c>
      <c r="F342" s="20" t="s">
        <v>18</v>
      </c>
      <c r="G342" s="20">
        <v>4</v>
      </c>
      <c r="H342" s="20">
        <v>5</v>
      </c>
      <c r="I342" s="13">
        <v>0.53974867724867714</v>
      </c>
      <c r="J342" s="20" t="s">
        <v>249</v>
      </c>
      <c r="K342" s="18">
        <v>0.46300000000000002</v>
      </c>
      <c r="L342" s="20" t="s">
        <v>248</v>
      </c>
      <c r="M342" s="20" t="s">
        <v>360</v>
      </c>
      <c r="N342" s="20" t="s">
        <v>18</v>
      </c>
      <c r="O342" s="20">
        <v>2</v>
      </c>
      <c r="P342" s="20">
        <v>3</v>
      </c>
      <c r="Q342" s="13">
        <v>0.55269401670466733</v>
      </c>
      <c r="R342" s="20" t="s">
        <v>248</v>
      </c>
      <c r="S342" s="20">
        <v>0.09</v>
      </c>
      <c r="T342" s="20" t="s">
        <v>248</v>
      </c>
      <c r="U342" s="20" t="s">
        <v>18</v>
      </c>
      <c r="V342" s="20">
        <v>2</v>
      </c>
      <c r="W342" s="20">
        <v>5</v>
      </c>
      <c r="X342" s="20" t="s">
        <v>490</v>
      </c>
      <c r="Y342" s="20" t="s">
        <v>292</v>
      </c>
      <c r="Z342" s="20" t="s">
        <v>60</v>
      </c>
      <c r="AA342" s="20" t="s">
        <v>491</v>
      </c>
    </row>
    <row r="343" spans="1:27" x14ac:dyDescent="0.2">
      <c r="A343" s="20" t="s">
        <v>221</v>
      </c>
      <c r="B343" s="20" t="s">
        <v>347</v>
      </c>
      <c r="C343" s="20" t="s">
        <v>28</v>
      </c>
      <c r="D343" s="20" t="s">
        <v>26</v>
      </c>
      <c r="E343" s="20" t="s">
        <v>348</v>
      </c>
      <c r="F343" s="20" t="s">
        <v>26</v>
      </c>
      <c r="G343" s="20">
        <v>2</v>
      </c>
      <c r="H343" s="20">
        <v>3</v>
      </c>
      <c r="I343" s="13">
        <v>0.70020214957327953</v>
      </c>
      <c r="J343" s="20" t="s">
        <v>249</v>
      </c>
      <c r="K343" s="18">
        <v>0.36799999999999999</v>
      </c>
      <c r="L343" s="20" t="s">
        <v>248</v>
      </c>
      <c r="M343" s="20" t="s">
        <v>307</v>
      </c>
      <c r="N343" s="20" t="s">
        <v>28</v>
      </c>
      <c r="O343" s="20">
        <v>2</v>
      </c>
      <c r="P343" s="20">
        <v>3</v>
      </c>
      <c r="Q343" s="13">
        <v>0.46548155836437699</v>
      </c>
      <c r="R343" s="20" t="s">
        <v>248</v>
      </c>
      <c r="S343" s="20">
        <v>-0.03</v>
      </c>
      <c r="T343" s="20" t="s">
        <v>249</v>
      </c>
      <c r="U343" s="20" t="s">
        <v>26</v>
      </c>
      <c r="V343" s="20">
        <v>3</v>
      </c>
      <c r="W343" s="20">
        <v>4</v>
      </c>
      <c r="X343" s="20" t="s">
        <v>496</v>
      </c>
      <c r="Y343" s="20" t="s">
        <v>292</v>
      </c>
      <c r="Z343" s="20" t="s">
        <v>60</v>
      </c>
      <c r="AA343" s="20" t="s">
        <v>491</v>
      </c>
    </row>
    <row r="344" spans="1:27" x14ac:dyDescent="0.2">
      <c r="A344" s="20" t="s">
        <v>221</v>
      </c>
      <c r="B344" s="20" t="s">
        <v>322</v>
      </c>
      <c r="C344" s="20" t="s">
        <v>20</v>
      </c>
      <c r="D344" s="20" t="s">
        <v>31</v>
      </c>
      <c r="E344" s="20" t="s">
        <v>345</v>
      </c>
      <c r="F344" s="20" t="s">
        <v>31</v>
      </c>
      <c r="G344" s="20">
        <v>3</v>
      </c>
      <c r="H344" s="20">
        <v>4</v>
      </c>
      <c r="I344" s="13">
        <v>0.7439365079365079</v>
      </c>
      <c r="J344" s="20" t="s">
        <v>248</v>
      </c>
      <c r="K344" s="18">
        <v>0.59399999999999997</v>
      </c>
      <c r="L344" s="20" t="s">
        <v>248</v>
      </c>
      <c r="M344" s="20" t="s">
        <v>291</v>
      </c>
      <c r="N344" s="20" t="s">
        <v>31</v>
      </c>
      <c r="O344" s="20">
        <v>2</v>
      </c>
      <c r="P344" s="20">
        <v>3</v>
      </c>
      <c r="Q344" s="13">
        <v>0.63411411850668342</v>
      </c>
      <c r="R344" s="20" t="s">
        <v>249</v>
      </c>
      <c r="S344" s="20">
        <v>0.35</v>
      </c>
      <c r="T344" s="20" t="s">
        <v>248</v>
      </c>
      <c r="U344" s="20" t="s">
        <v>31</v>
      </c>
      <c r="V344" s="20">
        <v>3</v>
      </c>
      <c r="W344" s="20">
        <v>4</v>
      </c>
      <c r="X344" s="20" t="s">
        <v>496</v>
      </c>
      <c r="Y344" s="20" t="s">
        <v>292</v>
      </c>
      <c r="Z344" s="20" t="s">
        <v>60</v>
      </c>
      <c r="AA344" s="20" t="s">
        <v>491</v>
      </c>
    </row>
    <row r="345" spans="1:27" x14ac:dyDescent="0.2">
      <c r="A345" s="20" t="s">
        <v>221</v>
      </c>
      <c r="B345" s="20" t="s">
        <v>352</v>
      </c>
      <c r="C345" s="20" t="s">
        <v>35</v>
      </c>
      <c r="D345" s="20" t="s">
        <v>30</v>
      </c>
      <c r="E345" s="20" t="s">
        <v>353</v>
      </c>
      <c r="F345" s="20" t="s">
        <v>30</v>
      </c>
      <c r="G345" s="20">
        <v>3</v>
      </c>
      <c r="H345" s="20">
        <v>4</v>
      </c>
      <c r="I345" s="13">
        <v>0.82961190476190472</v>
      </c>
      <c r="J345" s="20" t="s">
        <v>249</v>
      </c>
      <c r="K345" s="18">
        <v>0.44800000000000001</v>
      </c>
      <c r="L345" s="20" t="s">
        <v>249</v>
      </c>
      <c r="M345" s="20" t="s">
        <v>404</v>
      </c>
      <c r="N345" s="20" t="s">
        <v>30</v>
      </c>
      <c r="O345" s="20">
        <v>1</v>
      </c>
      <c r="P345" s="20">
        <v>5</v>
      </c>
      <c r="Q345" s="13">
        <v>0.83238050643354911</v>
      </c>
      <c r="R345" s="20" t="s">
        <v>249</v>
      </c>
      <c r="S345" s="20">
        <v>2.02</v>
      </c>
      <c r="T345" s="20" t="s">
        <v>249</v>
      </c>
      <c r="U345" s="20" t="s">
        <v>35</v>
      </c>
      <c r="V345" s="20">
        <v>2</v>
      </c>
      <c r="W345" s="20">
        <v>1</v>
      </c>
      <c r="X345" s="20" t="s">
        <v>490</v>
      </c>
      <c r="Y345" s="20" t="s">
        <v>292</v>
      </c>
      <c r="Z345" s="20" t="s">
        <v>60</v>
      </c>
      <c r="AA345" s="20" t="s">
        <v>491</v>
      </c>
    </row>
    <row r="346" spans="1:27" x14ac:dyDescent="0.2">
      <c r="A346" s="20" t="s">
        <v>221</v>
      </c>
      <c r="B346" s="20" t="s">
        <v>328</v>
      </c>
      <c r="C346" s="20" t="s">
        <v>37</v>
      </c>
      <c r="D346" s="20" t="s">
        <v>22</v>
      </c>
      <c r="E346" s="20" t="s">
        <v>358</v>
      </c>
      <c r="F346" s="20" t="s">
        <v>22</v>
      </c>
      <c r="G346" s="20">
        <v>3</v>
      </c>
      <c r="H346" s="20">
        <v>4</v>
      </c>
      <c r="I346" s="13">
        <v>0.64363278171788785</v>
      </c>
      <c r="J346" s="20" t="s">
        <v>248</v>
      </c>
      <c r="K346" s="18">
        <v>0.54700000000000004</v>
      </c>
      <c r="L346" s="20" t="s">
        <v>249</v>
      </c>
      <c r="M346" s="20" t="s">
        <v>408</v>
      </c>
      <c r="N346" s="20" t="s">
        <v>22</v>
      </c>
      <c r="O346" s="20">
        <v>2</v>
      </c>
      <c r="P346" s="20">
        <v>3</v>
      </c>
      <c r="Q346" s="13">
        <v>0.5417979763641656</v>
      </c>
      <c r="R346" s="20" t="s">
        <v>249</v>
      </c>
      <c r="S346" s="20">
        <v>0.32</v>
      </c>
      <c r="T346" s="20" t="s">
        <v>249</v>
      </c>
      <c r="U346" s="20" t="s">
        <v>37</v>
      </c>
      <c r="V346" s="20">
        <v>5</v>
      </c>
      <c r="W346" s="20">
        <v>3</v>
      </c>
      <c r="X346" s="20" t="s">
        <v>490</v>
      </c>
      <c r="Y346" s="20" t="s">
        <v>292</v>
      </c>
      <c r="Z346" s="20" t="s">
        <v>60</v>
      </c>
      <c r="AA346" s="20" t="s">
        <v>491</v>
      </c>
    </row>
    <row r="347" spans="1:27" x14ac:dyDescent="0.2">
      <c r="A347" s="20" t="s">
        <v>221</v>
      </c>
      <c r="B347" s="20" t="s">
        <v>322</v>
      </c>
      <c r="C347" s="20" t="s">
        <v>39</v>
      </c>
      <c r="D347" s="20" t="s">
        <v>16</v>
      </c>
      <c r="E347" s="20" t="s">
        <v>346</v>
      </c>
      <c r="F347" s="20" t="s">
        <v>39</v>
      </c>
      <c r="G347" s="20">
        <v>5</v>
      </c>
      <c r="H347" s="20">
        <v>4</v>
      </c>
      <c r="I347" s="13">
        <v>0.59559788359788357</v>
      </c>
      <c r="J347" s="20" t="s">
        <v>249</v>
      </c>
      <c r="K347" s="18">
        <v>0.39600000000000002</v>
      </c>
      <c r="L347" s="20" t="s">
        <v>249</v>
      </c>
      <c r="M347" s="20" t="s">
        <v>402</v>
      </c>
      <c r="N347" s="20" t="s">
        <v>39</v>
      </c>
      <c r="O347" s="20">
        <v>2</v>
      </c>
      <c r="P347" s="20">
        <v>4</v>
      </c>
      <c r="Q347" s="13">
        <v>0.75479145950448245</v>
      </c>
      <c r="R347" s="20" t="s">
        <v>249</v>
      </c>
      <c r="S347" s="20">
        <v>-1.31</v>
      </c>
      <c r="T347" s="20" t="s">
        <v>249</v>
      </c>
      <c r="U347" s="20" t="s">
        <v>16</v>
      </c>
      <c r="V347" s="20">
        <v>2</v>
      </c>
      <c r="W347" s="20">
        <v>3</v>
      </c>
      <c r="X347" s="20" t="s">
        <v>496</v>
      </c>
      <c r="Y347" s="20" t="s">
        <v>292</v>
      </c>
      <c r="Z347" s="20" t="s">
        <v>60</v>
      </c>
      <c r="AA347" s="20" t="s">
        <v>491</v>
      </c>
    </row>
    <row r="348" spans="1:27" x14ac:dyDescent="0.2">
      <c r="A348" s="20" t="s">
        <v>222</v>
      </c>
      <c r="B348" s="20" t="s">
        <v>347</v>
      </c>
      <c r="C348" s="20" t="s">
        <v>25</v>
      </c>
      <c r="D348" s="20" t="s">
        <v>23</v>
      </c>
      <c r="E348" s="20" t="s">
        <v>363</v>
      </c>
      <c r="F348" s="20" t="s">
        <v>25</v>
      </c>
      <c r="G348" s="20">
        <v>4</v>
      </c>
      <c r="H348" s="20">
        <v>3</v>
      </c>
      <c r="I348" s="13">
        <v>0.746</v>
      </c>
      <c r="J348" s="20" t="s">
        <v>249</v>
      </c>
      <c r="K348" s="18">
        <v>0.33900000000000002</v>
      </c>
      <c r="L348" s="20" t="s">
        <v>249</v>
      </c>
      <c r="M348" s="20" t="s">
        <v>409</v>
      </c>
      <c r="N348" s="20" t="s">
        <v>25</v>
      </c>
      <c r="O348" s="20">
        <v>4</v>
      </c>
      <c r="P348" s="20">
        <v>2</v>
      </c>
      <c r="Q348" s="13">
        <v>0.70099999999999996</v>
      </c>
      <c r="R348" s="20" t="s">
        <v>249</v>
      </c>
      <c r="S348" s="20">
        <v>-1.1599999999999999</v>
      </c>
      <c r="T348" s="20" t="s">
        <v>249</v>
      </c>
      <c r="U348" s="20" t="s">
        <v>23</v>
      </c>
      <c r="V348" s="20">
        <v>1</v>
      </c>
      <c r="W348" s="20">
        <v>4</v>
      </c>
      <c r="X348" s="20" t="s">
        <v>490</v>
      </c>
      <c r="Y348" s="20" t="s">
        <v>292</v>
      </c>
      <c r="Z348" s="20" t="s">
        <v>359</v>
      </c>
      <c r="AA348" s="20" t="s">
        <v>491</v>
      </c>
    </row>
    <row r="349" spans="1:27" x14ac:dyDescent="0.2">
      <c r="A349" s="20" t="s">
        <v>222</v>
      </c>
      <c r="B349" s="20" t="s">
        <v>328</v>
      </c>
      <c r="C349" s="20" t="s">
        <v>12</v>
      </c>
      <c r="D349" s="20" t="s">
        <v>10</v>
      </c>
      <c r="E349" s="20" t="s">
        <v>364</v>
      </c>
      <c r="F349" s="20" t="s">
        <v>12</v>
      </c>
      <c r="G349" s="20">
        <v>5</v>
      </c>
      <c r="H349" s="20">
        <v>4</v>
      </c>
      <c r="I349" s="13">
        <v>0.65200000000000002</v>
      </c>
      <c r="J349" s="20" t="s">
        <v>248</v>
      </c>
      <c r="K349" s="18">
        <v>0.53400000000000003</v>
      </c>
      <c r="L349" s="20" t="s">
        <v>248</v>
      </c>
      <c r="M349" s="20" t="s">
        <v>361</v>
      </c>
      <c r="N349" s="20" t="s">
        <v>12</v>
      </c>
      <c r="O349" s="20">
        <v>4</v>
      </c>
      <c r="P349" s="20">
        <v>2</v>
      </c>
      <c r="Q349" s="13">
        <v>0.73299999999999998</v>
      </c>
      <c r="R349" s="20" t="s">
        <v>249</v>
      </c>
      <c r="S349" s="20">
        <v>-1.5</v>
      </c>
      <c r="T349" s="20" t="s">
        <v>248</v>
      </c>
      <c r="U349" s="20" t="s">
        <v>12</v>
      </c>
      <c r="V349" s="20">
        <v>1</v>
      </c>
      <c r="W349" s="20">
        <v>0</v>
      </c>
      <c r="X349" s="20" t="s">
        <v>490</v>
      </c>
      <c r="Y349" s="20" t="s">
        <v>292</v>
      </c>
      <c r="Z349" s="20" t="s">
        <v>359</v>
      </c>
      <c r="AA349" s="20" t="s">
        <v>491</v>
      </c>
    </row>
    <row r="350" spans="1:27" x14ac:dyDescent="0.2">
      <c r="A350" s="20" t="s">
        <v>222</v>
      </c>
      <c r="B350" s="20" t="s">
        <v>365</v>
      </c>
      <c r="C350" s="20" t="s">
        <v>32</v>
      </c>
      <c r="D350" s="20" t="s">
        <v>30</v>
      </c>
      <c r="E350" s="20" t="s">
        <v>366</v>
      </c>
      <c r="F350" s="20" t="s">
        <v>32</v>
      </c>
      <c r="G350" s="20">
        <v>5</v>
      </c>
      <c r="H350" s="20">
        <v>4</v>
      </c>
      <c r="I350" s="13">
        <v>0.57899999999999996</v>
      </c>
      <c r="J350" s="20" t="s">
        <v>249</v>
      </c>
      <c r="K350" s="18">
        <v>0.48799999999999999</v>
      </c>
      <c r="L350" s="20" t="s">
        <v>249</v>
      </c>
      <c r="M350" s="20" t="s">
        <v>410</v>
      </c>
      <c r="N350" s="20" t="s">
        <v>30</v>
      </c>
      <c r="O350" s="20">
        <v>2</v>
      </c>
      <c r="P350" s="20">
        <v>4</v>
      </c>
      <c r="Q350" s="13">
        <v>0.61299999999999999</v>
      </c>
      <c r="R350" s="20" t="s">
        <v>249</v>
      </c>
      <c r="S350" s="20">
        <v>0.56999999999999995</v>
      </c>
      <c r="T350" s="20" t="s">
        <v>248</v>
      </c>
      <c r="U350" s="20" t="s">
        <v>30</v>
      </c>
      <c r="V350" s="20">
        <v>0</v>
      </c>
      <c r="W350" s="20">
        <v>1</v>
      </c>
      <c r="X350" s="20" t="s">
        <v>496</v>
      </c>
      <c r="Y350" s="20" t="s">
        <v>292</v>
      </c>
      <c r="Z350" s="20" t="s">
        <v>359</v>
      </c>
      <c r="AA350" s="20" t="s">
        <v>491</v>
      </c>
    </row>
    <row r="351" spans="1:27" x14ac:dyDescent="0.2">
      <c r="A351" s="20" t="s">
        <v>222</v>
      </c>
      <c r="B351" s="20" t="s">
        <v>324</v>
      </c>
      <c r="C351" s="20" t="s">
        <v>21</v>
      </c>
      <c r="D351" s="20" t="s">
        <v>33</v>
      </c>
      <c r="E351" s="20" t="s">
        <v>367</v>
      </c>
      <c r="F351" s="20" t="s">
        <v>33</v>
      </c>
      <c r="G351" s="20">
        <v>3</v>
      </c>
      <c r="H351" s="20">
        <v>4</v>
      </c>
      <c r="I351" s="13">
        <v>0.51900000000000002</v>
      </c>
      <c r="J351" s="20" t="s">
        <v>249</v>
      </c>
      <c r="K351" s="18">
        <v>0.27900000000000003</v>
      </c>
      <c r="L351" s="20" t="s">
        <v>248</v>
      </c>
      <c r="M351" s="20" t="s">
        <v>309</v>
      </c>
      <c r="N351" s="20" t="s">
        <v>21</v>
      </c>
      <c r="O351" s="20">
        <v>3</v>
      </c>
      <c r="P351" s="20">
        <v>2</v>
      </c>
      <c r="Q351" s="13">
        <v>0.49399999999999999</v>
      </c>
      <c r="R351" s="20" t="s">
        <v>248</v>
      </c>
      <c r="S351" s="20">
        <v>-0.26</v>
      </c>
      <c r="T351" s="20" t="s">
        <v>249</v>
      </c>
      <c r="U351" s="20" t="s">
        <v>33</v>
      </c>
      <c r="V351" s="20">
        <v>1</v>
      </c>
      <c r="W351" s="20">
        <v>3</v>
      </c>
      <c r="X351" s="20" t="s">
        <v>490</v>
      </c>
      <c r="Y351" s="20" t="s">
        <v>292</v>
      </c>
      <c r="Z351" s="20" t="s">
        <v>359</v>
      </c>
      <c r="AA351" s="20" t="s">
        <v>491</v>
      </c>
    </row>
    <row r="352" spans="1:27" x14ac:dyDescent="0.2">
      <c r="A352" s="20" t="s">
        <v>222</v>
      </c>
      <c r="B352" s="20" t="s">
        <v>326</v>
      </c>
      <c r="C352" s="20" t="s">
        <v>16</v>
      </c>
      <c r="D352" s="20" t="s">
        <v>38</v>
      </c>
      <c r="E352" s="20" t="s">
        <v>368</v>
      </c>
      <c r="F352" s="20" t="s">
        <v>16</v>
      </c>
      <c r="G352" s="20">
        <v>4</v>
      </c>
      <c r="H352" s="20">
        <v>2</v>
      </c>
      <c r="I352" s="13">
        <v>0.53600000000000003</v>
      </c>
      <c r="J352" s="20" t="s">
        <v>249</v>
      </c>
      <c r="K352" s="18">
        <v>0.182</v>
      </c>
      <c r="L352" s="20" t="s">
        <v>248</v>
      </c>
      <c r="M352" s="20" t="s">
        <v>372</v>
      </c>
      <c r="N352" s="20" t="s">
        <v>38</v>
      </c>
      <c r="O352" s="20">
        <v>2</v>
      </c>
      <c r="P352" s="20">
        <v>3</v>
      </c>
      <c r="Q352" s="13">
        <v>0.59</v>
      </c>
      <c r="R352" s="20" t="s">
        <v>249</v>
      </c>
      <c r="S352" s="20">
        <v>0.39</v>
      </c>
      <c r="T352" s="20" t="s">
        <v>249</v>
      </c>
      <c r="U352" s="20" t="s">
        <v>16</v>
      </c>
      <c r="V352" s="20">
        <v>5</v>
      </c>
      <c r="W352" s="20">
        <v>2</v>
      </c>
      <c r="X352" s="20" t="s">
        <v>490</v>
      </c>
      <c r="Y352" s="20" t="s">
        <v>292</v>
      </c>
      <c r="Z352" s="20" t="s">
        <v>359</v>
      </c>
      <c r="AA352" s="20" t="s">
        <v>491</v>
      </c>
    </row>
    <row r="353" spans="1:27" x14ac:dyDescent="0.2">
      <c r="A353" s="20" t="s">
        <v>222</v>
      </c>
      <c r="B353" s="20" t="s">
        <v>369</v>
      </c>
      <c r="C353" s="20" t="s">
        <v>34</v>
      </c>
      <c r="D353" s="20" t="s">
        <v>40</v>
      </c>
      <c r="E353" s="20" t="s">
        <v>370</v>
      </c>
      <c r="F353" s="20" t="s">
        <v>40</v>
      </c>
      <c r="G353" s="20">
        <v>3</v>
      </c>
      <c r="H353" s="20">
        <v>4</v>
      </c>
      <c r="I353" s="13">
        <v>0.78</v>
      </c>
      <c r="J353" s="20" t="s">
        <v>249</v>
      </c>
      <c r="K353" s="18">
        <v>0.24199999999999999</v>
      </c>
      <c r="L353" s="20" t="s">
        <v>249</v>
      </c>
      <c r="M353" s="20" t="s">
        <v>411</v>
      </c>
      <c r="N353" s="20" t="s">
        <v>40</v>
      </c>
      <c r="O353" s="20">
        <v>2</v>
      </c>
      <c r="P353" s="20">
        <v>4</v>
      </c>
      <c r="Q353" s="13">
        <v>0.63400000000000001</v>
      </c>
      <c r="R353" s="20" t="s">
        <v>249</v>
      </c>
      <c r="S353" s="20">
        <v>0.53</v>
      </c>
      <c r="T353" s="20" t="s">
        <v>249</v>
      </c>
      <c r="U353" s="20" t="s">
        <v>34</v>
      </c>
      <c r="V353" s="20">
        <v>3</v>
      </c>
      <c r="W353" s="20">
        <v>0</v>
      </c>
      <c r="X353" s="20" t="s">
        <v>490</v>
      </c>
      <c r="Y353" s="20" t="s">
        <v>292</v>
      </c>
      <c r="Z353" s="20" t="s">
        <v>359</v>
      </c>
      <c r="AA353" s="20" t="s">
        <v>491</v>
      </c>
    </row>
    <row r="354" spans="1:27" x14ac:dyDescent="0.2">
      <c r="A354" s="20" t="s">
        <v>223</v>
      </c>
      <c r="B354" s="20" t="s">
        <v>326</v>
      </c>
      <c r="C354" s="20" t="s">
        <v>36</v>
      </c>
      <c r="D354" s="20" t="s">
        <v>13</v>
      </c>
      <c r="E354" s="20" t="s">
        <v>373</v>
      </c>
      <c r="F354" s="20" t="s">
        <v>36</v>
      </c>
      <c r="G354" s="20">
        <v>5</v>
      </c>
      <c r="H354" s="20">
        <v>4</v>
      </c>
      <c r="I354" s="13">
        <v>0.60899999999999999</v>
      </c>
      <c r="J354" s="20" t="s">
        <v>249</v>
      </c>
      <c r="K354" s="18">
        <v>0.40400000000000003</v>
      </c>
      <c r="L354" s="20" t="s">
        <v>249</v>
      </c>
      <c r="M354" s="20" t="s">
        <v>903</v>
      </c>
      <c r="N354" s="20" t="s">
        <v>13</v>
      </c>
      <c r="O354" s="20">
        <v>2</v>
      </c>
      <c r="P354" s="20">
        <v>3</v>
      </c>
      <c r="Q354" s="13">
        <v>0.53200000000000003</v>
      </c>
      <c r="R354" s="20" t="s">
        <v>248</v>
      </c>
      <c r="S354" s="20">
        <v>0.09</v>
      </c>
      <c r="T354" s="20" t="s">
        <v>248</v>
      </c>
      <c r="U354" s="20" t="s">
        <v>13</v>
      </c>
      <c r="V354" s="20">
        <v>1</v>
      </c>
      <c r="W354" s="20">
        <v>2</v>
      </c>
      <c r="X354" s="20" t="s">
        <v>490</v>
      </c>
      <c r="Y354" s="20" t="s">
        <v>292</v>
      </c>
      <c r="Z354" s="20" t="s">
        <v>371</v>
      </c>
      <c r="AA354" s="20" t="s">
        <v>491</v>
      </c>
    </row>
    <row r="355" spans="1:27" x14ac:dyDescent="0.2">
      <c r="A355" s="20" t="s">
        <v>223</v>
      </c>
      <c r="B355" s="20" t="s">
        <v>328</v>
      </c>
      <c r="C355" s="20" t="s">
        <v>26</v>
      </c>
      <c r="D355" s="20" t="s">
        <v>24</v>
      </c>
      <c r="E355" s="20" t="s">
        <v>374</v>
      </c>
      <c r="F355" s="20" t="s">
        <v>24</v>
      </c>
      <c r="G355" s="20">
        <v>3</v>
      </c>
      <c r="H355" s="20">
        <v>4</v>
      </c>
      <c r="I355" s="13">
        <v>0.77800000000000002</v>
      </c>
      <c r="J355" s="20" t="s">
        <v>249</v>
      </c>
      <c r="K355" s="18">
        <v>0.39800000000000002</v>
      </c>
      <c r="L355" s="20" t="s">
        <v>248</v>
      </c>
      <c r="M355" s="20" t="s">
        <v>449</v>
      </c>
      <c r="N355" s="20" t="s">
        <v>24</v>
      </c>
      <c r="O355" s="20">
        <v>2</v>
      </c>
      <c r="P355" s="20">
        <v>4</v>
      </c>
      <c r="Q355" s="13">
        <v>0.71599999999999997</v>
      </c>
      <c r="R355" s="20" t="s">
        <v>249</v>
      </c>
      <c r="S355" s="20">
        <v>0.78</v>
      </c>
      <c r="T355" s="20" t="s">
        <v>248</v>
      </c>
      <c r="U355" s="20" t="s">
        <v>24</v>
      </c>
      <c r="V355" s="20">
        <v>3</v>
      </c>
      <c r="W355" s="20">
        <v>4</v>
      </c>
      <c r="X355" s="20" t="s">
        <v>490</v>
      </c>
      <c r="Y355" s="20" t="s">
        <v>292</v>
      </c>
      <c r="Z355" s="20" t="s">
        <v>371</v>
      </c>
      <c r="AA355" s="20" t="s">
        <v>491</v>
      </c>
    </row>
    <row r="356" spans="1:27" x14ac:dyDescent="0.2">
      <c r="A356" s="20" t="s">
        <v>223</v>
      </c>
      <c r="B356" s="20" t="s">
        <v>324</v>
      </c>
      <c r="C356" s="20" t="s">
        <v>11</v>
      </c>
      <c r="D356" s="20" t="s">
        <v>29</v>
      </c>
      <c r="E356" s="20" t="s">
        <v>375</v>
      </c>
      <c r="F356" s="20" t="s">
        <v>11</v>
      </c>
      <c r="G356" s="20">
        <v>5</v>
      </c>
      <c r="H356" s="20">
        <v>4</v>
      </c>
      <c r="I356" s="13">
        <v>0.50600000000000001</v>
      </c>
      <c r="J356" s="20" t="s">
        <v>249</v>
      </c>
      <c r="K356" s="18">
        <v>0.22700000000000001</v>
      </c>
      <c r="L356" s="20" t="s">
        <v>248</v>
      </c>
      <c r="M356" s="20" t="s">
        <v>391</v>
      </c>
      <c r="N356" s="20" t="s">
        <v>11</v>
      </c>
      <c r="O356" s="20">
        <v>4</v>
      </c>
      <c r="P356" s="20">
        <v>2</v>
      </c>
      <c r="Q356" s="13">
        <v>0.59099999999999997</v>
      </c>
      <c r="R356" s="20" t="s">
        <v>249</v>
      </c>
      <c r="S356" s="20">
        <v>-0.98</v>
      </c>
      <c r="T356" s="20" t="s">
        <v>248</v>
      </c>
      <c r="U356" s="20" t="s">
        <v>11</v>
      </c>
      <c r="V356" s="20">
        <v>8</v>
      </c>
      <c r="W356" s="20">
        <v>3</v>
      </c>
      <c r="X356" s="20" t="s">
        <v>490</v>
      </c>
      <c r="Y356" s="20" t="s">
        <v>292</v>
      </c>
      <c r="Z356" s="20" t="s">
        <v>371</v>
      </c>
      <c r="AA356" s="20" t="s">
        <v>491</v>
      </c>
    </row>
    <row r="357" spans="1:27" x14ac:dyDescent="0.2">
      <c r="A357" s="20" t="s">
        <v>223</v>
      </c>
      <c r="B357" s="20" t="s">
        <v>328</v>
      </c>
      <c r="C357" s="20" t="s">
        <v>35</v>
      </c>
      <c r="D357" s="20" t="s">
        <v>15</v>
      </c>
      <c r="E357" s="20" t="s">
        <v>376</v>
      </c>
      <c r="F357" s="20" t="s">
        <v>15</v>
      </c>
      <c r="G357" s="20">
        <v>3</v>
      </c>
      <c r="H357" s="20">
        <v>4</v>
      </c>
      <c r="I357" s="13">
        <v>0.63800000000000001</v>
      </c>
      <c r="J357" s="20" t="s">
        <v>249</v>
      </c>
      <c r="K357" s="18">
        <v>0.35499999999999998</v>
      </c>
      <c r="L357" s="20" t="s">
        <v>248</v>
      </c>
      <c r="M357" s="20" t="s">
        <v>518</v>
      </c>
      <c r="N357" s="20" t="s">
        <v>15</v>
      </c>
      <c r="O357" s="20">
        <v>2</v>
      </c>
      <c r="P357" s="20">
        <v>4</v>
      </c>
      <c r="Q357" s="13">
        <v>0.7</v>
      </c>
      <c r="R357" s="20" t="s">
        <v>249</v>
      </c>
      <c r="S357" s="20">
        <v>1.2</v>
      </c>
      <c r="T357" s="20" t="s">
        <v>248</v>
      </c>
      <c r="U357" s="20" t="s">
        <v>15</v>
      </c>
      <c r="V357" s="20">
        <v>2</v>
      </c>
      <c r="W357" s="20">
        <v>3</v>
      </c>
      <c r="X357" s="20" t="s">
        <v>490</v>
      </c>
      <c r="Y357" s="20" t="s">
        <v>292</v>
      </c>
      <c r="Z357" s="20" t="s">
        <v>371</v>
      </c>
      <c r="AA357" s="20" t="s">
        <v>491</v>
      </c>
    </row>
    <row r="358" spans="1:27" x14ac:dyDescent="0.2">
      <c r="A358" s="20" t="s">
        <v>223</v>
      </c>
      <c r="B358" s="20" t="s">
        <v>328</v>
      </c>
      <c r="C358" s="20" t="s">
        <v>27</v>
      </c>
      <c r="D358" s="20" t="s">
        <v>37</v>
      </c>
      <c r="E358" s="20" t="s">
        <v>377</v>
      </c>
      <c r="F358" s="20" t="s">
        <v>37</v>
      </c>
      <c r="G358" s="20">
        <v>2</v>
      </c>
      <c r="H358" s="20">
        <v>3</v>
      </c>
      <c r="I358" s="13">
        <v>0.71899999999999997</v>
      </c>
      <c r="J358" s="20" t="s">
        <v>248</v>
      </c>
      <c r="K358" s="18">
        <v>0.501</v>
      </c>
      <c r="L358" s="20" t="s">
        <v>248</v>
      </c>
      <c r="M358" s="20" t="s">
        <v>395</v>
      </c>
      <c r="N358" s="20" t="s">
        <v>37</v>
      </c>
      <c r="O358" s="20">
        <v>2</v>
      </c>
      <c r="P358" s="20">
        <v>4</v>
      </c>
      <c r="Q358" s="13">
        <v>0.627</v>
      </c>
      <c r="R358" s="20" t="s">
        <v>249</v>
      </c>
      <c r="S358" s="20">
        <v>0.63</v>
      </c>
      <c r="T358" s="20" t="s">
        <v>248</v>
      </c>
      <c r="U358" s="20" t="s">
        <v>37</v>
      </c>
      <c r="V358" s="20">
        <v>0</v>
      </c>
      <c r="W358" s="20">
        <v>3</v>
      </c>
      <c r="X358" s="20" t="s">
        <v>490</v>
      </c>
      <c r="Y358" s="20" t="s">
        <v>292</v>
      </c>
      <c r="Z358" s="20" t="s">
        <v>371</v>
      </c>
      <c r="AA358" s="20" t="s">
        <v>491</v>
      </c>
    </row>
    <row r="359" spans="1:27" x14ac:dyDescent="0.2">
      <c r="A359" s="20" t="s">
        <v>223</v>
      </c>
      <c r="B359" s="20" t="s">
        <v>326</v>
      </c>
      <c r="C359" s="20" t="s">
        <v>20</v>
      </c>
      <c r="D359" s="20" t="s">
        <v>55</v>
      </c>
      <c r="E359" s="20" t="s">
        <v>337</v>
      </c>
      <c r="F359" s="20" t="s">
        <v>55</v>
      </c>
      <c r="G359" s="20">
        <v>3</v>
      </c>
      <c r="H359" s="20">
        <v>4</v>
      </c>
      <c r="I359" s="13">
        <v>0.754</v>
      </c>
      <c r="J359" s="20" t="s">
        <v>249</v>
      </c>
      <c r="K359" s="18">
        <v>0.438</v>
      </c>
      <c r="L359" s="20" t="s">
        <v>248</v>
      </c>
      <c r="M359" s="20" t="s">
        <v>362</v>
      </c>
      <c r="N359" s="20" t="s">
        <v>20</v>
      </c>
      <c r="O359" s="20">
        <v>3</v>
      </c>
      <c r="P359" s="20">
        <v>2</v>
      </c>
      <c r="Q359" s="13">
        <v>0.46800000000000003</v>
      </c>
      <c r="R359" s="20" t="s">
        <v>248</v>
      </c>
      <c r="S359" s="20">
        <v>-0.28999999999999998</v>
      </c>
      <c r="T359" s="20" t="s">
        <v>249</v>
      </c>
      <c r="U359" s="20" t="s">
        <v>55</v>
      </c>
      <c r="V359" s="20">
        <v>1</v>
      </c>
      <c r="W359" s="20">
        <v>5</v>
      </c>
      <c r="X359" s="20" t="s">
        <v>490</v>
      </c>
      <c r="Y359" s="20" t="s">
        <v>292</v>
      </c>
      <c r="Z359" s="20" t="s">
        <v>371</v>
      </c>
      <c r="AA359" s="20" t="s">
        <v>491</v>
      </c>
    </row>
    <row r="360" spans="1:27" x14ac:dyDescent="0.2">
      <c r="A360" s="20" t="s">
        <v>223</v>
      </c>
      <c r="B360" s="20" t="s">
        <v>328</v>
      </c>
      <c r="C360" s="20" t="s">
        <v>28</v>
      </c>
      <c r="D360" s="20" t="s">
        <v>22</v>
      </c>
      <c r="E360" s="20" t="s">
        <v>378</v>
      </c>
      <c r="F360" s="20" t="s">
        <v>22</v>
      </c>
      <c r="G360" s="20">
        <v>3</v>
      </c>
      <c r="H360" s="20">
        <v>4</v>
      </c>
      <c r="I360" s="13">
        <v>0.59399999999999997</v>
      </c>
      <c r="J360" s="20" t="s">
        <v>249</v>
      </c>
      <c r="K360" s="18">
        <v>0.48699999999999999</v>
      </c>
      <c r="L360" s="20" t="s">
        <v>248</v>
      </c>
      <c r="M360" s="20" t="s">
        <v>321</v>
      </c>
      <c r="N360" s="20" t="s">
        <v>22</v>
      </c>
      <c r="O360" s="20">
        <v>2</v>
      </c>
      <c r="P360" s="20">
        <v>4</v>
      </c>
      <c r="Q360" s="13">
        <v>0.64500000000000002</v>
      </c>
      <c r="R360" s="20" t="s">
        <v>249</v>
      </c>
      <c r="S360" s="20">
        <v>0.8</v>
      </c>
      <c r="T360" s="20" t="s">
        <v>248</v>
      </c>
      <c r="U360" s="20" t="s">
        <v>22</v>
      </c>
      <c r="V360" s="20">
        <v>1</v>
      </c>
      <c r="W360" s="20">
        <v>5</v>
      </c>
      <c r="X360" s="20" t="s">
        <v>490</v>
      </c>
      <c r="Y360" s="20" t="s">
        <v>292</v>
      </c>
      <c r="Z360" s="20" t="s">
        <v>371</v>
      </c>
      <c r="AA360" s="20" t="s">
        <v>491</v>
      </c>
    </row>
    <row r="361" spans="1:27" x14ac:dyDescent="0.2">
      <c r="A361" s="20" t="s">
        <v>224</v>
      </c>
      <c r="B361" s="20" t="s">
        <v>326</v>
      </c>
      <c r="C361" s="20" t="s">
        <v>39</v>
      </c>
      <c r="D361" s="20" t="s">
        <v>17</v>
      </c>
      <c r="E361" s="20" t="s">
        <v>904</v>
      </c>
      <c r="F361" s="20" t="s">
        <v>39</v>
      </c>
      <c r="G361" s="20">
        <v>2</v>
      </c>
      <c r="H361" s="20">
        <v>3</v>
      </c>
      <c r="I361" s="13">
        <v>0.6</v>
      </c>
      <c r="J361" s="20" t="s">
        <v>249</v>
      </c>
      <c r="L361" s="20" t="s">
        <v>248</v>
      </c>
      <c r="M361" s="20" t="s">
        <v>398</v>
      </c>
      <c r="N361" s="20" t="s">
        <v>39</v>
      </c>
      <c r="O361" s="20">
        <v>2</v>
      </c>
      <c r="P361" s="20">
        <v>3</v>
      </c>
      <c r="Q361" s="13">
        <v>0.69272737782519755</v>
      </c>
      <c r="R361" s="20" t="s">
        <v>249</v>
      </c>
      <c r="S361" s="20">
        <v>-1.1812884171694791</v>
      </c>
      <c r="T361" s="20" t="s">
        <v>248</v>
      </c>
      <c r="U361" s="20" t="s">
        <v>39</v>
      </c>
      <c r="V361" s="20">
        <v>8</v>
      </c>
      <c r="W361" s="20">
        <v>3</v>
      </c>
      <c r="X361" s="20" t="s">
        <v>490</v>
      </c>
      <c r="Y361" s="20" t="s">
        <v>292</v>
      </c>
      <c r="Z361" s="20" t="s">
        <v>60</v>
      </c>
      <c r="AA361" s="20" t="s">
        <v>491</v>
      </c>
    </row>
    <row r="362" spans="1:27" x14ac:dyDescent="0.2">
      <c r="A362" s="20" t="s">
        <v>225</v>
      </c>
      <c r="B362" s="20" t="s">
        <v>328</v>
      </c>
      <c r="C362" s="20" t="s">
        <v>40</v>
      </c>
      <c r="D362" s="20" t="s">
        <v>22</v>
      </c>
      <c r="E362" s="20" t="s">
        <v>429</v>
      </c>
      <c r="F362" s="20" t="s">
        <v>22</v>
      </c>
      <c r="G362" s="20">
        <v>3</v>
      </c>
      <c r="H362" s="20">
        <v>4</v>
      </c>
      <c r="I362" s="13">
        <v>0.56299999999999994</v>
      </c>
      <c r="J362" s="20" t="s">
        <v>248</v>
      </c>
      <c r="K362" s="18">
        <v>0.53500000000000003</v>
      </c>
      <c r="L362" s="20" t="s">
        <v>248</v>
      </c>
      <c r="M362" s="20" t="s">
        <v>321</v>
      </c>
      <c r="N362" s="20" t="s">
        <v>22</v>
      </c>
      <c r="O362" s="20">
        <v>2</v>
      </c>
      <c r="P362" s="20">
        <v>3</v>
      </c>
      <c r="Q362" s="13">
        <v>0.53600000000000003</v>
      </c>
      <c r="R362" s="20" t="s">
        <v>249</v>
      </c>
      <c r="S362" s="20">
        <v>0.45</v>
      </c>
      <c r="T362" s="20" t="s">
        <v>248</v>
      </c>
      <c r="U362" s="20" t="s">
        <v>22</v>
      </c>
      <c r="V362" s="20">
        <v>3</v>
      </c>
      <c r="W362" s="20">
        <v>4</v>
      </c>
      <c r="X362" s="20" t="s">
        <v>490</v>
      </c>
      <c r="Y362" s="20" t="s">
        <v>292</v>
      </c>
      <c r="Z362" s="20" t="s">
        <v>430</v>
      </c>
      <c r="AA362" s="20" t="s">
        <v>491</v>
      </c>
    </row>
    <row r="363" spans="1:27" x14ac:dyDescent="0.2">
      <c r="A363" s="20" t="s">
        <v>225</v>
      </c>
      <c r="B363" s="20" t="s">
        <v>328</v>
      </c>
      <c r="C363" s="20" t="s">
        <v>29</v>
      </c>
      <c r="D363" s="20" t="s">
        <v>26</v>
      </c>
      <c r="E363" s="20" t="s">
        <v>419</v>
      </c>
      <c r="F363" s="20" t="s">
        <v>26</v>
      </c>
      <c r="G363" s="20">
        <v>3</v>
      </c>
      <c r="H363" s="20">
        <v>4</v>
      </c>
      <c r="I363" s="13">
        <v>0.89500000000000002</v>
      </c>
      <c r="J363" s="20" t="s">
        <v>249</v>
      </c>
      <c r="K363" s="18">
        <v>0.44</v>
      </c>
      <c r="L363" s="20" t="s">
        <v>249</v>
      </c>
      <c r="M363" s="20" t="s">
        <v>905</v>
      </c>
      <c r="N363" s="20" t="s">
        <v>26</v>
      </c>
      <c r="O363" s="20">
        <v>2</v>
      </c>
      <c r="P363" s="20">
        <v>4</v>
      </c>
      <c r="Q363" s="13">
        <v>0.73499999999999999</v>
      </c>
      <c r="R363" s="20" t="s">
        <v>249</v>
      </c>
      <c r="S363" s="20">
        <v>1.17</v>
      </c>
      <c r="T363" s="20" t="s">
        <v>249</v>
      </c>
      <c r="U363" s="20" t="s">
        <v>29</v>
      </c>
      <c r="V363" s="20">
        <v>6</v>
      </c>
      <c r="W363" s="20">
        <v>3</v>
      </c>
      <c r="X363" s="20" t="s">
        <v>490</v>
      </c>
      <c r="Y363" s="20" t="s">
        <v>292</v>
      </c>
      <c r="Z363" s="20" t="s">
        <v>430</v>
      </c>
      <c r="AA363" s="20" t="s">
        <v>491</v>
      </c>
    </row>
    <row r="364" spans="1:27" x14ac:dyDescent="0.2">
      <c r="A364" s="20" t="s">
        <v>225</v>
      </c>
      <c r="B364" s="20" t="s">
        <v>328</v>
      </c>
      <c r="C364" s="20" t="s">
        <v>15</v>
      </c>
      <c r="D364" s="20" t="s">
        <v>25</v>
      </c>
      <c r="E364" s="20" t="s">
        <v>414</v>
      </c>
      <c r="F364" s="20" t="s">
        <v>15</v>
      </c>
      <c r="G364" s="20">
        <v>5</v>
      </c>
      <c r="H364" s="20">
        <v>4</v>
      </c>
      <c r="I364" s="13">
        <v>0.54400000000000004</v>
      </c>
      <c r="J364" s="20" t="s">
        <v>249</v>
      </c>
      <c r="K364" s="18">
        <v>0.38300000000000001</v>
      </c>
      <c r="L364" s="20" t="s">
        <v>248</v>
      </c>
      <c r="M364" s="20" t="s">
        <v>518</v>
      </c>
      <c r="N364" s="20" t="s">
        <v>25</v>
      </c>
      <c r="O364" s="20">
        <v>2</v>
      </c>
      <c r="P364" s="20">
        <v>4</v>
      </c>
      <c r="Q364" s="13">
        <v>0.66</v>
      </c>
      <c r="R364" s="20" t="s">
        <v>249</v>
      </c>
      <c r="S364" s="20">
        <v>1.0900000000000001</v>
      </c>
      <c r="T364" s="20" t="s">
        <v>249</v>
      </c>
      <c r="U364" s="20" t="s">
        <v>15</v>
      </c>
      <c r="V364" s="20">
        <v>4</v>
      </c>
      <c r="W364" s="20">
        <v>2</v>
      </c>
      <c r="X364" s="20" t="s">
        <v>490</v>
      </c>
      <c r="Y364" s="20" t="s">
        <v>292</v>
      </c>
      <c r="Z364" s="20" t="s">
        <v>430</v>
      </c>
      <c r="AA364" s="20" t="s">
        <v>491</v>
      </c>
    </row>
    <row r="365" spans="1:27" x14ac:dyDescent="0.2">
      <c r="A365" s="20" t="s">
        <v>225</v>
      </c>
      <c r="B365" s="20" t="s">
        <v>322</v>
      </c>
      <c r="C365" s="20" t="s">
        <v>38</v>
      </c>
      <c r="D365" s="20" t="s">
        <v>31</v>
      </c>
      <c r="E365" s="20" t="s">
        <v>413</v>
      </c>
      <c r="F365" s="20" t="s">
        <v>31</v>
      </c>
      <c r="G365" s="20">
        <v>3</v>
      </c>
      <c r="H365" s="20">
        <v>5</v>
      </c>
      <c r="I365" s="13">
        <v>0.73499999999999999</v>
      </c>
      <c r="J365" s="20" t="s">
        <v>249</v>
      </c>
      <c r="K365" s="18">
        <v>0.44500000000000001</v>
      </c>
      <c r="L365" s="20" t="s">
        <v>249</v>
      </c>
      <c r="M365" s="20" t="s">
        <v>906</v>
      </c>
      <c r="N365" s="20" t="s">
        <v>31</v>
      </c>
      <c r="O365" s="20">
        <v>2</v>
      </c>
      <c r="P365" s="20">
        <v>5</v>
      </c>
      <c r="Q365" s="13">
        <v>0.84299999999999997</v>
      </c>
      <c r="R365" s="20" t="s">
        <v>249</v>
      </c>
      <c r="S365" s="20">
        <v>1.64</v>
      </c>
      <c r="T365" s="20" t="s">
        <v>249</v>
      </c>
      <c r="U365" s="20" t="s">
        <v>38</v>
      </c>
      <c r="V365" s="20">
        <v>5</v>
      </c>
      <c r="W365" s="20">
        <v>4</v>
      </c>
      <c r="X365" s="20" t="s">
        <v>490</v>
      </c>
      <c r="Y365" s="20" t="s">
        <v>292</v>
      </c>
      <c r="Z365" s="20" t="s">
        <v>430</v>
      </c>
      <c r="AA365" s="20" t="s">
        <v>491</v>
      </c>
    </row>
    <row r="366" spans="1:27" x14ac:dyDescent="0.2">
      <c r="A366" s="20" t="s">
        <v>225</v>
      </c>
      <c r="B366" s="20" t="s">
        <v>426</v>
      </c>
      <c r="C366" s="20" t="s">
        <v>18</v>
      </c>
      <c r="D366" s="20" t="s">
        <v>55</v>
      </c>
      <c r="E366" s="20" t="s">
        <v>427</v>
      </c>
      <c r="F366" s="20" t="s">
        <v>55</v>
      </c>
      <c r="G366" s="20">
        <v>3</v>
      </c>
      <c r="H366" s="20">
        <v>4</v>
      </c>
      <c r="I366" s="13">
        <v>0.81100000000000005</v>
      </c>
      <c r="J366" s="20" t="s">
        <v>249</v>
      </c>
      <c r="K366" s="18">
        <v>0.45600000000000002</v>
      </c>
      <c r="L366" s="20" t="s">
        <v>249</v>
      </c>
      <c r="M366" s="20" t="s">
        <v>827</v>
      </c>
      <c r="N366" s="20" t="s">
        <v>55</v>
      </c>
      <c r="O366" s="20">
        <v>2</v>
      </c>
      <c r="P366" s="20">
        <v>4</v>
      </c>
      <c r="Q366" s="13">
        <v>0.66600000000000004</v>
      </c>
      <c r="R366" s="20" t="s">
        <v>249</v>
      </c>
      <c r="S366" s="20">
        <v>0.78</v>
      </c>
      <c r="T366" s="20" t="s">
        <v>249</v>
      </c>
      <c r="U366" s="20" t="s">
        <v>18</v>
      </c>
      <c r="V366" s="20">
        <v>4</v>
      </c>
      <c r="W366" s="20">
        <v>3</v>
      </c>
      <c r="X366" s="20" t="s">
        <v>490</v>
      </c>
      <c r="Y366" s="20" t="s">
        <v>292</v>
      </c>
      <c r="Z366" s="20" t="s">
        <v>430</v>
      </c>
      <c r="AA366" s="20" t="s">
        <v>491</v>
      </c>
    </row>
    <row r="367" spans="1:27" x14ac:dyDescent="0.2">
      <c r="A367" s="20" t="s">
        <v>225</v>
      </c>
      <c r="B367" s="20" t="s">
        <v>328</v>
      </c>
      <c r="C367" s="20" t="s">
        <v>16</v>
      </c>
      <c r="D367" s="20" t="s">
        <v>37</v>
      </c>
      <c r="E367" s="20" t="s">
        <v>425</v>
      </c>
      <c r="F367" s="20" t="s">
        <v>37</v>
      </c>
      <c r="G367" s="20">
        <v>2</v>
      </c>
      <c r="H367" s="20">
        <v>3</v>
      </c>
      <c r="I367" s="13">
        <v>0.86699999999999999</v>
      </c>
      <c r="J367" s="20" t="s">
        <v>248</v>
      </c>
      <c r="K367" s="18">
        <v>0.72199999999999998</v>
      </c>
      <c r="L367" s="20" t="s">
        <v>248</v>
      </c>
      <c r="M367" s="20" t="s">
        <v>395</v>
      </c>
      <c r="N367" s="20" t="s">
        <v>37</v>
      </c>
      <c r="O367" s="20">
        <v>2</v>
      </c>
      <c r="P367" s="20">
        <v>4</v>
      </c>
      <c r="Q367" s="13">
        <v>0.76200000000000001</v>
      </c>
      <c r="R367" s="20" t="s">
        <v>249</v>
      </c>
      <c r="S367" s="20">
        <v>1.46</v>
      </c>
      <c r="T367" s="20" t="s">
        <v>248</v>
      </c>
      <c r="U367" s="20" t="s">
        <v>37</v>
      </c>
      <c r="V367" s="20">
        <v>1</v>
      </c>
      <c r="W367" s="20">
        <v>5</v>
      </c>
      <c r="X367" s="20" t="s">
        <v>490</v>
      </c>
      <c r="Y367" s="20" t="s">
        <v>292</v>
      </c>
      <c r="Z367" s="20" t="s">
        <v>430</v>
      </c>
      <c r="AA367" s="20" t="s">
        <v>491</v>
      </c>
    </row>
    <row r="368" spans="1:27" x14ac:dyDescent="0.2">
      <c r="A368" s="20" t="s">
        <v>225</v>
      </c>
      <c r="B368" s="20" t="s">
        <v>322</v>
      </c>
      <c r="C368" s="20" t="s">
        <v>39</v>
      </c>
      <c r="D368" s="20" t="s">
        <v>32</v>
      </c>
      <c r="E368" s="20" t="s">
        <v>424</v>
      </c>
      <c r="F368" s="20" t="s">
        <v>32</v>
      </c>
      <c r="G368" s="20">
        <v>4</v>
      </c>
      <c r="H368" s="20">
        <v>5</v>
      </c>
      <c r="I368" s="13">
        <v>0.60299999999999998</v>
      </c>
      <c r="J368" s="20" t="s">
        <v>249</v>
      </c>
      <c r="K368" s="18">
        <v>0.44900000000000001</v>
      </c>
      <c r="L368" s="20" t="s">
        <v>249</v>
      </c>
      <c r="M368" s="20" t="s">
        <v>907</v>
      </c>
      <c r="N368" s="20" t="s">
        <v>39</v>
      </c>
      <c r="O368" s="20">
        <v>3</v>
      </c>
      <c r="P368" s="20">
        <v>2</v>
      </c>
      <c r="Q368" s="13">
        <v>0.56799999999999995</v>
      </c>
      <c r="R368" s="20" t="s">
        <v>249</v>
      </c>
      <c r="S368" s="20">
        <v>-0.3</v>
      </c>
      <c r="T368" s="20" t="s">
        <v>248</v>
      </c>
      <c r="U368" s="20" t="s">
        <v>39</v>
      </c>
      <c r="V368" s="20">
        <v>3</v>
      </c>
      <c r="W368" s="20">
        <v>2</v>
      </c>
      <c r="X368" s="20" t="s">
        <v>490</v>
      </c>
      <c r="Y368" s="20" t="s">
        <v>292</v>
      </c>
      <c r="Z368" s="20" t="s">
        <v>430</v>
      </c>
      <c r="AA368" s="20" t="s">
        <v>491</v>
      </c>
    </row>
    <row r="369" spans="1:27" x14ac:dyDescent="0.2">
      <c r="A369" s="20" t="s">
        <v>225</v>
      </c>
      <c r="B369" s="20" t="s">
        <v>328</v>
      </c>
      <c r="C369" s="20" t="s">
        <v>21</v>
      </c>
      <c r="D369" s="20" t="s">
        <v>30</v>
      </c>
      <c r="E369" s="20" t="s">
        <v>422</v>
      </c>
      <c r="F369" s="20" t="s">
        <v>30</v>
      </c>
      <c r="G369" s="20">
        <v>2</v>
      </c>
      <c r="H369" s="20">
        <v>5</v>
      </c>
      <c r="I369" s="13">
        <v>0.85799999999999998</v>
      </c>
      <c r="J369" s="20" t="s">
        <v>249</v>
      </c>
      <c r="K369" s="18">
        <v>0.38900000000000001</v>
      </c>
      <c r="L369" s="20" t="s">
        <v>249</v>
      </c>
      <c r="M369" s="20" t="s">
        <v>780</v>
      </c>
      <c r="N369" s="20" t="s">
        <v>30</v>
      </c>
      <c r="O369" s="20">
        <v>2</v>
      </c>
      <c r="P369" s="20">
        <v>3</v>
      </c>
      <c r="Q369" s="13">
        <v>0.57999999999999996</v>
      </c>
      <c r="R369" s="20" t="s">
        <v>248</v>
      </c>
      <c r="S369" s="20">
        <v>0.28999999999999998</v>
      </c>
      <c r="T369" s="20" t="s">
        <v>249</v>
      </c>
      <c r="U369" s="20" t="s">
        <v>21</v>
      </c>
      <c r="V369" s="20">
        <v>3</v>
      </c>
      <c r="W369" s="20">
        <v>1</v>
      </c>
      <c r="X369" s="20" t="s">
        <v>490</v>
      </c>
      <c r="Y369" s="20" t="s">
        <v>292</v>
      </c>
      <c r="Z369" s="20" t="s">
        <v>430</v>
      </c>
      <c r="AA369" s="20" t="s">
        <v>491</v>
      </c>
    </row>
    <row r="370" spans="1:27" x14ac:dyDescent="0.2">
      <c r="A370" s="20" t="s">
        <v>225</v>
      </c>
      <c r="B370" s="20" t="s">
        <v>328</v>
      </c>
      <c r="C370" s="20" t="s">
        <v>23</v>
      </c>
      <c r="D370" s="20" t="s">
        <v>14</v>
      </c>
      <c r="E370" s="20" t="s">
        <v>423</v>
      </c>
      <c r="F370" s="20" t="s">
        <v>14</v>
      </c>
      <c r="G370" s="20">
        <v>3</v>
      </c>
      <c r="H370" s="20">
        <v>4</v>
      </c>
      <c r="I370" s="13">
        <v>0.76300000000000001</v>
      </c>
      <c r="J370" s="20" t="s">
        <v>249</v>
      </c>
      <c r="K370" s="18">
        <v>0.495</v>
      </c>
      <c r="L370" s="20" t="s">
        <v>248</v>
      </c>
      <c r="M370" s="20" t="s">
        <v>451</v>
      </c>
      <c r="N370" s="20" t="s">
        <v>14</v>
      </c>
      <c r="O370" s="20">
        <v>2</v>
      </c>
      <c r="P370" s="20">
        <v>3</v>
      </c>
      <c r="Q370" s="13">
        <v>0.60099999999999998</v>
      </c>
      <c r="R370" s="20" t="s">
        <v>249</v>
      </c>
      <c r="S370" s="20">
        <v>0.44</v>
      </c>
      <c r="T370" s="20" t="s">
        <v>248</v>
      </c>
      <c r="U370" s="20" t="s">
        <v>14</v>
      </c>
      <c r="V370" s="20">
        <v>2</v>
      </c>
      <c r="W370" s="20">
        <v>4</v>
      </c>
      <c r="X370" s="20" t="s">
        <v>490</v>
      </c>
      <c r="Y370" s="20" t="s">
        <v>292</v>
      </c>
      <c r="Z370" s="20" t="s">
        <v>430</v>
      </c>
      <c r="AA370" s="20" t="s">
        <v>491</v>
      </c>
    </row>
    <row r="371" spans="1:27" x14ac:dyDescent="0.2">
      <c r="A371" s="20" t="s">
        <v>225</v>
      </c>
      <c r="B371" s="20" t="s">
        <v>328</v>
      </c>
      <c r="C371" s="20" t="s">
        <v>27</v>
      </c>
      <c r="D371" s="20" t="s">
        <v>11</v>
      </c>
      <c r="E371" s="20" t="s">
        <v>420</v>
      </c>
      <c r="F371" s="20" t="s">
        <v>11</v>
      </c>
      <c r="G371" s="20">
        <v>3</v>
      </c>
      <c r="H371" s="20">
        <v>4</v>
      </c>
      <c r="I371" s="13">
        <v>0.78400000000000003</v>
      </c>
      <c r="J371" s="20" t="s">
        <v>248</v>
      </c>
      <c r="K371" s="18">
        <v>0.67900000000000005</v>
      </c>
      <c r="L371" s="20" t="s">
        <v>249</v>
      </c>
      <c r="M371" s="20" t="s">
        <v>908</v>
      </c>
      <c r="N371" s="20" t="s">
        <v>11</v>
      </c>
      <c r="O371" s="20">
        <v>2</v>
      </c>
      <c r="P371" s="20">
        <v>3</v>
      </c>
      <c r="Q371" s="13">
        <v>0.66</v>
      </c>
      <c r="R371" s="20" t="s">
        <v>249</v>
      </c>
      <c r="S371" s="20">
        <v>0.49</v>
      </c>
      <c r="T371" s="20" t="s">
        <v>249</v>
      </c>
      <c r="U371" s="20" t="s">
        <v>27</v>
      </c>
      <c r="V371" s="20">
        <v>4</v>
      </c>
      <c r="W371" s="20">
        <v>2</v>
      </c>
      <c r="X371" s="20" t="s">
        <v>490</v>
      </c>
      <c r="Y371" s="20" t="s">
        <v>292</v>
      </c>
      <c r="Z371" s="20" t="s">
        <v>430</v>
      </c>
      <c r="AA371" s="20" t="s">
        <v>491</v>
      </c>
    </row>
    <row r="372" spans="1:27" x14ac:dyDescent="0.2">
      <c r="A372" s="20" t="s">
        <v>225</v>
      </c>
      <c r="B372" s="20" t="s">
        <v>322</v>
      </c>
      <c r="C372" s="20" t="s">
        <v>36</v>
      </c>
      <c r="D372" s="20" t="s">
        <v>20</v>
      </c>
      <c r="E372" s="20" t="s">
        <v>428</v>
      </c>
      <c r="F372" s="20" t="s">
        <v>36</v>
      </c>
      <c r="G372" s="20">
        <v>4</v>
      </c>
      <c r="H372" s="20">
        <v>2</v>
      </c>
      <c r="I372" s="13">
        <v>0.64300000000000002</v>
      </c>
      <c r="J372" s="20" t="s">
        <v>249</v>
      </c>
      <c r="K372" s="18">
        <v>0.42599999999999999</v>
      </c>
      <c r="L372" s="20" t="s">
        <v>248</v>
      </c>
      <c r="M372" s="20" t="s">
        <v>582</v>
      </c>
      <c r="N372" s="20" t="s">
        <v>20</v>
      </c>
      <c r="O372" s="20">
        <v>2</v>
      </c>
      <c r="P372" s="20">
        <v>3</v>
      </c>
      <c r="Q372" s="13">
        <v>0.60499999999999998</v>
      </c>
      <c r="R372" s="20" t="s">
        <v>249</v>
      </c>
      <c r="S372" s="20">
        <v>0.47</v>
      </c>
      <c r="T372" s="20" t="s">
        <v>249</v>
      </c>
      <c r="U372" s="20" t="s">
        <v>36</v>
      </c>
      <c r="V372" s="20">
        <v>4</v>
      </c>
      <c r="W372" s="20">
        <v>3</v>
      </c>
      <c r="X372" s="20" t="s">
        <v>496</v>
      </c>
      <c r="Y372" s="20" t="s">
        <v>292</v>
      </c>
      <c r="Z372" s="20" t="s">
        <v>430</v>
      </c>
      <c r="AA372" s="20" t="s">
        <v>491</v>
      </c>
    </row>
    <row r="373" spans="1:27" x14ac:dyDescent="0.2">
      <c r="A373" s="20" t="s">
        <v>225</v>
      </c>
      <c r="B373" s="20" t="s">
        <v>326</v>
      </c>
      <c r="C373" s="20" t="s">
        <v>33</v>
      </c>
      <c r="D373" s="20" t="s">
        <v>12</v>
      </c>
      <c r="E373" s="20" t="s">
        <v>418</v>
      </c>
      <c r="F373" s="20" t="s">
        <v>12</v>
      </c>
      <c r="G373" s="20">
        <v>2</v>
      </c>
      <c r="H373" s="20">
        <v>4</v>
      </c>
      <c r="I373" s="13">
        <v>0.84299999999999997</v>
      </c>
      <c r="J373" s="20" t="s">
        <v>249</v>
      </c>
      <c r="K373" s="18">
        <v>0.34399999999999997</v>
      </c>
      <c r="L373" s="20" t="s">
        <v>248</v>
      </c>
      <c r="M373" s="20" t="s">
        <v>361</v>
      </c>
      <c r="N373" s="20" t="s">
        <v>12</v>
      </c>
      <c r="O373" s="20">
        <v>2</v>
      </c>
      <c r="P373" s="20">
        <v>5</v>
      </c>
      <c r="Q373" s="13">
        <v>0.90800000000000003</v>
      </c>
      <c r="R373" s="20" t="s">
        <v>249</v>
      </c>
      <c r="S373" s="20">
        <v>1.97</v>
      </c>
      <c r="T373" s="20" t="s">
        <v>248</v>
      </c>
      <c r="U373" s="20" t="s">
        <v>12</v>
      </c>
      <c r="V373" s="20">
        <v>0</v>
      </c>
      <c r="W373" s="20">
        <v>6</v>
      </c>
      <c r="X373" s="20" t="s">
        <v>490</v>
      </c>
      <c r="Y373" s="20" t="s">
        <v>292</v>
      </c>
      <c r="Z373" s="20" t="s">
        <v>430</v>
      </c>
      <c r="AA373" s="20" t="s">
        <v>491</v>
      </c>
    </row>
    <row r="374" spans="1:27" x14ac:dyDescent="0.2">
      <c r="A374" s="20" t="s">
        <v>225</v>
      </c>
      <c r="B374" s="20" t="s">
        <v>416</v>
      </c>
      <c r="C374" s="20" t="s">
        <v>34</v>
      </c>
      <c r="D374" s="20" t="s">
        <v>10</v>
      </c>
      <c r="E374" s="20" t="s">
        <v>417</v>
      </c>
      <c r="F374" s="20" t="s">
        <v>34</v>
      </c>
      <c r="G374" s="20">
        <v>4</v>
      </c>
      <c r="H374" s="20">
        <v>3</v>
      </c>
      <c r="I374" s="13">
        <v>0.57699999999999996</v>
      </c>
      <c r="J374" s="20" t="s">
        <v>249</v>
      </c>
      <c r="K374" s="18">
        <v>0.313</v>
      </c>
      <c r="L374" s="20" t="s">
        <v>248</v>
      </c>
      <c r="M374" s="20" t="s">
        <v>343</v>
      </c>
      <c r="N374" s="20" t="s">
        <v>10</v>
      </c>
      <c r="O374" s="20">
        <v>2</v>
      </c>
      <c r="P374" s="20">
        <v>3</v>
      </c>
      <c r="Q374" s="13">
        <v>0.54800000000000004</v>
      </c>
      <c r="R374" s="20" t="s">
        <v>248</v>
      </c>
      <c r="S374" s="20">
        <v>0.2</v>
      </c>
      <c r="T374" s="20" t="s">
        <v>249</v>
      </c>
      <c r="U374" s="20" t="s">
        <v>34</v>
      </c>
      <c r="V374" s="20">
        <v>4</v>
      </c>
      <c r="W374" s="20">
        <v>3</v>
      </c>
      <c r="X374" s="20" t="s">
        <v>496</v>
      </c>
      <c r="Y374" s="20" t="s">
        <v>292</v>
      </c>
      <c r="Z374" s="20" t="s">
        <v>430</v>
      </c>
      <c r="AA374" s="20" t="s">
        <v>491</v>
      </c>
    </row>
    <row r="375" spans="1:27" x14ac:dyDescent="0.2">
      <c r="A375" s="20" t="s">
        <v>225</v>
      </c>
      <c r="B375" s="20" t="s">
        <v>328</v>
      </c>
      <c r="C375" s="20" t="s">
        <v>19</v>
      </c>
      <c r="D375" s="20" t="s">
        <v>28</v>
      </c>
      <c r="E375" s="20" t="s">
        <v>415</v>
      </c>
      <c r="F375" s="20" t="s">
        <v>28</v>
      </c>
      <c r="G375" s="20">
        <v>4</v>
      </c>
      <c r="H375" s="20">
        <v>5</v>
      </c>
      <c r="I375" s="13">
        <v>0.81299999999999994</v>
      </c>
      <c r="J375" s="20" t="s">
        <v>249</v>
      </c>
      <c r="K375" s="18">
        <v>0.442</v>
      </c>
      <c r="L375" s="20" t="s">
        <v>249</v>
      </c>
      <c r="M375" s="20" t="s">
        <v>909</v>
      </c>
      <c r="N375" s="20" t="s">
        <v>28</v>
      </c>
      <c r="O375" s="20">
        <v>2</v>
      </c>
      <c r="P375" s="20">
        <v>3</v>
      </c>
      <c r="Q375" s="13">
        <v>0.60199999999999998</v>
      </c>
      <c r="R375" s="20" t="s">
        <v>249</v>
      </c>
      <c r="S375" s="20">
        <v>0.4</v>
      </c>
      <c r="T375" s="20" t="s">
        <v>249</v>
      </c>
      <c r="U375" s="20" t="s">
        <v>19</v>
      </c>
      <c r="V375" s="20">
        <v>2</v>
      </c>
      <c r="W375" s="20">
        <v>1</v>
      </c>
      <c r="X375" s="20" t="s">
        <v>496</v>
      </c>
      <c r="Y375" s="20" t="s">
        <v>292</v>
      </c>
      <c r="Z375" s="20" t="s">
        <v>430</v>
      </c>
      <c r="AA375" s="20" t="s">
        <v>491</v>
      </c>
    </row>
    <row r="376" spans="1:27" x14ac:dyDescent="0.2">
      <c r="A376" s="20" t="s">
        <v>225</v>
      </c>
      <c r="B376" s="20" t="s">
        <v>328</v>
      </c>
      <c r="C376" s="20" t="s">
        <v>35</v>
      </c>
      <c r="D376" s="20" t="s">
        <v>24</v>
      </c>
      <c r="E376" s="20" t="s">
        <v>421</v>
      </c>
      <c r="F376" s="20" t="s">
        <v>24</v>
      </c>
      <c r="G376" s="20">
        <v>3</v>
      </c>
      <c r="H376" s="20">
        <v>4</v>
      </c>
      <c r="I376" s="13">
        <v>0.872</v>
      </c>
      <c r="J376" s="20" t="s">
        <v>249</v>
      </c>
      <c r="K376" s="18">
        <v>0.25900000000000001</v>
      </c>
      <c r="L376" s="20" t="s">
        <v>248</v>
      </c>
      <c r="M376" s="20" t="s">
        <v>449</v>
      </c>
      <c r="N376" s="20" t="s">
        <v>24</v>
      </c>
      <c r="O376" s="20">
        <v>2</v>
      </c>
      <c r="P376" s="20">
        <v>5</v>
      </c>
      <c r="Q376" s="13">
        <v>0.90100000000000002</v>
      </c>
      <c r="R376" s="20" t="s">
        <v>249</v>
      </c>
      <c r="S376" s="20">
        <v>1.74</v>
      </c>
      <c r="T376" s="20" t="s">
        <v>248</v>
      </c>
      <c r="U376" s="20" t="s">
        <v>24</v>
      </c>
      <c r="V376" s="20">
        <v>2</v>
      </c>
      <c r="W376" s="20">
        <v>3</v>
      </c>
      <c r="X376" s="20" t="s">
        <v>496</v>
      </c>
      <c r="Y376" s="20" t="s">
        <v>292</v>
      </c>
      <c r="Z376" s="20" t="s">
        <v>430</v>
      </c>
      <c r="AA376" s="20" t="s">
        <v>491</v>
      </c>
    </row>
    <row r="377" spans="1:27" x14ac:dyDescent="0.2">
      <c r="A377" s="20" t="s">
        <v>226</v>
      </c>
      <c r="B377" s="20" t="s">
        <v>369</v>
      </c>
      <c r="C377" s="20" t="s">
        <v>27</v>
      </c>
      <c r="D377" s="20" t="s">
        <v>30</v>
      </c>
      <c r="E377" s="20" t="s">
        <v>443</v>
      </c>
      <c r="F377" s="20" t="s">
        <v>27</v>
      </c>
      <c r="G377" s="20">
        <v>4</v>
      </c>
      <c r="H377" s="20">
        <v>3</v>
      </c>
      <c r="I377" s="13">
        <v>0.53200000000000003</v>
      </c>
      <c r="J377" s="20" t="s">
        <v>249</v>
      </c>
      <c r="K377" s="18">
        <v>0.42499999999999999</v>
      </c>
      <c r="L377" s="20" t="s">
        <v>248</v>
      </c>
      <c r="M377" s="20" t="s">
        <v>393</v>
      </c>
      <c r="N377" s="20" t="s">
        <v>30</v>
      </c>
      <c r="O377" s="20">
        <v>2</v>
      </c>
      <c r="P377" s="20">
        <v>3</v>
      </c>
      <c r="Q377" s="13">
        <v>0.59199999999999997</v>
      </c>
      <c r="R377" s="20" t="s">
        <v>249</v>
      </c>
      <c r="S377" s="20">
        <v>0.41</v>
      </c>
      <c r="T377" s="20" t="s">
        <v>249</v>
      </c>
      <c r="U377" s="20" t="s">
        <v>27</v>
      </c>
      <c r="V377" s="20">
        <v>4</v>
      </c>
      <c r="W377" s="20">
        <v>3</v>
      </c>
      <c r="X377" s="20" t="s">
        <v>496</v>
      </c>
      <c r="Y377" s="20" t="s">
        <v>292</v>
      </c>
      <c r="Z377" s="20" t="s">
        <v>432</v>
      </c>
      <c r="AA377" s="20" t="s">
        <v>491</v>
      </c>
    </row>
    <row r="378" spans="1:27" x14ac:dyDescent="0.2">
      <c r="A378" s="20" t="s">
        <v>226</v>
      </c>
      <c r="B378" s="20" t="s">
        <v>365</v>
      </c>
      <c r="C378" s="20" t="s">
        <v>19</v>
      </c>
      <c r="D378" s="20" t="s">
        <v>22</v>
      </c>
      <c r="E378" s="20" t="s">
        <v>447</v>
      </c>
      <c r="F378" s="20" t="s">
        <v>22</v>
      </c>
      <c r="G378" s="20">
        <v>3</v>
      </c>
      <c r="H378" s="20">
        <v>4</v>
      </c>
      <c r="I378" s="13">
        <v>0.80500000000000005</v>
      </c>
      <c r="J378" s="20" t="s">
        <v>249</v>
      </c>
      <c r="K378" s="18">
        <v>0.29899999999999999</v>
      </c>
      <c r="L378" s="20" t="s">
        <v>248</v>
      </c>
      <c r="M378" s="20" t="s">
        <v>321</v>
      </c>
      <c r="N378" s="20" t="s">
        <v>22</v>
      </c>
      <c r="O378" s="20">
        <v>2</v>
      </c>
      <c r="P378" s="20">
        <v>4</v>
      </c>
      <c r="Q378" s="13">
        <v>0.71199999999999997</v>
      </c>
      <c r="R378" s="20" t="s">
        <v>249</v>
      </c>
      <c r="S378" s="20">
        <v>1.25</v>
      </c>
      <c r="T378" s="20" t="s">
        <v>248</v>
      </c>
      <c r="U378" s="20" t="s">
        <v>22</v>
      </c>
      <c r="V378" s="20">
        <v>2</v>
      </c>
      <c r="W378" s="20">
        <v>4</v>
      </c>
      <c r="X378" s="20" t="s">
        <v>490</v>
      </c>
      <c r="Y378" s="20" t="s">
        <v>292</v>
      </c>
      <c r="Z378" s="20" t="s">
        <v>432</v>
      </c>
      <c r="AA378" s="20" t="s">
        <v>491</v>
      </c>
    </row>
    <row r="379" spans="1:27" x14ac:dyDescent="0.2">
      <c r="A379" s="20" t="s">
        <v>226</v>
      </c>
      <c r="B379" s="20" t="s">
        <v>369</v>
      </c>
      <c r="C379" s="20" t="s">
        <v>36</v>
      </c>
      <c r="D379" s="20" t="s">
        <v>35</v>
      </c>
      <c r="E379" s="20" t="s">
        <v>445</v>
      </c>
      <c r="F379" s="20" t="s">
        <v>36</v>
      </c>
      <c r="G379" s="20">
        <v>5</v>
      </c>
      <c r="H379" s="20">
        <v>4</v>
      </c>
      <c r="I379" s="13">
        <v>0.80500000000000005</v>
      </c>
      <c r="J379" s="20" t="s">
        <v>249</v>
      </c>
      <c r="K379" s="18">
        <v>0.46300000000000002</v>
      </c>
      <c r="L379" s="20" t="s">
        <v>249</v>
      </c>
      <c r="M379" s="20" t="s">
        <v>910</v>
      </c>
      <c r="N379" s="20" t="s">
        <v>36</v>
      </c>
      <c r="O379" s="20">
        <v>4</v>
      </c>
      <c r="P379" s="20">
        <v>2</v>
      </c>
      <c r="Q379" s="13">
        <v>0.626</v>
      </c>
      <c r="R379" s="20" t="s">
        <v>249</v>
      </c>
      <c r="S379" s="20">
        <v>-1.1499999999999999</v>
      </c>
      <c r="T379" s="20" t="s">
        <v>249</v>
      </c>
      <c r="U379" s="20" t="s">
        <v>35</v>
      </c>
      <c r="V379" s="20">
        <v>3</v>
      </c>
      <c r="W379" s="20">
        <v>4</v>
      </c>
      <c r="X379" s="20" t="s">
        <v>490</v>
      </c>
      <c r="Y379" s="20" t="s">
        <v>292</v>
      </c>
      <c r="Z379" s="20" t="s">
        <v>432</v>
      </c>
      <c r="AA379" s="20" t="s">
        <v>491</v>
      </c>
    </row>
    <row r="380" spans="1:27" x14ac:dyDescent="0.2">
      <c r="A380" s="20" t="s">
        <v>226</v>
      </c>
      <c r="B380" s="20" t="s">
        <v>369</v>
      </c>
      <c r="C380" s="20" t="s">
        <v>38</v>
      </c>
      <c r="D380" s="20" t="s">
        <v>33</v>
      </c>
      <c r="E380" s="20" t="s">
        <v>444</v>
      </c>
      <c r="F380" s="20" t="s">
        <v>33</v>
      </c>
      <c r="G380" s="20">
        <v>3</v>
      </c>
      <c r="H380" s="20">
        <v>4</v>
      </c>
      <c r="I380" s="13">
        <v>0.54800000000000004</v>
      </c>
      <c r="J380" s="20" t="s">
        <v>249</v>
      </c>
      <c r="K380" s="18">
        <v>0.36899999999999999</v>
      </c>
      <c r="L380" s="20" t="s">
        <v>248</v>
      </c>
      <c r="M380" s="20" t="s">
        <v>309</v>
      </c>
      <c r="N380" s="20" t="s">
        <v>33</v>
      </c>
      <c r="O380" s="20">
        <v>2</v>
      </c>
      <c r="P380" s="20">
        <v>4</v>
      </c>
      <c r="Q380" s="13">
        <v>0.57399999999999995</v>
      </c>
      <c r="R380" s="20" t="s">
        <v>249</v>
      </c>
      <c r="S380" s="20">
        <v>0.57999999999999996</v>
      </c>
      <c r="T380" s="20" t="s">
        <v>248</v>
      </c>
      <c r="U380" s="20" t="s">
        <v>33</v>
      </c>
      <c r="V380" s="20">
        <v>2</v>
      </c>
      <c r="W380" s="20">
        <v>3</v>
      </c>
      <c r="X380" s="20" t="s">
        <v>490</v>
      </c>
      <c r="Y380" s="20" t="s">
        <v>292</v>
      </c>
      <c r="Z380" s="20" t="s">
        <v>432</v>
      </c>
      <c r="AA380" s="20" t="s">
        <v>491</v>
      </c>
    </row>
    <row r="381" spans="1:27" x14ac:dyDescent="0.2">
      <c r="A381" s="20" t="s">
        <v>226</v>
      </c>
      <c r="B381" s="20" t="s">
        <v>352</v>
      </c>
      <c r="C381" s="20" t="s">
        <v>12</v>
      </c>
      <c r="D381" s="20" t="s">
        <v>34</v>
      </c>
      <c r="E381" s="20" t="s">
        <v>442</v>
      </c>
      <c r="F381" s="20" t="s">
        <v>12</v>
      </c>
      <c r="G381" s="20">
        <v>5</v>
      </c>
      <c r="H381" s="20">
        <v>4</v>
      </c>
      <c r="I381" s="13">
        <v>0.72299999999999998</v>
      </c>
      <c r="J381" s="20" t="s">
        <v>249</v>
      </c>
      <c r="K381" s="18">
        <v>0.371</v>
      </c>
      <c r="L381" s="20" t="s">
        <v>249</v>
      </c>
      <c r="M381" s="20" t="s">
        <v>911</v>
      </c>
      <c r="N381" s="20" t="s">
        <v>12</v>
      </c>
      <c r="O381" s="20">
        <v>5</v>
      </c>
      <c r="P381" s="20">
        <v>2</v>
      </c>
      <c r="Q381" s="13">
        <v>0.75900000000000001</v>
      </c>
      <c r="R381" s="20" t="s">
        <v>249</v>
      </c>
      <c r="S381" s="20">
        <v>-1.63</v>
      </c>
      <c r="T381" s="20" t="s">
        <v>249</v>
      </c>
      <c r="U381" s="20" t="s">
        <v>34</v>
      </c>
      <c r="V381" s="20">
        <v>2</v>
      </c>
      <c r="W381" s="20">
        <v>3</v>
      </c>
      <c r="X381" s="20" t="s">
        <v>496</v>
      </c>
      <c r="Y381" s="20" t="s">
        <v>292</v>
      </c>
      <c r="Z381" s="20" t="s">
        <v>432</v>
      </c>
      <c r="AA381" s="20" t="s">
        <v>491</v>
      </c>
    </row>
    <row r="382" spans="1:27" x14ac:dyDescent="0.2">
      <c r="A382" s="20" t="s">
        <v>226</v>
      </c>
      <c r="B382" s="20" t="s">
        <v>369</v>
      </c>
      <c r="C382" s="20" t="s">
        <v>18</v>
      </c>
      <c r="D382" s="20" t="s">
        <v>20</v>
      </c>
      <c r="E382" s="20" t="s">
        <v>446</v>
      </c>
      <c r="F382" s="20" t="s">
        <v>18</v>
      </c>
      <c r="G382" s="20">
        <v>4</v>
      </c>
      <c r="H382" s="20">
        <v>3</v>
      </c>
      <c r="I382" s="13">
        <v>0.70499999999999996</v>
      </c>
      <c r="J382" s="20" t="s">
        <v>249</v>
      </c>
      <c r="K382" s="18">
        <v>0.44800000000000001</v>
      </c>
      <c r="L382" s="20" t="s">
        <v>248</v>
      </c>
      <c r="M382" s="20" t="s">
        <v>360</v>
      </c>
      <c r="N382" s="20" t="s">
        <v>20</v>
      </c>
      <c r="O382" s="20">
        <v>2</v>
      </c>
      <c r="P382" s="20">
        <v>4</v>
      </c>
      <c r="Q382" s="13">
        <v>0.55400000000000005</v>
      </c>
      <c r="R382" s="20" t="s">
        <v>249</v>
      </c>
      <c r="S382" s="20">
        <v>0.63</v>
      </c>
      <c r="T382" s="20" t="s">
        <v>249</v>
      </c>
      <c r="U382" s="20" t="s">
        <v>18</v>
      </c>
      <c r="V382" s="20">
        <v>4</v>
      </c>
      <c r="W382" s="20">
        <v>1</v>
      </c>
      <c r="X382" s="20" t="s">
        <v>490</v>
      </c>
      <c r="Y382" s="20" t="s">
        <v>292</v>
      </c>
      <c r="Z382" s="20" t="s">
        <v>432</v>
      </c>
      <c r="AA382" s="20" t="s">
        <v>491</v>
      </c>
    </row>
    <row r="383" spans="1:27" x14ac:dyDescent="0.2">
      <c r="A383" s="20" t="s">
        <v>226</v>
      </c>
      <c r="B383" s="20" t="s">
        <v>439</v>
      </c>
      <c r="C383" s="20" t="s">
        <v>37</v>
      </c>
      <c r="D383" s="20" t="s">
        <v>26</v>
      </c>
      <c r="E383" s="20" t="s">
        <v>440</v>
      </c>
      <c r="F383" s="20" t="s">
        <v>37</v>
      </c>
      <c r="G383" s="20">
        <v>4</v>
      </c>
      <c r="H383" s="20">
        <v>3</v>
      </c>
      <c r="I383" s="13">
        <v>0.68200000000000005</v>
      </c>
      <c r="J383" s="20" t="s">
        <v>249</v>
      </c>
      <c r="K383" s="18">
        <v>0.311</v>
      </c>
      <c r="L383" s="20" t="s">
        <v>248</v>
      </c>
      <c r="M383" s="20" t="s">
        <v>395</v>
      </c>
      <c r="N383" s="20" t="s">
        <v>37</v>
      </c>
      <c r="O383" s="20">
        <v>4</v>
      </c>
      <c r="P383" s="20">
        <v>2</v>
      </c>
      <c r="Q383" s="13">
        <v>0.64600000000000002</v>
      </c>
      <c r="R383" s="20" t="s">
        <v>249</v>
      </c>
      <c r="S383" s="20">
        <v>-1.06</v>
      </c>
      <c r="T383" s="20" t="s">
        <v>248</v>
      </c>
      <c r="U383" s="20" t="s">
        <v>37</v>
      </c>
      <c r="V383" s="20">
        <v>6</v>
      </c>
      <c r="W383" s="20">
        <v>3</v>
      </c>
      <c r="X383" s="20" t="s">
        <v>490</v>
      </c>
      <c r="Y383" s="20" t="s">
        <v>292</v>
      </c>
      <c r="Z383" s="20" t="s">
        <v>432</v>
      </c>
      <c r="AA383" s="20" t="s">
        <v>491</v>
      </c>
    </row>
    <row r="384" spans="1:27" x14ac:dyDescent="0.2">
      <c r="A384" s="20" t="s">
        <v>226</v>
      </c>
      <c r="B384" s="20" t="s">
        <v>347</v>
      </c>
      <c r="C384" s="20" t="s">
        <v>15</v>
      </c>
      <c r="D384" s="20" t="s">
        <v>21</v>
      </c>
      <c r="E384" s="20" t="s">
        <v>433</v>
      </c>
      <c r="F384" s="20" t="s">
        <v>21</v>
      </c>
      <c r="G384" s="20">
        <v>2</v>
      </c>
      <c r="H384" s="20">
        <v>5</v>
      </c>
      <c r="I384" s="13">
        <v>0.66300000000000003</v>
      </c>
      <c r="J384" s="20" t="s">
        <v>249</v>
      </c>
      <c r="K384" s="18">
        <v>0.41599999999999998</v>
      </c>
      <c r="L384" s="20" t="s">
        <v>249</v>
      </c>
      <c r="M384" s="20" t="s">
        <v>912</v>
      </c>
      <c r="N384" s="20" t="s">
        <v>21</v>
      </c>
      <c r="O384" s="20">
        <v>2</v>
      </c>
      <c r="P384" s="20">
        <v>3</v>
      </c>
      <c r="Q384" s="13">
        <v>0.55900000000000005</v>
      </c>
      <c r="R384" s="20" t="s">
        <v>249</v>
      </c>
      <c r="S384" s="20">
        <v>0.46</v>
      </c>
      <c r="T384" s="20" t="s">
        <v>249</v>
      </c>
      <c r="U384" s="20" t="s">
        <v>15</v>
      </c>
      <c r="V384" s="20">
        <v>6</v>
      </c>
      <c r="W384" s="20">
        <v>2</v>
      </c>
      <c r="X384" s="20" t="s">
        <v>490</v>
      </c>
      <c r="Y384" s="20" t="s">
        <v>292</v>
      </c>
      <c r="Z384" s="20" t="s">
        <v>432</v>
      </c>
      <c r="AA384" s="20" t="s">
        <v>491</v>
      </c>
    </row>
    <row r="385" spans="1:27" x14ac:dyDescent="0.2">
      <c r="A385" s="20" t="s">
        <v>226</v>
      </c>
      <c r="B385" s="20" t="s">
        <v>369</v>
      </c>
      <c r="C385" s="20" t="s">
        <v>16</v>
      </c>
      <c r="D385" s="20" t="s">
        <v>11</v>
      </c>
      <c r="E385" s="20" t="s">
        <v>441</v>
      </c>
      <c r="F385" s="20" t="s">
        <v>11</v>
      </c>
      <c r="G385" s="20">
        <v>3</v>
      </c>
      <c r="H385" s="20">
        <v>4</v>
      </c>
      <c r="I385" s="13">
        <v>0.83899999999999997</v>
      </c>
      <c r="J385" s="20" t="s">
        <v>249</v>
      </c>
      <c r="K385" s="18">
        <v>0.47299999999999998</v>
      </c>
      <c r="L385" s="20" t="s">
        <v>249</v>
      </c>
      <c r="M385" s="20" t="s">
        <v>913</v>
      </c>
      <c r="N385" s="20" t="s">
        <v>11</v>
      </c>
      <c r="O385" s="20">
        <v>2</v>
      </c>
      <c r="P385" s="20">
        <v>4</v>
      </c>
      <c r="Q385" s="13">
        <v>0.7</v>
      </c>
      <c r="R385" s="20" t="s">
        <v>249</v>
      </c>
      <c r="S385" s="20">
        <v>1.01</v>
      </c>
      <c r="T385" s="20" t="s">
        <v>249</v>
      </c>
      <c r="U385" s="20" t="s">
        <v>16</v>
      </c>
      <c r="V385" s="20">
        <v>5</v>
      </c>
      <c r="W385" s="20">
        <v>3</v>
      </c>
      <c r="X385" s="20" t="s">
        <v>490</v>
      </c>
      <c r="Y385" s="20" t="s">
        <v>292</v>
      </c>
      <c r="Z385" s="20" t="s">
        <v>432</v>
      </c>
      <c r="AA385" s="20" t="s">
        <v>491</v>
      </c>
    </row>
    <row r="386" spans="1:27" x14ac:dyDescent="0.2">
      <c r="A386" s="20" t="s">
        <v>226</v>
      </c>
      <c r="B386" s="20" t="s">
        <v>369</v>
      </c>
      <c r="C386" s="20" t="s">
        <v>24</v>
      </c>
      <c r="D386" s="20" t="s">
        <v>23</v>
      </c>
      <c r="E386" s="20" t="s">
        <v>434</v>
      </c>
      <c r="F386" s="20" t="s">
        <v>24</v>
      </c>
      <c r="G386" s="20">
        <v>4</v>
      </c>
      <c r="H386" s="20">
        <v>3</v>
      </c>
      <c r="I386" s="13">
        <v>0.60199999999999998</v>
      </c>
      <c r="J386" s="20" t="s">
        <v>249</v>
      </c>
      <c r="K386" s="18">
        <v>0.48499999999999999</v>
      </c>
      <c r="L386" s="20" t="s">
        <v>248</v>
      </c>
      <c r="M386" s="20" t="s">
        <v>449</v>
      </c>
      <c r="N386" s="20" t="s">
        <v>24</v>
      </c>
      <c r="O386" s="20">
        <v>3</v>
      </c>
      <c r="P386" s="20">
        <v>2</v>
      </c>
      <c r="Q386" s="13">
        <v>0.501</v>
      </c>
      <c r="R386" s="20" t="s">
        <v>249</v>
      </c>
      <c r="S386" s="20">
        <v>-0.43</v>
      </c>
      <c r="T386" s="20" t="s">
        <v>248</v>
      </c>
      <c r="U386" s="20" t="s">
        <v>24</v>
      </c>
      <c r="V386" s="20">
        <v>5</v>
      </c>
      <c r="W386" s="20">
        <v>0</v>
      </c>
      <c r="X386" s="20" t="s">
        <v>490</v>
      </c>
      <c r="Y386" s="20" t="s">
        <v>292</v>
      </c>
      <c r="Z386" s="20" t="s">
        <v>432</v>
      </c>
      <c r="AA386" s="20" t="s">
        <v>491</v>
      </c>
    </row>
    <row r="387" spans="1:27" x14ac:dyDescent="0.2">
      <c r="A387" s="20" t="s">
        <v>226</v>
      </c>
      <c r="B387" s="20" t="s">
        <v>324</v>
      </c>
      <c r="C387" s="20" t="s">
        <v>29</v>
      </c>
      <c r="D387" s="20" t="s">
        <v>10</v>
      </c>
      <c r="E387" s="20" t="s">
        <v>437</v>
      </c>
      <c r="F387" s="20" t="s">
        <v>10</v>
      </c>
      <c r="G387" s="20">
        <v>2</v>
      </c>
      <c r="H387" s="20">
        <v>4</v>
      </c>
      <c r="I387" s="13">
        <v>0.82499999999999996</v>
      </c>
      <c r="J387" s="20" t="s">
        <v>249</v>
      </c>
      <c r="K387" s="18">
        <v>0.28999999999999998</v>
      </c>
      <c r="L387" s="20" t="s">
        <v>249</v>
      </c>
      <c r="M387" s="20" t="s">
        <v>914</v>
      </c>
      <c r="N387" s="20" t="s">
        <v>10</v>
      </c>
      <c r="O387" s="20">
        <v>2</v>
      </c>
      <c r="P387" s="20">
        <v>4</v>
      </c>
      <c r="Q387" s="13">
        <v>0.71199999999999997</v>
      </c>
      <c r="R387" s="20" t="s">
        <v>249</v>
      </c>
      <c r="S387" s="20">
        <v>1.36</v>
      </c>
      <c r="T387" s="20" t="s">
        <v>249</v>
      </c>
      <c r="U387" s="20" t="s">
        <v>29</v>
      </c>
      <c r="V387" s="20">
        <v>4</v>
      </c>
      <c r="W387" s="20">
        <v>3</v>
      </c>
      <c r="X387" s="20" t="s">
        <v>490</v>
      </c>
      <c r="Y387" s="20" t="s">
        <v>292</v>
      </c>
      <c r="Z387" s="20" t="s">
        <v>432</v>
      </c>
      <c r="AA387" s="20" t="s">
        <v>491</v>
      </c>
    </row>
    <row r="388" spans="1:27" x14ac:dyDescent="0.2">
      <c r="A388" s="20" t="s">
        <v>226</v>
      </c>
      <c r="B388" s="20" t="s">
        <v>328</v>
      </c>
      <c r="C388" s="20" t="s">
        <v>14</v>
      </c>
      <c r="D388" s="20" t="s">
        <v>28</v>
      </c>
      <c r="E388" s="20" t="s">
        <v>436</v>
      </c>
      <c r="F388" s="20" t="s">
        <v>14</v>
      </c>
      <c r="G388" s="20">
        <v>4</v>
      </c>
      <c r="H388" s="20">
        <v>3</v>
      </c>
      <c r="I388" s="13">
        <v>0.55700000000000005</v>
      </c>
      <c r="J388" s="20" t="s">
        <v>248</v>
      </c>
      <c r="K388" s="18">
        <v>0.51500000000000001</v>
      </c>
      <c r="L388" s="20" t="s">
        <v>248</v>
      </c>
      <c r="M388" s="20" t="s">
        <v>451</v>
      </c>
      <c r="N388" s="20" t="s">
        <v>14</v>
      </c>
      <c r="O388" s="20">
        <v>4</v>
      </c>
      <c r="P388" s="20">
        <v>2</v>
      </c>
      <c r="Q388" s="13">
        <v>0.52700000000000002</v>
      </c>
      <c r="R388" s="20" t="s">
        <v>249</v>
      </c>
      <c r="S388" s="20">
        <v>-0.53</v>
      </c>
      <c r="T388" s="20" t="s">
        <v>248</v>
      </c>
      <c r="U388" s="20" t="s">
        <v>14</v>
      </c>
      <c r="V388" s="20">
        <v>4</v>
      </c>
      <c r="W388" s="20">
        <v>3</v>
      </c>
      <c r="X388" s="20" t="s">
        <v>496</v>
      </c>
      <c r="Y388" s="20" t="s">
        <v>292</v>
      </c>
      <c r="Z388" s="20" t="s">
        <v>432</v>
      </c>
      <c r="AA388" s="20" t="s">
        <v>491</v>
      </c>
    </row>
    <row r="389" spans="1:27" x14ac:dyDescent="0.2">
      <c r="A389" s="20" t="s">
        <v>226</v>
      </c>
      <c r="B389" s="20" t="s">
        <v>324</v>
      </c>
      <c r="C389" s="20" t="s">
        <v>55</v>
      </c>
      <c r="D389" s="20" t="s">
        <v>39</v>
      </c>
      <c r="E389" s="20" t="s">
        <v>438</v>
      </c>
      <c r="F389" s="20" t="s">
        <v>39</v>
      </c>
      <c r="G389" s="20">
        <v>3</v>
      </c>
      <c r="H389" s="20">
        <v>4</v>
      </c>
      <c r="I389" s="13">
        <v>0.85899999999999999</v>
      </c>
      <c r="J389" s="20" t="s">
        <v>249</v>
      </c>
      <c r="K389" s="18">
        <v>0.42599999999999999</v>
      </c>
      <c r="L389" s="20" t="s">
        <v>248</v>
      </c>
      <c r="M389" s="20" t="s">
        <v>398</v>
      </c>
      <c r="N389" s="20" t="s">
        <v>39</v>
      </c>
      <c r="O389" s="20">
        <v>2</v>
      </c>
      <c r="P389" s="20">
        <v>4</v>
      </c>
      <c r="Q389" s="13">
        <v>0.61</v>
      </c>
      <c r="R389" s="20" t="s">
        <v>249</v>
      </c>
      <c r="S389" s="20">
        <v>0.54</v>
      </c>
      <c r="T389" s="20" t="s">
        <v>248</v>
      </c>
      <c r="U389" s="20" t="s">
        <v>39</v>
      </c>
      <c r="V389" s="20">
        <v>3</v>
      </c>
      <c r="W389" s="20">
        <v>4</v>
      </c>
      <c r="X389" s="20" t="s">
        <v>490</v>
      </c>
      <c r="Y389" s="20" t="s">
        <v>292</v>
      </c>
      <c r="Z389" s="20" t="s">
        <v>432</v>
      </c>
      <c r="AA389" s="20" t="s">
        <v>491</v>
      </c>
    </row>
    <row r="390" spans="1:27" x14ac:dyDescent="0.2">
      <c r="A390" s="20" t="s">
        <v>226</v>
      </c>
      <c r="B390" s="20" t="s">
        <v>365</v>
      </c>
      <c r="C390" s="20" t="s">
        <v>40</v>
      </c>
      <c r="D390" s="20" t="s">
        <v>25</v>
      </c>
      <c r="E390" s="20" t="s">
        <v>435</v>
      </c>
      <c r="F390" s="20" t="s">
        <v>25</v>
      </c>
      <c r="G390" s="20">
        <v>3</v>
      </c>
      <c r="H390" s="20">
        <v>4</v>
      </c>
      <c r="I390" s="13">
        <v>0.64400000000000002</v>
      </c>
      <c r="J390" s="20" t="s">
        <v>248</v>
      </c>
      <c r="K390" s="18">
        <v>0.52600000000000002</v>
      </c>
      <c r="L390" s="20" t="s">
        <v>248</v>
      </c>
      <c r="M390" s="20" t="s">
        <v>450</v>
      </c>
      <c r="N390" s="20" t="s">
        <v>25</v>
      </c>
      <c r="O390" s="20">
        <v>2</v>
      </c>
      <c r="P390" s="20">
        <v>3</v>
      </c>
      <c r="Q390" s="13">
        <v>0.58699999999999997</v>
      </c>
      <c r="R390" s="20" t="s">
        <v>249</v>
      </c>
      <c r="S390" s="20">
        <v>0.5</v>
      </c>
      <c r="T390" s="20" t="s">
        <v>248</v>
      </c>
      <c r="U390" s="20" t="s">
        <v>25</v>
      </c>
      <c r="V390" s="20">
        <v>1</v>
      </c>
      <c r="W390" s="20">
        <v>5</v>
      </c>
      <c r="X390" s="20" t="s">
        <v>490</v>
      </c>
      <c r="Y390" s="20" t="s">
        <v>292</v>
      </c>
      <c r="Z390" s="20" t="s">
        <v>432</v>
      </c>
      <c r="AA390" s="20" t="s">
        <v>491</v>
      </c>
    </row>
    <row r="391" spans="1:27" x14ac:dyDescent="0.2">
      <c r="A391" s="20" t="s">
        <v>226</v>
      </c>
      <c r="B391" s="20" t="s">
        <v>369</v>
      </c>
      <c r="C391" s="20" t="s">
        <v>13</v>
      </c>
      <c r="D391" s="20" t="s">
        <v>31</v>
      </c>
      <c r="E391" s="20" t="s">
        <v>431</v>
      </c>
      <c r="F391" s="20" t="s">
        <v>31</v>
      </c>
      <c r="G391" s="20">
        <v>3</v>
      </c>
      <c r="H391" s="20">
        <v>4</v>
      </c>
      <c r="I391" s="13">
        <v>0.748</v>
      </c>
      <c r="J391" s="20" t="s">
        <v>249</v>
      </c>
      <c r="K391" s="18">
        <v>0.36399999999999999</v>
      </c>
      <c r="L391" s="20" t="s">
        <v>248</v>
      </c>
      <c r="M391" s="20" t="s">
        <v>291</v>
      </c>
      <c r="N391" s="20" t="s">
        <v>31</v>
      </c>
      <c r="O391" s="20">
        <v>2</v>
      </c>
      <c r="P391" s="20">
        <v>4</v>
      </c>
      <c r="Q391" s="13">
        <v>0.61399999999999999</v>
      </c>
      <c r="R391" s="20" t="s">
        <v>249</v>
      </c>
      <c r="S391" s="20">
        <v>0.66</v>
      </c>
      <c r="T391" s="20" t="s">
        <v>248</v>
      </c>
      <c r="U391" s="20" t="s">
        <v>31</v>
      </c>
      <c r="V391" s="20">
        <v>4</v>
      </c>
      <c r="W391" s="20">
        <v>5</v>
      </c>
      <c r="X391" s="20" t="s">
        <v>496</v>
      </c>
      <c r="Y391" s="20" t="s">
        <v>292</v>
      </c>
      <c r="Z391" s="20" t="s">
        <v>432</v>
      </c>
      <c r="AA391" s="20" t="s">
        <v>491</v>
      </c>
    </row>
    <row r="392" spans="1:27" x14ac:dyDescent="0.2">
      <c r="A392" s="20" t="s">
        <v>227</v>
      </c>
      <c r="B392" s="20" t="s">
        <v>324</v>
      </c>
      <c r="C392" s="20" t="s">
        <v>55</v>
      </c>
      <c r="D392" s="20" t="s">
        <v>35</v>
      </c>
      <c r="E392" s="20" t="s">
        <v>463</v>
      </c>
      <c r="F392" s="20" t="s">
        <v>55</v>
      </c>
      <c r="G392" s="20">
        <v>6</v>
      </c>
      <c r="H392" s="20">
        <v>5</v>
      </c>
      <c r="I392" s="13">
        <v>0.52800000000000002</v>
      </c>
      <c r="J392" s="20" t="s">
        <v>249</v>
      </c>
      <c r="K392" s="18">
        <v>0.34599999999999997</v>
      </c>
      <c r="L392" s="20" t="s">
        <v>249</v>
      </c>
      <c r="M392" s="20" t="s">
        <v>915</v>
      </c>
      <c r="N392" s="20" t="s">
        <v>55</v>
      </c>
      <c r="O392" s="20">
        <v>4</v>
      </c>
      <c r="P392" s="20">
        <v>2</v>
      </c>
      <c r="Q392" s="13">
        <v>0.58799999999999997</v>
      </c>
      <c r="R392" s="20" t="s">
        <v>249</v>
      </c>
      <c r="S392" s="20">
        <v>-1.1000000000000001</v>
      </c>
      <c r="T392" s="20" t="s">
        <v>249</v>
      </c>
      <c r="U392" s="20" t="s">
        <v>35</v>
      </c>
      <c r="V392" s="20">
        <v>0</v>
      </c>
      <c r="W392" s="20">
        <v>1</v>
      </c>
      <c r="X392" s="20" t="s">
        <v>490</v>
      </c>
      <c r="Y392" s="20" t="s">
        <v>292</v>
      </c>
      <c r="Z392" s="20" t="s">
        <v>448</v>
      </c>
      <c r="AA392" s="20" t="s">
        <v>491</v>
      </c>
    </row>
    <row r="393" spans="1:27" x14ac:dyDescent="0.2">
      <c r="A393" s="20" t="s">
        <v>227</v>
      </c>
      <c r="B393" s="20" t="s">
        <v>328</v>
      </c>
      <c r="C393" s="20" t="s">
        <v>19</v>
      </c>
      <c r="D393" s="20" t="s">
        <v>14</v>
      </c>
      <c r="E393" s="20" t="s">
        <v>461</v>
      </c>
      <c r="F393" s="20" t="s">
        <v>14</v>
      </c>
      <c r="G393" s="20">
        <v>4</v>
      </c>
      <c r="H393" s="20">
        <v>5</v>
      </c>
      <c r="I393" s="13">
        <v>0.72599999999999998</v>
      </c>
      <c r="J393" s="20" t="s">
        <v>249</v>
      </c>
      <c r="K393" s="18">
        <v>0.32500000000000001</v>
      </c>
      <c r="L393" s="20" t="s">
        <v>249</v>
      </c>
      <c r="M393" s="20" t="s">
        <v>779</v>
      </c>
      <c r="N393" s="20" t="s">
        <v>14</v>
      </c>
      <c r="O393" s="20">
        <v>2</v>
      </c>
      <c r="P393" s="20">
        <v>4</v>
      </c>
      <c r="Q393" s="13">
        <v>0.64800000000000002</v>
      </c>
      <c r="R393" s="20" t="s">
        <v>249</v>
      </c>
      <c r="S393" s="20">
        <v>0.91</v>
      </c>
      <c r="T393" s="20" t="s">
        <v>249</v>
      </c>
      <c r="U393" s="20" t="s">
        <v>19</v>
      </c>
      <c r="V393" s="20">
        <v>7</v>
      </c>
      <c r="W393" s="20">
        <v>2</v>
      </c>
      <c r="X393" s="20" t="s">
        <v>490</v>
      </c>
      <c r="Y393" s="20" t="s">
        <v>292</v>
      </c>
      <c r="Z393" s="20" t="s">
        <v>448</v>
      </c>
      <c r="AA393" s="20" t="s">
        <v>491</v>
      </c>
    </row>
    <row r="394" spans="1:27" x14ac:dyDescent="0.2">
      <c r="A394" s="20" t="s">
        <v>227</v>
      </c>
      <c r="B394" s="20" t="s">
        <v>459</v>
      </c>
      <c r="C394" s="20" t="s">
        <v>37</v>
      </c>
      <c r="D394" s="20" t="s">
        <v>15</v>
      </c>
      <c r="E394" s="20" t="s">
        <v>460</v>
      </c>
      <c r="F394" s="20" t="s">
        <v>37</v>
      </c>
      <c r="G394" s="20">
        <v>4</v>
      </c>
      <c r="H394" s="20">
        <v>2</v>
      </c>
      <c r="I394" s="13">
        <v>0.63800000000000001</v>
      </c>
      <c r="J394" s="20" t="s">
        <v>249</v>
      </c>
      <c r="K394" s="18">
        <v>0.39400000000000002</v>
      </c>
      <c r="L394" s="20" t="s">
        <v>248</v>
      </c>
      <c r="M394" s="20" t="s">
        <v>395</v>
      </c>
      <c r="N394" s="20" t="s">
        <v>37</v>
      </c>
      <c r="O394" s="20">
        <v>4</v>
      </c>
      <c r="P394" s="20">
        <v>2</v>
      </c>
      <c r="Q394" s="13">
        <v>0.60399999999999998</v>
      </c>
      <c r="R394" s="20" t="s">
        <v>249</v>
      </c>
      <c r="S394" s="20">
        <v>-0.54</v>
      </c>
      <c r="T394" s="20" t="s">
        <v>248</v>
      </c>
      <c r="U394" s="20" t="s">
        <v>37</v>
      </c>
      <c r="V394" s="20">
        <v>4</v>
      </c>
      <c r="W394" s="20">
        <v>1</v>
      </c>
      <c r="X394" s="20" t="s">
        <v>490</v>
      </c>
      <c r="Y394" s="20" t="s">
        <v>292</v>
      </c>
      <c r="Z394" s="20" t="s">
        <v>448</v>
      </c>
      <c r="AA394" s="20" t="s">
        <v>491</v>
      </c>
    </row>
    <row r="395" spans="1:27" x14ac:dyDescent="0.2">
      <c r="A395" s="20" t="s">
        <v>227</v>
      </c>
      <c r="B395" s="20" t="s">
        <v>322</v>
      </c>
      <c r="C395" s="20" t="s">
        <v>33</v>
      </c>
      <c r="D395" s="20" t="s">
        <v>20</v>
      </c>
      <c r="E395" s="20" t="s">
        <v>464</v>
      </c>
      <c r="F395" s="20" t="s">
        <v>33</v>
      </c>
      <c r="G395" s="20">
        <v>4</v>
      </c>
      <c r="H395" s="20">
        <v>3</v>
      </c>
      <c r="I395" s="13">
        <v>0.54700000000000004</v>
      </c>
      <c r="J395" s="20" t="s">
        <v>249</v>
      </c>
      <c r="K395" s="18">
        <v>0.35399999999999998</v>
      </c>
      <c r="L395" s="20" t="s">
        <v>249</v>
      </c>
      <c r="M395" s="20" t="s">
        <v>916</v>
      </c>
      <c r="N395" s="20" t="s">
        <v>20</v>
      </c>
      <c r="O395" s="20">
        <v>2</v>
      </c>
      <c r="P395" s="20">
        <v>3</v>
      </c>
      <c r="Q395" s="13">
        <v>0.57799999999999996</v>
      </c>
      <c r="R395" s="20" t="s">
        <v>249</v>
      </c>
      <c r="S395" s="20">
        <v>0.32</v>
      </c>
      <c r="T395" s="20" t="s">
        <v>248</v>
      </c>
      <c r="U395" s="20" t="s">
        <v>20</v>
      </c>
      <c r="V395" s="20">
        <v>3</v>
      </c>
      <c r="W395" s="20">
        <v>4</v>
      </c>
      <c r="X395" s="20" t="s">
        <v>490</v>
      </c>
      <c r="Y395" s="20" t="s">
        <v>292</v>
      </c>
      <c r="Z395" s="20" t="s">
        <v>448</v>
      </c>
      <c r="AA395" s="20" t="s">
        <v>491</v>
      </c>
    </row>
    <row r="396" spans="1:27" x14ac:dyDescent="0.2">
      <c r="A396" s="20" t="s">
        <v>227</v>
      </c>
      <c r="B396" s="20" t="s">
        <v>328</v>
      </c>
      <c r="C396" s="20" t="s">
        <v>27</v>
      </c>
      <c r="D396" s="20" t="s">
        <v>24</v>
      </c>
      <c r="E396" s="20" t="s">
        <v>457</v>
      </c>
      <c r="F396" s="20" t="s">
        <v>24</v>
      </c>
      <c r="G396" s="20">
        <v>3</v>
      </c>
      <c r="H396" s="20">
        <v>4</v>
      </c>
      <c r="I396" s="13">
        <v>0.64200000000000002</v>
      </c>
      <c r="J396" s="20" t="s">
        <v>249</v>
      </c>
      <c r="K396" s="18">
        <v>0.35899999999999999</v>
      </c>
      <c r="L396" s="20" t="s">
        <v>249</v>
      </c>
      <c r="M396" s="20" t="s">
        <v>405</v>
      </c>
      <c r="N396" s="20" t="s">
        <v>24</v>
      </c>
      <c r="O396" s="20">
        <v>2</v>
      </c>
      <c r="P396" s="20">
        <v>4</v>
      </c>
      <c r="Q396" s="13">
        <v>0.70699999999999996</v>
      </c>
      <c r="R396" s="20" t="s">
        <v>249</v>
      </c>
      <c r="S396" s="20">
        <v>0.55000000000000004</v>
      </c>
      <c r="T396" s="20" t="s">
        <v>249</v>
      </c>
      <c r="U396" s="20" t="s">
        <v>27</v>
      </c>
      <c r="V396" s="20">
        <v>5</v>
      </c>
      <c r="W396" s="20">
        <v>3</v>
      </c>
      <c r="X396" s="20" t="s">
        <v>490</v>
      </c>
      <c r="Y396" s="20" t="s">
        <v>292</v>
      </c>
      <c r="Z396" s="20" t="s">
        <v>448</v>
      </c>
      <c r="AA396" s="20" t="s">
        <v>491</v>
      </c>
    </row>
    <row r="397" spans="1:27" x14ac:dyDescent="0.2">
      <c r="A397" s="20" t="s">
        <v>227</v>
      </c>
      <c r="B397" s="20" t="s">
        <v>324</v>
      </c>
      <c r="C397" s="20" t="s">
        <v>23</v>
      </c>
      <c r="D397" s="20" t="s">
        <v>34</v>
      </c>
      <c r="E397" s="20" t="s">
        <v>456</v>
      </c>
      <c r="F397" s="20" t="s">
        <v>34</v>
      </c>
      <c r="G397" s="20">
        <v>3</v>
      </c>
      <c r="H397" s="20">
        <v>4</v>
      </c>
      <c r="I397" s="13">
        <v>0.70699999999999996</v>
      </c>
      <c r="J397" s="20" t="s">
        <v>249</v>
      </c>
      <c r="K397" s="18">
        <v>0.40600000000000003</v>
      </c>
      <c r="L397" s="20" t="s">
        <v>249</v>
      </c>
      <c r="M397" s="20" t="s">
        <v>917</v>
      </c>
      <c r="N397" s="20" t="s">
        <v>34</v>
      </c>
      <c r="O397" s="20">
        <v>2</v>
      </c>
      <c r="P397" s="20">
        <v>4</v>
      </c>
      <c r="Q397" s="13">
        <v>0.65100000000000002</v>
      </c>
      <c r="R397" s="20" t="s">
        <v>249</v>
      </c>
      <c r="S397" s="20">
        <v>0.83</v>
      </c>
      <c r="T397" s="20" t="s">
        <v>249</v>
      </c>
      <c r="U397" s="20" t="s">
        <v>23</v>
      </c>
      <c r="V397" s="20">
        <v>3</v>
      </c>
      <c r="W397" s="20">
        <v>2</v>
      </c>
      <c r="X397" s="20" t="s">
        <v>496</v>
      </c>
      <c r="Y397" s="20" t="s">
        <v>292</v>
      </c>
      <c r="Z397" s="20" t="s">
        <v>448</v>
      </c>
      <c r="AA397" s="20" t="s">
        <v>491</v>
      </c>
    </row>
    <row r="398" spans="1:27" x14ac:dyDescent="0.2">
      <c r="A398" s="20" t="s">
        <v>227</v>
      </c>
      <c r="B398" s="20" t="s">
        <v>322</v>
      </c>
      <c r="C398" s="20" t="s">
        <v>38</v>
      </c>
      <c r="D398" s="20" t="s">
        <v>13</v>
      </c>
      <c r="E398" s="20" t="s">
        <v>455</v>
      </c>
      <c r="F398" s="20" t="s">
        <v>38</v>
      </c>
      <c r="G398" s="20">
        <v>4</v>
      </c>
      <c r="H398" s="20">
        <v>2</v>
      </c>
      <c r="I398" s="13">
        <v>0.51700000000000002</v>
      </c>
      <c r="J398" s="20" t="s">
        <v>249</v>
      </c>
      <c r="K398" s="18">
        <v>0.27600000000000002</v>
      </c>
      <c r="L398" s="20" t="s">
        <v>249</v>
      </c>
      <c r="M398" s="20" t="s">
        <v>918</v>
      </c>
      <c r="N398" s="20" t="s">
        <v>13</v>
      </c>
      <c r="O398" s="20">
        <v>2</v>
      </c>
      <c r="P398" s="20">
        <v>4</v>
      </c>
      <c r="Q398" s="13">
        <v>0.60199999999999998</v>
      </c>
      <c r="R398" s="20" t="s">
        <v>249</v>
      </c>
      <c r="S398" s="20">
        <v>0.71</v>
      </c>
      <c r="T398" s="20" t="s">
        <v>248</v>
      </c>
      <c r="U398" s="20" t="s">
        <v>13</v>
      </c>
      <c r="V398" s="20">
        <v>1</v>
      </c>
      <c r="W398" s="20">
        <v>2</v>
      </c>
      <c r="X398" s="20" t="s">
        <v>496</v>
      </c>
      <c r="Y398" s="20" t="s">
        <v>292</v>
      </c>
      <c r="Z398" s="20" t="s">
        <v>448</v>
      </c>
      <c r="AA398" s="20" t="s">
        <v>491</v>
      </c>
    </row>
    <row r="399" spans="1:27" x14ac:dyDescent="0.2">
      <c r="A399" s="20" t="s">
        <v>227</v>
      </c>
      <c r="B399" s="20" t="s">
        <v>453</v>
      </c>
      <c r="C399" s="20" t="s">
        <v>18</v>
      </c>
      <c r="D399" s="20" t="s">
        <v>12</v>
      </c>
      <c r="E399" s="20" t="s">
        <v>454</v>
      </c>
      <c r="F399" s="20" t="s">
        <v>12</v>
      </c>
      <c r="G399" s="20">
        <v>2</v>
      </c>
      <c r="H399" s="20">
        <v>3</v>
      </c>
      <c r="I399" s="13">
        <v>0.88</v>
      </c>
      <c r="J399" s="20" t="s">
        <v>248</v>
      </c>
      <c r="K399" s="18">
        <v>0.54900000000000004</v>
      </c>
      <c r="L399" s="20" t="s">
        <v>248</v>
      </c>
      <c r="M399" s="20" t="s">
        <v>361</v>
      </c>
      <c r="N399" s="20" t="s">
        <v>12</v>
      </c>
      <c r="O399" s="20">
        <v>1</v>
      </c>
      <c r="P399" s="20">
        <v>5</v>
      </c>
      <c r="Q399" s="13">
        <v>0.80500000000000005</v>
      </c>
      <c r="R399" s="20" t="s">
        <v>249</v>
      </c>
      <c r="S399" s="20">
        <v>2.08</v>
      </c>
      <c r="T399" s="20" t="s">
        <v>248</v>
      </c>
      <c r="U399" s="20" t="s">
        <v>12</v>
      </c>
      <c r="V399" s="20">
        <v>2</v>
      </c>
      <c r="W399" s="20">
        <v>7</v>
      </c>
      <c r="X399" s="20" t="s">
        <v>490</v>
      </c>
      <c r="Y399" s="20" t="s">
        <v>292</v>
      </c>
      <c r="Z399" s="20" t="s">
        <v>448</v>
      </c>
      <c r="AA399" s="20" t="s">
        <v>491</v>
      </c>
    </row>
    <row r="400" spans="1:27" x14ac:dyDescent="0.2">
      <c r="A400" s="20" t="s">
        <v>227</v>
      </c>
      <c r="B400" s="20" t="s">
        <v>328</v>
      </c>
      <c r="C400" s="20" t="s">
        <v>26</v>
      </c>
      <c r="D400" s="20" t="s">
        <v>21</v>
      </c>
      <c r="E400" s="20" t="s">
        <v>452</v>
      </c>
      <c r="F400" s="20" t="s">
        <v>21</v>
      </c>
      <c r="G400" s="20">
        <v>3</v>
      </c>
      <c r="H400" s="20">
        <v>4</v>
      </c>
      <c r="I400" s="13">
        <v>0.64900000000000002</v>
      </c>
      <c r="J400" s="20" t="s">
        <v>249</v>
      </c>
      <c r="K400" s="18">
        <v>0.433</v>
      </c>
      <c r="L400" s="20" t="s">
        <v>248</v>
      </c>
      <c r="M400" s="20" t="s">
        <v>465</v>
      </c>
      <c r="N400" s="20" t="s">
        <v>21</v>
      </c>
      <c r="O400" s="20">
        <v>2</v>
      </c>
      <c r="P400" s="20">
        <v>4</v>
      </c>
      <c r="Q400" s="13">
        <v>0.63800000000000001</v>
      </c>
      <c r="R400" s="20" t="s">
        <v>249</v>
      </c>
      <c r="S400" s="20">
        <v>0.74</v>
      </c>
      <c r="T400" s="20" t="s">
        <v>248</v>
      </c>
      <c r="U400" s="20" t="s">
        <v>21</v>
      </c>
      <c r="V400" s="20">
        <v>2</v>
      </c>
      <c r="W400" s="20">
        <v>3</v>
      </c>
      <c r="X400" s="20" t="s">
        <v>496</v>
      </c>
      <c r="Y400" s="20" t="s">
        <v>292</v>
      </c>
      <c r="Z400" s="20" t="s">
        <v>448</v>
      </c>
      <c r="AA400" s="20" t="s">
        <v>491</v>
      </c>
    </row>
    <row r="401" spans="1:27" x14ac:dyDescent="0.2">
      <c r="A401" s="20" t="s">
        <v>227</v>
      </c>
      <c r="B401" s="20" t="s">
        <v>328</v>
      </c>
      <c r="C401" s="20" t="s">
        <v>40</v>
      </c>
      <c r="D401" s="20" t="s">
        <v>29</v>
      </c>
      <c r="E401" s="20" t="s">
        <v>458</v>
      </c>
      <c r="F401" s="20" t="s">
        <v>40</v>
      </c>
      <c r="G401" s="20">
        <v>4</v>
      </c>
      <c r="H401" s="20">
        <v>3</v>
      </c>
      <c r="I401" s="13">
        <v>0.70499999999999996</v>
      </c>
      <c r="J401" s="20" t="s">
        <v>248</v>
      </c>
      <c r="K401" s="18">
        <v>0.53300000000000003</v>
      </c>
      <c r="L401" s="20" t="s">
        <v>248</v>
      </c>
      <c r="M401" s="20" t="s">
        <v>315</v>
      </c>
      <c r="N401" s="20" t="s">
        <v>40</v>
      </c>
      <c r="O401" s="20">
        <v>4</v>
      </c>
      <c r="P401" s="20">
        <v>2</v>
      </c>
      <c r="Q401" s="13">
        <v>0.6</v>
      </c>
      <c r="R401" s="20" t="s">
        <v>249</v>
      </c>
      <c r="S401" s="20">
        <v>-1.02</v>
      </c>
      <c r="T401" s="20" t="s">
        <v>248</v>
      </c>
      <c r="U401" s="20" t="s">
        <v>40</v>
      </c>
      <c r="V401" s="20">
        <v>5</v>
      </c>
      <c r="W401" s="20">
        <v>2</v>
      </c>
      <c r="X401" s="20" t="s">
        <v>490</v>
      </c>
      <c r="Y401" s="20" t="s">
        <v>292</v>
      </c>
      <c r="Z401" s="20" t="s">
        <v>448</v>
      </c>
      <c r="AA401" s="20" t="s">
        <v>491</v>
      </c>
    </row>
    <row r="402" spans="1:27" x14ac:dyDescent="0.2">
      <c r="A402" s="20" t="s">
        <v>227</v>
      </c>
      <c r="B402" s="20" t="s">
        <v>369</v>
      </c>
      <c r="C402" s="20" t="s">
        <v>17</v>
      </c>
      <c r="D402" s="20" t="s">
        <v>32</v>
      </c>
      <c r="E402" s="20" t="s">
        <v>462</v>
      </c>
      <c r="F402" s="20" t="s">
        <v>32</v>
      </c>
      <c r="G402" s="20">
        <v>4</v>
      </c>
      <c r="H402" s="20">
        <v>5</v>
      </c>
      <c r="I402" s="13">
        <v>0.71599999999999997</v>
      </c>
      <c r="J402" s="20" t="s">
        <v>249</v>
      </c>
      <c r="K402" s="18">
        <v>0.308</v>
      </c>
      <c r="L402" s="20" t="s">
        <v>249</v>
      </c>
      <c r="M402" s="20" t="s">
        <v>919</v>
      </c>
      <c r="N402" s="20" t="s">
        <v>32</v>
      </c>
      <c r="O402" s="20">
        <v>2</v>
      </c>
      <c r="P402" s="20">
        <v>4</v>
      </c>
      <c r="Q402" s="13">
        <v>0.61199999999999999</v>
      </c>
      <c r="R402" s="20" t="s">
        <v>249</v>
      </c>
      <c r="S402" s="20">
        <v>0.59</v>
      </c>
      <c r="T402" s="20" t="s">
        <v>249</v>
      </c>
      <c r="U402" s="20" t="s">
        <v>17</v>
      </c>
      <c r="V402" s="20">
        <v>4</v>
      </c>
      <c r="W402" s="20">
        <v>0</v>
      </c>
      <c r="X402" s="20" t="s">
        <v>490</v>
      </c>
      <c r="Y402" s="20" t="s">
        <v>292</v>
      </c>
      <c r="Z402" s="20" t="s">
        <v>448</v>
      </c>
      <c r="AA402" s="20" t="s">
        <v>491</v>
      </c>
    </row>
    <row r="403" spans="1:27" x14ac:dyDescent="0.2">
      <c r="A403" s="20" t="s">
        <v>228</v>
      </c>
      <c r="B403" s="20" t="s">
        <v>365</v>
      </c>
      <c r="C403" s="20" t="s">
        <v>16</v>
      </c>
      <c r="D403" s="20" t="s">
        <v>25</v>
      </c>
      <c r="E403" s="20" t="s">
        <v>467</v>
      </c>
      <c r="F403" s="20" t="s">
        <v>25</v>
      </c>
      <c r="G403" s="20">
        <v>2</v>
      </c>
      <c r="H403" s="20">
        <v>4</v>
      </c>
      <c r="I403" s="13">
        <v>0.77100000000000002</v>
      </c>
      <c r="J403" s="20" t="s">
        <v>249</v>
      </c>
      <c r="K403" s="18">
        <v>0.29799999999999999</v>
      </c>
      <c r="L403" s="20" t="s">
        <v>248</v>
      </c>
      <c r="M403" s="20" t="s">
        <v>450</v>
      </c>
      <c r="N403" s="20" t="s">
        <v>25</v>
      </c>
      <c r="O403" s="20">
        <v>2</v>
      </c>
      <c r="P403" s="20">
        <v>5</v>
      </c>
      <c r="Q403" s="13">
        <v>0.76700000000000002</v>
      </c>
      <c r="R403" s="20" t="s">
        <v>249</v>
      </c>
      <c r="S403" s="20">
        <v>1.57</v>
      </c>
      <c r="T403" s="20" t="s">
        <v>248</v>
      </c>
      <c r="U403" s="20" t="s">
        <v>25</v>
      </c>
      <c r="V403" s="20">
        <v>0</v>
      </c>
      <c r="W403" s="20">
        <v>1</v>
      </c>
      <c r="X403" s="20" t="s">
        <v>496</v>
      </c>
      <c r="Y403" s="20" t="s">
        <v>292</v>
      </c>
      <c r="Z403" s="20" t="s">
        <v>466</v>
      </c>
      <c r="AA403" s="20" t="s">
        <v>491</v>
      </c>
    </row>
    <row r="404" spans="1:27" x14ac:dyDescent="0.2">
      <c r="A404" s="20" t="s">
        <v>228</v>
      </c>
      <c r="B404" s="20" t="s">
        <v>352</v>
      </c>
      <c r="C404" s="20" t="s">
        <v>31</v>
      </c>
      <c r="D404" s="20" t="s">
        <v>10</v>
      </c>
      <c r="E404" s="20" t="s">
        <v>468</v>
      </c>
      <c r="F404" s="20" t="s">
        <v>31</v>
      </c>
      <c r="G404" s="20">
        <v>5</v>
      </c>
      <c r="H404" s="20">
        <v>4</v>
      </c>
      <c r="I404" s="13">
        <v>0.78800000000000003</v>
      </c>
      <c r="J404" s="20" t="s">
        <v>249</v>
      </c>
      <c r="K404" s="18">
        <v>0.20899999999999999</v>
      </c>
      <c r="L404" s="20" t="s">
        <v>249</v>
      </c>
      <c r="M404" s="20" t="s">
        <v>611</v>
      </c>
      <c r="N404" s="20" t="s">
        <v>31</v>
      </c>
      <c r="O404" s="20">
        <v>3</v>
      </c>
      <c r="P404" s="20">
        <v>2</v>
      </c>
      <c r="Q404" s="13">
        <v>0.53200000000000003</v>
      </c>
      <c r="R404" s="20" t="s">
        <v>249</v>
      </c>
      <c r="S404" s="20">
        <v>-0.43</v>
      </c>
      <c r="T404" s="20" t="s">
        <v>249</v>
      </c>
      <c r="U404" s="20" t="s">
        <v>10</v>
      </c>
      <c r="V404" s="20">
        <v>3</v>
      </c>
      <c r="W404" s="20">
        <v>5</v>
      </c>
      <c r="X404" s="20" t="s">
        <v>490</v>
      </c>
      <c r="Y404" s="20" t="s">
        <v>292</v>
      </c>
      <c r="Z404" s="20" t="s">
        <v>466</v>
      </c>
      <c r="AA404" s="20" t="s">
        <v>491</v>
      </c>
    </row>
    <row r="405" spans="1:27" x14ac:dyDescent="0.2">
      <c r="A405" s="20" t="s">
        <v>228</v>
      </c>
      <c r="B405" s="20" t="s">
        <v>469</v>
      </c>
      <c r="C405" s="20" t="s">
        <v>36</v>
      </c>
      <c r="D405" s="20" t="s">
        <v>39</v>
      </c>
      <c r="E405" s="20" t="s">
        <v>470</v>
      </c>
      <c r="F405" s="20" t="s">
        <v>39</v>
      </c>
      <c r="G405" s="20">
        <v>3</v>
      </c>
      <c r="H405" s="20">
        <v>4</v>
      </c>
      <c r="I405" s="13">
        <v>0.73099999999999998</v>
      </c>
      <c r="J405" s="20" t="s">
        <v>249</v>
      </c>
      <c r="K405" s="18">
        <v>0.307</v>
      </c>
      <c r="L405" s="20" t="s">
        <v>248</v>
      </c>
      <c r="M405" s="20" t="s">
        <v>398</v>
      </c>
      <c r="N405" s="20" t="s">
        <v>39</v>
      </c>
      <c r="O405" s="20">
        <v>2</v>
      </c>
      <c r="P405" s="20">
        <v>4</v>
      </c>
      <c r="Q405" s="13">
        <v>0.63900000000000001</v>
      </c>
      <c r="R405" s="20" t="s">
        <v>249</v>
      </c>
      <c r="S405" s="20">
        <v>0.68</v>
      </c>
      <c r="T405" s="20" t="s">
        <v>248</v>
      </c>
      <c r="U405" s="20" t="s">
        <v>39</v>
      </c>
      <c r="V405" s="20">
        <v>1</v>
      </c>
      <c r="W405" s="20">
        <v>6</v>
      </c>
      <c r="X405" s="20" t="s">
        <v>490</v>
      </c>
      <c r="Y405" s="20" t="s">
        <v>292</v>
      </c>
      <c r="Z405" s="20" t="s">
        <v>466</v>
      </c>
      <c r="AA405" s="20" t="s">
        <v>491</v>
      </c>
    </row>
    <row r="406" spans="1:27" x14ac:dyDescent="0.2">
      <c r="A406" s="20" t="s">
        <v>228</v>
      </c>
      <c r="B406" s="20" t="s">
        <v>347</v>
      </c>
      <c r="C406" s="20" t="s">
        <v>22</v>
      </c>
      <c r="D406" s="20" t="s">
        <v>30</v>
      </c>
      <c r="E406" s="20" t="s">
        <v>471</v>
      </c>
      <c r="F406" s="20" t="s">
        <v>22</v>
      </c>
      <c r="G406" s="20">
        <v>4</v>
      </c>
      <c r="H406" s="20">
        <v>3</v>
      </c>
      <c r="I406" s="13">
        <v>0.78800000000000003</v>
      </c>
      <c r="J406" s="20" t="s">
        <v>248</v>
      </c>
      <c r="K406" s="18">
        <v>0.61799999999999999</v>
      </c>
      <c r="L406" s="20" t="s">
        <v>248</v>
      </c>
      <c r="M406" s="20" t="s">
        <v>321</v>
      </c>
      <c r="N406" s="20" t="s">
        <v>22</v>
      </c>
      <c r="O406" s="20">
        <v>3</v>
      </c>
      <c r="P406" s="20">
        <v>2</v>
      </c>
      <c r="Q406" s="13">
        <v>0.53200000000000003</v>
      </c>
      <c r="R406" s="20" t="s">
        <v>249</v>
      </c>
      <c r="S406" s="20">
        <v>-0.43</v>
      </c>
      <c r="T406" s="20" t="s">
        <v>248</v>
      </c>
      <c r="U406" s="20" t="s">
        <v>22</v>
      </c>
      <c r="V406" s="20">
        <v>4</v>
      </c>
      <c r="W406" s="20">
        <v>1</v>
      </c>
      <c r="X406" s="20" t="s">
        <v>490</v>
      </c>
      <c r="Y406" s="20" t="s">
        <v>292</v>
      </c>
      <c r="Z406" s="20" t="s">
        <v>466</v>
      </c>
      <c r="AA406" s="20" t="s">
        <v>491</v>
      </c>
    </row>
    <row r="407" spans="1:27" x14ac:dyDescent="0.2">
      <c r="A407" s="20" t="s">
        <v>229</v>
      </c>
      <c r="B407" s="20" t="s">
        <v>334</v>
      </c>
      <c r="C407" s="20" t="s">
        <v>40</v>
      </c>
      <c r="D407" s="20" t="s">
        <v>23</v>
      </c>
      <c r="E407" s="20" t="s">
        <v>472</v>
      </c>
      <c r="F407" s="20" t="s">
        <v>23</v>
      </c>
      <c r="G407" s="20">
        <v>3</v>
      </c>
      <c r="H407" s="20">
        <v>4</v>
      </c>
      <c r="I407" s="13">
        <v>0.61</v>
      </c>
      <c r="J407" s="20" t="s">
        <v>249</v>
      </c>
      <c r="K407" s="18">
        <v>0.40400000000000003</v>
      </c>
      <c r="L407" s="20" t="s">
        <v>248</v>
      </c>
      <c r="M407" s="20" t="s">
        <v>296</v>
      </c>
      <c r="N407" s="20" t="s">
        <v>40</v>
      </c>
      <c r="O407" s="20">
        <v>3</v>
      </c>
      <c r="P407" s="20">
        <v>2</v>
      </c>
      <c r="Q407" s="13">
        <v>0.55300000000000005</v>
      </c>
      <c r="R407" s="20" t="s">
        <v>249</v>
      </c>
      <c r="S407" s="20">
        <v>-0.44</v>
      </c>
      <c r="T407" s="20" t="s">
        <v>249</v>
      </c>
      <c r="U407" s="20" t="s">
        <v>23</v>
      </c>
      <c r="V407" s="20">
        <v>1</v>
      </c>
      <c r="W407" s="20">
        <v>5</v>
      </c>
      <c r="X407" s="20" t="s">
        <v>490</v>
      </c>
      <c r="Y407" s="20" t="s">
        <v>292</v>
      </c>
      <c r="Z407" s="20" t="s">
        <v>473</v>
      </c>
      <c r="AA407" s="20" t="s">
        <v>491</v>
      </c>
    </row>
    <row r="408" spans="1:27" x14ac:dyDescent="0.2">
      <c r="A408" s="20" t="s">
        <v>229</v>
      </c>
      <c r="B408" s="20" t="s">
        <v>328</v>
      </c>
      <c r="C408" s="20" t="s">
        <v>28</v>
      </c>
      <c r="D408" s="20" t="s">
        <v>24</v>
      </c>
      <c r="E408" s="20" t="s">
        <v>474</v>
      </c>
      <c r="F408" s="20" t="s">
        <v>24</v>
      </c>
      <c r="G408" s="20">
        <v>4</v>
      </c>
      <c r="H408" s="20">
        <v>5</v>
      </c>
      <c r="I408" s="13">
        <v>0.79800000000000004</v>
      </c>
      <c r="J408" s="20" t="s">
        <v>249</v>
      </c>
      <c r="K408" s="18">
        <v>0.28899999999999998</v>
      </c>
      <c r="L408" s="20" t="s">
        <v>249</v>
      </c>
      <c r="M408" s="20" t="s">
        <v>920</v>
      </c>
      <c r="N408" s="20" t="s">
        <v>24</v>
      </c>
      <c r="O408" s="20">
        <v>2</v>
      </c>
      <c r="P408" s="20">
        <v>4</v>
      </c>
      <c r="Q408" s="13">
        <v>0.74399999999999999</v>
      </c>
      <c r="R408" s="20" t="s">
        <v>249</v>
      </c>
      <c r="S408" s="20">
        <v>0.86</v>
      </c>
      <c r="T408" s="20" t="s">
        <v>249</v>
      </c>
      <c r="U408" s="20" t="s">
        <v>28</v>
      </c>
      <c r="V408" s="20">
        <v>5</v>
      </c>
      <c r="W408" s="20">
        <v>3</v>
      </c>
      <c r="X408" s="20" t="s">
        <v>490</v>
      </c>
      <c r="Y408" s="20" t="s">
        <v>292</v>
      </c>
      <c r="Z408" s="20" t="s">
        <v>473</v>
      </c>
      <c r="AA408" s="20" t="s">
        <v>491</v>
      </c>
    </row>
    <row r="409" spans="1:27" x14ac:dyDescent="0.2">
      <c r="A409" s="20" t="s">
        <v>229</v>
      </c>
      <c r="B409" s="20" t="s">
        <v>328</v>
      </c>
      <c r="C409" s="20" t="s">
        <v>14</v>
      </c>
      <c r="D409" s="20" t="s">
        <v>27</v>
      </c>
      <c r="E409" s="20" t="s">
        <v>475</v>
      </c>
      <c r="F409" s="20" t="s">
        <v>27</v>
      </c>
      <c r="G409" s="20">
        <v>2</v>
      </c>
      <c r="H409" s="20">
        <v>3</v>
      </c>
      <c r="I409" s="13">
        <v>0.52700000000000002</v>
      </c>
      <c r="J409" s="20" t="s">
        <v>248</v>
      </c>
      <c r="K409" s="18">
        <v>0.59</v>
      </c>
      <c r="L409" s="20" t="s">
        <v>249</v>
      </c>
      <c r="M409" s="20" t="s">
        <v>921</v>
      </c>
      <c r="N409" s="20" t="s">
        <v>27</v>
      </c>
      <c r="O409" s="20">
        <v>2</v>
      </c>
      <c r="P409" s="20">
        <v>3</v>
      </c>
      <c r="Q409" s="13">
        <v>0.57099999999999995</v>
      </c>
      <c r="R409" s="20" t="s">
        <v>248</v>
      </c>
      <c r="S409" s="20">
        <v>0.16</v>
      </c>
      <c r="T409" s="20" t="s">
        <v>249</v>
      </c>
      <c r="U409" s="20" t="s">
        <v>14</v>
      </c>
      <c r="V409" s="20">
        <v>5</v>
      </c>
      <c r="W409" s="20">
        <v>1</v>
      </c>
      <c r="X409" s="20" t="s">
        <v>490</v>
      </c>
      <c r="Y409" s="20" t="s">
        <v>292</v>
      </c>
      <c r="Z409" s="20" t="s">
        <v>473</v>
      </c>
      <c r="AA409" s="20" t="s">
        <v>491</v>
      </c>
    </row>
    <row r="410" spans="1:27" x14ac:dyDescent="0.2">
      <c r="A410" s="20" t="s">
        <v>229</v>
      </c>
      <c r="B410" s="20" t="s">
        <v>322</v>
      </c>
      <c r="C410" s="20" t="s">
        <v>55</v>
      </c>
      <c r="D410" s="20" t="s">
        <v>33</v>
      </c>
      <c r="E410" s="20" t="s">
        <v>308</v>
      </c>
      <c r="F410" s="20" t="s">
        <v>33</v>
      </c>
      <c r="G410" s="20">
        <v>2</v>
      </c>
      <c r="H410" s="20">
        <v>3</v>
      </c>
      <c r="I410" s="13">
        <v>0.78100000000000003</v>
      </c>
      <c r="J410" s="20" t="s">
        <v>248</v>
      </c>
      <c r="K410" s="18">
        <v>0.61499999999999999</v>
      </c>
      <c r="L410" s="20" t="s">
        <v>248</v>
      </c>
      <c r="M410" s="20" t="s">
        <v>309</v>
      </c>
      <c r="N410" s="20" t="s">
        <v>55</v>
      </c>
      <c r="O410" s="20">
        <v>3</v>
      </c>
      <c r="P410" s="20">
        <v>2</v>
      </c>
      <c r="Q410" s="13">
        <v>0.48399999999999999</v>
      </c>
      <c r="R410" s="20" t="s">
        <v>248</v>
      </c>
      <c r="S410" s="20">
        <v>-0.2</v>
      </c>
      <c r="T410" s="20" t="s">
        <v>249</v>
      </c>
      <c r="U410" s="20" t="s">
        <v>33</v>
      </c>
      <c r="V410" s="20">
        <v>3</v>
      </c>
      <c r="W410" s="20">
        <v>6</v>
      </c>
      <c r="X410" s="20" t="s">
        <v>490</v>
      </c>
      <c r="Y410" s="20" t="s">
        <v>292</v>
      </c>
      <c r="Z410" s="20" t="s">
        <v>473</v>
      </c>
      <c r="AA410" s="20" t="s">
        <v>491</v>
      </c>
    </row>
    <row r="411" spans="1:27" x14ac:dyDescent="0.2">
      <c r="A411" s="20" t="s">
        <v>229</v>
      </c>
      <c r="B411" s="20" t="s">
        <v>324</v>
      </c>
      <c r="C411" s="20" t="s">
        <v>31</v>
      </c>
      <c r="D411" s="20" t="s">
        <v>35</v>
      </c>
      <c r="E411" s="20" t="s">
        <v>476</v>
      </c>
      <c r="F411" s="20" t="s">
        <v>31</v>
      </c>
      <c r="G411" s="20">
        <v>4</v>
      </c>
      <c r="H411" s="20">
        <v>3</v>
      </c>
      <c r="I411" s="13">
        <v>0.66100000000000003</v>
      </c>
      <c r="J411" s="20" t="s">
        <v>249</v>
      </c>
      <c r="K411" s="18">
        <v>0.309</v>
      </c>
      <c r="L411" s="20" t="s">
        <v>248</v>
      </c>
      <c r="M411" s="20" t="s">
        <v>291</v>
      </c>
      <c r="N411" s="20" t="s">
        <v>31</v>
      </c>
      <c r="O411" s="20">
        <v>4</v>
      </c>
      <c r="P411" s="20">
        <v>2</v>
      </c>
      <c r="Q411" s="13">
        <v>0.63</v>
      </c>
      <c r="R411" s="20" t="s">
        <v>249</v>
      </c>
      <c r="S411" s="20">
        <v>-1.4</v>
      </c>
      <c r="T411" s="20" t="s">
        <v>248</v>
      </c>
      <c r="U411" s="20" t="s">
        <v>31</v>
      </c>
      <c r="V411" s="20">
        <v>4</v>
      </c>
      <c r="W411" s="20">
        <v>1</v>
      </c>
      <c r="X411" s="20" t="s">
        <v>490</v>
      </c>
      <c r="Y411" s="20" t="s">
        <v>292</v>
      </c>
      <c r="Z411" s="20" t="s">
        <v>473</v>
      </c>
      <c r="AA411" s="20" t="s">
        <v>491</v>
      </c>
    </row>
    <row r="412" spans="1:27" x14ac:dyDescent="0.2">
      <c r="A412" s="20" t="s">
        <v>230</v>
      </c>
      <c r="B412" s="20" t="s">
        <v>328</v>
      </c>
      <c r="C412" s="20" t="s">
        <v>39</v>
      </c>
      <c r="D412" s="20" t="s">
        <v>15</v>
      </c>
      <c r="E412" s="20" t="s">
        <v>486</v>
      </c>
      <c r="F412" s="20" t="s">
        <v>39</v>
      </c>
      <c r="G412" s="20">
        <v>5</v>
      </c>
      <c r="H412" s="20">
        <v>3</v>
      </c>
      <c r="I412" s="13">
        <v>0.69599999999999995</v>
      </c>
      <c r="J412" s="20" t="s">
        <v>249</v>
      </c>
      <c r="K412" s="18">
        <v>0.22800000000000001</v>
      </c>
      <c r="L412" s="20" t="s">
        <v>60</v>
      </c>
      <c r="M412" s="20" t="s">
        <v>60</v>
      </c>
      <c r="N412" s="20" t="s">
        <v>39</v>
      </c>
      <c r="O412" s="20">
        <v>4</v>
      </c>
      <c r="P412" s="20">
        <v>2</v>
      </c>
      <c r="Q412" s="13">
        <v>0.63800000000000001</v>
      </c>
      <c r="R412" s="20" t="s">
        <v>249</v>
      </c>
      <c r="S412" s="20">
        <v>-0.65</v>
      </c>
      <c r="T412" s="20" t="s">
        <v>60</v>
      </c>
      <c r="U412" s="20" t="s">
        <v>60</v>
      </c>
      <c r="V412" s="20"/>
      <c r="W412" s="20"/>
      <c r="X412" s="20" t="s">
        <v>60</v>
      </c>
      <c r="Y412" s="20" t="s">
        <v>412</v>
      </c>
      <c r="Z412" s="20" t="s">
        <v>477</v>
      </c>
      <c r="AA412" s="20" t="s">
        <v>60</v>
      </c>
    </row>
    <row r="413" spans="1:27" x14ac:dyDescent="0.2">
      <c r="A413" s="20" t="s">
        <v>230</v>
      </c>
      <c r="B413" s="20" t="s">
        <v>322</v>
      </c>
      <c r="C413" s="20" t="s">
        <v>10</v>
      </c>
      <c r="D413" s="20" t="s">
        <v>20</v>
      </c>
      <c r="E413" s="20" t="s">
        <v>487</v>
      </c>
      <c r="F413" s="20" t="s">
        <v>10</v>
      </c>
      <c r="G413" s="20">
        <v>5</v>
      </c>
      <c r="H413" s="20">
        <v>4</v>
      </c>
      <c r="I413" s="13">
        <v>0.61099999999999999</v>
      </c>
      <c r="J413" s="20" t="s">
        <v>249</v>
      </c>
      <c r="K413" s="18">
        <v>0.47</v>
      </c>
      <c r="L413" s="20" t="s">
        <v>60</v>
      </c>
      <c r="M413" s="20" t="s">
        <v>60</v>
      </c>
      <c r="N413" s="20" t="s">
        <v>10</v>
      </c>
      <c r="O413" s="20">
        <v>3</v>
      </c>
      <c r="P413" s="20">
        <v>2</v>
      </c>
      <c r="Q413" s="13">
        <v>0.46200000000000002</v>
      </c>
      <c r="R413" s="20" t="s">
        <v>248</v>
      </c>
      <c r="S413" s="20">
        <v>-0.02</v>
      </c>
      <c r="T413" s="20" t="s">
        <v>60</v>
      </c>
      <c r="U413" s="20" t="s">
        <v>60</v>
      </c>
      <c r="V413" s="20"/>
      <c r="W413" s="20"/>
      <c r="X413" s="20" t="s">
        <v>60</v>
      </c>
      <c r="Y413" s="20" t="s">
        <v>412</v>
      </c>
      <c r="Z413" s="20" t="s">
        <v>477</v>
      </c>
      <c r="AA413" s="20" t="s">
        <v>60</v>
      </c>
    </row>
    <row r="414" spans="1:27" x14ac:dyDescent="0.2">
      <c r="A414" s="20" t="s">
        <v>230</v>
      </c>
      <c r="B414" s="20" t="s">
        <v>326</v>
      </c>
      <c r="C414" s="20" t="s">
        <v>38</v>
      </c>
      <c r="D414" s="20" t="s">
        <v>12</v>
      </c>
      <c r="E414" s="20" t="s">
        <v>478</v>
      </c>
      <c r="F414" s="20" t="s">
        <v>12</v>
      </c>
      <c r="G414" s="20">
        <v>3</v>
      </c>
      <c r="H414" s="20">
        <v>4</v>
      </c>
      <c r="I414" s="13">
        <v>0.74</v>
      </c>
      <c r="J414" s="20" t="s">
        <v>249</v>
      </c>
      <c r="K414" s="18">
        <v>0.157</v>
      </c>
      <c r="L414" s="20" t="s">
        <v>60</v>
      </c>
      <c r="M414" s="20" t="s">
        <v>60</v>
      </c>
      <c r="N414" s="20" t="s">
        <v>12</v>
      </c>
      <c r="O414" s="20">
        <v>1</v>
      </c>
      <c r="P414" s="20">
        <v>6</v>
      </c>
      <c r="Q414" s="13">
        <v>0.94799999999999995</v>
      </c>
      <c r="R414" s="20" t="s">
        <v>249</v>
      </c>
      <c r="S414" s="20">
        <v>2.63</v>
      </c>
      <c r="T414" s="20" t="s">
        <v>60</v>
      </c>
      <c r="U414" s="20" t="s">
        <v>60</v>
      </c>
      <c r="V414" s="20"/>
      <c r="W414" s="20"/>
      <c r="X414" s="20" t="s">
        <v>60</v>
      </c>
      <c r="Y414" s="20" t="s">
        <v>412</v>
      </c>
      <c r="Z414" s="20" t="s">
        <v>477</v>
      </c>
      <c r="AA414" s="20" t="s">
        <v>60</v>
      </c>
    </row>
    <row r="415" spans="1:27" x14ac:dyDescent="0.2">
      <c r="A415" s="20" t="s">
        <v>230</v>
      </c>
      <c r="B415" s="20" t="s">
        <v>328</v>
      </c>
      <c r="C415" s="20" t="s">
        <v>21</v>
      </c>
      <c r="D415" s="20" t="s">
        <v>26</v>
      </c>
      <c r="E415" s="20" t="s">
        <v>479</v>
      </c>
      <c r="F415" s="20" t="s">
        <v>21</v>
      </c>
      <c r="G415" s="20">
        <v>4</v>
      </c>
      <c r="H415" s="20">
        <v>3</v>
      </c>
      <c r="I415" s="13">
        <v>0.51300000000000001</v>
      </c>
      <c r="J415" s="20" t="s">
        <v>249</v>
      </c>
      <c r="K415" s="18">
        <v>0.315</v>
      </c>
      <c r="L415" s="20" t="s">
        <v>60</v>
      </c>
      <c r="M415" s="20" t="s">
        <v>60</v>
      </c>
      <c r="N415" s="20" t="s">
        <v>21</v>
      </c>
      <c r="O415" s="20">
        <v>4</v>
      </c>
      <c r="P415" s="20">
        <v>2</v>
      </c>
      <c r="Q415" s="13">
        <v>0.53200000000000003</v>
      </c>
      <c r="R415" s="20" t="s">
        <v>249</v>
      </c>
      <c r="S415" s="20">
        <v>-0.61</v>
      </c>
      <c r="T415" s="20" t="s">
        <v>60</v>
      </c>
      <c r="U415" s="20" t="s">
        <v>60</v>
      </c>
      <c r="V415" s="20"/>
      <c r="W415" s="20"/>
      <c r="X415" s="20" t="s">
        <v>60</v>
      </c>
      <c r="Y415" s="20" t="s">
        <v>412</v>
      </c>
      <c r="Z415" s="20" t="s">
        <v>477</v>
      </c>
      <c r="AA415" s="20" t="s">
        <v>60</v>
      </c>
    </row>
    <row r="416" spans="1:27" x14ac:dyDescent="0.2">
      <c r="A416" s="20" t="s">
        <v>230</v>
      </c>
      <c r="B416" s="20" t="s">
        <v>326</v>
      </c>
      <c r="C416" s="20" t="s">
        <v>34</v>
      </c>
      <c r="D416" s="20" t="s">
        <v>17</v>
      </c>
      <c r="E416" s="20" t="s">
        <v>480</v>
      </c>
      <c r="F416" s="20" t="s">
        <v>17</v>
      </c>
      <c r="G416" s="20">
        <v>4</v>
      </c>
      <c r="H416" s="20">
        <v>5</v>
      </c>
      <c r="I416" s="13">
        <v>0.625</v>
      </c>
      <c r="J416" s="20" t="s">
        <v>249</v>
      </c>
      <c r="K416" s="18">
        <v>0.33</v>
      </c>
      <c r="L416" s="20" t="s">
        <v>60</v>
      </c>
      <c r="M416" s="20" t="s">
        <v>60</v>
      </c>
      <c r="N416" s="20" t="s">
        <v>34</v>
      </c>
      <c r="O416" s="20">
        <v>4</v>
      </c>
      <c r="P416" s="20">
        <v>2</v>
      </c>
      <c r="Q416" s="13">
        <v>0.57899999999999996</v>
      </c>
      <c r="R416" s="20" t="s">
        <v>249</v>
      </c>
      <c r="S416" s="20">
        <v>-0.71</v>
      </c>
      <c r="T416" s="20" t="s">
        <v>60</v>
      </c>
      <c r="U416" s="20" t="s">
        <v>60</v>
      </c>
      <c r="V416" s="20"/>
      <c r="W416" s="20"/>
      <c r="X416" s="20" t="s">
        <v>60</v>
      </c>
      <c r="Y416" s="20" t="s">
        <v>412</v>
      </c>
      <c r="Z416" s="20" t="s">
        <v>477</v>
      </c>
      <c r="AA416" s="20" t="s">
        <v>60</v>
      </c>
    </row>
    <row r="417" spans="1:27" x14ac:dyDescent="0.2">
      <c r="A417" s="20" t="s">
        <v>230</v>
      </c>
      <c r="B417" s="20" t="s">
        <v>334</v>
      </c>
      <c r="C417" s="20" t="s">
        <v>19</v>
      </c>
      <c r="D417" s="20" t="s">
        <v>11</v>
      </c>
      <c r="E417" s="20" t="s">
        <v>481</v>
      </c>
      <c r="F417" s="20" t="s">
        <v>11</v>
      </c>
      <c r="G417" s="20">
        <v>3</v>
      </c>
      <c r="H417" s="20">
        <v>4</v>
      </c>
      <c r="I417" s="13">
        <v>0.72799999999999998</v>
      </c>
      <c r="J417" s="20" t="s">
        <v>248</v>
      </c>
      <c r="K417" s="18">
        <v>0.71799999999999997</v>
      </c>
      <c r="L417" s="20" t="s">
        <v>60</v>
      </c>
      <c r="M417" s="20" t="s">
        <v>60</v>
      </c>
      <c r="N417" s="20" t="s">
        <v>11</v>
      </c>
      <c r="O417" s="20">
        <v>2</v>
      </c>
      <c r="P417" s="20">
        <v>3</v>
      </c>
      <c r="Q417" s="13">
        <v>0.58799999999999997</v>
      </c>
      <c r="R417" s="20" t="s">
        <v>248</v>
      </c>
      <c r="S417" s="20">
        <v>0.28999999999999998</v>
      </c>
      <c r="T417" s="20" t="s">
        <v>60</v>
      </c>
      <c r="U417" s="20" t="s">
        <v>60</v>
      </c>
      <c r="V417" s="20"/>
      <c r="W417" s="20"/>
      <c r="X417" s="20" t="s">
        <v>60</v>
      </c>
      <c r="Y417" s="20" t="s">
        <v>412</v>
      </c>
      <c r="Z417" s="20" t="s">
        <v>477</v>
      </c>
      <c r="AA417" s="20" t="s">
        <v>60</v>
      </c>
    </row>
    <row r="418" spans="1:27" x14ac:dyDescent="0.2">
      <c r="A418" s="20" t="s">
        <v>230</v>
      </c>
      <c r="B418" s="20" t="s">
        <v>340</v>
      </c>
      <c r="C418" s="20" t="s">
        <v>22</v>
      </c>
      <c r="D418" s="20" t="s">
        <v>13</v>
      </c>
      <c r="E418" s="20" t="s">
        <v>482</v>
      </c>
      <c r="F418" s="20" t="s">
        <v>22</v>
      </c>
      <c r="G418" s="20">
        <v>6</v>
      </c>
      <c r="H418" s="20">
        <v>5</v>
      </c>
      <c r="I418" s="13">
        <v>0.76700000000000002</v>
      </c>
      <c r="J418" s="20" t="s">
        <v>249</v>
      </c>
      <c r="K418" s="18">
        <v>0.29699999999999999</v>
      </c>
      <c r="L418" s="20" t="s">
        <v>60</v>
      </c>
      <c r="M418" s="20" t="s">
        <v>60</v>
      </c>
      <c r="N418" s="20" t="s">
        <v>22</v>
      </c>
      <c r="O418" s="20">
        <v>4</v>
      </c>
      <c r="P418" s="20">
        <v>2</v>
      </c>
      <c r="Q418" s="13">
        <v>0.58799999999999997</v>
      </c>
      <c r="R418" s="20" t="s">
        <v>249</v>
      </c>
      <c r="S418" s="20">
        <v>-0.73</v>
      </c>
      <c r="T418" s="20" t="s">
        <v>60</v>
      </c>
      <c r="U418" s="20" t="s">
        <v>60</v>
      </c>
      <c r="V418" s="20"/>
      <c r="W418" s="20"/>
      <c r="X418" s="20" t="s">
        <v>60</v>
      </c>
      <c r="Y418" s="20" t="s">
        <v>412</v>
      </c>
      <c r="Z418" s="20" t="s">
        <v>477</v>
      </c>
      <c r="AA418" s="20" t="s">
        <v>60</v>
      </c>
    </row>
    <row r="419" spans="1:27" x14ac:dyDescent="0.2">
      <c r="A419" s="20" t="s">
        <v>230</v>
      </c>
      <c r="B419" s="20" t="s">
        <v>328</v>
      </c>
      <c r="C419" s="20" t="s">
        <v>36</v>
      </c>
      <c r="D419" s="20" t="s">
        <v>18</v>
      </c>
      <c r="E419" s="20" t="s">
        <v>483</v>
      </c>
      <c r="F419" s="20" t="s">
        <v>36</v>
      </c>
      <c r="G419" s="20">
        <v>4</v>
      </c>
      <c r="H419" s="20">
        <v>3</v>
      </c>
      <c r="I419" s="13">
        <v>0.67800000000000005</v>
      </c>
      <c r="J419" s="20" t="s">
        <v>248</v>
      </c>
      <c r="K419" s="18">
        <v>0.65100000000000002</v>
      </c>
      <c r="L419" s="20" t="s">
        <v>60</v>
      </c>
      <c r="M419" s="20" t="s">
        <v>60</v>
      </c>
      <c r="N419" s="20" t="s">
        <v>36</v>
      </c>
      <c r="O419" s="20">
        <v>3</v>
      </c>
      <c r="P419" s="20">
        <v>2</v>
      </c>
      <c r="Q419" s="13">
        <v>0.46100000000000002</v>
      </c>
      <c r="R419" s="20" t="s">
        <v>248</v>
      </c>
      <c r="S419" s="20">
        <v>-0.01</v>
      </c>
      <c r="T419" s="20" t="s">
        <v>60</v>
      </c>
      <c r="U419" s="20" t="s">
        <v>60</v>
      </c>
      <c r="V419" s="20"/>
      <c r="W419" s="20"/>
      <c r="X419" s="20" t="s">
        <v>60</v>
      </c>
      <c r="Y419" s="20" t="s">
        <v>412</v>
      </c>
      <c r="Z419" s="20" t="s">
        <v>477</v>
      </c>
      <c r="AA419" s="20" t="s">
        <v>60</v>
      </c>
    </row>
    <row r="420" spans="1:27" x14ac:dyDescent="0.2">
      <c r="A420" s="20" t="s">
        <v>230</v>
      </c>
      <c r="B420" s="20" t="s">
        <v>324</v>
      </c>
      <c r="C420" s="20" t="s">
        <v>16</v>
      </c>
      <c r="D420" s="20" t="s">
        <v>29</v>
      </c>
      <c r="E420" s="20" t="s">
        <v>484</v>
      </c>
      <c r="F420" s="20" t="s">
        <v>16</v>
      </c>
      <c r="G420" s="20">
        <v>4</v>
      </c>
      <c r="H420" s="20">
        <v>3</v>
      </c>
      <c r="I420" s="13">
        <v>0.73</v>
      </c>
      <c r="J420" s="20" t="s">
        <v>248</v>
      </c>
      <c r="K420" s="18">
        <v>0.72099999999999997</v>
      </c>
      <c r="L420" s="20" t="s">
        <v>60</v>
      </c>
      <c r="M420" s="20" t="s">
        <v>60</v>
      </c>
      <c r="N420" s="20" t="s">
        <v>16</v>
      </c>
      <c r="O420" s="20">
        <v>3</v>
      </c>
      <c r="P420" s="20">
        <v>2</v>
      </c>
      <c r="Q420" s="13">
        <v>0.49099999999999999</v>
      </c>
      <c r="R420" s="20" t="s">
        <v>248</v>
      </c>
      <c r="S420" s="20">
        <v>-0.27</v>
      </c>
      <c r="T420" s="20" t="s">
        <v>60</v>
      </c>
      <c r="U420" s="20" t="s">
        <v>60</v>
      </c>
      <c r="V420" s="20"/>
      <c r="W420" s="20"/>
      <c r="X420" s="20" t="s">
        <v>60</v>
      </c>
      <c r="Y420" s="20" t="s">
        <v>412</v>
      </c>
      <c r="Z420" s="20" t="s">
        <v>477</v>
      </c>
      <c r="AA420" s="20" t="s">
        <v>60</v>
      </c>
    </row>
    <row r="421" spans="1:27" x14ac:dyDescent="0.2">
      <c r="A421" s="20" t="s">
        <v>230</v>
      </c>
      <c r="B421" s="20" t="s">
        <v>328</v>
      </c>
      <c r="C421" s="20" t="s">
        <v>37</v>
      </c>
      <c r="D421" s="20" t="s">
        <v>30</v>
      </c>
      <c r="E421" s="20" t="s">
        <v>485</v>
      </c>
      <c r="F421" s="20" t="s">
        <v>37</v>
      </c>
      <c r="G421" s="20">
        <v>5</v>
      </c>
      <c r="H421" s="20">
        <v>4</v>
      </c>
      <c r="I421" s="13">
        <v>0.87</v>
      </c>
      <c r="J421" s="20" t="s">
        <v>249</v>
      </c>
      <c r="K421" s="18">
        <v>0.26100000000000001</v>
      </c>
      <c r="L421" s="20" t="s">
        <v>60</v>
      </c>
      <c r="M421" s="20" t="s">
        <v>60</v>
      </c>
      <c r="N421" s="20" t="s">
        <v>37</v>
      </c>
      <c r="O421" s="20">
        <v>4</v>
      </c>
      <c r="P421" s="20">
        <v>2</v>
      </c>
      <c r="Q421" s="13">
        <v>0.63400000000000001</v>
      </c>
      <c r="R421" s="20" t="s">
        <v>249</v>
      </c>
      <c r="S421" s="20">
        <v>-0.7</v>
      </c>
      <c r="T421" s="20" t="s">
        <v>60</v>
      </c>
      <c r="U421" s="20" t="s">
        <v>60</v>
      </c>
      <c r="V421" s="20"/>
      <c r="W421" s="20"/>
      <c r="X421" s="20" t="s">
        <v>60</v>
      </c>
      <c r="Y421" s="20" t="s">
        <v>412</v>
      </c>
      <c r="Z421" s="20" t="s">
        <v>477</v>
      </c>
      <c r="AA421" s="20" t="s">
        <v>60</v>
      </c>
    </row>
    <row r="422" spans="1:27" x14ac:dyDescent="0.2">
      <c r="A422" s="20"/>
      <c r="B422" s="20"/>
      <c r="C422" s="20"/>
      <c r="D422" s="20"/>
      <c r="E422" s="20"/>
      <c r="F422" s="20"/>
      <c r="G422" s="20"/>
      <c r="H422" s="20"/>
      <c r="J422" s="20"/>
      <c r="L422" s="20"/>
      <c r="M422" s="20"/>
      <c r="N422" s="20"/>
      <c r="O422" s="20"/>
      <c r="P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</row>
    <row r="423" spans="1:27" x14ac:dyDescent="0.2">
      <c r="A423" s="20"/>
      <c r="B423" s="20"/>
      <c r="C423" s="20"/>
      <c r="D423" s="20"/>
      <c r="E423" s="20"/>
      <c r="F423" s="20"/>
      <c r="G423" s="20"/>
      <c r="H423" s="20"/>
      <c r="J423" s="20"/>
      <c r="L423" s="20"/>
      <c r="M423" s="20"/>
      <c r="N423" s="20"/>
      <c r="O423" s="20"/>
      <c r="P423" s="20"/>
      <c r="R423" s="20"/>
      <c r="S423" s="20"/>
      <c r="T423" s="20"/>
      <c r="U423" s="20"/>
      <c r="V423" s="20"/>
      <c r="W423" s="20"/>
      <c r="X423" s="20"/>
      <c r="Y423" s="20"/>
      <c r="Z423" s="20"/>
      <c r="AA423" s="20"/>
    </row>
    <row r="424" spans="1:27" x14ac:dyDescent="0.2">
      <c r="A424" s="20"/>
      <c r="B424" s="20"/>
      <c r="C424" s="20"/>
      <c r="D424" s="20"/>
      <c r="E424" s="20"/>
      <c r="F424" s="20"/>
      <c r="G424" s="20"/>
      <c r="H424" s="20"/>
      <c r="J424" s="20"/>
      <c r="L424" s="20"/>
      <c r="M424" s="20"/>
      <c r="N424" s="20"/>
      <c r="O424" s="20"/>
      <c r="P424" s="20"/>
      <c r="R424" s="20"/>
      <c r="S424" s="20"/>
      <c r="T424" s="20"/>
      <c r="U424" s="20"/>
      <c r="V424" s="20"/>
      <c r="W424" s="20"/>
      <c r="X424" s="20"/>
      <c r="Y424" s="20"/>
      <c r="Z424" s="20"/>
      <c r="AA424" s="20"/>
    </row>
    <row r="425" spans="1:27" x14ac:dyDescent="0.2">
      <c r="A425" s="20"/>
      <c r="B425" s="20"/>
      <c r="C425" s="20"/>
      <c r="D425" s="20"/>
      <c r="E425" s="20"/>
      <c r="F425" s="20"/>
      <c r="G425" s="20"/>
      <c r="H425" s="20"/>
      <c r="J425" s="20"/>
      <c r="L425" s="20"/>
      <c r="M425" s="20"/>
      <c r="N425" s="20"/>
      <c r="O425" s="20"/>
      <c r="P425" s="20"/>
      <c r="R425" s="20"/>
      <c r="S425" s="20"/>
      <c r="T425" s="20"/>
      <c r="U425" s="20"/>
      <c r="V425" s="20"/>
      <c r="W425" s="20"/>
      <c r="X425" s="20"/>
      <c r="Y425" s="20"/>
      <c r="Z425" s="20"/>
      <c r="AA425" s="20"/>
    </row>
    <row r="426" spans="1:27" x14ac:dyDescent="0.2">
      <c r="A426" s="20"/>
      <c r="B426" s="20"/>
      <c r="C426" s="20"/>
      <c r="D426" s="20"/>
      <c r="E426" s="20"/>
      <c r="F426" s="20"/>
      <c r="G426" s="20"/>
      <c r="H426" s="20"/>
      <c r="J426" s="20"/>
      <c r="L426" s="20"/>
      <c r="M426" s="20"/>
      <c r="N426" s="20"/>
      <c r="O426" s="20"/>
      <c r="P426" s="20"/>
      <c r="R426" s="20"/>
      <c r="S426" s="20"/>
      <c r="T426" s="20"/>
      <c r="U426" s="20"/>
      <c r="V426" s="20"/>
      <c r="W426" s="20"/>
      <c r="X426" s="20"/>
      <c r="Y426" s="20"/>
      <c r="Z426" s="20"/>
      <c r="AA426" s="20"/>
    </row>
    <row r="427" spans="1:27" x14ac:dyDescent="0.2">
      <c r="A427" s="20"/>
      <c r="B427" s="20"/>
      <c r="C427" s="20"/>
      <c r="D427" s="20"/>
      <c r="E427" s="20"/>
      <c r="F427" s="20"/>
      <c r="G427" s="20"/>
      <c r="H427" s="20"/>
      <c r="J427" s="20"/>
      <c r="L427" s="20"/>
      <c r="M427" s="20"/>
      <c r="N427" s="20"/>
      <c r="O427" s="20"/>
      <c r="P427" s="20"/>
      <c r="R427" s="20"/>
      <c r="S427" s="20"/>
      <c r="T427" s="20"/>
      <c r="U427" s="20"/>
      <c r="V427" s="20"/>
      <c r="W427" s="20"/>
      <c r="X427" s="20"/>
      <c r="Y427" s="20"/>
      <c r="Z427" s="20"/>
      <c r="AA427" s="20"/>
    </row>
    <row r="428" spans="1:27" x14ac:dyDescent="0.2">
      <c r="A428" s="20"/>
      <c r="B428" s="20"/>
      <c r="C428" s="20"/>
      <c r="D428" s="20"/>
      <c r="E428" s="20"/>
      <c r="F428" s="20"/>
      <c r="G428" s="20"/>
      <c r="H428" s="20"/>
      <c r="J428" s="20"/>
      <c r="L428" s="20"/>
      <c r="M428" s="20"/>
      <c r="N428" s="20"/>
      <c r="O428" s="20"/>
      <c r="P428" s="20"/>
      <c r="R428" s="20"/>
      <c r="S428" s="20"/>
      <c r="T428" s="20"/>
      <c r="U428" s="20"/>
      <c r="V428" s="20"/>
      <c r="W428" s="20"/>
      <c r="X428" s="20"/>
      <c r="Y428" s="20"/>
      <c r="Z428" s="20"/>
      <c r="AA428" s="20"/>
    </row>
    <row r="429" spans="1:27" x14ac:dyDescent="0.2">
      <c r="A429" s="20"/>
      <c r="B429" s="20"/>
      <c r="C429" s="20"/>
      <c r="D429" s="20"/>
      <c r="E429" s="20"/>
      <c r="F429" s="20"/>
      <c r="G429" s="20"/>
      <c r="H429" s="20"/>
      <c r="J429" s="20"/>
      <c r="L429" s="20"/>
      <c r="M429" s="20"/>
      <c r="N429" s="20"/>
      <c r="O429" s="20"/>
      <c r="P429" s="20"/>
      <c r="R429" s="20"/>
      <c r="S429" s="20"/>
      <c r="T429" s="20"/>
      <c r="U429" s="20"/>
      <c r="V429" s="20"/>
      <c r="W429" s="20"/>
      <c r="X429" s="20"/>
      <c r="Y429" s="20"/>
      <c r="Z429" s="20"/>
      <c r="AA429" s="20"/>
    </row>
    <row r="430" spans="1:27" x14ac:dyDescent="0.2">
      <c r="A430" s="20"/>
      <c r="B430" s="20"/>
      <c r="C430" s="20"/>
      <c r="D430" s="20"/>
      <c r="E430" s="20"/>
      <c r="F430" s="20"/>
      <c r="G430" s="20"/>
      <c r="H430" s="20"/>
      <c r="J430" s="20"/>
      <c r="L430" s="20"/>
      <c r="M430" s="20"/>
      <c r="N430" s="20"/>
      <c r="O430" s="20"/>
      <c r="P430" s="20"/>
      <c r="R430" s="20"/>
      <c r="S430" s="20"/>
      <c r="T430" s="20"/>
      <c r="U430" s="20"/>
      <c r="V430" s="20"/>
      <c r="W430" s="20"/>
      <c r="X430" s="20"/>
      <c r="Y430" s="20"/>
      <c r="Z430" s="20"/>
      <c r="AA430" s="20"/>
    </row>
    <row r="431" spans="1:27" x14ac:dyDescent="0.2">
      <c r="A431" s="20"/>
      <c r="B431" s="20"/>
      <c r="C431" s="20"/>
      <c r="D431" s="20"/>
      <c r="E431" s="20"/>
      <c r="F431" s="20"/>
      <c r="G431" s="20"/>
      <c r="H431" s="20"/>
      <c r="J431" s="20"/>
      <c r="L431" s="20"/>
      <c r="M431" s="20"/>
      <c r="N431" s="20"/>
      <c r="O431" s="20"/>
      <c r="P431" s="20"/>
      <c r="R431" s="20"/>
      <c r="S431" s="20"/>
      <c r="T431" s="20"/>
      <c r="U431" s="20"/>
      <c r="V431" s="20"/>
      <c r="W431" s="20"/>
      <c r="X431" s="20"/>
      <c r="Y431" s="20"/>
      <c r="Z431" s="20"/>
      <c r="AA431" s="20"/>
    </row>
    <row r="432" spans="1:27" x14ac:dyDescent="0.2">
      <c r="A432" s="20"/>
      <c r="B432" s="20"/>
      <c r="C432" s="20"/>
      <c r="D432" s="20"/>
      <c r="E432" s="20"/>
      <c r="F432" s="20"/>
      <c r="G432" s="20"/>
      <c r="H432" s="20"/>
      <c r="J432" s="20"/>
      <c r="L432" s="20"/>
      <c r="M432" s="20"/>
      <c r="N432" s="20"/>
      <c r="O432" s="20"/>
      <c r="P432" s="20"/>
      <c r="R432" s="20"/>
      <c r="S432" s="20"/>
      <c r="T432" s="20"/>
      <c r="U432" s="20"/>
      <c r="V432" s="20"/>
      <c r="W432" s="20"/>
      <c r="X432" s="20"/>
      <c r="Y432" s="20"/>
      <c r="Z432" s="20"/>
      <c r="AA432" s="20"/>
    </row>
    <row r="433" spans="1:27" x14ac:dyDescent="0.2">
      <c r="A433" s="20"/>
      <c r="B433" s="20"/>
      <c r="C433" s="20"/>
      <c r="D433" s="20"/>
      <c r="E433" s="20"/>
      <c r="F433" s="20"/>
      <c r="G433" s="20"/>
      <c r="H433" s="20"/>
      <c r="J433" s="20"/>
      <c r="L433" s="20"/>
      <c r="M433" s="20"/>
      <c r="N433" s="20"/>
      <c r="O433" s="20"/>
      <c r="P433" s="20"/>
      <c r="R433" s="20"/>
      <c r="S433" s="20"/>
      <c r="T433" s="20"/>
      <c r="U433" s="20"/>
      <c r="V433" s="20"/>
      <c r="W433" s="20"/>
      <c r="X433" s="20"/>
      <c r="Y433" s="20"/>
      <c r="Z433" s="20"/>
      <c r="AA433" s="20"/>
    </row>
    <row r="434" spans="1:27" x14ac:dyDescent="0.2">
      <c r="A434" s="20"/>
      <c r="B434" s="20"/>
      <c r="C434" s="20"/>
      <c r="D434" s="20"/>
      <c r="E434" s="20"/>
      <c r="F434" s="20"/>
      <c r="G434" s="20"/>
      <c r="H434" s="20"/>
      <c r="J434" s="20"/>
      <c r="L434" s="20"/>
      <c r="M434" s="20"/>
      <c r="N434" s="20"/>
      <c r="O434" s="20"/>
      <c r="P434" s="20"/>
      <c r="R434" s="20"/>
      <c r="S434" s="20"/>
      <c r="T434" s="20"/>
      <c r="U434" s="20"/>
      <c r="V434" s="20"/>
      <c r="W434" s="20"/>
      <c r="X434" s="20"/>
      <c r="Y434" s="20"/>
      <c r="Z434" s="20"/>
      <c r="AA434" s="20"/>
    </row>
    <row r="435" spans="1:27" x14ac:dyDescent="0.2">
      <c r="A435" s="20"/>
      <c r="B435" s="20"/>
      <c r="C435" s="20"/>
      <c r="D435" s="20"/>
      <c r="E435" s="20"/>
      <c r="F435" s="20"/>
      <c r="G435" s="20"/>
      <c r="H435" s="20"/>
      <c r="J435" s="20"/>
      <c r="L435" s="20"/>
      <c r="M435" s="20"/>
      <c r="N435" s="20"/>
      <c r="O435" s="20"/>
      <c r="P435" s="20"/>
      <c r="R435" s="20"/>
      <c r="S435" s="20"/>
      <c r="T435" s="20"/>
      <c r="U435" s="20"/>
      <c r="V435" s="20"/>
      <c r="W435" s="20"/>
      <c r="X435" s="20"/>
      <c r="Y435" s="20"/>
      <c r="Z435" s="20"/>
      <c r="AA435" s="20"/>
    </row>
    <row r="436" spans="1:27" x14ac:dyDescent="0.2">
      <c r="A436" s="20"/>
      <c r="B436" s="20"/>
      <c r="C436" s="20"/>
      <c r="D436" s="20"/>
      <c r="E436" s="20"/>
      <c r="F436" s="20"/>
      <c r="G436" s="20"/>
      <c r="H436" s="20"/>
      <c r="J436" s="20"/>
      <c r="L436" s="20"/>
      <c r="M436" s="20"/>
      <c r="N436" s="20"/>
      <c r="O436" s="20"/>
      <c r="P436" s="20"/>
      <c r="R436" s="20"/>
      <c r="S436" s="20"/>
      <c r="T436" s="20"/>
      <c r="U436" s="20"/>
      <c r="V436" s="20"/>
      <c r="W436" s="20"/>
      <c r="X436" s="20"/>
      <c r="Y436" s="20"/>
      <c r="Z436" s="20"/>
      <c r="AA436" s="20"/>
    </row>
    <row r="437" spans="1:27" x14ac:dyDescent="0.2">
      <c r="A437" s="20"/>
      <c r="B437" s="20"/>
      <c r="C437" s="20"/>
      <c r="D437" s="20"/>
      <c r="E437" s="20"/>
      <c r="F437" s="20"/>
      <c r="G437" s="20"/>
      <c r="H437" s="20"/>
      <c r="J437" s="20"/>
      <c r="L437" s="20"/>
      <c r="M437" s="20"/>
      <c r="N437" s="20"/>
      <c r="O437" s="20"/>
      <c r="P437" s="20"/>
      <c r="R437" s="20"/>
      <c r="S437" s="20"/>
      <c r="T437" s="20"/>
      <c r="U437" s="20"/>
      <c r="V437" s="20"/>
      <c r="W437" s="20"/>
      <c r="X437" s="20"/>
      <c r="Y437" s="20"/>
      <c r="Z437" s="20"/>
      <c r="AA437" s="20"/>
    </row>
    <row r="438" spans="1:27" x14ac:dyDescent="0.2">
      <c r="A438" s="20"/>
      <c r="B438" s="20"/>
      <c r="C438" s="20"/>
      <c r="D438" s="20"/>
      <c r="E438" s="20"/>
      <c r="F438" s="20"/>
      <c r="G438" s="20"/>
      <c r="H438" s="20"/>
      <c r="J438" s="20"/>
      <c r="L438" s="20"/>
      <c r="M438" s="20"/>
      <c r="N438" s="20"/>
      <c r="O438" s="20"/>
      <c r="P438" s="20"/>
      <c r="R438" s="20"/>
      <c r="S438" s="20"/>
      <c r="T438" s="20"/>
      <c r="U438" s="20"/>
      <c r="V438" s="20"/>
      <c r="W438" s="20"/>
      <c r="X438" s="20"/>
      <c r="Y438" s="20"/>
      <c r="Z438" s="20"/>
      <c r="AA438" s="20"/>
    </row>
    <row r="439" spans="1:27" x14ac:dyDescent="0.2">
      <c r="A439" s="20"/>
      <c r="B439" s="20"/>
      <c r="C439" s="20"/>
      <c r="D439" s="20"/>
      <c r="E439" s="20"/>
      <c r="F439" s="20"/>
      <c r="G439" s="20"/>
      <c r="H439" s="20"/>
      <c r="J439" s="20"/>
      <c r="L439" s="20"/>
      <c r="M439" s="20"/>
      <c r="N439" s="20"/>
      <c r="O439" s="20"/>
      <c r="P439" s="20"/>
      <c r="R439" s="20"/>
      <c r="S439" s="20"/>
      <c r="T439" s="20"/>
      <c r="U439" s="20"/>
      <c r="V439" s="20"/>
      <c r="W439" s="20"/>
      <c r="X439" s="20"/>
      <c r="Y439" s="20"/>
      <c r="Z439" s="20"/>
      <c r="AA439" s="20"/>
    </row>
    <row r="440" spans="1:27" x14ac:dyDescent="0.2">
      <c r="A440" s="20"/>
      <c r="B440" s="20"/>
      <c r="C440" s="20"/>
      <c r="D440" s="20"/>
      <c r="E440" s="20"/>
      <c r="F440" s="20"/>
      <c r="G440" s="20"/>
      <c r="H440" s="20"/>
      <c r="J440" s="20"/>
      <c r="L440" s="20"/>
      <c r="M440" s="20"/>
      <c r="N440" s="20"/>
      <c r="O440" s="20"/>
      <c r="P440" s="20"/>
      <c r="R440" s="20"/>
      <c r="S440" s="20"/>
      <c r="T440" s="20"/>
      <c r="U440" s="20"/>
      <c r="V440" s="20"/>
      <c r="W440" s="20"/>
      <c r="X440" s="20"/>
      <c r="Y440" s="20"/>
      <c r="Z440" s="20"/>
      <c r="AA440" s="20"/>
    </row>
    <row r="441" spans="1:27" x14ac:dyDescent="0.2">
      <c r="A441" s="20"/>
      <c r="B441" s="20"/>
      <c r="C441" s="20"/>
      <c r="D441" s="20"/>
      <c r="E441" s="20"/>
      <c r="F441" s="20"/>
      <c r="G441" s="20"/>
      <c r="H441" s="20"/>
      <c r="J441" s="20"/>
      <c r="L441" s="20"/>
      <c r="M441" s="20"/>
      <c r="N441" s="20"/>
      <c r="O441" s="20"/>
      <c r="P441" s="20"/>
      <c r="R441" s="20"/>
      <c r="S441" s="20"/>
      <c r="T441" s="20"/>
      <c r="U441" s="20"/>
      <c r="V441" s="20"/>
      <c r="W441" s="20"/>
      <c r="X441" s="20"/>
      <c r="Y441" s="20"/>
      <c r="Z441" s="20"/>
      <c r="AA441" s="20"/>
    </row>
    <row r="442" spans="1:27" x14ac:dyDescent="0.2">
      <c r="A442" s="20"/>
      <c r="B442" s="20"/>
      <c r="C442" s="20"/>
      <c r="D442" s="20"/>
      <c r="E442" s="20"/>
      <c r="F442" s="20"/>
      <c r="G442" s="20"/>
      <c r="H442" s="20"/>
      <c r="J442" s="20"/>
      <c r="L442" s="20"/>
      <c r="M442" s="20"/>
      <c r="N442" s="20"/>
      <c r="O442" s="20"/>
      <c r="P442" s="20"/>
      <c r="R442" s="20"/>
      <c r="S442" s="20"/>
      <c r="T442" s="20"/>
      <c r="U442" s="20"/>
      <c r="V442" s="20"/>
      <c r="W442" s="20"/>
      <c r="X442" s="20"/>
      <c r="Y442" s="20"/>
      <c r="Z442" s="20"/>
      <c r="AA442" s="20"/>
    </row>
    <row r="443" spans="1:27" x14ac:dyDescent="0.2">
      <c r="A443" s="20"/>
      <c r="B443" s="20"/>
      <c r="C443" s="20"/>
      <c r="D443" s="20"/>
      <c r="E443" s="20"/>
      <c r="F443" s="20"/>
      <c r="G443" s="20"/>
      <c r="H443" s="20"/>
      <c r="J443" s="20"/>
      <c r="L443" s="20"/>
      <c r="M443" s="20"/>
      <c r="N443" s="20"/>
      <c r="O443" s="20"/>
      <c r="P443" s="20"/>
      <c r="R443" s="20"/>
      <c r="S443" s="20"/>
      <c r="T443" s="20"/>
      <c r="U443" s="20"/>
      <c r="V443" s="20"/>
      <c r="W443" s="20"/>
      <c r="X443" s="20"/>
      <c r="Y443" s="20"/>
      <c r="Z443" s="20"/>
      <c r="AA443" s="20"/>
    </row>
    <row r="444" spans="1:27" x14ac:dyDescent="0.2">
      <c r="A444" s="20"/>
      <c r="B444" s="20"/>
      <c r="C444" s="20"/>
      <c r="D444" s="20"/>
      <c r="E444" s="20"/>
      <c r="F444" s="20"/>
      <c r="G444" s="20"/>
      <c r="H444" s="20"/>
      <c r="J444" s="20"/>
      <c r="L444" s="20"/>
      <c r="M444" s="20"/>
      <c r="N444" s="20"/>
      <c r="O444" s="20"/>
      <c r="P444" s="20"/>
      <c r="R444" s="20"/>
      <c r="S444" s="20"/>
      <c r="T444" s="20"/>
      <c r="U444" s="20"/>
      <c r="V444" s="20"/>
      <c r="W444" s="20"/>
      <c r="X444" s="20"/>
      <c r="Y444" s="20"/>
      <c r="Z444" s="20"/>
      <c r="AA444" s="20"/>
    </row>
    <row r="445" spans="1:27" x14ac:dyDescent="0.2">
      <c r="A445" s="20"/>
      <c r="B445" s="20"/>
      <c r="C445" s="20"/>
      <c r="D445" s="20"/>
      <c r="E445" s="20"/>
      <c r="F445" s="20"/>
      <c r="G445" s="20"/>
      <c r="H445" s="20"/>
      <c r="J445" s="20"/>
      <c r="L445" s="20"/>
      <c r="M445" s="20"/>
      <c r="N445" s="20"/>
      <c r="O445" s="20"/>
      <c r="P445" s="20"/>
      <c r="R445" s="20"/>
      <c r="S445" s="20"/>
      <c r="T445" s="20"/>
      <c r="U445" s="20"/>
      <c r="V445" s="20"/>
      <c r="W445" s="20"/>
      <c r="X445" s="20"/>
      <c r="Y445" s="20"/>
      <c r="Z445" s="20"/>
      <c r="AA445" s="20"/>
    </row>
    <row r="446" spans="1:27" x14ac:dyDescent="0.2">
      <c r="A446" s="20"/>
      <c r="B446" s="20"/>
      <c r="C446" s="20"/>
      <c r="D446" s="20"/>
      <c r="E446" s="20"/>
      <c r="F446" s="20"/>
      <c r="G446" s="20"/>
      <c r="H446" s="20"/>
      <c r="J446" s="20"/>
      <c r="L446" s="20"/>
      <c r="M446" s="20"/>
      <c r="N446" s="20"/>
      <c r="O446" s="20"/>
      <c r="P446" s="20"/>
      <c r="R446" s="20"/>
      <c r="S446" s="20"/>
      <c r="T446" s="20"/>
      <c r="U446" s="20"/>
      <c r="V446" s="20"/>
      <c r="W446" s="20"/>
      <c r="X446" s="20"/>
      <c r="Y446" s="20"/>
      <c r="Z446" s="20"/>
      <c r="AA446" s="20"/>
    </row>
    <row r="447" spans="1:27" x14ac:dyDescent="0.2">
      <c r="A447" s="20"/>
      <c r="B447" s="20"/>
      <c r="C447" s="20"/>
      <c r="D447" s="20"/>
      <c r="E447" s="20"/>
      <c r="F447" s="20"/>
      <c r="G447" s="20"/>
      <c r="H447" s="20"/>
      <c r="J447" s="20"/>
      <c r="L447" s="20"/>
      <c r="M447" s="20"/>
      <c r="N447" s="20"/>
      <c r="O447" s="20"/>
      <c r="P447" s="20"/>
      <c r="R447" s="20"/>
      <c r="S447" s="20"/>
      <c r="T447" s="20"/>
      <c r="U447" s="20"/>
      <c r="V447" s="20"/>
      <c r="W447" s="20"/>
      <c r="X447" s="20"/>
      <c r="Y447" s="20"/>
      <c r="Z447" s="20"/>
      <c r="AA447" s="20"/>
    </row>
    <row r="448" spans="1:27" x14ac:dyDescent="0.2">
      <c r="A448" s="20"/>
      <c r="B448" s="20"/>
      <c r="C448" s="20"/>
      <c r="D448" s="20"/>
      <c r="E448" s="20"/>
      <c r="F448" s="20"/>
      <c r="G448" s="20"/>
      <c r="H448" s="20"/>
      <c r="J448" s="20"/>
      <c r="L448" s="20"/>
      <c r="M448" s="20"/>
      <c r="N448" s="20"/>
      <c r="O448" s="20"/>
      <c r="P448" s="20"/>
      <c r="R448" s="20"/>
      <c r="S448" s="20"/>
      <c r="T448" s="20"/>
      <c r="U448" s="20"/>
      <c r="V448" s="20"/>
      <c r="W448" s="20"/>
      <c r="X448" s="20"/>
      <c r="Y448" s="20"/>
      <c r="Z448" s="20"/>
      <c r="AA448" s="20"/>
    </row>
    <row r="449" spans="1:27" x14ac:dyDescent="0.2">
      <c r="A449" s="20"/>
      <c r="B449" s="20"/>
      <c r="C449" s="20"/>
      <c r="D449" s="20"/>
      <c r="E449" s="20"/>
      <c r="F449" s="20"/>
      <c r="G449" s="20"/>
      <c r="H449" s="20"/>
      <c r="J449" s="20"/>
      <c r="L449" s="20"/>
      <c r="M449" s="20"/>
      <c r="N449" s="20"/>
      <c r="O449" s="20"/>
      <c r="P449" s="20"/>
      <c r="R449" s="20"/>
      <c r="S449" s="20"/>
      <c r="T449" s="20"/>
      <c r="U449" s="20"/>
      <c r="V449" s="20"/>
      <c r="W449" s="20"/>
      <c r="X449" s="20"/>
      <c r="Y449" s="20"/>
      <c r="Z449" s="20"/>
      <c r="AA449" s="20"/>
    </row>
    <row r="450" spans="1:27" x14ac:dyDescent="0.2">
      <c r="A450" s="20"/>
      <c r="B450" s="20"/>
      <c r="C450" s="20"/>
      <c r="D450" s="20"/>
      <c r="E450" s="20"/>
      <c r="F450" s="20"/>
      <c r="G450" s="20"/>
      <c r="H450" s="20"/>
      <c r="J450" s="20"/>
      <c r="L450" s="20"/>
      <c r="M450" s="20"/>
      <c r="N450" s="20"/>
      <c r="O450" s="20"/>
      <c r="P450" s="20"/>
      <c r="R450" s="20"/>
      <c r="S450" s="20"/>
      <c r="T450" s="20"/>
      <c r="U450" s="20"/>
      <c r="V450" s="20"/>
      <c r="W450" s="20"/>
      <c r="X450" s="20"/>
      <c r="Y450" s="20"/>
      <c r="Z450" s="20"/>
      <c r="AA450" s="20"/>
    </row>
    <row r="451" spans="1:27" x14ac:dyDescent="0.2">
      <c r="A451" s="20"/>
      <c r="B451" s="20"/>
      <c r="C451" s="20"/>
      <c r="D451" s="20"/>
      <c r="E451" s="20"/>
      <c r="F451" s="20"/>
      <c r="G451" s="20"/>
      <c r="H451" s="20"/>
      <c r="J451" s="20"/>
      <c r="L451" s="20"/>
      <c r="M451" s="20"/>
      <c r="N451" s="20"/>
      <c r="O451" s="20"/>
      <c r="P451" s="20"/>
      <c r="R451" s="20"/>
      <c r="S451" s="20"/>
      <c r="T451" s="20"/>
      <c r="U451" s="20"/>
      <c r="V451" s="20"/>
      <c r="W451" s="20"/>
      <c r="X451" s="20"/>
      <c r="Y451" s="20"/>
      <c r="Z451" s="20"/>
      <c r="AA451" s="20"/>
    </row>
    <row r="452" spans="1:27" x14ac:dyDescent="0.2">
      <c r="A452" s="20"/>
      <c r="B452" s="20"/>
      <c r="C452" s="20"/>
      <c r="D452" s="20"/>
      <c r="E452" s="20"/>
      <c r="F452" s="20"/>
      <c r="G452" s="20"/>
      <c r="H452" s="20"/>
      <c r="J452" s="20"/>
      <c r="L452" s="20"/>
      <c r="M452" s="20"/>
      <c r="N452" s="20"/>
      <c r="O452" s="20"/>
      <c r="P452" s="20"/>
      <c r="R452" s="20"/>
      <c r="S452" s="20"/>
      <c r="T452" s="20"/>
      <c r="U452" s="20"/>
      <c r="V452" s="20"/>
      <c r="W452" s="20"/>
      <c r="X452" s="20"/>
      <c r="Y452" s="20"/>
      <c r="Z452" s="20"/>
      <c r="AA452" s="20"/>
    </row>
    <row r="453" spans="1:27" x14ac:dyDescent="0.2">
      <c r="A453" s="20"/>
      <c r="B453" s="20"/>
      <c r="C453" s="20"/>
      <c r="D453" s="20"/>
      <c r="E453" s="20"/>
      <c r="F453" s="20"/>
      <c r="G453" s="20"/>
      <c r="H453" s="20"/>
      <c r="J453" s="20"/>
      <c r="L453" s="20"/>
      <c r="M453" s="20"/>
      <c r="N453" s="20"/>
      <c r="O453" s="20"/>
      <c r="P453" s="20"/>
      <c r="R453" s="20"/>
      <c r="S453" s="20"/>
      <c r="T453" s="20"/>
      <c r="U453" s="20"/>
      <c r="V453" s="20"/>
      <c r="W453" s="20"/>
      <c r="X453" s="20"/>
      <c r="Y453" s="20"/>
      <c r="Z453" s="20"/>
      <c r="AA453" s="20"/>
    </row>
    <row r="454" spans="1:27" x14ac:dyDescent="0.2">
      <c r="A454" s="20"/>
      <c r="B454" s="20"/>
      <c r="C454" s="20"/>
      <c r="D454" s="20"/>
      <c r="E454" s="20"/>
      <c r="F454" s="20"/>
      <c r="G454" s="20"/>
      <c r="H454" s="20"/>
      <c r="J454" s="20"/>
      <c r="L454" s="20"/>
      <c r="M454" s="20"/>
      <c r="N454" s="20"/>
      <c r="O454" s="20"/>
      <c r="P454" s="20"/>
      <c r="R454" s="20"/>
      <c r="S454" s="20"/>
      <c r="T454" s="20"/>
      <c r="U454" s="20"/>
      <c r="V454" s="20"/>
      <c r="W454" s="20"/>
      <c r="X454" s="20"/>
      <c r="Y454" s="20"/>
      <c r="Z454" s="20"/>
      <c r="AA454" s="20"/>
    </row>
    <row r="455" spans="1:27" x14ac:dyDescent="0.2">
      <c r="A455" s="20"/>
      <c r="B455" s="20"/>
      <c r="C455" s="20"/>
      <c r="D455" s="20"/>
      <c r="E455" s="20"/>
      <c r="F455" s="20"/>
      <c r="G455" s="20"/>
      <c r="H455" s="20"/>
      <c r="J455" s="20"/>
      <c r="L455" s="20"/>
      <c r="M455" s="20"/>
      <c r="N455" s="20"/>
      <c r="O455" s="20"/>
      <c r="P455" s="20"/>
      <c r="R455" s="20"/>
      <c r="S455" s="20"/>
      <c r="T455" s="20"/>
      <c r="U455" s="20"/>
      <c r="V455" s="20"/>
      <c r="W455" s="20"/>
      <c r="X455" s="20"/>
      <c r="Y455" s="20"/>
      <c r="Z455" s="20"/>
      <c r="AA455" s="20"/>
    </row>
    <row r="456" spans="1:27" x14ac:dyDescent="0.2">
      <c r="A456" s="20"/>
      <c r="B456" s="20"/>
      <c r="C456" s="20"/>
      <c r="D456" s="20"/>
      <c r="E456" s="20"/>
      <c r="F456" s="20"/>
      <c r="G456" s="20"/>
      <c r="H456" s="20"/>
      <c r="J456" s="20"/>
      <c r="L456" s="20"/>
      <c r="M456" s="20"/>
      <c r="N456" s="20"/>
      <c r="O456" s="20"/>
      <c r="P456" s="20"/>
      <c r="R456" s="20"/>
      <c r="S456" s="20"/>
      <c r="T456" s="20"/>
      <c r="U456" s="20"/>
      <c r="V456" s="20"/>
      <c r="W456" s="20"/>
      <c r="X456" s="20"/>
      <c r="Y456" s="20"/>
      <c r="Z456" s="20"/>
      <c r="AA456" s="20"/>
    </row>
    <row r="457" spans="1:27" x14ac:dyDescent="0.2">
      <c r="A457" s="20"/>
      <c r="B457" s="20"/>
      <c r="C457" s="20"/>
      <c r="D457" s="20"/>
      <c r="E457" s="20"/>
      <c r="F457" s="20"/>
      <c r="G457" s="20"/>
      <c r="H457" s="20"/>
      <c r="J457" s="20"/>
      <c r="L457" s="20"/>
      <c r="M457" s="20"/>
      <c r="N457" s="20"/>
      <c r="O457" s="20"/>
      <c r="P457" s="20"/>
      <c r="R457" s="20"/>
      <c r="S457" s="20"/>
      <c r="T457" s="20"/>
      <c r="U457" s="20"/>
      <c r="V457" s="20"/>
      <c r="W457" s="20"/>
      <c r="X457" s="20"/>
      <c r="Y457" s="20"/>
      <c r="Z457" s="20"/>
      <c r="AA457" s="20"/>
    </row>
    <row r="458" spans="1:27" x14ac:dyDescent="0.2">
      <c r="A458" s="20"/>
      <c r="B458" s="20"/>
      <c r="C458" s="20"/>
      <c r="D458" s="20"/>
      <c r="E458" s="20"/>
      <c r="F458" s="20"/>
      <c r="G458" s="20"/>
      <c r="H458" s="20"/>
      <c r="J458" s="20"/>
      <c r="L458" s="20"/>
      <c r="M458" s="20"/>
      <c r="N458" s="20"/>
      <c r="O458" s="20"/>
      <c r="P458" s="20"/>
      <c r="R458" s="20"/>
      <c r="S458" s="20"/>
      <c r="T458" s="20"/>
      <c r="U458" s="20"/>
      <c r="V458" s="20"/>
      <c r="W458" s="20"/>
      <c r="X458" s="20"/>
      <c r="Y458" s="20"/>
      <c r="Z458" s="20"/>
      <c r="AA458" s="20"/>
    </row>
    <row r="459" spans="1:27" x14ac:dyDescent="0.2">
      <c r="A459" s="20"/>
      <c r="B459" s="20"/>
      <c r="C459" s="20"/>
      <c r="D459" s="20"/>
      <c r="E459" s="20"/>
      <c r="F459" s="20"/>
      <c r="G459" s="20"/>
      <c r="H459" s="20"/>
      <c r="J459" s="20"/>
      <c r="L459" s="20"/>
      <c r="M459" s="20"/>
      <c r="N459" s="20"/>
      <c r="O459" s="20"/>
      <c r="P459" s="20"/>
      <c r="R459" s="20"/>
      <c r="S459" s="20"/>
      <c r="T459" s="20"/>
      <c r="U459" s="20"/>
      <c r="V459" s="20"/>
      <c r="W459" s="20"/>
      <c r="X459" s="20"/>
      <c r="Y459" s="20"/>
      <c r="Z459" s="20"/>
      <c r="AA459" s="20"/>
    </row>
    <row r="460" spans="1:27" x14ac:dyDescent="0.2">
      <c r="A460" s="20"/>
      <c r="B460" s="20"/>
      <c r="C460" s="20"/>
      <c r="D460" s="20"/>
      <c r="E460" s="20"/>
      <c r="F460" s="20"/>
      <c r="G460" s="20"/>
      <c r="H460" s="20"/>
      <c r="J460" s="20"/>
      <c r="L460" s="20"/>
      <c r="M460" s="20"/>
      <c r="N460" s="20"/>
      <c r="O460" s="20"/>
      <c r="P460" s="20"/>
      <c r="R460" s="20"/>
      <c r="S460" s="20"/>
      <c r="T460" s="20"/>
      <c r="U460" s="20"/>
      <c r="V460" s="20"/>
      <c r="W460" s="20"/>
      <c r="X460" s="20"/>
      <c r="Y460" s="20"/>
      <c r="Z460" s="20"/>
      <c r="AA460" s="20"/>
    </row>
    <row r="461" spans="1:27" x14ac:dyDescent="0.2">
      <c r="A461" s="20"/>
      <c r="B461" s="20"/>
      <c r="C461" s="20"/>
      <c r="D461" s="20"/>
      <c r="E461" s="20"/>
      <c r="F461" s="20"/>
      <c r="G461" s="20"/>
      <c r="H461" s="20"/>
      <c r="J461" s="20"/>
      <c r="L461" s="20"/>
      <c r="M461" s="20"/>
      <c r="N461" s="20"/>
      <c r="O461" s="20"/>
      <c r="P461" s="20"/>
      <c r="R461" s="20"/>
      <c r="S461" s="20"/>
      <c r="T461" s="20"/>
      <c r="U461" s="20"/>
      <c r="V461" s="20"/>
      <c r="W461" s="20"/>
      <c r="X461" s="20"/>
      <c r="Y461" s="20"/>
      <c r="Z461" s="20"/>
      <c r="AA461" s="20"/>
    </row>
    <row r="462" spans="1:27" x14ac:dyDescent="0.2">
      <c r="A462" s="20"/>
      <c r="B462" s="20"/>
      <c r="C462" s="20"/>
      <c r="D462" s="20"/>
      <c r="E462" s="20"/>
      <c r="F462" s="20"/>
      <c r="G462" s="20"/>
      <c r="H462" s="20"/>
      <c r="J462" s="20"/>
      <c r="L462" s="20"/>
      <c r="M462" s="20"/>
      <c r="N462" s="20"/>
      <c r="O462" s="20"/>
      <c r="P462" s="20"/>
      <c r="R462" s="20"/>
      <c r="S462" s="20"/>
      <c r="T462" s="20"/>
      <c r="U462" s="20"/>
      <c r="V462" s="20"/>
      <c r="W462" s="20"/>
      <c r="X462" s="20"/>
      <c r="Y462" s="20"/>
      <c r="Z462" s="20"/>
      <c r="AA462" s="20"/>
    </row>
    <row r="463" spans="1:27" x14ac:dyDescent="0.2">
      <c r="A463" s="20"/>
      <c r="B463" s="20"/>
      <c r="C463" s="20"/>
      <c r="D463" s="20"/>
      <c r="E463" s="20"/>
      <c r="F463" s="20"/>
      <c r="G463" s="20"/>
      <c r="H463" s="20"/>
      <c r="J463" s="20"/>
      <c r="L463" s="20"/>
      <c r="M463" s="20"/>
      <c r="N463" s="20"/>
      <c r="O463" s="20"/>
      <c r="P463" s="20"/>
      <c r="R463" s="20"/>
      <c r="S463" s="20"/>
      <c r="T463" s="20"/>
      <c r="U463" s="20"/>
      <c r="V463" s="20"/>
      <c r="W463" s="20"/>
      <c r="X463" s="20"/>
      <c r="Y463" s="20"/>
      <c r="Z463" s="20"/>
      <c r="AA463" s="20"/>
    </row>
    <row r="464" spans="1:27" x14ac:dyDescent="0.2">
      <c r="A464" s="20"/>
      <c r="B464" s="20"/>
      <c r="C464" s="20"/>
      <c r="D464" s="20"/>
      <c r="E464" s="20"/>
      <c r="F464" s="20"/>
      <c r="G464" s="20"/>
      <c r="H464" s="20"/>
      <c r="J464" s="20"/>
      <c r="L464" s="20"/>
      <c r="M464" s="20"/>
      <c r="N464" s="20"/>
      <c r="O464" s="20"/>
      <c r="P464" s="20"/>
      <c r="R464" s="20"/>
      <c r="S464" s="20"/>
      <c r="T464" s="20"/>
      <c r="U464" s="20"/>
      <c r="V464" s="20"/>
      <c r="W464" s="20"/>
      <c r="X464" s="20"/>
      <c r="Y464" s="20"/>
      <c r="Z464" s="20"/>
      <c r="AA464" s="20"/>
    </row>
    <row r="465" spans="1:27" x14ac:dyDescent="0.2">
      <c r="A465" s="20"/>
      <c r="B465" s="20"/>
      <c r="C465" s="20"/>
      <c r="D465" s="20"/>
      <c r="E465" s="20"/>
      <c r="F465" s="20"/>
      <c r="G465" s="20"/>
      <c r="H465" s="20"/>
      <c r="J465" s="20"/>
      <c r="L465" s="20"/>
      <c r="M465" s="20"/>
      <c r="N465" s="20"/>
      <c r="O465" s="20"/>
      <c r="P465" s="20"/>
      <c r="R465" s="20"/>
      <c r="S465" s="20"/>
      <c r="T465" s="20"/>
      <c r="U465" s="20"/>
      <c r="V465" s="20"/>
      <c r="W465" s="20"/>
      <c r="X465" s="20"/>
      <c r="Y465" s="20"/>
      <c r="Z465" s="20"/>
      <c r="AA465" s="20"/>
    </row>
    <row r="466" spans="1:27" x14ac:dyDescent="0.2">
      <c r="A466" s="20"/>
      <c r="B466" s="20"/>
      <c r="C466" s="20"/>
      <c r="D466" s="20"/>
      <c r="E466" s="20"/>
      <c r="F466" s="20"/>
      <c r="G466" s="20"/>
      <c r="H466" s="20"/>
      <c r="J466" s="20"/>
      <c r="L466" s="20"/>
      <c r="M466" s="20"/>
      <c r="N466" s="20"/>
      <c r="O466" s="20"/>
      <c r="P466" s="20"/>
      <c r="R466" s="20"/>
      <c r="S466" s="20"/>
      <c r="T466" s="20"/>
      <c r="U466" s="20"/>
      <c r="V466" s="20"/>
      <c r="W466" s="20"/>
      <c r="X466" s="20"/>
      <c r="Y466" s="20"/>
      <c r="Z466" s="20"/>
      <c r="AA466" s="20"/>
    </row>
    <row r="467" spans="1:27" x14ac:dyDescent="0.2">
      <c r="A467" s="20"/>
      <c r="B467" s="20"/>
      <c r="C467" s="20"/>
      <c r="D467" s="20"/>
      <c r="E467" s="20"/>
      <c r="F467" s="20"/>
      <c r="G467" s="20"/>
      <c r="H467" s="20"/>
      <c r="J467" s="20"/>
      <c r="L467" s="20"/>
      <c r="M467" s="20"/>
      <c r="N467" s="20"/>
      <c r="O467" s="20"/>
      <c r="P467" s="20"/>
      <c r="R467" s="20"/>
      <c r="S467" s="20"/>
      <c r="T467" s="20"/>
      <c r="U467" s="20"/>
      <c r="V467" s="20"/>
      <c r="W467" s="20"/>
      <c r="X467" s="20"/>
      <c r="Y467" s="20"/>
      <c r="Z467" s="20"/>
      <c r="AA467" s="20"/>
    </row>
    <row r="468" spans="1:27" x14ac:dyDescent="0.2">
      <c r="A468" s="20"/>
      <c r="B468" s="20"/>
      <c r="C468" s="20"/>
      <c r="D468" s="20"/>
      <c r="E468" s="20"/>
      <c r="F468" s="20"/>
      <c r="G468" s="20"/>
      <c r="H468" s="20"/>
      <c r="J468" s="20"/>
      <c r="L468" s="20"/>
      <c r="M468" s="20"/>
      <c r="N468" s="20"/>
      <c r="O468" s="20"/>
      <c r="P468" s="20"/>
      <c r="R468" s="20"/>
      <c r="S468" s="20"/>
      <c r="T468" s="20"/>
      <c r="U468" s="20"/>
      <c r="V468" s="20"/>
      <c r="W468" s="20"/>
      <c r="X468" s="20"/>
      <c r="Y468" s="20"/>
      <c r="Z468" s="20"/>
      <c r="AA468" s="20"/>
    </row>
    <row r="469" spans="1:27" x14ac:dyDescent="0.2">
      <c r="A469" s="20"/>
      <c r="B469" s="20"/>
      <c r="C469" s="20"/>
      <c r="D469" s="20"/>
      <c r="E469" s="20"/>
      <c r="F469" s="20"/>
      <c r="G469" s="20"/>
      <c r="H469" s="20"/>
      <c r="J469" s="20"/>
      <c r="L469" s="20"/>
      <c r="M469" s="20"/>
      <c r="N469" s="20"/>
      <c r="O469" s="20"/>
      <c r="P469" s="20"/>
      <c r="R469" s="20"/>
      <c r="S469" s="20"/>
      <c r="T469" s="20"/>
      <c r="U469" s="20"/>
      <c r="V469" s="20"/>
      <c r="W469" s="20"/>
      <c r="X469" s="20"/>
      <c r="Y469" s="20"/>
      <c r="Z469" s="20"/>
      <c r="AA469" s="20"/>
    </row>
    <row r="470" spans="1:27" x14ac:dyDescent="0.2">
      <c r="A470" s="20"/>
      <c r="B470" s="20"/>
      <c r="C470" s="20"/>
      <c r="D470" s="20"/>
      <c r="E470" s="20"/>
      <c r="F470" s="20"/>
      <c r="G470" s="20"/>
      <c r="H470" s="20"/>
      <c r="J470" s="20"/>
      <c r="L470" s="20"/>
      <c r="M470" s="20"/>
      <c r="N470" s="20"/>
      <c r="O470" s="20"/>
      <c r="P470" s="20"/>
      <c r="R470" s="20"/>
      <c r="S470" s="20"/>
      <c r="T470" s="20"/>
      <c r="U470" s="20"/>
      <c r="V470" s="20"/>
      <c r="W470" s="20"/>
      <c r="X470" s="20"/>
      <c r="Y470" s="20"/>
      <c r="Z470" s="20"/>
      <c r="AA470" s="20"/>
    </row>
    <row r="471" spans="1:27" x14ac:dyDescent="0.2">
      <c r="A471" s="20"/>
      <c r="B471" s="20"/>
      <c r="C471" s="20"/>
      <c r="D471" s="20"/>
      <c r="E471" s="20"/>
      <c r="F471" s="20"/>
      <c r="G471" s="20"/>
      <c r="H471" s="20"/>
      <c r="J471" s="20"/>
      <c r="L471" s="20"/>
      <c r="M471" s="20"/>
      <c r="N471" s="20"/>
      <c r="O471" s="20"/>
      <c r="P471" s="20"/>
      <c r="R471" s="20"/>
      <c r="S471" s="20"/>
      <c r="T471" s="20"/>
      <c r="U471" s="20"/>
      <c r="V471" s="20"/>
      <c r="W471" s="20"/>
      <c r="X471" s="20"/>
      <c r="Y471" s="20"/>
      <c r="Z471" s="20"/>
      <c r="AA471" s="20"/>
    </row>
    <row r="472" spans="1:27" x14ac:dyDescent="0.2">
      <c r="A472" s="20"/>
      <c r="B472" s="20"/>
      <c r="C472" s="20"/>
      <c r="D472" s="20"/>
      <c r="E472" s="20"/>
      <c r="F472" s="20"/>
      <c r="G472" s="20"/>
      <c r="H472" s="20"/>
      <c r="J472" s="20"/>
      <c r="L472" s="20"/>
      <c r="M472" s="20"/>
      <c r="N472" s="20"/>
      <c r="O472" s="20"/>
      <c r="P472" s="20"/>
      <c r="R472" s="20"/>
      <c r="S472" s="20"/>
      <c r="T472" s="20"/>
      <c r="U472" s="20"/>
      <c r="V472" s="20"/>
      <c r="W472" s="20"/>
      <c r="X472" s="20"/>
      <c r="Y472" s="20"/>
      <c r="Z472" s="20"/>
      <c r="AA472" s="20"/>
    </row>
    <row r="473" spans="1:27" x14ac:dyDescent="0.2">
      <c r="A473" s="20"/>
      <c r="B473" s="20"/>
      <c r="C473" s="20"/>
      <c r="D473" s="20"/>
      <c r="E473" s="20"/>
      <c r="F473" s="20"/>
      <c r="G473" s="20"/>
      <c r="H473" s="20"/>
      <c r="J473" s="20"/>
      <c r="L473" s="20"/>
      <c r="M473" s="20"/>
      <c r="N473" s="20"/>
      <c r="O473" s="20"/>
      <c r="P473" s="20"/>
      <c r="R473" s="20"/>
      <c r="S473" s="20"/>
      <c r="T473" s="20"/>
      <c r="U473" s="20"/>
      <c r="V473" s="20"/>
      <c r="W473" s="20"/>
      <c r="X473" s="20"/>
      <c r="Y473" s="20"/>
      <c r="Z473" s="20"/>
      <c r="AA473" s="20"/>
    </row>
    <row r="474" spans="1:27" x14ac:dyDescent="0.2">
      <c r="A474" s="20"/>
      <c r="B474" s="20"/>
      <c r="C474" s="20"/>
      <c r="D474" s="20"/>
      <c r="E474" s="20"/>
      <c r="F474" s="20"/>
      <c r="G474" s="20"/>
      <c r="H474" s="20"/>
      <c r="J474" s="20"/>
      <c r="L474" s="20"/>
      <c r="M474" s="20"/>
      <c r="N474" s="20"/>
      <c r="O474" s="20"/>
      <c r="P474" s="20"/>
      <c r="R474" s="20"/>
      <c r="S474" s="20"/>
      <c r="T474" s="20"/>
      <c r="U474" s="20"/>
      <c r="V474" s="20"/>
      <c r="W474" s="20"/>
      <c r="X474" s="20"/>
      <c r="Y474" s="20"/>
      <c r="Z474" s="20"/>
      <c r="AA474" s="20"/>
    </row>
    <row r="475" spans="1:27" x14ac:dyDescent="0.2">
      <c r="A475" s="20"/>
      <c r="B475" s="20"/>
      <c r="C475" s="20"/>
      <c r="D475" s="20"/>
      <c r="E475" s="20"/>
      <c r="F475" s="20"/>
      <c r="G475" s="20"/>
      <c r="H475" s="20"/>
      <c r="J475" s="20"/>
      <c r="L475" s="20"/>
      <c r="M475" s="20"/>
      <c r="N475" s="20"/>
      <c r="O475" s="20"/>
      <c r="P475" s="20"/>
      <c r="R475" s="20"/>
      <c r="S475" s="20"/>
      <c r="T475" s="20"/>
      <c r="U475" s="20"/>
      <c r="V475" s="20"/>
      <c r="W475" s="20"/>
      <c r="X475" s="20"/>
      <c r="Y475" s="20"/>
      <c r="Z475" s="20"/>
      <c r="AA475" s="20"/>
    </row>
    <row r="476" spans="1:27" x14ac:dyDescent="0.2">
      <c r="A476" s="20"/>
      <c r="B476" s="20"/>
      <c r="C476" s="20"/>
      <c r="D476" s="20"/>
      <c r="E476" s="20"/>
      <c r="F476" s="20"/>
      <c r="G476" s="20"/>
      <c r="H476" s="20"/>
      <c r="J476" s="20"/>
      <c r="L476" s="20"/>
      <c r="M476" s="20"/>
      <c r="N476" s="20"/>
      <c r="O476" s="20"/>
      <c r="P476" s="20"/>
      <c r="R476" s="20"/>
      <c r="S476" s="20"/>
      <c r="T476" s="20"/>
      <c r="U476" s="20"/>
      <c r="V476" s="20"/>
      <c r="W476" s="20"/>
      <c r="X476" s="20"/>
      <c r="Y476" s="20"/>
      <c r="Z476" s="20"/>
      <c r="AA476" s="20"/>
    </row>
    <row r="477" spans="1:27" x14ac:dyDescent="0.2">
      <c r="A477" s="20"/>
      <c r="B477" s="20"/>
      <c r="C477" s="20"/>
      <c r="D477" s="20"/>
      <c r="E477" s="20"/>
      <c r="F477" s="20"/>
      <c r="G477" s="20"/>
      <c r="H477" s="20"/>
      <c r="J477" s="20"/>
      <c r="L477" s="20"/>
      <c r="M477" s="20"/>
      <c r="N477" s="20"/>
      <c r="O477" s="20"/>
      <c r="P477" s="20"/>
      <c r="R477" s="20"/>
      <c r="S477" s="20"/>
      <c r="T477" s="20"/>
      <c r="U477" s="20"/>
      <c r="V477" s="20"/>
      <c r="W477" s="20"/>
      <c r="X477" s="20"/>
      <c r="Y477" s="20"/>
      <c r="Z477" s="20"/>
      <c r="AA477" s="20"/>
    </row>
    <row r="478" spans="1:27" x14ac:dyDescent="0.2">
      <c r="A478" s="20"/>
      <c r="B478" s="20"/>
      <c r="C478" s="20"/>
      <c r="D478" s="20"/>
      <c r="E478" s="20"/>
      <c r="F478" s="20"/>
      <c r="G478" s="20"/>
      <c r="H478" s="20"/>
      <c r="J478" s="20"/>
      <c r="L478" s="20"/>
      <c r="M478" s="20"/>
      <c r="N478" s="20"/>
      <c r="O478" s="20"/>
      <c r="P478" s="20"/>
      <c r="R478" s="20"/>
      <c r="S478" s="20"/>
      <c r="T478" s="20"/>
      <c r="U478" s="20"/>
      <c r="V478" s="20"/>
      <c r="W478" s="20"/>
      <c r="X478" s="20"/>
      <c r="Y478" s="20"/>
      <c r="Z478" s="20"/>
      <c r="AA478" s="20"/>
    </row>
    <row r="479" spans="1:27" x14ac:dyDescent="0.2">
      <c r="A479" s="20"/>
      <c r="B479" s="20"/>
      <c r="C479" s="20"/>
      <c r="D479" s="20"/>
      <c r="E479" s="20"/>
      <c r="F479" s="20"/>
      <c r="G479" s="20"/>
      <c r="H479" s="20"/>
      <c r="J479" s="20"/>
      <c r="L479" s="20"/>
      <c r="M479" s="20"/>
      <c r="N479" s="20"/>
      <c r="O479" s="20"/>
      <c r="P479" s="20"/>
      <c r="R479" s="20"/>
      <c r="S479" s="20"/>
      <c r="T479" s="20"/>
      <c r="U479" s="20"/>
      <c r="V479" s="20"/>
      <c r="W479" s="20"/>
      <c r="X479" s="20"/>
      <c r="Y479" s="20"/>
      <c r="Z479" s="20"/>
      <c r="AA479" s="20"/>
    </row>
    <row r="480" spans="1:27" x14ac:dyDescent="0.2">
      <c r="A480" s="20"/>
      <c r="B480" s="20"/>
      <c r="C480" s="20"/>
      <c r="D480" s="20"/>
      <c r="E480" s="20"/>
      <c r="F480" s="20"/>
      <c r="G480" s="20"/>
      <c r="H480" s="20"/>
      <c r="J480" s="20"/>
      <c r="L480" s="20"/>
      <c r="M480" s="20"/>
      <c r="N480" s="20"/>
      <c r="O480" s="20"/>
      <c r="P480" s="20"/>
      <c r="R480" s="20"/>
      <c r="S480" s="20"/>
      <c r="T480" s="20"/>
      <c r="U480" s="20"/>
      <c r="V480" s="20"/>
      <c r="W480" s="20"/>
      <c r="X480" s="20"/>
      <c r="Y480" s="20"/>
      <c r="Z480" s="20"/>
      <c r="AA480" s="20"/>
    </row>
    <row r="481" spans="1:27" x14ac:dyDescent="0.2">
      <c r="A481" s="20"/>
      <c r="B481" s="20"/>
      <c r="C481" s="20"/>
      <c r="D481" s="20"/>
      <c r="E481" s="20"/>
      <c r="F481" s="20"/>
      <c r="G481" s="20"/>
      <c r="H481" s="20"/>
      <c r="J481" s="20"/>
      <c r="L481" s="20"/>
      <c r="M481" s="20"/>
      <c r="N481" s="20"/>
      <c r="O481" s="20"/>
      <c r="P481" s="20"/>
      <c r="R481" s="20"/>
      <c r="S481" s="20"/>
      <c r="T481" s="20"/>
      <c r="U481" s="20"/>
      <c r="V481" s="20"/>
      <c r="W481" s="20"/>
      <c r="X481" s="20"/>
      <c r="Y481" s="20"/>
      <c r="Z481" s="20"/>
      <c r="AA481" s="20"/>
    </row>
    <row r="482" spans="1:27" x14ac:dyDescent="0.2">
      <c r="A482" s="20"/>
      <c r="B482" s="20"/>
      <c r="C482" s="20"/>
      <c r="D482" s="20"/>
      <c r="E482" s="20"/>
      <c r="F482" s="20"/>
      <c r="G482" s="20"/>
      <c r="H482" s="20"/>
      <c r="J482" s="20"/>
      <c r="L482" s="20"/>
      <c r="M482" s="20"/>
      <c r="N482" s="20"/>
      <c r="O482" s="20"/>
      <c r="P482" s="20"/>
      <c r="R482" s="20"/>
      <c r="S482" s="20"/>
      <c r="T482" s="20"/>
      <c r="U482" s="20"/>
      <c r="V482" s="20"/>
      <c r="W482" s="20"/>
      <c r="X482" s="20"/>
      <c r="Y482" s="20"/>
      <c r="Z482" s="20"/>
      <c r="AA482" s="20"/>
    </row>
    <row r="483" spans="1:27" x14ac:dyDescent="0.2">
      <c r="A483" s="20"/>
      <c r="B483" s="20"/>
      <c r="C483" s="20"/>
      <c r="D483" s="20"/>
      <c r="E483" s="20"/>
      <c r="F483" s="20"/>
      <c r="G483" s="20"/>
      <c r="H483" s="20"/>
      <c r="J483" s="20"/>
      <c r="L483" s="20"/>
      <c r="M483" s="20"/>
      <c r="N483" s="20"/>
      <c r="O483" s="20"/>
      <c r="P483" s="20"/>
      <c r="R483" s="20"/>
      <c r="S483" s="20"/>
      <c r="T483" s="20"/>
      <c r="U483" s="20"/>
      <c r="V483" s="20"/>
      <c r="W483" s="20"/>
      <c r="X483" s="20"/>
      <c r="Y483" s="20"/>
      <c r="Z483" s="20"/>
      <c r="AA483" s="20"/>
    </row>
    <row r="484" spans="1:27" x14ac:dyDescent="0.2">
      <c r="A484" s="20"/>
      <c r="B484" s="20"/>
      <c r="C484" s="20"/>
      <c r="D484" s="20"/>
      <c r="E484" s="20"/>
      <c r="F484" s="20"/>
      <c r="G484" s="20"/>
      <c r="H484" s="20"/>
      <c r="J484" s="20"/>
      <c r="L484" s="20"/>
      <c r="M484" s="20"/>
      <c r="N484" s="20"/>
      <c r="O484" s="20"/>
      <c r="P484" s="20"/>
      <c r="R484" s="20"/>
      <c r="S484" s="20"/>
      <c r="T484" s="20"/>
      <c r="U484" s="20"/>
      <c r="V484" s="20"/>
      <c r="W484" s="20"/>
      <c r="X484" s="20"/>
      <c r="Y484" s="20"/>
      <c r="Z484" s="20"/>
      <c r="AA484" s="20"/>
    </row>
    <row r="485" spans="1:27" x14ac:dyDescent="0.2">
      <c r="A485" s="20"/>
      <c r="B485" s="20"/>
      <c r="C485" s="20"/>
      <c r="D485" s="20"/>
      <c r="E485" s="20"/>
      <c r="F485" s="20"/>
      <c r="G485" s="20"/>
      <c r="H485" s="20"/>
      <c r="J485" s="20"/>
      <c r="L485" s="20"/>
      <c r="M485" s="20"/>
      <c r="N485" s="20"/>
      <c r="O485" s="20"/>
      <c r="P485" s="20"/>
      <c r="R485" s="20"/>
      <c r="S485" s="20"/>
      <c r="T485" s="20"/>
      <c r="U485" s="20"/>
      <c r="V485" s="20"/>
      <c r="W485" s="20"/>
      <c r="X485" s="20"/>
      <c r="Y485" s="20"/>
      <c r="Z485" s="20"/>
      <c r="AA485" s="20"/>
    </row>
    <row r="486" spans="1:27" x14ac:dyDescent="0.2">
      <c r="A486" s="20"/>
      <c r="B486" s="20"/>
      <c r="C486" s="20"/>
      <c r="D486" s="20"/>
      <c r="E486" s="20"/>
      <c r="F486" s="20"/>
      <c r="G486" s="20"/>
      <c r="H486" s="20"/>
      <c r="J486" s="20"/>
      <c r="L486" s="20"/>
      <c r="M486" s="20"/>
      <c r="N486" s="20"/>
      <c r="O486" s="20"/>
      <c r="P486" s="20"/>
      <c r="R486" s="20"/>
      <c r="S486" s="20"/>
      <c r="T486" s="20"/>
      <c r="U486" s="20"/>
      <c r="V486" s="20"/>
      <c r="W486" s="20"/>
      <c r="X486" s="20"/>
      <c r="Y486" s="20"/>
      <c r="Z486" s="20"/>
      <c r="AA486" s="20"/>
    </row>
    <row r="487" spans="1:27" x14ac:dyDescent="0.2">
      <c r="A487" s="20"/>
      <c r="B487" s="20"/>
      <c r="C487" s="20"/>
      <c r="D487" s="20"/>
      <c r="E487" s="20"/>
      <c r="F487" s="20"/>
      <c r="G487" s="20"/>
      <c r="H487" s="20"/>
      <c r="J487" s="20"/>
      <c r="L487" s="20"/>
      <c r="M487" s="20"/>
      <c r="N487" s="20"/>
      <c r="O487" s="20"/>
      <c r="P487" s="20"/>
      <c r="R487" s="20"/>
      <c r="S487" s="20"/>
      <c r="T487" s="20"/>
      <c r="U487" s="20"/>
      <c r="V487" s="20"/>
      <c r="W487" s="20"/>
      <c r="X487" s="20"/>
      <c r="Y487" s="20"/>
      <c r="Z487" s="20"/>
      <c r="AA487" s="20"/>
    </row>
    <row r="488" spans="1:27" x14ac:dyDescent="0.2">
      <c r="A488" s="20"/>
      <c r="B488" s="20"/>
      <c r="C488" s="20"/>
      <c r="D488" s="20"/>
      <c r="E488" s="20"/>
      <c r="F488" s="20"/>
      <c r="G488" s="20"/>
      <c r="H488" s="20"/>
      <c r="J488" s="20"/>
      <c r="L488" s="20"/>
      <c r="M488" s="20"/>
      <c r="N488" s="20"/>
      <c r="O488" s="20"/>
      <c r="P488" s="20"/>
      <c r="R488" s="20"/>
      <c r="S488" s="20"/>
      <c r="T488" s="20"/>
      <c r="U488" s="20"/>
      <c r="V488" s="20"/>
      <c r="W488" s="20"/>
      <c r="X488" s="20"/>
      <c r="Y488" s="20"/>
      <c r="Z488" s="20"/>
      <c r="AA488" s="20"/>
    </row>
    <row r="489" spans="1:27" x14ac:dyDescent="0.2">
      <c r="A489" s="20"/>
      <c r="B489" s="20"/>
      <c r="C489" s="20"/>
      <c r="D489" s="20"/>
      <c r="E489" s="20"/>
      <c r="F489" s="20"/>
      <c r="G489" s="20"/>
      <c r="H489" s="20"/>
      <c r="J489" s="20"/>
      <c r="L489" s="20"/>
      <c r="M489" s="20"/>
      <c r="N489" s="20"/>
      <c r="O489" s="20"/>
      <c r="P489" s="20"/>
      <c r="R489" s="20"/>
      <c r="S489" s="20"/>
      <c r="T489" s="20"/>
      <c r="U489" s="20"/>
      <c r="V489" s="20"/>
      <c r="W489" s="20"/>
      <c r="X489" s="20"/>
      <c r="Y489" s="20"/>
      <c r="Z489" s="20"/>
      <c r="AA489" s="20"/>
    </row>
    <row r="490" spans="1:27" x14ac:dyDescent="0.2">
      <c r="A490" s="20"/>
      <c r="B490" s="20"/>
      <c r="C490" s="20"/>
      <c r="D490" s="20"/>
      <c r="E490" s="20"/>
      <c r="F490" s="20"/>
      <c r="G490" s="20"/>
      <c r="H490" s="20"/>
      <c r="J490" s="20"/>
      <c r="L490" s="20"/>
      <c r="M490" s="20"/>
      <c r="N490" s="20"/>
      <c r="O490" s="20"/>
      <c r="P490" s="20"/>
      <c r="R490" s="20"/>
      <c r="S490" s="20"/>
      <c r="T490" s="20"/>
      <c r="U490" s="20"/>
      <c r="V490" s="20"/>
      <c r="W490" s="20"/>
      <c r="X490" s="20"/>
      <c r="Y490" s="20"/>
      <c r="Z490" s="20"/>
      <c r="AA490" s="20"/>
    </row>
    <row r="491" spans="1:27" x14ac:dyDescent="0.2">
      <c r="A491" s="20"/>
      <c r="B491" s="20"/>
      <c r="C491" s="20"/>
      <c r="D491" s="20"/>
      <c r="E491" s="20"/>
      <c r="F491" s="20"/>
      <c r="G491" s="20"/>
      <c r="H491" s="20"/>
      <c r="J491" s="20"/>
      <c r="L491" s="20"/>
      <c r="M491" s="20"/>
      <c r="N491" s="20"/>
      <c r="O491" s="20"/>
      <c r="P491" s="20"/>
      <c r="R491" s="20"/>
      <c r="S491" s="20"/>
      <c r="T491" s="20"/>
      <c r="U491" s="20"/>
      <c r="V491" s="20"/>
      <c r="W491" s="20"/>
      <c r="X491" s="20"/>
      <c r="Y491" s="20"/>
      <c r="Z491" s="20"/>
      <c r="AA491" s="20"/>
    </row>
    <row r="492" spans="1:27" x14ac:dyDescent="0.2">
      <c r="A492" s="20"/>
      <c r="B492" s="20"/>
      <c r="C492" s="20"/>
      <c r="D492" s="20"/>
      <c r="E492" s="20"/>
      <c r="F492" s="20"/>
      <c r="G492" s="20"/>
      <c r="H492" s="20"/>
      <c r="J492" s="20"/>
      <c r="L492" s="20"/>
      <c r="M492" s="20"/>
      <c r="N492" s="20"/>
      <c r="O492" s="20"/>
      <c r="P492" s="20"/>
      <c r="R492" s="20"/>
      <c r="S492" s="20"/>
      <c r="T492" s="20"/>
      <c r="U492" s="20"/>
      <c r="V492" s="20"/>
      <c r="W492" s="20"/>
      <c r="X492" s="20"/>
      <c r="Y492" s="20"/>
      <c r="Z492" s="20"/>
      <c r="AA492" s="20"/>
    </row>
    <row r="493" spans="1:27" x14ac:dyDescent="0.2">
      <c r="A493" s="20"/>
      <c r="B493" s="20"/>
      <c r="C493" s="20"/>
      <c r="D493" s="20"/>
      <c r="E493" s="20"/>
      <c r="F493" s="20"/>
      <c r="G493" s="20"/>
      <c r="H493" s="20"/>
      <c r="J493" s="20"/>
      <c r="L493" s="20"/>
      <c r="M493" s="20"/>
      <c r="N493" s="20"/>
      <c r="O493" s="20"/>
      <c r="P493" s="20"/>
      <c r="R493" s="20"/>
      <c r="S493" s="20"/>
      <c r="T493" s="20"/>
      <c r="U493" s="20"/>
      <c r="V493" s="20"/>
      <c r="W493" s="20"/>
      <c r="X493" s="20"/>
      <c r="Y493" s="20"/>
      <c r="Z493" s="20"/>
      <c r="AA493" s="20"/>
    </row>
    <row r="494" spans="1:27" x14ac:dyDescent="0.2">
      <c r="A494" s="20"/>
      <c r="B494" s="20"/>
      <c r="C494" s="20"/>
      <c r="D494" s="20"/>
      <c r="E494" s="20"/>
      <c r="F494" s="20"/>
      <c r="G494" s="20"/>
      <c r="H494" s="20"/>
      <c r="J494" s="20"/>
      <c r="L494" s="20"/>
      <c r="M494" s="20"/>
      <c r="N494" s="20"/>
      <c r="O494" s="20"/>
      <c r="P494" s="20"/>
      <c r="R494" s="20"/>
      <c r="S494" s="20"/>
      <c r="T494" s="20"/>
      <c r="U494" s="20"/>
      <c r="V494" s="20"/>
      <c r="W494" s="20"/>
      <c r="X494" s="20"/>
      <c r="Y494" s="20"/>
      <c r="Z494" s="20"/>
      <c r="AA494" s="20"/>
    </row>
    <row r="495" spans="1:27" x14ac:dyDescent="0.2">
      <c r="A495" s="20"/>
      <c r="B495" s="20"/>
      <c r="C495" s="20"/>
      <c r="D495" s="20"/>
      <c r="E495" s="20"/>
      <c r="F495" s="20"/>
      <c r="G495" s="20"/>
      <c r="H495" s="20"/>
      <c r="J495" s="20"/>
      <c r="L495" s="20"/>
      <c r="M495" s="20"/>
      <c r="N495" s="20"/>
      <c r="O495" s="20"/>
      <c r="P495" s="20"/>
      <c r="R495" s="20"/>
      <c r="S495" s="20"/>
      <c r="T495" s="20"/>
      <c r="U495" s="20"/>
      <c r="V495" s="20"/>
      <c r="W495" s="20"/>
      <c r="X495" s="20"/>
      <c r="Y495" s="20"/>
      <c r="Z495" s="20"/>
      <c r="AA495" s="20"/>
    </row>
    <row r="496" spans="1:27" x14ac:dyDescent="0.2">
      <c r="A496" s="20"/>
      <c r="B496" s="20"/>
      <c r="C496" s="20"/>
      <c r="D496" s="20"/>
      <c r="E496" s="20"/>
      <c r="F496" s="20"/>
      <c r="G496" s="20"/>
      <c r="H496" s="20"/>
      <c r="J496" s="20"/>
      <c r="L496" s="20"/>
      <c r="M496" s="20"/>
      <c r="N496" s="20"/>
      <c r="O496" s="20"/>
      <c r="P496" s="20"/>
      <c r="R496" s="20"/>
      <c r="S496" s="20"/>
      <c r="T496" s="20"/>
      <c r="U496" s="20"/>
      <c r="V496" s="20"/>
      <c r="W496" s="20"/>
      <c r="X496" s="20"/>
      <c r="Y496" s="20"/>
      <c r="Z496" s="20"/>
      <c r="AA496" s="20"/>
    </row>
    <row r="497" spans="1:27" x14ac:dyDescent="0.2">
      <c r="A497" s="20"/>
      <c r="B497" s="20"/>
      <c r="C497" s="20"/>
      <c r="D497" s="20"/>
      <c r="E497" s="20"/>
      <c r="F497" s="20"/>
      <c r="G497" s="20"/>
      <c r="H497" s="20"/>
      <c r="J497" s="20"/>
      <c r="L497" s="20"/>
      <c r="M497" s="20"/>
      <c r="N497" s="20"/>
      <c r="O497" s="20"/>
      <c r="P497" s="20"/>
      <c r="R497" s="20"/>
      <c r="S497" s="20"/>
      <c r="T497" s="20"/>
      <c r="U497" s="20"/>
      <c r="V497" s="20"/>
      <c r="W497" s="20"/>
      <c r="X497" s="20"/>
      <c r="Y497" s="20"/>
      <c r="Z497" s="20"/>
      <c r="AA497" s="20"/>
    </row>
    <row r="498" spans="1:27" x14ac:dyDescent="0.2">
      <c r="A498" s="20"/>
      <c r="B498" s="20"/>
      <c r="C498" s="20"/>
      <c r="D498" s="20"/>
      <c r="E498" s="20"/>
      <c r="F498" s="20"/>
      <c r="G498" s="20"/>
      <c r="H498" s="20"/>
      <c r="J498" s="20"/>
      <c r="L498" s="20"/>
      <c r="M498" s="20"/>
      <c r="N498" s="20"/>
      <c r="O498" s="20"/>
      <c r="P498" s="20"/>
      <c r="R498" s="20"/>
      <c r="S498" s="20"/>
      <c r="T498" s="20"/>
      <c r="U498" s="20"/>
      <c r="V498" s="20"/>
      <c r="W498" s="20"/>
      <c r="X498" s="20"/>
      <c r="Y498" s="20"/>
      <c r="Z498" s="20"/>
      <c r="AA498" s="20"/>
    </row>
    <row r="499" spans="1:27" x14ac:dyDescent="0.2">
      <c r="A499" s="20"/>
      <c r="B499" s="20"/>
      <c r="C499" s="20"/>
      <c r="D499" s="20"/>
      <c r="E499" s="20"/>
      <c r="F499" s="20"/>
      <c r="G499" s="20"/>
      <c r="H499" s="20"/>
      <c r="J499" s="20"/>
      <c r="L499" s="20"/>
      <c r="M499" s="20"/>
      <c r="N499" s="20"/>
      <c r="O499" s="20"/>
      <c r="P499" s="20"/>
      <c r="R499" s="20"/>
      <c r="S499" s="20"/>
      <c r="T499" s="20"/>
      <c r="U499" s="20"/>
      <c r="V499" s="20"/>
      <c r="W499" s="20"/>
      <c r="X499" s="20"/>
      <c r="Y499" s="20"/>
      <c r="Z499" s="20"/>
      <c r="AA499" s="20"/>
    </row>
    <row r="500" spans="1:27" x14ac:dyDescent="0.2">
      <c r="A500" s="20"/>
      <c r="B500" s="20"/>
      <c r="C500" s="20"/>
      <c r="D500" s="20"/>
      <c r="E500" s="20"/>
      <c r="F500" s="20"/>
      <c r="G500" s="20"/>
      <c r="H500" s="20"/>
      <c r="J500" s="20"/>
      <c r="L500" s="20"/>
      <c r="M500" s="20"/>
      <c r="N500" s="20"/>
      <c r="O500" s="20"/>
      <c r="P500" s="20"/>
      <c r="R500" s="20"/>
      <c r="S500" s="20"/>
      <c r="T500" s="20"/>
      <c r="U500" s="20"/>
      <c r="V500" s="20"/>
      <c r="W500" s="20"/>
      <c r="X500" s="20"/>
      <c r="Y500" s="20"/>
      <c r="Z500" s="20"/>
      <c r="AA500" s="20"/>
    </row>
    <row r="501" spans="1:27" x14ac:dyDescent="0.2">
      <c r="A501" s="20"/>
      <c r="B501" s="20"/>
      <c r="C501" s="20"/>
      <c r="D501" s="20"/>
      <c r="E501" s="20"/>
      <c r="F501" s="20"/>
      <c r="G501" s="20"/>
      <c r="H501" s="20"/>
      <c r="J501" s="20"/>
      <c r="L501" s="20"/>
      <c r="M501" s="20"/>
      <c r="N501" s="20"/>
      <c r="O501" s="20"/>
      <c r="P501" s="20"/>
      <c r="R501" s="20"/>
      <c r="S501" s="20"/>
      <c r="T501" s="20"/>
      <c r="U501" s="20"/>
      <c r="V501" s="20"/>
      <c r="W501" s="20"/>
      <c r="X501" s="20"/>
      <c r="Y501" s="20"/>
      <c r="Z501" s="20"/>
      <c r="AA501" s="20"/>
    </row>
    <row r="502" spans="1:27" x14ac:dyDescent="0.2">
      <c r="A502" s="20"/>
      <c r="B502" s="20"/>
      <c r="C502" s="20"/>
      <c r="D502" s="20"/>
      <c r="E502" s="20"/>
      <c r="F502" s="20"/>
      <c r="G502" s="20"/>
      <c r="H502" s="20"/>
      <c r="J502" s="20"/>
      <c r="L502" s="20"/>
      <c r="M502" s="20"/>
      <c r="N502" s="20"/>
      <c r="O502" s="20"/>
      <c r="P502" s="20"/>
      <c r="R502" s="20"/>
      <c r="S502" s="20"/>
      <c r="T502" s="20"/>
      <c r="U502" s="20"/>
      <c r="V502" s="20"/>
      <c r="W502" s="20"/>
      <c r="X502" s="20"/>
      <c r="Y502" s="20"/>
      <c r="Z502" s="20"/>
      <c r="AA502" s="20"/>
    </row>
    <row r="503" spans="1:27" x14ac:dyDescent="0.2">
      <c r="A503" s="20"/>
      <c r="B503" s="20"/>
      <c r="C503" s="20"/>
      <c r="D503" s="20"/>
      <c r="E503" s="20"/>
      <c r="F503" s="20"/>
      <c r="G503" s="20"/>
      <c r="H503" s="20"/>
      <c r="J503" s="20"/>
      <c r="L503" s="20"/>
      <c r="M503" s="20"/>
      <c r="N503" s="20"/>
      <c r="O503" s="20"/>
      <c r="P503" s="20"/>
      <c r="R503" s="20"/>
      <c r="S503" s="20"/>
      <c r="T503" s="20"/>
      <c r="U503" s="20"/>
      <c r="V503" s="20"/>
      <c r="W503" s="20"/>
      <c r="X503" s="20"/>
      <c r="Y503" s="20"/>
      <c r="Z503" s="20"/>
      <c r="AA503" s="20"/>
    </row>
    <row r="504" spans="1:27" x14ac:dyDescent="0.2">
      <c r="A504" s="20"/>
      <c r="B504" s="20"/>
      <c r="C504" s="20"/>
      <c r="D504" s="20"/>
      <c r="E504" s="20"/>
      <c r="F504" s="20"/>
      <c r="G504" s="20"/>
      <c r="H504" s="20"/>
      <c r="J504" s="20"/>
      <c r="L504" s="20"/>
      <c r="M504" s="20"/>
      <c r="N504" s="20"/>
      <c r="O504" s="20"/>
      <c r="P504" s="20"/>
      <c r="R504" s="20"/>
      <c r="S504" s="20"/>
      <c r="T504" s="20"/>
      <c r="U504" s="20"/>
      <c r="V504" s="20"/>
      <c r="W504" s="20"/>
      <c r="X504" s="20"/>
      <c r="Y504" s="20"/>
      <c r="Z504" s="20"/>
      <c r="AA504" s="20"/>
    </row>
    <row r="505" spans="1:27" x14ac:dyDescent="0.2">
      <c r="A505" s="20"/>
      <c r="B505" s="20"/>
      <c r="C505" s="20"/>
      <c r="D505" s="20"/>
      <c r="E505" s="20"/>
      <c r="F505" s="20"/>
      <c r="G505" s="20"/>
      <c r="H505" s="20"/>
      <c r="J505" s="20"/>
      <c r="L505" s="20"/>
      <c r="M505" s="20"/>
      <c r="N505" s="20"/>
      <c r="O505" s="20"/>
      <c r="P505" s="20"/>
      <c r="R505" s="20"/>
      <c r="S505" s="20"/>
      <c r="T505" s="20"/>
      <c r="U505" s="20"/>
      <c r="V505" s="20"/>
      <c r="W505" s="20"/>
      <c r="X505" s="20"/>
      <c r="Y505" s="20"/>
      <c r="Z505" s="20"/>
      <c r="AA505" s="20"/>
    </row>
    <row r="506" spans="1:27" x14ac:dyDescent="0.2">
      <c r="A506" s="20"/>
      <c r="B506" s="20"/>
      <c r="C506" s="20"/>
      <c r="D506" s="20"/>
      <c r="E506" s="20"/>
      <c r="F506" s="20"/>
      <c r="G506" s="20"/>
      <c r="H506" s="20"/>
      <c r="J506" s="20"/>
      <c r="L506" s="20"/>
      <c r="M506" s="20"/>
      <c r="N506" s="20"/>
      <c r="O506" s="20"/>
      <c r="P506" s="20"/>
      <c r="R506" s="20"/>
      <c r="S506" s="20"/>
      <c r="T506" s="20"/>
      <c r="U506" s="20"/>
      <c r="V506" s="20"/>
      <c r="W506" s="20"/>
      <c r="X506" s="20"/>
      <c r="Y506" s="20"/>
      <c r="Z506" s="20"/>
      <c r="AA506" s="20"/>
    </row>
    <row r="507" spans="1:27" x14ac:dyDescent="0.2">
      <c r="A507" s="20"/>
      <c r="B507" s="20"/>
      <c r="C507" s="20"/>
      <c r="D507" s="20"/>
      <c r="E507" s="20"/>
      <c r="F507" s="20"/>
      <c r="G507" s="20"/>
      <c r="H507" s="20"/>
      <c r="J507" s="20"/>
      <c r="L507" s="20"/>
      <c r="M507" s="20"/>
      <c r="N507" s="20"/>
      <c r="O507" s="20"/>
      <c r="P507" s="20"/>
      <c r="R507" s="20"/>
      <c r="S507" s="20"/>
      <c r="T507" s="20"/>
      <c r="U507" s="20"/>
      <c r="V507" s="20"/>
      <c r="W507" s="20"/>
      <c r="X507" s="20"/>
      <c r="Y507" s="20"/>
      <c r="Z507" s="20"/>
      <c r="AA507" s="20"/>
    </row>
    <row r="508" spans="1:27" x14ac:dyDescent="0.2">
      <c r="A508" s="20"/>
      <c r="B508" s="20"/>
      <c r="C508" s="20"/>
      <c r="D508" s="20"/>
      <c r="E508" s="20"/>
      <c r="F508" s="20"/>
      <c r="G508" s="20"/>
      <c r="H508" s="20"/>
      <c r="J508" s="20"/>
      <c r="L508" s="20"/>
      <c r="M508" s="20"/>
      <c r="N508" s="20"/>
      <c r="O508" s="20"/>
      <c r="P508" s="20"/>
      <c r="R508" s="20"/>
      <c r="S508" s="20"/>
      <c r="T508" s="20"/>
      <c r="U508" s="20"/>
      <c r="V508" s="20"/>
      <c r="W508" s="20"/>
      <c r="X508" s="20"/>
      <c r="Y508" s="20"/>
      <c r="Z508" s="20"/>
      <c r="AA508" s="20"/>
    </row>
    <row r="509" spans="1:27" x14ac:dyDescent="0.2">
      <c r="A509" s="20"/>
      <c r="B509" s="20"/>
      <c r="C509" s="20"/>
      <c r="D509" s="20"/>
      <c r="E509" s="20"/>
      <c r="F509" s="20"/>
      <c r="G509" s="20"/>
      <c r="H509" s="20"/>
      <c r="J509" s="20"/>
      <c r="L509" s="20"/>
      <c r="M509" s="20"/>
      <c r="N509" s="20"/>
      <c r="O509" s="20"/>
      <c r="P509" s="20"/>
      <c r="R509" s="20"/>
      <c r="S509" s="20"/>
      <c r="T509" s="20"/>
      <c r="U509" s="20"/>
      <c r="V509" s="20"/>
      <c r="W509" s="20"/>
      <c r="X509" s="20"/>
      <c r="Y509" s="20"/>
      <c r="Z509" s="20"/>
      <c r="AA509" s="20"/>
    </row>
    <row r="510" spans="1:27" x14ac:dyDescent="0.2">
      <c r="A510" s="20"/>
      <c r="B510" s="20"/>
      <c r="C510" s="20"/>
      <c r="D510" s="20"/>
      <c r="E510" s="20"/>
      <c r="F510" s="20"/>
      <c r="G510" s="20"/>
      <c r="H510" s="20"/>
      <c r="J510" s="20"/>
      <c r="L510" s="20"/>
      <c r="M510" s="20"/>
      <c r="N510" s="20"/>
      <c r="O510" s="20"/>
      <c r="P510" s="20"/>
      <c r="R510" s="20"/>
      <c r="S510" s="20"/>
      <c r="T510" s="20"/>
      <c r="U510" s="20"/>
      <c r="V510" s="20"/>
      <c r="W510" s="20"/>
      <c r="X510" s="20"/>
      <c r="Y510" s="20"/>
      <c r="Z510" s="20"/>
      <c r="AA510" s="20"/>
    </row>
    <row r="511" spans="1:27" x14ac:dyDescent="0.2">
      <c r="A511" s="20"/>
      <c r="B511" s="20"/>
      <c r="C511" s="20"/>
      <c r="D511" s="20"/>
      <c r="E511" s="20"/>
      <c r="F511" s="20"/>
      <c r="G511" s="20"/>
      <c r="H511" s="20"/>
      <c r="J511" s="20"/>
      <c r="L511" s="20"/>
      <c r="M511" s="20"/>
      <c r="N511" s="20"/>
      <c r="O511" s="20"/>
      <c r="P511" s="20"/>
      <c r="R511" s="20"/>
      <c r="S511" s="20"/>
      <c r="T511" s="20"/>
      <c r="U511" s="20"/>
      <c r="V511" s="20"/>
      <c r="W511" s="20"/>
      <c r="X511" s="20"/>
      <c r="Y511" s="20"/>
      <c r="Z511" s="20"/>
      <c r="AA511" s="20"/>
    </row>
    <row r="512" spans="1:27" x14ac:dyDescent="0.2">
      <c r="A512" s="20"/>
      <c r="B512" s="20"/>
      <c r="C512" s="20"/>
      <c r="D512" s="20"/>
      <c r="E512" s="20"/>
      <c r="F512" s="20"/>
      <c r="G512" s="20"/>
      <c r="H512" s="20"/>
      <c r="J512" s="20"/>
      <c r="L512" s="20"/>
      <c r="M512" s="20"/>
      <c r="N512" s="20"/>
      <c r="O512" s="20"/>
      <c r="P512" s="20"/>
      <c r="R512" s="20"/>
      <c r="S512" s="20"/>
      <c r="T512" s="20"/>
      <c r="U512" s="20"/>
      <c r="V512" s="20"/>
      <c r="W512" s="20"/>
      <c r="X512" s="20"/>
      <c r="Y512" s="20"/>
      <c r="Z512" s="20"/>
      <c r="AA512" s="20"/>
    </row>
    <row r="513" spans="1:27" x14ac:dyDescent="0.2">
      <c r="A513" s="20"/>
      <c r="B513" s="20"/>
      <c r="C513" s="20"/>
      <c r="D513" s="20"/>
      <c r="E513" s="20"/>
      <c r="F513" s="20"/>
      <c r="G513" s="20"/>
      <c r="H513" s="20"/>
      <c r="J513" s="20"/>
      <c r="L513" s="20"/>
      <c r="M513" s="20"/>
      <c r="N513" s="20"/>
      <c r="O513" s="20"/>
      <c r="P513" s="20"/>
      <c r="R513" s="20"/>
      <c r="S513" s="20"/>
      <c r="T513" s="20"/>
      <c r="U513" s="20"/>
      <c r="V513" s="20"/>
      <c r="W513" s="20"/>
      <c r="X513" s="20"/>
      <c r="Y513" s="20"/>
      <c r="Z513" s="20"/>
      <c r="AA513" s="20"/>
    </row>
    <row r="514" spans="1:27" x14ac:dyDescent="0.2">
      <c r="A514" s="20"/>
      <c r="B514" s="20"/>
      <c r="C514" s="20"/>
      <c r="D514" s="20"/>
      <c r="E514" s="20"/>
      <c r="F514" s="20"/>
      <c r="G514" s="20"/>
      <c r="H514" s="20"/>
      <c r="J514" s="20"/>
      <c r="L514" s="20"/>
      <c r="M514" s="20"/>
      <c r="N514" s="20"/>
      <c r="O514" s="20"/>
      <c r="P514" s="20"/>
      <c r="R514" s="20"/>
      <c r="S514" s="20"/>
      <c r="T514" s="20"/>
      <c r="U514" s="20"/>
      <c r="V514" s="20"/>
      <c r="W514" s="20"/>
      <c r="X514" s="20"/>
      <c r="Y514" s="20"/>
      <c r="Z514" s="20"/>
      <c r="AA514" s="20"/>
    </row>
    <row r="515" spans="1:27" x14ac:dyDescent="0.2">
      <c r="A515" s="20"/>
      <c r="B515" s="20"/>
      <c r="C515" s="20"/>
      <c r="D515" s="20"/>
      <c r="E515" s="20"/>
      <c r="F515" s="20"/>
      <c r="G515" s="20"/>
      <c r="H515" s="20"/>
      <c r="J515" s="20"/>
      <c r="L515" s="20"/>
      <c r="M515" s="20"/>
      <c r="N515" s="20"/>
      <c r="O515" s="20"/>
      <c r="P515" s="20"/>
      <c r="R515" s="20"/>
      <c r="S515" s="20"/>
      <c r="T515" s="20"/>
      <c r="U515" s="20"/>
      <c r="V515" s="20"/>
      <c r="W515" s="20"/>
      <c r="X515" s="20"/>
      <c r="Y515" s="20"/>
      <c r="Z515" s="20"/>
      <c r="AA515" s="20"/>
    </row>
    <row r="516" spans="1:27" x14ac:dyDescent="0.2">
      <c r="A516" s="20"/>
      <c r="B516" s="20"/>
      <c r="C516" s="20"/>
      <c r="D516" s="20"/>
      <c r="E516" s="20"/>
      <c r="F516" s="20"/>
      <c r="G516" s="20"/>
      <c r="H516" s="20"/>
      <c r="J516" s="20"/>
      <c r="L516" s="20"/>
      <c r="M516" s="20"/>
      <c r="N516" s="20"/>
      <c r="O516" s="20"/>
      <c r="P516" s="20"/>
      <c r="R516" s="20"/>
      <c r="S516" s="20"/>
      <c r="T516" s="20"/>
      <c r="U516" s="20"/>
      <c r="V516" s="20"/>
      <c r="W516" s="20"/>
      <c r="X516" s="20"/>
      <c r="Y516" s="20"/>
      <c r="Z516" s="20"/>
      <c r="AA516" s="20"/>
    </row>
    <row r="517" spans="1:27" x14ac:dyDescent="0.2">
      <c r="A517" s="20"/>
      <c r="B517" s="20"/>
      <c r="C517" s="20"/>
      <c r="D517" s="20"/>
      <c r="E517" s="20"/>
      <c r="F517" s="20"/>
      <c r="G517" s="20"/>
      <c r="H517" s="20"/>
      <c r="J517" s="20"/>
      <c r="L517" s="20"/>
      <c r="M517" s="20"/>
      <c r="N517" s="20"/>
      <c r="O517" s="20"/>
      <c r="P517" s="20"/>
      <c r="R517" s="20"/>
      <c r="S517" s="20"/>
      <c r="T517" s="20"/>
      <c r="U517" s="20"/>
      <c r="V517" s="20"/>
      <c r="W517" s="20"/>
      <c r="X517" s="20"/>
      <c r="Y517" s="20"/>
      <c r="Z517" s="20"/>
      <c r="AA517" s="20"/>
    </row>
    <row r="518" spans="1:27" x14ac:dyDescent="0.2">
      <c r="A518" s="20"/>
      <c r="B518" s="20"/>
      <c r="C518" s="20"/>
      <c r="D518" s="20"/>
      <c r="E518" s="20"/>
      <c r="F518" s="20"/>
      <c r="G518" s="20"/>
      <c r="H518" s="20"/>
      <c r="J518" s="20"/>
      <c r="L518" s="20"/>
      <c r="M518" s="20"/>
      <c r="N518" s="20"/>
      <c r="O518" s="20"/>
      <c r="P518" s="20"/>
      <c r="R518" s="20"/>
      <c r="S518" s="20"/>
      <c r="T518" s="20"/>
      <c r="U518" s="20"/>
      <c r="V518" s="20"/>
      <c r="W518" s="20"/>
      <c r="X518" s="20"/>
      <c r="Y518" s="20"/>
      <c r="Z518" s="20"/>
      <c r="AA518" s="20"/>
    </row>
    <row r="519" spans="1:27" x14ac:dyDescent="0.2">
      <c r="A519" s="20"/>
      <c r="B519" s="20"/>
      <c r="C519" s="20"/>
      <c r="D519" s="20"/>
      <c r="E519" s="20"/>
      <c r="F519" s="20"/>
      <c r="G519" s="20"/>
      <c r="H519" s="20"/>
      <c r="J519" s="20"/>
      <c r="L519" s="20"/>
      <c r="M519" s="20"/>
      <c r="N519" s="20"/>
      <c r="O519" s="20"/>
      <c r="P519" s="20"/>
      <c r="R519" s="20"/>
      <c r="S519" s="20"/>
      <c r="T519" s="20"/>
      <c r="U519" s="20"/>
      <c r="V519" s="20"/>
      <c r="W519" s="20"/>
      <c r="X519" s="20"/>
      <c r="Y519" s="20"/>
      <c r="Z519" s="20"/>
      <c r="AA519" s="20"/>
    </row>
    <row r="520" spans="1:27" x14ac:dyDescent="0.2">
      <c r="A520" s="20"/>
      <c r="B520" s="20"/>
      <c r="C520" s="20"/>
      <c r="D520" s="20"/>
      <c r="E520" s="20"/>
      <c r="F520" s="20"/>
      <c r="G520" s="20"/>
      <c r="H520" s="20"/>
      <c r="J520" s="20"/>
      <c r="L520" s="20"/>
      <c r="M520" s="20"/>
      <c r="N520" s="20"/>
      <c r="O520" s="20"/>
      <c r="P520" s="20"/>
      <c r="R520" s="20"/>
      <c r="S520" s="20"/>
      <c r="T520" s="20"/>
      <c r="U520" s="20"/>
      <c r="V520" s="20"/>
      <c r="W520" s="20"/>
      <c r="X520" s="20"/>
      <c r="Y520" s="20"/>
      <c r="Z520" s="20"/>
      <c r="AA520" s="20"/>
    </row>
    <row r="521" spans="1:27" x14ac:dyDescent="0.2">
      <c r="A521" s="20"/>
      <c r="B521" s="20"/>
      <c r="C521" s="20"/>
      <c r="D521" s="20"/>
      <c r="E521" s="20"/>
      <c r="F521" s="20"/>
      <c r="G521" s="20"/>
      <c r="H521" s="20"/>
      <c r="J521" s="20"/>
      <c r="L521" s="20"/>
      <c r="M521" s="20"/>
      <c r="N521" s="20"/>
      <c r="O521" s="20"/>
      <c r="P521" s="20"/>
      <c r="R521" s="20"/>
      <c r="S521" s="20"/>
      <c r="T521" s="20"/>
      <c r="U521" s="20"/>
      <c r="V521" s="20"/>
      <c r="W521" s="20"/>
      <c r="X521" s="20"/>
      <c r="Y521" s="20"/>
      <c r="Z521" s="20"/>
      <c r="AA521" s="20"/>
    </row>
    <row r="522" spans="1:27" x14ac:dyDescent="0.2">
      <c r="A522" s="20"/>
      <c r="B522" s="20"/>
      <c r="C522" s="20"/>
      <c r="D522" s="20"/>
      <c r="E522" s="20"/>
      <c r="F522" s="20"/>
      <c r="G522" s="20"/>
      <c r="H522" s="20"/>
      <c r="J522" s="20"/>
      <c r="L522" s="20"/>
      <c r="M522" s="20"/>
      <c r="N522" s="20"/>
      <c r="O522" s="20"/>
      <c r="P522" s="20"/>
      <c r="R522" s="20"/>
      <c r="S522" s="20"/>
      <c r="T522" s="20"/>
      <c r="U522" s="20"/>
      <c r="V522" s="20"/>
      <c r="W522" s="20"/>
      <c r="X522" s="20"/>
      <c r="Y522" s="20"/>
      <c r="Z522" s="20"/>
      <c r="AA522" s="20"/>
    </row>
    <row r="523" spans="1:27" x14ac:dyDescent="0.2">
      <c r="A523" s="20"/>
      <c r="B523" s="20"/>
      <c r="C523" s="20"/>
      <c r="D523" s="20"/>
      <c r="E523" s="20"/>
      <c r="F523" s="20"/>
      <c r="G523" s="20"/>
      <c r="H523" s="20"/>
      <c r="J523" s="20"/>
      <c r="L523" s="20"/>
      <c r="M523" s="20"/>
      <c r="N523" s="20"/>
      <c r="O523" s="20"/>
      <c r="P523" s="20"/>
      <c r="R523" s="20"/>
      <c r="S523" s="20"/>
      <c r="T523" s="20"/>
      <c r="U523" s="20"/>
      <c r="V523" s="20"/>
      <c r="W523" s="20"/>
      <c r="X523" s="20"/>
      <c r="Y523" s="20"/>
      <c r="Z523" s="20"/>
      <c r="AA523" s="20"/>
    </row>
    <row r="524" spans="1:27" x14ac:dyDescent="0.2">
      <c r="A524" s="20"/>
      <c r="B524" s="20"/>
      <c r="C524" s="20"/>
      <c r="D524" s="20"/>
      <c r="E524" s="20"/>
      <c r="F524" s="20"/>
      <c r="G524" s="20"/>
      <c r="H524" s="20"/>
      <c r="J524" s="20"/>
      <c r="L524" s="20"/>
      <c r="M524" s="20"/>
      <c r="N524" s="20"/>
      <c r="O524" s="20"/>
      <c r="P524" s="20"/>
      <c r="R524" s="20"/>
      <c r="S524" s="20"/>
      <c r="T524" s="20"/>
      <c r="U524" s="20"/>
      <c r="V524" s="20"/>
      <c r="W524" s="20"/>
      <c r="X524" s="20"/>
      <c r="Y524" s="20"/>
      <c r="Z524" s="20"/>
      <c r="AA524" s="20"/>
    </row>
    <row r="525" spans="1:27" x14ac:dyDescent="0.2">
      <c r="A525" s="20"/>
      <c r="B525" s="20"/>
      <c r="C525" s="20"/>
      <c r="D525" s="20"/>
      <c r="E525" s="20"/>
      <c r="F525" s="20"/>
      <c r="G525" s="20"/>
      <c r="H525" s="20"/>
      <c r="J525" s="20"/>
      <c r="L525" s="20"/>
      <c r="M525" s="20"/>
      <c r="N525" s="20"/>
      <c r="O525" s="20"/>
      <c r="P525" s="20"/>
      <c r="R525" s="20"/>
      <c r="S525" s="20"/>
      <c r="T525" s="20"/>
      <c r="U525" s="20"/>
      <c r="V525" s="20"/>
      <c r="W525" s="20"/>
      <c r="X525" s="20"/>
      <c r="Y525" s="20"/>
      <c r="Z525" s="20"/>
      <c r="AA525" s="20"/>
    </row>
    <row r="526" spans="1:27" x14ac:dyDescent="0.2">
      <c r="A526" s="20"/>
      <c r="B526" s="20"/>
      <c r="C526" s="20"/>
      <c r="D526" s="20"/>
      <c r="E526" s="20"/>
      <c r="F526" s="20"/>
      <c r="G526" s="20"/>
      <c r="H526" s="20"/>
      <c r="J526" s="20"/>
      <c r="L526" s="20"/>
      <c r="M526" s="20"/>
      <c r="N526" s="20"/>
      <c r="O526" s="20"/>
      <c r="P526" s="20"/>
      <c r="R526" s="20"/>
      <c r="S526" s="20"/>
      <c r="T526" s="20"/>
      <c r="U526" s="20"/>
      <c r="V526" s="20"/>
      <c r="W526" s="20"/>
      <c r="X526" s="20"/>
      <c r="Y526" s="20"/>
      <c r="Z526" s="20"/>
      <c r="AA526" s="20"/>
    </row>
    <row r="527" spans="1:27" x14ac:dyDescent="0.2">
      <c r="A527" s="20"/>
      <c r="B527" s="20"/>
      <c r="C527" s="20"/>
      <c r="D527" s="20"/>
      <c r="E527" s="20"/>
      <c r="F527" s="20"/>
      <c r="G527" s="20"/>
      <c r="H527" s="20"/>
      <c r="J527" s="20"/>
      <c r="L527" s="20"/>
      <c r="M527" s="20"/>
      <c r="N527" s="20"/>
      <c r="O527" s="20"/>
      <c r="P527" s="20"/>
      <c r="R527" s="20"/>
      <c r="S527" s="20"/>
      <c r="T527" s="20"/>
      <c r="U527" s="20"/>
      <c r="V527" s="20"/>
      <c r="W527" s="20"/>
      <c r="X527" s="20"/>
      <c r="Y527" s="20"/>
      <c r="Z527" s="20"/>
      <c r="AA527" s="20"/>
    </row>
    <row r="528" spans="1:27" x14ac:dyDescent="0.2">
      <c r="A528" s="20"/>
      <c r="B528" s="20"/>
      <c r="C528" s="20"/>
      <c r="D528" s="20"/>
      <c r="E528" s="20"/>
      <c r="F528" s="20"/>
      <c r="G528" s="20"/>
      <c r="H528" s="20"/>
      <c r="J528" s="20"/>
      <c r="L528" s="20"/>
      <c r="M528" s="20"/>
      <c r="N528" s="20"/>
      <c r="O528" s="20"/>
      <c r="P528" s="20"/>
      <c r="R528" s="20"/>
      <c r="S528" s="20"/>
      <c r="T528" s="20"/>
      <c r="U528" s="20"/>
      <c r="V528" s="20"/>
      <c r="W528" s="20"/>
      <c r="X528" s="20"/>
      <c r="Y528" s="20"/>
      <c r="Z528" s="20"/>
      <c r="AA528" s="20"/>
    </row>
    <row r="529" spans="1:27" x14ac:dyDescent="0.2">
      <c r="A529" s="20"/>
      <c r="B529" s="20"/>
      <c r="C529" s="20"/>
      <c r="D529" s="20"/>
      <c r="E529" s="20"/>
      <c r="F529" s="20"/>
      <c r="G529" s="20"/>
      <c r="H529" s="20"/>
      <c r="J529" s="20"/>
      <c r="L529" s="20"/>
      <c r="M529" s="20"/>
      <c r="N529" s="20"/>
      <c r="O529" s="20"/>
      <c r="P529" s="20"/>
      <c r="R529" s="20"/>
      <c r="S529" s="20"/>
      <c r="T529" s="20"/>
      <c r="U529" s="20"/>
      <c r="V529" s="20"/>
      <c r="W529" s="20"/>
      <c r="X529" s="20"/>
      <c r="Y529" s="20"/>
      <c r="Z529" s="20"/>
      <c r="AA529" s="20"/>
    </row>
    <row r="530" spans="1:27" x14ac:dyDescent="0.2">
      <c r="A530" s="20"/>
      <c r="B530" s="20"/>
      <c r="C530" s="20"/>
      <c r="D530" s="20"/>
      <c r="E530" s="20"/>
      <c r="F530" s="20"/>
      <c r="G530" s="20"/>
      <c r="H530" s="20"/>
      <c r="J530" s="20"/>
      <c r="L530" s="20"/>
      <c r="M530" s="20"/>
      <c r="N530" s="20"/>
      <c r="O530" s="20"/>
      <c r="P530" s="20"/>
      <c r="R530" s="20"/>
      <c r="S530" s="20"/>
      <c r="T530" s="20"/>
      <c r="U530" s="20"/>
      <c r="V530" s="20"/>
      <c r="W530" s="20"/>
      <c r="X530" s="20"/>
      <c r="Y530" s="20"/>
      <c r="Z530" s="20"/>
      <c r="AA530" s="20"/>
    </row>
    <row r="531" spans="1:27" x14ac:dyDescent="0.2">
      <c r="A531" s="20"/>
      <c r="B531" s="20"/>
      <c r="C531" s="20"/>
      <c r="D531" s="20"/>
      <c r="E531" s="20"/>
      <c r="F531" s="20"/>
      <c r="G531" s="20"/>
      <c r="H531" s="20"/>
      <c r="J531" s="20"/>
      <c r="L531" s="20"/>
      <c r="M531" s="20"/>
      <c r="N531" s="20"/>
      <c r="O531" s="20"/>
      <c r="P531" s="20"/>
      <c r="R531" s="20"/>
      <c r="S531" s="20"/>
      <c r="T531" s="20"/>
      <c r="U531" s="20"/>
      <c r="V531" s="20"/>
      <c r="W531" s="20"/>
      <c r="X531" s="20"/>
      <c r="Y531" s="20"/>
      <c r="Z531" s="20"/>
      <c r="AA531" s="20"/>
    </row>
    <row r="532" spans="1:27" x14ac:dyDescent="0.2">
      <c r="A532" s="20"/>
      <c r="B532" s="20"/>
      <c r="C532" s="20"/>
      <c r="D532" s="20"/>
      <c r="E532" s="20"/>
      <c r="F532" s="20"/>
      <c r="G532" s="20"/>
      <c r="H532" s="20"/>
      <c r="J532" s="20"/>
      <c r="L532" s="20"/>
      <c r="M532" s="20"/>
      <c r="N532" s="20"/>
      <c r="O532" s="20"/>
      <c r="P532" s="20"/>
      <c r="R532" s="20"/>
      <c r="S532" s="20"/>
      <c r="T532" s="20"/>
      <c r="U532" s="20"/>
      <c r="V532" s="20"/>
      <c r="W532" s="20"/>
      <c r="X532" s="20"/>
      <c r="Y532" s="20"/>
      <c r="Z532" s="20"/>
      <c r="AA532" s="20"/>
    </row>
    <row r="533" spans="1:27" x14ac:dyDescent="0.2">
      <c r="A533" s="20"/>
      <c r="B533" s="20"/>
      <c r="C533" s="20"/>
      <c r="D533" s="20"/>
      <c r="E533" s="20"/>
      <c r="F533" s="20"/>
      <c r="G533" s="20"/>
      <c r="H533" s="20"/>
      <c r="J533" s="20"/>
      <c r="L533" s="20"/>
      <c r="M533" s="20"/>
      <c r="N533" s="20"/>
      <c r="O533" s="20"/>
      <c r="P533" s="20"/>
      <c r="R533" s="20"/>
      <c r="S533" s="20"/>
      <c r="T533" s="20"/>
      <c r="U533" s="20"/>
      <c r="V533" s="20"/>
      <c r="W533" s="20"/>
      <c r="X533" s="20"/>
      <c r="Y533" s="20"/>
      <c r="Z533" s="20"/>
      <c r="AA533" s="20"/>
    </row>
    <row r="534" spans="1:27" x14ac:dyDescent="0.2">
      <c r="A534" s="20"/>
      <c r="B534" s="20"/>
      <c r="C534" s="20"/>
      <c r="D534" s="20"/>
      <c r="E534" s="20"/>
      <c r="F534" s="20"/>
      <c r="G534" s="20"/>
      <c r="H534" s="20"/>
      <c r="J534" s="20"/>
      <c r="L534" s="20"/>
      <c r="M534" s="20"/>
      <c r="N534" s="20"/>
      <c r="O534" s="20"/>
      <c r="P534" s="20"/>
      <c r="R534" s="20"/>
      <c r="S534" s="20"/>
      <c r="T534" s="20"/>
      <c r="U534" s="20"/>
      <c r="V534" s="20"/>
      <c r="W534" s="20"/>
      <c r="X534" s="20"/>
      <c r="Y534" s="20"/>
      <c r="Z534" s="20"/>
      <c r="AA534" s="20"/>
    </row>
    <row r="535" spans="1:27" x14ac:dyDescent="0.2">
      <c r="A535" s="20"/>
      <c r="B535" s="20"/>
      <c r="C535" s="20"/>
      <c r="D535" s="20"/>
      <c r="E535" s="20"/>
      <c r="F535" s="20"/>
      <c r="G535" s="20"/>
      <c r="H535" s="20"/>
      <c r="J535" s="20"/>
      <c r="L535" s="20"/>
      <c r="M535" s="20"/>
      <c r="N535" s="20"/>
      <c r="O535" s="20"/>
      <c r="P535" s="20"/>
      <c r="R535" s="20"/>
      <c r="S535" s="20"/>
      <c r="T535" s="20"/>
      <c r="U535" s="20"/>
      <c r="V535" s="20"/>
      <c r="W535" s="20"/>
      <c r="X535" s="20"/>
      <c r="Y535" s="20"/>
      <c r="Z535" s="20"/>
      <c r="AA535" s="20"/>
    </row>
    <row r="536" spans="1:27" x14ac:dyDescent="0.2">
      <c r="A536" s="20"/>
      <c r="B536" s="20"/>
      <c r="C536" s="20"/>
      <c r="D536" s="20"/>
      <c r="E536" s="20"/>
      <c r="F536" s="20"/>
      <c r="G536" s="20"/>
      <c r="H536" s="20"/>
      <c r="J536" s="20"/>
      <c r="L536" s="20"/>
      <c r="M536" s="20"/>
      <c r="N536" s="20"/>
      <c r="O536" s="20"/>
      <c r="P536" s="20"/>
      <c r="R536" s="20"/>
      <c r="S536" s="20"/>
      <c r="T536" s="20"/>
      <c r="U536" s="20"/>
      <c r="V536" s="20"/>
      <c r="W536" s="20"/>
      <c r="X536" s="20"/>
      <c r="Y536" s="20"/>
      <c r="Z536" s="20"/>
      <c r="AA536" s="20"/>
    </row>
    <row r="537" spans="1:27" x14ac:dyDescent="0.2">
      <c r="A537" s="20"/>
      <c r="B537" s="20"/>
      <c r="C537" s="20"/>
      <c r="D537" s="20"/>
      <c r="E537" s="20"/>
      <c r="F537" s="20"/>
      <c r="G537" s="20"/>
      <c r="H537" s="20"/>
      <c r="J537" s="20"/>
      <c r="L537" s="20"/>
      <c r="M537" s="20"/>
      <c r="N537" s="20"/>
      <c r="O537" s="20"/>
      <c r="P537" s="20"/>
      <c r="R537" s="20"/>
      <c r="S537" s="20"/>
      <c r="T537" s="20"/>
      <c r="U537" s="20"/>
      <c r="V537" s="20"/>
      <c r="W537" s="20"/>
      <c r="X537" s="20"/>
      <c r="Y537" s="20"/>
      <c r="Z537" s="20"/>
      <c r="AA537" s="20"/>
    </row>
    <row r="538" spans="1:27" x14ac:dyDescent="0.2">
      <c r="A538" s="20"/>
      <c r="B538" s="20"/>
      <c r="C538" s="20"/>
      <c r="D538" s="20"/>
      <c r="E538" s="20"/>
      <c r="F538" s="20"/>
      <c r="G538" s="20"/>
      <c r="H538" s="20"/>
      <c r="J538" s="20"/>
      <c r="L538" s="20"/>
      <c r="M538" s="20"/>
      <c r="N538" s="20"/>
      <c r="O538" s="20"/>
      <c r="P538" s="20"/>
      <c r="R538" s="20"/>
      <c r="S538" s="20"/>
      <c r="T538" s="20"/>
      <c r="U538" s="20"/>
      <c r="V538" s="20"/>
      <c r="W538" s="20"/>
      <c r="X538" s="20"/>
      <c r="Y538" s="20"/>
      <c r="Z538" s="20"/>
      <c r="AA538" s="20"/>
    </row>
    <row r="539" spans="1:27" x14ac:dyDescent="0.2">
      <c r="A539" s="20"/>
      <c r="B539" s="20"/>
      <c r="C539" s="20"/>
      <c r="D539" s="20"/>
      <c r="E539" s="20"/>
      <c r="F539" s="20"/>
      <c r="G539" s="20"/>
      <c r="H539" s="20"/>
      <c r="J539" s="20"/>
      <c r="L539" s="20"/>
      <c r="M539" s="20"/>
      <c r="N539" s="20"/>
      <c r="O539" s="20"/>
      <c r="P539" s="20"/>
      <c r="R539" s="20"/>
      <c r="S539" s="20"/>
      <c r="T539" s="20"/>
      <c r="U539" s="20"/>
      <c r="V539" s="20"/>
      <c r="W539" s="20"/>
      <c r="X539" s="20"/>
      <c r="Y539" s="20"/>
      <c r="Z539" s="20"/>
      <c r="AA539" s="20"/>
    </row>
    <row r="540" spans="1:27" x14ac:dyDescent="0.2">
      <c r="A540" s="20"/>
      <c r="B540" s="20"/>
      <c r="C540" s="20"/>
      <c r="D540" s="20"/>
      <c r="E540" s="20"/>
      <c r="F540" s="20"/>
      <c r="G540" s="20"/>
      <c r="H540" s="20"/>
      <c r="J540" s="20"/>
      <c r="L540" s="20"/>
      <c r="M540" s="20"/>
      <c r="N540" s="20"/>
      <c r="O540" s="20"/>
      <c r="P540" s="20"/>
      <c r="R540" s="20"/>
      <c r="S540" s="20"/>
      <c r="T540" s="20"/>
      <c r="U540" s="20"/>
      <c r="V540" s="20"/>
      <c r="W540" s="20"/>
      <c r="X540" s="20"/>
      <c r="Y540" s="20"/>
      <c r="Z540" s="20"/>
      <c r="AA540" s="20"/>
    </row>
    <row r="541" spans="1:27" x14ac:dyDescent="0.2">
      <c r="A541" s="20"/>
      <c r="B541" s="20"/>
      <c r="C541" s="20"/>
      <c r="D541" s="20"/>
      <c r="E541" s="20"/>
      <c r="F541" s="20"/>
      <c r="G541" s="20"/>
      <c r="H541" s="20"/>
      <c r="J541" s="20"/>
      <c r="L541" s="20"/>
      <c r="M541" s="20"/>
      <c r="N541" s="20"/>
      <c r="O541" s="20"/>
      <c r="P541" s="20"/>
      <c r="R541" s="20"/>
      <c r="S541" s="20"/>
      <c r="T541" s="20"/>
      <c r="U541" s="20"/>
      <c r="V541" s="20"/>
      <c r="W541" s="20"/>
      <c r="X541" s="20"/>
      <c r="Y541" s="20"/>
      <c r="Z541" s="20"/>
      <c r="AA541" s="20"/>
    </row>
    <row r="542" spans="1:27" x14ac:dyDescent="0.2">
      <c r="A542" s="20"/>
      <c r="B542" s="20"/>
      <c r="C542" s="20"/>
      <c r="D542" s="20"/>
      <c r="E542" s="20"/>
      <c r="F542" s="20"/>
      <c r="G542" s="20"/>
      <c r="H542" s="20"/>
      <c r="J542" s="20"/>
      <c r="L542" s="20"/>
      <c r="M542" s="20"/>
      <c r="N542" s="20"/>
      <c r="O542" s="20"/>
      <c r="P542" s="20"/>
      <c r="R542" s="20"/>
      <c r="S542" s="20"/>
      <c r="T542" s="20"/>
      <c r="U542" s="20"/>
      <c r="V542" s="20"/>
      <c r="W542" s="20"/>
      <c r="X542" s="20"/>
      <c r="Y542" s="20"/>
      <c r="Z542" s="20"/>
      <c r="AA542" s="20"/>
    </row>
    <row r="543" spans="1:27" x14ac:dyDescent="0.2">
      <c r="A543" s="20"/>
      <c r="B543" s="20"/>
      <c r="C543" s="20"/>
      <c r="D543" s="20"/>
      <c r="E543" s="20"/>
      <c r="F543" s="20"/>
      <c r="G543" s="20"/>
      <c r="H543" s="20"/>
      <c r="J543" s="20"/>
      <c r="L543" s="20"/>
      <c r="M543" s="20"/>
      <c r="N543" s="20"/>
      <c r="O543" s="20"/>
      <c r="P543" s="20"/>
      <c r="R543" s="20"/>
      <c r="S543" s="20"/>
      <c r="T543" s="20"/>
      <c r="U543" s="20"/>
      <c r="V543" s="20"/>
      <c r="W543" s="20"/>
      <c r="X543" s="20"/>
      <c r="Y543" s="20"/>
      <c r="Z543" s="20"/>
      <c r="AA543" s="20"/>
    </row>
    <row r="544" spans="1:27" x14ac:dyDescent="0.2">
      <c r="A544" s="20"/>
      <c r="B544" s="20"/>
      <c r="C544" s="20"/>
      <c r="D544" s="20"/>
      <c r="E544" s="20"/>
      <c r="F544" s="20"/>
      <c r="G544" s="20"/>
      <c r="H544" s="20"/>
      <c r="J544" s="20"/>
      <c r="L544" s="20"/>
      <c r="M544" s="20"/>
      <c r="N544" s="20"/>
      <c r="O544" s="20"/>
      <c r="P544" s="20"/>
      <c r="R544" s="20"/>
      <c r="S544" s="20"/>
      <c r="T544" s="20"/>
      <c r="U544" s="20"/>
      <c r="V544" s="20"/>
      <c r="W544" s="20"/>
      <c r="X544" s="20"/>
      <c r="Y544" s="20"/>
      <c r="Z544" s="20"/>
      <c r="AA544" s="20"/>
    </row>
    <row r="545" spans="1:27" x14ac:dyDescent="0.2">
      <c r="A545" s="20"/>
      <c r="B545" s="20"/>
      <c r="C545" s="20"/>
      <c r="D545" s="20"/>
      <c r="E545" s="20"/>
      <c r="F545" s="20"/>
      <c r="G545" s="20"/>
      <c r="H545" s="20"/>
      <c r="J545" s="20"/>
      <c r="L545" s="20"/>
      <c r="M545" s="20"/>
      <c r="N545" s="20"/>
      <c r="O545" s="20"/>
      <c r="P545" s="20"/>
      <c r="R545" s="20"/>
      <c r="S545" s="20"/>
      <c r="T545" s="20"/>
      <c r="U545" s="20"/>
      <c r="V545" s="20"/>
      <c r="W545" s="20"/>
      <c r="X545" s="20"/>
      <c r="Y545" s="20"/>
      <c r="Z545" s="20"/>
      <c r="AA545" s="20"/>
    </row>
    <row r="546" spans="1:27" x14ac:dyDescent="0.2">
      <c r="A546" s="20"/>
      <c r="B546" s="20"/>
      <c r="C546" s="20"/>
      <c r="D546" s="20"/>
      <c r="E546" s="20"/>
      <c r="F546" s="20"/>
      <c r="G546" s="20"/>
      <c r="H546" s="20"/>
      <c r="J546" s="20"/>
      <c r="L546" s="20"/>
      <c r="M546" s="20"/>
      <c r="N546" s="20"/>
      <c r="O546" s="20"/>
      <c r="P546" s="20"/>
      <c r="R546" s="20"/>
      <c r="S546" s="20"/>
      <c r="T546" s="20"/>
      <c r="U546" s="20"/>
      <c r="V546" s="20"/>
      <c r="W546" s="20"/>
      <c r="X546" s="20"/>
      <c r="Y546" s="20"/>
      <c r="Z546" s="20"/>
      <c r="AA546" s="20"/>
    </row>
    <row r="547" spans="1:27" x14ac:dyDescent="0.2">
      <c r="A547" s="20"/>
      <c r="B547" s="20"/>
      <c r="C547" s="20"/>
      <c r="D547" s="20"/>
      <c r="E547" s="20"/>
      <c r="F547" s="20"/>
      <c r="G547" s="20"/>
      <c r="H547" s="20"/>
      <c r="J547" s="20"/>
      <c r="L547" s="20"/>
      <c r="M547" s="20"/>
      <c r="N547" s="20"/>
      <c r="O547" s="20"/>
      <c r="P547" s="20"/>
      <c r="R547" s="20"/>
      <c r="S547" s="20"/>
      <c r="T547" s="20"/>
      <c r="U547" s="20"/>
      <c r="V547" s="20"/>
      <c r="W547" s="20"/>
      <c r="X547" s="20"/>
      <c r="Y547" s="20"/>
      <c r="Z547" s="20"/>
      <c r="AA547" s="20"/>
    </row>
    <row r="548" spans="1:27" x14ac:dyDescent="0.2">
      <c r="A548" s="20"/>
      <c r="B548" s="20"/>
      <c r="C548" s="20"/>
      <c r="D548" s="20"/>
      <c r="E548" s="20"/>
      <c r="F548" s="20"/>
      <c r="G548" s="20"/>
      <c r="H548" s="20"/>
      <c r="J548" s="20"/>
      <c r="L548" s="20"/>
      <c r="M548" s="20"/>
      <c r="N548" s="20"/>
      <c r="O548" s="20"/>
      <c r="P548" s="20"/>
      <c r="R548" s="20"/>
      <c r="S548" s="20"/>
      <c r="T548" s="20"/>
      <c r="U548" s="20"/>
      <c r="V548" s="20"/>
      <c r="W548" s="20"/>
      <c r="X548" s="20"/>
      <c r="Y548" s="20"/>
      <c r="Z548" s="20"/>
      <c r="AA548" s="20"/>
    </row>
    <row r="549" spans="1:27" x14ac:dyDescent="0.2">
      <c r="A549" s="20"/>
      <c r="B549" s="20"/>
      <c r="C549" s="20"/>
      <c r="D549" s="20"/>
      <c r="E549" s="20"/>
      <c r="F549" s="20"/>
      <c r="G549" s="20"/>
      <c r="H549" s="20"/>
      <c r="J549" s="20"/>
      <c r="L549" s="20"/>
      <c r="M549" s="20"/>
      <c r="N549" s="20"/>
      <c r="O549" s="20"/>
      <c r="P549" s="20"/>
      <c r="R549" s="20"/>
      <c r="S549" s="20"/>
      <c r="T549" s="20"/>
      <c r="U549" s="20"/>
      <c r="V549" s="20"/>
      <c r="W549" s="20"/>
      <c r="X549" s="20"/>
      <c r="Y549" s="20"/>
      <c r="Z549" s="20"/>
      <c r="AA549" s="20"/>
    </row>
    <row r="550" spans="1:27" x14ac:dyDescent="0.2">
      <c r="A550" s="20"/>
      <c r="B550" s="20"/>
      <c r="C550" s="20"/>
      <c r="D550" s="20"/>
      <c r="E550" s="20"/>
      <c r="F550" s="20"/>
      <c r="G550" s="20"/>
      <c r="H550" s="20"/>
      <c r="J550" s="20"/>
      <c r="L550" s="20"/>
      <c r="M550" s="20"/>
      <c r="N550" s="20"/>
      <c r="O550" s="20"/>
      <c r="P550" s="20"/>
      <c r="R550" s="20"/>
      <c r="S550" s="20"/>
      <c r="T550" s="20"/>
      <c r="U550" s="20"/>
      <c r="V550" s="20"/>
      <c r="W550" s="20"/>
      <c r="X550" s="20"/>
      <c r="Y550" s="20"/>
      <c r="Z550" s="20"/>
      <c r="AA550" s="20"/>
    </row>
    <row r="551" spans="1:27" x14ac:dyDescent="0.2">
      <c r="A551" s="20"/>
      <c r="B551" s="20"/>
      <c r="C551" s="20"/>
      <c r="D551" s="20"/>
      <c r="E551" s="20"/>
      <c r="F551" s="20"/>
      <c r="G551" s="20"/>
      <c r="H551" s="20"/>
      <c r="J551" s="20"/>
      <c r="L551" s="20"/>
      <c r="M551" s="20"/>
      <c r="N551" s="20"/>
      <c r="O551" s="20"/>
      <c r="P551" s="20"/>
      <c r="R551" s="20"/>
      <c r="S551" s="20"/>
      <c r="T551" s="20"/>
      <c r="U551" s="20"/>
      <c r="V551" s="20"/>
      <c r="W551" s="20"/>
      <c r="X551" s="20"/>
      <c r="Y551" s="20"/>
      <c r="Z551" s="20"/>
      <c r="AA551" s="20"/>
    </row>
    <row r="552" spans="1:27" x14ac:dyDescent="0.2">
      <c r="A552" s="20"/>
      <c r="B552" s="20"/>
      <c r="C552" s="20"/>
      <c r="D552" s="20"/>
      <c r="E552" s="20"/>
      <c r="F552" s="20"/>
      <c r="G552" s="20"/>
      <c r="H552" s="20"/>
      <c r="J552" s="20"/>
      <c r="L552" s="20"/>
      <c r="M552" s="20"/>
      <c r="N552" s="20"/>
      <c r="O552" s="20"/>
      <c r="P552" s="20"/>
      <c r="R552" s="20"/>
      <c r="S552" s="20"/>
      <c r="T552" s="20"/>
      <c r="U552" s="20"/>
      <c r="V552" s="20"/>
      <c r="W552" s="20"/>
      <c r="X552" s="20"/>
      <c r="Y552" s="20"/>
      <c r="Z552" s="20"/>
      <c r="AA552" s="20"/>
    </row>
    <row r="553" spans="1:27" x14ac:dyDescent="0.2">
      <c r="A553" s="20"/>
      <c r="B553" s="20"/>
      <c r="C553" s="20"/>
      <c r="D553" s="20"/>
      <c r="E553" s="20"/>
      <c r="F553" s="20"/>
      <c r="G553" s="20"/>
      <c r="H553" s="20"/>
      <c r="J553" s="20"/>
      <c r="L553" s="20"/>
      <c r="M553" s="20"/>
      <c r="N553" s="20"/>
      <c r="O553" s="20"/>
      <c r="P553" s="20"/>
      <c r="R553" s="20"/>
      <c r="S553" s="20"/>
      <c r="T553" s="20"/>
      <c r="U553" s="20"/>
      <c r="V553" s="20"/>
      <c r="W553" s="20"/>
      <c r="X553" s="20"/>
      <c r="Y553" s="20"/>
      <c r="Z553" s="20"/>
      <c r="AA553" s="20"/>
    </row>
    <row r="554" spans="1:27" x14ac:dyDescent="0.2">
      <c r="A554" s="20"/>
      <c r="B554" s="20"/>
      <c r="C554" s="20"/>
      <c r="D554" s="20"/>
      <c r="E554" s="20"/>
      <c r="F554" s="20"/>
      <c r="G554" s="20"/>
      <c r="H554" s="20"/>
      <c r="J554" s="20"/>
      <c r="L554" s="20"/>
      <c r="M554" s="20"/>
      <c r="N554" s="20"/>
      <c r="O554" s="20"/>
      <c r="P554" s="20"/>
      <c r="R554" s="20"/>
      <c r="S554" s="20"/>
      <c r="T554" s="20"/>
      <c r="U554" s="20"/>
      <c r="V554" s="20"/>
      <c r="W554" s="20"/>
      <c r="X554" s="20"/>
      <c r="Y554" s="20"/>
      <c r="Z554" s="20"/>
      <c r="AA554" s="20"/>
    </row>
    <row r="555" spans="1:27" x14ac:dyDescent="0.2">
      <c r="A555" s="20"/>
      <c r="B555" s="20"/>
      <c r="C555" s="20"/>
      <c r="D555" s="20"/>
      <c r="E555" s="20"/>
      <c r="F555" s="20"/>
      <c r="G555" s="20"/>
      <c r="H555" s="20"/>
      <c r="J555" s="20"/>
      <c r="L555" s="20"/>
      <c r="M555" s="20"/>
      <c r="N555" s="20"/>
      <c r="O555" s="20"/>
      <c r="P555" s="20"/>
      <c r="R555" s="20"/>
      <c r="S555" s="20"/>
      <c r="T555" s="20"/>
      <c r="U555" s="20"/>
      <c r="V555" s="20"/>
      <c r="W555" s="20"/>
      <c r="X555" s="20"/>
      <c r="Y555" s="20"/>
      <c r="Z555" s="20"/>
      <c r="AA555" s="20"/>
    </row>
    <row r="556" spans="1:27" x14ac:dyDescent="0.2">
      <c r="A556" s="20"/>
      <c r="B556" s="20"/>
      <c r="C556" s="20"/>
      <c r="D556" s="20"/>
      <c r="E556" s="20"/>
      <c r="F556" s="20"/>
      <c r="G556" s="20"/>
      <c r="H556" s="20"/>
      <c r="J556" s="20"/>
      <c r="L556" s="20"/>
      <c r="M556" s="20"/>
      <c r="N556" s="20"/>
      <c r="O556" s="20"/>
      <c r="P556" s="20"/>
      <c r="R556" s="20"/>
      <c r="S556" s="20"/>
      <c r="T556" s="20"/>
      <c r="U556" s="20"/>
      <c r="V556" s="20"/>
      <c r="W556" s="20"/>
      <c r="X556" s="20"/>
      <c r="Y556" s="20"/>
      <c r="Z556" s="20"/>
      <c r="AA556" s="20"/>
    </row>
    <row r="557" spans="1:27" x14ac:dyDescent="0.2">
      <c r="A557" s="20"/>
      <c r="B557" s="20"/>
      <c r="C557" s="20"/>
      <c r="D557" s="20"/>
      <c r="E557" s="20"/>
      <c r="F557" s="20"/>
      <c r="G557" s="20"/>
      <c r="H557" s="20"/>
      <c r="J557" s="20"/>
      <c r="L557" s="20"/>
      <c r="M557" s="20"/>
      <c r="N557" s="20"/>
      <c r="O557" s="20"/>
      <c r="P557" s="20"/>
      <c r="R557" s="20"/>
      <c r="S557" s="20"/>
      <c r="T557" s="20"/>
      <c r="U557" s="20"/>
      <c r="V557" s="20"/>
      <c r="W557" s="20"/>
      <c r="X557" s="20"/>
      <c r="Y557" s="20"/>
      <c r="Z557" s="20"/>
      <c r="AA557" s="20"/>
    </row>
    <row r="558" spans="1:27" x14ac:dyDescent="0.2">
      <c r="A558" s="20"/>
      <c r="B558" s="20"/>
      <c r="C558" s="20"/>
      <c r="D558" s="20"/>
      <c r="E558" s="20"/>
      <c r="F558" s="20"/>
      <c r="G558" s="20"/>
      <c r="H558" s="20"/>
      <c r="J558" s="20"/>
      <c r="L558" s="20"/>
      <c r="M558" s="20"/>
      <c r="N558" s="20"/>
      <c r="O558" s="20"/>
      <c r="P558" s="20"/>
      <c r="R558" s="20"/>
      <c r="S558" s="20"/>
      <c r="T558" s="20"/>
      <c r="U558" s="20"/>
      <c r="V558" s="20"/>
      <c r="W558" s="20"/>
      <c r="X558" s="20"/>
      <c r="Y558" s="20"/>
      <c r="Z558" s="20"/>
      <c r="AA558" s="20"/>
    </row>
    <row r="559" spans="1:27" x14ac:dyDescent="0.2">
      <c r="A559" s="20"/>
      <c r="B559" s="20"/>
      <c r="C559" s="20"/>
      <c r="D559" s="20"/>
      <c r="E559" s="20"/>
      <c r="F559" s="20"/>
      <c r="G559" s="20"/>
      <c r="H559" s="20"/>
      <c r="J559" s="20"/>
      <c r="L559" s="20"/>
      <c r="M559" s="20"/>
      <c r="N559" s="20"/>
      <c r="O559" s="20"/>
      <c r="P559" s="20"/>
      <c r="R559" s="20"/>
      <c r="S559" s="20"/>
      <c r="T559" s="20"/>
      <c r="U559" s="20"/>
      <c r="V559" s="20"/>
      <c r="W559" s="20"/>
      <c r="X559" s="20"/>
      <c r="Y559" s="20"/>
      <c r="Z559" s="20"/>
      <c r="AA559" s="20"/>
    </row>
    <row r="560" spans="1:27" x14ac:dyDescent="0.2">
      <c r="A560" s="20"/>
      <c r="B560" s="20"/>
      <c r="C560" s="20"/>
      <c r="D560" s="20"/>
      <c r="E560" s="20"/>
      <c r="F560" s="20"/>
      <c r="G560" s="20"/>
      <c r="H560" s="20"/>
      <c r="J560" s="20"/>
      <c r="L560" s="20"/>
      <c r="M560" s="20"/>
      <c r="N560" s="20"/>
      <c r="O560" s="20"/>
      <c r="P560" s="20"/>
      <c r="R560" s="20"/>
      <c r="S560" s="20"/>
      <c r="T560" s="20"/>
      <c r="U560" s="20"/>
      <c r="V560" s="20"/>
      <c r="W560" s="20"/>
      <c r="X560" s="20"/>
      <c r="Y560" s="20"/>
      <c r="Z560" s="20"/>
      <c r="AA560" s="20"/>
    </row>
    <row r="561" spans="1:27" x14ac:dyDescent="0.2">
      <c r="A561" s="20"/>
      <c r="B561" s="20"/>
      <c r="C561" s="20"/>
      <c r="D561" s="20"/>
      <c r="E561" s="20"/>
      <c r="F561" s="20"/>
      <c r="G561" s="20"/>
      <c r="H561" s="20"/>
      <c r="J561" s="20"/>
      <c r="L561" s="20"/>
      <c r="M561" s="20"/>
      <c r="N561" s="20"/>
      <c r="O561" s="20"/>
      <c r="P561" s="20"/>
      <c r="R561" s="20"/>
      <c r="S561" s="20"/>
      <c r="T561" s="20"/>
      <c r="U561" s="20"/>
      <c r="V561" s="20"/>
      <c r="W561" s="20"/>
      <c r="X561" s="20"/>
      <c r="Y561" s="20"/>
      <c r="Z561" s="20"/>
      <c r="AA561" s="20"/>
    </row>
    <row r="562" spans="1:27" x14ac:dyDescent="0.2">
      <c r="A562" s="20"/>
      <c r="B562" s="20"/>
      <c r="C562" s="20"/>
      <c r="D562" s="20"/>
      <c r="E562" s="20"/>
      <c r="F562" s="20"/>
      <c r="G562" s="20"/>
      <c r="H562" s="20"/>
      <c r="J562" s="20"/>
      <c r="L562" s="20"/>
      <c r="M562" s="20"/>
      <c r="N562" s="20"/>
      <c r="O562" s="20"/>
      <c r="P562" s="20"/>
      <c r="R562" s="20"/>
      <c r="S562" s="20"/>
      <c r="T562" s="20"/>
      <c r="U562" s="20"/>
      <c r="V562" s="20"/>
      <c r="W562" s="20"/>
      <c r="X562" s="20"/>
      <c r="Y562" s="20"/>
      <c r="Z562" s="20"/>
      <c r="AA562" s="20"/>
    </row>
    <row r="563" spans="1:27" x14ac:dyDescent="0.2">
      <c r="A563" s="20"/>
      <c r="B563" s="20"/>
      <c r="C563" s="20"/>
      <c r="D563" s="20"/>
      <c r="E563" s="20"/>
      <c r="F563" s="20"/>
      <c r="G563" s="20"/>
      <c r="H563" s="20"/>
      <c r="J563" s="20"/>
      <c r="L563" s="20"/>
      <c r="M563" s="20"/>
      <c r="N563" s="20"/>
      <c r="O563" s="20"/>
      <c r="P563" s="20"/>
      <c r="R563" s="20"/>
      <c r="S563" s="20"/>
      <c r="T563" s="20"/>
      <c r="U563" s="20"/>
      <c r="V563" s="20"/>
      <c r="W563" s="20"/>
      <c r="X563" s="20"/>
      <c r="Y563" s="20"/>
      <c r="Z563" s="20"/>
      <c r="AA563" s="20"/>
    </row>
    <row r="564" spans="1:27" x14ac:dyDescent="0.2">
      <c r="A564" s="20"/>
      <c r="B564" s="20"/>
      <c r="C564" s="20"/>
      <c r="D564" s="20"/>
      <c r="E564" s="20"/>
      <c r="F564" s="20"/>
      <c r="G564" s="20"/>
      <c r="H564" s="20"/>
      <c r="J564" s="20"/>
      <c r="L564" s="20"/>
      <c r="M564" s="20"/>
      <c r="N564" s="20"/>
      <c r="O564" s="20"/>
      <c r="P564" s="20"/>
      <c r="R564" s="20"/>
      <c r="S564" s="20"/>
      <c r="T564" s="20"/>
      <c r="U564" s="20"/>
      <c r="V564" s="20"/>
      <c r="W564" s="20"/>
      <c r="X564" s="20"/>
      <c r="Y564" s="20"/>
      <c r="Z564" s="20"/>
      <c r="AA564" s="20"/>
    </row>
    <row r="565" spans="1:27" x14ac:dyDescent="0.2">
      <c r="A565" s="20"/>
      <c r="B565" s="20"/>
      <c r="C565" s="20"/>
      <c r="D565" s="20"/>
      <c r="E565" s="20"/>
      <c r="F565" s="20"/>
      <c r="G565" s="20"/>
      <c r="H565" s="20"/>
      <c r="J565" s="20"/>
      <c r="L565" s="20"/>
      <c r="M565" s="20"/>
      <c r="N565" s="20"/>
      <c r="O565" s="20"/>
      <c r="P565" s="20"/>
      <c r="R565" s="20"/>
      <c r="S565" s="20"/>
      <c r="T565" s="20"/>
      <c r="U565" s="20"/>
      <c r="V565" s="20"/>
      <c r="W565" s="20"/>
      <c r="X565" s="20"/>
      <c r="Y565" s="20"/>
      <c r="Z565" s="20"/>
      <c r="AA565" s="20"/>
    </row>
    <row r="566" spans="1:27" x14ac:dyDescent="0.2">
      <c r="A566" s="20"/>
      <c r="B566" s="20"/>
      <c r="C566" s="20"/>
      <c r="D566" s="20"/>
      <c r="E566" s="20"/>
      <c r="F566" s="20"/>
      <c r="G566" s="20"/>
      <c r="H566" s="20"/>
      <c r="J566" s="20"/>
      <c r="L566" s="20"/>
      <c r="M566" s="20"/>
      <c r="N566" s="20"/>
      <c r="O566" s="20"/>
      <c r="P566" s="20"/>
      <c r="R566" s="20"/>
      <c r="S566" s="20"/>
      <c r="T566" s="20"/>
      <c r="U566" s="20"/>
      <c r="V566" s="20"/>
      <c r="W566" s="20"/>
      <c r="X566" s="20"/>
      <c r="Y566" s="20"/>
      <c r="Z566" s="20"/>
      <c r="AA566" s="20"/>
    </row>
    <row r="567" spans="1:27" x14ac:dyDescent="0.2">
      <c r="A567" s="20"/>
      <c r="B567" s="20"/>
      <c r="C567" s="20"/>
      <c r="D567" s="20"/>
      <c r="E567" s="20"/>
      <c r="F567" s="20"/>
      <c r="G567" s="20"/>
      <c r="H567" s="20"/>
      <c r="J567" s="20"/>
      <c r="L567" s="20"/>
      <c r="M567" s="20"/>
      <c r="N567" s="20"/>
      <c r="O567" s="20"/>
      <c r="P567" s="20"/>
      <c r="R567" s="20"/>
      <c r="S567" s="20"/>
      <c r="T567" s="20"/>
      <c r="U567" s="20"/>
      <c r="V567" s="20"/>
      <c r="W567" s="20"/>
      <c r="X567" s="20"/>
      <c r="Y567" s="20"/>
      <c r="Z567" s="20"/>
      <c r="AA567" s="20"/>
    </row>
    <row r="568" spans="1:27" x14ac:dyDescent="0.2">
      <c r="A568" s="20"/>
      <c r="B568" s="20"/>
      <c r="C568" s="20"/>
      <c r="D568" s="20"/>
      <c r="E568" s="20"/>
      <c r="F568" s="20"/>
      <c r="G568" s="20"/>
      <c r="H568" s="20"/>
      <c r="J568" s="20"/>
      <c r="L568" s="20"/>
      <c r="M568" s="20"/>
      <c r="N568" s="20"/>
      <c r="O568" s="20"/>
      <c r="P568" s="20"/>
      <c r="R568" s="20"/>
      <c r="S568" s="20"/>
      <c r="T568" s="20"/>
      <c r="U568" s="20"/>
      <c r="V568" s="20"/>
      <c r="W568" s="20"/>
      <c r="X568" s="20"/>
      <c r="Y568" s="20"/>
      <c r="Z568" s="20"/>
      <c r="AA568" s="20"/>
    </row>
    <row r="569" spans="1:27" x14ac:dyDescent="0.2">
      <c r="A569" s="20"/>
      <c r="B569" s="20"/>
      <c r="C569" s="20"/>
      <c r="D569" s="20"/>
      <c r="E569" s="20"/>
      <c r="F569" s="20"/>
      <c r="G569" s="20"/>
      <c r="H569" s="20"/>
      <c r="J569" s="20"/>
      <c r="L569" s="20"/>
      <c r="M569" s="20"/>
      <c r="N569" s="20"/>
      <c r="O569" s="20"/>
      <c r="P569" s="20"/>
      <c r="R569" s="20"/>
      <c r="S569" s="20"/>
      <c r="T569" s="20"/>
      <c r="U569" s="20"/>
      <c r="V569" s="20"/>
      <c r="W569" s="20"/>
      <c r="X569" s="20"/>
      <c r="Y569" s="20"/>
      <c r="Z569" s="20"/>
      <c r="AA569" s="20"/>
    </row>
    <row r="570" spans="1:27" x14ac:dyDescent="0.2">
      <c r="A570" s="20"/>
      <c r="B570" s="20"/>
      <c r="C570" s="20"/>
      <c r="D570" s="20"/>
      <c r="E570" s="20"/>
      <c r="F570" s="20"/>
      <c r="G570" s="20"/>
      <c r="H570" s="20"/>
      <c r="J570" s="20"/>
      <c r="L570" s="20"/>
      <c r="M570" s="20"/>
      <c r="N570" s="20"/>
      <c r="O570" s="20"/>
      <c r="P570" s="20"/>
      <c r="R570" s="20"/>
      <c r="S570" s="20"/>
      <c r="T570" s="20"/>
      <c r="U570" s="20"/>
      <c r="V570" s="20"/>
      <c r="W570" s="20"/>
      <c r="X570" s="20"/>
      <c r="Y570" s="20"/>
      <c r="Z570" s="20"/>
      <c r="AA570" s="20"/>
    </row>
    <row r="571" spans="1:27" x14ac:dyDescent="0.2">
      <c r="A571" s="20"/>
      <c r="B571" s="20"/>
      <c r="C571" s="20"/>
      <c r="D571" s="20"/>
      <c r="E571" s="20"/>
      <c r="F571" s="20"/>
      <c r="G571" s="20"/>
      <c r="H571" s="20"/>
      <c r="J571" s="20"/>
      <c r="L571" s="20"/>
      <c r="M571" s="20"/>
      <c r="N571" s="20"/>
      <c r="O571" s="20"/>
      <c r="P571" s="20"/>
      <c r="R571" s="20"/>
      <c r="S571" s="20"/>
      <c r="T571" s="20"/>
      <c r="U571" s="20"/>
      <c r="V571" s="20"/>
      <c r="W571" s="20"/>
      <c r="X571" s="20"/>
      <c r="Y571" s="20"/>
      <c r="Z571" s="20"/>
      <c r="AA571" s="20"/>
    </row>
    <row r="572" spans="1:27" x14ac:dyDescent="0.2">
      <c r="A572" s="20"/>
      <c r="B572" s="20"/>
      <c r="C572" s="20"/>
      <c r="D572" s="20"/>
      <c r="E572" s="20"/>
      <c r="F572" s="20"/>
      <c r="G572" s="20"/>
      <c r="H572" s="20"/>
      <c r="J572" s="20"/>
      <c r="L572" s="20"/>
      <c r="M572" s="20"/>
      <c r="N572" s="20"/>
      <c r="O572" s="20"/>
      <c r="P572" s="20"/>
      <c r="R572" s="20"/>
      <c r="S572" s="20"/>
      <c r="T572" s="20"/>
      <c r="U572" s="20"/>
      <c r="V572" s="20"/>
      <c r="W572" s="20"/>
      <c r="X572" s="20"/>
      <c r="Y572" s="20"/>
      <c r="Z572" s="20"/>
      <c r="AA572" s="20"/>
    </row>
    <row r="573" spans="1:27" x14ac:dyDescent="0.2">
      <c r="A573" s="20"/>
      <c r="B573" s="20"/>
      <c r="C573" s="20"/>
      <c r="D573" s="20"/>
      <c r="E573" s="20"/>
      <c r="F573" s="20"/>
      <c r="G573" s="20"/>
      <c r="H573" s="20"/>
      <c r="J573" s="20"/>
      <c r="L573" s="20"/>
      <c r="M573" s="20"/>
      <c r="N573" s="20"/>
      <c r="O573" s="20"/>
      <c r="P573" s="20"/>
      <c r="R573" s="20"/>
      <c r="S573" s="20"/>
      <c r="T573" s="20"/>
      <c r="U573" s="20"/>
      <c r="V573" s="20"/>
      <c r="W573" s="20"/>
      <c r="X573" s="20"/>
      <c r="Y573" s="20"/>
      <c r="Z573" s="20"/>
      <c r="AA573" s="20"/>
    </row>
    <row r="574" spans="1:27" x14ac:dyDescent="0.2">
      <c r="A574" s="20"/>
      <c r="B574" s="20"/>
      <c r="C574" s="20"/>
      <c r="D574" s="20"/>
      <c r="E574" s="20"/>
      <c r="F574" s="20"/>
      <c r="G574" s="20"/>
      <c r="H574" s="20"/>
      <c r="J574" s="20"/>
      <c r="L574" s="20"/>
      <c r="M574" s="20"/>
      <c r="N574" s="20"/>
      <c r="O574" s="20"/>
      <c r="P574" s="20"/>
      <c r="R574" s="20"/>
      <c r="S574" s="20"/>
      <c r="T574" s="20"/>
      <c r="U574" s="20"/>
      <c r="V574" s="20"/>
      <c r="W574" s="20"/>
      <c r="X574" s="20"/>
      <c r="Y574" s="20"/>
      <c r="Z574" s="20"/>
      <c r="AA574" s="20"/>
    </row>
    <row r="575" spans="1:27" x14ac:dyDescent="0.2">
      <c r="A575" s="20"/>
      <c r="B575" s="20"/>
      <c r="C575" s="20"/>
      <c r="D575" s="20"/>
      <c r="E575" s="20"/>
      <c r="F575" s="20"/>
      <c r="G575" s="20"/>
      <c r="H575" s="20"/>
      <c r="J575" s="20"/>
      <c r="L575" s="20"/>
      <c r="M575" s="20"/>
      <c r="N575" s="20"/>
      <c r="O575" s="20"/>
      <c r="P575" s="20"/>
      <c r="R575" s="20"/>
      <c r="S575" s="20"/>
      <c r="T575" s="20"/>
      <c r="U575" s="20"/>
      <c r="V575" s="20"/>
      <c r="W575" s="20"/>
      <c r="X575" s="20"/>
      <c r="Y575" s="20"/>
      <c r="Z575" s="20"/>
      <c r="AA575" s="20"/>
    </row>
    <row r="576" spans="1:27" x14ac:dyDescent="0.2">
      <c r="A576" s="20"/>
      <c r="B576" s="20"/>
      <c r="C576" s="20"/>
      <c r="D576" s="20"/>
      <c r="E576" s="20"/>
      <c r="F576" s="20"/>
      <c r="G576" s="20"/>
      <c r="H576" s="20"/>
      <c r="J576" s="20"/>
      <c r="L576" s="20"/>
      <c r="M576" s="20"/>
      <c r="N576" s="20"/>
      <c r="O576" s="20"/>
      <c r="P576" s="20"/>
      <c r="R576" s="20"/>
      <c r="S576" s="20"/>
      <c r="T576" s="20"/>
      <c r="U576" s="20"/>
      <c r="V576" s="20"/>
      <c r="W576" s="20"/>
      <c r="X576" s="20"/>
      <c r="Y576" s="20"/>
      <c r="Z576" s="20"/>
      <c r="AA576" s="20"/>
    </row>
    <row r="577" spans="1:27" x14ac:dyDescent="0.2">
      <c r="A577" s="20"/>
      <c r="B577" s="20"/>
      <c r="C577" s="20"/>
      <c r="D577" s="20"/>
      <c r="E577" s="20"/>
      <c r="F577" s="20"/>
      <c r="G577" s="20"/>
      <c r="H577" s="20"/>
      <c r="J577" s="20"/>
      <c r="L577" s="20"/>
      <c r="M577" s="20"/>
      <c r="N577" s="20"/>
      <c r="O577" s="20"/>
      <c r="P577" s="20"/>
      <c r="R577" s="20"/>
      <c r="S577" s="20"/>
      <c r="T577" s="20"/>
      <c r="U577" s="20"/>
      <c r="V577" s="20"/>
      <c r="W577" s="20"/>
      <c r="X577" s="20"/>
      <c r="Y577" s="20"/>
      <c r="Z577" s="20"/>
      <c r="AA577" s="20"/>
    </row>
    <row r="578" spans="1:27" x14ac:dyDescent="0.2">
      <c r="A578" s="20"/>
      <c r="B578" s="20"/>
      <c r="C578" s="20"/>
      <c r="D578" s="20"/>
      <c r="E578" s="20"/>
      <c r="F578" s="20"/>
      <c r="G578" s="20"/>
      <c r="H578" s="20"/>
      <c r="J578" s="20"/>
      <c r="L578" s="20"/>
      <c r="M578" s="20"/>
      <c r="N578" s="20"/>
      <c r="O578" s="20"/>
      <c r="P578" s="20"/>
      <c r="R578" s="20"/>
      <c r="S578" s="20"/>
      <c r="T578" s="20"/>
      <c r="U578" s="20"/>
      <c r="V578" s="20"/>
      <c r="W578" s="20"/>
      <c r="X578" s="20"/>
      <c r="Y578" s="20"/>
      <c r="Z578" s="20"/>
      <c r="AA578" s="20"/>
    </row>
    <row r="579" spans="1:27" x14ac:dyDescent="0.2">
      <c r="A579" s="20"/>
      <c r="B579" s="20"/>
      <c r="C579" s="20"/>
      <c r="D579" s="20"/>
      <c r="E579" s="20"/>
      <c r="F579" s="20"/>
      <c r="G579" s="20"/>
      <c r="H579" s="20"/>
      <c r="J579" s="20"/>
      <c r="L579" s="20"/>
      <c r="M579" s="20"/>
      <c r="N579" s="20"/>
      <c r="O579" s="20"/>
      <c r="P579" s="20"/>
      <c r="R579" s="20"/>
      <c r="S579" s="20"/>
      <c r="T579" s="20"/>
      <c r="U579" s="20"/>
      <c r="V579" s="20"/>
      <c r="W579" s="20"/>
      <c r="X579" s="20"/>
      <c r="Y579" s="20"/>
      <c r="Z579" s="20"/>
      <c r="AA579" s="20"/>
    </row>
    <row r="580" spans="1:27" x14ac:dyDescent="0.2">
      <c r="A580" s="20"/>
      <c r="B580" s="20"/>
      <c r="C580" s="20"/>
      <c r="D580" s="20"/>
      <c r="E580" s="20"/>
      <c r="F580" s="20"/>
      <c r="G580" s="20"/>
      <c r="H580" s="20"/>
      <c r="J580" s="20"/>
      <c r="L580" s="20"/>
      <c r="M580" s="20"/>
      <c r="N580" s="20"/>
      <c r="O580" s="20"/>
      <c r="P580" s="20"/>
      <c r="R580" s="20"/>
      <c r="S580" s="20"/>
      <c r="T580" s="20"/>
      <c r="U580" s="20"/>
      <c r="V580" s="20"/>
      <c r="W580" s="20"/>
      <c r="X580" s="20"/>
      <c r="Y580" s="20"/>
      <c r="Z580" s="20"/>
      <c r="AA580" s="20"/>
    </row>
    <row r="581" spans="1:27" x14ac:dyDescent="0.2">
      <c r="A581" s="20"/>
      <c r="B581" s="20"/>
      <c r="C581" s="20"/>
      <c r="D581" s="20"/>
      <c r="E581" s="20"/>
      <c r="F581" s="20"/>
      <c r="G581" s="20"/>
      <c r="H581" s="20"/>
      <c r="J581" s="20"/>
      <c r="L581" s="20"/>
      <c r="M581" s="20"/>
      <c r="N581" s="20"/>
      <c r="O581" s="20"/>
      <c r="P581" s="20"/>
      <c r="R581" s="20"/>
      <c r="S581" s="20"/>
      <c r="T581" s="20"/>
      <c r="U581" s="20"/>
      <c r="V581" s="20"/>
      <c r="W581" s="20"/>
      <c r="X581" s="20"/>
      <c r="Y581" s="20"/>
      <c r="Z581" s="20"/>
      <c r="AA581" s="20"/>
    </row>
    <row r="582" spans="1:27" x14ac:dyDescent="0.2">
      <c r="A582" s="20"/>
      <c r="B582" s="20"/>
      <c r="C582" s="20"/>
      <c r="D582" s="20"/>
      <c r="E582" s="20"/>
      <c r="F582" s="20"/>
      <c r="G582" s="20"/>
      <c r="H582" s="20"/>
      <c r="J582" s="20"/>
      <c r="L582" s="20"/>
      <c r="M582" s="20"/>
      <c r="N582" s="20"/>
      <c r="O582" s="20"/>
      <c r="P582" s="20"/>
      <c r="R582" s="20"/>
      <c r="S582" s="20"/>
      <c r="T582" s="20"/>
      <c r="U582" s="20"/>
      <c r="V582" s="20"/>
      <c r="W582" s="20"/>
      <c r="X582" s="20"/>
      <c r="Y582" s="20"/>
      <c r="Z582" s="20"/>
      <c r="AA582" s="20"/>
    </row>
    <row r="583" spans="1:27" x14ac:dyDescent="0.2">
      <c r="A583" s="20"/>
      <c r="B583" s="20"/>
      <c r="C583" s="20"/>
      <c r="D583" s="20"/>
      <c r="E583" s="20"/>
      <c r="F583" s="20"/>
      <c r="G583" s="20"/>
      <c r="H583" s="20"/>
      <c r="J583" s="20"/>
      <c r="L583" s="20"/>
      <c r="M583" s="20"/>
      <c r="N583" s="20"/>
      <c r="O583" s="20"/>
      <c r="P583" s="20"/>
      <c r="R583" s="20"/>
      <c r="S583" s="20"/>
      <c r="T583" s="20"/>
      <c r="U583" s="20"/>
      <c r="V583" s="20"/>
      <c r="W583" s="20"/>
      <c r="X583" s="20"/>
      <c r="Y583" s="20"/>
      <c r="Z583" s="20"/>
      <c r="AA583" s="20"/>
    </row>
    <row r="584" spans="1:27" x14ac:dyDescent="0.2">
      <c r="A584" s="20"/>
      <c r="B584" s="20"/>
      <c r="C584" s="20"/>
      <c r="D584" s="20"/>
      <c r="E584" s="20"/>
      <c r="F584" s="20"/>
      <c r="G584" s="20"/>
      <c r="H584" s="20"/>
      <c r="J584" s="20"/>
      <c r="L584" s="20"/>
      <c r="M584" s="20"/>
      <c r="N584" s="20"/>
      <c r="O584" s="20"/>
      <c r="P584" s="20"/>
      <c r="R584" s="20"/>
      <c r="S584" s="20"/>
      <c r="T584" s="20"/>
      <c r="U584" s="20"/>
      <c r="V584" s="20"/>
      <c r="W584" s="20"/>
      <c r="X584" s="20"/>
      <c r="Y584" s="20"/>
      <c r="Z584" s="20"/>
      <c r="AA584" s="20"/>
    </row>
    <row r="585" spans="1:27" x14ac:dyDescent="0.2">
      <c r="A585" s="20"/>
      <c r="B585" s="20"/>
      <c r="C585" s="20"/>
      <c r="D585" s="20"/>
      <c r="E585" s="20"/>
      <c r="F585" s="20"/>
      <c r="G585" s="20"/>
      <c r="H585" s="20"/>
      <c r="J585" s="20"/>
      <c r="L585" s="20"/>
      <c r="M585" s="20"/>
      <c r="N585" s="20"/>
      <c r="O585" s="20"/>
      <c r="P585" s="20"/>
      <c r="R585" s="20"/>
      <c r="S585" s="20"/>
      <c r="T585" s="20"/>
      <c r="U585" s="20"/>
      <c r="V585" s="20"/>
      <c r="W585" s="20"/>
      <c r="X585" s="20"/>
      <c r="Y585" s="20"/>
      <c r="Z585" s="20"/>
      <c r="AA585" s="20"/>
    </row>
    <row r="586" spans="1:27" x14ac:dyDescent="0.2">
      <c r="A586" s="20"/>
      <c r="B586" s="20"/>
      <c r="C586" s="20"/>
      <c r="D586" s="20"/>
      <c r="E586" s="20"/>
      <c r="F586" s="20"/>
      <c r="G586" s="20"/>
      <c r="H586" s="20"/>
      <c r="J586" s="20"/>
      <c r="L586" s="20"/>
      <c r="M586" s="20"/>
      <c r="N586" s="20"/>
      <c r="O586" s="20"/>
      <c r="P586" s="20"/>
      <c r="R586" s="20"/>
      <c r="S586" s="20"/>
      <c r="T586" s="20"/>
      <c r="U586" s="20"/>
      <c r="V586" s="20"/>
      <c r="W586" s="20"/>
      <c r="X586" s="20"/>
      <c r="Y586" s="20"/>
      <c r="Z586" s="20"/>
      <c r="AA586" s="20"/>
    </row>
    <row r="587" spans="1:27" x14ac:dyDescent="0.2">
      <c r="A587" s="20"/>
      <c r="B587" s="20"/>
      <c r="C587" s="20"/>
      <c r="D587" s="20"/>
      <c r="E587" s="20"/>
      <c r="F587" s="20"/>
      <c r="G587" s="20"/>
      <c r="H587" s="20"/>
      <c r="J587" s="20"/>
      <c r="L587" s="20"/>
      <c r="M587" s="20"/>
      <c r="N587" s="20"/>
      <c r="O587" s="20"/>
      <c r="P587" s="20"/>
      <c r="R587" s="20"/>
      <c r="S587" s="20"/>
      <c r="T587" s="20"/>
      <c r="U587" s="20"/>
      <c r="V587" s="20"/>
      <c r="W587" s="20"/>
      <c r="X587" s="20"/>
      <c r="Y587" s="20"/>
      <c r="Z587" s="20"/>
      <c r="AA587" s="20"/>
    </row>
    <row r="588" spans="1:27" x14ac:dyDescent="0.2">
      <c r="A588" s="20"/>
      <c r="B588" s="20"/>
      <c r="C588" s="20"/>
      <c r="D588" s="20"/>
      <c r="E588" s="20"/>
      <c r="F588" s="20"/>
      <c r="G588" s="20"/>
      <c r="H588" s="20"/>
      <c r="J588" s="20"/>
      <c r="L588" s="20"/>
      <c r="M588" s="20"/>
      <c r="N588" s="20"/>
      <c r="O588" s="20"/>
      <c r="P588" s="20"/>
      <c r="R588" s="20"/>
      <c r="S588" s="20"/>
      <c r="T588" s="20"/>
      <c r="U588" s="20"/>
      <c r="V588" s="20"/>
      <c r="W588" s="20"/>
      <c r="X588" s="20"/>
      <c r="Y588" s="20"/>
      <c r="Z588" s="20"/>
      <c r="AA588" s="20"/>
    </row>
    <row r="589" spans="1:27" x14ac:dyDescent="0.2">
      <c r="A589" s="20"/>
      <c r="B589" s="20"/>
      <c r="C589" s="20"/>
      <c r="D589" s="20"/>
      <c r="E589" s="20"/>
      <c r="F589" s="20"/>
      <c r="G589" s="20"/>
      <c r="H589" s="20"/>
      <c r="J589" s="20"/>
      <c r="L589" s="20"/>
      <c r="M589" s="20"/>
      <c r="N589" s="20"/>
      <c r="O589" s="20"/>
      <c r="P589" s="20"/>
      <c r="R589" s="20"/>
      <c r="S589" s="20"/>
      <c r="T589" s="20"/>
      <c r="U589" s="20"/>
      <c r="V589" s="20"/>
      <c r="W589" s="20"/>
      <c r="X589" s="20"/>
      <c r="Y589" s="20"/>
      <c r="Z589" s="20"/>
      <c r="AA589" s="20"/>
    </row>
    <row r="590" spans="1:27" x14ac:dyDescent="0.2">
      <c r="A590" s="20"/>
      <c r="B590" s="20"/>
      <c r="C590" s="20"/>
      <c r="D590" s="20"/>
      <c r="E590" s="20"/>
      <c r="F590" s="20"/>
      <c r="G590" s="20"/>
      <c r="H590" s="20"/>
      <c r="J590" s="20"/>
      <c r="L590" s="20"/>
      <c r="M590" s="20"/>
      <c r="N590" s="20"/>
      <c r="O590" s="20"/>
      <c r="P590" s="20"/>
      <c r="R590" s="20"/>
      <c r="S590" s="20"/>
      <c r="T590" s="20"/>
      <c r="U590" s="20"/>
      <c r="V590" s="20"/>
      <c r="W590" s="20"/>
      <c r="X590" s="20"/>
      <c r="Y590" s="20"/>
      <c r="Z590" s="20"/>
      <c r="AA590" s="20"/>
    </row>
    <row r="591" spans="1:27" x14ac:dyDescent="0.2">
      <c r="A591" s="20"/>
      <c r="B591" s="20"/>
      <c r="C591" s="20"/>
      <c r="D591" s="20"/>
      <c r="E591" s="20"/>
      <c r="F591" s="20"/>
      <c r="G591" s="20"/>
      <c r="H591" s="20"/>
      <c r="J591" s="20"/>
      <c r="L591" s="20"/>
      <c r="M591" s="20"/>
      <c r="N591" s="20"/>
      <c r="O591" s="20"/>
      <c r="P591" s="20"/>
      <c r="R591" s="20"/>
      <c r="S591" s="20"/>
      <c r="T591" s="20"/>
      <c r="U591" s="20"/>
      <c r="V591" s="20"/>
      <c r="W591" s="20"/>
      <c r="X591" s="20"/>
      <c r="Y591" s="20"/>
      <c r="Z591" s="20"/>
      <c r="AA591" s="20"/>
    </row>
    <row r="592" spans="1:27" x14ac:dyDescent="0.2">
      <c r="A592" s="20"/>
      <c r="B592" s="20"/>
      <c r="C592" s="20"/>
      <c r="D592" s="20"/>
      <c r="E592" s="20"/>
      <c r="F592" s="20"/>
      <c r="G592" s="20"/>
      <c r="H592" s="20"/>
      <c r="J592" s="20"/>
      <c r="L592" s="20"/>
      <c r="M592" s="20"/>
      <c r="N592" s="20"/>
      <c r="O592" s="20"/>
      <c r="P592" s="20"/>
      <c r="R592" s="20"/>
      <c r="S592" s="20"/>
      <c r="T592" s="20"/>
      <c r="U592" s="20"/>
      <c r="V592" s="20"/>
      <c r="W592" s="20"/>
      <c r="X592" s="20"/>
      <c r="Y592" s="20"/>
      <c r="Z592" s="20"/>
      <c r="AA592" s="20"/>
    </row>
    <row r="593" spans="1:27" x14ac:dyDescent="0.2">
      <c r="A593" s="20"/>
      <c r="B593" s="20"/>
      <c r="C593" s="20"/>
      <c r="D593" s="20"/>
      <c r="E593" s="20"/>
      <c r="F593" s="20"/>
      <c r="G593" s="20"/>
      <c r="H593" s="20"/>
      <c r="J593" s="20"/>
      <c r="L593" s="20"/>
      <c r="M593" s="20"/>
      <c r="N593" s="20"/>
      <c r="O593" s="20"/>
      <c r="P593" s="20"/>
      <c r="R593" s="20"/>
      <c r="S593" s="20"/>
      <c r="T593" s="20"/>
      <c r="U593" s="20"/>
      <c r="V593" s="20"/>
      <c r="W593" s="20"/>
      <c r="X593" s="20"/>
      <c r="Y593" s="20"/>
      <c r="Z593" s="20"/>
      <c r="AA593" s="20"/>
    </row>
    <row r="594" spans="1:27" x14ac:dyDescent="0.2">
      <c r="A594" s="20"/>
      <c r="B594" s="20"/>
      <c r="C594" s="20"/>
      <c r="D594" s="20"/>
      <c r="E594" s="20"/>
      <c r="F594" s="20"/>
      <c r="G594" s="20"/>
      <c r="H594" s="20"/>
      <c r="J594" s="20"/>
      <c r="L594" s="20"/>
      <c r="M594" s="20"/>
      <c r="N594" s="20"/>
      <c r="O594" s="20"/>
      <c r="P594" s="20"/>
      <c r="R594" s="20"/>
      <c r="S594" s="20"/>
      <c r="T594" s="20"/>
      <c r="U594" s="20"/>
      <c r="V594" s="20"/>
      <c r="W594" s="20"/>
      <c r="X594" s="20"/>
      <c r="Y594" s="20"/>
      <c r="Z594" s="20"/>
      <c r="AA594" s="20"/>
    </row>
    <row r="595" spans="1:27" x14ac:dyDescent="0.2">
      <c r="A595" s="20"/>
      <c r="B595" s="20"/>
      <c r="C595" s="20"/>
      <c r="D595" s="20"/>
      <c r="E595" s="20"/>
      <c r="F595" s="20"/>
      <c r="G595" s="20"/>
      <c r="H595" s="20"/>
      <c r="J595" s="20"/>
      <c r="L595" s="20"/>
      <c r="M595" s="20"/>
      <c r="N595" s="20"/>
      <c r="O595" s="20"/>
      <c r="P595" s="20"/>
      <c r="R595" s="20"/>
      <c r="S595" s="20"/>
      <c r="T595" s="20"/>
      <c r="U595" s="20"/>
      <c r="V595" s="20"/>
      <c r="W595" s="20"/>
      <c r="X595" s="20"/>
      <c r="Y595" s="20"/>
      <c r="Z595" s="20"/>
      <c r="AA595" s="20"/>
    </row>
    <row r="596" spans="1:27" x14ac:dyDescent="0.2">
      <c r="A596" s="20"/>
      <c r="B596" s="20"/>
      <c r="C596" s="20"/>
      <c r="D596" s="20"/>
      <c r="E596" s="20"/>
      <c r="F596" s="20"/>
      <c r="G596" s="20"/>
      <c r="H596" s="20"/>
      <c r="J596" s="20"/>
      <c r="L596" s="20"/>
      <c r="M596" s="20"/>
      <c r="N596" s="20"/>
      <c r="O596" s="20"/>
      <c r="P596" s="20"/>
      <c r="R596" s="20"/>
      <c r="S596" s="20"/>
      <c r="T596" s="20"/>
      <c r="U596" s="20"/>
      <c r="V596" s="20"/>
      <c r="W596" s="20"/>
      <c r="X596" s="20"/>
      <c r="Y596" s="20"/>
      <c r="Z596" s="20"/>
      <c r="AA596" s="20"/>
    </row>
    <row r="597" spans="1:27" x14ac:dyDescent="0.2">
      <c r="A597" s="20"/>
      <c r="B597" s="20"/>
      <c r="C597" s="20"/>
      <c r="D597" s="20"/>
      <c r="E597" s="20"/>
      <c r="F597" s="20"/>
      <c r="G597" s="20"/>
      <c r="H597" s="20"/>
      <c r="J597" s="20"/>
      <c r="L597" s="20"/>
      <c r="M597" s="20"/>
      <c r="N597" s="20"/>
      <c r="O597" s="20"/>
      <c r="P597" s="20"/>
      <c r="R597" s="20"/>
      <c r="S597" s="20"/>
      <c r="T597" s="20"/>
      <c r="U597" s="20"/>
      <c r="V597" s="20"/>
      <c r="W597" s="20"/>
      <c r="X597" s="20"/>
      <c r="Y597" s="20"/>
      <c r="Z597" s="20"/>
      <c r="AA597" s="20"/>
    </row>
    <row r="598" spans="1:27" x14ac:dyDescent="0.2">
      <c r="A598" s="20"/>
      <c r="B598" s="20"/>
      <c r="C598" s="20"/>
      <c r="D598" s="20"/>
      <c r="E598" s="20"/>
      <c r="F598" s="20"/>
      <c r="G598" s="20"/>
      <c r="H598" s="20"/>
      <c r="J598" s="20"/>
      <c r="L598" s="20"/>
      <c r="M598" s="20"/>
      <c r="N598" s="20"/>
      <c r="O598" s="20"/>
      <c r="P598" s="20"/>
      <c r="R598" s="20"/>
      <c r="S598" s="20"/>
      <c r="T598" s="20"/>
      <c r="U598" s="20"/>
      <c r="V598" s="20"/>
      <c r="W598" s="20"/>
      <c r="X598" s="20"/>
      <c r="Y598" s="20"/>
      <c r="Z598" s="20"/>
      <c r="AA598" s="20"/>
    </row>
    <row r="599" spans="1:27" x14ac:dyDescent="0.2">
      <c r="A599" s="20"/>
      <c r="B599" s="20"/>
      <c r="C599" s="20"/>
      <c r="D599" s="20"/>
      <c r="E599" s="20"/>
      <c r="F599" s="20"/>
      <c r="G599" s="20"/>
      <c r="H599" s="20"/>
      <c r="J599" s="20"/>
      <c r="L599" s="20"/>
      <c r="M599" s="20"/>
      <c r="N599" s="20"/>
      <c r="O599" s="20"/>
      <c r="P599" s="20"/>
      <c r="R599" s="20"/>
      <c r="S599" s="20"/>
      <c r="T599" s="20"/>
      <c r="U599" s="20"/>
      <c r="V599" s="20"/>
      <c r="W599" s="20"/>
      <c r="X599" s="20"/>
      <c r="Y599" s="20"/>
      <c r="Z599" s="20"/>
      <c r="AA599" s="20"/>
    </row>
    <row r="600" spans="1:27" x14ac:dyDescent="0.2">
      <c r="A600" s="20"/>
      <c r="B600" s="20"/>
      <c r="C600" s="20"/>
      <c r="D600" s="20"/>
      <c r="E600" s="20"/>
      <c r="F600" s="20"/>
      <c r="G600" s="20"/>
      <c r="H600" s="20"/>
      <c r="J600" s="20"/>
      <c r="L600" s="20"/>
      <c r="M600" s="20"/>
      <c r="N600" s="20"/>
      <c r="O600" s="20"/>
      <c r="P600" s="20"/>
      <c r="R600" s="20"/>
      <c r="S600" s="20"/>
      <c r="T600" s="20"/>
      <c r="U600" s="20"/>
      <c r="V600" s="20"/>
      <c r="W600" s="20"/>
      <c r="X600" s="20"/>
      <c r="Y600" s="20"/>
      <c r="Z600" s="20"/>
      <c r="AA600" s="20"/>
    </row>
    <row r="601" spans="1:27" x14ac:dyDescent="0.2">
      <c r="A601" s="20"/>
      <c r="B601" s="20"/>
      <c r="C601" s="20"/>
      <c r="D601" s="20"/>
      <c r="E601" s="20"/>
      <c r="F601" s="20"/>
      <c r="G601" s="20"/>
      <c r="H601" s="20"/>
      <c r="J601" s="20"/>
      <c r="L601" s="20"/>
      <c r="M601" s="20"/>
      <c r="N601" s="20"/>
      <c r="O601" s="20"/>
      <c r="P601" s="20"/>
      <c r="R601" s="20"/>
      <c r="S601" s="20"/>
      <c r="T601" s="20"/>
      <c r="U601" s="20"/>
      <c r="V601" s="20"/>
      <c r="W601" s="20"/>
      <c r="X601" s="20"/>
      <c r="Y601" s="20"/>
      <c r="Z601" s="20"/>
      <c r="AA601" s="20"/>
    </row>
    <row r="602" spans="1:27" x14ac:dyDescent="0.2">
      <c r="A602" s="20"/>
      <c r="B602" s="20"/>
      <c r="C602" s="20"/>
      <c r="D602" s="20"/>
      <c r="E602" s="20"/>
      <c r="F602" s="20"/>
      <c r="G602" s="20"/>
      <c r="H602" s="20"/>
      <c r="J602" s="20"/>
      <c r="L602" s="20"/>
      <c r="M602" s="20"/>
      <c r="N602" s="20"/>
      <c r="O602" s="20"/>
      <c r="P602" s="20"/>
      <c r="R602" s="20"/>
      <c r="S602" s="20"/>
      <c r="T602" s="20"/>
      <c r="U602" s="20"/>
      <c r="V602" s="20"/>
      <c r="W602" s="20"/>
      <c r="X602" s="20"/>
      <c r="Y602" s="20"/>
      <c r="Z602" s="20"/>
      <c r="AA602" s="20"/>
    </row>
    <row r="603" spans="1:27" x14ac:dyDescent="0.2">
      <c r="A603" s="20"/>
      <c r="B603" s="20"/>
      <c r="C603" s="20"/>
      <c r="D603" s="20"/>
      <c r="E603" s="20"/>
      <c r="F603" s="20"/>
      <c r="G603" s="20"/>
      <c r="H603" s="20"/>
      <c r="J603" s="20"/>
      <c r="L603" s="20"/>
      <c r="M603" s="20"/>
      <c r="N603" s="20"/>
      <c r="O603" s="20"/>
      <c r="P603" s="20"/>
      <c r="R603" s="20"/>
      <c r="S603" s="20"/>
      <c r="T603" s="20"/>
      <c r="U603" s="20"/>
      <c r="V603" s="20"/>
      <c r="W603" s="20"/>
      <c r="X603" s="20"/>
      <c r="Y603" s="20"/>
      <c r="Z603" s="20"/>
      <c r="AA603" s="20"/>
    </row>
    <row r="604" spans="1:27" x14ac:dyDescent="0.2">
      <c r="A604" s="20"/>
      <c r="B604" s="20"/>
      <c r="C604" s="20"/>
      <c r="D604" s="20"/>
      <c r="E604" s="20"/>
      <c r="F604" s="20"/>
      <c r="G604" s="20"/>
      <c r="H604" s="20"/>
      <c r="J604" s="20"/>
      <c r="L604" s="20"/>
      <c r="M604" s="20"/>
      <c r="N604" s="20"/>
      <c r="O604" s="20"/>
      <c r="P604" s="20"/>
      <c r="R604" s="20"/>
      <c r="S604" s="20"/>
      <c r="T604" s="20"/>
      <c r="U604" s="20"/>
      <c r="V604" s="20"/>
      <c r="W604" s="20"/>
      <c r="X604" s="20"/>
      <c r="Y604" s="20"/>
      <c r="Z604" s="20"/>
      <c r="AA604" s="20"/>
    </row>
    <row r="605" spans="1:27" x14ac:dyDescent="0.2">
      <c r="A605" s="20"/>
      <c r="B605" s="20"/>
      <c r="C605" s="20"/>
      <c r="D605" s="20"/>
      <c r="E605" s="20"/>
      <c r="F605" s="20"/>
      <c r="G605" s="20"/>
      <c r="H605" s="20"/>
      <c r="J605" s="20"/>
      <c r="L605" s="20"/>
      <c r="M605" s="20"/>
      <c r="N605" s="20"/>
      <c r="O605" s="20"/>
      <c r="P605" s="20"/>
      <c r="R605" s="20"/>
      <c r="S605" s="20"/>
      <c r="T605" s="20"/>
      <c r="U605" s="20"/>
      <c r="V605" s="20"/>
      <c r="W605" s="20"/>
      <c r="X605" s="20"/>
      <c r="Y605" s="20"/>
      <c r="Z605" s="20"/>
      <c r="AA605" s="20"/>
    </row>
    <row r="606" spans="1:27" x14ac:dyDescent="0.2">
      <c r="A606" s="20"/>
      <c r="B606" s="20"/>
      <c r="C606" s="20"/>
      <c r="D606" s="20"/>
      <c r="E606" s="20"/>
      <c r="F606" s="20"/>
      <c r="G606" s="20"/>
      <c r="H606" s="20"/>
      <c r="J606" s="20"/>
      <c r="L606" s="20"/>
      <c r="M606" s="20"/>
      <c r="N606" s="20"/>
      <c r="O606" s="20"/>
      <c r="P606" s="20"/>
      <c r="R606" s="20"/>
      <c r="S606" s="20"/>
      <c r="T606" s="20"/>
      <c r="U606" s="20"/>
      <c r="V606" s="20"/>
      <c r="W606" s="20"/>
      <c r="X606" s="20"/>
      <c r="Y606" s="20"/>
      <c r="Z606" s="20"/>
      <c r="AA606" s="20"/>
    </row>
    <row r="607" spans="1:27" x14ac:dyDescent="0.2">
      <c r="A607" s="20"/>
      <c r="B607" s="20"/>
      <c r="C607" s="20"/>
      <c r="D607" s="20"/>
      <c r="E607" s="20"/>
      <c r="F607" s="20"/>
      <c r="G607" s="20"/>
      <c r="H607" s="20"/>
      <c r="J607" s="20"/>
      <c r="L607" s="20"/>
      <c r="M607" s="20"/>
      <c r="N607" s="20"/>
      <c r="O607" s="20"/>
      <c r="P607" s="20"/>
      <c r="R607" s="20"/>
      <c r="S607" s="20"/>
      <c r="T607" s="20"/>
      <c r="U607" s="20"/>
      <c r="V607" s="20"/>
      <c r="W607" s="20"/>
      <c r="X607" s="20"/>
      <c r="Y607" s="20"/>
      <c r="Z607" s="20"/>
      <c r="AA607" s="20"/>
    </row>
    <row r="608" spans="1:27" x14ac:dyDescent="0.2">
      <c r="A608" s="20"/>
      <c r="B608" s="20"/>
      <c r="C608" s="20"/>
      <c r="D608" s="20"/>
      <c r="E608" s="20"/>
      <c r="F608" s="20"/>
      <c r="G608" s="20"/>
      <c r="H608" s="20"/>
      <c r="J608" s="20"/>
      <c r="L608" s="20"/>
      <c r="M608" s="20"/>
      <c r="N608" s="20"/>
      <c r="O608" s="20"/>
      <c r="P608" s="20"/>
      <c r="R608" s="20"/>
      <c r="S608" s="20"/>
      <c r="T608" s="20"/>
      <c r="U608" s="20"/>
      <c r="V608" s="20"/>
      <c r="W608" s="20"/>
      <c r="X608" s="20"/>
      <c r="Y608" s="20"/>
      <c r="Z608" s="20"/>
      <c r="AA608" s="20"/>
    </row>
    <row r="609" spans="1:27" x14ac:dyDescent="0.2">
      <c r="A609" s="20"/>
      <c r="B609" s="20"/>
      <c r="C609" s="20"/>
      <c r="D609" s="20"/>
      <c r="E609" s="20"/>
      <c r="F609" s="20"/>
      <c r="G609" s="20"/>
      <c r="H609" s="20"/>
      <c r="J609" s="20"/>
      <c r="L609" s="20"/>
      <c r="M609" s="20"/>
      <c r="N609" s="20"/>
      <c r="O609" s="20"/>
      <c r="P609" s="20"/>
      <c r="R609" s="20"/>
      <c r="S609" s="20"/>
      <c r="T609" s="20"/>
      <c r="U609" s="20"/>
      <c r="V609" s="20"/>
      <c r="W609" s="20"/>
      <c r="X609" s="20"/>
      <c r="Y609" s="20"/>
      <c r="Z609" s="20"/>
      <c r="AA609" s="20"/>
    </row>
    <row r="610" spans="1:27" x14ac:dyDescent="0.2">
      <c r="A610" s="20"/>
      <c r="B610" s="20"/>
      <c r="C610" s="20"/>
      <c r="D610" s="20"/>
      <c r="E610" s="20"/>
      <c r="F610" s="20"/>
      <c r="G610" s="20"/>
      <c r="H610" s="20"/>
      <c r="J610" s="20"/>
      <c r="L610" s="20"/>
      <c r="M610" s="20"/>
      <c r="N610" s="20"/>
      <c r="O610" s="20"/>
      <c r="P610" s="20"/>
      <c r="R610" s="20"/>
      <c r="S610" s="20"/>
      <c r="T610" s="20"/>
      <c r="U610" s="20"/>
      <c r="V610" s="20"/>
      <c r="W610" s="20"/>
      <c r="X610" s="20"/>
      <c r="Y610" s="20"/>
      <c r="Z610" s="20"/>
      <c r="AA610" s="20"/>
    </row>
    <row r="611" spans="1:27" x14ac:dyDescent="0.2">
      <c r="A611" s="20"/>
      <c r="B611" s="20"/>
      <c r="C611" s="20"/>
      <c r="D611" s="20"/>
      <c r="E611" s="20"/>
      <c r="F611" s="20"/>
      <c r="G611" s="20"/>
      <c r="H611" s="20"/>
      <c r="J611" s="20"/>
      <c r="L611" s="20"/>
      <c r="M611" s="20"/>
      <c r="N611" s="20"/>
      <c r="O611" s="20"/>
      <c r="P611" s="20"/>
      <c r="R611" s="20"/>
      <c r="S611" s="20"/>
      <c r="T611" s="20"/>
      <c r="U611" s="20"/>
      <c r="V611" s="20"/>
      <c r="W611" s="20"/>
      <c r="X611" s="20"/>
      <c r="Y611" s="20"/>
      <c r="Z611" s="20"/>
      <c r="AA611" s="20"/>
    </row>
    <row r="612" spans="1:27" x14ac:dyDescent="0.2">
      <c r="A612" s="20"/>
      <c r="B612" s="20"/>
      <c r="C612" s="20"/>
      <c r="D612" s="20"/>
      <c r="E612" s="20"/>
      <c r="F612" s="20"/>
      <c r="G612" s="20"/>
      <c r="H612" s="20"/>
      <c r="J612" s="20"/>
      <c r="L612" s="20"/>
      <c r="M612" s="20"/>
      <c r="N612" s="20"/>
      <c r="O612" s="20"/>
      <c r="P612" s="20"/>
      <c r="R612" s="20"/>
      <c r="S612" s="20"/>
      <c r="T612" s="20"/>
      <c r="U612" s="20"/>
      <c r="V612" s="20"/>
      <c r="W612" s="20"/>
      <c r="X612" s="20"/>
      <c r="Y612" s="20"/>
      <c r="Z612" s="20"/>
      <c r="AA612" s="20"/>
    </row>
    <row r="613" spans="1:27" x14ac:dyDescent="0.2">
      <c r="A613" s="20"/>
      <c r="B613" s="20"/>
      <c r="C613" s="20"/>
      <c r="D613" s="20"/>
      <c r="E613" s="20"/>
      <c r="F613" s="20"/>
      <c r="G613" s="20"/>
      <c r="H613" s="20"/>
      <c r="J613" s="20"/>
      <c r="L613" s="20"/>
      <c r="M613" s="20"/>
      <c r="N613" s="20"/>
      <c r="O613" s="20"/>
      <c r="P613" s="20"/>
      <c r="R613" s="20"/>
      <c r="S613" s="20"/>
      <c r="T613" s="20"/>
      <c r="U613" s="20"/>
      <c r="V613" s="20"/>
      <c r="W613" s="20"/>
      <c r="X613" s="20"/>
      <c r="Y613" s="20"/>
      <c r="Z613" s="20"/>
      <c r="AA613" s="20"/>
    </row>
    <row r="614" spans="1:27" x14ac:dyDescent="0.2">
      <c r="A614" s="20"/>
      <c r="B614" s="20"/>
      <c r="C614" s="20"/>
      <c r="D614" s="20"/>
      <c r="E614" s="20"/>
      <c r="F614" s="20"/>
      <c r="G614" s="20"/>
      <c r="H614" s="20"/>
      <c r="J614" s="20"/>
      <c r="L614" s="20"/>
      <c r="M614" s="20"/>
      <c r="N614" s="20"/>
      <c r="O614" s="20"/>
      <c r="P614" s="20"/>
      <c r="R614" s="20"/>
      <c r="S614" s="20"/>
      <c r="T614" s="20"/>
      <c r="U614" s="20"/>
      <c r="V614" s="20"/>
      <c r="W614" s="20"/>
      <c r="X614" s="20"/>
      <c r="Y614" s="20"/>
      <c r="Z614" s="20"/>
      <c r="AA614" s="20"/>
    </row>
    <row r="615" spans="1:27" x14ac:dyDescent="0.2">
      <c r="A615" s="20"/>
      <c r="B615" s="20"/>
      <c r="C615" s="20"/>
      <c r="D615" s="20"/>
      <c r="E615" s="20"/>
      <c r="F615" s="20"/>
      <c r="G615" s="20"/>
      <c r="H615" s="20"/>
      <c r="J615" s="20"/>
      <c r="L615" s="20"/>
      <c r="M615" s="20"/>
      <c r="N615" s="20"/>
      <c r="O615" s="20"/>
      <c r="P615" s="20"/>
      <c r="R615" s="20"/>
      <c r="S615" s="20"/>
      <c r="T615" s="20"/>
      <c r="U615" s="20"/>
      <c r="V615" s="20"/>
      <c r="W615" s="20"/>
      <c r="X615" s="20"/>
      <c r="Y615" s="20"/>
      <c r="Z615" s="20"/>
      <c r="AA615" s="20"/>
    </row>
    <row r="616" spans="1:27" x14ac:dyDescent="0.2">
      <c r="A616" s="20"/>
      <c r="B616" s="20"/>
      <c r="C616" s="20"/>
      <c r="D616" s="20"/>
      <c r="E616" s="20"/>
      <c r="F616" s="20"/>
      <c r="G616" s="20"/>
      <c r="H616" s="20"/>
      <c r="J616" s="20"/>
      <c r="L616" s="20"/>
      <c r="M616" s="20"/>
      <c r="N616" s="20"/>
      <c r="O616" s="20"/>
      <c r="P616" s="20"/>
      <c r="R616" s="20"/>
      <c r="S616" s="20"/>
      <c r="T616" s="20"/>
      <c r="U616" s="20"/>
      <c r="V616" s="20"/>
      <c r="W616" s="20"/>
      <c r="X616" s="20"/>
      <c r="Y616" s="20"/>
      <c r="Z616" s="20"/>
      <c r="AA616" s="20"/>
    </row>
    <row r="617" spans="1:27" x14ac:dyDescent="0.2">
      <c r="A617" s="20"/>
      <c r="B617" s="20"/>
      <c r="C617" s="20"/>
      <c r="D617" s="20"/>
      <c r="E617" s="20"/>
      <c r="F617" s="20"/>
      <c r="G617" s="20"/>
      <c r="H617" s="20"/>
      <c r="J617" s="20"/>
      <c r="L617" s="20"/>
      <c r="M617" s="20"/>
      <c r="N617" s="20"/>
      <c r="O617" s="20"/>
      <c r="P617" s="20"/>
      <c r="R617" s="20"/>
      <c r="S617" s="20"/>
      <c r="T617" s="20"/>
      <c r="U617" s="20"/>
      <c r="V617" s="20"/>
      <c r="W617" s="20"/>
      <c r="X617" s="20"/>
      <c r="Y617" s="20"/>
      <c r="Z617" s="20"/>
      <c r="AA617" s="20"/>
    </row>
    <row r="618" spans="1:27" x14ac:dyDescent="0.2">
      <c r="A618" s="20"/>
      <c r="B618" s="20"/>
      <c r="C618" s="20"/>
      <c r="D618" s="20"/>
      <c r="E618" s="20"/>
      <c r="F618" s="20"/>
      <c r="G618" s="20"/>
      <c r="H618" s="20"/>
      <c r="J618" s="20"/>
      <c r="L618" s="20"/>
      <c r="M618" s="20"/>
      <c r="N618" s="20"/>
      <c r="O618" s="20"/>
      <c r="P618" s="20"/>
      <c r="R618" s="20"/>
      <c r="S618" s="20"/>
      <c r="T618" s="20"/>
      <c r="U618" s="20"/>
      <c r="V618" s="20"/>
      <c r="W618" s="20"/>
      <c r="X618" s="20"/>
      <c r="Y618" s="20"/>
      <c r="Z618" s="20"/>
      <c r="AA618" s="20"/>
    </row>
    <row r="619" spans="1:27" x14ac:dyDescent="0.2">
      <c r="A619" s="20"/>
      <c r="B619" s="20"/>
      <c r="C619" s="20"/>
      <c r="D619" s="20"/>
      <c r="E619" s="20"/>
      <c r="F619" s="20"/>
      <c r="G619" s="20"/>
      <c r="H619" s="20"/>
      <c r="J619" s="20"/>
      <c r="L619" s="20"/>
      <c r="M619" s="20"/>
      <c r="N619" s="20"/>
      <c r="O619" s="20"/>
      <c r="P619" s="20"/>
      <c r="R619" s="20"/>
      <c r="S619" s="20"/>
      <c r="T619" s="20"/>
      <c r="U619" s="20"/>
      <c r="V619" s="20"/>
      <c r="W619" s="20"/>
      <c r="X619" s="20"/>
      <c r="Y619" s="20"/>
      <c r="Z619" s="20"/>
      <c r="AA619" s="20"/>
    </row>
    <row r="620" spans="1:27" x14ac:dyDescent="0.2">
      <c r="A620" s="20"/>
      <c r="B620" s="20"/>
      <c r="C620" s="20"/>
      <c r="D620" s="20"/>
      <c r="E620" s="20"/>
      <c r="F620" s="20"/>
      <c r="G620" s="20"/>
      <c r="H620" s="20"/>
      <c r="J620" s="20"/>
      <c r="L620" s="20"/>
      <c r="M620" s="20"/>
      <c r="N620" s="20"/>
      <c r="O620" s="20"/>
      <c r="P620" s="20"/>
      <c r="R620" s="20"/>
      <c r="S620" s="20"/>
      <c r="T620" s="20"/>
      <c r="U620" s="20"/>
      <c r="V620" s="20"/>
      <c r="W620" s="20"/>
      <c r="X620" s="20"/>
      <c r="Y620" s="20"/>
      <c r="Z620" s="20"/>
      <c r="AA620" s="20"/>
    </row>
    <row r="621" spans="1:27" x14ac:dyDescent="0.2">
      <c r="A621" s="20"/>
      <c r="B621" s="20"/>
      <c r="C621" s="20"/>
      <c r="D621" s="20"/>
      <c r="E621" s="20"/>
      <c r="F621" s="20"/>
      <c r="G621" s="20"/>
      <c r="H621" s="20"/>
      <c r="J621" s="20"/>
      <c r="L621" s="20"/>
      <c r="M621" s="20"/>
      <c r="N621" s="20"/>
      <c r="O621" s="20"/>
      <c r="P621" s="20"/>
      <c r="R621" s="20"/>
      <c r="S621" s="20"/>
      <c r="T621" s="20"/>
      <c r="U621" s="20"/>
      <c r="V621" s="20"/>
      <c r="W621" s="20"/>
      <c r="X621" s="20"/>
      <c r="Y621" s="20"/>
      <c r="Z621" s="20"/>
      <c r="AA621" s="20"/>
    </row>
    <row r="622" spans="1:27" x14ac:dyDescent="0.2">
      <c r="A622" s="20"/>
      <c r="B622" s="20"/>
      <c r="C622" s="20"/>
      <c r="D622" s="20"/>
      <c r="E622" s="20"/>
      <c r="F622" s="20"/>
      <c r="G622" s="20"/>
      <c r="H622" s="20"/>
      <c r="J622" s="20"/>
      <c r="L622" s="20"/>
      <c r="M622" s="20"/>
      <c r="N622" s="20"/>
      <c r="O622" s="20"/>
      <c r="P622" s="20"/>
      <c r="R622" s="20"/>
      <c r="S622" s="20"/>
      <c r="T622" s="20"/>
      <c r="U622" s="20"/>
      <c r="V622" s="20"/>
      <c r="W622" s="20"/>
      <c r="X622" s="20"/>
      <c r="Y622" s="20"/>
      <c r="Z622" s="20"/>
      <c r="AA622" s="20"/>
    </row>
    <row r="623" spans="1:27" x14ac:dyDescent="0.2">
      <c r="A623" s="20"/>
      <c r="B623" s="20"/>
      <c r="C623" s="20"/>
      <c r="D623" s="20"/>
      <c r="E623" s="20"/>
      <c r="F623" s="20"/>
      <c r="G623" s="20"/>
      <c r="H623" s="20"/>
      <c r="J623" s="20"/>
      <c r="L623" s="20"/>
      <c r="M623" s="20"/>
      <c r="N623" s="20"/>
      <c r="O623" s="20"/>
      <c r="P623" s="20"/>
      <c r="R623" s="20"/>
      <c r="S623" s="20"/>
      <c r="T623" s="20"/>
      <c r="U623" s="20"/>
      <c r="V623" s="20"/>
      <c r="W623" s="20"/>
      <c r="X623" s="20"/>
      <c r="Y623" s="20"/>
      <c r="Z623" s="20"/>
      <c r="AA623" s="20"/>
    </row>
    <row r="624" spans="1:27" x14ac:dyDescent="0.2">
      <c r="A624" s="20"/>
      <c r="B624" s="20"/>
      <c r="C624" s="20"/>
      <c r="D624" s="20"/>
      <c r="E624" s="20"/>
      <c r="F624" s="20"/>
      <c r="G624" s="20"/>
      <c r="H624" s="20"/>
      <c r="J624" s="20"/>
      <c r="L624" s="20"/>
      <c r="M624" s="20"/>
      <c r="N624" s="20"/>
      <c r="O624" s="20"/>
      <c r="P624" s="20"/>
      <c r="R624" s="20"/>
      <c r="S624" s="20"/>
      <c r="T624" s="20"/>
      <c r="U624" s="20"/>
      <c r="V624" s="20"/>
      <c r="W624" s="20"/>
      <c r="X624" s="20"/>
      <c r="Y624" s="20"/>
      <c r="Z624" s="20"/>
      <c r="AA624" s="20"/>
    </row>
    <row r="625" spans="1:27" x14ac:dyDescent="0.2">
      <c r="A625" s="20"/>
      <c r="B625" s="20"/>
      <c r="C625" s="20"/>
      <c r="D625" s="20"/>
      <c r="E625" s="20"/>
      <c r="F625" s="20"/>
      <c r="G625" s="20"/>
      <c r="H625" s="20"/>
      <c r="J625" s="20"/>
      <c r="L625" s="20"/>
      <c r="M625" s="20"/>
      <c r="N625" s="20"/>
      <c r="O625" s="20"/>
      <c r="P625" s="20"/>
      <c r="R625" s="20"/>
      <c r="S625" s="20"/>
      <c r="T625" s="20"/>
      <c r="U625" s="20"/>
      <c r="V625" s="20"/>
      <c r="W625" s="20"/>
      <c r="X625" s="20"/>
      <c r="Y625" s="20"/>
      <c r="Z625" s="20"/>
      <c r="AA625" s="20"/>
    </row>
    <row r="626" spans="1:27" x14ac:dyDescent="0.2">
      <c r="A626" s="20"/>
      <c r="B626" s="20"/>
      <c r="C626" s="20"/>
      <c r="D626" s="20"/>
      <c r="E626" s="20"/>
      <c r="F626" s="20"/>
      <c r="G626" s="20"/>
      <c r="H626" s="20"/>
      <c r="J626" s="20"/>
      <c r="L626" s="20"/>
      <c r="M626" s="20"/>
      <c r="N626" s="20"/>
      <c r="O626" s="20"/>
      <c r="P626" s="20"/>
      <c r="R626" s="20"/>
      <c r="S626" s="20"/>
      <c r="T626" s="20"/>
      <c r="U626" s="20"/>
      <c r="V626" s="20"/>
      <c r="W626" s="20"/>
      <c r="X626" s="20"/>
      <c r="Y626" s="20"/>
      <c r="Z626" s="20"/>
      <c r="AA626" s="20"/>
    </row>
    <row r="627" spans="1:27" x14ac:dyDescent="0.2">
      <c r="A627" s="20"/>
      <c r="B627" s="20"/>
      <c r="C627" s="20"/>
      <c r="D627" s="20"/>
      <c r="E627" s="20"/>
      <c r="F627" s="20"/>
      <c r="G627" s="20"/>
      <c r="H627" s="20"/>
      <c r="J627" s="20"/>
      <c r="L627" s="20"/>
      <c r="M627" s="20"/>
      <c r="N627" s="20"/>
      <c r="O627" s="20"/>
      <c r="P627" s="20"/>
      <c r="R627" s="20"/>
      <c r="S627" s="20"/>
      <c r="T627" s="20"/>
      <c r="U627" s="20"/>
      <c r="V627" s="20"/>
      <c r="W627" s="20"/>
      <c r="X627" s="20"/>
      <c r="Y627" s="20"/>
      <c r="Z627" s="20"/>
      <c r="AA627" s="20"/>
    </row>
    <row r="628" spans="1:27" x14ac:dyDescent="0.2">
      <c r="A628" s="20"/>
      <c r="B628" s="20"/>
      <c r="C628" s="20"/>
      <c r="D628" s="20"/>
      <c r="E628" s="20"/>
      <c r="F628" s="20"/>
      <c r="G628" s="20"/>
      <c r="H628" s="20"/>
      <c r="J628" s="20"/>
      <c r="L628" s="20"/>
      <c r="M628" s="20"/>
      <c r="N628" s="20"/>
      <c r="O628" s="20"/>
      <c r="P628" s="20"/>
      <c r="R628" s="20"/>
      <c r="S628" s="20"/>
      <c r="T628" s="20"/>
      <c r="U628" s="20"/>
      <c r="V628" s="20"/>
      <c r="W628" s="20"/>
      <c r="X628" s="20"/>
      <c r="Y628" s="20"/>
      <c r="Z628" s="20"/>
      <c r="AA628" s="20"/>
    </row>
    <row r="629" spans="1:27" x14ac:dyDescent="0.2">
      <c r="A629" s="20"/>
      <c r="B629" s="20"/>
      <c r="C629" s="20"/>
      <c r="D629" s="20"/>
      <c r="E629" s="20"/>
      <c r="F629" s="20"/>
      <c r="G629" s="20"/>
      <c r="H629" s="20"/>
      <c r="J629" s="20"/>
      <c r="L629" s="20"/>
      <c r="M629" s="20"/>
      <c r="N629" s="20"/>
      <c r="O629" s="20"/>
      <c r="P629" s="20"/>
      <c r="R629" s="20"/>
      <c r="S629" s="20"/>
      <c r="T629" s="20"/>
      <c r="U629" s="20"/>
      <c r="V629" s="20"/>
      <c r="W629" s="20"/>
      <c r="X629" s="20"/>
      <c r="Y629" s="20"/>
      <c r="Z629" s="20"/>
      <c r="AA629" s="20"/>
    </row>
    <row r="630" spans="1:27" x14ac:dyDescent="0.2">
      <c r="A630" s="20"/>
      <c r="B630" s="20"/>
      <c r="C630" s="20"/>
      <c r="D630" s="20"/>
      <c r="E630" s="20"/>
      <c r="F630" s="20"/>
      <c r="G630" s="20"/>
      <c r="H630" s="20"/>
      <c r="J630" s="20"/>
      <c r="L630" s="20"/>
      <c r="M630" s="20"/>
      <c r="N630" s="20"/>
      <c r="O630" s="20"/>
      <c r="P630" s="20"/>
      <c r="R630" s="20"/>
      <c r="S630" s="20"/>
      <c r="T630" s="20"/>
      <c r="U630" s="20"/>
      <c r="V630" s="20"/>
      <c r="W630" s="20"/>
      <c r="X630" s="20"/>
      <c r="Y630" s="20"/>
      <c r="Z630" s="20"/>
      <c r="AA630" s="20"/>
    </row>
    <row r="631" spans="1:27" x14ac:dyDescent="0.2">
      <c r="A631" s="20"/>
      <c r="B631" s="20"/>
      <c r="C631" s="20"/>
      <c r="D631" s="20"/>
      <c r="E631" s="20"/>
      <c r="F631" s="20"/>
      <c r="G631" s="20"/>
      <c r="H631" s="20"/>
      <c r="J631" s="20"/>
      <c r="L631" s="20"/>
      <c r="M631" s="20"/>
      <c r="N631" s="20"/>
      <c r="O631" s="20"/>
      <c r="P631" s="20"/>
      <c r="R631" s="20"/>
      <c r="S631" s="20"/>
      <c r="T631" s="20"/>
      <c r="U631" s="20"/>
      <c r="V631" s="20"/>
      <c r="W631" s="20"/>
      <c r="X631" s="20"/>
      <c r="Y631" s="20"/>
      <c r="Z631" s="20"/>
      <c r="AA631" s="20"/>
    </row>
    <row r="632" spans="1:27" x14ac:dyDescent="0.2">
      <c r="A632" s="20"/>
      <c r="B632" s="20"/>
      <c r="C632" s="20"/>
      <c r="D632" s="20"/>
      <c r="E632" s="20"/>
      <c r="F632" s="20"/>
      <c r="G632" s="20"/>
      <c r="H632" s="20"/>
      <c r="J632" s="20"/>
      <c r="L632" s="20"/>
      <c r="M632" s="20"/>
      <c r="N632" s="20"/>
      <c r="O632" s="20"/>
      <c r="P632" s="20"/>
      <c r="R632" s="20"/>
      <c r="S632" s="20"/>
      <c r="T632" s="20"/>
      <c r="U632" s="20"/>
      <c r="V632" s="20"/>
      <c r="W632" s="20"/>
      <c r="X632" s="20"/>
      <c r="Y632" s="20"/>
      <c r="Z632" s="20"/>
      <c r="AA632" s="20"/>
    </row>
    <row r="633" spans="1:27" x14ac:dyDescent="0.2">
      <c r="A633" s="20"/>
      <c r="B633" s="20"/>
      <c r="C633" s="20"/>
      <c r="D633" s="20"/>
      <c r="E633" s="20"/>
      <c r="F633" s="20"/>
      <c r="G633" s="20"/>
      <c r="H633" s="20"/>
      <c r="J633" s="20"/>
      <c r="L633" s="20"/>
      <c r="M633" s="20"/>
      <c r="N633" s="20"/>
      <c r="O633" s="20"/>
      <c r="P633" s="20"/>
      <c r="R633" s="20"/>
      <c r="S633" s="20"/>
      <c r="T633" s="20"/>
      <c r="U633" s="20"/>
      <c r="V633" s="20"/>
      <c r="W633" s="20"/>
      <c r="X633" s="20"/>
      <c r="Y633" s="20"/>
      <c r="Z633" s="20"/>
      <c r="AA633" s="20"/>
    </row>
    <row r="634" spans="1:27" x14ac:dyDescent="0.2">
      <c r="A634" s="20"/>
      <c r="B634" s="20"/>
      <c r="C634" s="20"/>
      <c r="D634" s="20"/>
      <c r="E634" s="20"/>
      <c r="F634" s="20"/>
      <c r="G634" s="20"/>
      <c r="H634" s="20"/>
      <c r="J634" s="20"/>
      <c r="L634" s="20"/>
      <c r="M634" s="20"/>
      <c r="N634" s="20"/>
      <c r="O634" s="20"/>
      <c r="P634" s="20"/>
      <c r="R634" s="20"/>
      <c r="S634" s="20"/>
      <c r="T634" s="20"/>
      <c r="U634" s="20"/>
      <c r="V634" s="20"/>
      <c r="W634" s="20"/>
      <c r="X634" s="20"/>
      <c r="Y634" s="20"/>
      <c r="Z634" s="20"/>
      <c r="AA634" s="20"/>
    </row>
    <row r="635" spans="1:27" x14ac:dyDescent="0.2">
      <c r="A635" s="20"/>
      <c r="B635" s="20"/>
      <c r="C635" s="20"/>
      <c r="D635" s="20"/>
      <c r="E635" s="20"/>
      <c r="F635" s="20"/>
      <c r="G635" s="20"/>
      <c r="H635" s="20"/>
      <c r="J635" s="20"/>
      <c r="L635" s="20"/>
      <c r="M635" s="20"/>
      <c r="N635" s="20"/>
      <c r="O635" s="20"/>
      <c r="P635" s="20"/>
      <c r="R635" s="20"/>
      <c r="S635" s="20"/>
      <c r="T635" s="20"/>
      <c r="U635" s="20"/>
      <c r="V635" s="20"/>
      <c r="W635" s="20"/>
      <c r="X635" s="20"/>
      <c r="Y635" s="20"/>
      <c r="Z635" s="20"/>
      <c r="AA635" s="20"/>
    </row>
    <row r="636" spans="1:27" x14ac:dyDescent="0.2">
      <c r="A636" s="20"/>
      <c r="B636" s="20"/>
      <c r="C636" s="20"/>
      <c r="D636" s="20"/>
      <c r="E636" s="20"/>
      <c r="F636" s="20"/>
      <c r="G636" s="20"/>
      <c r="H636" s="20"/>
      <c r="J636" s="20"/>
      <c r="L636" s="20"/>
      <c r="M636" s="20"/>
      <c r="N636" s="20"/>
      <c r="O636" s="20"/>
      <c r="P636" s="20"/>
      <c r="R636" s="20"/>
      <c r="S636" s="20"/>
      <c r="T636" s="20"/>
      <c r="U636" s="20"/>
      <c r="V636" s="20"/>
      <c r="W636" s="20"/>
      <c r="X636" s="20"/>
      <c r="Y636" s="20"/>
      <c r="Z636" s="20"/>
      <c r="AA636" s="20"/>
    </row>
    <row r="637" spans="1:27" x14ac:dyDescent="0.2">
      <c r="A637" s="20"/>
      <c r="B637" s="20"/>
      <c r="C637" s="20"/>
      <c r="D637" s="20"/>
      <c r="E637" s="20"/>
      <c r="F637" s="20"/>
      <c r="G637" s="20"/>
      <c r="H637" s="20"/>
      <c r="J637" s="20"/>
      <c r="L637" s="20"/>
      <c r="M637" s="20"/>
      <c r="N637" s="20"/>
      <c r="O637" s="20"/>
      <c r="P637" s="20"/>
      <c r="R637" s="20"/>
      <c r="S637" s="20"/>
      <c r="T637" s="20"/>
      <c r="U637" s="20"/>
      <c r="V637" s="20"/>
      <c r="W637" s="20"/>
      <c r="X637" s="20"/>
      <c r="Y637" s="20"/>
      <c r="Z637" s="20"/>
      <c r="AA637" s="20"/>
    </row>
    <row r="638" spans="1:27" x14ac:dyDescent="0.2">
      <c r="A638" s="20"/>
      <c r="B638" s="20"/>
      <c r="C638" s="20"/>
      <c r="D638" s="20"/>
      <c r="E638" s="20"/>
      <c r="F638" s="20"/>
      <c r="G638" s="20"/>
      <c r="H638" s="20"/>
      <c r="J638" s="20"/>
      <c r="L638" s="20"/>
      <c r="M638" s="20"/>
      <c r="N638" s="20"/>
      <c r="O638" s="20"/>
      <c r="P638" s="20"/>
      <c r="R638" s="20"/>
      <c r="S638" s="20"/>
      <c r="T638" s="20"/>
      <c r="U638" s="20"/>
      <c r="V638" s="20"/>
      <c r="W638" s="20"/>
      <c r="X638" s="20"/>
      <c r="Y638" s="20"/>
      <c r="Z638" s="20"/>
      <c r="AA638" s="20"/>
    </row>
    <row r="639" spans="1:27" x14ac:dyDescent="0.2">
      <c r="A639" s="20"/>
      <c r="B639" s="20"/>
      <c r="C639" s="20"/>
      <c r="D639" s="20"/>
      <c r="E639" s="20"/>
      <c r="F639" s="20"/>
      <c r="G639" s="20"/>
      <c r="H639" s="20"/>
      <c r="J639" s="20"/>
      <c r="L639" s="20"/>
      <c r="M639" s="20"/>
      <c r="N639" s="20"/>
      <c r="O639" s="20"/>
      <c r="P639" s="20"/>
      <c r="R639" s="20"/>
      <c r="S639" s="20"/>
      <c r="T639" s="20"/>
      <c r="U639" s="20"/>
      <c r="V639" s="20"/>
      <c r="W639" s="20"/>
      <c r="X639" s="20"/>
      <c r="Y639" s="20"/>
      <c r="Z639" s="20"/>
      <c r="AA639" s="20"/>
    </row>
    <row r="640" spans="1:27" x14ac:dyDescent="0.2">
      <c r="A640" s="20"/>
      <c r="B640" s="20"/>
      <c r="C640" s="20"/>
      <c r="D640" s="20"/>
      <c r="E640" s="20"/>
      <c r="F640" s="20"/>
      <c r="G640" s="20"/>
      <c r="H640" s="20"/>
      <c r="J640" s="20"/>
      <c r="L640" s="20"/>
      <c r="M640" s="20"/>
      <c r="N640" s="20"/>
      <c r="O640" s="20"/>
      <c r="P640" s="20"/>
      <c r="R640" s="20"/>
      <c r="S640" s="20"/>
      <c r="T640" s="20"/>
      <c r="U640" s="20"/>
      <c r="V640" s="20"/>
      <c r="W640" s="20"/>
      <c r="X640" s="20"/>
      <c r="Y640" s="20"/>
      <c r="Z640" s="20"/>
      <c r="AA640" s="20"/>
    </row>
    <row r="641" spans="1:27" x14ac:dyDescent="0.2">
      <c r="A641" s="20"/>
      <c r="B641" s="20"/>
      <c r="C641" s="20"/>
      <c r="D641" s="20"/>
      <c r="E641" s="20"/>
      <c r="F641" s="20"/>
      <c r="G641" s="20"/>
      <c r="H641" s="20"/>
      <c r="J641" s="20"/>
      <c r="L641" s="20"/>
      <c r="M641" s="20"/>
      <c r="N641" s="20"/>
      <c r="O641" s="20"/>
      <c r="P641" s="20"/>
      <c r="R641" s="20"/>
      <c r="S641" s="20"/>
      <c r="T641" s="20"/>
      <c r="U641" s="20"/>
      <c r="V641" s="20"/>
      <c r="W641" s="20"/>
      <c r="X641" s="20"/>
      <c r="Y641" s="20"/>
      <c r="Z641" s="20"/>
      <c r="AA641" s="20"/>
    </row>
    <row r="642" spans="1:27" x14ac:dyDescent="0.2">
      <c r="A642" s="20"/>
      <c r="B642" s="20"/>
      <c r="C642" s="20"/>
      <c r="D642" s="20"/>
      <c r="E642" s="20"/>
      <c r="F642" s="20"/>
      <c r="G642" s="20"/>
      <c r="H642" s="20"/>
      <c r="J642" s="20"/>
      <c r="L642" s="20"/>
      <c r="M642" s="20"/>
      <c r="N642" s="20"/>
      <c r="O642" s="20"/>
      <c r="P642" s="20"/>
      <c r="R642" s="20"/>
      <c r="S642" s="20"/>
      <c r="T642" s="20"/>
      <c r="U642" s="20"/>
      <c r="V642" s="20"/>
      <c r="W642" s="20"/>
      <c r="X642" s="20"/>
      <c r="Y642" s="20"/>
      <c r="Z642" s="20"/>
      <c r="AA642" s="20"/>
    </row>
    <row r="643" spans="1:27" x14ac:dyDescent="0.2">
      <c r="A643" s="20"/>
      <c r="B643" s="20"/>
      <c r="C643" s="20"/>
      <c r="D643" s="20"/>
      <c r="E643" s="20"/>
      <c r="F643" s="20"/>
      <c r="G643" s="20"/>
      <c r="H643" s="20"/>
      <c r="J643" s="20"/>
      <c r="L643" s="20"/>
      <c r="M643" s="20"/>
      <c r="N643" s="20"/>
      <c r="O643" s="20"/>
      <c r="P643" s="20"/>
      <c r="R643" s="20"/>
      <c r="S643" s="20"/>
      <c r="T643" s="20"/>
      <c r="U643" s="20"/>
      <c r="V643" s="20"/>
      <c r="W643" s="20"/>
      <c r="X643" s="20"/>
      <c r="Y643" s="20"/>
      <c r="Z643" s="20"/>
      <c r="AA643" s="20"/>
    </row>
    <row r="644" spans="1:27" x14ac:dyDescent="0.2">
      <c r="A644" s="20"/>
      <c r="B644" s="20"/>
      <c r="C644" s="20"/>
      <c r="D644" s="20"/>
      <c r="E644" s="20"/>
      <c r="F644" s="20"/>
      <c r="G644" s="20"/>
      <c r="H644" s="20"/>
      <c r="J644" s="20"/>
      <c r="L644" s="20"/>
      <c r="M644" s="20"/>
      <c r="N644" s="20"/>
      <c r="O644" s="20"/>
      <c r="P644" s="20"/>
      <c r="R644" s="20"/>
      <c r="S644" s="20"/>
      <c r="T644" s="20"/>
      <c r="U644" s="20"/>
      <c r="V644" s="20"/>
      <c r="W644" s="20"/>
      <c r="X644" s="20"/>
      <c r="Y644" s="20"/>
      <c r="Z644" s="20"/>
      <c r="AA644" s="20"/>
    </row>
    <row r="645" spans="1:27" x14ac:dyDescent="0.2">
      <c r="A645" s="20"/>
      <c r="B645" s="20"/>
      <c r="C645" s="20"/>
      <c r="D645" s="20"/>
      <c r="E645" s="20"/>
      <c r="F645" s="20"/>
      <c r="G645" s="20"/>
      <c r="H645" s="20"/>
      <c r="J645" s="20"/>
      <c r="L645" s="20"/>
      <c r="M645" s="20"/>
      <c r="N645" s="20"/>
      <c r="O645" s="20"/>
      <c r="P645" s="20"/>
      <c r="R645" s="20"/>
      <c r="S645" s="20"/>
      <c r="T645" s="20"/>
      <c r="U645" s="20"/>
      <c r="V645" s="20"/>
      <c r="W645" s="20"/>
      <c r="X645" s="20"/>
      <c r="Y645" s="20"/>
      <c r="Z645" s="20"/>
      <c r="AA645" s="20"/>
    </row>
    <row r="646" spans="1:27" x14ac:dyDescent="0.2">
      <c r="A646" s="20"/>
      <c r="B646" s="20"/>
      <c r="C646" s="20"/>
      <c r="D646" s="20"/>
      <c r="E646" s="20"/>
      <c r="F646" s="20"/>
      <c r="G646" s="20"/>
      <c r="H646" s="20"/>
      <c r="J646" s="20"/>
      <c r="L646" s="20"/>
      <c r="M646" s="20"/>
      <c r="N646" s="20"/>
      <c r="O646" s="20"/>
      <c r="P646" s="20"/>
      <c r="R646" s="20"/>
      <c r="S646" s="20"/>
      <c r="T646" s="20"/>
      <c r="U646" s="20"/>
      <c r="V646" s="20"/>
      <c r="W646" s="20"/>
      <c r="X646" s="20"/>
      <c r="Y646" s="20"/>
      <c r="Z646" s="20"/>
      <c r="AA646" s="20"/>
    </row>
    <row r="647" spans="1:27" x14ac:dyDescent="0.2">
      <c r="A647" s="20"/>
      <c r="B647" s="20"/>
      <c r="C647" s="20"/>
      <c r="D647" s="20"/>
      <c r="E647" s="20"/>
      <c r="F647" s="20"/>
      <c r="G647" s="20"/>
      <c r="H647" s="20"/>
      <c r="J647" s="20"/>
      <c r="L647" s="20"/>
      <c r="M647" s="20"/>
      <c r="N647" s="20"/>
      <c r="O647" s="20"/>
      <c r="P647" s="20"/>
      <c r="R647" s="20"/>
      <c r="S647" s="20"/>
      <c r="T647" s="20"/>
      <c r="U647" s="20"/>
      <c r="V647" s="20"/>
      <c r="W647" s="20"/>
      <c r="X647" s="20"/>
      <c r="Y647" s="20"/>
      <c r="Z647" s="20"/>
      <c r="AA647" s="20"/>
    </row>
    <row r="648" spans="1:27" x14ac:dyDescent="0.2">
      <c r="A648" s="20"/>
      <c r="B648" s="20"/>
      <c r="C648" s="20"/>
      <c r="D648" s="20"/>
      <c r="E648" s="20"/>
      <c r="F648" s="20"/>
      <c r="G648" s="20"/>
      <c r="H648" s="20"/>
      <c r="J648" s="20"/>
      <c r="L648" s="20"/>
      <c r="M648" s="20"/>
      <c r="N648" s="20"/>
      <c r="O648" s="20"/>
      <c r="P648" s="20"/>
      <c r="R648" s="20"/>
      <c r="S648" s="20"/>
      <c r="T648" s="20"/>
      <c r="U648" s="20"/>
      <c r="V648" s="20"/>
      <c r="W648" s="20"/>
      <c r="X648" s="20"/>
      <c r="Y648" s="20"/>
      <c r="Z648" s="20"/>
      <c r="AA648" s="20"/>
    </row>
    <row r="649" spans="1:27" x14ac:dyDescent="0.2">
      <c r="A649" s="20"/>
      <c r="B649" s="20"/>
      <c r="C649" s="20"/>
      <c r="D649" s="20"/>
      <c r="E649" s="20"/>
      <c r="F649" s="20"/>
      <c r="G649" s="20"/>
      <c r="H649" s="20"/>
      <c r="J649" s="20"/>
      <c r="L649" s="20"/>
      <c r="M649" s="20"/>
      <c r="N649" s="20"/>
      <c r="O649" s="20"/>
      <c r="P649" s="20"/>
      <c r="R649" s="20"/>
      <c r="S649" s="20"/>
      <c r="T649" s="20"/>
      <c r="U649" s="20"/>
      <c r="V649" s="20"/>
      <c r="W649" s="20"/>
      <c r="X649" s="20"/>
      <c r="Y649" s="20"/>
      <c r="Z649" s="20"/>
      <c r="AA649" s="20"/>
    </row>
    <row r="650" spans="1:27" x14ac:dyDescent="0.2">
      <c r="A650" s="20"/>
      <c r="B650" s="20"/>
      <c r="C650" s="20"/>
      <c r="D650" s="20"/>
      <c r="E650" s="20"/>
      <c r="F650" s="20"/>
      <c r="G650" s="20"/>
      <c r="H650" s="20"/>
      <c r="J650" s="20"/>
      <c r="L650" s="20"/>
      <c r="M650" s="20"/>
      <c r="N650" s="20"/>
      <c r="O650" s="20"/>
      <c r="P650" s="20"/>
      <c r="R650" s="20"/>
      <c r="S650" s="20"/>
      <c r="T650" s="20"/>
      <c r="U650" s="20"/>
      <c r="V650" s="20"/>
      <c r="W650" s="20"/>
      <c r="X650" s="20"/>
      <c r="Y650" s="20"/>
      <c r="Z650" s="20"/>
      <c r="AA650" s="20"/>
    </row>
    <row r="651" spans="1:27" x14ac:dyDescent="0.2">
      <c r="A651" s="20"/>
      <c r="B651" s="20"/>
      <c r="C651" s="20"/>
      <c r="D651" s="20"/>
      <c r="E651" s="20"/>
      <c r="F651" s="20"/>
      <c r="G651" s="20"/>
      <c r="H651" s="20"/>
      <c r="J651" s="20"/>
      <c r="L651" s="20"/>
      <c r="M651" s="20"/>
      <c r="N651" s="20"/>
      <c r="O651" s="20"/>
      <c r="P651" s="20"/>
      <c r="R651" s="20"/>
      <c r="S651" s="20"/>
      <c r="T651" s="20"/>
      <c r="U651" s="20"/>
      <c r="V651" s="20"/>
      <c r="W651" s="20"/>
      <c r="X651" s="20"/>
      <c r="Y651" s="20"/>
      <c r="Z651" s="20"/>
      <c r="AA651" s="20"/>
    </row>
    <row r="652" spans="1:27" x14ac:dyDescent="0.2">
      <c r="A652" s="20"/>
      <c r="B652" s="20"/>
      <c r="C652" s="20"/>
      <c r="D652" s="20"/>
      <c r="E652" s="20"/>
      <c r="F652" s="20"/>
      <c r="G652" s="20"/>
      <c r="H652" s="20"/>
      <c r="J652" s="20"/>
      <c r="L652" s="20"/>
      <c r="M652" s="20"/>
      <c r="N652" s="20"/>
      <c r="O652" s="20"/>
      <c r="P652" s="20"/>
      <c r="R652" s="20"/>
      <c r="S652" s="20"/>
      <c r="T652" s="20"/>
      <c r="U652" s="20"/>
      <c r="V652" s="20"/>
      <c r="W652" s="20"/>
      <c r="X652" s="20"/>
      <c r="Y652" s="20"/>
      <c r="Z652" s="20"/>
      <c r="AA652" s="20"/>
    </row>
    <row r="653" spans="1:27" x14ac:dyDescent="0.2">
      <c r="A653" s="20"/>
      <c r="B653" s="20"/>
      <c r="C653" s="20"/>
      <c r="D653" s="20"/>
      <c r="E653" s="20"/>
      <c r="F653" s="20"/>
      <c r="G653" s="20"/>
      <c r="H653" s="20"/>
      <c r="J653" s="20"/>
      <c r="L653" s="20"/>
      <c r="M653" s="20"/>
      <c r="N653" s="20"/>
      <c r="O653" s="20"/>
      <c r="P653" s="20"/>
      <c r="R653" s="20"/>
      <c r="S653" s="20"/>
      <c r="T653" s="20"/>
      <c r="U653" s="20"/>
      <c r="V653" s="20"/>
      <c r="W653" s="20"/>
      <c r="X653" s="20"/>
      <c r="Y653" s="20"/>
      <c r="Z653" s="20"/>
      <c r="AA653" s="20"/>
    </row>
    <row r="654" spans="1:27" x14ac:dyDescent="0.2">
      <c r="A654" s="20"/>
      <c r="B654" s="20"/>
      <c r="C654" s="20"/>
      <c r="D654" s="20"/>
      <c r="E654" s="20"/>
      <c r="F654" s="20"/>
      <c r="G654" s="20"/>
      <c r="H654" s="20"/>
      <c r="J654" s="20"/>
      <c r="L654" s="20"/>
      <c r="M654" s="20"/>
      <c r="N654" s="20"/>
      <c r="O654" s="20"/>
      <c r="P654" s="20"/>
      <c r="R654" s="20"/>
      <c r="S654" s="20"/>
      <c r="T654" s="20"/>
      <c r="U654" s="20"/>
      <c r="V654" s="20"/>
      <c r="W654" s="20"/>
      <c r="X654" s="20"/>
      <c r="Y654" s="20"/>
      <c r="Z654" s="20"/>
      <c r="AA654" s="20"/>
    </row>
    <row r="655" spans="1:27" x14ac:dyDescent="0.2">
      <c r="A655" s="20"/>
      <c r="B655" s="20"/>
      <c r="C655" s="20"/>
      <c r="D655" s="20"/>
      <c r="E655" s="20"/>
      <c r="F655" s="20"/>
      <c r="G655" s="20"/>
      <c r="H655" s="20"/>
      <c r="J655" s="20"/>
      <c r="L655" s="20"/>
      <c r="M655" s="20"/>
      <c r="N655" s="20"/>
      <c r="O655" s="20"/>
      <c r="P655" s="20"/>
      <c r="R655" s="20"/>
      <c r="S655" s="20"/>
      <c r="T655" s="20"/>
      <c r="U655" s="20"/>
      <c r="V655" s="20"/>
      <c r="W655" s="20"/>
      <c r="X655" s="20"/>
      <c r="Y655" s="20"/>
      <c r="Z655" s="20"/>
      <c r="AA655" s="20"/>
    </row>
    <row r="656" spans="1:27" x14ac:dyDescent="0.2">
      <c r="A656" s="20"/>
      <c r="B656" s="20"/>
      <c r="C656" s="20"/>
      <c r="D656" s="20"/>
      <c r="E656" s="20"/>
      <c r="F656" s="20"/>
      <c r="G656" s="20"/>
      <c r="H656" s="20"/>
      <c r="J656" s="20"/>
      <c r="L656" s="20"/>
      <c r="M656" s="20"/>
      <c r="N656" s="20"/>
      <c r="O656" s="20"/>
      <c r="P656" s="20"/>
      <c r="R656" s="20"/>
      <c r="S656" s="20"/>
      <c r="T656" s="20"/>
      <c r="U656" s="20"/>
      <c r="V656" s="20"/>
      <c r="W656" s="20"/>
      <c r="X656" s="20"/>
      <c r="Y656" s="20"/>
      <c r="Z656" s="20"/>
      <c r="AA656" s="20"/>
    </row>
    <row r="657" spans="1:27" x14ac:dyDescent="0.2">
      <c r="A657" s="20"/>
      <c r="B657" s="20"/>
      <c r="C657" s="20"/>
      <c r="D657" s="20"/>
      <c r="E657" s="20"/>
      <c r="F657" s="20"/>
      <c r="G657" s="20"/>
      <c r="H657" s="20"/>
      <c r="J657" s="20"/>
      <c r="L657" s="20"/>
      <c r="M657" s="20"/>
      <c r="N657" s="20"/>
      <c r="O657" s="20"/>
      <c r="P657" s="20"/>
      <c r="R657" s="20"/>
      <c r="S657" s="20"/>
      <c r="T657" s="20"/>
      <c r="U657" s="20"/>
      <c r="V657" s="20"/>
      <c r="W657" s="20"/>
      <c r="X657" s="20"/>
      <c r="Y657" s="20"/>
      <c r="Z657" s="20"/>
      <c r="AA657" s="20"/>
    </row>
    <row r="658" spans="1:27" x14ac:dyDescent="0.2">
      <c r="A658" s="20"/>
      <c r="B658" s="20"/>
      <c r="C658" s="20"/>
      <c r="D658" s="20"/>
      <c r="E658" s="20"/>
      <c r="F658" s="20"/>
      <c r="G658" s="20"/>
      <c r="H658" s="20"/>
      <c r="J658" s="20"/>
      <c r="L658" s="20"/>
      <c r="M658" s="20"/>
      <c r="N658" s="20"/>
      <c r="O658" s="20"/>
      <c r="P658" s="20"/>
      <c r="R658" s="20"/>
      <c r="S658" s="20"/>
      <c r="T658" s="20"/>
      <c r="U658" s="20"/>
      <c r="V658" s="20"/>
      <c r="W658" s="20"/>
      <c r="X658" s="20"/>
      <c r="Y658" s="20"/>
      <c r="Z658" s="20"/>
      <c r="AA658" s="20"/>
    </row>
    <row r="659" spans="1:27" x14ac:dyDescent="0.2">
      <c r="A659" s="20"/>
      <c r="B659" s="20"/>
      <c r="C659" s="20"/>
      <c r="D659" s="20"/>
      <c r="E659" s="20"/>
      <c r="F659" s="20"/>
      <c r="G659" s="20"/>
      <c r="H659" s="20"/>
      <c r="J659" s="20"/>
      <c r="L659" s="20"/>
      <c r="M659" s="20"/>
      <c r="N659" s="20"/>
      <c r="O659" s="20"/>
      <c r="P659" s="20"/>
      <c r="R659" s="20"/>
      <c r="S659" s="20"/>
      <c r="T659" s="20"/>
      <c r="U659" s="20"/>
      <c r="V659" s="20"/>
      <c r="W659" s="20"/>
      <c r="X659" s="20"/>
      <c r="Y659" s="20"/>
      <c r="Z659" s="20"/>
      <c r="AA659" s="20"/>
    </row>
    <row r="660" spans="1:27" x14ac:dyDescent="0.2">
      <c r="A660" s="20"/>
      <c r="B660" s="20"/>
      <c r="C660" s="20"/>
      <c r="D660" s="20"/>
      <c r="E660" s="20"/>
      <c r="F660" s="20"/>
      <c r="G660" s="20"/>
      <c r="H660" s="20"/>
      <c r="J660" s="20"/>
      <c r="L660" s="20"/>
      <c r="M660" s="20"/>
      <c r="N660" s="20"/>
      <c r="O660" s="20"/>
      <c r="P660" s="20"/>
      <c r="R660" s="20"/>
      <c r="S660" s="20"/>
      <c r="T660" s="20"/>
      <c r="U660" s="20"/>
      <c r="V660" s="20"/>
      <c r="W660" s="20"/>
      <c r="X660" s="20"/>
      <c r="Y660" s="20"/>
      <c r="Z660" s="20"/>
      <c r="AA660" s="20"/>
    </row>
    <row r="661" spans="1:27" x14ac:dyDescent="0.2">
      <c r="A661" s="20"/>
      <c r="B661" s="20"/>
      <c r="C661" s="20"/>
      <c r="D661" s="20"/>
      <c r="E661" s="20"/>
      <c r="F661" s="20"/>
      <c r="G661" s="20"/>
      <c r="H661" s="20"/>
      <c r="J661" s="20"/>
      <c r="L661" s="20"/>
      <c r="M661" s="20"/>
      <c r="N661" s="20"/>
      <c r="O661" s="20"/>
      <c r="P661" s="20"/>
      <c r="R661" s="20"/>
      <c r="S661" s="20"/>
      <c r="T661" s="20"/>
      <c r="U661" s="20"/>
      <c r="V661" s="20"/>
      <c r="W661" s="20"/>
      <c r="X661" s="20"/>
      <c r="Y661" s="20"/>
      <c r="Z661" s="20"/>
      <c r="AA661" s="20"/>
    </row>
    <row r="662" spans="1:27" x14ac:dyDescent="0.2">
      <c r="A662" s="20"/>
      <c r="B662" s="20"/>
      <c r="C662" s="20"/>
      <c r="D662" s="20"/>
      <c r="E662" s="20"/>
      <c r="F662" s="20"/>
      <c r="G662" s="20"/>
      <c r="H662" s="20"/>
      <c r="J662" s="20"/>
      <c r="L662" s="20"/>
      <c r="M662" s="20"/>
      <c r="N662" s="20"/>
      <c r="O662" s="20"/>
      <c r="P662" s="20"/>
      <c r="R662" s="20"/>
      <c r="S662" s="20"/>
      <c r="T662" s="20"/>
      <c r="U662" s="20"/>
      <c r="V662" s="20"/>
      <c r="W662" s="20"/>
      <c r="X662" s="20"/>
      <c r="Y662" s="20"/>
      <c r="Z662" s="20"/>
      <c r="AA662" s="20"/>
    </row>
    <row r="663" spans="1:27" x14ac:dyDescent="0.2">
      <c r="A663" s="20"/>
      <c r="B663" s="20"/>
      <c r="C663" s="20"/>
      <c r="D663" s="20"/>
      <c r="E663" s="20"/>
      <c r="F663" s="20"/>
      <c r="G663" s="20"/>
      <c r="H663" s="20"/>
      <c r="J663" s="20"/>
      <c r="L663" s="20"/>
      <c r="M663" s="20"/>
      <c r="N663" s="20"/>
      <c r="O663" s="20"/>
      <c r="P663" s="20"/>
      <c r="R663" s="20"/>
      <c r="S663" s="20"/>
      <c r="T663" s="20"/>
      <c r="U663" s="20"/>
      <c r="V663" s="20"/>
      <c r="W663" s="20"/>
      <c r="X663" s="20"/>
      <c r="Y663" s="20"/>
      <c r="Z663" s="20"/>
      <c r="AA663" s="20"/>
    </row>
    <row r="664" spans="1:27" x14ac:dyDescent="0.2">
      <c r="A664" s="20"/>
      <c r="B664" s="20"/>
      <c r="C664" s="20"/>
      <c r="D664" s="20"/>
      <c r="E664" s="20"/>
      <c r="F664" s="20"/>
      <c r="G664" s="20"/>
      <c r="H664" s="20"/>
      <c r="J664" s="20"/>
      <c r="L664" s="20"/>
      <c r="M664" s="20"/>
      <c r="N664" s="20"/>
      <c r="O664" s="20"/>
      <c r="P664" s="20"/>
      <c r="R664" s="20"/>
      <c r="S664" s="20"/>
      <c r="T664" s="20"/>
      <c r="U664" s="20"/>
      <c r="V664" s="20"/>
      <c r="W664" s="20"/>
      <c r="X664" s="20"/>
      <c r="Y664" s="20"/>
      <c r="Z664" s="20"/>
      <c r="AA664" s="20"/>
    </row>
    <row r="665" spans="1:27" x14ac:dyDescent="0.2">
      <c r="A665" s="20"/>
      <c r="B665" s="20"/>
      <c r="C665" s="20"/>
      <c r="D665" s="20"/>
      <c r="E665" s="20"/>
      <c r="F665" s="20"/>
      <c r="G665" s="20"/>
      <c r="H665" s="20"/>
      <c r="J665" s="20"/>
      <c r="L665" s="20"/>
      <c r="M665" s="20"/>
      <c r="N665" s="20"/>
      <c r="O665" s="20"/>
      <c r="P665" s="20"/>
      <c r="R665" s="20"/>
      <c r="S665" s="20"/>
      <c r="T665" s="20"/>
      <c r="U665" s="20"/>
      <c r="V665" s="20"/>
      <c r="W665" s="20"/>
      <c r="X665" s="20"/>
      <c r="Y665" s="20"/>
      <c r="Z665" s="20"/>
      <c r="AA665" s="20"/>
    </row>
    <row r="666" spans="1:27" x14ac:dyDescent="0.2">
      <c r="A666" s="20"/>
      <c r="B666" s="20"/>
      <c r="C666" s="20"/>
      <c r="D666" s="20"/>
      <c r="E666" s="20"/>
      <c r="F666" s="20"/>
      <c r="G666" s="20"/>
      <c r="H666" s="20"/>
      <c r="J666" s="20"/>
      <c r="L666" s="20"/>
      <c r="M666" s="20"/>
      <c r="N666" s="20"/>
      <c r="O666" s="20"/>
      <c r="P666" s="20"/>
      <c r="R666" s="20"/>
      <c r="S666" s="20"/>
      <c r="T666" s="20"/>
      <c r="U666" s="20"/>
      <c r="V666" s="20"/>
      <c r="W666" s="20"/>
      <c r="X666" s="20"/>
      <c r="Y666" s="20"/>
      <c r="Z666" s="20"/>
      <c r="AA666" s="20"/>
    </row>
    <row r="667" spans="1:27" x14ac:dyDescent="0.2">
      <c r="A667" s="20"/>
      <c r="B667" s="20"/>
      <c r="C667" s="20"/>
      <c r="D667" s="20"/>
      <c r="E667" s="20"/>
      <c r="F667" s="20"/>
      <c r="G667" s="20"/>
      <c r="H667" s="20"/>
      <c r="J667" s="20"/>
      <c r="L667" s="20"/>
      <c r="M667" s="20"/>
      <c r="N667" s="20"/>
      <c r="O667" s="20"/>
      <c r="P667" s="20"/>
      <c r="R667" s="20"/>
      <c r="S667" s="20"/>
      <c r="T667" s="20"/>
      <c r="U667" s="20"/>
      <c r="V667" s="20"/>
      <c r="W667" s="20"/>
      <c r="X667" s="20"/>
      <c r="Y667" s="20"/>
      <c r="Z667" s="20"/>
      <c r="AA667" s="20"/>
    </row>
    <row r="668" spans="1:27" x14ac:dyDescent="0.2">
      <c r="A668" s="20"/>
      <c r="B668" s="20"/>
      <c r="C668" s="20"/>
      <c r="D668" s="20"/>
      <c r="E668" s="20"/>
      <c r="F668" s="20"/>
      <c r="G668" s="20"/>
      <c r="H668" s="20"/>
      <c r="J668" s="20"/>
      <c r="L668" s="20"/>
      <c r="M668" s="20"/>
      <c r="N668" s="20"/>
      <c r="O668" s="20"/>
      <c r="P668" s="20"/>
      <c r="R668" s="20"/>
      <c r="S668" s="20"/>
      <c r="T668" s="20"/>
      <c r="U668" s="20"/>
      <c r="V668" s="20"/>
      <c r="W668" s="20"/>
      <c r="X668" s="20"/>
      <c r="Y668" s="20"/>
      <c r="Z668" s="20"/>
      <c r="AA668" s="20"/>
    </row>
    <row r="669" spans="1:27" x14ac:dyDescent="0.2">
      <c r="A669" s="20"/>
      <c r="B669" s="20"/>
      <c r="C669" s="20"/>
      <c r="D669" s="20"/>
      <c r="E669" s="20"/>
      <c r="F669" s="20"/>
      <c r="G669" s="20"/>
      <c r="H669" s="20"/>
      <c r="J669" s="20"/>
      <c r="L669" s="20"/>
      <c r="M669" s="20"/>
      <c r="N669" s="20"/>
      <c r="O669" s="20"/>
      <c r="P669" s="20"/>
      <c r="R669" s="20"/>
      <c r="S669" s="20"/>
      <c r="T669" s="20"/>
      <c r="U669" s="20"/>
      <c r="V669" s="20"/>
      <c r="W669" s="20"/>
      <c r="X669" s="20"/>
      <c r="Y669" s="20"/>
      <c r="Z669" s="20"/>
      <c r="AA669" s="20"/>
    </row>
    <row r="670" spans="1:27" x14ac:dyDescent="0.2">
      <c r="A670" s="20"/>
      <c r="B670" s="20"/>
      <c r="C670" s="20"/>
      <c r="D670" s="20"/>
      <c r="E670" s="20"/>
      <c r="F670" s="20"/>
      <c r="G670" s="20"/>
      <c r="H670" s="20"/>
      <c r="J670" s="20"/>
      <c r="L670" s="20"/>
      <c r="M670" s="20"/>
      <c r="N670" s="20"/>
      <c r="O670" s="20"/>
      <c r="P670" s="20"/>
      <c r="R670" s="20"/>
      <c r="S670" s="20"/>
      <c r="T670" s="20"/>
      <c r="U670" s="20"/>
      <c r="V670" s="20"/>
      <c r="W670" s="20"/>
      <c r="X670" s="20"/>
      <c r="Y670" s="20"/>
      <c r="Z670" s="20"/>
      <c r="AA670" s="20"/>
    </row>
    <row r="671" spans="1:27" x14ac:dyDescent="0.2">
      <c r="A671" s="20"/>
      <c r="B671" s="20"/>
      <c r="C671" s="20"/>
      <c r="D671" s="20"/>
      <c r="E671" s="20"/>
      <c r="F671" s="20"/>
      <c r="G671" s="20"/>
      <c r="H671" s="20"/>
      <c r="J671" s="20"/>
      <c r="L671" s="20"/>
      <c r="M671" s="20"/>
      <c r="N671" s="20"/>
      <c r="O671" s="20"/>
      <c r="P671" s="20"/>
      <c r="R671" s="20"/>
      <c r="S671" s="20"/>
      <c r="T671" s="20"/>
      <c r="U671" s="20"/>
      <c r="V671" s="20"/>
      <c r="W671" s="20"/>
      <c r="X671" s="20"/>
      <c r="Y671" s="20"/>
      <c r="Z671" s="20"/>
      <c r="AA671" s="20"/>
    </row>
    <row r="672" spans="1:27" x14ac:dyDescent="0.2">
      <c r="A672" s="20"/>
      <c r="B672" s="20"/>
      <c r="C672" s="20"/>
      <c r="D672" s="20"/>
      <c r="E672" s="20"/>
      <c r="F672" s="20"/>
      <c r="G672" s="20"/>
      <c r="H672" s="20"/>
      <c r="J672" s="20"/>
      <c r="L672" s="20"/>
      <c r="M672" s="20"/>
      <c r="N672" s="20"/>
      <c r="O672" s="20"/>
      <c r="P672" s="20"/>
      <c r="R672" s="20"/>
      <c r="S672" s="20"/>
      <c r="T672" s="20"/>
      <c r="U672" s="20"/>
      <c r="V672" s="20"/>
      <c r="W672" s="20"/>
      <c r="X672" s="20"/>
      <c r="Y672" s="20"/>
      <c r="Z672" s="20"/>
      <c r="AA672" s="20"/>
    </row>
    <row r="673" spans="1:27" x14ac:dyDescent="0.2">
      <c r="A673" s="20"/>
      <c r="B673" s="20"/>
      <c r="C673" s="20"/>
      <c r="D673" s="20"/>
      <c r="E673" s="20"/>
      <c r="F673" s="20"/>
      <c r="G673" s="20"/>
      <c r="H673" s="20"/>
      <c r="J673" s="20"/>
      <c r="L673" s="20"/>
      <c r="M673" s="20"/>
      <c r="N673" s="20"/>
      <c r="O673" s="20"/>
      <c r="P673" s="20"/>
      <c r="R673" s="20"/>
      <c r="S673" s="20"/>
      <c r="T673" s="20"/>
      <c r="U673" s="20"/>
      <c r="V673" s="20"/>
      <c r="W673" s="20"/>
      <c r="X673" s="20"/>
      <c r="Y673" s="20"/>
      <c r="Z673" s="20"/>
      <c r="AA673" s="20"/>
    </row>
    <row r="674" spans="1:27" x14ac:dyDescent="0.2">
      <c r="A674" s="20"/>
      <c r="B674" s="20"/>
      <c r="C674" s="20"/>
      <c r="D674" s="20"/>
      <c r="E674" s="20"/>
      <c r="F674" s="20"/>
      <c r="G674" s="20"/>
      <c r="H674" s="20"/>
      <c r="J674" s="20"/>
      <c r="L674" s="20"/>
      <c r="M674" s="20"/>
      <c r="N674" s="20"/>
      <c r="O674" s="20"/>
      <c r="P674" s="20"/>
      <c r="R674" s="20"/>
      <c r="S674" s="20"/>
      <c r="T674" s="20"/>
      <c r="U674" s="20"/>
      <c r="V674" s="20"/>
      <c r="W674" s="20"/>
      <c r="X674" s="20"/>
      <c r="Y674" s="20"/>
      <c r="Z674" s="20"/>
      <c r="AA674" s="20"/>
    </row>
    <row r="675" spans="1:27" x14ac:dyDescent="0.2">
      <c r="A675" s="20"/>
      <c r="B675" s="20"/>
      <c r="C675" s="20"/>
      <c r="D675" s="20"/>
      <c r="E675" s="20"/>
      <c r="F675" s="20"/>
      <c r="G675" s="20"/>
      <c r="H675" s="20"/>
      <c r="J675" s="20"/>
      <c r="L675" s="20"/>
      <c r="M675" s="20"/>
      <c r="N675" s="20"/>
      <c r="O675" s="20"/>
      <c r="P675" s="20"/>
      <c r="R675" s="20"/>
      <c r="S675" s="20"/>
      <c r="T675" s="20"/>
      <c r="U675" s="20"/>
      <c r="V675" s="20"/>
      <c r="W675" s="20"/>
      <c r="X675" s="20"/>
      <c r="Y675" s="20"/>
      <c r="Z675" s="20"/>
      <c r="AA675" s="20"/>
    </row>
    <row r="676" spans="1:27" x14ac:dyDescent="0.2">
      <c r="A676" s="20"/>
      <c r="B676" s="20"/>
      <c r="C676" s="20"/>
      <c r="D676" s="20"/>
      <c r="E676" s="20"/>
      <c r="F676" s="20"/>
      <c r="G676" s="20"/>
      <c r="H676" s="20"/>
      <c r="J676" s="20"/>
      <c r="L676" s="20"/>
      <c r="M676" s="20"/>
      <c r="N676" s="20"/>
      <c r="O676" s="20"/>
      <c r="P676" s="20"/>
      <c r="R676" s="20"/>
      <c r="S676" s="20"/>
      <c r="T676" s="20"/>
      <c r="U676" s="20"/>
      <c r="V676" s="20"/>
      <c r="W676" s="20"/>
      <c r="X676" s="20"/>
      <c r="Y676" s="20"/>
      <c r="Z676" s="20"/>
      <c r="AA676" s="20"/>
    </row>
    <row r="677" spans="1:27" x14ac:dyDescent="0.2">
      <c r="A677" s="20"/>
      <c r="B677" s="20"/>
      <c r="C677" s="20"/>
      <c r="D677" s="20"/>
      <c r="E677" s="20"/>
      <c r="F677" s="20"/>
      <c r="G677" s="20"/>
      <c r="H677" s="20"/>
      <c r="J677" s="20"/>
      <c r="L677" s="20"/>
      <c r="M677" s="20"/>
      <c r="N677" s="20"/>
      <c r="O677" s="20"/>
      <c r="P677" s="20"/>
      <c r="R677" s="20"/>
      <c r="S677" s="20"/>
      <c r="T677" s="20"/>
      <c r="U677" s="20"/>
      <c r="V677" s="20"/>
      <c r="W677" s="20"/>
      <c r="X677" s="20"/>
      <c r="Y677" s="20"/>
      <c r="Z677" s="20"/>
      <c r="AA677" s="20"/>
    </row>
    <row r="678" spans="1:27" x14ac:dyDescent="0.2">
      <c r="A678" s="20"/>
      <c r="B678" s="20"/>
      <c r="C678" s="20"/>
      <c r="D678" s="20"/>
      <c r="E678" s="20"/>
      <c r="F678" s="20"/>
      <c r="G678" s="20"/>
      <c r="H678" s="20"/>
      <c r="J678" s="20"/>
      <c r="L678" s="20"/>
      <c r="M678" s="20"/>
      <c r="N678" s="20"/>
      <c r="O678" s="20"/>
      <c r="P678" s="20"/>
      <c r="R678" s="20"/>
      <c r="S678" s="20"/>
      <c r="T678" s="20"/>
      <c r="U678" s="20"/>
      <c r="V678" s="20"/>
      <c r="W678" s="20"/>
      <c r="X678" s="20"/>
      <c r="Y678" s="20"/>
      <c r="Z678" s="20"/>
      <c r="AA678" s="20"/>
    </row>
    <row r="679" spans="1:27" x14ac:dyDescent="0.2">
      <c r="A679" s="20"/>
      <c r="B679" s="20"/>
      <c r="C679" s="20"/>
      <c r="D679" s="20"/>
      <c r="E679" s="20"/>
      <c r="F679" s="20"/>
      <c r="G679" s="20"/>
      <c r="H679" s="20"/>
      <c r="J679" s="20"/>
      <c r="L679" s="20"/>
      <c r="M679" s="20"/>
      <c r="N679" s="20"/>
      <c r="O679" s="20"/>
      <c r="P679" s="20"/>
      <c r="R679" s="20"/>
      <c r="S679" s="20"/>
      <c r="T679" s="20"/>
      <c r="U679" s="20"/>
      <c r="V679" s="20"/>
      <c r="W679" s="20"/>
      <c r="X679" s="20"/>
      <c r="Y679" s="20"/>
      <c r="Z679" s="20"/>
      <c r="AA679" s="20"/>
    </row>
    <row r="680" spans="1:27" x14ac:dyDescent="0.2">
      <c r="A680" s="20"/>
      <c r="B680" s="20"/>
      <c r="C680" s="20"/>
      <c r="D680" s="20"/>
      <c r="E680" s="20"/>
      <c r="F680" s="20"/>
      <c r="G680" s="20"/>
      <c r="H680" s="20"/>
      <c r="J680" s="20"/>
      <c r="L680" s="20"/>
      <c r="M680" s="20"/>
      <c r="N680" s="20"/>
      <c r="O680" s="20"/>
      <c r="P680" s="20"/>
      <c r="R680" s="20"/>
      <c r="S680" s="20"/>
      <c r="T680" s="20"/>
      <c r="U680" s="20"/>
      <c r="V680" s="20"/>
      <c r="W680" s="20"/>
      <c r="X680" s="20"/>
      <c r="Y680" s="20"/>
      <c r="Z680" s="20"/>
      <c r="AA680" s="20"/>
    </row>
    <row r="681" spans="1:27" x14ac:dyDescent="0.2">
      <c r="A681" s="20"/>
      <c r="B681" s="20"/>
      <c r="C681" s="20"/>
      <c r="D681" s="20"/>
      <c r="E681" s="20"/>
      <c r="F681" s="20"/>
      <c r="G681" s="20"/>
      <c r="H681" s="20"/>
      <c r="J681" s="20"/>
      <c r="L681" s="20"/>
      <c r="M681" s="20"/>
      <c r="N681" s="20"/>
      <c r="O681" s="20"/>
      <c r="P681" s="20"/>
      <c r="R681" s="20"/>
      <c r="S681" s="20"/>
      <c r="T681" s="20"/>
      <c r="U681" s="20"/>
      <c r="V681" s="20"/>
      <c r="W681" s="20"/>
      <c r="X681" s="20"/>
      <c r="Y681" s="20"/>
      <c r="Z681" s="20"/>
      <c r="AA681" s="20"/>
    </row>
    <row r="682" spans="1:27" x14ac:dyDescent="0.2">
      <c r="A682" s="20"/>
      <c r="B682" s="20"/>
      <c r="C682" s="20"/>
      <c r="D682" s="20"/>
      <c r="E682" s="20"/>
      <c r="F682" s="20"/>
      <c r="G682" s="20"/>
      <c r="H682" s="20"/>
      <c r="J682" s="20"/>
      <c r="L682" s="20"/>
      <c r="M682" s="20"/>
      <c r="N682" s="20"/>
      <c r="O682" s="20"/>
      <c r="P682" s="20"/>
      <c r="R682" s="20"/>
      <c r="S682" s="20"/>
      <c r="T682" s="20"/>
      <c r="U682" s="20"/>
      <c r="V682" s="20"/>
      <c r="W682" s="20"/>
      <c r="X682" s="20"/>
      <c r="Y682" s="20"/>
      <c r="Z682" s="20"/>
      <c r="AA682" s="20"/>
    </row>
    <row r="683" spans="1:27" x14ac:dyDescent="0.2">
      <c r="A683" s="20"/>
      <c r="B683" s="20"/>
      <c r="C683" s="20"/>
      <c r="D683" s="20"/>
      <c r="E683" s="20"/>
      <c r="F683" s="20"/>
      <c r="G683" s="20"/>
      <c r="H683" s="20"/>
      <c r="J683" s="20"/>
      <c r="L683" s="20"/>
      <c r="M683" s="20"/>
      <c r="N683" s="20"/>
      <c r="O683" s="20"/>
      <c r="P683" s="20"/>
      <c r="R683" s="20"/>
      <c r="S683" s="20"/>
      <c r="T683" s="20"/>
      <c r="U683" s="20"/>
      <c r="V683" s="20"/>
      <c r="W683" s="20"/>
      <c r="X683" s="20"/>
      <c r="Y683" s="20"/>
      <c r="Z683" s="20"/>
      <c r="AA683" s="20"/>
    </row>
    <row r="684" spans="1:27" x14ac:dyDescent="0.2">
      <c r="A684" s="20"/>
      <c r="B684" s="20"/>
      <c r="C684" s="20"/>
      <c r="D684" s="20"/>
      <c r="E684" s="20"/>
      <c r="F684" s="20"/>
      <c r="G684" s="20"/>
      <c r="H684" s="20"/>
      <c r="J684" s="20"/>
      <c r="L684" s="20"/>
      <c r="M684" s="20"/>
      <c r="N684" s="20"/>
      <c r="O684" s="20"/>
      <c r="P684" s="20"/>
      <c r="R684" s="20"/>
      <c r="S684" s="20"/>
      <c r="T684" s="20"/>
      <c r="U684" s="20"/>
      <c r="V684" s="20"/>
      <c r="W684" s="20"/>
      <c r="X684" s="20"/>
      <c r="Y684" s="20"/>
      <c r="Z684" s="20"/>
      <c r="AA684" s="20"/>
    </row>
    <row r="685" spans="1:27" x14ac:dyDescent="0.2">
      <c r="A685" s="20"/>
      <c r="B685" s="20"/>
      <c r="C685" s="20"/>
      <c r="D685" s="20"/>
      <c r="E685" s="20"/>
      <c r="F685" s="20"/>
      <c r="G685" s="20"/>
      <c r="H685" s="20"/>
      <c r="J685" s="20"/>
      <c r="L685" s="20"/>
      <c r="M685" s="20"/>
      <c r="N685" s="20"/>
      <c r="O685" s="20"/>
      <c r="P685" s="20"/>
      <c r="R685" s="20"/>
      <c r="S685" s="20"/>
      <c r="T685" s="20"/>
      <c r="U685" s="20"/>
      <c r="V685" s="20"/>
      <c r="W685" s="20"/>
      <c r="X685" s="20"/>
      <c r="Y685" s="20"/>
      <c r="Z685" s="20"/>
      <c r="AA685" s="20"/>
    </row>
    <row r="686" spans="1:27" x14ac:dyDescent="0.2">
      <c r="A686" s="20"/>
      <c r="B686" s="20"/>
      <c r="C686" s="20"/>
      <c r="D686" s="20"/>
      <c r="E686" s="20"/>
      <c r="F686" s="20"/>
      <c r="G686" s="20"/>
      <c r="H686" s="20"/>
      <c r="J686" s="20"/>
      <c r="L686" s="20"/>
      <c r="M686" s="20"/>
      <c r="N686" s="20"/>
      <c r="O686" s="20"/>
      <c r="P686" s="20"/>
      <c r="R686" s="20"/>
      <c r="S686" s="20"/>
      <c r="T686" s="20"/>
      <c r="U686" s="20"/>
      <c r="V686" s="20"/>
      <c r="W686" s="20"/>
      <c r="X686" s="20"/>
      <c r="Y686" s="20"/>
      <c r="Z686" s="20"/>
      <c r="AA686" s="20"/>
    </row>
    <row r="687" spans="1:27" x14ac:dyDescent="0.2">
      <c r="A687" s="20"/>
      <c r="B687" s="20"/>
      <c r="C687" s="20"/>
      <c r="D687" s="20"/>
      <c r="E687" s="20"/>
      <c r="F687" s="20"/>
      <c r="G687" s="20"/>
      <c r="H687" s="20"/>
      <c r="J687" s="20"/>
      <c r="L687" s="20"/>
      <c r="M687" s="20"/>
      <c r="N687" s="20"/>
      <c r="O687" s="20"/>
      <c r="P687" s="20"/>
      <c r="R687" s="20"/>
      <c r="S687" s="20"/>
      <c r="T687" s="20"/>
      <c r="U687" s="20"/>
      <c r="V687" s="20"/>
      <c r="W687" s="20"/>
      <c r="X687" s="20"/>
      <c r="Y687" s="20"/>
      <c r="Z687" s="20"/>
      <c r="AA687" s="20"/>
    </row>
    <row r="688" spans="1:27" x14ac:dyDescent="0.2">
      <c r="A688" s="20"/>
      <c r="B688" s="20"/>
      <c r="C688" s="20"/>
      <c r="D688" s="20"/>
      <c r="E688" s="20"/>
      <c r="F688" s="20"/>
      <c r="G688" s="20"/>
      <c r="H688" s="20"/>
      <c r="J688" s="20"/>
      <c r="L688" s="20"/>
      <c r="M688" s="20"/>
      <c r="N688" s="20"/>
      <c r="O688" s="20"/>
      <c r="P688" s="20"/>
      <c r="R688" s="20"/>
      <c r="S688" s="20"/>
      <c r="T688" s="20"/>
      <c r="U688" s="20"/>
      <c r="V688" s="20"/>
      <c r="W688" s="20"/>
      <c r="X688" s="20"/>
      <c r="Y688" s="20"/>
      <c r="Z688" s="20"/>
      <c r="AA688" s="20"/>
    </row>
    <row r="689" spans="1:27" x14ac:dyDescent="0.2">
      <c r="A689" s="20"/>
      <c r="B689" s="20"/>
      <c r="C689" s="20"/>
      <c r="D689" s="20"/>
      <c r="E689" s="20"/>
      <c r="F689" s="20"/>
      <c r="G689" s="20"/>
      <c r="H689" s="20"/>
      <c r="J689" s="20"/>
      <c r="L689" s="20"/>
      <c r="M689" s="20"/>
      <c r="N689" s="20"/>
      <c r="O689" s="20"/>
      <c r="P689" s="20"/>
      <c r="R689" s="20"/>
      <c r="S689" s="20"/>
      <c r="T689" s="20"/>
      <c r="U689" s="20"/>
      <c r="V689" s="20"/>
      <c r="W689" s="20"/>
      <c r="X689" s="20"/>
      <c r="Y689" s="20"/>
      <c r="Z689" s="20"/>
      <c r="AA689" s="20"/>
    </row>
    <row r="690" spans="1:27" x14ac:dyDescent="0.2">
      <c r="A690" s="20"/>
      <c r="B690" s="20"/>
      <c r="C690" s="20"/>
      <c r="D690" s="20"/>
      <c r="E690" s="20"/>
      <c r="F690" s="20"/>
      <c r="G690" s="20"/>
      <c r="H690" s="20"/>
      <c r="J690" s="20"/>
      <c r="L690" s="20"/>
      <c r="M690" s="20"/>
      <c r="N690" s="20"/>
      <c r="O690" s="20"/>
      <c r="P690" s="20"/>
      <c r="R690" s="20"/>
      <c r="S690" s="20"/>
      <c r="T690" s="20"/>
      <c r="U690" s="20"/>
      <c r="V690" s="20"/>
      <c r="W690" s="20"/>
      <c r="X690" s="20"/>
      <c r="Y690" s="20"/>
      <c r="Z690" s="20"/>
      <c r="AA690" s="20"/>
    </row>
    <row r="691" spans="1:27" x14ac:dyDescent="0.2">
      <c r="A691" s="20"/>
      <c r="B691" s="20"/>
      <c r="C691" s="20"/>
      <c r="D691" s="20"/>
      <c r="E691" s="20"/>
      <c r="F691" s="20"/>
      <c r="G691" s="20"/>
      <c r="H691" s="20"/>
      <c r="J691" s="20"/>
      <c r="L691" s="20"/>
      <c r="M691" s="20"/>
      <c r="N691" s="20"/>
      <c r="O691" s="20"/>
      <c r="P691" s="20"/>
      <c r="R691" s="20"/>
      <c r="S691" s="20"/>
      <c r="T691" s="20"/>
      <c r="U691" s="20"/>
      <c r="V691" s="20"/>
      <c r="W691" s="20"/>
      <c r="X691" s="20"/>
      <c r="Y691" s="20"/>
      <c r="Z691" s="20"/>
      <c r="AA691" s="20"/>
    </row>
    <row r="692" spans="1:27" x14ac:dyDescent="0.2">
      <c r="A692" s="20"/>
      <c r="B692" s="20"/>
      <c r="C692" s="20"/>
      <c r="D692" s="20"/>
      <c r="E692" s="20"/>
      <c r="F692" s="20"/>
      <c r="G692" s="20"/>
      <c r="H692" s="20"/>
      <c r="J692" s="20"/>
      <c r="L692" s="20"/>
      <c r="M692" s="20"/>
      <c r="N692" s="20"/>
      <c r="O692" s="20"/>
      <c r="P692" s="20"/>
      <c r="R692" s="20"/>
      <c r="S692" s="20"/>
      <c r="T692" s="20"/>
      <c r="U692" s="20"/>
      <c r="V692" s="20"/>
      <c r="W692" s="20"/>
      <c r="X692" s="20"/>
      <c r="Y692" s="20"/>
      <c r="Z692" s="20"/>
      <c r="AA692" s="20"/>
    </row>
    <row r="693" spans="1:27" x14ac:dyDescent="0.2">
      <c r="A693" s="20"/>
      <c r="B693" s="20"/>
      <c r="C693" s="20"/>
      <c r="D693" s="20"/>
      <c r="E693" s="20"/>
      <c r="F693" s="20"/>
      <c r="G693" s="20"/>
      <c r="H693" s="20"/>
      <c r="J693" s="20"/>
      <c r="L693" s="20"/>
      <c r="M693" s="20"/>
      <c r="N693" s="20"/>
      <c r="O693" s="20"/>
      <c r="P693" s="20"/>
      <c r="R693" s="20"/>
      <c r="S693" s="20"/>
      <c r="T693" s="20"/>
      <c r="U693" s="20"/>
      <c r="V693" s="20"/>
      <c r="W693" s="20"/>
      <c r="X693" s="20"/>
      <c r="Y693" s="20"/>
      <c r="Z693" s="20"/>
      <c r="AA693" s="20"/>
    </row>
    <row r="694" spans="1:27" x14ac:dyDescent="0.2">
      <c r="A694" s="20"/>
      <c r="B694" s="20"/>
      <c r="C694" s="20"/>
      <c r="D694" s="20"/>
      <c r="E694" s="20"/>
      <c r="F694" s="20"/>
      <c r="G694" s="20"/>
      <c r="H694" s="20"/>
      <c r="J694" s="20"/>
      <c r="L694" s="20"/>
      <c r="M694" s="20"/>
      <c r="N694" s="20"/>
      <c r="O694" s="20"/>
      <c r="P694" s="20"/>
      <c r="R694" s="20"/>
      <c r="S694" s="20"/>
      <c r="T694" s="20"/>
      <c r="U694" s="20"/>
      <c r="V694" s="20"/>
      <c r="W694" s="20"/>
      <c r="X694" s="20"/>
      <c r="Y694" s="20"/>
      <c r="Z694" s="20"/>
      <c r="AA694" s="20"/>
    </row>
    <row r="695" spans="1:27" x14ac:dyDescent="0.2">
      <c r="A695" s="20"/>
      <c r="B695" s="20"/>
      <c r="C695" s="20"/>
      <c r="D695" s="20"/>
      <c r="E695" s="20"/>
      <c r="F695" s="20"/>
      <c r="G695" s="20"/>
      <c r="H695" s="20"/>
      <c r="J695" s="20"/>
      <c r="L695" s="20"/>
      <c r="M695" s="20"/>
      <c r="N695" s="20"/>
      <c r="O695" s="20"/>
      <c r="P695" s="20"/>
      <c r="R695" s="20"/>
      <c r="S695" s="20"/>
      <c r="T695" s="20"/>
      <c r="U695" s="20"/>
      <c r="V695" s="20"/>
      <c r="W695" s="20"/>
      <c r="X695" s="20"/>
      <c r="Y695" s="20"/>
      <c r="Z695" s="20"/>
      <c r="AA695" s="20"/>
    </row>
    <row r="696" spans="1:27" x14ac:dyDescent="0.2">
      <c r="A696" s="20"/>
      <c r="B696" s="20"/>
      <c r="C696" s="20"/>
      <c r="D696" s="20"/>
      <c r="E696" s="20"/>
      <c r="F696" s="20"/>
      <c r="G696" s="20"/>
      <c r="H696" s="20"/>
      <c r="J696" s="20"/>
      <c r="L696" s="20"/>
      <c r="M696" s="20"/>
      <c r="N696" s="20"/>
      <c r="O696" s="20"/>
      <c r="P696" s="20"/>
      <c r="R696" s="20"/>
      <c r="S696" s="20"/>
      <c r="T696" s="20"/>
      <c r="U696" s="20"/>
      <c r="V696" s="20"/>
      <c r="W696" s="20"/>
      <c r="X696" s="20"/>
      <c r="Y696" s="20"/>
      <c r="Z696" s="20"/>
      <c r="AA696" s="20"/>
    </row>
    <row r="697" spans="1:27" x14ac:dyDescent="0.2">
      <c r="A697" s="20"/>
      <c r="B697" s="20"/>
      <c r="C697" s="20"/>
      <c r="D697" s="20"/>
      <c r="E697" s="20"/>
      <c r="F697" s="20"/>
      <c r="G697" s="20"/>
      <c r="H697" s="20"/>
      <c r="J697" s="20"/>
      <c r="L697" s="20"/>
      <c r="M697" s="20"/>
      <c r="N697" s="20"/>
      <c r="O697" s="20"/>
      <c r="P697" s="20"/>
      <c r="R697" s="20"/>
      <c r="S697" s="20"/>
      <c r="T697" s="20"/>
      <c r="U697" s="20"/>
      <c r="V697" s="20"/>
      <c r="W697" s="20"/>
      <c r="X697" s="20"/>
      <c r="Y697" s="20"/>
      <c r="Z697" s="20"/>
      <c r="AA697" s="20"/>
    </row>
    <row r="698" spans="1:27" x14ac:dyDescent="0.2">
      <c r="A698" s="20"/>
      <c r="B698" s="20"/>
      <c r="C698" s="20"/>
      <c r="D698" s="20"/>
      <c r="E698" s="20"/>
      <c r="F698" s="20"/>
      <c r="G698" s="20"/>
      <c r="H698" s="20"/>
      <c r="J698" s="20"/>
      <c r="L698" s="20"/>
      <c r="M698" s="20"/>
      <c r="N698" s="20"/>
      <c r="O698" s="20"/>
      <c r="P698" s="20"/>
      <c r="R698" s="20"/>
      <c r="S698" s="20"/>
      <c r="T698" s="20"/>
      <c r="U698" s="20"/>
      <c r="V698" s="20"/>
      <c r="W698" s="20"/>
      <c r="X698" s="20"/>
      <c r="Y698" s="20"/>
      <c r="Z698" s="20"/>
      <c r="AA698" s="20"/>
    </row>
    <row r="699" spans="1:27" x14ac:dyDescent="0.2">
      <c r="A699" s="20"/>
      <c r="B699" s="20"/>
      <c r="C699" s="20"/>
      <c r="D699" s="20"/>
      <c r="E699" s="20"/>
      <c r="F699" s="20"/>
      <c r="G699" s="20"/>
      <c r="H699" s="20"/>
      <c r="J699" s="20"/>
      <c r="L699" s="20"/>
      <c r="M699" s="20"/>
      <c r="N699" s="20"/>
      <c r="O699" s="20"/>
      <c r="P699" s="20"/>
      <c r="R699" s="20"/>
      <c r="S699" s="20"/>
      <c r="T699" s="20"/>
      <c r="U699" s="20"/>
      <c r="V699" s="20"/>
      <c r="W699" s="20"/>
      <c r="X699" s="20"/>
      <c r="Y699" s="20"/>
      <c r="Z699" s="20"/>
      <c r="AA699" s="20"/>
    </row>
    <row r="700" spans="1:27" x14ac:dyDescent="0.2">
      <c r="A700" s="20"/>
      <c r="B700" s="20"/>
      <c r="C700" s="20"/>
      <c r="D700" s="20"/>
      <c r="E700" s="20"/>
      <c r="F700" s="20"/>
      <c r="G700" s="20"/>
      <c r="H700" s="20"/>
      <c r="J700" s="20"/>
      <c r="L700" s="20"/>
      <c r="M700" s="20"/>
      <c r="N700" s="20"/>
      <c r="O700" s="20"/>
      <c r="P700" s="20"/>
      <c r="R700" s="20"/>
      <c r="S700" s="20"/>
      <c r="T700" s="20"/>
      <c r="U700" s="20"/>
      <c r="V700" s="20"/>
      <c r="W700" s="20"/>
      <c r="X700" s="20"/>
      <c r="Y700" s="20"/>
      <c r="Z700" s="20"/>
      <c r="AA700" s="20"/>
    </row>
    <row r="701" spans="1:27" x14ac:dyDescent="0.2">
      <c r="A701" s="20"/>
      <c r="B701" s="20"/>
      <c r="C701" s="20"/>
      <c r="D701" s="20"/>
      <c r="E701" s="20"/>
      <c r="F701" s="20"/>
      <c r="G701" s="20"/>
      <c r="H701" s="20"/>
      <c r="J701" s="20"/>
      <c r="L701" s="20"/>
      <c r="M701" s="20"/>
      <c r="N701" s="20"/>
      <c r="O701" s="20"/>
      <c r="P701" s="20"/>
      <c r="R701" s="20"/>
      <c r="S701" s="20"/>
      <c r="T701" s="20"/>
      <c r="U701" s="20"/>
      <c r="V701" s="20"/>
      <c r="W701" s="20"/>
      <c r="X701" s="20"/>
      <c r="Y701" s="20"/>
      <c r="Z701" s="20"/>
      <c r="AA701" s="20"/>
    </row>
    <row r="702" spans="1:27" x14ac:dyDescent="0.2">
      <c r="A702" s="20"/>
      <c r="B702" s="20"/>
      <c r="C702" s="20"/>
      <c r="D702" s="20"/>
      <c r="E702" s="20"/>
      <c r="F702" s="20"/>
      <c r="G702" s="20"/>
      <c r="H702" s="20"/>
      <c r="J702" s="20"/>
      <c r="L702" s="20"/>
      <c r="M702" s="20"/>
      <c r="N702" s="20"/>
      <c r="O702" s="20"/>
      <c r="P702" s="20"/>
      <c r="R702" s="20"/>
      <c r="S702" s="20"/>
      <c r="T702" s="20"/>
      <c r="U702" s="20"/>
      <c r="V702" s="20"/>
      <c r="W702" s="20"/>
      <c r="X702" s="20"/>
      <c r="Y702" s="20"/>
      <c r="Z702" s="20"/>
      <c r="AA702" s="20"/>
    </row>
    <row r="703" spans="1:27" x14ac:dyDescent="0.2">
      <c r="A703" s="20"/>
      <c r="B703" s="20"/>
      <c r="C703" s="20"/>
      <c r="D703" s="20"/>
      <c r="E703" s="20"/>
      <c r="F703" s="20"/>
      <c r="G703" s="20"/>
      <c r="H703" s="20"/>
      <c r="J703" s="20"/>
      <c r="L703" s="20"/>
      <c r="M703" s="20"/>
      <c r="N703" s="20"/>
      <c r="O703" s="20"/>
      <c r="P703" s="20"/>
      <c r="R703" s="20"/>
      <c r="S703" s="20"/>
      <c r="T703" s="20"/>
      <c r="U703" s="20"/>
      <c r="V703" s="20"/>
      <c r="W703" s="20"/>
      <c r="X703" s="20"/>
      <c r="Y703" s="20"/>
      <c r="Z703" s="20"/>
      <c r="AA703" s="20"/>
    </row>
    <row r="704" spans="1:27" x14ac:dyDescent="0.2">
      <c r="A704" s="20"/>
      <c r="B704" s="20"/>
      <c r="C704" s="20"/>
      <c r="D704" s="20"/>
      <c r="E704" s="20"/>
      <c r="F704" s="20"/>
      <c r="G704" s="20"/>
      <c r="H704" s="20"/>
      <c r="J704" s="20"/>
      <c r="L704" s="20"/>
      <c r="M704" s="20"/>
      <c r="N704" s="20"/>
      <c r="O704" s="20"/>
      <c r="P704" s="20"/>
      <c r="R704" s="20"/>
      <c r="S704" s="20"/>
      <c r="T704" s="20"/>
      <c r="U704" s="20"/>
      <c r="V704" s="20"/>
      <c r="W704" s="20"/>
      <c r="X704" s="20"/>
      <c r="Y704" s="20"/>
      <c r="Z704" s="20"/>
      <c r="AA704" s="20"/>
    </row>
    <row r="705" spans="1:27" x14ac:dyDescent="0.2">
      <c r="A705" s="20"/>
      <c r="B705" s="20"/>
      <c r="C705" s="20"/>
      <c r="D705" s="20"/>
      <c r="E705" s="20"/>
      <c r="F705" s="20"/>
      <c r="G705" s="20"/>
      <c r="H705" s="20"/>
      <c r="J705" s="20"/>
      <c r="L705" s="20"/>
      <c r="M705" s="20"/>
      <c r="N705" s="20"/>
      <c r="O705" s="20"/>
      <c r="P705" s="20"/>
      <c r="R705" s="20"/>
      <c r="S705" s="20"/>
      <c r="T705" s="20"/>
      <c r="U705" s="20"/>
      <c r="V705" s="20"/>
      <c r="W705" s="20"/>
      <c r="X705" s="20"/>
      <c r="Y705" s="20"/>
      <c r="Z705" s="20"/>
      <c r="AA705" s="20"/>
    </row>
    <row r="706" spans="1:27" x14ac:dyDescent="0.2">
      <c r="A706" s="20"/>
      <c r="B706" s="20"/>
      <c r="C706" s="20"/>
      <c r="D706" s="20"/>
      <c r="E706" s="20"/>
      <c r="F706" s="20"/>
      <c r="G706" s="20"/>
      <c r="H706" s="20"/>
      <c r="J706" s="20"/>
      <c r="L706" s="20"/>
      <c r="M706" s="20"/>
      <c r="N706" s="20"/>
      <c r="O706" s="20"/>
      <c r="P706" s="20"/>
      <c r="R706" s="20"/>
      <c r="S706" s="20"/>
      <c r="T706" s="20"/>
      <c r="U706" s="20"/>
      <c r="V706" s="20"/>
      <c r="W706" s="20"/>
      <c r="X706" s="20"/>
      <c r="Y706" s="20"/>
      <c r="Z706" s="20"/>
      <c r="AA706" s="20"/>
    </row>
    <row r="707" spans="1:27" x14ac:dyDescent="0.2">
      <c r="A707" s="20"/>
      <c r="B707" s="20"/>
      <c r="C707" s="20"/>
      <c r="D707" s="20"/>
      <c r="E707" s="20"/>
      <c r="F707" s="20"/>
      <c r="G707" s="20"/>
      <c r="H707" s="20"/>
      <c r="J707" s="20"/>
      <c r="L707" s="20"/>
      <c r="M707" s="20"/>
      <c r="N707" s="20"/>
      <c r="O707" s="20"/>
      <c r="P707" s="20"/>
      <c r="R707" s="20"/>
      <c r="S707" s="20"/>
      <c r="T707" s="20"/>
      <c r="U707" s="20"/>
      <c r="V707" s="20"/>
      <c r="W707" s="20"/>
      <c r="X707" s="20"/>
      <c r="Y707" s="20"/>
      <c r="Z707" s="20"/>
      <c r="AA707" s="20"/>
    </row>
    <row r="708" spans="1:27" x14ac:dyDescent="0.2">
      <c r="A708" s="20"/>
      <c r="B708" s="20"/>
      <c r="C708" s="20"/>
      <c r="D708" s="20"/>
      <c r="E708" s="20"/>
      <c r="F708" s="20"/>
      <c r="G708" s="20"/>
      <c r="H708" s="20"/>
      <c r="J708" s="20"/>
      <c r="L708" s="20"/>
      <c r="M708" s="20"/>
      <c r="N708" s="20"/>
      <c r="O708" s="20"/>
      <c r="P708" s="20"/>
      <c r="R708" s="20"/>
      <c r="S708" s="20"/>
      <c r="T708" s="20"/>
      <c r="U708" s="20"/>
      <c r="V708" s="20"/>
      <c r="W708" s="20"/>
      <c r="X708" s="20"/>
      <c r="Y708" s="20"/>
      <c r="Z708" s="20"/>
      <c r="AA708" s="20"/>
    </row>
    <row r="709" spans="1:27" x14ac:dyDescent="0.2">
      <c r="A709" s="20"/>
      <c r="B709" s="20"/>
      <c r="C709" s="20"/>
      <c r="D709" s="20"/>
      <c r="E709" s="20"/>
      <c r="F709" s="20"/>
      <c r="G709" s="20"/>
      <c r="H709" s="20"/>
      <c r="J709" s="20"/>
      <c r="L709" s="20"/>
      <c r="M709" s="20"/>
      <c r="N709" s="20"/>
      <c r="O709" s="20"/>
      <c r="P709" s="20"/>
      <c r="R709" s="20"/>
      <c r="S709" s="20"/>
      <c r="T709" s="20"/>
      <c r="U709" s="20"/>
      <c r="V709" s="20"/>
      <c r="W709" s="20"/>
      <c r="X709" s="20"/>
      <c r="Y709" s="20"/>
      <c r="Z709" s="20"/>
      <c r="AA709" s="20"/>
    </row>
    <row r="710" spans="1:27" x14ac:dyDescent="0.2">
      <c r="A710" s="20"/>
      <c r="B710" s="20"/>
      <c r="C710" s="20"/>
      <c r="D710" s="20"/>
      <c r="E710" s="20"/>
      <c r="F710" s="20"/>
      <c r="G710" s="20"/>
      <c r="H710" s="20"/>
      <c r="J710" s="20"/>
      <c r="L710" s="20"/>
      <c r="M710" s="20"/>
      <c r="N710" s="20"/>
      <c r="O710" s="20"/>
      <c r="P710" s="20"/>
      <c r="R710" s="20"/>
      <c r="S710" s="20"/>
      <c r="T710" s="20"/>
      <c r="U710" s="20"/>
      <c r="V710" s="20"/>
      <c r="W710" s="20"/>
      <c r="X710" s="20"/>
      <c r="Y710" s="20"/>
      <c r="Z710" s="20"/>
      <c r="AA710" s="20"/>
    </row>
    <row r="711" spans="1:27" x14ac:dyDescent="0.2">
      <c r="A711" s="20"/>
      <c r="B711" s="20"/>
      <c r="C711" s="20"/>
      <c r="D711" s="20"/>
      <c r="E711" s="20"/>
      <c r="F711" s="20"/>
      <c r="G711" s="20"/>
      <c r="H711" s="20"/>
      <c r="J711" s="20"/>
      <c r="L711" s="20"/>
      <c r="M711" s="20"/>
      <c r="N711" s="20"/>
      <c r="O711" s="20"/>
      <c r="P711" s="20"/>
      <c r="R711" s="20"/>
      <c r="S711" s="20"/>
      <c r="T711" s="20"/>
      <c r="U711" s="20"/>
      <c r="V711" s="20"/>
      <c r="W711" s="20"/>
      <c r="X711" s="20"/>
      <c r="Y711" s="20"/>
      <c r="Z711" s="20"/>
      <c r="AA711" s="20"/>
    </row>
    <row r="712" spans="1:27" x14ac:dyDescent="0.2">
      <c r="A712" s="20"/>
      <c r="B712" s="20"/>
      <c r="C712" s="20"/>
      <c r="D712" s="20"/>
      <c r="E712" s="20"/>
      <c r="F712" s="20"/>
      <c r="G712" s="20"/>
      <c r="H712" s="20"/>
      <c r="J712" s="20"/>
      <c r="L712" s="20"/>
      <c r="M712" s="20"/>
      <c r="N712" s="20"/>
      <c r="O712" s="20"/>
      <c r="P712" s="20"/>
      <c r="R712" s="20"/>
      <c r="S712" s="20"/>
      <c r="T712" s="20"/>
      <c r="U712" s="20"/>
      <c r="V712" s="20"/>
      <c r="W712" s="20"/>
      <c r="X712" s="20"/>
      <c r="Y712" s="20"/>
      <c r="Z712" s="20"/>
      <c r="AA712" s="20"/>
    </row>
    <row r="713" spans="1:27" x14ac:dyDescent="0.2">
      <c r="A713" s="20"/>
      <c r="B713" s="20"/>
      <c r="C713" s="20"/>
      <c r="D713" s="20"/>
      <c r="E713" s="20"/>
      <c r="F713" s="20"/>
      <c r="G713" s="20"/>
      <c r="H713" s="20"/>
      <c r="J713" s="20"/>
      <c r="L713" s="20"/>
      <c r="M713" s="20"/>
      <c r="N713" s="20"/>
      <c r="O713" s="20"/>
      <c r="P713" s="20"/>
      <c r="R713" s="20"/>
      <c r="S713" s="20"/>
      <c r="T713" s="20"/>
      <c r="U713" s="20"/>
      <c r="V713" s="20"/>
      <c r="W713" s="20"/>
      <c r="X713" s="20"/>
      <c r="Y713" s="20"/>
      <c r="Z713" s="20"/>
      <c r="AA713" s="20"/>
    </row>
    <row r="714" spans="1:27" x14ac:dyDescent="0.2">
      <c r="A714" s="20"/>
      <c r="B714" s="20"/>
      <c r="C714" s="20"/>
      <c r="D714" s="20"/>
      <c r="E714" s="20"/>
      <c r="F714" s="20"/>
      <c r="G714" s="20"/>
      <c r="H714" s="20"/>
      <c r="J714" s="20"/>
      <c r="L714" s="20"/>
      <c r="M714" s="20"/>
      <c r="N714" s="20"/>
      <c r="O714" s="20"/>
      <c r="P714" s="20"/>
      <c r="R714" s="20"/>
      <c r="S714" s="20"/>
      <c r="T714" s="20"/>
      <c r="U714" s="20"/>
      <c r="V714" s="20"/>
      <c r="W714" s="20"/>
      <c r="X714" s="20"/>
      <c r="Y714" s="20"/>
      <c r="Z714" s="20"/>
      <c r="AA714" s="20"/>
    </row>
    <row r="715" spans="1:27" x14ac:dyDescent="0.2">
      <c r="A715" s="20"/>
      <c r="B715" s="20"/>
      <c r="C715" s="20"/>
      <c r="D715" s="20"/>
      <c r="E715" s="20"/>
      <c r="F715" s="20"/>
      <c r="G715" s="20"/>
      <c r="H715" s="20"/>
      <c r="J715" s="20"/>
      <c r="L715" s="20"/>
      <c r="M715" s="20"/>
      <c r="N715" s="20"/>
      <c r="O715" s="20"/>
      <c r="P715" s="20"/>
      <c r="R715" s="20"/>
      <c r="S715" s="20"/>
      <c r="T715" s="20"/>
      <c r="U715" s="20"/>
      <c r="V715" s="20"/>
      <c r="W715" s="20"/>
      <c r="X715" s="20"/>
      <c r="Y715" s="20"/>
      <c r="Z715" s="20"/>
      <c r="AA715" s="20"/>
    </row>
    <row r="716" spans="1:27" x14ac:dyDescent="0.2">
      <c r="A716" s="20"/>
      <c r="B716" s="20"/>
      <c r="C716" s="20"/>
      <c r="D716" s="20"/>
      <c r="E716" s="20"/>
      <c r="F716" s="20"/>
      <c r="G716" s="20"/>
      <c r="H716" s="20"/>
      <c r="J716" s="20"/>
      <c r="L716" s="20"/>
      <c r="M716" s="20"/>
      <c r="N716" s="20"/>
      <c r="O716" s="20"/>
      <c r="P716" s="20"/>
      <c r="R716" s="20"/>
      <c r="S716" s="20"/>
      <c r="T716" s="20"/>
      <c r="U716" s="20"/>
      <c r="V716" s="20"/>
      <c r="W716" s="20"/>
      <c r="X716" s="20"/>
      <c r="Y716" s="20"/>
      <c r="Z716" s="20"/>
      <c r="AA716" s="20"/>
    </row>
    <row r="717" spans="1:27" x14ac:dyDescent="0.2">
      <c r="A717" s="20"/>
      <c r="B717" s="20"/>
      <c r="C717" s="20"/>
      <c r="D717" s="20"/>
      <c r="E717" s="20"/>
      <c r="F717" s="20"/>
      <c r="G717" s="20"/>
      <c r="H717" s="20"/>
      <c r="J717" s="20"/>
      <c r="L717" s="20"/>
      <c r="M717" s="20"/>
      <c r="N717" s="20"/>
      <c r="O717" s="20"/>
      <c r="P717" s="20"/>
      <c r="R717" s="20"/>
      <c r="S717" s="20"/>
      <c r="T717" s="20"/>
      <c r="U717" s="20"/>
      <c r="V717" s="20"/>
      <c r="W717" s="20"/>
      <c r="X717" s="20"/>
      <c r="Y717" s="20"/>
      <c r="Z717" s="20"/>
      <c r="AA717" s="20"/>
    </row>
    <row r="718" spans="1:27" x14ac:dyDescent="0.2">
      <c r="A718" s="20"/>
      <c r="B718" s="20"/>
      <c r="C718" s="20"/>
      <c r="D718" s="20"/>
      <c r="E718" s="20"/>
      <c r="F718" s="20"/>
      <c r="G718" s="20"/>
      <c r="H718" s="20"/>
      <c r="J718" s="20"/>
      <c r="L718" s="20"/>
      <c r="M718" s="20"/>
      <c r="N718" s="20"/>
      <c r="O718" s="20"/>
      <c r="P718" s="20"/>
      <c r="R718" s="20"/>
      <c r="S718" s="20"/>
      <c r="T718" s="20"/>
      <c r="U718" s="20"/>
      <c r="V718" s="20"/>
      <c r="W718" s="20"/>
      <c r="X718" s="20"/>
      <c r="Y718" s="20"/>
      <c r="Z718" s="20"/>
      <c r="AA718" s="20"/>
    </row>
    <row r="719" spans="1:27" x14ac:dyDescent="0.2">
      <c r="A719" s="20"/>
      <c r="B719" s="20"/>
      <c r="C719" s="20"/>
      <c r="D719" s="20"/>
      <c r="E719" s="20"/>
      <c r="F719" s="20"/>
      <c r="G719" s="20"/>
      <c r="H719" s="20"/>
      <c r="J719" s="20"/>
      <c r="L719" s="20"/>
      <c r="M719" s="20"/>
      <c r="N719" s="20"/>
      <c r="O719" s="20"/>
      <c r="P719" s="20"/>
      <c r="R719" s="20"/>
      <c r="S719" s="20"/>
      <c r="T719" s="20"/>
      <c r="U719" s="20"/>
      <c r="V719" s="20"/>
      <c r="W719" s="20"/>
      <c r="X719" s="20"/>
      <c r="Y719" s="20"/>
      <c r="Z719" s="20"/>
      <c r="AA719" s="20"/>
    </row>
    <row r="720" spans="1:27" x14ac:dyDescent="0.2">
      <c r="A720" s="20"/>
      <c r="B720" s="20"/>
      <c r="C720" s="20"/>
      <c r="D720" s="20"/>
      <c r="E720" s="20"/>
      <c r="F720" s="20"/>
      <c r="G720" s="20"/>
      <c r="H720" s="20"/>
      <c r="J720" s="20"/>
      <c r="L720" s="20"/>
      <c r="M720" s="20"/>
      <c r="N720" s="20"/>
      <c r="O720" s="20"/>
      <c r="P720" s="20"/>
      <c r="R720" s="20"/>
      <c r="S720" s="20"/>
      <c r="T720" s="20"/>
      <c r="U720" s="20"/>
      <c r="V720" s="20"/>
      <c r="W720" s="20"/>
      <c r="X720" s="20"/>
      <c r="Y720" s="20"/>
      <c r="Z720" s="20"/>
      <c r="AA720" s="20"/>
    </row>
    <row r="721" spans="1:27" x14ac:dyDescent="0.2">
      <c r="A721" s="20"/>
      <c r="B721" s="20"/>
      <c r="C721" s="20"/>
      <c r="D721" s="20"/>
      <c r="E721" s="20"/>
      <c r="F721" s="20"/>
      <c r="G721" s="20"/>
      <c r="H721" s="20"/>
      <c r="J721" s="20"/>
      <c r="L721" s="20"/>
      <c r="M721" s="20"/>
      <c r="N721" s="20"/>
      <c r="O721" s="20"/>
      <c r="P721" s="20"/>
      <c r="R721" s="20"/>
      <c r="S721" s="20"/>
      <c r="T721" s="20"/>
      <c r="U721" s="20"/>
      <c r="V721" s="20"/>
      <c r="W721" s="20"/>
      <c r="X721" s="20"/>
      <c r="Y721" s="20"/>
      <c r="Z721" s="20"/>
      <c r="AA721" s="20"/>
    </row>
    <row r="722" spans="1:27" x14ac:dyDescent="0.2">
      <c r="A722" s="20"/>
      <c r="B722" s="20"/>
      <c r="C722" s="20"/>
      <c r="D722" s="20"/>
      <c r="E722" s="20"/>
      <c r="F722" s="20"/>
      <c r="G722" s="20"/>
      <c r="H722" s="20"/>
      <c r="J722" s="20"/>
      <c r="L722" s="20"/>
      <c r="M722" s="20"/>
      <c r="N722" s="20"/>
      <c r="O722" s="20"/>
      <c r="P722" s="20"/>
      <c r="R722" s="20"/>
      <c r="S722" s="20"/>
      <c r="T722" s="20"/>
      <c r="U722" s="20"/>
      <c r="V722" s="20"/>
      <c r="W722" s="20"/>
      <c r="X722" s="20"/>
      <c r="Y722" s="20"/>
      <c r="Z722" s="20"/>
      <c r="AA722" s="20"/>
    </row>
    <row r="723" spans="1:27" x14ac:dyDescent="0.2">
      <c r="A723" s="20"/>
      <c r="B723" s="20"/>
      <c r="C723" s="20"/>
      <c r="D723" s="20"/>
      <c r="E723" s="20"/>
      <c r="F723" s="20"/>
      <c r="G723" s="20"/>
      <c r="H723" s="20"/>
      <c r="J723" s="20"/>
      <c r="L723" s="20"/>
      <c r="M723" s="20"/>
      <c r="N723" s="20"/>
      <c r="O723" s="20"/>
      <c r="P723" s="20"/>
      <c r="R723" s="20"/>
      <c r="S723" s="20"/>
      <c r="T723" s="20"/>
      <c r="U723" s="20"/>
      <c r="V723" s="20"/>
      <c r="W723" s="20"/>
      <c r="X723" s="20"/>
      <c r="Y723" s="20"/>
      <c r="Z723" s="20"/>
      <c r="AA723" s="20"/>
    </row>
    <row r="724" spans="1:27" x14ac:dyDescent="0.2">
      <c r="A724" s="20"/>
      <c r="B724" s="20"/>
      <c r="C724" s="20"/>
      <c r="D724" s="20"/>
      <c r="E724" s="20"/>
      <c r="F724" s="20"/>
      <c r="G724" s="20"/>
      <c r="H724" s="20"/>
      <c r="J724" s="20"/>
      <c r="L724" s="20"/>
      <c r="M724" s="20"/>
      <c r="N724" s="20"/>
      <c r="O724" s="20"/>
      <c r="P724" s="20"/>
      <c r="R724" s="20"/>
      <c r="S724" s="20"/>
      <c r="T724" s="20"/>
      <c r="U724" s="20"/>
      <c r="V724" s="20"/>
      <c r="W724" s="20"/>
      <c r="X724" s="20"/>
      <c r="Y724" s="20"/>
      <c r="Z724" s="20"/>
      <c r="AA724" s="20"/>
    </row>
    <row r="725" spans="1:27" x14ac:dyDescent="0.2">
      <c r="A725" s="20"/>
      <c r="B725" s="20"/>
      <c r="C725" s="20"/>
      <c r="D725" s="20"/>
      <c r="E725" s="20"/>
      <c r="F725" s="20"/>
      <c r="G725" s="20"/>
      <c r="H725" s="20"/>
      <c r="J725" s="20"/>
      <c r="L725" s="20"/>
      <c r="M725" s="20"/>
      <c r="N725" s="20"/>
      <c r="O725" s="20"/>
      <c r="P725" s="20"/>
      <c r="R725" s="20"/>
      <c r="S725" s="20"/>
      <c r="T725" s="20"/>
      <c r="U725" s="20"/>
      <c r="V725" s="20"/>
      <c r="W725" s="20"/>
      <c r="X725" s="20"/>
      <c r="Y725" s="20"/>
      <c r="Z725" s="20"/>
      <c r="AA725" s="20"/>
    </row>
    <row r="726" spans="1:27" x14ac:dyDescent="0.2">
      <c r="A726" s="20"/>
      <c r="B726" s="20"/>
      <c r="C726" s="20"/>
      <c r="D726" s="20"/>
      <c r="E726" s="20"/>
      <c r="F726" s="20"/>
      <c r="G726" s="20"/>
      <c r="H726" s="20"/>
      <c r="J726" s="20"/>
      <c r="L726" s="20"/>
      <c r="M726" s="20"/>
      <c r="N726" s="20"/>
      <c r="O726" s="20"/>
      <c r="P726" s="20"/>
      <c r="R726" s="20"/>
      <c r="S726" s="20"/>
      <c r="T726" s="20"/>
      <c r="U726" s="20"/>
      <c r="V726" s="20"/>
      <c r="W726" s="20"/>
      <c r="X726" s="20"/>
      <c r="Y726" s="20"/>
      <c r="Z726" s="20"/>
      <c r="AA726" s="20"/>
    </row>
    <row r="727" spans="1:27" x14ac:dyDescent="0.2">
      <c r="A727" s="20"/>
      <c r="B727" s="20"/>
      <c r="C727" s="20"/>
      <c r="D727" s="20"/>
      <c r="E727" s="20"/>
      <c r="F727" s="20"/>
      <c r="G727" s="20"/>
      <c r="H727" s="20"/>
      <c r="J727" s="20"/>
      <c r="L727" s="20"/>
      <c r="M727" s="20"/>
      <c r="N727" s="20"/>
      <c r="O727" s="20"/>
      <c r="P727" s="20"/>
      <c r="R727" s="20"/>
      <c r="S727" s="20"/>
      <c r="T727" s="20"/>
      <c r="U727" s="20"/>
      <c r="V727" s="20"/>
      <c r="W727" s="20"/>
      <c r="X727" s="20"/>
      <c r="Y727" s="20"/>
      <c r="Z727" s="20"/>
      <c r="AA727" s="20"/>
    </row>
    <row r="728" spans="1:27" x14ac:dyDescent="0.2">
      <c r="A728" s="20"/>
      <c r="B728" s="20"/>
      <c r="C728" s="20"/>
      <c r="D728" s="20"/>
      <c r="E728" s="20"/>
      <c r="F728" s="20"/>
      <c r="G728" s="20"/>
      <c r="H728" s="20"/>
      <c r="J728" s="20"/>
      <c r="L728" s="20"/>
      <c r="M728" s="20"/>
      <c r="N728" s="20"/>
      <c r="O728" s="20"/>
      <c r="P728" s="20"/>
      <c r="R728" s="20"/>
      <c r="S728" s="20"/>
      <c r="T728" s="20"/>
      <c r="U728" s="20"/>
      <c r="V728" s="20"/>
      <c r="W728" s="20"/>
      <c r="X728" s="20"/>
      <c r="Y728" s="20"/>
      <c r="Z728" s="20"/>
      <c r="AA728" s="20"/>
    </row>
    <row r="729" spans="1:27" x14ac:dyDescent="0.2">
      <c r="A729" s="20"/>
      <c r="B729" s="20"/>
      <c r="C729" s="20"/>
      <c r="D729" s="20"/>
      <c r="E729" s="20"/>
      <c r="F729" s="20"/>
      <c r="G729" s="20"/>
      <c r="H729" s="20"/>
      <c r="J729" s="20"/>
      <c r="L729" s="20"/>
      <c r="M729" s="20"/>
      <c r="N729" s="20"/>
      <c r="O729" s="20"/>
      <c r="P729" s="20"/>
      <c r="R729" s="20"/>
      <c r="S729" s="20"/>
      <c r="T729" s="20"/>
      <c r="U729" s="20"/>
      <c r="V729" s="20"/>
      <c r="W729" s="20"/>
      <c r="X729" s="20"/>
      <c r="Y729" s="20"/>
      <c r="Z729" s="20"/>
      <c r="AA729" s="20"/>
    </row>
    <row r="730" spans="1:27" x14ac:dyDescent="0.2">
      <c r="A730" s="20"/>
      <c r="B730" s="20"/>
      <c r="C730" s="20"/>
      <c r="D730" s="20"/>
      <c r="E730" s="20"/>
      <c r="F730" s="20"/>
      <c r="G730" s="20"/>
      <c r="H730" s="20"/>
      <c r="J730" s="20"/>
      <c r="L730" s="20"/>
      <c r="M730" s="20"/>
      <c r="N730" s="20"/>
      <c r="O730" s="20"/>
      <c r="P730" s="20"/>
      <c r="R730" s="20"/>
      <c r="S730" s="20"/>
      <c r="T730" s="20"/>
      <c r="U730" s="20"/>
      <c r="V730" s="20"/>
      <c r="W730" s="20"/>
      <c r="X730" s="20"/>
      <c r="Y730" s="20"/>
      <c r="Z730" s="20"/>
      <c r="AA730" s="20"/>
    </row>
    <row r="731" spans="1:27" x14ac:dyDescent="0.2">
      <c r="A731" s="20"/>
      <c r="B731" s="20"/>
      <c r="C731" s="20"/>
      <c r="D731" s="20"/>
      <c r="E731" s="20"/>
      <c r="F731" s="20"/>
      <c r="G731" s="20"/>
      <c r="H731" s="20"/>
      <c r="J731" s="20"/>
      <c r="L731" s="20"/>
      <c r="M731" s="20"/>
      <c r="N731" s="20"/>
      <c r="O731" s="20"/>
      <c r="P731" s="20"/>
      <c r="R731" s="20"/>
      <c r="S731" s="20"/>
      <c r="T731" s="20"/>
      <c r="U731" s="20"/>
      <c r="V731" s="20"/>
      <c r="W731" s="20"/>
      <c r="X731" s="20"/>
      <c r="Y731" s="20"/>
      <c r="Z731" s="20"/>
      <c r="AA731" s="20"/>
    </row>
    <row r="732" spans="1:27" x14ac:dyDescent="0.2">
      <c r="A732" s="20"/>
      <c r="B732" s="20"/>
      <c r="C732" s="20"/>
      <c r="D732" s="20"/>
      <c r="E732" s="20"/>
      <c r="F732" s="20"/>
      <c r="G732" s="20"/>
      <c r="H732" s="20"/>
      <c r="J732" s="20"/>
      <c r="L732" s="20"/>
      <c r="M732" s="20"/>
      <c r="N732" s="20"/>
      <c r="O732" s="20"/>
      <c r="P732" s="20"/>
      <c r="R732" s="20"/>
      <c r="S732" s="20"/>
      <c r="T732" s="20"/>
      <c r="U732" s="20"/>
      <c r="V732" s="20"/>
      <c r="W732" s="20"/>
      <c r="X732" s="20"/>
      <c r="Y732" s="20"/>
      <c r="Z732" s="20"/>
      <c r="AA732" s="20"/>
    </row>
    <row r="733" spans="1:27" x14ac:dyDescent="0.2">
      <c r="A733" s="20"/>
      <c r="B733" s="20"/>
      <c r="C733" s="20"/>
      <c r="D733" s="20"/>
      <c r="E733" s="20"/>
      <c r="F733" s="20"/>
      <c r="G733" s="20"/>
      <c r="H733" s="20"/>
      <c r="J733" s="20"/>
      <c r="L733" s="20"/>
      <c r="M733" s="20"/>
      <c r="N733" s="20"/>
      <c r="O733" s="20"/>
      <c r="P733" s="20"/>
      <c r="R733" s="20"/>
      <c r="S733" s="20"/>
      <c r="T733" s="20"/>
      <c r="U733" s="20"/>
      <c r="V733" s="20"/>
      <c r="W733" s="20"/>
      <c r="X733" s="20"/>
      <c r="Y733" s="20"/>
      <c r="Z733" s="20"/>
      <c r="AA733" s="20"/>
    </row>
    <row r="734" spans="1:27" x14ac:dyDescent="0.2">
      <c r="A734" s="20"/>
      <c r="B734" s="20"/>
      <c r="C734" s="20"/>
      <c r="D734" s="20"/>
      <c r="E734" s="20"/>
      <c r="F734" s="20"/>
      <c r="G734" s="20"/>
      <c r="H734" s="20"/>
      <c r="J734" s="20"/>
      <c r="L734" s="20"/>
      <c r="M734" s="20"/>
      <c r="N734" s="20"/>
      <c r="O734" s="20"/>
      <c r="P734" s="20"/>
      <c r="R734" s="20"/>
      <c r="S734" s="20"/>
      <c r="T734" s="20"/>
      <c r="U734" s="20"/>
      <c r="V734" s="20"/>
      <c r="W734" s="20"/>
      <c r="X734" s="20"/>
      <c r="Y734" s="20"/>
      <c r="Z734" s="20"/>
      <c r="AA734" s="20"/>
    </row>
    <row r="735" spans="1:27" x14ac:dyDescent="0.2">
      <c r="A735" s="20"/>
      <c r="B735" s="20"/>
      <c r="C735" s="20"/>
      <c r="D735" s="20"/>
      <c r="E735" s="20"/>
      <c r="F735" s="20"/>
      <c r="G735" s="20"/>
      <c r="H735" s="20"/>
      <c r="J735" s="20"/>
      <c r="L735" s="20"/>
      <c r="M735" s="20"/>
      <c r="N735" s="20"/>
      <c r="O735" s="20"/>
      <c r="P735" s="20"/>
      <c r="R735" s="20"/>
      <c r="S735" s="20"/>
      <c r="T735" s="20"/>
      <c r="U735" s="20"/>
      <c r="V735" s="20"/>
      <c r="W735" s="20"/>
      <c r="X735" s="20"/>
      <c r="Y735" s="20"/>
      <c r="Z735" s="20"/>
      <c r="AA735" s="20"/>
    </row>
    <row r="736" spans="1:27" x14ac:dyDescent="0.2">
      <c r="A736" s="20"/>
      <c r="B736" s="20"/>
      <c r="C736" s="20"/>
      <c r="D736" s="20"/>
      <c r="E736" s="20"/>
      <c r="F736" s="20"/>
      <c r="G736" s="20"/>
      <c r="H736" s="20"/>
      <c r="J736" s="20"/>
      <c r="L736" s="20"/>
      <c r="M736" s="20"/>
      <c r="N736" s="20"/>
      <c r="O736" s="20"/>
      <c r="P736" s="20"/>
      <c r="R736" s="20"/>
      <c r="S736" s="20"/>
      <c r="T736" s="20"/>
      <c r="U736" s="20"/>
      <c r="V736" s="20"/>
      <c r="W736" s="20"/>
      <c r="X736" s="20"/>
      <c r="Y736" s="20"/>
      <c r="Z736" s="20"/>
      <c r="AA736" s="20"/>
    </row>
    <row r="737" spans="1:27" x14ac:dyDescent="0.2">
      <c r="A737" s="20"/>
      <c r="B737" s="20"/>
      <c r="C737" s="20"/>
      <c r="D737" s="20"/>
      <c r="E737" s="20"/>
      <c r="F737" s="20"/>
      <c r="G737" s="20"/>
      <c r="H737" s="20"/>
      <c r="J737" s="20"/>
      <c r="L737" s="20"/>
      <c r="M737" s="20"/>
      <c r="N737" s="20"/>
      <c r="O737" s="20"/>
      <c r="P737" s="20"/>
      <c r="R737" s="20"/>
      <c r="S737" s="20"/>
      <c r="T737" s="20"/>
      <c r="U737" s="20"/>
      <c r="V737" s="20"/>
      <c r="W737" s="20"/>
      <c r="X737" s="20"/>
      <c r="Y737" s="20"/>
      <c r="Z737" s="20"/>
      <c r="AA737" s="20"/>
    </row>
    <row r="738" spans="1:27" x14ac:dyDescent="0.2">
      <c r="A738" s="20"/>
      <c r="B738" s="20"/>
      <c r="C738" s="20"/>
      <c r="D738" s="20"/>
      <c r="E738" s="20"/>
      <c r="F738" s="20"/>
      <c r="G738" s="20"/>
      <c r="H738" s="20"/>
      <c r="J738" s="20"/>
      <c r="L738" s="20"/>
      <c r="M738" s="20"/>
      <c r="N738" s="20"/>
      <c r="O738" s="20"/>
      <c r="P738" s="20"/>
      <c r="R738" s="20"/>
      <c r="S738" s="20"/>
      <c r="T738" s="20"/>
      <c r="U738" s="20"/>
      <c r="V738" s="20"/>
      <c r="W738" s="20"/>
      <c r="X738" s="20"/>
      <c r="Y738" s="20"/>
      <c r="Z738" s="20"/>
      <c r="AA738" s="20"/>
    </row>
    <row r="739" spans="1:27" x14ac:dyDescent="0.2">
      <c r="A739" s="20"/>
      <c r="B739" s="20"/>
      <c r="C739" s="20"/>
      <c r="D739" s="20"/>
      <c r="E739" s="20"/>
      <c r="F739" s="20"/>
      <c r="G739" s="20"/>
      <c r="H739" s="20"/>
      <c r="J739" s="20"/>
      <c r="L739" s="20"/>
      <c r="M739" s="20"/>
      <c r="N739" s="20"/>
      <c r="O739" s="20"/>
      <c r="P739" s="20"/>
      <c r="R739" s="20"/>
      <c r="S739" s="20"/>
      <c r="T739" s="20"/>
      <c r="U739" s="20"/>
      <c r="V739" s="20"/>
      <c r="W739" s="20"/>
      <c r="X739" s="20"/>
      <c r="Y739" s="20"/>
      <c r="Z739" s="20"/>
      <c r="AA739" s="20"/>
    </row>
    <row r="740" spans="1:27" x14ac:dyDescent="0.2">
      <c r="A740" s="20"/>
      <c r="B740" s="20"/>
      <c r="C740" s="20"/>
      <c r="D740" s="20"/>
      <c r="E740" s="20"/>
      <c r="F740" s="20"/>
      <c r="G740" s="20"/>
      <c r="H740" s="20"/>
      <c r="J740" s="20"/>
      <c r="L740" s="20"/>
      <c r="M740" s="20"/>
      <c r="N740" s="20"/>
      <c r="O740" s="20"/>
      <c r="P740" s="20"/>
      <c r="R740" s="20"/>
      <c r="S740" s="20"/>
      <c r="T740" s="20"/>
      <c r="U740" s="20"/>
      <c r="V740" s="20"/>
      <c r="W740" s="20"/>
      <c r="X740" s="20"/>
      <c r="Y740" s="20"/>
      <c r="Z740" s="20"/>
      <c r="AA740" s="20"/>
    </row>
    <row r="741" spans="1:27" x14ac:dyDescent="0.2">
      <c r="A741" s="20"/>
      <c r="B741" s="20"/>
      <c r="C741" s="20"/>
      <c r="D741" s="20"/>
      <c r="E741" s="20"/>
      <c r="F741" s="20"/>
      <c r="G741" s="20"/>
      <c r="H741" s="20"/>
      <c r="J741" s="20"/>
      <c r="L741" s="20"/>
      <c r="M741" s="20"/>
      <c r="N741" s="20"/>
      <c r="O741" s="20"/>
      <c r="P741" s="20"/>
      <c r="R741" s="20"/>
      <c r="S741" s="20"/>
      <c r="T741" s="20"/>
      <c r="U741" s="20"/>
      <c r="V741" s="20"/>
      <c r="W741" s="20"/>
      <c r="X741" s="20"/>
      <c r="Y741" s="20"/>
      <c r="Z741" s="20"/>
      <c r="AA741" s="20"/>
    </row>
    <row r="742" spans="1:27" x14ac:dyDescent="0.2">
      <c r="A742" s="20"/>
      <c r="B742" s="20"/>
      <c r="C742" s="20"/>
      <c r="D742" s="20"/>
      <c r="E742" s="20"/>
      <c r="F742" s="20"/>
      <c r="G742" s="20"/>
      <c r="H742" s="20"/>
      <c r="J742" s="20"/>
      <c r="L742" s="20"/>
      <c r="M742" s="20"/>
      <c r="N742" s="20"/>
      <c r="O742" s="20"/>
      <c r="P742" s="20"/>
      <c r="R742" s="20"/>
      <c r="S742" s="20"/>
      <c r="T742" s="20"/>
      <c r="U742" s="20"/>
      <c r="V742" s="20"/>
      <c r="W742" s="20"/>
      <c r="X742" s="20"/>
      <c r="Y742" s="20"/>
      <c r="Z742" s="20"/>
      <c r="AA742" s="20"/>
    </row>
    <row r="743" spans="1:27" x14ac:dyDescent="0.2">
      <c r="A743" s="20"/>
      <c r="B743" s="20"/>
      <c r="C743" s="20"/>
      <c r="D743" s="20"/>
      <c r="E743" s="20"/>
      <c r="F743" s="20"/>
      <c r="G743" s="20"/>
      <c r="H743" s="20"/>
      <c r="J743" s="20"/>
      <c r="L743" s="20"/>
      <c r="M743" s="20"/>
      <c r="N743" s="20"/>
      <c r="O743" s="20"/>
      <c r="P743" s="20"/>
      <c r="R743" s="20"/>
      <c r="S743" s="20"/>
      <c r="T743" s="20"/>
      <c r="U743" s="20"/>
      <c r="V743" s="20"/>
      <c r="W743" s="20"/>
      <c r="X743" s="20"/>
      <c r="Y743" s="20"/>
      <c r="Z743" s="20"/>
      <c r="AA743" s="20"/>
    </row>
    <row r="744" spans="1:27" x14ac:dyDescent="0.2">
      <c r="A744" s="20"/>
      <c r="B744" s="20"/>
      <c r="C744" s="20"/>
      <c r="D744" s="20"/>
      <c r="E744" s="20"/>
      <c r="F744" s="20"/>
      <c r="G744" s="20"/>
      <c r="H744" s="20"/>
      <c r="J744" s="20"/>
      <c r="L744" s="20"/>
      <c r="M744" s="20"/>
      <c r="N744" s="20"/>
      <c r="O744" s="20"/>
      <c r="P744" s="20"/>
      <c r="R744" s="20"/>
      <c r="S744" s="20"/>
      <c r="T744" s="20"/>
      <c r="U744" s="20"/>
      <c r="V744" s="20"/>
      <c r="W744" s="20"/>
      <c r="X744" s="20"/>
      <c r="Y744" s="20"/>
      <c r="Z744" s="20"/>
      <c r="AA744" s="20"/>
    </row>
    <row r="745" spans="1:27" x14ac:dyDescent="0.2">
      <c r="A745" s="20"/>
      <c r="B745" s="20"/>
      <c r="C745" s="20"/>
      <c r="D745" s="20"/>
      <c r="E745" s="20"/>
      <c r="F745" s="20"/>
      <c r="G745" s="20"/>
      <c r="H745" s="20"/>
      <c r="J745" s="20"/>
      <c r="L745" s="20"/>
      <c r="M745" s="20"/>
      <c r="N745" s="20"/>
      <c r="O745" s="20"/>
      <c r="P745" s="20"/>
      <c r="R745" s="20"/>
      <c r="S745" s="20"/>
      <c r="T745" s="20"/>
      <c r="U745" s="20"/>
      <c r="V745" s="20"/>
      <c r="W745" s="20"/>
      <c r="X745" s="20"/>
      <c r="Y745" s="20"/>
      <c r="Z745" s="20"/>
      <c r="AA745" s="20"/>
    </row>
    <row r="746" spans="1:27" x14ac:dyDescent="0.2">
      <c r="A746" s="20"/>
      <c r="B746" s="20"/>
      <c r="C746" s="20"/>
      <c r="D746" s="20"/>
      <c r="E746" s="20"/>
      <c r="F746" s="20"/>
      <c r="G746" s="20"/>
      <c r="H746" s="20"/>
      <c r="J746" s="20"/>
      <c r="L746" s="20"/>
      <c r="M746" s="20"/>
      <c r="N746" s="20"/>
      <c r="O746" s="20"/>
      <c r="P746" s="20"/>
      <c r="R746" s="20"/>
      <c r="S746" s="20"/>
      <c r="T746" s="20"/>
      <c r="U746" s="20"/>
      <c r="V746" s="20"/>
      <c r="W746" s="20"/>
      <c r="X746" s="20"/>
      <c r="Y746" s="20"/>
      <c r="Z746" s="20"/>
      <c r="AA746" s="20"/>
    </row>
    <row r="747" spans="1:27" x14ac:dyDescent="0.2">
      <c r="A747" s="20"/>
      <c r="B747" s="20"/>
      <c r="C747" s="20"/>
      <c r="D747" s="20"/>
      <c r="E747" s="20"/>
      <c r="F747" s="20"/>
      <c r="G747" s="20"/>
      <c r="H747" s="20"/>
      <c r="J747" s="20"/>
      <c r="L747" s="20"/>
      <c r="M747" s="20"/>
      <c r="N747" s="20"/>
      <c r="O747" s="20"/>
      <c r="P747" s="20"/>
      <c r="R747" s="20"/>
      <c r="S747" s="20"/>
      <c r="T747" s="20"/>
      <c r="U747" s="20"/>
      <c r="V747" s="20"/>
      <c r="W747" s="20"/>
      <c r="X747" s="20"/>
      <c r="Y747" s="20"/>
      <c r="Z747" s="20"/>
      <c r="AA747" s="20"/>
    </row>
    <row r="748" spans="1:27" x14ac:dyDescent="0.2">
      <c r="A748" s="20"/>
      <c r="B748" s="20"/>
      <c r="C748" s="20"/>
      <c r="D748" s="20"/>
      <c r="E748" s="20"/>
      <c r="F748" s="20"/>
      <c r="G748" s="20"/>
      <c r="H748" s="20"/>
      <c r="J748" s="20"/>
      <c r="L748" s="20"/>
      <c r="M748" s="20"/>
      <c r="N748" s="20"/>
      <c r="O748" s="20"/>
      <c r="P748" s="20"/>
      <c r="R748" s="20"/>
      <c r="S748" s="20"/>
      <c r="T748" s="20"/>
      <c r="U748" s="20"/>
      <c r="V748" s="20"/>
      <c r="W748" s="20"/>
      <c r="X748" s="20"/>
      <c r="Y748" s="20"/>
      <c r="Z748" s="20"/>
      <c r="AA748" s="20"/>
    </row>
    <row r="749" spans="1:27" x14ac:dyDescent="0.2">
      <c r="A749" s="20"/>
      <c r="B749" s="20"/>
      <c r="C749" s="20"/>
      <c r="D749" s="20"/>
      <c r="E749" s="20"/>
      <c r="F749" s="20"/>
      <c r="G749" s="20"/>
      <c r="H749" s="20"/>
      <c r="J749" s="20"/>
      <c r="L749" s="20"/>
      <c r="M749" s="20"/>
      <c r="N749" s="20"/>
      <c r="O749" s="20"/>
      <c r="P749" s="20"/>
      <c r="R749" s="20"/>
      <c r="S749" s="20"/>
      <c r="T749" s="20"/>
      <c r="U749" s="20"/>
      <c r="V749" s="20"/>
      <c r="W749" s="20"/>
      <c r="X749" s="20"/>
      <c r="Y749" s="20"/>
      <c r="Z749" s="20"/>
      <c r="AA749" s="20"/>
    </row>
    <row r="750" spans="1:27" x14ac:dyDescent="0.2">
      <c r="A750" s="20"/>
      <c r="B750" s="20"/>
      <c r="C750" s="20"/>
      <c r="D750" s="20"/>
      <c r="E750" s="20"/>
      <c r="F750" s="20"/>
      <c r="G750" s="20"/>
      <c r="H750" s="20"/>
      <c r="J750" s="20"/>
      <c r="L750" s="20"/>
      <c r="M750" s="20"/>
      <c r="N750" s="20"/>
      <c r="O750" s="20"/>
      <c r="P750" s="20"/>
      <c r="R750" s="20"/>
      <c r="S750" s="20"/>
      <c r="T750" s="20"/>
      <c r="U750" s="20"/>
      <c r="V750" s="20"/>
      <c r="W750" s="20"/>
      <c r="X750" s="20"/>
      <c r="Y750" s="20"/>
      <c r="Z750" s="20"/>
      <c r="AA750" s="20"/>
    </row>
    <row r="751" spans="1:27" x14ac:dyDescent="0.2">
      <c r="A751" s="20"/>
      <c r="B751" s="20"/>
      <c r="C751" s="20"/>
      <c r="D751" s="20"/>
      <c r="E751" s="20"/>
      <c r="F751" s="20"/>
      <c r="G751" s="20"/>
      <c r="H751" s="20"/>
      <c r="J751" s="20"/>
      <c r="L751" s="20"/>
      <c r="M751" s="20"/>
      <c r="N751" s="20"/>
      <c r="O751" s="20"/>
      <c r="P751" s="20"/>
      <c r="R751" s="20"/>
      <c r="S751" s="20"/>
      <c r="T751" s="20"/>
      <c r="U751" s="20"/>
      <c r="V751" s="20"/>
      <c r="W751" s="20"/>
      <c r="X751" s="20"/>
      <c r="Y751" s="20"/>
      <c r="Z751" s="20"/>
      <c r="AA751" s="20"/>
    </row>
    <row r="752" spans="1:27" x14ac:dyDescent="0.2">
      <c r="A752" s="20"/>
      <c r="B752" s="20"/>
      <c r="C752" s="20"/>
      <c r="D752" s="20"/>
      <c r="E752" s="20"/>
      <c r="F752" s="20"/>
      <c r="G752" s="20"/>
      <c r="H752" s="20"/>
      <c r="J752" s="20"/>
      <c r="L752" s="20"/>
      <c r="M752" s="20"/>
      <c r="N752" s="20"/>
      <c r="O752" s="20"/>
      <c r="P752" s="20"/>
      <c r="R752" s="20"/>
      <c r="S752" s="20"/>
      <c r="T752" s="20"/>
      <c r="U752" s="20"/>
      <c r="V752" s="20"/>
      <c r="W752" s="20"/>
      <c r="X752" s="20"/>
      <c r="Y752" s="20"/>
      <c r="Z752" s="20"/>
      <c r="AA752" s="20"/>
    </row>
    <row r="753" spans="1:27" x14ac:dyDescent="0.2">
      <c r="A753" s="20"/>
      <c r="B753" s="20"/>
      <c r="C753" s="20"/>
      <c r="D753" s="20"/>
      <c r="E753" s="20"/>
      <c r="F753" s="20"/>
      <c r="G753" s="20"/>
      <c r="H753" s="20"/>
      <c r="J753" s="20"/>
      <c r="L753" s="20"/>
      <c r="M753" s="20"/>
      <c r="N753" s="20"/>
      <c r="O753" s="20"/>
      <c r="P753" s="20"/>
      <c r="R753" s="20"/>
      <c r="S753" s="20"/>
      <c r="T753" s="20"/>
      <c r="U753" s="20"/>
      <c r="V753" s="20"/>
      <c r="W753" s="20"/>
      <c r="X753" s="20"/>
      <c r="Y753" s="20"/>
      <c r="Z753" s="20"/>
      <c r="AA753" s="20"/>
    </row>
    <row r="754" spans="1:27" x14ac:dyDescent="0.2">
      <c r="A754" s="20"/>
      <c r="B754" s="20"/>
      <c r="C754" s="20"/>
      <c r="D754" s="20"/>
      <c r="E754" s="20"/>
      <c r="F754" s="20"/>
      <c r="G754" s="20"/>
      <c r="H754" s="20"/>
      <c r="J754" s="20"/>
      <c r="L754" s="20"/>
      <c r="M754" s="20"/>
      <c r="N754" s="20"/>
      <c r="O754" s="20"/>
      <c r="P754" s="20"/>
      <c r="R754" s="20"/>
      <c r="S754" s="20"/>
      <c r="T754" s="20"/>
      <c r="U754" s="20"/>
      <c r="V754" s="20"/>
      <c r="W754" s="20"/>
      <c r="X754" s="20"/>
      <c r="Y754" s="20"/>
      <c r="Z754" s="20"/>
      <c r="AA754" s="20"/>
    </row>
    <row r="755" spans="1:27" x14ac:dyDescent="0.2">
      <c r="A755" s="20"/>
      <c r="B755" s="20"/>
      <c r="C755" s="20"/>
      <c r="D755" s="20"/>
      <c r="E755" s="20"/>
      <c r="F755" s="20"/>
      <c r="G755" s="20"/>
      <c r="H755" s="20"/>
      <c r="J755" s="20"/>
      <c r="L755" s="20"/>
      <c r="M755" s="20"/>
      <c r="N755" s="20"/>
      <c r="O755" s="20"/>
      <c r="P755" s="20"/>
      <c r="R755" s="20"/>
      <c r="S755" s="20"/>
      <c r="T755" s="20"/>
      <c r="U755" s="20"/>
      <c r="V755" s="20"/>
      <c r="W755" s="20"/>
      <c r="X755" s="20"/>
      <c r="Y755" s="20"/>
      <c r="Z755" s="20"/>
      <c r="AA755" s="20"/>
    </row>
    <row r="756" spans="1:27" x14ac:dyDescent="0.2">
      <c r="A756" s="20"/>
      <c r="B756" s="20"/>
      <c r="C756" s="20"/>
      <c r="D756" s="20"/>
      <c r="E756" s="20"/>
      <c r="F756" s="20"/>
      <c r="G756" s="20"/>
      <c r="H756" s="20"/>
      <c r="J756" s="20"/>
      <c r="L756" s="20"/>
      <c r="M756" s="20"/>
      <c r="N756" s="20"/>
      <c r="O756" s="20"/>
      <c r="P756" s="20"/>
      <c r="R756" s="20"/>
      <c r="S756" s="20"/>
      <c r="T756" s="20"/>
      <c r="U756" s="20"/>
      <c r="V756" s="20"/>
      <c r="W756" s="20"/>
      <c r="X756" s="20"/>
      <c r="Y756" s="20"/>
      <c r="Z756" s="20"/>
      <c r="AA756" s="20"/>
    </row>
    <row r="757" spans="1:27" x14ac:dyDescent="0.2">
      <c r="A757" s="20"/>
      <c r="B757" s="20"/>
      <c r="C757" s="20"/>
      <c r="D757" s="20"/>
      <c r="E757" s="20"/>
      <c r="F757" s="20"/>
      <c r="G757" s="20"/>
      <c r="H757" s="20"/>
      <c r="J757" s="20"/>
      <c r="L757" s="20"/>
      <c r="M757" s="20"/>
      <c r="N757" s="20"/>
      <c r="O757" s="20"/>
      <c r="P757" s="20"/>
      <c r="R757" s="20"/>
      <c r="S757" s="20"/>
      <c r="T757" s="20"/>
      <c r="U757" s="20"/>
      <c r="V757" s="20"/>
      <c r="W757" s="20"/>
      <c r="X757" s="20"/>
      <c r="Y757" s="20"/>
      <c r="Z757" s="20"/>
      <c r="AA757" s="20"/>
    </row>
    <row r="758" spans="1:27" x14ac:dyDescent="0.2">
      <c r="A758" s="20"/>
      <c r="B758" s="20"/>
      <c r="C758" s="20"/>
      <c r="D758" s="20"/>
      <c r="E758" s="20"/>
      <c r="F758" s="20"/>
      <c r="G758" s="20"/>
      <c r="H758" s="20"/>
      <c r="J758" s="20"/>
      <c r="L758" s="20"/>
      <c r="M758" s="20"/>
      <c r="N758" s="20"/>
      <c r="O758" s="20"/>
      <c r="P758" s="20"/>
      <c r="R758" s="20"/>
      <c r="S758" s="20"/>
      <c r="T758" s="20"/>
      <c r="U758" s="20"/>
      <c r="V758" s="20"/>
      <c r="W758" s="20"/>
      <c r="X758" s="20"/>
      <c r="Y758" s="20"/>
      <c r="Z758" s="20"/>
      <c r="AA758" s="20"/>
    </row>
    <row r="759" spans="1:27" x14ac:dyDescent="0.2">
      <c r="A759" s="20"/>
      <c r="B759" s="20"/>
      <c r="C759" s="20"/>
      <c r="D759" s="20"/>
      <c r="E759" s="20"/>
      <c r="F759" s="20"/>
      <c r="G759" s="20"/>
      <c r="H759" s="20"/>
      <c r="J759" s="20"/>
      <c r="L759" s="20"/>
      <c r="M759" s="20"/>
      <c r="N759" s="20"/>
      <c r="O759" s="20"/>
      <c r="P759" s="20"/>
      <c r="R759" s="20"/>
      <c r="S759" s="20"/>
      <c r="T759" s="20"/>
      <c r="U759" s="20"/>
      <c r="V759" s="20"/>
      <c r="W759" s="20"/>
      <c r="X759" s="20"/>
      <c r="Y759" s="20"/>
      <c r="Z759" s="20"/>
      <c r="AA759" s="20"/>
    </row>
    <row r="760" spans="1:27" x14ac:dyDescent="0.2">
      <c r="A760" s="20"/>
      <c r="B760" s="20"/>
      <c r="C760" s="20"/>
      <c r="D760" s="20"/>
      <c r="E760" s="20"/>
      <c r="F760" s="20"/>
      <c r="G760" s="20"/>
      <c r="H760" s="20"/>
      <c r="J760" s="20"/>
      <c r="L760" s="20"/>
      <c r="M760" s="20"/>
      <c r="N760" s="20"/>
      <c r="O760" s="20"/>
      <c r="P760" s="20"/>
      <c r="R760" s="20"/>
      <c r="S760" s="20"/>
      <c r="T760" s="20"/>
      <c r="U760" s="20"/>
      <c r="V760" s="20"/>
      <c r="W760" s="20"/>
      <c r="X760" s="20"/>
      <c r="Y760" s="20"/>
      <c r="Z760" s="20"/>
      <c r="AA760" s="20"/>
    </row>
    <row r="761" spans="1:27" x14ac:dyDescent="0.2">
      <c r="A761" s="20"/>
      <c r="B761" s="20"/>
      <c r="C761" s="20"/>
      <c r="D761" s="20"/>
      <c r="E761" s="20"/>
      <c r="F761" s="20"/>
      <c r="G761" s="20"/>
      <c r="H761" s="20"/>
      <c r="J761" s="20"/>
      <c r="L761" s="20"/>
      <c r="M761" s="20"/>
      <c r="N761" s="20"/>
      <c r="O761" s="20"/>
      <c r="P761" s="20"/>
      <c r="R761" s="20"/>
      <c r="S761" s="20"/>
      <c r="T761" s="20"/>
      <c r="U761" s="20"/>
      <c r="V761" s="20"/>
      <c r="W761" s="20"/>
      <c r="X761" s="20"/>
      <c r="Y761" s="20"/>
      <c r="Z761" s="20"/>
      <c r="AA761" s="20"/>
    </row>
    <row r="762" spans="1:27" x14ac:dyDescent="0.2">
      <c r="A762" s="20"/>
      <c r="B762" s="20"/>
      <c r="C762" s="20"/>
      <c r="D762" s="20"/>
      <c r="E762" s="20"/>
      <c r="F762" s="20"/>
      <c r="G762" s="20"/>
      <c r="H762" s="20"/>
      <c r="J762" s="20"/>
      <c r="L762" s="20"/>
      <c r="M762" s="20"/>
      <c r="N762" s="20"/>
      <c r="O762" s="20"/>
      <c r="P762" s="20"/>
      <c r="R762" s="20"/>
      <c r="S762" s="20"/>
      <c r="T762" s="20"/>
      <c r="U762" s="20"/>
      <c r="V762" s="20"/>
      <c r="W762" s="20"/>
      <c r="X762" s="20"/>
      <c r="Y762" s="20"/>
      <c r="Z762" s="20"/>
      <c r="AA762" s="20"/>
    </row>
    <row r="763" spans="1:27" x14ac:dyDescent="0.2">
      <c r="A763" s="20"/>
      <c r="B763" s="20"/>
      <c r="C763" s="20"/>
      <c r="D763" s="20"/>
      <c r="E763" s="20"/>
      <c r="F763" s="20"/>
      <c r="G763" s="20"/>
      <c r="H763" s="20"/>
      <c r="J763" s="20"/>
      <c r="L763" s="20"/>
      <c r="M763" s="20"/>
      <c r="N763" s="20"/>
      <c r="O763" s="20"/>
      <c r="P763" s="20"/>
      <c r="R763" s="20"/>
      <c r="S763" s="20"/>
      <c r="T763" s="20"/>
      <c r="U763" s="20"/>
      <c r="V763" s="20"/>
      <c r="W763" s="20"/>
      <c r="X763" s="20"/>
      <c r="Y763" s="20"/>
      <c r="Z763" s="20"/>
      <c r="AA763" s="20"/>
    </row>
    <row r="764" spans="1:27" x14ac:dyDescent="0.2">
      <c r="A764" s="20"/>
      <c r="B764" s="20"/>
      <c r="C764" s="20"/>
      <c r="D764" s="20"/>
      <c r="E764" s="20"/>
      <c r="F764" s="20"/>
      <c r="G764" s="20"/>
      <c r="H764" s="20"/>
      <c r="J764" s="20"/>
      <c r="L764" s="20"/>
      <c r="M764" s="20"/>
      <c r="N764" s="20"/>
      <c r="O764" s="20"/>
      <c r="P764" s="20"/>
      <c r="R764" s="20"/>
      <c r="S764" s="20"/>
      <c r="T764" s="20"/>
      <c r="U764" s="20"/>
      <c r="V764" s="20"/>
      <c r="W764" s="20"/>
      <c r="X764" s="20"/>
      <c r="Y764" s="20"/>
      <c r="Z764" s="20"/>
      <c r="AA764" s="20"/>
    </row>
    <row r="765" spans="1:27" x14ac:dyDescent="0.2">
      <c r="A765" s="20"/>
      <c r="B765" s="20"/>
      <c r="C765" s="20"/>
      <c r="D765" s="20"/>
      <c r="E765" s="20"/>
      <c r="F765" s="20"/>
      <c r="G765" s="20"/>
      <c r="H765" s="20"/>
      <c r="J765" s="20"/>
      <c r="L765" s="20"/>
      <c r="M765" s="20"/>
      <c r="N765" s="20"/>
      <c r="O765" s="20"/>
      <c r="P765" s="20"/>
      <c r="R765" s="20"/>
      <c r="S765" s="20"/>
      <c r="T765" s="20"/>
      <c r="U765" s="20"/>
      <c r="V765" s="20"/>
      <c r="W765" s="20"/>
      <c r="X765" s="20"/>
      <c r="Y765" s="20"/>
      <c r="Z765" s="20"/>
      <c r="AA765" s="20"/>
    </row>
    <row r="766" spans="1:27" x14ac:dyDescent="0.2">
      <c r="A766" s="20"/>
      <c r="B766" s="20"/>
      <c r="C766" s="20"/>
      <c r="D766" s="20"/>
      <c r="E766" s="20"/>
      <c r="F766" s="20"/>
      <c r="G766" s="20"/>
      <c r="H766" s="20"/>
      <c r="J766" s="20"/>
      <c r="L766" s="20"/>
      <c r="M766" s="20"/>
      <c r="N766" s="20"/>
      <c r="O766" s="20"/>
      <c r="P766" s="20"/>
      <c r="R766" s="20"/>
      <c r="S766" s="20"/>
      <c r="T766" s="20"/>
      <c r="U766" s="20"/>
      <c r="V766" s="20"/>
      <c r="W766" s="20"/>
      <c r="X766" s="20"/>
      <c r="Y766" s="20"/>
      <c r="Z766" s="20"/>
      <c r="AA766" s="20"/>
    </row>
    <row r="767" spans="1:27" x14ac:dyDescent="0.2">
      <c r="A767" s="20"/>
      <c r="B767" s="20"/>
      <c r="C767" s="20"/>
      <c r="D767" s="20"/>
      <c r="E767" s="20"/>
      <c r="F767" s="20"/>
      <c r="G767" s="20"/>
      <c r="H767" s="20"/>
      <c r="J767" s="20"/>
      <c r="L767" s="20"/>
      <c r="M767" s="20"/>
      <c r="N767" s="20"/>
      <c r="O767" s="20"/>
      <c r="P767" s="20"/>
      <c r="R767" s="20"/>
      <c r="S767" s="20"/>
      <c r="T767" s="20"/>
      <c r="U767" s="20"/>
      <c r="V767" s="20"/>
      <c r="W767" s="20"/>
      <c r="X767" s="20"/>
      <c r="Y767" s="20"/>
      <c r="Z767" s="20"/>
      <c r="AA767" s="20"/>
    </row>
    <row r="768" spans="1:27" x14ac:dyDescent="0.2">
      <c r="A768" s="20"/>
      <c r="B768" s="20"/>
      <c r="C768" s="20"/>
      <c r="D768" s="20"/>
      <c r="E768" s="20"/>
      <c r="F768" s="20"/>
      <c r="G768" s="20"/>
      <c r="H768" s="20"/>
      <c r="J768" s="20"/>
      <c r="L768" s="20"/>
      <c r="M768" s="20"/>
      <c r="N768" s="20"/>
      <c r="O768" s="20"/>
      <c r="P768" s="20"/>
      <c r="R768" s="20"/>
      <c r="S768" s="20"/>
      <c r="T768" s="20"/>
      <c r="U768" s="20"/>
      <c r="V768" s="20"/>
      <c r="W768" s="20"/>
      <c r="X768" s="20"/>
      <c r="Y768" s="20"/>
      <c r="Z768" s="20"/>
      <c r="AA768" s="20"/>
    </row>
    <row r="769" spans="1:27" x14ac:dyDescent="0.2">
      <c r="A769" s="20"/>
      <c r="B769" s="20"/>
      <c r="C769" s="20"/>
      <c r="D769" s="20"/>
      <c r="E769" s="20"/>
      <c r="F769" s="20"/>
      <c r="G769" s="20"/>
      <c r="H769" s="20"/>
      <c r="J769" s="20"/>
      <c r="L769" s="20"/>
      <c r="M769" s="20"/>
      <c r="N769" s="20"/>
      <c r="O769" s="20"/>
      <c r="P769" s="20"/>
      <c r="R769" s="20"/>
      <c r="S769" s="20"/>
      <c r="T769" s="20"/>
      <c r="U769" s="20"/>
      <c r="V769" s="20"/>
      <c r="W769" s="20"/>
      <c r="X769" s="20"/>
      <c r="Y769" s="20"/>
      <c r="Z769" s="20"/>
      <c r="AA769" s="20"/>
    </row>
    <row r="770" spans="1:27" x14ac:dyDescent="0.2">
      <c r="A770" s="20"/>
      <c r="B770" s="20"/>
      <c r="C770" s="20"/>
      <c r="D770" s="20"/>
      <c r="E770" s="20"/>
      <c r="F770" s="20"/>
      <c r="G770" s="20"/>
      <c r="H770" s="20"/>
      <c r="J770" s="20"/>
      <c r="L770" s="20"/>
      <c r="M770" s="20"/>
      <c r="N770" s="20"/>
      <c r="O770" s="20"/>
      <c r="P770" s="20"/>
      <c r="R770" s="20"/>
      <c r="S770" s="20"/>
      <c r="T770" s="20"/>
      <c r="U770" s="20"/>
      <c r="V770" s="20"/>
      <c r="W770" s="20"/>
      <c r="X770" s="20"/>
      <c r="Y770" s="20"/>
      <c r="Z770" s="20"/>
      <c r="AA770" s="20"/>
    </row>
    <row r="771" spans="1:27" x14ac:dyDescent="0.2">
      <c r="A771" s="20"/>
      <c r="B771" s="20"/>
      <c r="C771" s="20"/>
      <c r="D771" s="20"/>
      <c r="E771" s="20"/>
      <c r="F771" s="20"/>
      <c r="G771" s="20"/>
      <c r="H771" s="20"/>
      <c r="J771" s="20"/>
      <c r="L771" s="20"/>
      <c r="M771" s="20"/>
      <c r="N771" s="20"/>
      <c r="O771" s="20"/>
      <c r="P771" s="20"/>
      <c r="R771" s="20"/>
      <c r="S771" s="20"/>
      <c r="T771" s="20"/>
      <c r="U771" s="20"/>
      <c r="V771" s="20"/>
      <c r="W771" s="20"/>
      <c r="X771" s="20"/>
      <c r="Y771" s="20"/>
      <c r="Z771" s="20"/>
      <c r="AA771" s="20"/>
    </row>
    <row r="772" spans="1:27" x14ac:dyDescent="0.2">
      <c r="A772" s="20"/>
      <c r="B772" s="20"/>
      <c r="C772" s="20"/>
      <c r="D772" s="20"/>
      <c r="E772" s="20"/>
      <c r="F772" s="20"/>
      <c r="G772" s="20"/>
      <c r="H772" s="20"/>
      <c r="J772" s="20"/>
      <c r="L772" s="20"/>
      <c r="M772" s="20"/>
      <c r="N772" s="20"/>
      <c r="O772" s="20"/>
      <c r="P772" s="20"/>
      <c r="R772" s="20"/>
      <c r="S772" s="20"/>
      <c r="T772" s="20"/>
      <c r="U772" s="20"/>
      <c r="V772" s="20"/>
      <c r="W772" s="20"/>
      <c r="X772" s="20"/>
      <c r="Y772" s="20"/>
      <c r="Z772" s="20"/>
      <c r="AA772" s="20"/>
    </row>
    <row r="773" spans="1:27" x14ac:dyDescent="0.2">
      <c r="A773" s="20"/>
      <c r="B773" s="20"/>
      <c r="C773" s="20"/>
      <c r="D773" s="20"/>
      <c r="E773" s="20"/>
      <c r="F773" s="20"/>
      <c r="G773" s="20"/>
      <c r="H773" s="20"/>
      <c r="J773" s="20"/>
      <c r="L773" s="20"/>
      <c r="M773" s="20"/>
      <c r="N773" s="20"/>
      <c r="O773" s="20"/>
      <c r="P773" s="20"/>
      <c r="R773" s="20"/>
      <c r="S773" s="20"/>
      <c r="T773" s="20"/>
      <c r="U773" s="20"/>
      <c r="V773" s="20"/>
      <c r="W773" s="20"/>
      <c r="X773" s="20"/>
      <c r="Y773" s="20"/>
      <c r="Z773" s="20"/>
      <c r="AA773" s="20"/>
    </row>
    <row r="774" spans="1:27" x14ac:dyDescent="0.2">
      <c r="A774" s="20"/>
      <c r="B774" s="20"/>
      <c r="C774" s="20"/>
      <c r="D774" s="20"/>
      <c r="E774" s="20"/>
      <c r="F774" s="20"/>
      <c r="G774" s="20"/>
      <c r="H774" s="20"/>
      <c r="J774" s="20"/>
      <c r="L774" s="20"/>
      <c r="M774" s="20"/>
      <c r="N774" s="20"/>
      <c r="O774" s="20"/>
      <c r="P774" s="20"/>
      <c r="R774" s="20"/>
      <c r="S774" s="20"/>
      <c r="T774" s="20"/>
      <c r="U774" s="20"/>
      <c r="V774" s="20"/>
      <c r="W774" s="20"/>
      <c r="X774" s="20"/>
      <c r="Y774" s="20"/>
      <c r="Z774" s="20"/>
      <c r="AA774" s="20"/>
    </row>
    <row r="775" spans="1:27" x14ac:dyDescent="0.2">
      <c r="A775" s="20"/>
      <c r="B775" s="20"/>
      <c r="C775" s="20"/>
      <c r="D775" s="20"/>
      <c r="E775" s="20"/>
      <c r="F775" s="20"/>
      <c r="G775" s="20"/>
      <c r="H775" s="20"/>
      <c r="J775" s="20"/>
      <c r="L775" s="20"/>
      <c r="M775" s="20"/>
      <c r="N775" s="20"/>
      <c r="O775" s="20"/>
      <c r="P775" s="20"/>
      <c r="R775" s="20"/>
      <c r="S775" s="20"/>
      <c r="T775" s="20"/>
      <c r="U775" s="20"/>
      <c r="V775" s="20"/>
      <c r="W775" s="20"/>
      <c r="X775" s="20"/>
      <c r="Y775" s="20"/>
      <c r="Z775" s="20"/>
      <c r="AA775" s="20"/>
    </row>
    <row r="776" spans="1:27" x14ac:dyDescent="0.2">
      <c r="A776" s="20"/>
      <c r="B776" s="20"/>
      <c r="C776" s="20"/>
      <c r="D776" s="20"/>
      <c r="E776" s="20"/>
      <c r="F776" s="20"/>
      <c r="G776" s="20"/>
      <c r="H776" s="20"/>
      <c r="J776" s="20"/>
      <c r="L776" s="20"/>
      <c r="M776" s="20"/>
      <c r="N776" s="20"/>
      <c r="O776" s="20"/>
      <c r="P776" s="20"/>
      <c r="R776" s="20"/>
      <c r="S776" s="20"/>
      <c r="T776" s="20"/>
      <c r="U776" s="20"/>
      <c r="V776" s="20"/>
      <c r="W776" s="20"/>
      <c r="X776" s="20"/>
      <c r="Y776" s="20"/>
      <c r="Z776" s="20"/>
      <c r="AA776" s="20"/>
    </row>
    <row r="777" spans="1:27" x14ac:dyDescent="0.2">
      <c r="A777" s="20"/>
      <c r="B777" s="20"/>
      <c r="C777" s="20"/>
      <c r="D777" s="20"/>
      <c r="E777" s="20"/>
      <c r="F777" s="20"/>
      <c r="G777" s="20"/>
      <c r="H777" s="20"/>
      <c r="J777" s="20"/>
      <c r="L777" s="20"/>
      <c r="M777" s="20"/>
      <c r="N777" s="20"/>
      <c r="O777" s="20"/>
      <c r="P777" s="20"/>
      <c r="R777" s="20"/>
      <c r="S777" s="20"/>
      <c r="T777" s="20"/>
      <c r="U777" s="20"/>
      <c r="V777" s="20"/>
      <c r="W777" s="20"/>
      <c r="X777" s="20"/>
      <c r="Y777" s="20"/>
      <c r="Z777" s="20"/>
      <c r="AA777" s="20"/>
    </row>
    <row r="778" spans="1:27" x14ac:dyDescent="0.2">
      <c r="A778" s="20"/>
      <c r="B778" s="20"/>
      <c r="C778" s="20"/>
      <c r="D778" s="20"/>
      <c r="E778" s="20"/>
      <c r="F778" s="20"/>
      <c r="G778" s="20"/>
      <c r="H778" s="20"/>
      <c r="J778" s="20"/>
      <c r="L778" s="20"/>
      <c r="M778" s="20"/>
      <c r="N778" s="20"/>
      <c r="O778" s="20"/>
      <c r="P778" s="20"/>
      <c r="R778" s="20"/>
      <c r="S778" s="20"/>
      <c r="T778" s="20"/>
      <c r="U778" s="20"/>
      <c r="V778" s="20"/>
      <c r="W778" s="20"/>
      <c r="X778" s="20"/>
      <c r="Y778" s="20"/>
      <c r="Z778" s="20"/>
      <c r="AA778" s="20"/>
    </row>
    <row r="779" spans="1:27" x14ac:dyDescent="0.2">
      <c r="A779" s="20"/>
      <c r="B779" s="20"/>
      <c r="C779" s="20"/>
      <c r="D779" s="20"/>
      <c r="E779" s="20"/>
      <c r="F779" s="20"/>
      <c r="G779" s="20"/>
      <c r="H779" s="20"/>
      <c r="J779" s="20"/>
      <c r="L779" s="20"/>
      <c r="M779" s="20"/>
      <c r="N779" s="20"/>
      <c r="O779" s="20"/>
      <c r="P779" s="20"/>
      <c r="R779" s="20"/>
      <c r="S779" s="20"/>
      <c r="T779" s="20"/>
      <c r="U779" s="20"/>
      <c r="V779" s="20"/>
      <c r="W779" s="20"/>
      <c r="X779" s="20"/>
      <c r="Y779" s="20"/>
      <c r="Z779" s="20"/>
      <c r="AA779" s="20"/>
    </row>
    <row r="780" spans="1:27" x14ac:dyDescent="0.2">
      <c r="A780" s="20"/>
      <c r="B780" s="20"/>
      <c r="C780" s="20"/>
      <c r="D780" s="20"/>
      <c r="E780" s="20"/>
      <c r="F780" s="20"/>
      <c r="G780" s="20"/>
      <c r="H780" s="20"/>
      <c r="J780" s="20"/>
      <c r="L780" s="20"/>
      <c r="M780" s="20"/>
      <c r="N780" s="20"/>
      <c r="O780" s="20"/>
      <c r="P780" s="20"/>
      <c r="R780" s="20"/>
      <c r="S780" s="20"/>
      <c r="T780" s="20"/>
      <c r="U780" s="20"/>
      <c r="V780" s="20"/>
      <c r="W780" s="20"/>
      <c r="X780" s="20"/>
      <c r="Y780" s="20"/>
      <c r="Z780" s="20"/>
      <c r="AA780" s="20"/>
    </row>
    <row r="781" spans="1:27" x14ac:dyDescent="0.2">
      <c r="A781" s="20"/>
      <c r="B781" s="20"/>
      <c r="C781" s="20"/>
      <c r="D781" s="20"/>
      <c r="E781" s="20"/>
      <c r="F781" s="20"/>
      <c r="G781" s="20"/>
      <c r="H781" s="20"/>
      <c r="J781" s="20"/>
      <c r="L781" s="20"/>
      <c r="M781" s="20"/>
      <c r="N781" s="20"/>
      <c r="O781" s="20"/>
      <c r="P781" s="20"/>
      <c r="R781" s="20"/>
      <c r="S781" s="20"/>
      <c r="T781" s="20"/>
      <c r="U781" s="20"/>
      <c r="V781" s="20"/>
      <c r="W781" s="20"/>
      <c r="X781" s="20"/>
      <c r="Y781" s="20"/>
      <c r="Z781" s="20"/>
      <c r="AA781" s="20"/>
    </row>
    <row r="782" spans="1:27" x14ac:dyDescent="0.2">
      <c r="A782" s="20"/>
      <c r="B782" s="20"/>
      <c r="C782" s="20"/>
      <c r="D782" s="20"/>
      <c r="E782" s="20"/>
      <c r="F782" s="20"/>
      <c r="G782" s="20"/>
      <c r="H782" s="20"/>
      <c r="J782" s="20"/>
      <c r="L782" s="20"/>
      <c r="M782" s="20"/>
      <c r="N782" s="20"/>
      <c r="O782" s="20"/>
      <c r="P782" s="20"/>
      <c r="R782" s="20"/>
      <c r="S782" s="20"/>
      <c r="T782" s="20"/>
      <c r="U782" s="20"/>
      <c r="V782" s="20"/>
      <c r="W782" s="20"/>
      <c r="X782" s="20"/>
      <c r="Y782" s="20"/>
      <c r="Z782" s="20"/>
      <c r="AA782" s="20"/>
    </row>
    <row r="783" spans="1:27" x14ac:dyDescent="0.2">
      <c r="A783" s="20"/>
      <c r="B783" s="20"/>
      <c r="C783" s="20"/>
      <c r="D783" s="20"/>
      <c r="E783" s="20"/>
      <c r="F783" s="20"/>
      <c r="G783" s="20"/>
      <c r="H783" s="20"/>
      <c r="J783" s="20"/>
      <c r="L783" s="20"/>
      <c r="M783" s="20"/>
      <c r="N783" s="20"/>
      <c r="O783" s="20"/>
      <c r="P783" s="20"/>
      <c r="R783" s="20"/>
      <c r="S783" s="20"/>
      <c r="T783" s="20"/>
      <c r="U783" s="20"/>
      <c r="V783" s="20"/>
      <c r="W783" s="20"/>
      <c r="X783" s="20"/>
      <c r="Y783" s="20"/>
      <c r="Z783" s="20"/>
      <c r="AA783" s="20"/>
    </row>
    <row r="784" spans="1:27" x14ac:dyDescent="0.2">
      <c r="A784" s="20"/>
      <c r="B784" s="20"/>
      <c r="C784" s="20"/>
      <c r="D784" s="20"/>
      <c r="E784" s="20"/>
      <c r="F784" s="20"/>
      <c r="G784" s="20"/>
      <c r="H784" s="20"/>
      <c r="J784" s="20"/>
      <c r="L784" s="20"/>
      <c r="M784" s="20"/>
      <c r="N784" s="20"/>
      <c r="O784" s="20"/>
      <c r="P784" s="20"/>
      <c r="R784" s="20"/>
      <c r="S784" s="20"/>
      <c r="T784" s="20"/>
      <c r="U784" s="20"/>
      <c r="V784" s="20"/>
      <c r="W784" s="20"/>
      <c r="X784" s="20"/>
      <c r="Y784" s="20"/>
      <c r="Z784" s="20"/>
      <c r="AA784" s="20"/>
    </row>
    <row r="785" spans="1:27" x14ac:dyDescent="0.2">
      <c r="A785" s="20"/>
      <c r="B785" s="20"/>
      <c r="C785" s="20"/>
      <c r="D785" s="20"/>
      <c r="E785" s="20"/>
      <c r="F785" s="20"/>
      <c r="G785" s="20"/>
      <c r="H785" s="20"/>
      <c r="J785" s="20"/>
      <c r="L785" s="20"/>
      <c r="M785" s="20"/>
      <c r="N785" s="20"/>
      <c r="O785" s="20"/>
      <c r="P785" s="20"/>
      <c r="R785" s="20"/>
      <c r="S785" s="20"/>
      <c r="T785" s="20"/>
      <c r="U785" s="20"/>
      <c r="V785" s="20"/>
      <c r="W785" s="20"/>
      <c r="X785" s="20"/>
      <c r="Y785" s="20"/>
      <c r="Z785" s="20"/>
      <c r="AA785" s="20"/>
    </row>
    <row r="786" spans="1:27" x14ac:dyDescent="0.2">
      <c r="A786" s="20"/>
      <c r="B786" s="20"/>
      <c r="C786" s="20"/>
      <c r="D786" s="20"/>
      <c r="E786" s="20"/>
      <c r="F786" s="20"/>
      <c r="G786" s="20"/>
      <c r="H786" s="20"/>
      <c r="J786" s="20"/>
      <c r="L786" s="20"/>
      <c r="M786" s="20"/>
      <c r="N786" s="20"/>
      <c r="O786" s="20"/>
      <c r="P786" s="20"/>
      <c r="R786" s="20"/>
      <c r="S786" s="20"/>
      <c r="T786" s="20"/>
      <c r="U786" s="20"/>
      <c r="V786" s="20"/>
      <c r="W786" s="20"/>
      <c r="X786" s="20"/>
      <c r="Y786" s="20"/>
      <c r="Z786" s="20"/>
      <c r="AA786" s="20"/>
    </row>
    <row r="787" spans="1:27" x14ac:dyDescent="0.2">
      <c r="A787" s="20"/>
      <c r="B787" s="20"/>
      <c r="C787" s="20"/>
      <c r="D787" s="20"/>
      <c r="E787" s="20"/>
      <c r="F787" s="20"/>
      <c r="G787" s="20"/>
      <c r="H787" s="20"/>
      <c r="J787" s="20"/>
      <c r="L787" s="20"/>
      <c r="M787" s="20"/>
      <c r="N787" s="20"/>
      <c r="O787" s="20"/>
      <c r="P787" s="20"/>
      <c r="R787" s="20"/>
      <c r="S787" s="20"/>
      <c r="T787" s="20"/>
      <c r="U787" s="20"/>
      <c r="V787" s="20"/>
      <c r="W787" s="20"/>
      <c r="X787" s="20"/>
      <c r="Y787" s="20"/>
      <c r="Z787" s="20"/>
      <c r="AA787" s="20"/>
    </row>
    <row r="788" spans="1:27" x14ac:dyDescent="0.2">
      <c r="A788" s="20"/>
      <c r="B788" s="20"/>
      <c r="C788" s="20"/>
      <c r="D788" s="20"/>
      <c r="E788" s="20"/>
      <c r="F788" s="20"/>
      <c r="G788" s="20"/>
      <c r="H788" s="20"/>
      <c r="J788" s="20"/>
      <c r="L788" s="20"/>
      <c r="M788" s="20"/>
      <c r="N788" s="20"/>
      <c r="O788" s="20"/>
      <c r="P788" s="20"/>
      <c r="R788" s="20"/>
      <c r="S788" s="20"/>
      <c r="T788" s="20"/>
      <c r="U788" s="20"/>
      <c r="V788" s="20"/>
      <c r="W788" s="20"/>
      <c r="X788" s="20"/>
      <c r="Y788" s="20"/>
      <c r="Z788" s="20"/>
      <c r="AA788" s="20"/>
    </row>
    <row r="789" spans="1:27" x14ac:dyDescent="0.2">
      <c r="A789" s="20"/>
      <c r="B789" s="20"/>
      <c r="C789" s="20"/>
      <c r="D789" s="20"/>
      <c r="E789" s="20"/>
      <c r="F789" s="20"/>
      <c r="G789" s="20"/>
      <c r="H789" s="20"/>
      <c r="J789" s="20"/>
      <c r="L789" s="20"/>
      <c r="M789" s="20"/>
      <c r="N789" s="20"/>
      <c r="O789" s="20"/>
      <c r="P789" s="20"/>
      <c r="R789" s="20"/>
      <c r="S789" s="20"/>
      <c r="T789" s="20"/>
      <c r="U789" s="20"/>
      <c r="V789" s="20"/>
      <c r="W789" s="20"/>
      <c r="X789" s="20"/>
      <c r="Y789" s="20"/>
      <c r="Z789" s="20"/>
      <c r="AA789" s="20"/>
    </row>
    <row r="790" spans="1:27" x14ac:dyDescent="0.2">
      <c r="A790" s="20"/>
      <c r="B790" s="20"/>
      <c r="C790" s="20"/>
      <c r="D790" s="20"/>
      <c r="E790" s="20"/>
      <c r="F790" s="20"/>
      <c r="G790" s="20"/>
      <c r="H790" s="20"/>
      <c r="J790" s="20"/>
      <c r="L790" s="20"/>
      <c r="M790" s="20"/>
      <c r="N790" s="20"/>
      <c r="O790" s="20"/>
      <c r="P790" s="20"/>
      <c r="R790" s="20"/>
      <c r="S790" s="20"/>
      <c r="T790" s="20"/>
      <c r="U790" s="20"/>
      <c r="V790" s="20"/>
      <c r="W790" s="20"/>
      <c r="X790" s="20"/>
      <c r="Y790" s="20"/>
      <c r="Z790" s="20"/>
      <c r="AA790" s="20"/>
    </row>
    <row r="791" spans="1:27" x14ac:dyDescent="0.2">
      <c r="A791" s="20"/>
      <c r="B791" s="20"/>
      <c r="C791" s="20"/>
      <c r="D791" s="20"/>
      <c r="E791" s="20"/>
      <c r="F791" s="20"/>
      <c r="G791" s="20"/>
      <c r="H791" s="20"/>
      <c r="J791" s="20"/>
      <c r="L791" s="20"/>
      <c r="M791" s="20"/>
      <c r="N791" s="20"/>
      <c r="O791" s="20"/>
      <c r="P791" s="20"/>
      <c r="R791" s="20"/>
      <c r="S791" s="20"/>
      <c r="T791" s="20"/>
      <c r="U791" s="20"/>
      <c r="V791" s="20"/>
      <c r="W791" s="20"/>
      <c r="X791" s="20"/>
      <c r="Y791" s="20"/>
      <c r="Z791" s="20"/>
      <c r="AA791" s="20"/>
    </row>
    <row r="792" spans="1:27" x14ac:dyDescent="0.2">
      <c r="A792" s="20"/>
      <c r="B792" s="20"/>
      <c r="C792" s="20"/>
      <c r="D792" s="20"/>
      <c r="E792" s="20"/>
      <c r="F792" s="20"/>
      <c r="G792" s="20"/>
      <c r="H792" s="20"/>
      <c r="J792" s="20"/>
      <c r="L792" s="20"/>
      <c r="M792" s="20"/>
      <c r="N792" s="20"/>
      <c r="O792" s="20"/>
      <c r="P792" s="20"/>
      <c r="R792" s="20"/>
      <c r="S792" s="20"/>
      <c r="T792" s="20"/>
      <c r="U792" s="20"/>
      <c r="V792" s="20"/>
      <c r="W792" s="20"/>
      <c r="X792" s="20"/>
      <c r="Y792" s="20"/>
      <c r="Z792" s="20"/>
      <c r="AA792" s="20"/>
    </row>
    <row r="793" spans="1:27" x14ac:dyDescent="0.2">
      <c r="A793" s="20"/>
      <c r="B793" s="20"/>
      <c r="C793" s="20"/>
      <c r="D793" s="20"/>
      <c r="E793" s="20"/>
      <c r="F793" s="20"/>
      <c r="G793" s="20"/>
      <c r="H793" s="20"/>
      <c r="J793" s="20"/>
      <c r="L793" s="20"/>
      <c r="M793" s="20"/>
      <c r="N793" s="20"/>
      <c r="O793" s="20"/>
      <c r="P793" s="20"/>
      <c r="R793" s="20"/>
      <c r="S793" s="20"/>
      <c r="T793" s="20"/>
      <c r="U793" s="20"/>
      <c r="V793" s="20"/>
      <c r="W793" s="20"/>
      <c r="X793" s="20"/>
      <c r="Y793" s="20"/>
      <c r="Z793" s="20"/>
      <c r="AA793" s="20"/>
    </row>
    <row r="794" spans="1:27" x14ac:dyDescent="0.2">
      <c r="A794" s="20"/>
      <c r="B794" s="20"/>
      <c r="C794" s="20"/>
      <c r="D794" s="20"/>
      <c r="E794" s="20"/>
      <c r="F794" s="20"/>
      <c r="G794" s="20"/>
      <c r="H794" s="20"/>
      <c r="J794" s="20"/>
      <c r="L794" s="20"/>
      <c r="M794" s="20"/>
      <c r="N794" s="20"/>
      <c r="O794" s="20"/>
      <c r="P794" s="20"/>
      <c r="R794" s="20"/>
      <c r="S794" s="20"/>
      <c r="T794" s="20"/>
      <c r="U794" s="20"/>
      <c r="V794" s="20"/>
      <c r="W794" s="20"/>
      <c r="X794" s="20"/>
      <c r="Y794" s="20"/>
      <c r="Z794" s="20"/>
      <c r="AA794" s="20"/>
    </row>
    <row r="795" spans="1:27" x14ac:dyDescent="0.2">
      <c r="A795" s="20"/>
      <c r="B795" s="20"/>
      <c r="C795" s="20"/>
      <c r="D795" s="20"/>
      <c r="E795" s="20"/>
      <c r="F795" s="20"/>
      <c r="G795" s="20"/>
      <c r="H795" s="20"/>
      <c r="J795" s="20"/>
      <c r="L795" s="20"/>
      <c r="M795" s="20"/>
      <c r="N795" s="20"/>
      <c r="O795" s="20"/>
      <c r="P795" s="20"/>
      <c r="R795" s="20"/>
      <c r="S795" s="20"/>
      <c r="T795" s="20"/>
      <c r="U795" s="20"/>
      <c r="V795" s="20"/>
      <c r="W795" s="20"/>
      <c r="X795" s="20"/>
      <c r="Y795" s="20"/>
      <c r="Z795" s="20"/>
      <c r="AA795" s="20"/>
    </row>
    <row r="796" spans="1:27" x14ac:dyDescent="0.2">
      <c r="A796" s="20"/>
      <c r="B796" s="20"/>
      <c r="C796" s="20"/>
      <c r="D796" s="20"/>
      <c r="E796" s="20"/>
      <c r="F796" s="20"/>
      <c r="G796" s="20"/>
      <c r="H796" s="20"/>
      <c r="J796" s="20"/>
      <c r="L796" s="20"/>
      <c r="M796" s="20"/>
      <c r="N796" s="20"/>
      <c r="O796" s="20"/>
      <c r="P796" s="20"/>
      <c r="R796" s="20"/>
      <c r="S796" s="20"/>
      <c r="T796" s="20"/>
      <c r="U796" s="20"/>
      <c r="V796" s="20"/>
      <c r="W796" s="20"/>
      <c r="X796" s="20"/>
      <c r="Y796" s="20"/>
      <c r="Z796" s="20"/>
      <c r="AA796" s="20"/>
    </row>
    <row r="797" spans="1:27" x14ac:dyDescent="0.2">
      <c r="A797" s="20"/>
      <c r="B797" s="20"/>
      <c r="C797" s="20"/>
      <c r="D797" s="20"/>
      <c r="E797" s="20"/>
      <c r="F797" s="20"/>
      <c r="G797" s="20"/>
      <c r="H797" s="20"/>
      <c r="J797" s="20"/>
      <c r="L797" s="20"/>
      <c r="M797" s="20"/>
      <c r="N797" s="20"/>
      <c r="O797" s="20"/>
      <c r="P797" s="20"/>
      <c r="R797" s="20"/>
      <c r="S797" s="20"/>
      <c r="T797" s="20"/>
      <c r="U797" s="20"/>
      <c r="V797" s="20"/>
      <c r="W797" s="20"/>
      <c r="X797" s="20"/>
      <c r="Y797" s="20"/>
      <c r="Z797" s="20"/>
      <c r="AA797" s="20"/>
    </row>
    <row r="798" spans="1:27" x14ac:dyDescent="0.2">
      <c r="A798" s="20"/>
      <c r="B798" s="20"/>
      <c r="C798" s="20"/>
      <c r="D798" s="20"/>
      <c r="E798" s="20"/>
      <c r="F798" s="20"/>
      <c r="G798" s="20"/>
      <c r="H798" s="20"/>
      <c r="J798" s="20"/>
      <c r="L798" s="20"/>
      <c r="M798" s="20"/>
      <c r="N798" s="20"/>
      <c r="O798" s="20"/>
      <c r="P798" s="20"/>
      <c r="R798" s="20"/>
      <c r="S798" s="20"/>
      <c r="T798" s="20"/>
      <c r="U798" s="20"/>
      <c r="V798" s="20"/>
      <c r="W798" s="20"/>
      <c r="X798" s="20"/>
      <c r="Y798" s="20"/>
      <c r="Z798" s="20"/>
      <c r="AA798" s="20"/>
    </row>
    <row r="799" spans="1:27" x14ac:dyDescent="0.2">
      <c r="A799" s="20"/>
      <c r="B799" s="20"/>
      <c r="C799" s="20"/>
      <c r="D799" s="20"/>
      <c r="E799" s="20"/>
      <c r="F799" s="20"/>
      <c r="G799" s="20"/>
      <c r="H799" s="20"/>
      <c r="J799" s="20"/>
      <c r="L799" s="20"/>
      <c r="M799" s="20"/>
      <c r="N799" s="20"/>
      <c r="O799" s="20"/>
      <c r="P799" s="20"/>
      <c r="R799" s="20"/>
      <c r="S799" s="20"/>
      <c r="T799" s="20"/>
      <c r="U799" s="20"/>
      <c r="V799" s="20"/>
      <c r="W799" s="20"/>
      <c r="X799" s="20"/>
      <c r="Y799" s="20"/>
      <c r="Z799" s="20"/>
      <c r="AA799" s="20"/>
    </row>
    <row r="800" spans="1:27" x14ac:dyDescent="0.2">
      <c r="A800" s="20"/>
      <c r="B800" s="20"/>
      <c r="C800" s="20"/>
      <c r="D800" s="20"/>
      <c r="E800" s="20"/>
      <c r="F800" s="20"/>
      <c r="G800" s="20"/>
      <c r="H800" s="20"/>
      <c r="J800" s="20"/>
      <c r="L800" s="20"/>
      <c r="M800" s="20"/>
      <c r="N800" s="20"/>
      <c r="O800" s="20"/>
      <c r="P800" s="20"/>
      <c r="R800" s="20"/>
      <c r="S800" s="20"/>
      <c r="T800" s="20"/>
      <c r="U800" s="20"/>
      <c r="V800" s="20"/>
      <c r="W800" s="20"/>
      <c r="X800" s="20"/>
      <c r="Y800" s="20"/>
      <c r="Z800" s="20"/>
      <c r="AA800" s="20"/>
    </row>
    <row r="801" spans="1:27" x14ac:dyDescent="0.2">
      <c r="A801" s="20"/>
      <c r="B801" s="20"/>
      <c r="C801" s="20"/>
      <c r="D801" s="20"/>
      <c r="E801" s="20"/>
      <c r="F801" s="20"/>
      <c r="G801" s="20"/>
      <c r="H801" s="20"/>
      <c r="J801" s="20"/>
      <c r="L801" s="20"/>
      <c r="M801" s="20"/>
      <c r="N801" s="20"/>
      <c r="O801" s="20"/>
      <c r="P801" s="20"/>
      <c r="R801" s="20"/>
      <c r="S801" s="20"/>
      <c r="T801" s="20"/>
      <c r="U801" s="20"/>
      <c r="V801" s="20"/>
      <c r="W801" s="20"/>
      <c r="X801" s="20"/>
      <c r="Y801" s="20"/>
      <c r="Z801" s="20"/>
      <c r="AA801" s="20"/>
    </row>
    <row r="802" spans="1:27" x14ac:dyDescent="0.2">
      <c r="A802" s="20"/>
      <c r="B802" s="20"/>
      <c r="C802" s="20"/>
      <c r="D802" s="20"/>
      <c r="E802" s="20"/>
      <c r="F802" s="20"/>
      <c r="G802" s="20"/>
      <c r="H802" s="20"/>
      <c r="J802" s="20"/>
      <c r="L802" s="20"/>
      <c r="M802" s="20"/>
      <c r="N802" s="20"/>
      <c r="O802" s="20"/>
      <c r="P802" s="20"/>
      <c r="R802" s="20"/>
      <c r="S802" s="20"/>
      <c r="T802" s="20"/>
      <c r="U802" s="20"/>
      <c r="V802" s="20"/>
      <c r="W802" s="20"/>
      <c r="X802" s="20"/>
      <c r="Y802" s="20"/>
      <c r="Z802" s="20"/>
      <c r="AA802" s="20"/>
    </row>
    <row r="803" spans="1:27" x14ac:dyDescent="0.2">
      <c r="A803" s="20"/>
      <c r="B803" s="20"/>
      <c r="C803" s="20"/>
      <c r="D803" s="20"/>
      <c r="E803" s="20"/>
      <c r="F803" s="20"/>
      <c r="G803" s="20"/>
      <c r="H803" s="20"/>
      <c r="J803" s="20"/>
      <c r="L803" s="20"/>
      <c r="M803" s="20"/>
      <c r="N803" s="20"/>
      <c r="O803" s="20"/>
      <c r="P803" s="20"/>
      <c r="R803" s="20"/>
      <c r="S803" s="20"/>
      <c r="T803" s="20"/>
      <c r="U803" s="20"/>
      <c r="V803" s="20"/>
      <c r="W803" s="20"/>
      <c r="X803" s="20"/>
      <c r="Y803" s="20"/>
      <c r="Z803" s="20"/>
      <c r="AA803" s="20"/>
    </row>
    <row r="804" spans="1:27" x14ac:dyDescent="0.2">
      <c r="A804" s="20"/>
      <c r="B804" s="20"/>
      <c r="C804" s="20"/>
      <c r="D804" s="20"/>
      <c r="E804" s="20"/>
      <c r="F804" s="20"/>
      <c r="G804" s="20"/>
      <c r="H804" s="20"/>
      <c r="J804" s="20"/>
      <c r="L804" s="20"/>
      <c r="M804" s="20"/>
      <c r="N804" s="20"/>
      <c r="O804" s="20"/>
      <c r="P804" s="20"/>
      <c r="R804" s="20"/>
      <c r="S804" s="20"/>
      <c r="T804" s="20"/>
      <c r="U804" s="20"/>
      <c r="V804" s="20"/>
      <c r="W804" s="20"/>
      <c r="X804" s="20"/>
      <c r="Y804" s="20"/>
      <c r="Z804" s="20"/>
      <c r="AA804" s="20"/>
    </row>
    <row r="805" spans="1:27" x14ac:dyDescent="0.2">
      <c r="A805" s="20"/>
      <c r="B805" s="20"/>
      <c r="C805" s="20"/>
      <c r="D805" s="20"/>
      <c r="E805" s="20"/>
      <c r="F805" s="20"/>
      <c r="G805" s="20"/>
      <c r="H805" s="20"/>
      <c r="J805" s="20"/>
      <c r="L805" s="20"/>
      <c r="M805" s="20"/>
      <c r="N805" s="20"/>
      <c r="O805" s="20"/>
      <c r="P805" s="20"/>
      <c r="R805" s="20"/>
      <c r="S805" s="20"/>
      <c r="T805" s="20"/>
      <c r="U805" s="20"/>
      <c r="V805" s="20"/>
      <c r="W805" s="20"/>
      <c r="X805" s="20"/>
      <c r="Y805" s="20"/>
      <c r="Z805" s="20"/>
      <c r="AA805" s="20"/>
    </row>
    <row r="806" spans="1:27" x14ac:dyDescent="0.2">
      <c r="A806" s="20"/>
      <c r="B806" s="20"/>
      <c r="C806" s="20"/>
      <c r="D806" s="20"/>
      <c r="E806" s="20"/>
      <c r="F806" s="20"/>
      <c r="G806" s="20"/>
      <c r="H806" s="20"/>
      <c r="J806" s="20"/>
      <c r="L806" s="20"/>
      <c r="M806" s="20"/>
      <c r="N806" s="20"/>
      <c r="O806" s="20"/>
      <c r="P806" s="20"/>
      <c r="R806" s="20"/>
      <c r="S806" s="20"/>
      <c r="T806" s="20"/>
      <c r="U806" s="20"/>
      <c r="V806" s="20"/>
      <c r="W806" s="20"/>
      <c r="X806" s="20"/>
      <c r="Y806" s="20"/>
      <c r="Z806" s="20"/>
      <c r="AA806" s="20"/>
    </row>
    <row r="807" spans="1:27" x14ac:dyDescent="0.2">
      <c r="A807" s="20"/>
      <c r="B807" s="20"/>
      <c r="C807" s="20"/>
      <c r="D807" s="20"/>
      <c r="E807" s="20"/>
      <c r="F807" s="20"/>
      <c r="G807" s="20"/>
      <c r="H807" s="20"/>
      <c r="J807" s="20"/>
      <c r="L807" s="20"/>
      <c r="M807" s="20"/>
      <c r="N807" s="20"/>
      <c r="O807" s="20"/>
      <c r="P807" s="20"/>
      <c r="R807" s="20"/>
      <c r="S807" s="20"/>
      <c r="T807" s="20"/>
      <c r="U807" s="20"/>
      <c r="V807" s="20"/>
      <c r="W807" s="20"/>
      <c r="X807" s="20"/>
      <c r="Y807" s="20"/>
      <c r="Z807" s="20"/>
      <c r="AA807" s="20"/>
    </row>
    <row r="808" spans="1:27" x14ac:dyDescent="0.2">
      <c r="A808" s="20"/>
      <c r="B808" s="20"/>
      <c r="C808" s="20"/>
      <c r="D808" s="20"/>
      <c r="E808" s="20"/>
      <c r="F808" s="20"/>
      <c r="G808" s="20"/>
      <c r="H808" s="20"/>
      <c r="J808" s="20"/>
      <c r="L808" s="20"/>
      <c r="M808" s="20"/>
      <c r="N808" s="20"/>
      <c r="O808" s="20"/>
      <c r="P808" s="20"/>
      <c r="R808" s="20"/>
      <c r="S808" s="20"/>
      <c r="T808" s="20"/>
      <c r="U808" s="20"/>
      <c r="V808" s="20"/>
      <c r="W808" s="20"/>
      <c r="X808" s="20"/>
      <c r="Y808" s="20"/>
      <c r="Z808" s="20"/>
      <c r="AA808" s="20"/>
    </row>
    <row r="809" spans="1:27" x14ac:dyDescent="0.2">
      <c r="A809" s="20"/>
      <c r="B809" s="20"/>
      <c r="C809" s="20"/>
      <c r="D809" s="20"/>
      <c r="E809" s="20"/>
      <c r="F809" s="20"/>
      <c r="G809" s="20"/>
      <c r="H809" s="20"/>
      <c r="J809" s="20"/>
      <c r="L809" s="20"/>
      <c r="M809" s="20"/>
      <c r="N809" s="20"/>
      <c r="O809" s="20"/>
      <c r="P809" s="20"/>
      <c r="R809" s="20"/>
      <c r="S809" s="20"/>
      <c r="T809" s="20"/>
      <c r="U809" s="20"/>
      <c r="V809" s="20"/>
      <c r="W809" s="20"/>
      <c r="X809" s="20"/>
      <c r="Y809" s="20"/>
      <c r="Z809" s="20"/>
      <c r="AA809" s="20"/>
    </row>
    <row r="810" spans="1:27" x14ac:dyDescent="0.2">
      <c r="A810" s="20"/>
      <c r="B810" s="20"/>
      <c r="C810" s="20"/>
      <c r="D810" s="20"/>
      <c r="E810" s="20"/>
      <c r="F810" s="20"/>
      <c r="G810" s="20"/>
      <c r="H810" s="20"/>
      <c r="J810" s="20"/>
      <c r="L810" s="20"/>
      <c r="M810" s="20"/>
      <c r="N810" s="20"/>
      <c r="O810" s="20"/>
      <c r="P810" s="20"/>
      <c r="R810" s="20"/>
      <c r="S810" s="20"/>
      <c r="T810" s="20"/>
      <c r="U810" s="20"/>
      <c r="V810" s="20"/>
      <c r="W810" s="20"/>
      <c r="X810" s="20"/>
      <c r="Y810" s="20"/>
      <c r="Z810" s="20"/>
      <c r="AA810" s="20"/>
    </row>
    <row r="811" spans="1:27" x14ac:dyDescent="0.2">
      <c r="A811" s="20"/>
      <c r="B811" s="20"/>
      <c r="C811" s="20"/>
      <c r="D811" s="20"/>
      <c r="E811" s="20"/>
      <c r="F811" s="20"/>
      <c r="G811" s="20"/>
      <c r="H811" s="20"/>
      <c r="J811" s="20"/>
      <c r="L811" s="20"/>
      <c r="M811" s="20"/>
      <c r="N811" s="20"/>
      <c r="O811" s="20"/>
      <c r="P811" s="20"/>
      <c r="R811" s="20"/>
      <c r="S811" s="20"/>
      <c r="T811" s="20"/>
      <c r="U811" s="20"/>
      <c r="V811" s="20"/>
      <c r="W811" s="20"/>
      <c r="X811" s="20"/>
      <c r="Y811" s="20"/>
      <c r="Z811" s="20"/>
      <c r="AA811" s="20"/>
    </row>
    <row r="812" spans="1:27" x14ac:dyDescent="0.2">
      <c r="A812" s="20"/>
      <c r="B812" s="20"/>
      <c r="C812" s="20"/>
      <c r="D812" s="20"/>
      <c r="E812" s="20"/>
      <c r="F812" s="20"/>
      <c r="G812" s="20"/>
      <c r="H812" s="20"/>
      <c r="J812" s="20"/>
      <c r="L812" s="20"/>
      <c r="M812" s="20"/>
      <c r="N812" s="20"/>
      <c r="O812" s="20"/>
      <c r="P812" s="20"/>
      <c r="R812" s="20"/>
      <c r="S812" s="20"/>
      <c r="T812" s="20"/>
      <c r="U812" s="20"/>
      <c r="V812" s="20"/>
      <c r="W812" s="20"/>
      <c r="X812" s="20"/>
      <c r="Y812" s="20"/>
      <c r="Z812" s="20"/>
      <c r="AA812" s="20"/>
    </row>
    <row r="813" spans="1:27" x14ac:dyDescent="0.2">
      <c r="A813" s="20"/>
      <c r="B813" s="20"/>
      <c r="C813" s="20"/>
      <c r="D813" s="20"/>
      <c r="E813" s="20"/>
      <c r="F813" s="20"/>
      <c r="G813" s="20"/>
      <c r="H813" s="20"/>
      <c r="J813" s="20"/>
      <c r="L813" s="20"/>
      <c r="M813" s="20"/>
      <c r="N813" s="20"/>
      <c r="O813" s="20"/>
      <c r="P813" s="20"/>
      <c r="R813" s="20"/>
      <c r="S813" s="20"/>
      <c r="T813" s="20"/>
      <c r="U813" s="20"/>
      <c r="V813" s="20"/>
      <c r="W813" s="20"/>
      <c r="X813" s="20"/>
      <c r="Y813" s="20"/>
      <c r="Z813" s="20"/>
      <c r="AA813" s="20"/>
    </row>
    <row r="814" spans="1:27" x14ac:dyDescent="0.2">
      <c r="A814" s="20"/>
      <c r="B814" s="20"/>
      <c r="C814" s="20"/>
      <c r="D814" s="20"/>
      <c r="E814" s="20"/>
      <c r="F814" s="20"/>
      <c r="G814" s="20"/>
      <c r="H814" s="20"/>
      <c r="J814" s="20"/>
      <c r="L814" s="20"/>
      <c r="M814" s="20"/>
      <c r="N814" s="20"/>
      <c r="O814" s="20"/>
      <c r="P814" s="20"/>
      <c r="R814" s="20"/>
      <c r="S814" s="20"/>
      <c r="T814" s="20"/>
      <c r="U814" s="20"/>
      <c r="V814" s="20"/>
      <c r="W814" s="20"/>
      <c r="X814" s="20"/>
      <c r="Y814" s="20"/>
      <c r="Z814" s="20"/>
      <c r="AA814" s="20"/>
    </row>
    <row r="815" spans="1:27" x14ac:dyDescent="0.2">
      <c r="A815" s="20"/>
      <c r="B815" s="20"/>
      <c r="C815" s="20"/>
      <c r="D815" s="20"/>
      <c r="E815" s="20"/>
      <c r="F815" s="20"/>
      <c r="G815" s="20"/>
      <c r="H815" s="20"/>
      <c r="J815" s="20"/>
      <c r="L815" s="20"/>
      <c r="M815" s="20"/>
      <c r="N815" s="20"/>
      <c r="O815" s="20"/>
      <c r="P815" s="20"/>
      <c r="R815" s="20"/>
      <c r="S815" s="20"/>
      <c r="T815" s="20"/>
      <c r="U815" s="20"/>
      <c r="V815" s="20"/>
      <c r="W815" s="20"/>
      <c r="X815" s="20"/>
      <c r="Y815" s="20"/>
      <c r="Z815" s="20"/>
      <c r="AA815" s="20"/>
    </row>
    <row r="816" spans="1:27" x14ac:dyDescent="0.2">
      <c r="A816" s="20"/>
      <c r="B816" s="20"/>
      <c r="C816" s="20"/>
      <c r="D816" s="20"/>
      <c r="E816" s="20"/>
      <c r="F816" s="20"/>
      <c r="G816" s="20"/>
      <c r="H816" s="20"/>
      <c r="J816" s="20"/>
      <c r="L816" s="20"/>
      <c r="M816" s="20"/>
      <c r="N816" s="20"/>
      <c r="O816" s="20"/>
      <c r="P816" s="20"/>
      <c r="R816" s="20"/>
      <c r="S816" s="20"/>
      <c r="T816" s="20"/>
      <c r="U816" s="20"/>
      <c r="V816" s="20"/>
      <c r="W816" s="20"/>
      <c r="X816" s="20"/>
      <c r="Y816" s="20"/>
      <c r="Z816" s="20"/>
      <c r="AA816" s="20"/>
    </row>
    <row r="817" spans="1:27" x14ac:dyDescent="0.2">
      <c r="A817" s="20"/>
      <c r="B817" s="20"/>
      <c r="C817" s="20"/>
      <c r="D817" s="20"/>
      <c r="E817" s="20"/>
      <c r="F817" s="20"/>
      <c r="G817" s="20"/>
      <c r="H817" s="20"/>
      <c r="J817" s="20"/>
      <c r="L817" s="20"/>
      <c r="M817" s="20"/>
      <c r="N817" s="20"/>
      <c r="O817" s="20"/>
      <c r="P817" s="20"/>
      <c r="R817" s="20"/>
      <c r="S817" s="20"/>
      <c r="T817" s="20"/>
      <c r="U817" s="20"/>
      <c r="V817" s="20"/>
      <c r="W817" s="20"/>
      <c r="X817" s="20"/>
      <c r="Y817" s="20"/>
      <c r="Z817" s="20"/>
      <c r="AA817" s="20"/>
    </row>
    <row r="818" spans="1:27" x14ac:dyDescent="0.2">
      <c r="A818" s="20"/>
      <c r="B818" s="20"/>
      <c r="C818" s="20"/>
      <c r="D818" s="20"/>
      <c r="E818" s="20"/>
      <c r="F818" s="20"/>
      <c r="G818" s="20"/>
      <c r="H818" s="20"/>
      <c r="J818" s="20"/>
      <c r="L818" s="20"/>
      <c r="M818" s="20"/>
      <c r="N818" s="20"/>
      <c r="O818" s="20"/>
      <c r="P818" s="20"/>
      <c r="R818" s="20"/>
      <c r="S818" s="20"/>
      <c r="T818" s="20"/>
      <c r="U818" s="20"/>
      <c r="V818" s="20"/>
      <c r="W818" s="20"/>
      <c r="X818" s="20"/>
      <c r="Y818" s="20"/>
      <c r="Z818" s="20"/>
      <c r="AA818" s="20"/>
    </row>
    <row r="819" spans="1:27" x14ac:dyDescent="0.2">
      <c r="A819" s="20"/>
      <c r="B819" s="20"/>
      <c r="C819" s="20"/>
      <c r="D819" s="20"/>
      <c r="E819" s="20"/>
      <c r="F819" s="20"/>
      <c r="G819" s="20"/>
      <c r="H819" s="20"/>
      <c r="J819" s="20"/>
      <c r="L819" s="20"/>
      <c r="M819" s="20"/>
      <c r="N819" s="20"/>
      <c r="O819" s="20"/>
      <c r="P819" s="20"/>
      <c r="R819" s="20"/>
      <c r="S819" s="20"/>
      <c r="T819" s="20"/>
      <c r="U819" s="20"/>
      <c r="V819" s="20"/>
      <c r="W819" s="20"/>
      <c r="X819" s="20"/>
      <c r="Y819" s="20"/>
      <c r="Z819" s="20"/>
      <c r="AA819" s="20"/>
    </row>
    <row r="820" spans="1:27" x14ac:dyDescent="0.2">
      <c r="A820" s="20"/>
      <c r="B820" s="20"/>
      <c r="C820" s="20"/>
      <c r="D820" s="20"/>
      <c r="E820" s="20"/>
      <c r="F820" s="20"/>
      <c r="G820" s="20"/>
      <c r="H820" s="20"/>
      <c r="J820" s="20"/>
      <c r="L820" s="20"/>
      <c r="M820" s="20"/>
      <c r="N820" s="20"/>
      <c r="O820" s="20"/>
      <c r="P820" s="20"/>
      <c r="R820" s="20"/>
      <c r="S820" s="20"/>
      <c r="T820" s="20"/>
      <c r="U820" s="20"/>
      <c r="V820" s="20"/>
      <c r="W820" s="20"/>
      <c r="X820" s="20"/>
      <c r="Y820" s="20"/>
      <c r="Z820" s="20"/>
      <c r="AA820" s="20"/>
    </row>
    <row r="821" spans="1:27" x14ac:dyDescent="0.2">
      <c r="A821" s="20"/>
      <c r="B821" s="20"/>
      <c r="C821" s="20"/>
      <c r="D821" s="20"/>
      <c r="E821" s="20"/>
      <c r="F821" s="20"/>
      <c r="G821" s="20"/>
      <c r="H821" s="20"/>
      <c r="J821" s="20"/>
      <c r="L821" s="20"/>
      <c r="M821" s="20"/>
      <c r="N821" s="20"/>
      <c r="O821" s="20"/>
      <c r="P821" s="20"/>
      <c r="R821" s="20"/>
      <c r="S821" s="20"/>
      <c r="T821" s="20"/>
      <c r="U821" s="20"/>
      <c r="V821" s="20"/>
      <c r="W821" s="20"/>
      <c r="X821" s="20"/>
      <c r="Y821" s="20"/>
      <c r="Z821" s="20"/>
      <c r="AA821" s="20"/>
    </row>
    <row r="822" spans="1:27" x14ac:dyDescent="0.2">
      <c r="A822" s="20"/>
      <c r="B822" s="20"/>
      <c r="C822" s="20"/>
      <c r="D822" s="20"/>
      <c r="E822" s="20"/>
      <c r="F822" s="20"/>
      <c r="G822" s="20"/>
      <c r="H822" s="20"/>
      <c r="J822" s="20"/>
      <c r="L822" s="20"/>
      <c r="M822" s="20"/>
      <c r="N822" s="20"/>
      <c r="O822" s="20"/>
      <c r="P822" s="20"/>
      <c r="R822" s="20"/>
      <c r="S822" s="20"/>
      <c r="T822" s="20"/>
      <c r="U822" s="20"/>
      <c r="V822" s="20"/>
      <c r="W822" s="20"/>
      <c r="X822" s="20"/>
      <c r="Y822" s="20"/>
      <c r="Z822" s="20"/>
      <c r="AA822" s="20"/>
    </row>
    <row r="823" spans="1:27" x14ac:dyDescent="0.2">
      <c r="A823" s="20"/>
      <c r="B823" s="20"/>
      <c r="C823" s="20"/>
      <c r="D823" s="20"/>
      <c r="E823" s="20"/>
      <c r="F823" s="20"/>
      <c r="G823" s="20"/>
      <c r="H823" s="20"/>
      <c r="J823" s="20"/>
      <c r="L823" s="20"/>
      <c r="M823" s="20"/>
      <c r="N823" s="20"/>
      <c r="O823" s="20"/>
      <c r="P823" s="20"/>
      <c r="R823" s="20"/>
      <c r="S823" s="20"/>
      <c r="T823" s="20"/>
      <c r="U823" s="20"/>
      <c r="V823" s="20"/>
      <c r="W823" s="20"/>
      <c r="X823" s="20"/>
      <c r="Y823" s="20"/>
      <c r="Z823" s="20"/>
      <c r="AA823" s="20"/>
    </row>
    <row r="824" spans="1:27" x14ac:dyDescent="0.2">
      <c r="A824" s="20"/>
      <c r="B824" s="20"/>
      <c r="C824" s="20"/>
      <c r="D824" s="20"/>
      <c r="E824" s="20"/>
      <c r="F824" s="20"/>
      <c r="G824" s="20"/>
      <c r="H824" s="20"/>
      <c r="J824" s="20"/>
      <c r="L824" s="20"/>
      <c r="M824" s="20"/>
      <c r="N824" s="20"/>
      <c r="O824" s="20"/>
      <c r="P824" s="20"/>
      <c r="R824" s="20"/>
      <c r="S824" s="20"/>
      <c r="T824" s="20"/>
      <c r="U824" s="20"/>
      <c r="V824" s="20"/>
      <c r="W824" s="20"/>
      <c r="X824" s="20"/>
      <c r="Y824" s="20"/>
      <c r="Z824" s="20"/>
      <c r="AA824" s="20"/>
    </row>
    <row r="825" spans="1:27" x14ac:dyDescent="0.2">
      <c r="A825" s="20"/>
      <c r="B825" s="20"/>
      <c r="C825" s="20"/>
      <c r="D825" s="20"/>
      <c r="E825" s="20"/>
      <c r="F825" s="20"/>
      <c r="G825" s="20"/>
      <c r="H825" s="20"/>
      <c r="J825" s="20"/>
      <c r="L825" s="20"/>
      <c r="M825" s="20"/>
      <c r="N825" s="20"/>
      <c r="O825" s="20"/>
      <c r="P825" s="20"/>
      <c r="R825" s="20"/>
      <c r="S825" s="20"/>
      <c r="T825" s="20"/>
      <c r="U825" s="20"/>
      <c r="V825" s="20"/>
      <c r="W825" s="20"/>
      <c r="X825" s="20"/>
      <c r="Y825" s="20"/>
      <c r="Z825" s="20"/>
      <c r="AA825" s="20"/>
    </row>
    <row r="826" spans="1:27" x14ac:dyDescent="0.2">
      <c r="A826" s="20"/>
      <c r="B826" s="20"/>
      <c r="C826" s="20"/>
      <c r="D826" s="20"/>
      <c r="E826" s="20"/>
      <c r="F826" s="20"/>
      <c r="G826" s="20"/>
      <c r="H826" s="20"/>
      <c r="J826" s="20"/>
      <c r="L826" s="20"/>
      <c r="M826" s="20"/>
      <c r="N826" s="20"/>
      <c r="O826" s="20"/>
      <c r="P826" s="20"/>
      <c r="R826" s="20"/>
      <c r="S826" s="20"/>
      <c r="T826" s="20"/>
      <c r="U826" s="20"/>
      <c r="V826" s="20"/>
      <c r="W826" s="20"/>
      <c r="X826" s="20"/>
      <c r="Y826" s="20"/>
      <c r="Z826" s="20"/>
      <c r="AA826" s="20"/>
    </row>
    <row r="827" spans="1:27" x14ac:dyDescent="0.2">
      <c r="A827" s="20"/>
      <c r="B827" s="20"/>
      <c r="C827" s="20"/>
      <c r="D827" s="20"/>
      <c r="E827" s="20"/>
      <c r="F827" s="20"/>
      <c r="G827" s="20"/>
      <c r="H827" s="20"/>
      <c r="J827" s="20"/>
      <c r="L827" s="20"/>
      <c r="M827" s="20"/>
      <c r="N827" s="20"/>
      <c r="O827" s="20"/>
      <c r="P827" s="20"/>
      <c r="R827" s="20"/>
      <c r="S827" s="20"/>
      <c r="T827" s="20"/>
      <c r="U827" s="20"/>
      <c r="V827" s="20"/>
      <c r="W827" s="20"/>
      <c r="X827" s="20"/>
      <c r="Y827" s="20"/>
      <c r="Z827" s="20"/>
      <c r="AA827" s="20"/>
    </row>
    <row r="828" spans="1:27" x14ac:dyDescent="0.2">
      <c r="A828" s="20"/>
      <c r="B828" s="20"/>
      <c r="C828" s="20"/>
      <c r="D828" s="20"/>
      <c r="E828" s="20"/>
      <c r="F828" s="20"/>
      <c r="G828" s="20"/>
      <c r="H828" s="20"/>
      <c r="J828" s="20"/>
      <c r="L828" s="20"/>
      <c r="M828" s="20"/>
      <c r="N828" s="20"/>
      <c r="O828" s="20"/>
      <c r="P828" s="20"/>
      <c r="R828" s="20"/>
      <c r="S828" s="20"/>
      <c r="T828" s="20"/>
      <c r="U828" s="20"/>
      <c r="V828" s="20"/>
      <c r="W828" s="20"/>
      <c r="X828" s="20"/>
      <c r="Y828" s="20"/>
      <c r="Z828" s="20"/>
      <c r="AA828" s="20"/>
    </row>
    <row r="829" spans="1:27" x14ac:dyDescent="0.2">
      <c r="A829" s="20"/>
      <c r="B829" s="20"/>
      <c r="C829" s="20"/>
      <c r="D829" s="20"/>
      <c r="E829" s="20"/>
      <c r="F829" s="20"/>
      <c r="G829" s="20"/>
      <c r="H829" s="20"/>
      <c r="J829" s="20"/>
      <c r="L829" s="20"/>
      <c r="M829" s="20"/>
      <c r="N829" s="20"/>
      <c r="O829" s="20"/>
      <c r="P829" s="20"/>
      <c r="R829" s="20"/>
      <c r="S829" s="20"/>
      <c r="T829" s="20"/>
      <c r="U829" s="20"/>
      <c r="V829" s="20"/>
      <c r="W829" s="20"/>
      <c r="X829" s="20"/>
      <c r="Y829" s="20"/>
      <c r="Z829" s="20"/>
      <c r="AA829" s="20"/>
    </row>
    <row r="830" spans="1:27" x14ac:dyDescent="0.2">
      <c r="A830" s="20"/>
      <c r="B830" s="20"/>
      <c r="C830" s="20"/>
      <c r="D830" s="20"/>
      <c r="E830" s="20"/>
      <c r="F830" s="20"/>
      <c r="G830" s="20"/>
      <c r="H830" s="20"/>
      <c r="J830" s="20"/>
      <c r="L830" s="20"/>
      <c r="M830" s="20"/>
      <c r="N830" s="20"/>
      <c r="O830" s="20"/>
      <c r="P830" s="20"/>
      <c r="R830" s="20"/>
      <c r="S830" s="20"/>
      <c r="T830" s="20"/>
      <c r="U830" s="20"/>
      <c r="V830" s="20"/>
      <c r="W830" s="20"/>
      <c r="X830" s="20"/>
      <c r="Y830" s="20"/>
      <c r="Z830" s="20"/>
      <c r="AA830" s="20"/>
    </row>
    <row r="831" spans="1:27" x14ac:dyDescent="0.2">
      <c r="A831" s="20"/>
      <c r="B831" s="20"/>
      <c r="C831" s="20"/>
      <c r="D831" s="20"/>
      <c r="E831" s="20"/>
      <c r="F831" s="20"/>
      <c r="G831" s="20"/>
      <c r="H831" s="20"/>
      <c r="J831" s="20"/>
      <c r="L831" s="20"/>
      <c r="M831" s="20"/>
      <c r="N831" s="20"/>
      <c r="O831" s="20"/>
      <c r="P831" s="20"/>
      <c r="R831" s="20"/>
      <c r="S831" s="20"/>
      <c r="T831" s="20"/>
      <c r="U831" s="20"/>
      <c r="V831" s="20"/>
      <c r="W831" s="20"/>
      <c r="X831" s="20"/>
      <c r="Y831" s="20"/>
      <c r="Z831" s="20"/>
      <c r="AA831" s="20"/>
    </row>
    <row r="832" spans="1:27" x14ac:dyDescent="0.2">
      <c r="A832" s="20"/>
      <c r="B832" s="20"/>
      <c r="C832" s="20"/>
      <c r="D832" s="20"/>
      <c r="E832" s="20"/>
      <c r="F832" s="20"/>
      <c r="G832" s="20"/>
      <c r="H832" s="20"/>
      <c r="J832" s="20"/>
      <c r="L832" s="20"/>
      <c r="M832" s="20"/>
      <c r="N832" s="20"/>
      <c r="O832" s="20"/>
      <c r="P832" s="20"/>
      <c r="R832" s="20"/>
      <c r="S832" s="20"/>
      <c r="T832" s="20"/>
      <c r="U832" s="20"/>
      <c r="V832" s="20"/>
      <c r="W832" s="20"/>
      <c r="X832" s="20"/>
      <c r="Y832" s="20"/>
      <c r="Z832" s="20"/>
      <c r="AA832" s="20"/>
    </row>
    <row r="833" spans="1:27" x14ac:dyDescent="0.2">
      <c r="A833" s="20"/>
      <c r="B833" s="20"/>
      <c r="C833" s="20"/>
      <c r="D833" s="20"/>
      <c r="E833" s="20"/>
      <c r="F833" s="20"/>
      <c r="G833" s="20"/>
      <c r="H833" s="20"/>
      <c r="J833" s="20"/>
      <c r="L833" s="20"/>
      <c r="M833" s="20"/>
      <c r="N833" s="20"/>
      <c r="O833" s="20"/>
      <c r="P833" s="20"/>
      <c r="R833" s="20"/>
      <c r="S833" s="20"/>
      <c r="T833" s="20"/>
      <c r="U833" s="20"/>
      <c r="V833" s="20"/>
      <c r="W833" s="20"/>
      <c r="X833" s="20"/>
      <c r="Y833" s="20"/>
      <c r="Z833" s="20"/>
      <c r="AA833" s="20"/>
    </row>
    <row r="834" spans="1:27" x14ac:dyDescent="0.2">
      <c r="A834" s="20"/>
      <c r="B834" s="20"/>
      <c r="C834" s="20"/>
      <c r="D834" s="20"/>
      <c r="E834" s="20"/>
      <c r="F834" s="20"/>
      <c r="G834" s="20"/>
      <c r="H834" s="20"/>
      <c r="J834" s="20"/>
      <c r="L834" s="20"/>
      <c r="M834" s="20"/>
      <c r="N834" s="20"/>
      <c r="O834" s="20"/>
      <c r="P834" s="20"/>
      <c r="R834" s="20"/>
      <c r="S834" s="20"/>
      <c r="T834" s="20"/>
      <c r="U834" s="20"/>
      <c r="V834" s="20"/>
      <c r="W834" s="20"/>
      <c r="X834" s="20"/>
      <c r="Y834" s="20"/>
      <c r="Z834" s="20"/>
      <c r="AA834" s="20"/>
    </row>
    <row r="835" spans="1:27" x14ac:dyDescent="0.2">
      <c r="A835" s="20"/>
      <c r="B835" s="20"/>
      <c r="C835" s="20"/>
      <c r="D835" s="20"/>
      <c r="E835" s="20"/>
      <c r="F835" s="20"/>
      <c r="G835" s="20"/>
      <c r="H835" s="20"/>
      <c r="J835" s="20"/>
      <c r="L835" s="20"/>
      <c r="M835" s="20"/>
      <c r="N835" s="20"/>
      <c r="O835" s="20"/>
      <c r="P835" s="20"/>
      <c r="R835" s="20"/>
      <c r="S835" s="20"/>
      <c r="T835" s="20"/>
      <c r="U835" s="20"/>
      <c r="V835" s="20"/>
      <c r="W835" s="20"/>
      <c r="X835" s="20"/>
      <c r="Y835" s="20"/>
      <c r="Z835" s="20"/>
      <c r="AA835" s="20"/>
    </row>
    <row r="836" spans="1:27" x14ac:dyDescent="0.2">
      <c r="A836" s="20"/>
      <c r="B836" s="20"/>
      <c r="C836" s="20"/>
      <c r="D836" s="20"/>
      <c r="E836" s="20"/>
      <c r="F836" s="20"/>
      <c r="G836" s="20"/>
      <c r="H836" s="20"/>
      <c r="J836" s="20"/>
      <c r="L836" s="20"/>
      <c r="M836" s="20"/>
      <c r="N836" s="20"/>
      <c r="O836" s="20"/>
      <c r="P836" s="20"/>
      <c r="R836" s="20"/>
      <c r="S836" s="20"/>
      <c r="T836" s="20"/>
      <c r="U836" s="20"/>
      <c r="V836" s="20"/>
      <c r="W836" s="20"/>
      <c r="X836" s="20"/>
      <c r="Y836" s="20"/>
      <c r="Z836" s="20"/>
      <c r="AA836" s="20"/>
    </row>
    <row r="837" spans="1:27" x14ac:dyDescent="0.2">
      <c r="A837" s="20"/>
      <c r="B837" s="20"/>
      <c r="C837" s="20"/>
      <c r="D837" s="20"/>
      <c r="E837" s="20"/>
      <c r="F837" s="20"/>
      <c r="G837" s="20"/>
      <c r="H837" s="20"/>
      <c r="J837" s="20"/>
      <c r="L837" s="20"/>
      <c r="M837" s="20"/>
      <c r="N837" s="20"/>
      <c r="O837" s="20"/>
      <c r="P837" s="20"/>
      <c r="R837" s="20"/>
      <c r="S837" s="20"/>
      <c r="T837" s="20"/>
      <c r="U837" s="20"/>
      <c r="V837" s="20"/>
      <c r="W837" s="20"/>
      <c r="X837" s="20"/>
      <c r="Y837" s="20"/>
      <c r="Z837" s="20"/>
      <c r="AA837" s="20"/>
    </row>
    <row r="838" spans="1:27" x14ac:dyDescent="0.2">
      <c r="A838" s="20"/>
      <c r="B838" s="20"/>
      <c r="C838" s="20"/>
      <c r="D838" s="20"/>
      <c r="E838" s="20"/>
      <c r="F838" s="20"/>
      <c r="G838" s="20"/>
      <c r="H838" s="20"/>
      <c r="J838" s="20"/>
      <c r="L838" s="20"/>
      <c r="M838" s="20"/>
      <c r="N838" s="20"/>
      <c r="O838" s="20"/>
      <c r="P838" s="20"/>
      <c r="R838" s="20"/>
      <c r="S838" s="20"/>
      <c r="T838" s="20"/>
      <c r="U838" s="20"/>
      <c r="V838" s="20"/>
      <c r="W838" s="20"/>
      <c r="X838" s="20"/>
      <c r="Y838" s="20"/>
      <c r="Z838" s="20"/>
      <c r="AA838" s="20"/>
    </row>
    <row r="839" spans="1:27" x14ac:dyDescent="0.2">
      <c r="A839" s="20"/>
      <c r="B839" s="20"/>
      <c r="C839" s="20"/>
      <c r="D839" s="20"/>
      <c r="E839" s="20"/>
      <c r="F839" s="20"/>
      <c r="G839" s="20"/>
      <c r="H839" s="20"/>
      <c r="J839" s="20"/>
      <c r="L839" s="20"/>
      <c r="M839" s="20"/>
      <c r="N839" s="20"/>
      <c r="O839" s="20"/>
      <c r="P839" s="20"/>
      <c r="R839" s="20"/>
      <c r="S839" s="20"/>
      <c r="T839" s="20"/>
      <c r="U839" s="20"/>
      <c r="V839" s="20"/>
      <c r="W839" s="20"/>
      <c r="X839" s="20"/>
      <c r="Y839" s="20"/>
      <c r="Z839" s="20"/>
      <c r="AA839" s="20"/>
    </row>
    <row r="840" spans="1:27" x14ac:dyDescent="0.2">
      <c r="A840" s="20"/>
      <c r="B840" s="20"/>
      <c r="C840" s="20"/>
      <c r="D840" s="20"/>
      <c r="E840" s="20"/>
      <c r="F840" s="20"/>
      <c r="G840" s="20"/>
      <c r="H840" s="20"/>
      <c r="J840" s="20"/>
      <c r="L840" s="20"/>
      <c r="M840" s="20"/>
      <c r="N840" s="20"/>
      <c r="O840" s="20"/>
      <c r="P840" s="20"/>
      <c r="R840" s="20"/>
      <c r="S840" s="20"/>
      <c r="T840" s="20"/>
      <c r="U840" s="20"/>
      <c r="V840" s="20"/>
      <c r="W840" s="20"/>
      <c r="X840" s="20"/>
      <c r="Y840" s="20"/>
      <c r="Z840" s="20"/>
      <c r="AA840" s="20"/>
    </row>
    <row r="841" spans="1:27" x14ac:dyDescent="0.2">
      <c r="A841" s="20"/>
      <c r="B841" s="20"/>
      <c r="C841" s="20"/>
      <c r="D841" s="20"/>
      <c r="E841" s="20"/>
      <c r="F841" s="20"/>
      <c r="G841" s="20"/>
      <c r="H841" s="20"/>
      <c r="J841" s="20"/>
      <c r="L841" s="20"/>
      <c r="M841" s="20"/>
      <c r="N841" s="20"/>
      <c r="O841" s="20"/>
      <c r="P841" s="20"/>
      <c r="R841" s="20"/>
      <c r="S841" s="20"/>
      <c r="T841" s="20"/>
      <c r="U841" s="20"/>
      <c r="V841" s="20"/>
      <c r="W841" s="20"/>
      <c r="X841" s="20"/>
      <c r="Y841" s="20"/>
      <c r="Z841" s="20"/>
      <c r="AA841" s="20"/>
    </row>
    <row r="842" spans="1:27" x14ac:dyDescent="0.2">
      <c r="A842" s="20"/>
      <c r="B842" s="20"/>
      <c r="C842" s="20"/>
      <c r="D842" s="20"/>
      <c r="E842" s="20"/>
      <c r="F842" s="20"/>
      <c r="G842" s="20"/>
      <c r="H842" s="20"/>
      <c r="J842" s="20"/>
      <c r="L842" s="20"/>
      <c r="M842" s="20"/>
      <c r="N842" s="20"/>
      <c r="O842" s="20"/>
      <c r="P842" s="20"/>
      <c r="R842" s="20"/>
      <c r="S842" s="20"/>
      <c r="T842" s="20"/>
      <c r="U842" s="20"/>
      <c r="V842" s="20"/>
      <c r="W842" s="20"/>
      <c r="X842" s="20"/>
      <c r="Y842" s="20"/>
      <c r="Z842" s="20"/>
      <c r="AA842" s="20"/>
    </row>
    <row r="843" spans="1:27" x14ac:dyDescent="0.2">
      <c r="A843" s="20"/>
      <c r="B843" s="20"/>
      <c r="C843" s="20"/>
      <c r="D843" s="20"/>
      <c r="E843" s="20"/>
      <c r="F843" s="20"/>
      <c r="G843" s="20"/>
      <c r="H843" s="20"/>
      <c r="J843" s="20"/>
      <c r="L843" s="20"/>
      <c r="M843" s="20"/>
      <c r="N843" s="20"/>
      <c r="O843" s="20"/>
      <c r="P843" s="20"/>
      <c r="R843" s="20"/>
      <c r="S843" s="20"/>
      <c r="T843" s="20"/>
      <c r="U843" s="20"/>
      <c r="V843" s="20"/>
      <c r="W843" s="20"/>
      <c r="X843" s="20"/>
      <c r="Y843" s="20"/>
      <c r="Z843" s="20"/>
      <c r="AA843" s="20"/>
    </row>
    <row r="844" spans="1:27" x14ac:dyDescent="0.2">
      <c r="A844" s="20"/>
      <c r="B844" s="20"/>
      <c r="C844" s="20"/>
      <c r="D844" s="20"/>
      <c r="E844" s="20"/>
      <c r="F844" s="20"/>
      <c r="G844" s="20"/>
      <c r="H844" s="20"/>
      <c r="J844" s="20"/>
      <c r="L844" s="20"/>
      <c r="M844" s="20"/>
      <c r="N844" s="20"/>
      <c r="O844" s="20"/>
      <c r="P844" s="20"/>
      <c r="R844" s="20"/>
      <c r="S844" s="20"/>
      <c r="T844" s="20"/>
      <c r="U844" s="20"/>
      <c r="V844" s="20"/>
      <c r="W844" s="20"/>
      <c r="X844" s="20"/>
      <c r="Y844" s="20"/>
      <c r="Z844" s="20"/>
      <c r="AA844" s="20"/>
    </row>
    <row r="845" spans="1:27" x14ac:dyDescent="0.2">
      <c r="A845" s="20"/>
      <c r="B845" s="20"/>
      <c r="C845" s="20"/>
      <c r="D845" s="20"/>
      <c r="E845" s="20"/>
      <c r="F845" s="20"/>
      <c r="G845" s="20"/>
      <c r="H845" s="20"/>
      <c r="J845" s="20"/>
      <c r="L845" s="20"/>
      <c r="M845" s="20"/>
      <c r="N845" s="20"/>
      <c r="O845" s="20"/>
      <c r="P845" s="20"/>
      <c r="R845" s="20"/>
      <c r="S845" s="20"/>
      <c r="T845" s="20"/>
      <c r="U845" s="20"/>
      <c r="V845" s="20"/>
      <c r="W845" s="20"/>
      <c r="X845" s="20"/>
      <c r="Y845" s="20"/>
      <c r="Z845" s="20"/>
      <c r="AA845" s="20"/>
    </row>
    <row r="846" spans="1:27" x14ac:dyDescent="0.2">
      <c r="A846" s="20"/>
      <c r="B846" s="20"/>
      <c r="C846" s="20"/>
      <c r="D846" s="20"/>
      <c r="E846" s="20"/>
      <c r="F846" s="20"/>
      <c r="G846" s="20"/>
      <c r="H846" s="20"/>
      <c r="J846" s="20"/>
      <c r="L846" s="20"/>
      <c r="M846" s="20"/>
      <c r="N846" s="20"/>
      <c r="O846" s="20"/>
      <c r="P846" s="20"/>
      <c r="R846" s="20"/>
      <c r="S846" s="20"/>
      <c r="T846" s="20"/>
      <c r="U846" s="20"/>
      <c r="V846" s="20"/>
      <c r="W846" s="20"/>
      <c r="X846" s="20"/>
      <c r="Y846" s="20"/>
      <c r="Z846" s="20"/>
      <c r="AA846" s="20"/>
    </row>
    <row r="847" spans="1:27" x14ac:dyDescent="0.2">
      <c r="A847" s="20"/>
      <c r="B847" s="20"/>
      <c r="C847" s="20"/>
      <c r="D847" s="20"/>
      <c r="E847" s="20"/>
      <c r="F847" s="20"/>
      <c r="G847" s="20"/>
      <c r="H847" s="20"/>
      <c r="J847" s="20"/>
      <c r="L847" s="20"/>
      <c r="M847" s="20"/>
      <c r="N847" s="20"/>
      <c r="O847" s="20"/>
      <c r="P847" s="20"/>
      <c r="R847" s="20"/>
      <c r="S847" s="20"/>
      <c r="T847" s="20"/>
      <c r="U847" s="20"/>
      <c r="V847" s="20"/>
      <c r="W847" s="20"/>
      <c r="X847" s="20"/>
      <c r="Y847" s="20"/>
      <c r="Z847" s="20"/>
      <c r="AA847" s="20"/>
    </row>
    <row r="848" spans="1:27" x14ac:dyDescent="0.2">
      <c r="A848" s="20"/>
      <c r="B848" s="20"/>
      <c r="C848" s="20"/>
      <c r="D848" s="20"/>
      <c r="E848" s="20"/>
      <c r="F848" s="20"/>
      <c r="G848" s="20"/>
      <c r="H848" s="20"/>
      <c r="J848" s="20"/>
      <c r="L848" s="20"/>
      <c r="M848" s="20"/>
      <c r="N848" s="20"/>
      <c r="O848" s="20"/>
      <c r="P848" s="20"/>
      <c r="R848" s="20"/>
      <c r="S848" s="20"/>
      <c r="T848" s="20"/>
      <c r="U848" s="20"/>
      <c r="V848" s="20"/>
      <c r="W848" s="20"/>
      <c r="X848" s="20"/>
      <c r="Y848" s="20"/>
      <c r="Z848" s="20"/>
      <c r="AA848" s="20"/>
    </row>
    <row r="849" spans="1:27" x14ac:dyDescent="0.2">
      <c r="A849" s="20"/>
      <c r="B849" s="20"/>
      <c r="C849" s="20"/>
      <c r="D849" s="20"/>
      <c r="E849" s="20"/>
      <c r="F849" s="20"/>
      <c r="G849" s="20"/>
      <c r="H849" s="20"/>
      <c r="J849" s="20"/>
      <c r="L849" s="20"/>
      <c r="M849" s="20"/>
      <c r="N849" s="20"/>
      <c r="O849" s="20"/>
      <c r="P849" s="20"/>
      <c r="R849" s="20"/>
      <c r="S849" s="20"/>
      <c r="T849" s="20"/>
      <c r="U849" s="20"/>
      <c r="V849" s="20"/>
      <c r="W849" s="20"/>
      <c r="X849" s="20"/>
      <c r="Y849" s="20"/>
      <c r="Z849" s="20"/>
      <c r="AA849" s="20"/>
    </row>
    <row r="850" spans="1:27" x14ac:dyDescent="0.2">
      <c r="A850" s="20"/>
      <c r="B850" s="20"/>
      <c r="C850" s="20"/>
      <c r="D850" s="20"/>
      <c r="E850" s="20"/>
      <c r="F850" s="20"/>
      <c r="G850" s="20"/>
      <c r="H850" s="20"/>
      <c r="J850" s="20"/>
      <c r="L850" s="20"/>
      <c r="M850" s="20"/>
      <c r="N850" s="20"/>
      <c r="O850" s="20"/>
      <c r="P850" s="20"/>
      <c r="R850" s="20"/>
      <c r="S850" s="20"/>
      <c r="T850" s="20"/>
      <c r="U850" s="20"/>
      <c r="V850" s="20"/>
      <c r="W850" s="20"/>
      <c r="X850" s="20"/>
      <c r="Y850" s="20"/>
      <c r="Z850" s="20"/>
      <c r="AA850" s="20"/>
    </row>
    <row r="851" spans="1:27" x14ac:dyDescent="0.2">
      <c r="A851" s="20"/>
      <c r="B851" s="20"/>
      <c r="C851" s="20"/>
      <c r="D851" s="20"/>
      <c r="E851" s="20"/>
      <c r="F851" s="20"/>
      <c r="G851" s="20"/>
      <c r="H851" s="20"/>
      <c r="J851" s="20"/>
      <c r="L851" s="20"/>
      <c r="M851" s="20"/>
      <c r="N851" s="20"/>
      <c r="O851" s="20"/>
      <c r="P851" s="20"/>
      <c r="R851" s="20"/>
      <c r="S851" s="20"/>
      <c r="T851" s="20"/>
      <c r="U851" s="20"/>
      <c r="V851" s="20"/>
      <c r="W851" s="20"/>
      <c r="X851" s="20"/>
      <c r="Y851" s="20"/>
      <c r="Z851" s="20"/>
      <c r="AA851" s="20"/>
    </row>
    <row r="852" spans="1:27" x14ac:dyDescent="0.2">
      <c r="A852" s="20"/>
      <c r="B852" s="20"/>
      <c r="C852" s="20"/>
      <c r="D852" s="20"/>
      <c r="E852" s="20"/>
      <c r="F852" s="20"/>
      <c r="G852" s="20"/>
      <c r="H852" s="20"/>
      <c r="J852" s="20"/>
      <c r="L852" s="20"/>
      <c r="M852" s="20"/>
      <c r="N852" s="20"/>
      <c r="O852" s="20"/>
      <c r="P852" s="20"/>
      <c r="R852" s="20"/>
      <c r="S852" s="20"/>
      <c r="T852" s="20"/>
      <c r="U852" s="20"/>
      <c r="V852" s="20"/>
      <c r="W852" s="20"/>
      <c r="X852" s="20"/>
      <c r="Y852" s="20"/>
      <c r="Z852" s="20"/>
      <c r="AA852" s="20"/>
    </row>
    <row r="853" spans="1:27" x14ac:dyDescent="0.2">
      <c r="A853" s="20"/>
      <c r="B853" s="20"/>
      <c r="C853" s="20"/>
      <c r="D853" s="20"/>
      <c r="E853" s="20"/>
      <c r="F853" s="20"/>
      <c r="G853" s="20"/>
      <c r="H853" s="20"/>
      <c r="J853" s="20"/>
      <c r="L853" s="20"/>
      <c r="M853" s="20"/>
      <c r="N853" s="20"/>
      <c r="O853" s="20"/>
      <c r="P853" s="20"/>
      <c r="R853" s="20"/>
      <c r="S853" s="20"/>
      <c r="T853" s="20"/>
      <c r="U853" s="20"/>
      <c r="V853" s="20"/>
      <c r="W853" s="20"/>
      <c r="X853" s="20"/>
      <c r="Y853" s="20"/>
      <c r="Z853" s="20"/>
      <c r="AA853" s="20"/>
    </row>
    <row r="854" spans="1:27" x14ac:dyDescent="0.2">
      <c r="A854" s="20"/>
      <c r="B854" s="20"/>
      <c r="C854" s="20"/>
      <c r="D854" s="20"/>
      <c r="E854" s="20"/>
      <c r="F854" s="20"/>
      <c r="G854" s="20"/>
      <c r="H854" s="20"/>
      <c r="J854" s="20"/>
      <c r="L854" s="20"/>
      <c r="M854" s="20"/>
      <c r="N854" s="20"/>
      <c r="O854" s="20"/>
      <c r="P854" s="20"/>
      <c r="R854" s="20"/>
      <c r="S854" s="20"/>
      <c r="T854" s="20"/>
      <c r="U854" s="20"/>
      <c r="V854" s="20"/>
      <c r="W854" s="20"/>
      <c r="X854" s="20"/>
      <c r="Y854" s="20"/>
      <c r="Z854" s="20"/>
      <c r="AA854" s="20"/>
    </row>
    <row r="855" spans="1:27" x14ac:dyDescent="0.2">
      <c r="A855" s="20"/>
      <c r="B855" s="20"/>
      <c r="C855" s="20"/>
      <c r="D855" s="20"/>
      <c r="E855" s="20"/>
      <c r="F855" s="20"/>
      <c r="G855" s="20"/>
      <c r="H855" s="20"/>
      <c r="J855" s="20"/>
      <c r="L855" s="20"/>
      <c r="M855" s="20"/>
      <c r="N855" s="20"/>
      <c r="O855" s="20"/>
      <c r="P855" s="20"/>
      <c r="R855" s="20"/>
      <c r="S855" s="20"/>
      <c r="T855" s="20"/>
      <c r="U855" s="20"/>
      <c r="V855" s="20"/>
      <c r="W855" s="20"/>
      <c r="X855" s="20"/>
      <c r="Y855" s="20"/>
      <c r="Z855" s="20"/>
      <c r="AA855" s="20"/>
    </row>
    <row r="856" spans="1:27" x14ac:dyDescent="0.2">
      <c r="A856" s="20"/>
      <c r="B856" s="20"/>
      <c r="C856" s="20"/>
      <c r="D856" s="20"/>
      <c r="E856" s="20"/>
      <c r="F856" s="20"/>
      <c r="G856" s="20"/>
      <c r="H856" s="20"/>
      <c r="J856" s="20"/>
      <c r="L856" s="20"/>
      <c r="M856" s="20"/>
      <c r="N856" s="20"/>
      <c r="O856" s="20"/>
      <c r="P856" s="20"/>
      <c r="R856" s="20"/>
      <c r="S856" s="20"/>
      <c r="T856" s="20"/>
      <c r="U856" s="20"/>
      <c r="V856" s="20"/>
      <c r="W856" s="20"/>
      <c r="X856" s="20"/>
      <c r="Y856" s="20"/>
      <c r="Z856" s="20"/>
      <c r="AA856" s="20"/>
    </row>
    <row r="857" spans="1:27" x14ac:dyDescent="0.2">
      <c r="A857" s="20"/>
      <c r="B857" s="20"/>
      <c r="C857" s="20"/>
      <c r="D857" s="20"/>
      <c r="E857" s="20"/>
      <c r="F857" s="20"/>
      <c r="G857" s="20"/>
      <c r="H857" s="20"/>
      <c r="J857" s="20"/>
      <c r="L857" s="20"/>
      <c r="M857" s="20"/>
      <c r="N857" s="20"/>
      <c r="O857" s="20"/>
      <c r="P857" s="20"/>
      <c r="R857" s="20"/>
      <c r="S857" s="20"/>
      <c r="T857" s="20"/>
      <c r="U857" s="20"/>
      <c r="V857" s="20"/>
      <c r="W857" s="20"/>
      <c r="X857" s="20"/>
      <c r="Y857" s="20"/>
      <c r="Z857" s="20"/>
      <c r="AA857" s="20"/>
    </row>
    <row r="858" spans="1:27" x14ac:dyDescent="0.2">
      <c r="A858" s="20"/>
      <c r="B858" s="20"/>
      <c r="C858" s="20"/>
      <c r="D858" s="20"/>
      <c r="E858" s="20"/>
      <c r="F858" s="20"/>
      <c r="G858" s="20"/>
      <c r="H858" s="20"/>
      <c r="J858" s="20"/>
      <c r="L858" s="20"/>
      <c r="M858" s="20"/>
      <c r="N858" s="20"/>
      <c r="O858" s="20"/>
      <c r="P858" s="20"/>
      <c r="R858" s="20"/>
      <c r="S858" s="20"/>
      <c r="T858" s="20"/>
      <c r="U858" s="20"/>
      <c r="V858" s="20"/>
      <c r="W858" s="20"/>
      <c r="X858" s="20"/>
      <c r="Y858" s="20"/>
      <c r="Z858" s="20"/>
      <c r="AA858" s="20"/>
    </row>
    <row r="859" spans="1:27" x14ac:dyDescent="0.2">
      <c r="A859" s="20"/>
      <c r="B859" s="20"/>
      <c r="C859" s="20"/>
      <c r="D859" s="20"/>
      <c r="E859" s="20"/>
      <c r="F859" s="20"/>
      <c r="G859" s="20"/>
      <c r="H859" s="20"/>
      <c r="J859" s="20"/>
      <c r="L859" s="20"/>
      <c r="M859" s="20"/>
      <c r="N859" s="20"/>
      <c r="O859" s="20"/>
      <c r="P859" s="20"/>
      <c r="R859" s="20"/>
      <c r="S859" s="20"/>
      <c r="T859" s="20"/>
      <c r="U859" s="20"/>
      <c r="V859" s="20"/>
      <c r="W859" s="20"/>
      <c r="X859" s="20"/>
      <c r="Y859" s="20"/>
      <c r="Z859" s="20"/>
      <c r="AA859" s="20"/>
    </row>
    <row r="860" spans="1:27" x14ac:dyDescent="0.2">
      <c r="A860" s="20"/>
      <c r="B860" s="20"/>
      <c r="C860" s="20"/>
      <c r="D860" s="20"/>
      <c r="E860" s="20"/>
      <c r="F860" s="20"/>
      <c r="G860" s="20"/>
      <c r="H860" s="20"/>
      <c r="J860" s="20"/>
      <c r="L860" s="20"/>
      <c r="M860" s="20"/>
      <c r="N860" s="20"/>
      <c r="O860" s="20"/>
      <c r="P860" s="20"/>
      <c r="R860" s="20"/>
      <c r="S860" s="20"/>
      <c r="T860" s="20"/>
      <c r="U860" s="20"/>
      <c r="V860" s="20"/>
      <c r="W860" s="20"/>
      <c r="X860" s="20"/>
      <c r="Y860" s="20"/>
      <c r="Z860" s="20"/>
      <c r="AA860" s="20"/>
    </row>
    <row r="861" spans="1:27" x14ac:dyDescent="0.2">
      <c r="A861" s="20"/>
      <c r="B861" s="20"/>
      <c r="C861" s="20"/>
      <c r="D861" s="20"/>
      <c r="E861" s="20"/>
      <c r="F861" s="20"/>
      <c r="G861" s="20"/>
      <c r="H861" s="20"/>
      <c r="J861" s="20"/>
      <c r="L861" s="20"/>
      <c r="M861" s="20"/>
      <c r="N861" s="20"/>
      <c r="O861" s="20"/>
      <c r="P861" s="20"/>
      <c r="R861" s="20"/>
      <c r="S861" s="20"/>
      <c r="T861" s="20"/>
      <c r="U861" s="20"/>
      <c r="V861" s="20"/>
      <c r="W861" s="20"/>
      <c r="X861" s="20"/>
      <c r="Y861" s="20"/>
      <c r="Z861" s="20"/>
      <c r="AA861" s="20"/>
    </row>
    <row r="862" spans="1:27" x14ac:dyDescent="0.2">
      <c r="A862" s="20"/>
      <c r="B862" s="20"/>
      <c r="C862" s="20"/>
      <c r="D862" s="20"/>
      <c r="E862" s="20"/>
      <c r="F862" s="20"/>
      <c r="G862" s="20"/>
      <c r="H862" s="20"/>
      <c r="J862" s="20"/>
      <c r="L862" s="20"/>
      <c r="M862" s="20"/>
      <c r="N862" s="20"/>
      <c r="O862" s="20"/>
      <c r="P862" s="20"/>
      <c r="R862" s="20"/>
      <c r="S862" s="20"/>
      <c r="T862" s="20"/>
      <c r="U862" s="20"/>
      <c r="V862" s="20"/>
      <c r="W862" s="20"/>
      <c r="X862" s="20"/>
      <c r="Y862" s="20"/>
      <c r="Z862" s="20"/>
      <c r="AA862" s="20"/>
    </row>
    <row r="863" spans="1:27" x14ac:dyDescent="0.2">
      <c r="A863" s="20"/>
      <c r="B863" s="20"/>
      <c r="C863" s="20"/>
      <c r="D863" s="20"/>
      <c r="E863" s="20"/>
      <c r="F863" s="20"/>
      <c r="G863" s="20"/>
      <c r="H863" s="20"/>
      <c r="J863" s="20"/>
      <c r="L863" s="20"/>
      <c r="M863" s="20"/>
      <c r="N863" s="20"/>
      <c r="O863" s="20"/>
      <c r="P863" s="20"/>
      <c r="R863" s="20"/>
      <c r="S863" s="20"/>
      <c r="T863" s="20"/>
      <c r="U863" s="20"/>
      <c r="V863" s="20"/>
      <c r="W863" s="20"/>
      <c r="X863" s="20"/>
      <c r="Y863" s="20"/>
      <c r="Z863" s="20"/>
      <c r="AA863" s="20"/>
    </row>
    <row r="864" spans="1:27" x14ac:dyDescent="0.2">
      <c r="A864" s="20"/>
      <c r="B864" s="20"/>
      <c r="C864" s="20"/>
      <c r="D864" s="20"/>
      <c r="E864" s="20"/>
      <c r="F864" s="20"/>
      <c r="G864" s="20"/>
      <c r="H864" s="20"/>
      <c r="J864" s="20"/>
      <c r="L864" s="20"/>
      <c r="M864" s="20"/>
      <c r="N864" s="20"/>
      <c r="O864" s="20"/>
      <c r="P864" s="20"/>
      <c r="R864" s="20"/>
      <c r="S864" s="20"/>
      <c r="T864" s="20"/>
      <c r="U864" s="20"/>
      <c r="V864" s="20"/>
      <c r="W864" s="20"/>
      <c r="X864" s="20"/>
      <c r="Y864" s="20"/>
      <c r="Z864" s="20"/>
      <c r="AA864" s="20"/>
    </row>
    <row r="865" spans="1:27" x14ac:dyDescent="0.2">
      <c r="A865" s="20"/>
      <c r="B865" s="20"/>
      <c r="C865" s="20"/>
      <c r="D865" s="20"/>
      <c r="E865" s="20"/>
      <c r="F865" s="20"/>
      <c r="G865" s="20"/>
      <c r="H865" s="20"/>
      <c r="J865" s="20"/>
      <c r="L865" s="20"/>
      <c r="M865" s="20"/>
      <c r="N865" s="20"/>
      <c r="O865" s="20"/>
      <c r="P865" s="20"/>
      <c r="R865" s="20"/>
      <c r="S865" s="20"/>
      <c r="T865" s="20"/>
      <c r="U865" s="20"/>
      <c r="V865" s="20"/>
      <c r="W865" s="20"/>
      <c r="X865" s="20"/>
      <c r="Y865" s="20"/>
      <c r="Z865" s="20"/>
      <c r="AA865" s="20"/>
    </row>
    <row r="866" spans="1:27" x14ac:dyDescent="0.2">
      <c r="A866" s="20"/>
      <c r="B866" s="20"/>
      <c r="C866" s="20"/>
      <c r="D866" s="20"/>
      <c r="E866" s="20"/>
      <c r="F866" s="20"/>
      <c r="G866" s="20"/>
      <c r="H866" s="20"/>
      <c r="J866" s="20"/>
      <c r="L866" s="20"/>
      <c r="M866" s="20"/>
      <c r="N866" s="20"/>
      <c r="O866" s="20"/>
      <c r="P866" s="20"/>
      <c r="R866" s="20"/>
      <c r="S866" s="20"/>
      <c r="T866" s="20"/>
      <c r="U866" s="20"/>
      <c r="V866" s="20"/>
      <c r="W866" s="20"/>
      <c r="X866" s="20"/>
      <c r="Y866" s="20"/>
      <c r="Z866" s="20"/>
      <c r="AA866" s="20"/>
    </row>
    <row r="867" spans="1:27" x14ac:dyDescent="0.2">
      <c r="A867" s="20"/>
      <c r="B867" s="20"/>
      <c r="C867" s="20"/>
      <c r="D867" s="20"/>
      <c r="E867" s="20"/>
      <c r="F867" s="20"/>
      <c r="G867" s="20"/>
      <c r="H867" s="20"/>
      <c r="J867" s="20"/>
      <c r="L867" s="20"/>
      <c r="M867" s="20"/>
      <c r="N867" s="20"/>
      <c r="O867" s="20"/>
      <c r="P867" s="20"/>
      <c r="R867" s="20"/>
      <c r="S867" s="20"/>
      <c r="T867" s="20"/>
      <c r="U867" s="20"/>
      <c r="V867" s="20"/>
      <c r="W867" s="20"/>
      <c r="X867" s="20"/>
      <c r="Y867" s="20"/>
      <c r="Z867" s="20"/>
      <c r="AA867" s="20"/>
    </row>
    <row r="868" spans="1:27" x14ac:dyDescent="0.2">
      <c r="A868" s="20"/>
      <c r="B868" s="20"/>
      <c r="C868" s="20"/>
      <c r="D868" s="20"/>
      <c r="E868" s="20"/>
      <c r="F868" s="20"/>
      <c r="G868" s="20"/>
      <c r="H868" s="20"/>
      <c r="J868" s="20"/>
      <c r="L868" s="20"/>
      <c r="M868" s="20"/>
      <c r="N868" s="20"/>
      <c r="O868" s="20"/>
      <c r="P868" s="20"/>
      <c r="R868" s="20"/>
      <c r="S868" s="20"/>
      <c r="T868" s="20"/>
      <c r="U868" s="20"/>
      <c r="V868" s="20"/>
      <c r="W868" s="20"/>
      <c r="X868" s="20"/>
      <c r="Y868" s="20"/>
      <c r="Z868" s="20"/>
      <c r="AA868" s="20"/>
    </row>
    <row r="869" spans="1:27" x14ac:dyDescent="0.2">
      <c r="A869" s="20"/>
      <c r="B869" s="20"/>
      <c r="C869" s="20"/>
      <c r="D869" s="20"/>
      <c r="E869" s="20"/>
      <c r="F869" s="20"/>
      <c r="G869" s="20"/>
      <c r="H869" s="20"/>
      <c r="J869" s="20"/>
      <c r="L869" s="20"/>
      <c r="M869" s="20"/>
      <c r="N869" s="20"/>
      <c r="O869" s="20"/>
      <c r="P869" s="20"/>
      <c r="R869" s="20"/>
      <c r="S869" s="20"/>
      <c r="T869" s="20"/>
      <c r="U869" s="20"/>
      <c r="V869" s="20"/>
      <c r="W869" s="20"/>
      <c r="X869" s="20"/>
      <c r="Y869" s="20"/>
      <c r="Z869" s="20"/>
      <c r="AA869" s="20"/>
    </row>
    <row r="870" spans="1:27" x14ac:dyDescent="0.2">
      <c r="A870" s="20"/>
      <c r="B870" s="20"/>
      <c r="C870" s="20"/>
      <c r="D870" s="20"/>
      <c r="E870" s="20"/>
      <c r="F870" s="20"/>
      <c r="G870" s="20"/>
      <c r="H870" s="20"/>
      <c r="J870" s="20"/>
      <c r="L870" s="20"/>
      <c r="M870" s="20"/>
      <c r="N870" s="20"/>
      <c r="O870" s="20"/>
      <c r="P870" s="20"/>
      <c r="R870" s="20"/>
      <c r="S870" s="20"/>
      <c r="T870" s="20"/>
      <c r="U870" s="20"/>
      <c r="V870" s="20"/>
      <c r="W870" s="20"/>
      <c r="X870" s="20"/>
      <c r="Y870" s="20"/>
      <c r="Z870" s="20"/>
      <c r="AA870" s="20"/>
    </row>
    <row r="871" spans="1:27" x14ac:dyDescent="0.2">
      <c r="A871" s="20"/>
      <c r="B871" s="20"/>
      <c r="C871" s="20"/>
      <c r="D871" s="20"/>
      <c r="E871" s="20"/>
      <c r="F871" s="20"/>
      <c r="G871" s="20"/>
      <c r="H871" s="20"/>
      <c r="J871" s="20"/>
      <c r="L871" s="20"/>
      <c r="M871" s="20"/>
      <c r="N871" s="20"/>
      <c r="O871" s="20"/>
      <c r="P871" s="20"/>
      <c r="R871" s="20"/>
      <c r="S871" s="20"/>
      <c r="T871" s="20"/>
      <c r="U871" s="20"/>
      <c r="V871" s="20"/>
      <c r="W871" s="20"/>
      <c r="X871" s="20"/>
      <c r="Y871" s="20"/>
      <c r="Z871" s="20"/>
      <c r="AA871" s="20"/>
    </row>
    <row r="872" spans="1:27" x14ac:dyDescent="0.2">
      <c r="A872" s="20"/>
      <c r="B872" s="20"/>
      <c r="C872" s="20"/>
      <c r="D872" s="20"/>
      <c r="E872" s="20"/>
      <c r="F872" s="20"/>
      <c r="G872" s="20"/>
      <c r="H872" s="20"/>
      <c r="J872" s="20"/>
      <c r="L872" s="20"/>
      <c r="M872" s="20"/>
      <c r="N872" s="20"/>
      <c r="O872" s="20"/>
      <c r="P872" s="20"/>
      <c r="R872" s="20"/>
      <c r="S872" s="20"/>
      <c r="T872" s="20"/>
      <c r="U872" s="20"/>
      <c r="V872" s="20"/>
      <c r="W872" s="20"/>
      <c r="X872" s="20"/>
      <c r="Y872" s="20"/>
      <c r="Z872" s="20"/>
      <c r="AA872" s="20"/>
    </row>
    <row r="873" spans="1:27" x14ac:dyDescent="0.2">
      <c r="A873" s="20"/>
      <c r="B873" s="20"/>
      <c r="C873" s="20"/>
      <c r="D873" s="20"/>
      <c r="E873" s="20"/>
      <c r="F873" s="20"/>
      <c r="G873" s="20"/>
      <c r="H873" s="20"/>
      <c r="J873" s="20"/>
      <c r="L873" s="20"/>
      <c r="M873" s="20"/>
      <c r="N873" s="20"/>
      <c r="O873" s="20"/>
      <c r="P873" s="20"/>
      <c r="R873" s="20"/>
      <c r="S873" s="20"/>
      <c r="T873" s="20"/>
      <c r="U873" s="20"/>
      <c r="V873" s="20"/>
      <c r="W873" s="20"/>
      <c r="X873" s="20"/>
      <c r="Y873" s="20"/>
      <c r="Z873" s="20"/>
      <c r="AA873" s="20"/>
    </row>
    <row r="874" spans="1:27" x14ac:dyDescent="0.2">
      <c r="A874" s="20"/>
      <c r="B874" s="20"/>
      <c r="C874" s="20"/>
      <c r="D874" s="20"/>
      <c r="E874" s="20"/>
      <c r="F874" s="20"/>
      <c r="G874" s="20"/>
      <c r="H874" s="20"/>
      <c r="J874" s="20"/>
      <c r="L874" s="20"/>
      <c r="M874" s="20"/>
      <c r="N874" s="20"/>
      <c r="O874" s="20"/>
      <c r="P874" s="20"/>
      <c r="R874" s="20"/>
      <c r="S874" s="20"/>
      <c r="T874" s="20"/>
      <c r="U874" s="20"/>
      <c r="V874" s="20"/>
      <c r="W874" s="20"/>
      <c r="X874" s="20"/>
      <c r="Y874" s="20"/>
      <c r="Z874" s="20"/>
      <c r="AA874" s="20"/>
    </row>
    <row r="875" spans="1:27" x14ac:dyDescent="0.2">
      <c r="A875" s="20"/>
      <c r="B875" s="20"/>
      <c r="C875" s="20"/>
      <c r="D875" s="20"/>
      <c r="E875" s="20"/>
      <c r="F875" s="20"/>
      <c r="G875" s="20"/>
      <c r="H875" s="20"/>
      <c r="J875" s="20"/>
      <c r="L875" s="20"/>
      <c r="M875" s="20"/>
      <c r="N875" s="20"/>
      <c r="O875" s="20"/>
      <c r="P875" s="20"/>
      <c r="R875" s="20"/>
      <c r="S875" s="20"/>
      <c r="T875" s="20"/>
      <c r="U875" s="20"/>
      <c r="V875" s="20"/>
      <c r="W875" s="20"/>
      <c r="X875" s="20"/>
      <c r="Y875" s="20"/>
      <c r="Z875" s="20"/>
      <c r="AA875" s="20"/>
    </row>
    <row r="876" spans="1:27" x14ac:dyDescent="0.2">
      <c r="A876" s="20"/>
      <c r="B876" s="20"/>
      <c r="C876" s="20"/>
      <c r="D876" s="20"/>
      <c r="E876" s="20"/>
      <c r="F876" s="20"/>
      <c r="G876" s="20"/>
      <c r="H876" s="20"/>
      <c r="J876" s="20"/>
      <c r="L876" s="20"/>
      <c r="M876" s="20"/>
      <c r="N876" s="20"/>
      <c r="O876" s="20"/>
      <c r="P876" s="20"/>
      <c r="R876" s="20"/>
      <c r="S876" s="20"/>
      <c r="T876" s="20"/>
      <c r="U876" s="20"/>
      <c r="V876" s="20"/>
      <c r="W876" s="20"/>
      <c r="X876" s="20"/>
      <c r="Y876" s="20"/>
      <c r="Z876" s="20"/>
      <c r="AA876" s="20"/>
    </row>
    <row r="877" spans="1:27" x14ac:dyDescent="0.2">
      <c r="A877" s="20"/>
      <c r="B877" s="20"/>
      <c r="C877" s="20"/>
      <c r="D877" s="20"/>
      <c r="E877" s="20"/>
      <c r="F877" s="20"/>
      <c r="G877" s="20"/>
      <c r="H877" s="20"/>
      <c r="J877" s="20"/>
      <c r="L877" s="20"/>
      <c r="M877" s="20"/>
      <c r="N877" s="20"/>
      <c r="O877" s="20"/>
      <c r="P877" s="20"/>
      <c r="R877" s="20"/>
      <c r="S877" s="20"/>
      <c r="T877" s="20"/>
      <c r="U877" s="20"/>
      <c r="V877" s="20"/>
      <c r="W877" s="20"/>
      <c r="X877" s="20"/>
      <c r="Y877" s="20"/>
      <c r="Z877" s="20"/>
      <c r="AA877" s="20"/>
    </row>
    <row r="878" spans="1:27" x14ac:dyDescent="0.2">
      <c r="A878" s="20"/>
      <c r="B878" s="20"/>
      <c r="C878" s="20"/>
      <c r="D878" s="20"/>
      <c r="E878" s="20"/>
      <c r="F878" s="20"/>
      <c r="G878" s="20"/>
      <c r="H878" s="20"/>
      <c r="J878" s="20"/>
      <c r="L878" s="20"/>
      <c r="M878" s="20"/>
      <c r="N878" s="20"/>
      <c r="O878" s="20"/>
      <c r="P878" s="20"/>
      <c r="R878" s="20"/>
      <c r="S878" s="20"/>
      <c r="T878" s="20"/>
      <c r="U878" s="20"/>
      <c r="V878" s="20"/>
      <c r="W878" s="20"/>
      <c r="X878" s="20"/>
      <c r="Y878" s="20"/>
      <c r="Z878" s="20"/>
      <c r="AA878" s="20"/>
    </row>
    <row r="879" spans="1:27" x14ac:dyDescent="0.2">
      <c r="A879" s="20"/>
      <c r="B879" s="20"/>
      <c r="C879" s="20"/>
      <c r="D879" s="20"/>
      <c r="E879" s="20"/>
      <c r="F879" s="20"/>
      <c r="G879" s="20"/>
      <c r="H879" s="20"/>
      <c r="J879" s="20"/>
      <c r="L879" s="20"/>
      <c r="M879" s="20"/>
      <c r="N879" s="20"/>
      <c r="O879" s="20"/>
      <c r="P879" s="20"/>
      <c r="R879" s="20"/>
      <c r="S879" s="20"/>
      <c r="T879" s="20"/>
      <c r="U879" s="20"/>
      <c r="V879" s="20"/>
      <c r="W879" s="20"/>
      <c r="X879" s="20"/>
      <c r="Y879" s="20"/>
      <c r="Z879" s="20"/>
      <c r="AA879" s="20"/>
    </row>
    <row r="880" spans="1:27" x14ac:dyDescent="0.2">
      <c r="A880" s="20"/>
      <c r="B880" s="20"/>
      <c r="C880" s="20"/>
      <c r="D880" s="20"/>
      <c r="E880" s="20"/>
      <c r="F880" s="20"/>
      <c r="G880" s="20"/>
      <c r="H880" s="20"/>
      <c r="J880" s="20"/>
      <c r="L880" s="20"/>
      <c r="M880" s="20"/>
      <c r="N880" s="20"/>
      <c r="O880" s="20"/>
      <c r="P880" s="20"/>
      <c r="R880" s="20"/>
      <c r="S880" s="20"/>
      <c r="T880" s="20"/>
      <c r="U880" s="20"/>
      <c r="V880" s="20"/>
      <c r="W880" s="20"/>
      <c r="X880" s="20"/>
      <c r="Y880" s="20"/>
      <c r="Z880" s="20"/>
      <c r="AA880" s="20"/>
    </row>
    <row r="881" spans="1:27" x14ac:dyDescent="0.2">
      <c r="A881" s="20"/>
      <c r="B881" s="20"/>
      <c r="C881" s="20"/>
      <c r="D881" s="20"/>
      <c r="E881" s="20"/>
      <c r="F881" s="20"/>
      <c r="G881" s="20"/>
      <c r="H881" s="20"/>
      <c r="J881" s="20"/>
      <c r="L881" s="20"/>
      <c r="M881" s="20"/>
      <c r="N881" s="20"/>
      <c r="O881" s="20"/>
      <c r="P881" s="20"/>
      <c r="R881" s="20"/>
      <c r="S881" s="20"/>
      <c r="T881" s="20"/>
      <c r="U881" s="20"/>
      <c r="V881" s="20"/>
      <c r="W881" s="20"/>
      <c r="X881" s="20"/>
      <c r="Y881" s="20"/>
      <c r="Z881" s="20"/>
      <c r="AA881" s="20"/>
    </row>
    <row r="882" spans="1:27" x14ac:dyDescent="0.2">
      <c r="A882" s="20"/>
      <c r="B882" s="20"/>
      <c r="C882" s="20"/>
      <c r="D882" s="20"/>
      <c r="E882" s="20"/>
      <c r="F882" s="20"/>
      <c r="G882" s="20"/>
      <c r="H882" s="20"/>
      <c r="J882" s="20"/>
      <c r="L882" s="20"/>
      <c r="M882" s="20"/>
      <c r="N882" s="20"/>
      <c r="O882" s="20"/>
      <c r="P882" s="20"/>
      <c r="R882" s="20"/>
      <c r="S882" s="20"/>
      <c r="T882" s="20"/>
      <c r="U882" s="20"/>
      <c r="V882" s="20"/>
      <c r="W882" s="20"/>
      <c r="X882" s="20"/>
      <c r="Y882" s="20"/>
      <c r="Z882" s="20"/>
      <c r="AA882" s="20"/>
    </row>
    <row r="883" spans="1:27" x14ac:dyDescent="0.2">
      <c r="A883" s="20"/>
      <c r="B883" s="20"/>
      <c r="C883" s="20"/>
      <c r="D883" s="20"/>
      <c r="E883" s="20"/>
      <c r="F883" s="20"/>
      <c r="G883" s="20"/>
      <c r="H883" s="20"/>
      <c r="J883" s="20"/>
      <c r="L883" s="20"/>
      <c r="M883" s="20"/>
      <c r="N883" s="20"/>
      <c r="O883" s="20"/>
      <c r="P883" s="20"/>
      <c r="R883" s="20"/>
      <c r="S883" s="20"/>
      <c r="T883" s="20"/>
      <c r="U883" s="20"/>
      <c r="V883" s="20"/>
      <c r="W883" s="20"/>
      <c r="X883" s="20"/>
      <c r="Y883" s="20"/>
      <c r="Z883" s="20"/>
      <c r="AA883" s="20"/>
    </row>
    <row r="884" spans="1:27" x14ac:dyDescent="0.2">
      <c r="A884" s="20"/>
      <c r="B884" s="20"/>
      <c r="C884" s="20"/>
      <c r="D884" s="20"/>
      <c r="E884" s="20"/>
      <c r="F884" s="20"/>
      <c r="G884" s="20"/>
      <c r="H884" s="20"/>
      <c r="J884" s="20"/>
      <c r="L884" s="20"/>
      <c r="M884" s="20"/>
      <c r="N884" s="20"/>
      <c r="O884" s="20"/>
      <c r="P884" s="20"/>
      <c r="R884" s="20"/>
      <c r="S884" s="20"/>
      <c r="T884" s="20"/>
      <c r="U884" s="20"/>
      <c r="V884" s="20"/>
      <c r="W884" s="20"/>
      <c r="X884" s="20"/>
      <c r="Y884" s="20"/>
      <c r="Z884" s="20"/>
      <c r="AA884" s="20"/>
    </row>
    <row r="885" spans="1:27" x14ac:dyDescent="0.2">
      <c r="A885" s="20"/>
      <c r="B885" s="20"/>
      <c r="C885" s="20"/>
      <c r="D885" s="20"/>
      <c r="E885" s="20"/>
      <c r="F885" s="20"/>
      <c r="G885" s="20"/>
      <c r="H885" s="20"/>
      <c r="J885" s="20"/>
      <c r="L885" s="20"/>
      <c r="M885" s="20"/>
      <c r="N885" s="20"/>
      <c r="O885" s="20"/>
      <c r="P885" s="20"/>
      <c r="R885" s="20"/>
      <c r="S885" s="20"/>
      <c r="T885" s="20"/>
      <c r="U885" s="20"/>
      <c r="V885" s="20"/>
      <c r="W885" s="20"/>
      <c r="X885" s="20"/>
      <c r="Y885" s="20"/>
      <c r="Z885" s="20"/>
      <c r="AA885" s="20"/>
    </row>
    <row r="886" spans="1:27" x14ac:dyDescent="0.2">
      <c r="A886" s="20"/>
      <c r="B886" s="20"/>
      <c r="C886" s="20"/>
      <c r="D886" s="20"/>
      <c r="E886" s="20"/>
      <c r="F886" s="20"/>
      <c r="G886" s="20"/>
      <c r="H886" s="20"/>
      <c r="J886" s="20"/>
      <c r="L886" s="20"/>
      <c r="M886" s="20"/>
      <c r="N886" s="20"/>
      <c r="O886" s="20"/>
      <c r="P886" s="20"/>
      <c r="R886" s="20"/>
      <c r="S886" s="20"/>
      <c r="T886" s="20"/>
      <c r="U886" s="20"/>
      <c r="V886" s="20"/>
      <c r="W886" s="20"/>
      <c r="X886" s="20"/>
      <c r="Y886" s="20"/>
      <c r="Z886" s="20"/>
      <c r="AA886" s="20"/>
    </row>
    <row r="887" spans="1:27" x14ac:dyDescent="0.2">
      <c r="A887" s="20"/>
      <c r="B887" s="20"/>
      <c r="C887" s="20"/>
      <c r="D887" s="20"/>
      <c r="E887" s="20"/>
      <c r="F887" s="20"/>
      <c r="G887" s="20"/>
      <c r="H887" s="20"/>
      <c r="J887" s="20"/>
      <c r="L887" s="20"/>
      <c r="M887" s="20"/>
      <c r="N887" s="20"/>
      <c r="O887" s="20"/>
      <c r="P887" s="20"/>
      <c r="R887" s="20"/>
      <c r="S887" s="20"/>
      <c r="T887" s="20"/>
      <c r="U887" s="20"/>
      <c r="V887" s="20"/>
      <c r="W887" s="20"/>
      <c r="X887" s="20"/>
      <c r="Y887" s="20"/>
      <c r="Z887" s="20"/>
      <c r="AA887" s="20"/>
    </row>
    <row r="888" spans="1:27" x14ac:dyDescent="0.2">
      <c r="A888" s="20"/>
      <c r="B888" s="20"/>
      <c r="C888" s="20"/>
      <c r="D888" s="20"/>
      <c r="E888" s="20"/>
      <c r="F888" s="20"/>
      <c r="G888" s="20"/>
      <c r="H888" s="20"/>
      <c r="J888" s="20"/>
      <c r="L888" s="20"/>
      <c r="M888" s="20"/>
      <c r="N888" s="20"/>
      <c r="O888" s="20"/>
      <c r="P888" s="20"/>
      <c r="R888" s="20"/>
      <c r="S888" s="20"/>
      <c r="T888" s="20"/>
      <c r="U888" s="20"/>
      <c r="V888" s="20"/>
      <c r="W888" s="20"/>
      <c r="X888" s="20"/>
      <c r="Y888" s="20"/>
      <c r="Z888" s="20"/>
      <c r="AA888" s="20"/>
    </row>
    <row r="889" spans="1:27" x14ac:dyDescent="0.2">
      <c r="A889" s="20"/>
      <c r="B889" s="20"/>
      <c r="C889" s="20"/>
      <c r="D889" s="20"/>
      <c r="E889" s="20"/>
      <c r="F889" s="20"/>
      <c r="G889" s="20"/>
      <c r="H889" s="20"/>
      <c r="J889" s="20"/>
      <c r="L889" s="20"/>
      <c r="M889" s="20"/>
      <c r="N889" s="20"/>
      <c r="O889" s="20"/>
      <c r="P889" s="20"/>
      <c r="R889" s="20"/>
      <c r="S889" s="20"/>
      <c r="T889" s="20"/>
      <c r="U889" s="20"/>
      <c r="V889" s="20"/>
      <c r="W889" s="20"/>
      <c r="X889" s="20"/>
      <c r="Y889" s="20"/>
      <c r="Z889" s="20"/>
      <c r="AA889" s="20"/>
    </row>
    <row r="890" spans="1:27" x14ac:dyDescent="0.2">
      <c r="A890" s="20"/>
      <c r="B890" s="20"/>
      <c r="C890" s="20"/>
      <c r="D890" s="20"/>
      <c r="E890" s="20"/>
      <c r="F890" s="20"/>
      <c r="G890" s="20"/>
      <c r="H890" s="20"/>
      <c r="J890" s="20"/>
      <c r="L890" s="20"/>
      <c r="M890" s="20"/>
      <c r="N890" s="20"/>
      <c r="O890" s="20"/>
      <c r="P890" s="20"/>
      <c r="R890" s="20"/>
      <c r="S890" s="20"/>
      <c r="T890" s="20"/>
      <c r="U890" s="20"/>
      <c r="V890" s="20"/>
      <c r="W890" s="20"/>
      <c r="X890" s="20"/>
      <c r="Y890" s="20"/>
      <c r="Z890" s="20"/>
      <c r="AA890" s="20"/>
    </row>
    <row r="891" spans="1:27" x14ac:dyDescent="0.2">
      <c r="A891" s="20"/>
      <c r="B891" s="20"/>
      <c r="C891" s="20"/>
      <c r="D891" s="20"/>
      <c r="E891" s="20"/>
      <c r="F891" s="20"/>
      <c r="G891" s="20"/>
      <c r="H891" s="20"/>
      <c r="J891" s="20"/>
      <c r="L891" s="20"/>
      <c r="M891" s="20"/>
      <c r="N891" s="20"/>
      <c r="O891" s="20"/>
      <c r="P891" s="20"/>
      <c r="R891" s="20"/>
      <c r="S891" s="20"/>
      <c r="T891" s="20"/>
      <c r="U891" s="20"/>
      <c r="V891" s="20"/>
      <c r="W891" s="20"/>
      <c r="X891" s="20"/>
      <c r="Y891" s="20"/>
      <c r="Z891" s="20"/>
      <c r="AA891" s="20"/>
    </row>
    <row r="892" spans="1:27" x14ac:dyDescent="0.2">
      <c r="A892" s="20"/>
      <c r="B892" s="20"/>
      <c r="C892" s="20"/>
      <c r="D892" s="20"/>
      <c r="E892" s="20"/>
      <c r="F892" s="20"/>
      <c r="G892" s="20"/>
      <c r="H892" s="20"/>
      <c r="J892" s="20"/>
      <c r="L892" s="20"/>
      <c r="M892" s="20"/>
      <c r="N892" s="20"/>
      <c r="O892" s="20"/>
      <c r="P892" s="20"/>
      <c r="R892" s="20"/>
      <c r="S892" s="20"/>
      <c r="T892" s="20"/>
      <c r="U892" s="20"/>
      <c r="V892" s="20"/>
      <c r="W892" s="20"/>
      <c r="X892" s="20"/>
      <c r="Y892" s="20"/>
      <c r="Z892" s="20"/>
      <c r="AA892" s="20"/>
    </row>
    <row r="893" spans="1:27" x14ac:dyDescent="0.2">
      <c r="A893" s="20"/>
      <c r="B893" s="20"/>
      <c r="C893" s="20"/>
      <c r="D893" s="20"/>
      <c r="E893" s="20"/>
      <c r="F893" s="20"/>
      <c r="G893" s="20"/>
      <c r="H893" s="20"/>
      <c r="J893" s="20"/>
      <c r="L893" s="20"/>
      <c r="M893" s="20"/>
      <c r="N893" s="20"/>
      <c r="O893" s="20"/>
      <c r="P893" s="20"/>
      <c r="R893" s="20"/>
      <c r="S893" s="20"/>
      <c r="T893" s="20"/>
      <c r="U893" s="20"/>
      <c r="V893" s="20"/>
      <c r="W893" s="20"/>
      <c r="X893" s="20"/>
      <c r="Y893" s="20"/>
      <c r="Z893" s="20"/>
      <c r="AA893" s="20"/>
    </row>
    <row r="894" spans="1:27" x14ac:dyDescent="0.2">
      <c r="A894" s="20"/>
      <c r="B894" s="20"/>
      <c r="C894" s="20"/>
      <c r="D894" s="20"/>
      <c r="E894" s="20"/>
      <c r="F894" s="20"/>
      <c r="G894" s="20"/>
      <c r="H894" s="20"/>
      <c r="J894" s="20"/>
      <c r="L894" s="20"/>
      <c r="M894" s="20"/>
      <c r="N894" s="20"/>
      <c r="O894" s="20"/>
      <c r="P894" s="20"/>
      <c r="R894" s="20"/>
      <c r="S894" s="20"/>
      <c r="T894" s="20"/>
      <c r="U894" s="20"/>
      <c r="V894" s="20"/>
      <c r="W894" s="20"/>
      <c r="X894" s="20"/>
      <c r="Y894" s="20"/>
      <c r="Z894" s="20"/>
      <c r="AA894" s="20"/>
    </row>
    <row r="895" spans="1:27" x14ac:dyDescent="0.2">
      <c r="A895" s="20"/>
      <c r="B895" s="20"/>
      <c r="C895" s="20"/>
      <c r="D895" s="20"/>
      <c r="E895" s="20"/>
      <c r="F895" s="20"/>
      <c r="G895" s="20"/>
      <c r="H895" s="20"/>
      <c r="J895" s="20"/>
      <c r="L895" s="20"/>
      <c r="M895" s="20"/>
      <c r="N895" s="20"/>
      <c r="O895" s="20"/>
      <c r="P895" s="20"/>
      <c r="R895" s="20"/>
      <c r="S895" s="20"/>
      <c r="T895" s="20"/>
      <c r="U895" s="20"/>
      <c r="V895" s="20"/>
      <c r="W895" s="20"/>
      <c r="X895" s="20"/>
      <c r="Y895" s="20"/>
      <c r="Z895" s="20"/>
      <c r="AA895" s="20"/>
    </row>
    <row r="896" spans="1:27" x14ac:dyDescent="0.2">
      <c r="A896" s="20"/>
      <c r="B896" s="20"/>
      <c r="C896" s="20"/>
      <c r="D896" s="20"/>
      <c r="E896" s="20"/>
      <c r="F896" s="20"/>
      <c r="G896" s="20"/>
      <c r="H896" s="20"/>
      <c r="J896" s="20"/>
      <c r="L896" s="20"/>
      <c r="M896" s="20"/>
      <c r="N896" s="20"/>
      <c r="O896" s="20"/>
      <c r="P896" s="20"/>
      <c r="R896" s="20"/>
      <c r="S896" s="20"/>
      <c r="T896" s="20"/>
      <c r="U896" s="20"/>
      <c r="V896" s="20"/>
      <c r="W896" s="20"/>
      <c r="X896" s="20"/>
      <c r="Y896" s="20"/>
      <c r="Z896" s="20"/>
      <c r="AA896" s="20"/>
    </row>
    <row r="897" spans="1:27" x14ac:dyDescent="0.2">
      <c r="A897" s="20"/>
      <c r="B897" s="20"/>
      <c r="C897" s="20"/>
      <c r="D897" s="20"/>
      <c r="E897" s="20"/>
      <c r="F897" s="20"/>
      <c r="G897" s="20"/>
      <c r="H897" s="20"/>
      <c r="J897" s="20"/>
      <c r="L897" s="20"/>
      <c r="M897" s="20"/>
      <c r="N897" s="20"/>
      <c r="O897" s="20"/>
      <c r="P897" s="20"/>
      <c r="R897" s="20"/>
      <c r="S897" s="20"/>
      <c r="T897" s="20"/>
      <c r="U897" s="20"/>
      <c r="V897" s="20"/>
      <c r="W897" s="20"/>
      <c r="X897" s="20"/>
      <c r="Y897" s="20"/>
      <c r="Z897" s="20"/>
      <c r="AA897" s="20"/>
    </row>
    <row r="898" spans="1:27" x14ac:dyDescent="0.2">
      <c r="A898" s="20"/>
      <c r="B898" s="20"/>
      <c r="C898" s="20"/>
      <c r="D898" s="20"/>
      <c r="E898" s="20"/>
      <c r="F898" s="20"/>
      <c r="G898" s="20"/>
      <c r="H898" s="20"/>
      <c r="J898" s="20"/>
      <c r="L898" s="20"/>
      <c r="M898" s="20"/>
      <c r="N898" s="20"/>
      <c r="O898" s="20"/>
      <c r="P898" s="20"/>
      <c r="R898" s="20"/>
      <c r="S898" s="20"/>
      <c r="T898" s="20"/>
      <c r="U898" s="20"/>
      <c r="V898" s="20"/>
      <c r="W898" s="20"/>
      <c r="X898" s="20"/>
      <c r="Y898" s="20"/>
      <c r="Z898" s="20"/>
      <c r="AA898" s="20"/>
    </row>
    <row r="899" spans="1:27" x14ac:dyDescent="0.2">
      <c r="A899" s="20"/>
      <c r="B899" s="20"/>
      <c r="C899" s="20"/>
      <c r="D899" s="20"/>
      <c r="E899" s="20"/>
      <c r="F899" s="20"/>
      <c r="G899" s="20"/>
      <c r="H899" s="20"/>
      <c r="J899" s="20"/>
      <c r="L899" s="20"/>
      <c r="M899" s="20"/>
      <c r="N899" s="20"/>
      <c r="O899" s="20"/>
      <c r="P899" s="20"/>
      <c r="R899" s="20"/>
      <c r="S899" s="20"/>
      <c r="T899" s="20"/>
      <c r="U899" s="20"/>
      <c r="V899" s="20"/>
      <c r="W899" s="20"/>
      <c r="X899" s="20"/>
      <c r="Y899" s="20"/>
      <c r="Z899" s="20"/>
      <c r="AA899" s="20"/>
    </row>
    <row r="900" spans="1:27" x14ac:dyDescent="0.2">
      <c r="A900" s="20"/>
      <c r="B900" s="20"/>
      <c r="C900" s="20"/>
      <c r="D900" s="20"/>
      <c r="E900" s="20"/>
      <c r="F900" s="20"/>
      <c r="G900" s="20"/>
      <c r="H900" s="20"/>
      <c r="J900" s="20"/>
      <c r="L900" s="20"/>
      <c r="M900" s="20"/>
      <c r="N900" s="20"/>
      <c r="O900" s="20"/>
      <c r="P900" s="20"/>
      <c r="R900" s="20"/>
      <c r="S900" s="20"/>
      <c r="T900" s="20"/>
      <c r="U900" s="20"/>
      <c r="V900" s="20"/>
      <c r="W900" s="20"/>
      <c r="X900" s="20"/>
      <c r="Y900" s="20"/>
      <c r="Z900" s="20"/>
      <c r="AA900" s="20"/>
    </row>
    <row r="901" spans="1:27" x14ac:dyDescent="0.2">
      <c r="A901" s="20"/>
      <c r="B901" s="20"/>
      <c r="C901" s="20"/>
      <c r="D901" s="20"/>
      <c r="E901" s="20"/>
      <c r="F901" s="20"/>
      <c r="G901" s="20"/>
      <c r="H901" s="20"/>
      <c r="J901" s="20"/>
      <c r="L901" s="20"/>
      <c r="M901" s="20"/>
      <c r="N901" s="20"/>
      <c r="O901" s="20"/>
      <c r="P901" s="20"/>
      <c r="R901" s="20"/>
      <c r="S901" s="20"/>
      <c r="T901" s="20"/>
      <c r="U901" s="20"/>
      <c r="V901" s="20"/>
      <c r="W901" s="20"/>
      <c r="X901" s="20"/>
      <c r="Y901" s="20"/>
      <c r="Z901" s="20"/>
      <c r="AA901" s="20"/>
    </row>
    <row r="902" spans="1:27" x14ac:dyDescent="0.2">
      <c r="A902" s="20"/>
      <c r="B902" s="20"/>
      <c r="C902" s="20"/>
      <c r="D902" s="20"/>
      <c r="E902" s="20"/>
      <c r="F902" s="20"/>
      <c r="G902" s="20"/>
      <c r="H902" s="20"/>
      <c r="J902" s="20"/>
      <c r="L902" s="20"/>
      <c r="M902" s="20"/>
      <c r="N902" s="20"/>
      <c r="O902" s="20"/>
      <c r="P902" s="20"/>
      <c r="R902" s="20"/>
      <c r="S902" s="20"/>
      <c r="T902" s="20"/>
      <c r="U902" s="20"/>
      <c r="V902" s="20"/>
      <c r="W902" s="20"/>
      <c r="X902" s="20"/>
      <c r="Y902" s="20"/>
      <c r="Z902" s="20"/>
      <c r="AA902" s="20"/>
    </row>
    <row r="903" spans="1:27" x14ac:dyDescent="0.2">
      <c r="A903" s="20"/>
      <c r="B903" s="20"/>
      <c r="C903" s="20"/>
      <c r="D903" s="20"/>
      <c r="E903" s="20"/>
      <c r="F903" s="20"/>
      <c r="G903" s="20"/>
      <c r="H903" s="20"/>
      <c r="J903" s="20"/>
      <c r="L903" s="20"/>
      <c r="M903" s="20"/>
      <c r="N903" s="20"/>
      <c r="O903" s="20"/>
      <c r="P903" s="20"/>
      <c r="R903" s="20"/>
      <c r="S903" s="20"/>
      <c r="T903" s="20"/>
      <c r="U903" s="20"/>
      <c r="V903" s="20"/>
      <c r="W903" s="20"/>
      <c r="X903" s="20"/>
      <c r="Y903" s="20"/>
      <c r="Z903" s="20"/>
      <c r="AA903" s="20"/>
    </row>
    <row r="904" spans="1:27" x14ac:dyDescent="0.2">
      <c r="A904" s="20"/>
      <c r="B904" s="20"/>
      <c r="C904" s="20"/>
      <c r="D904" s="20"/>
      <c r="E904" s="20"/>
      <c r="F904" s="20"/>
      <c r="G904" s="20"/>
      <c r="H904" s="20"/>
      <c r="J904" s="20"/>
      <c r="L904" s="20"/>
      <c r="M904" s="20"/>
      <c r="N904" s="20"/>
      <c r="O904" s="20"/>
      <c r="P904" s="20"/>
      <c r="R904" s="20"/>
      <c r="S904" s="20"/>
      <c r="T904" s="20"/>
      <c r="U904" s="20"/>
      <c r="V904" s="20"/>
      <c r="W904" s="20"/>
      <c r="X904" s="20"/>
      <c r="Y904" s="20"/>
      <c r="Z904" s="20"/>
      <c r="AA904" s="20"/>
    </row>
    <row r="905" spans="1:27" x14ac:dyDescent="0.2">
      <c r="A905" s="20"/>
      <c r="B905" s="20"/>
      <c r="C905" s="20"/>
      <c r="D905" s="20"/>
      <c r="E905" s="20"/>
      <c r="F905" s="20"/>
      <c r="G905" s="20"/>
      <c r="H905" s="20"/>
      <c r="J905" s="20"/>
      <c r="L905" s="20"/>
      <c r="M905" s="20"/>
      <c r="N905" s="20"/>
      <c r="O905" s="20"/>
      <c r="P905" s="20"/>
      <c r="R905" s="20"/>
      <c r="S905" s="20"/>
      <c r="T905" s="20"/>
      <c r="U905" s="20"/>
      <c r="V905" s="20"/>
      <c r="W905" s="20"/>
      <c r="X905" s="20"/>
      <c r="Y905" s="20"/>
      <c r="Z905" s="20"/>
      <c r="AA905" s="20"/>
    </row>
    <row r="906" spans="1:27" x14ac:dyDescent="0.2">
      <c r="A906" s="20"/>
      <c r="B906" s="20"/>
      <c r="C906" s="20"/>
      <c r="D906" s="20"/>
      <c r="E906" s="20"/>
      <c r="F906" s="20"/>
      <c r="G906" s="20"/>
      <c r="H906" s="20"/>
      <c r="J906" s="20"/>
      <c r="L906" s="20"/>
      <c r="M906" s="20"/>
      <c r="N906" s="20"/>
      <c r="O906" s="20"/>
      <c r="P906" s="20"/>
      <c r="R906" s="20"/>
      <c r="S906" s="20"/>
      <c r="T906" s="20"/>
      <c r="U906" s="20"/>
      <c r="V906" s="20"/>
      <c r="W906" s="20"/>
      <c r="X906" s="20"/>
      <c r="Y906" s="20"/>
      <c r="Z906" s="20"/>
      <c r="AA906" s="20"/>
    </row>
    <row r="907" spans="1:27" x14ac:dyDescent="0.2">
      <c r="A907" s="20"/>
      <c r="B907" s="20"/>
      <c r="C907" s="20"/>
      <c r="D907" s="20"/>
      <c r="E907" s="20"/>
      <c r="F907" s="20"/>
      <c r="G907" s="20"/>
      <c r="H907" s="20"/>
      <c r="J907" s="20"/>
      <c r="L907" s="20"/>
      <c r="M907" s="20"/>
      <c r="N907" s="20"/>
      <c r="O907" s="20"/>
      <c r="P907" s="20"/>
      <c r="R907" s="20"/>
      <c r="S907" s="20"/>
      <c r="T907" s="20"/>
      <c r="U907" s="20"/>
      <c r="V907" s="20"/>
      <c r="W907" s="20"/>
      <c r="X907" s="20"/>
      <c r="Y907" s="20"/>
      <c r="Z907" s="20"/>
      <c r="AA907" s="20"/>
    </row>
    <row r="908" spans="1:27" x14ac:dyDescent="0.2">
      <c r="A908" s="20"/>
      <c r="B908" s="20"/>
      <c r="C908" s="20"/>
      <c r="D908" s="20"/>
      <c r="E908" s="20"/>
      <c r="F908" s="20"/>
      <c r="G908" s="20"/>
      <c r="H908" s="20"/>
      <c r="J908" s="20"/>
      <c r="L908" s="20"/>
      <c r="M908" s="20"/>
      <c r="N908" s="20"/>
      <c r="O908" s="20"/>
      <c r="P908" s="20"/>
      <c r="R908" s="20"/>
      <c r="S908" s="20"/>
      <c r="T908" s="20"/>
      <c r="U908" s="20"/>
      <c r="V908" s="20"/>
      <c r="W908" s="20"/>
      <c r="X908" s="20"/>
      <c r="Y908" s="20"/>
      <c r="Z908" s="20"/>
      <c r="AA908" s="20"/>
    </row>
    <row r="909" spans="1:27" x14ac:dyDescent="0.2">
      <c r="A909" s="20"/>
      <c r="B909" s="20"/>
      <c r="C909" s="20"/>
      <c r="D909" s="20"/>
      <c r="E909" s="20"/>
      <c r="F909" s="20"/>
      <c r="G909" s="20"/>
      <c r="H909" s="20"/>
      <c r="J909" s="20"/>
      <c r="L909" s="20"/>
      <c r="M909" s="20"/>
      <c r="N909" s="20"/>
      <c r="O909" s="20"/>
      <c r="P909" s="20"/>
      <c r="R909" s="20"/>
      <c r="S909" s="20"/>
      <c r="T909" s="20"/>
      <c r="U909" s="20"/>
      <c r="V909" s="20"/>
      <c r="W909" s="20"/>
      <c r="X909" s="20"/>
      <c r="Y909" s="20"/>
      <c r="Z909" s="20"/>
      <c r="AA909" s="20"/>
    </row>
    <row r="910" spans="1:27" x14ac:dyDescent="0.2">
      <c r="A910" s="20"/>
      <c r="B910" s="20"/>
      <c r="C910" s="20"/>
      <c r="D910" s="20"/>
      <c r="E910" s="20"/>
      <c r="F910" s="20"/>
      <c r="G910" s="20"/>
      <c r="H910" s="20"/>
      <c r="J910" s="20"/>
      <c r="L910" s="20"/>
      <c r="M910" s="20"/>
      <c r="N910" s="20"/>
      <c r="O910" s="20"/>
      <c r="P910" s="20"/>
      <c r="R910" s="20"/>
      <c r="S910" s="20"/>
      <c r="T910" s="20"/>
      <c r="U910" s="20"/>
      <c r="V910" s="20"/>
      <c r="W910" s="20"/>
      <c r="X910" s="20"/>
      <c r="Y910" s="20"/>
      <c r="Z910" s="20"/>
      <c r="AA910" s="20"/>
    </row>
    <row r="911" spans="1:27" x14ac:dyDescent="0.2">
      <c r="A911" s="20"/>
      <c r="B911" s="20"/>
      <c r="C911" s="20"/>
      <c r="D911" s="20"/>
      <c r="E911" s="20"/>
      <c r="F911" s="20"/>
      <c r="G911" s="20"/>
      <c r="H911" s="20"/>
      <c r="J911" s="20"/>
      <c r="L911" s="20"/>
      <c r="M911" s="20"/>
      <c r="N911" s="20"/>
      <c r="O911" s="20"/>
      <c r="P911" s="20"/>
      <c r="R911" s="20"/>
      <c r="S911" s="20"/>
      <c r="T911" s="20"/>
      <c r="U911" s="20"/>
      <c r="V911" s="20"/>
      <c r="W911" s="20"/>
      <c r="X911" s="20"/>
      <c r="Y911" s="20"/>
      <c r="Z911" s="20"/>
      <c r="AA911" s="20"/>
    </row>
    <row r="912" spans="1:27" x14ac:dyDescent="0.2">
      <c r="A912" s="20"/>
      <c r="B912" s="20"/>
      <c r="C912" s="20"/>
      <c r="D912" s="20"/>
      <c r="E912" s="20"/>
      <c r="F912" s="20"/>
      <c r="G912" s="20"/>
      <c r="H912" s="20"/>
      <c r="J912" s="20"/>
      <c r="L912" s="20"/>
      <c r="M912" s="20"/>
      <c r="N912" s="20"/>
      <c r="O912" s="20"/>
      <c r="P912" s="20"/>
      <c r="R912" s="20"/>
      <c r="S912" s="20"/>
      <c r="T912" s="20"/>
      <c r="U912" s="20"/>
      <c r="V912" s="20"/>
      <c r="W912" s="20"/>
      <c r="X912" s="20"/>
      <c r="Y912" s="20"/>
      <c r="Z912" s="20"/>
      <c r="AA912" s="20"/>
    </row>
    <row r="913" spans="1:27" x14ac:dyDescent="0.2">
      <c r="A913" s="20"/>
      <c r="B913" s="20"/>
      <c r="C913" s="20"/>
      <c r="D913" s="20"/>
      <c r="E913" s="20"/>
      <c r="F913" s="20"/>
      <c r="G913" s="20"/>
      <c r="H913" s="20"/>
      <c r="J913" s="20"/>
      <c r="L913" s="20"/>
      <c r="M913" s="20"/>
      <c r="N913" s="20"/>
      <c r="O913" s="20"/>
      <c r="P913" s="20"/>
      <c r="R913" s="20"/>
      <c r="S913" s="20"/>
      <c r="T913" s="20"/>
      <c r="U913" s="20"/>
      <c r="V913" s="20"/>
      <c r="W913" s="20"/>
      <c r="X913" s="20"/>
      <c r="Y913" s="20"/>
      <c r="Z913" s="20"/>
      <c r="AA913" s="20"/>
    </row>
    <row r="914" spans="1:27" x14ac:dyDescent="0.2">
      <c r="A914" s="20"/>
      <c r="B914" s="20"/>
      <c r="C914" s="20"/>
      <c r="D914" s="20"/>
      <c r="E914" s="20"/>
      <c r="F914" s="20"/>
      <c r="G914" s="20"/>
      <c r="H914" s="20"/>
      <c r="J914" s="20"/>
      <c r="L914" s="20"/>
      <c r="M914" s="20"/>
      <c r="N914" s="20"/>
      <c r="O914" s="20"/>
      <c r="P914" s="20"/>
      <c r="R914" s="20"/>
      <c r="S914" s="20"/>
      <c r="T914" s="20"/>
      <c r="U914" s="20"/>
      <c r="V914" s="20"/>
      <c r="W914" s="20"/>
      <c r="X914" s="20"/>
      <c r="Y914" s="20"/>
      <c r="Z914" s="20"/>
      <c r="AA914" s="20"/>
    </row>
    <row r="915" spans="1:27" x14ac:dyDescent="0.2">
      <c r="A915" s="20"/>
      <c r="B915" s="20"/>
      <c r="C915" s="20"/>
      <c r="D915" s="20"/>
      <c r="E915" s="20"/>
      <c r="F915" s="20"/>
      <c r="G915" s="20"/>
      <c r="H915" s="20"/>
      <c r="J915" s="20"/>
      <c r="L915" s="20"/>
      <c r="M915" s="20"/>
      <c r="N915" s="20"/>
      <c r="O915" s="20"/>
      <c r="P915" s="20"/>
      <c r="R915" s="20"/>
      <c r="S915" s="20"/>
      <c r="T915" s="20"/>
      <c r="U915" s="20"/>
      <c r="V915" s="20"/>
      <c r="W915" s="20"/>
      <c r="X915" s="20"/>
      <c r="Y915" s="20"/>
      <c r="Z915" s="20"/>
      <c r="AA915" s="20"/>
    </row>
    <row r="916" spans="1:27" x14ac:dyDescent="0.2">
      <c r="A916" s="20"/>
      <c r="B916" s="20"/>
      <c r="C916" s="20"/>
      <c r="D916" s="20"/>
      <c r="E916" s="20"/>
      <c r="F916" s="20"/>
      <c r="G916" s="20"/>
      <c r="H916" s="20"/>
      <c r="J916" s="20"/>
      <c r="L916" s="20"/>
      <c r="M916" s="20"/>
      <c r="N916" s="20"/>
      <c r="O916" s="20"/>
      <c r="P916" s="20"/>
      <c r="R916" s="20"/>
      <c r="S916" s="20"/>
      <c r="T916" s="20"/>
      <c r="U916" s="20"/>
      <c r="V916" s="20"/>
      <c r="W916" s="20"/>
      <c r="X916" s="20"/>
      <c r="Y916" s="20"/>
      <c r="Z916" s="20"/>
      <c r="AA916" s="20"/>
    </row>
    <row r="917" spans="1:27" x14ac:dyDescent="0.2">
      <c r="A917" s="20"/>
      <c r="B917" s="20"/>
      <c r="C917" s="20"/>
      <c r="D917" s="20"/>
      <c r="E917" s="20"/>
      <c r="F917" s="20"/>
      <c r="G917" s="20"/>
      <c r="H917" s="20"/>
      <c r="J917" s="20"/>
      <c r="L917" s="20"/>
      <c r="M917" s="20"/>
      <c r="N917" s="20"/>
      <c r="O917" s="20"/>
      <c r="P917" s="20"/>
      <c r="R917" s="20"/>
      <c r="S917" s="20"/>
      <c r="T917" s="20"/>
      <c r="U917" s="20"/>
      <c r="V917" s="20"/>
      <c r="W917" s="20"/>
      <c r="X917" s="20"/>
      <c r="Y917" s="20"/>
      <c r="Z917" s="20"/>
      <c r="AA917" s="20"/>
    </row>
    <row r="918" spans="1:27" x14ac:dyDescent="0.2">
      <c r="A918" s="20"/>
      <c r="B918" s="20"/>
      <c r="C918" s="20"/>
      <c r="D918" s="20"/>
      <c r="E918" s="20"/>
      <c r="F918" s="20"/>
      <c r="G918" s="20"/>
      <c r="H918" s="20"/>
      <c r="J918" s="20"/>
      <c r="L918" s="20"/>
      <c r="M918" s="20"/>
      <c r="N918" s="20"/>
      <c r="O918" s="20"/>
      <c r="P918" s="20"/>
      <c r="R918" s="20"/>
      <c r="S918" s="20"/>
      <c r="T918" s="20"/>
      <c r="U918" s="20"/>
      <c r="V918" s="20"/>
      <c r="W918" s="20"/>
      <c r="X918" s="20"/>
      <c r="Y918" s="20"/>
      <c r="Z918" s="20"/>
      <c r="AA918" s="20"/>
    </row>
    <row r="919" spans="1:27" x14ac:dyDescent="0.2">
      <c r="A919" s="20"/>
      <c r="B919" s="20"/>
      <c r="C919" s="20"/>
      <c r="D919" s="20"/>
      <c r="E919" s="20"/>
      <c r="F919" s="20"/>
      <c r="G919" s="20"/>
      <c r="H919" s="20"/>
      <c r="J919" s="20"/>
      <c r="L919" s="20"/>
      <c r="M919" s="20"/>
      <c r="N919" s="20"/>
      <c r="O919" s="20"/>
      <c r="P919" s="20"/>
      <c r="R919" s="20"/>
      <c r="S919" s="20"/>
      <c r="T919" s="20"/>
      <c r="U919" s="20"/>
      <c r="V919" s="20"/>
      <c r="W919" s="20"/>
      <c r="X919" s="20"/>
      <c r="Y919" s="20"/>
      <c r="Z919" s="20"/>
      <c r="AA919" s="20"/>
    </row>
    <row r="920" spans="1:27" x14ac:dyDescent="0.2">
      <c r="A920" s="20"/>
      <c r="B920" s="20"/>
      <c r="C920" s="20"/>
      <c r="D920" s="20"/>
      <c r="E920" s="20"/>
      <c r="F920" s="20"/>
      <c r="G920" s="20"/>
      <c r="H920" s="20"/>
      <c r="J920" s="20"/>
      <c r="L920" s="20"/>
      <c r="M920" s="20"/>
      <c r="N920" s="20"/>
      <c r="O920" s="20"/>
      <c r="P920" s="20"/>
      <c r="R920" s="20"/>
      <c r="S920" s="20"/>
      <c r="T920" s="20"/>
      <c r="U920" s="20"/>
      <c r="V920" s="20"/>
      <c r="W920" s="20"/>
      <c r="X920" s="20"/>
      <c r="Y920" s="20"/>
      <c r="Z920" s="20"/>
      <c r="AA920" s="20"/>
    </row>
    <row r="921" spans="1:27" x14ac:dyDescent="0.2">
      <c r="A921" s="20"/>
      <c r="B921" s="20"/>
      <c r="C921" s="20"/>
      <c r="D921" s="20"/>
      <c r="E921" s="20"/>
      <c r="F921" s="20"/>
      <c r="G921" s="20"/>
      <c r="H921" s="20"/>
      <c r="J921" s="20"/>
      <c r="L921" s="20"/>
      <c r="M921" s="20"/>
      <c r="N921" s="20"/>
      <c r="O921" s="20"/>
      <c r="P921" s="20"/>
      <c r="R921" s="20"/>
      <c r="S921" s="20"/>
      <c r="T921" s="20"/>
      <c r="U921" s="20"/>
      <c r="V921" s="20"/>
      <c r="W921" s="20"/>
      <c r="X921" s="20"/>
      <c r="Y921" s="20"/>
      <c r="Z921" s="20"/>
      <c r="AA921" s="20"/>
    </row>
    <row r="922" spans="1:27" x14ac:dyDescent="0.2">
      <c r="A922" s="20"/>
      <c r="B922" s="20"/>
      <c r="C922" s="20"/>
      <c r="D922" s="20"/>
      <c r="E922" s="20"/>
      <c r="F922" s="20"/>
      <c r="G922" s="20"/>
      <c r="H922" s="20"/>
      <c r="J922" s="20"/>
      <c r="L922" s="20"/>
      <c r="M922" s="20"/>
      <c r="N922" s="20"/>
      <c r="O922" s="20"/>
      <c r="P922" s="20"/>
      <c r="R922" s="20"/>
      <c r="S922" s="20"/>
      <c r="T922" s="20"/>
      <c r="U922" s="20"/>
      <c r="V922" s="20"/>
      <c r="W922" s="20"/>
      <c r="X922" s="20"/>
      <c r="Y922" s="20"/>
      <c r="Z922" s="20"/>
      <c r="AA922" s="20"/>
    </row>
    <row r="923" spans="1:27" x14ac:dyDescent="0.2">
      <c r="A923" s="20"/>
      <c r="B923" s="20"/>
      <c r="C923" s="20"/>
      <c r="D923" s="20"/>
      <c r="E923" s="20"/>
      <c r="F923" s="20"/>
      <c r="G923" s="20"/>
      <c r="H923" s="20"/>
      <c r="J923" s="20"/>
      <c r="L923" s="20"/>
      <c r="M923" s="20"/>
      <c r="N923" s="20"/>
      <c r="O923" s="20"/>
      <c r="P923" s="20"/>
      <c r="R923" s="20"/>
      <c r="S923" s="20"/>
      <c r="T923" s="20"/>
      <c r="U923" s="20"/>
      <c r="V923" s="20"/>
      <c r="W923" s="20"/>
      <c r="X923" s="20"/>
      <c r="Y923" s="20"/>
      <c r="Z923" s="20"/>
      <c r="AA923" s="20"/>
    </row>
    <row r="924" spans="1:27" x14ac:dyDescent="0.2">
      <c r="A924" s="20"/>
      <c r="B924" s="20"/>
      <c r="C924" s="20"/>
      <c r="D924" s="20"/>
      <c r="E924" s="20"/>
      <c r="F924" s="20"/>
      <c r="G924" s="20"/>
      <c r="H924" s="20"/>
      <c r="J924" s="20"/>
      <c r="L924" s="20"/>
      <c r="M924" s="20"/>
      <c r="N924" s="20"/>
      <c r="O924" s="20"/>
      <c r="P924" s="20"/>
      <c r="R924" s="20"/>
      <c r="S924" s="20"/>
      <c r="T924" s="20"/>
      <c r="U924" s="20"/>
      <c r="V924" s="20"/>
      <c r="W924" s="20"/>
      <c r="X924" s="20"/>
      <c r="Y924" s="20"/>
      <c r="Z924" s="20"/>
      <c r="AA924" s="20"/>
    </row>
    <row r="925" spans="1:27" x14ac:dyDescent="0.2">
      <c r="A925" s="20"/>
      <c r="B925" s="20"/>
      <c r="C925" s="20"/>
      <c r="D925" s="20"/>
      <c r="E925" s="20"/>
      <c r="F925" s="20"/>
      <c r="G925" s="20"/>
      <c r="H925" s="20"/>
      <c r="J925" s="20"/>
      <c r="L925" s="20"/>
      <c r="M925" s="20"/>
      <c r="N925" s="20"/>
      <c r="O925" s="20"/>
      <c r="P925" s="20"/>
      <c r="R925" s="20"/>
      <c r="S925" s="20"/>
      <c r="T925" s="20"/>
      <c r="U925" s="20"/>
      <c r="V925" s="20"/>
      <c r="W925" s="20"/>
      <c r="X925" s="20"/>
      <c r="Y925" s="20"/>
      <c r="Z925" s="20"/>
      <c r="AA925" s="20"/>
    </row>
    <row r="926" spans="1:27" x14ac:dyDescent="0.2">
      <c r="A926" s="20"/>
      <c r="B926" s="20"/>
      <c r="C926" s="20"/>
      <c r="D926" s="20"/>
      <c r="E926" s="20"/>
      <c r="F926" s="20"/>
      <c r="G926" s="20"/>
      <c r="H926" s="20"/>
      <c r="J926" s="20"/>
      <c r="L926" s="20"/>
      <c r="M926" s="20"/>
      <c r="N926" s="20"/>
      <c r="O926" s="20"/>
      <c r="P926" s="20"/>
      <c r="R926" s="20"/>
      <c r="S926" s="20"/>
      <c r="T926" s="20"/>
      <c r="U926" s="20"/>
      <c r="V926" s="20"/>
      <c r="W926" s="20"/>
      <c r="X926" s="20"/>
      <c r="Y926" s="20"/>
      <c r="Z926" s="20"/>
      <c r="AA926" s="20"/>
    </row>
    <row r="927" spans="1:27" x14ac:dyDescent="0.2">
      <c r="A927" s="20"/>
      <c r="B927" s="20"/>
      <c r="C927" s="20"/>
      <c r="D927" s="20"/>
      <c r="E927" s="20"/>
      <c r="F927" s="20"/>
      <c r="G927" s="20"/>
      <c r="H927" s="20"/>
      <c r="J927" s="20"/>
      <c r="L927" s="20"/>
      <c r="M927" s="20"/>
      <c r="N927" s="20"/>
      <c r="O927" s="20"/>
      <c r="P927" s="20"/>
      <c r="R927" s="20"/>
      <c r="S927" s="20"/>
      <c r="T927" s="20"/>
      <c r="U927" s="20"/>
      <c r="V927" s="20"/>
      <c r="W927" s="20"/>
      <c r="X927" s="20"/>
      <c r="Y927" s="20"/>
      <c r="Z927" s="20"/>
      <c r="AA927" s="20"/>
    </row>
    <row r="928" spans="1:27" x14ac:dyDescent="0.2">
      <c r="A928" s="20"/>
      <c r="B928" s="20"/>
      <c r="C928" s="20"/>
      <c r="D928" s="20"/>
      <c r="E928" s="20"/>
      <c r="F928" s="20"/>
      <c r="G928" s="20"/>
      <c r="H928" s="20"/>
      <c r="J928" s="20"/>
      <c r="L928" s="20"/>
      <c r="M928" s="20"/>
      <c r="N928" s="20"/>
      <c r="O928" s="20"/>
      <c r="P928" s="20"/>
      <c r="R928" s="20"/>
      <c r="S928" s="20"/>
      <c r="T928" s="20"/>
      <c r="U928" s="20"/>
      <c r="V928" s="20"/>
      <c r="W928" s="20"/>
      <c r="X928" s="20"/>
      <c r="Y928" s="20"/>
      <c r="Z928" s="20"/>
      <c r="AA928" s="20"/>
    </row>
    <row r="929" spans="1:27" x14ac:dyDescent="0.2">
      <c r="A929" s="20"/>
      <c r="B929" s="20"/>
      <c r="C929" s="20"/>
      <c r="D929" s="20"/>
      <c r="E929" s="20"/>
      <c r="F929" s="20"/>
      <c r="G929" s="20"/>
      <c r="H929" s="20"/>
      <c r="J929" s="20"/>
      <c r="L929" s="20"/>
      <c r="M929" s="20"/>
      <c r="N929" s="20"/>
      <c r="O929" s="20"/>
      <c r="P929" s="20"/>
      <c r="R929" s="20"/>
      <c r="S929" s="20"/>
      <c r="T929" s="20"/>
      <c r="U929" s="20"/>
      <c r="V929" s="20"/>
      <c r="W929" s="20"/>
      <c r="X929" s="20"/>
      <c r="Y929" s="20"/>
      <c r="Z929" s="20"/>
      <c r="AA929" s="20"/>
    </row>
    <row r="930" spans="1:27" x14ac:dyDescent="0.2">
      <c r="A930" s="20"/>
      <c r="B930" s="20"/>
      <c r="C930" s="20"/>
      <c r="D930" s="20"/>
      <c r="E930" s="20"/>
      <c r="F930" s="20"/>
      <c r="G930" s="20"/>
      <c r="H930" s="20"/>
      <c r="J930" s="20"/>
      <c r="L930" s="20"/>
      <c r="M930" s="20"/>
      <c r="N930" s="20"/>
      <c r="O930" s="20"/>
      <c r="P930" s="20"/>
      <c r="R930" s="20"/>
      <c r="S930" s="20"/>
      <c r="T930" s="20"/>
      <c r="U930" s="20"/>
      <c r="V930" s="20"/>
      <c r="W930" s="20"/>
      <c r="X930" s="20"/>
      <c r="Y930" s="20"/>
      <c r="Z930" s="20"/>
      <c r="AA930" s="20"/>
    </row>
    <row r="931" spans="1:27" x14ac:dyDescent="0.2">
      <c r="A931" s="20"/>
      <c r="B931" s="20"/>
      <c r="C931" s="20"/>
      <c r="D931" s="20"/>
      <c r="E931" s="20"/>
      <c r="F931" s="20"/>
      <c r="G931" s="20"/>
      <c r="H931" s="20"/>
      <c r="J931" s="20"/>
      <c r="L931" s="20"/>
      <c r="M931" s="20"/>
      <c r="N931" s="20"/>
      <c r="O931" s="20"/>
      <c r="P931" s="20"/>
      <c r="R931" s="20"/>
      <c r="S931" s="20"/>
      <c r="T931" s="20"/>
      <c r="U931" s="20"/>
      <c r="V931" s="20"/>
      <c r="W931" s="20"/>
      <c r="X931" s="20"/>
      <c r="Y931" s="20"/>
      <c r="Z931" s="20"/>
      <c r="AA931" s="20"/>
    </row>
    <row r="932" spans="1:27" x14ac:dyDescent="0.2">
      <c r="A932" s="20"/>
      <c r="B932" s="20"/>
      <c r="C932" s="20"/>
      <c r="D932" s="20"/>
      <c r="E932" s="20"/>
      <c r="F932" s="20"/>
      <c r="G932" s="20"/>
      <c r="H932" s="20"/>
      <c r="J932" s="20"/>
      <c r="L932" s="20"/>
      <c r="M932" s="20"/>
      <c r="N932" s="20"/>
      <c r="O932" s="20"/>
      <c r="P932" s="20"/>
      <c r="R932" s="20"/>
      <c r="S932" s="20"/>
      <c r="T932" s="20"/>
      <c r="U932" s="20"/>
      <c r="V932" s="20"/>
      <c r="W932" s="20"/>
      <c r="X932" s="20"/>
      <c r="Y932" s="20"/>
      <c r="Z932" s="20"/>
      <c r="AA932" s="20"/>
    </row>
    <row r="933" spans="1:27" x14ac:dyDescent="0.2">
      <c r="A933" s="20"/>
      <c r="B933" s="20"/>
      <c r="C933" s="20"/>
      <c r="D933" s="20"/>
      <c r="E933" s="20"/>
      <c r="F933" s="20"/>
      <c r="G933" s="20"/>
      <c r="H933" s="20"/>
      <c r="J933" s="20"/>
      <c r="L933" s="20"/>
      <c r="M933" s="20"/>
      <c r="N933" s="20"/>
      <c r="O933" s="20"/>
      <c r="P933" s="20"/>
      <c r="R933" s="20"/>
      <c r="S933" s="20"/>
      <c r="T933" s="20"/>
      <c r="U933" s="20"/>
      <c r="V933" s="20"/>
      <c r="W933" s="20"/>
      <c r="X933" s="20"/>
      <c r="Y933" s="20"/>
      <c r="Z933" s="20"/>
      <c r="AA933" s="20"/>
    </row>
    <row r="934" spans="1:27" x14ac:dyDescent="0.2">
      <c r="A934" s="20"/>
      <c r="B934" s="20"/>
      <c r="C934" s="20"/>
      <c r="D934" s="20"/>
      <c r="E934" s="20"/>
      <c r="F934" s="20"/>
      <c r="G934" s="20"/>
      <c r="H934" s="20"/>
      <c r="J934" s="20"/>
      <c r="L934" s="20"/>
      <c r="M934" s="20"/>
      <c r="N934" s="20"/>
      <c r="O934" s="20"/>
      <c r="P934" s="20"/>
      <c r="R934" s="20"/>
      <c r="S934" s="20"/>
      <c r="T934" s="20"/>
      <c r="U934" s="20"/>
      <c r="V934" s="20"/>
      <c r="W934" s="20"/>
      <c r="X934" s="20"/>
      <c r="Y934" s="20"/>
      <c r="Z934" s="20"/>
      <c r="AA934" s="20"/>
    </row>
    <row r="935" spans="1:27" x14ac:dyDescent="0.2">
      <c r="A935" s="20"/>
      <c r="B935" s="20"/>
      <c r="C935" s="20"/>
      <c r="D935" s="20"/>
      <c r="E935" s="20"/>
      <c r="F935" s="20"/>
      <c r="G935" s="20"/>
      <c r="H935" s="20"/>
      <c r="J935" s="20"/>
      <c r="L935" s="20"/>
      <c r="M935" s="20"/>
      <c r="N935" s="20"/>
      <c r="O935" s="20"/>
      <c r="P935" s="20"/>
      <c r="R935" s="20"/>
      <c r="S935" s="20"/>
      <c r="T935" s="20"/>
      <c r="U935" s="20"/>
      <c r="V935" s="20"/>
      <c r="W935" s="20"/>
      <c r="X935" s="20"/>
      <c r="Y935" s="20"/>
      <c r="Z935" s="20"/>
      <c r="AA935" s="20"/>
    </row>
    <row r="936" spans="1:27" x14ac:dyDescent="0.2">
      <c r="A936" s="20"/>
      <c r="B936" s="20"/>
      <c r="C936" s="20"/>
      <c r="D936" s="20"/>
      <c r="E936" s="20"/>
      <c r="F936" s="20"/>
      <c r="G936" s="20"/>
      <c r="H936" s="20"/>
      <c r="J936" s="20"/>
      <c r="L936" s="20"/>
      <c r="M936" s="20"/>
      <c r="N936" s="20"/>
      <c r="O936" s="20"/>
      <c r="P936" s="20"/>
      <c r="R936" s="20"/>
      <c r="S936" s="20"/>
      <c r="T936" s="20"/>
      <c r="U936" s="20"/>
      <c r="V936" s="20"/>
      <c r="W936" s="20"/>
      <c r="X936" s="20"/>
      <c r="Y936" s="20"/>
      <c r="Z936" s="20"/>
      <c r="AA936" s="20"/>
    </row>
    <row r="937" spans="1:27" x14ac:dyDescent="0.2">
      <c r="A937" s="20"/>
      <c r="B937" s="20"/>
      <c r="C937" s="20"/>
      <c r="D937" s="20"/>
      <c r="E937" s="20"/>
      <c r="F937" s="20"/>
      <c r="G937" s="20"/>
      <c r="H937" s="20"/>
      <c r="J937" s="20"/>
      <c r="L937" s="20"/>
      <c r="M937" s="20"/>
      <c r="N937" s="20"/>
      <c r="O937" s="20"/>
      <c r="P937" s="20"/>
      <c r="R937" s="20"/>
      <c r="S937" s="20"/>
      <c r="T937" s="20"/>
      <c r="U937" s="20"/>
      <c r="V937" s="20"/>
      <c r="W937" s="20"/>
      <c r="X937" s="20"/>
      <c r="Y937" s="20"/>
      <c r="Z937" s="20"/>
      <c r="AA937" s="20"/>
    </row>
    <row r="938" spans="1:27" x14ac:dyDescent="0.2">
      <c r="A938" s="20"/>
      <c r="B938" s="20"/>
      <c r="C938" s="20"/>
      <c r="D938" s="20"/>
      <c r="E938" s="20"/>
      <c r="F938" s="20"/>
      <c r="G938" s="20"/>
      <c r="H938" s="20"/>
      <c r="J938" s="20"/>
      <c r="L938" s="20"/>
      <c r="M938" s="20"/>
      <c r="N938" s="20"/>
      <c r="O938" s="20"/>
      <c r="P938" s="20"/>
      <c r="R938" s="20"/>
      <c r="S938" s="20"/>
      <c r="T938" s="20"/>
      <c r="U938" s="20"/>
      <c r="V938" s="20"/>
      <c r="W938" s="20"/>
      <c r="X938" s="20"/>
      <c r="Y938" s="20"/>
      <c r="Z938" s="20"/>
      <c r="AA938" s="20"/>
    </row>
    <row r="939" spans="1:27" x14ac:dyDescent="0.2">
      <c r="A939" s="20"/>
      <c r="B939" s="20"/>
      <c r="C939" s="20"/>
      <c r="D939" s="20"/>
      <c r="E939" s="20"/>
      <c r="F939" s="20"/>
      <c r="G939" s="20"/>
      <c r="H939" s="20"/>
      <c r="J939" s="20"/>
      <c r="L939" s="20"/>
      <c r="M939" s="20"/>
      <c r="N939" s="20"/>
      <c r="O939" s="20"/>
      <c r="P939" s="20"/>
      <c r="R939" s="20"/>
      <c r="S939" s="20"/>
      <c r="T939" s="20"/>
      <c r="U939" s="20"/>
      <c r="V939" s="20"/>
      <c r="W939" s="20"/>
      <c r="X939" s="20"/>
      <c r="Y939" s="20"/>
      <c r="Z939" s="20"/>
      <c r="AA939" s="20"/>
    </row>
    <row r="940" spans="1:27" x14ac:dyDescent="0.2">
      <c r="A940" s="20"/>
      <c r="B940" s="20"/>
      <c r="C940" s="20"/>
      <c r="D940" s="20"/>
      <c r="E940" s="20"/>
      <c r="F940" s="20"/>
      <c r="G940" s="20"/>
      <c r="H940" s="20"/>
      <c r="J940" s="20"/>
      <c r="L940" s="20"/>
      <c r="M940" s="20"/>
      <c r="N940" s="20"/>
      <c r="O940" s="20"/>
      <c r="P940" s="20"/>
      <c r="R940" s="20"/>
      <c r="S940" s="20"/>
      <c r="T940" s="20"/>
      <c r="U940" s="20"/>
      <c r="V940" s="20"/>
      <c r="W940" s="20"/>
      <c r="X940" s="20"/>
      <c r="Y940" s="20"/>
      <c r="Z940" s="20"/>
      <c r="AA940" s="20"/>
    </row>
    <row r="941" spans="1:27" x14ac:dyDescent="0.2">
      <c r="A941" s="20"/>
      <c r="B941" s="20"/>
      <c r="C941" s="20"/>
      <c r="D941" s="20"/>
      <c r="E941" s="20"/>
      <c r="F941" s="20"/>
      <c r="G941" s="20"/>
      <c r="H941" s="20"/>
      <c r="J941" s="20"/>
      <c r="L941" s="20"/>
      <c r="M941" s="20"/>
      <c r="N941" s="20"/>
      <c r="O941" s="20"/>
      <c r="P941" s="20"/>
      <c r="R941" s="20"/>
      <c r="S941" s="20"/>
      <c r="T941" s="20"/>
      <c r="U941" s="20"/>
      <c r="V941" s="20"/>
      <c r="W941" s="20"/>
      <c r="X941" s="20"/>
      <c r="Y941" s="20"/>
      <c r="Z941" s="20"/>
      <c r="AA941" s="20"/>
    </row>
    <row r="942" spans="1:27" x14ac:dyDescent="0.2">
      <c r="A942" s="20"/>
      <c r="B942" s="20"/>
      <c r="C942" s="20"/>
      <c r="D942" s="20"/>
      <c r="E942" s="20"/>
      <c r="F942" s="20"/>
      <c r="G942" s="20"/>
      <c r="H942" s="20"/>
      <c r="J942" s="20"/>
      <c r="L942" s="20"/>
      <c r="M942" s="20"/>
      <c r="N942" s="20"/>
      <c r="O942" s="20"/>
      <c r="P942" s="20"/>
      <c r="R942" s="20"/>
      <c r="S942" s="20"/>
      <c r="T942" s="20"/>
      <c r="U942" s="20"/>
      <c r="V942" s="20"/>
      <c r="W942" s="20"/>
      <c r="X942" s="20"/>
      <c r="Y942" s="20"/>
      <c r="Z942" s="20"/>
      <c r="AA942" s="20"/>
    </row>
    <row r="943" spans="1:27" x14ac:dyDescent="0.2">
      <c r="A943" s="20"/>
      <c r="B943" s="20"/>
      <c r="C943" s="20"/>
      <c r="D943" s="20"/>
      <c r="E943" s="20"/>
      <c r="F943" s="20"/>
      <c r="G943" s="20"/>
      <c r="H943" s="20"/>
      <c r="J943" s="20"/>
      <c r="L943" s="20"/>
      <c r="M943" s="20"/>
      <c r="N943" s="20"/>
      <c r="O943" s="20"/>
      <c r="P943" s="20"/>
      <c r="R943" s="20"/>
      <c r="S943" s="20"/>
      <c r="T943" s="20"/>
      <c r="U943" s="20"/>
      <c r="V943" s="20"/>
      <c r="W943" s="20"/>
      <c r="X943" s="20"/>
      <c r="Y943" s="20"/>
      <c r="Z943" s="20"/>
      <c r="AA943" s="20"/>
    </row>
    <row r="944" spans="1:27" x14ac:dyDescent="0.2">
      <c r="A944" s="20"/>
      <c r="B944" s="20"/>
      <c r="C944" s="20"/>
      <c r="D944" s="20"/>
      <c r="E944" s="20"/>
      <c r="F944" s="20"/>
      <c r="G944" s="20"/>
      <c r="H944" s="20"/>
      <c r="J944" s="20"/>
      <c r="L944" s="20"/>
      <c r="M944" s="20"/>
      <c r="N944" s="20"/>
      <c r="O944" s="20"/>
      <c r="P944" s="20"/>
      <c r="R944" s="20"/>
      <c r="S944" s="20"/>
      <c r="T944" s="20"/>
      <c r="U944" s="20"/>
      <c r="V944" s="20"/>
      <c r="W944" s="20"/>
      <c r="X944" s="20"/>
      <c r="Y944" s="20"/>
      <c r="Z944" s="20"/>
      <c r="AA944" s="20"/>
    </row>
    <row r="945" spans="1:27" x14ac:dyDescent="0.2">
      <c r="A945" s="20"/>
      <c r="B945" s="20"/>
      <c r="C945" s="20"/>
      <c r="D945" s="20"/>
      <c r="E945" s="20"/>
      <c r="F945" s="20"/>
      <c r="G945" s="20"/>
      <c r="H945" s="20"/>
      <c r="J945" s="20"/>
      <c r="L945" s="20"/>
      <c r="M945" s="20"/>
      <c r="N945" s="20"/>
      <c r="O945" s="20"/>
      <c r="P945" s="20"/>
      <c r="R945" s="20"/>
      <c r="S945" s="20"/>
      <c r="T945" s="20"/>
      <c r="U945" s="20"/>
      <c r="V945" s="20"/>
      <c r="W945" s="20"/>
      <c r="X945" s="20"/>
      <c r="Y945" s="20"/>
      <c r="Z945" s="20"/>
      <c r="AA945" s="20"/>
    </row>
    <row r="946" spans="1:27" x14ac:dyDescent="0.2">
      <c r="A946" s="20"/>
      <c r="B946" s="20"/>
      <c r="C946" s="20"/>
      <c r="D946" s="20"/>
      <c r="E946" s="20"/>
      <c r="F946" s="20"/>
      <c r="G946" s="20"/>
      <c r="H946" s="20"/>
      <c r="J946" s="20"/>
      <c r="L946" s="20"/>
      <c r="M946" s="20"/>
      <c r="N946" s="20"/>
      <c r="O946" s="20"/>
      <c r="P946" s="20"/>
      <c r="R946" s="20"/>
      <c r="S946" s="20"/>
      <c r="T946" s="20"/>
      <c r="U946" s="20"/>
      <c r="V946" s="20"/>
      <c r="W946" s="20"/>
      <c r="X946" s="20"/>
      <c r="Y946" s="20"/>
      <c r="Z946" s="20"/>
      <c r="AA946" s="20"/>
    </row>
    <row r="947" spans="1:27" x14ac:dyDescent="0.2">
      <c r="A947" s="20"/>
      <c r="B947" s="20"/>
      <c r="C947" s="20"/>
      <c r="D947" s="20"/>
      <c r="E947" s="20"/>
      <c r="F947" s="20"/>
      <c r="G947" s="20"/>
      <c r="H947" s="20"/>
      <c r="J947" s="20"/>
      <c r="L947" s="20"/>
      <c r="M947" s="20"/>
      <c r="N947" s="20"/>
      <c r="O947" s="20"/>
      <c r="P947" s="20"/>
      <c r="R947" s="20"/>
      <c r="S947" s="20"/>
      <c r="T947" s="20"/>
      <c r="U947" s="20"/>
      <c r="V947" s="20"/>
      <c r="W947" s="20"/>
      <c r="X947" s="20"/>
      <c r="Y947" s="20"/>
      <c r="Z947" s="20"/>
      <c r="AA947" s="20"/>
    </row>
    <row r="948" spans="1:27" x14ac:dyDescent="0.2">
      <c r="A948" s="20"/>
      <c r="B948" s="20"/>
      <c r="C948" s="20"/>
      <c r="D948" s="20"/>
      <c r="E948" s="20"/>
      <c r="F948" s="20"/>
      <c r="G948" s="20"/>
      <c r="H948" s="20"/>
      <c r="J948" s="20"/>
      <c r="L948" s="20"/>
      <c r="M948" s="20"/>
      <c r="N948" s="20"/>
      <c r="O948" s="20"/>
      <c r="P948" s="20"/>
      <c r="R948" s="20"/>
      <c r="S948" s="20"/>
      <c r="T948" s="20"/>
      <c r="U948" s="20"/>
      <c r="V948" s="20"/>
      <c r="W948" s="20"/>
      <c r="X948" s="20"/>
      <c r="Y948" s="20"/>
      <c r="Z948" s="20"/>
      <c r="AA948" s="20"/>
    </row>
    <row r="949" spans="1:27" x14ac:dyDescent="0.2">
      <c r="A949" s="20"/>
      <c r="B949" s="20"/>
      <c r="C949" s="20"/>
      <c r="D949" s="20"/>
      <c r="E949" s="20"/>
      <c r="F949" s="20"/>
      <c r="G949" s="20"/>
      <c r="H949" s="20"/>
      <c r="J949" s="20"/>
      <c r="L949" s="20"/>
      <c r="M949" s="20"/>
      <c r="N949" s="20"/>
      <c r="O949" s="20"/>
      <c r="P949" s="20"/>
      <c r="R949" s="20"/>
      <c r="S949" s="20"/>
      <c r="T949" s="20"/>
      <c r="U949" s="20"/>
      <c r="V949" s="20"/>
      <c r="W949" s="20"/>
      <c r="X949" s="20"/>
      <c r="Y949" s="20"/>
      <c r="Z949" s="20"/>
      <c r="AA949" s="20"/>
    </row>
    <row r="950" spans="1:27" x14ac:dyDescent="0.2">
      <c r="A950" s="20"/>
      <c r="B950" s="20"/>
      <c r="C950" s="20"/>
      <c r="D950" s="20"/>
      <c r="E950" s="20"/>
      <c r="F950" s="20"/>
      <c r="G950" s="20"/>
      <c r="H950" s="20"/>
      <c r="J950" s="20"/>
      <c r="L950" s="20"/>
      <c r="M950" s="20"/>
      <c r="N950" s="20"/>
      <c r="O950" s="20"/>
      <c r="P950" s="20"/>
      <c r="R950" s="20"/>
      <c r="S950" s="20"/>
      <c r="T950" s="20"/>
      <c r="U950" s="20"/>
      <c r="V950" s="20"/>
      <c r="W950" s="20"/>
      <c r="X950" s="20"/>
      <c r="Y950" s="20"/>
      <c r="Z950" s="20"/>
      <c r="AA950" s="20"/>
    </row>
    <row r="951" spans="1:27" x14ac:dyDescent="0.2">
      <c r="A951" s="20"/>
      <c r="B951" s="20"/>
      <c r="C951" s="20"/>
      <c r="D951" s="20"/>
      <c r="E951" s="20"/>
      <c r="F951" s="20"/>
      <c r="G951" s="20"/>
      <c r="H951" s="20"/>
      <c r="J951" s="20"/>
      <c r="L951" s="20"/>
      <c r="M951" s="20"/>
      <c r="N951" s="20"/>
      <c r="O951" s="20"/>
      <c r="P951" s="20"/>
      <c r="R951" s="20"/>
      <c r="S951" s="20"/>
      <c r="T951" s="20"/>
      <c r="U951" s="20"/>
      <c r="V951" s="20"/>
      <c r="W951" s="20"/>
      <c r="X951" s="20"/>
      <c r="Y951" s="20"/>
      <c r="Z951" s="20"/>
      <c r="AA951" s="20"/>
    </row>
    <row r="952" spans="1:27" x14ac:dyDescent="0.2">
      <c r="A952" s="20"/>
      <c r="B952" s="20"/>
      <c r="C952" s="20"/>
      <c r="D952" s="20"/>
      <c r="E952" s="20"/>
      <c r="F952" s="20"/>
      <c r="G952" s="20"/>
      <c r="H952" s="20"/>
      <c r="J952" s="20"/>
      <c r="L952" s="20"/>
      <c r="M952" s="20"/>
      <c r="N952" s="20"/>
      <c r="O952" s="20"/>
      <c r="P952" s="20"/>
      <c r="R952" s="20"/>
      <c r="S952" s="20"/>
      <c r="T952" s="20"/>
      <c r="U952" s="20"/>
      <c r="V952" s="20"/>
      <c r="W952" s="20"/>
      <c r="X952" s="20"/>
      <c r="Y952" s="20"/>
      <c r="Z952" s="20"/>
      <c r="AA952" s="20"/>
    </row>
    <row r="953" spans="1:27" x14ac:dyDescent="0.2">
      <c r="A953" s="20"/>
      <c r="B953" s="20"/>
      <c r="C953" s="20"/>
      <c r="D953" s="20"/>
      <c r="E953" s="20"/>
      <c r="F953" s="20"/>
      <c r="G953" s="20"/>
      <c r="H953" s="20"/>
      <c r="J953" s="20"/>
      <c r="L953" s="20"/>
      <c r="M953" s="20"/>
      <c r="N953" s="20"/>
      <c r="O953" s="20"/>
      <c r="P953" s="20"/>
      <c r="R953" s="20"/>
      <c r="S953" s="20"/>
      <c r="T953" s="20"/>
      <c r="U953" s="20"/>
      <c r="V953" s="20"/>
      <c r="W953" s="20"/>
      <c r="X953" s="20"/>
      <c r="Y953" s="20"/>
      <c r="Z953" s="20"/>
      <c r="AA953" s="20"/>
    </row>
    <row r="954" spans="1:27" x14ac:dyDescent="0.2">
      <c r="A954" s="20"/>
      <c r="B954" s="20"/>
      <c r="C954" s="20"/>
      <c r="D954" s="20"/>
      <c r="E954" s="20"/>
      <c r="F954" s="20"/>
      <c r="G954" s="20"/>
      <c r="H954" s="20"/>
      <c r="J954" s="20"/>
      <c r="L954" s="20"/>
      <c r="M954" s="20"/>
      <c r="N954" s="20"/>
      <c r="O954" s="20"/>
      <c r="P954" s="20"/>
      <c r="R954" s="20"/>
      <c r="S954" s="20"/>
      <c r="T954" s="20"/>
      <c r="U954" s="20"/>
      <c r="V954" s="20"/>
      <c r="W954" s="20"/>
      <c r="X954" s="20"/>
      <c r="Y954" s="20"/>
      <c r="Z954" s="20"/>
      <c r="AA954" s="20"/>
    </row>
    <row r="955" spans="1:27" x14ac:dyDescent="0.2">
      <c r="A955" s="20"/>
      <c r="B955" s="20"/>
      <c r="C955" s="20"/>
      <c r="D955" s="20"/>
      <c r="E955" s="20"/>
      <c r="F955" s="20"/>
      <c r="G955" s="20"/>
      <c r="H955" s="20"/>
      <c r="J955" s="20"/>
      <c r="L955" s="20"/>
      <c r="M955" s="20"/>
      <c r="N955" s="20"/>
      <c r="O955" s="20"/>
      <c r="P955" s="20"/>
      <c r="R955" s="20"/>
      <c r="S955" s="20"/>
      <c r="T955" s="20"/>
      <c r="U955" s="20"/>
      <c r="V955" s="20"/>
      <c r="W955" s="20"/>
      <c r="X955" s="20"/>
      <c r="Y955" s="20"/>
      <c r="Z955" s="20"/>
      <c r="AA955" s="20"/>
    </row>
    <row r="956" spans="1:27" x14ac:dyDescent="0.2">
      <c r="A956" s="20"/>
      <c r="B956" s="20"/>
      <c r="C956" s="20"/>
      <c r="D956" s="20"/>
      <c r="E956" s="20"/>
      <c r="F956" s="20"/>
      <c r="G956" s="20"/>
      <c r="H956" s="20"/>
      <c r="J956" s="20"/>
      <c r="L956" s="20"/>
      <c r="M956" s="20"/>
      <c r="N956" s="20"/>
      <c r="O956" s="20"/>
      <c r="P956" s="20"/>
      <c r="R956" s="20"/>
      <c r="S956" s="20"/>
      <c r="T956" s="20"/>
      <c r="U956" s="20"/>
      <c r="V956" s="20"/>
      <c r="W956" s="20"/>
      <c r="X956" s="20"/>
      <c r="Y956" s="20"/>
      <c r="Z956" s="20"/>
      <c r="AA956" s="20"/>
    </row>
    <row r="957" spans="1:27" x14ac:dyDescent="0.2">
      <c r="A957" s="20"/>
      <c r="B957" s="20"/>
      <c r="C957" s="20"/>
      <c r="D957" s="20"/>
      <c r="E957" s="20"/>
      <c r="F957" s="20"/>
      <c r="G957" s="20"/>
      <c r="H957" s="20"/>
      <c r="J957" s="20"/>
      <c r="L957" s="20"/>
      <c r="M957" s="20"/>
      <c r="N957" s="20"/>
      <c r="O957" s="20"/>
      <c r="P957" s="20"/>
      <c r="R957" s="20"/>
      <c r="S957" s="20"/>
      <c r="T957" s="20"/>
      <c r="U957" s="20"/>
      <c r="V957" s="20"/>
      <c r="W957" s="20"/>
      <c r="X957" s="20"/>
      <c r="Y957" s="20"/>
      <c r="Z957" s="20"/>
      <c r="AA957" s="20"/>
    </row>
    <row r="958" spans="1:27" x14ac:dyDescent="0.2">
      <c r="A958" s="20"/>
      <c r="B958" s="20"/>
      <c r="C958" s="20"/>
      <c r="D958" s="20"/>
      <c r="E958" s="20"/>
      <c r="F958" s="20"/>
      <c r="G958" s="20"/>
      <c r="H958" s="20"/>
      <c r="J958" s="20"/>
      <c r="L958" s="20"/>
      <c r="M958" s="20"/>
      <c r="N958" s="20"/>
      <c r="O958" s="20"/>
      <c r="P958" s="20"/>
      <c r="R958" s="20"/>
      <c r="S958" s="20"/>
      <c r="T958" s="20"/>
      <c r="U958" s="20"/>
      <c r="V958" s="20"/>
      <c r="W958" s="20"/>
      <c r="X958" s="20"/>
      <c r="Y958" s="20"/>
      <c r="Z958" s="20"/>
      <c r="AA958" s="20"/>
    </row>
    <row r="959" spans="1:27" x14ac:dyDescent="0.2">
      <c r="A959" s="20"/>
      <c r="B959" s="20"/>
      <c r="C959" s="20"/>
      <c r="D959" s="20"/>
      <c r="E959" s="20"/>
      <c r="F959" s="20"/>
      <c r="G959" s="20"/>
      <c r="H959" s="20"/>
      <c r="J959" s="20"/>
      <c r="L959" s="20"/>
      <c r="M959" s="20"/>
      <c r="N959" s="20"/>
      <c r="O959" s="20"/>
      <c r="P959" s="20"/>
      <c r="R959" s="20"/>
      <c r="S959" s="20"/>
      <c r="T959" s="20"/>
      <c r="U959" s="20"/>
      <c r="V959" s="20"/>
      <c r="W959" s="20"/>
      <c r="X959" s="20"/>
      <c r="Y959" s="20"/>
      <c r="Z959" s="20"/>
      <c r="AA959" s="20"/>
    </row>
    <row r="960" spans="1:27" x14ac:dyDescent="0.2">
      <c r="A960" s="20"/>
      <c r="B960" s="20"/>
      <c r="C960" s="20"/>
      <c r="D960" s="20"/>
      <c r="E960" s="20"/>
      <c r="F960" s="20"/>
      <c r="G960" s="20"/>
      <c r="H960" s="20"/>
      <c r="J960" s="20"/>
      <c r="L960" s="20"/>
      <c r="M960" s="20"/>
      <c r="N960" s="20"/>
      <c r="O960" s="20"/>
      <c r="P960" s="20"/>
      <c r="R960" s="20"/>
      <c r="S960" s="20"/>
      <c r="T960" s="20"/>
      <c r="U960" s="20"/>
      <c r="V960" s="20"/>
      <c r="W960" s="20"/>
      <c r="X960" s="20"/>
      <c r="Y960" s="20"/>
      <c r="Z960" s="20"/>
      <c r="AA960" s="20"/>
    </row>
    <row r="961" spans="1:27" x14ac:dyDescent="0.2">
      <c r="A961" s="20"/>
      <c r="B961" s="20"/>
      <c r="C961" s="20"/>
      <c r="D961" s="20"/>
      <c r="E961" s="20"/>
      <c r="F961" s="20"/>
      <c r="G961" s="20"/>
      <c r="H961" s="20"/>
      <c r="J961" s="20"/>
      <c r="L961" s="20"/>
      <c r="M961" s="20"/>
      <c r="N961" s="20"/>
      <c r="O961" s="20"/>
      <c r="P961" s="20"/>
      <c r="R961" s="20"/>
      <c r="S961" s="20"/>
      <c r="T961" s="20"/>
      <c r="U961" s="20"/>
      <c r="V961" s="20"/>
      <c r="W961" s="20"/>
      <c r="X961" s="20"/>
      <c r="Y961" s="20"/>
      <c r="Z961" s="20"/>
      <c r="AA961" s="20"/>
    </row>
    <row r="962" spans="1:27" x14ac:dyDescent="0.2">
      <c r="A962" s="20"/>
      <c r="B962" s="20"/>
      <c r="C962" s="20"/>
      <c r="D962" s="20"/>
      <c r="E962" s="20"/>
      <c r="F962" s="20"/>
      <c r="G962" s="20"/>
      <c r="H962" s="20"/>
      <c r="J962" s="20"/>
      <c r="L962" s="20"/>
      <c r="M962" s="20"/>
      <c r="N962" s="20"/>
      <c r="O962" s="20"/>
      <c r="P962" s="20"/>
      <c r="R962" s="20"/>
      <c r="S962" s="20"/>
      <c r="T962" s="20"/>
      <c r="U962" s="20"/>
      <c r="V962" s="20"/>
      <c r="W962" s="20"/>
      <c r="X962" s="20"/>
      <c r="Y962" s="20"/>
      <c r="Z962" s="20"/>
      <c r="AA962" s="20"/>
    </row>
    <row r="963" spans="1:27" x14ac:dyDescent="0.2">
      <c r="A963" s="20"/>
      <c r="B963" s="20"/>
      <c r="C963" s="20"/>
      <c r="D963" s="20"/>
      <c r="E963" s="20"/>
      <c r="F963" s="20"/>
      <c r="G963" s="20"/>
      <c r="H963" s="20"/>
      <c r="J963" s="20"/>
      <c r="L963" s="20"/>
      <c r="M963" s="20"/>
      <c r="N963" s="20"/>
      <c r="O963" s="20"/>
      <c r="P963" s="20"/>
      <c r="R963" s="20"/>
      <c r="S963" s="20"/>
      <c r="T963" s="20"/>
      <c r="U963" s="20"/>
      <c r="V963" s="20"/>
      <c r="W963" s="20"/>
      <c r="X963" s="20"/>
      <c r="Y963" s="20"/>
      <c r="Z963" s="20"/>
      <c r="AA963" s="20"/>
    </row>
    <row r="964" spans="1:27" x14ac:dyDescent="0.2">
      <c r="A964" s="20"/>
      <c r="B964" s="20"/>
      <c r="C964" s="20"/>
      <c r="D964" s="20"/>
      <c r="E964" s="20"/>
      <c r="F964" s="20"/>
      <c r="G964" s="20"/>
      <c r="H964" s="20"/>
      <c r="J964" s="20"/>
      <c r="L964" s="20"/>
      <c r="M964" s="20"/>
      <c r="N964" s="20"/>
      <c r="O964" s="20"/>
      <c r="P964" s="20"/>
      <c r="R964" s="20"/>
      <c r="S964" s="20"/>
      <c r="T964" s="20"/>
      <c r="U964" s="20"/>
      <c r="V964" s="20"/>
      <c r="W964" s="20"/>
      <c r="X964" s="20"/>
      <c r="Y964" s="20"/>
      <c r="Z964" s="20"/>
      <c r="AA964" s="20"/>
    </row>
    <row r="965" spans="1:27" x14ac:dyDescent="0.2">
      <c r="A965" s="20"/>
      <c r="B965" s="20"/>
      <c r="C965" s="20"/>
      <c r="D965" s="20"/>
      <c r="E965" s="20"/>
      <c r="F965" s="20"/>
      <c r="G965" s="20"/>
      <c r="H965" s="20"/>
      <c r="J965" s="20"/>
      <c r="L965" s="20"/>
      <c r="M965" s="20"/>
      <c r="N965" s="20"/>
      <c r="O965" s="20"/>
      <c r="P965" s="20"/>
      <c r="R965" s="20"/>
      <c r="S965" s="20"/>
      <c r="T965" s="20"/>
      <c r="U965" s="20"/>
      <c r="V965" s="20"/>
      <c r="W965" s="20"/>
      <c r="X965" s="20"/>
      <c r="Y965" s="20"/>
      <c r="Z965" s="20"/>
      <c r="AA965" s="20"/>
    </row>
    <row r="966" spans="1:27" x14ac:dyDescent="0.2">
      <c r="A966" s="20"/>
      <c r="B966" s="20"/>
      <c r="C966" s="20"/>
      <c r="D966" s="20"/>
      <c r="E966" s="20"/>
      <c r="F966" s="20"/>
      <c r="G966" s="20"/>
      <c r="H966" s="20"/>
      <c r="J966" s="20"/>
      <c r="L966" s="20"/>
      <c r="M966" s="20"/>
      <c r="N966" s="20"/>
      <c r="O966" s="20"/>
      <c r="P966" s="20"/>
      <c r="R966" s="20"/>
      <c r="S966" s="20"/>
      <c r="T966" s="20"/>
      <c r="U966" s="20"/>
      <c r="V966" s="20"/>
      <c r="W966" s="20"/>
      <c r="X966" s="20"/>
      <c r="Y966" s="20"/>
      <c r="Z966" s="20"/>
      <c r="AA966" s="20"/>
    </row>
    <row r="967" spans="1:27" x14ac:dyDescent="0.2">
      <c r="A967" s="20"/>
      <c r="B967" s="20"/>
      <c r="C967" s="20"/>
      <c r="D967" s="20"/>
      <c r="E967" s="20"/>
      <c r="F967" s="20"/>
      <c r="G967" s="20"/>
      <c r="H967" s="20"/>
      <c r="J967" s="20"/>
      <c r="L967" s="20"/>
      <c r="M967" s="20"/>
      <c r="N967" s="20"/>
      <c r="O967" s="20"/>
      <c r="P967" s="20"/>
      <c r="R967" s="20"/>
      <c r="S967" s="20"/>
      <c r="T967" s="20"/>
      <c r="U967" s="20"/>
      <c r="V967" s="20"/>
      <c r="W967" s="20"/>
      <c r="X967" s="20"/>
      <c r="Y967" s="20"/>
      <c r="Z967" s="20"/>
      <c r="AA967" s="20"/>
    </row>
    <row r="968" spans="1:27" x14ac:dyDescent="0.2">
      <c r="A968" s="20"/>
      <c r="B968" s="20"/>
      <c r="C968" s="20"/>
      <c r="D968" s="20"/>
      <c r="E968" s="20"/>
      <c r="F968" s="20"/>
      <c r="G968" s="20"/>
      <c r="H968" s="20"/>
      <c r="J968" s="20"/>
      <c r="L968" s="20"/>
      <c r="M968" s="20"/>
      <c r="N968" s="20"/>
      <c r="O968" s="20"/>
      <c r="P968" s="20"/>
      <c r="R968" s="20"/>
      <c r="S968" s="20"/>
      <c r="T968" s="20"/>
      <c r="U968" s="20"/>
      <c r="V968" s="20"/>
      <c r="W968" s="20"/>
      <c r="X968" s="20"/>
      <c r="Y968" s="20"/>
      <c r="Z968" s="20"/>
      <c r="AA968" s="20"/>
    </row>
    <row r="969" spans="1:27" x14ac:dyDescent="0.2">
      <c r="A969" s="20"/>
      <c r="B969" s="20"/>
      <c r="C969" s="20"/>
      <c r="D969" s="20"/>
      <c r="E969" s="20"/>
      <c r="F969" s="20"/>
      <c r="G969" s="20"/>
      <c r="H969" s="20"/>
      <c r="J969" s="20"/>
      <c r="L969" s="20"/>
      <c r="M969" s="20"/>
      <c r="N969" s="20"/>
      <c r="O969" s="20"/>
      <c r="P969" s="20"/>
      <c r="R969" s="20"/>
      <c r="S969" s="20"/>
      <c r="T969" s="20"/>
      <c r="U969" s="20"/>
      <c r="V969" s="20"/>
      <c r="W969" s="20"/>
      <c r="X969" s="20"/>
      <c r="Y969" s="20"/>
      <c r="Z969" s="20"/>
      <c r="AA969" s="20"/>
    </row>
    <row r="970" spans="1:27" x14ac:dyDescent="0.2">
      <c r="A970" s="20"/>
      <c r="B970" s="20"/>
      <c r="C970" s="20"/>
      <c r="D970" s="20"/>
      <c r="E970" s="20"/>
      <c r="F970" s="20"/>
      <c r="G970" s="20"/>
      <c r="H970" s="20"/>
      <c r="J970" s="20"/>
      <c r="L970" s="20"/>
      <c r="M970" s="20"/>
      <c r="N970" s="20"/>
      <c r="O970" s="20"/>
      <c r="P970" s="20"/>
      <c r="R970" s="20"/>
      <c r="S970" s="20"/>
      <c r="T970" s="20"/>
      <c r="U970" s="20"/>
      <c r="V970" s="20"/>
      <c r="W970" s="20"/>
      <c r="X970" s="20"/>
      <c r="Y970" s="20"/>
      <c r="Z970" s="20"/>
      <c r="AA970" s="20"/>
    </row>
    <row r="971" spans="1:27" x14ac:dyDescent="0.2">
      <c r="A971" s="20"/>
      <c r="B971" s="20"/>
      <c r="C971" s="20"/>
      <c r="D971" s="20"/>
      <c r="E971" s="20"/>
      <c r="F971" s="20"/>
      <c r="G971" s="20"/>
      <c r="H971" s="20"/>
      <c r="J971" s="20"/>
      <c r="L971" s="20"/>
      <c r="M971" s="20"/>
      <c r="N971" s="20"/>
      <c r="O971" s="20"/>
      <c r="P971" s="20"/>
      <c r="R971" s="20"/>
      <c r="S971" s="20"/>
      <c r="T971" s="20"/>
      <c r="U971" s="20"/>
      <c r="V971" s="20"/>
      <c r="W971" s="20"/>
      <c r="X971" s="20"/>
      <c r="Y971" s="20"/>
      <c r="Z971" s="20"/>
      <c r="AA971" s="20"/>
    </row>
    <row r="972" spans="1:27" x14ac:dyDescent="0.2">
      <c r="A972" s="20"/>
      <c r="B972" s="20"/>
      <c r="C972" s="20"/>
      <c r="D972" s="20"/>
      <c r="E972" s="20"/>
      <c r="F972" s="20"/>
      <c r="G972" s="20"/>
      <c r="H972" s="20"/>
      <c r="J972" s="20"/>
      <c r="L972" s="20"/>
      <c r="M972" s="20"/>
      <c r="N972" s="20"/>
      <c r="O972" s="20"/>
      <c r="P972" s="20"/>
      <c r="R972" s="20"/>
      <c r="S972" s="20"/>
      <c r="T972" s="20"/>
      <c r="U972" s="20"/>
      <c r="V972" s="20"/>
      <c r="W972" s="20"/>
      <c r="X972" s="20"/>
      <c r="Y972" s="20"/>
      <c r="Z972" s="20"/>
      <c r="AA972" s="20"/>
    </row>
    <row r="973" spans="1:27" x14ac:dyDescent="0.2">
      <c r="A973" s="20"/>
      <c r="B973" s="20"/>
      <c r="C973" s="20"/>
      <c r="D973" s="20"/>
      <c r="E973" s="20"/>
      <c r="F973" s="20"/>
      <c r="G973" s="20"/>
      <c r="H973" s="20"/>
      <c r="J973" s="20"/>
      <c r="L973" s="20"/>
      <c r="M973" s="20"/>
      <c r="N973" s="20"/>
      <c r="O973" s="20"/>
      <c r="P973" s="20"/>
      <c r="R973" s="20"/>
      <c r="S973" s="20"/>
      <c r="T973" s="20"/>
      <c r="U973" s="20"/>
      <c r="V973" s="20"/>
      <c r="W973" s="20"/>
      <c r="X973" s="20"/>
      <c r="Y973" s="20"/>
      <c r="Z973" s="20"/>
      <c r="AA973" s="20"/>
    </row>
    <row r="974" spans="1:27" x14ac:dyDescent="0.2">
      <c r="A974" s="20"/>
      <c r="B974" s="20"/>
      <c r="C974" s="20"/>
      <c r="D974" s="20"/>
      <c r="E974" s="20"/>
      <c r="F974" s="20"/>
      <c r="G974" s="20"/>
      <c r="H974" s="20"/>
      <c r="J974" s="20"/>
      <c r="L974" s="20"/>
      <c r="M974" s="20"/>
      <c r="N974" s="20"/>
      <c r="O974" s="20"/>
      <c r="P974" s="20"/>
      <c r="R974" s="20"/>
      <c r="S974" s="20"/>
      <c r="T974" s="20"/>
      <c r="U974" s="20"/>
      <c r="V974" s="20"/>
      <c r="W974" s="20"/>
      <c r="X974" s="20"/>
      <c r="Y974" s="20"/>
      <c r="Z974" s="20"/>
      <c r="AA974" s="20"/>
    </row>
    <row r="975" spans="1:27" x14ac:dyDescent="0.2">
      <c r="A975" s="20"/>
      <c r="B975" s="20"/>
      <c r="C975" s="20"/>
      <c r="D975" s="20"/>
      <c r="E975" s="20"/>
      <c r="F975" s="20"/>
      <c r="G975" s="20"/>
      <c r="H975" s="20"/>
      <c r="J975" s="20"/>
      <c r="L975" s="20"/>
      <c r="M975" s="20"/>
      <c r="N975" s="20"/>
      <c r="O975" s="20"/>
      <c r="P975" s="20"/>
      <c r="R975" s="20"/>
      <c r="S975" s="20"/>
      <c r="T975" s="20"/>
      <c r="U975" s="20"/>
      <c r="V975" s="20"/>
      <c r="W975" s="20"/>
      <c r="X975" s="20"/>
      <c r="Y975" s="20"/>
      <c r="Z975" s="20"/>
      <c r="AA975" s="20"/>
    </row>
    <row r="976" spans="1:27" x14ac:dyDescent="0.2">
      <c r="A976" s="20"/>
      <c r="B976" s="20"/>
      <c r="C976" s="20"/>
      <c r="D976" s="20"/>
      <c r="E976" s="20"/>
      <c r="F976" s="20"/>
      <c r="G976" s="20"/>
      <c r="H976" s="20"/>
      <c r="J976" s="20"/>
      <c r="L976" s="20"/>
      <c r="M976" s="20"/>
      <c r="N976" s="20"/>
      <c r="O976" s="20"/>
      <c r="P976" s="20"/>
      <c r="R976" s="20"/>
      <c r="S976" s="20"/>
      <c r="T976" s="20"/>
      <c r="U976" s="20"/>
      <c r="V976" s="20"/>
      <c r="W976" s="20"/>
      <c r="X976" s="20"/>
      <c r="Y976" s="20"/>
      <c r="Z976" s="20"/>
      <c r="AA976" s="20"/>
    </row>
    <row r="977" spans="1:27" x14ac:dyDescent="0.2">
      <c r="A977" s="20"/>
      <c r="B977" s="20"/>
      <c r="C977" s="20"/>
      <c r="D977" s="20"/>
      <c r="E977" s="20"/>
      <c r="F977" s="20"/>
      <c r="G977" s="20"/>
      <c r="H977" s="20"/>
      <c r="J977" s="20"/>
      <c r="L977" s="20"/>
      <c r="M977" s="20"/>
      <c r="N977" s="20"/>
      <c r="O977" s="20"/>
      <c r="P977" s="20"/>
      <c r="R977" s="20"/>
      <c r="S977" s="20"/>
      <c r="T977" s="20"/>
      <c r="U977" s="20"/>
      <c r="V977" s="20"/>
      <c r="W977" s="20"/>
      <c r="X977" s="20"/>
      <c r="Y977" s="20"/>
      <c r="Z977" s="20"/>
      <c r="AA977" s="20"/>
    </row>
    <row r="978" spans="1:27" x14ac:dyDescent="0.2">
      <c r="A978" s="20"/>
      <c r="B978" s="20"/>
      <c r="C978" s="20"/>
      <c r="D978" s="20"/>
      <c r="E978" s="20"/>
      <c r="F978" s="20"/>
      <c r="G978" s="20"/>
      <c r="H978" s="20"/>
      <c r="J978" s="20"/>
      <c r="L978" s="20"/>
      <c r="M978" s="20"/>
      <c r="N978" s="20"/>
      <c r="O978" s="20"/>
      <c r="P978" s="20"/>
      <c r="R978" s="20"/>
      <c r="S978" s="20"/>
      <c r="T978" s="20"/>
      <c r="U978" s="20"/>
      <c r="V978" s="20"/>
      <c r="W978" s="20"/>
      <c r="X978" s="20"/>
      <c r="Y978" s="20"/>
      <c r="Z978" s="20"/>
      <c r="AA978" s="20"/>
    </row>
    <row r="979" spans="1:27" x14ac:dyDescent="0.2">
      <c r="A979" s="20"/>
      <c r="B979" s="20"/>
      <c r="C979" s="20"/>
      <c r="D979" s="20"/>
      <c r="E979" s="20"/>
      <c r="F979" s="20"/>
      <c r="G979" s="20"/>
      <c r="H979" s="20"/>
      <c r="J979" s="20"/>
      <c r="L979" s="20"/>
      <c r="M979" s="20"/>
      <c r="N979" s="20"/>
      <c r="O979" s="20"/>
      <c r="P979" s="20"/>
      <c r="R979" s="20"/>
      <c r="S979" s="20"/>
      <c r="T979" s="20"/>
      <c r="U979" s="20"/>
      <c r="V979" s="20"/>
      <c r="W979" s="20"/>
      <c r="X979" s="20"/>
      <c r="Y979" s="20"/>
      <c r="Z979" s="20"/>
      <c r="AA979" s="20"/>
    </row>
    <row r="980" spans="1:27" x14ac:dyDescent="0.2">
      <c r="A980" s="20"/>
      <c r="B980" s="20"/>
      <c r="C980" s="20"/>
      <c r="D980" s="20"/>
      <c r="E980" s="20"/>
      <c r="F980" s="20"/>
      <c r="G980" s="20"/>
      <c r="H980" s="20"/>
      <c r="J980" s="20"/>
      <c r="L980" s="20"/>
      <c r="M980" s="20"/>
      <c r="N980" s="20"/>
      <c r="O980" s="20"/>
      <c r="P980" s="20"/>
      <c r="R980" s="20"/>
      <c r="S980" s="20"/>
      <c r="T980" s="20"/>
      <c r="U980" s="20"/>
      <c r="V980" s="20"/>
      <c r="W980" s="20"/>
      <c r="X980" s="20"/>
      <c r="Y980" s="20"/>
      <c r="Z980" s="20"/>
      <c r="AA980" s="20"/>
    </row>
    <row r="981" spans="1:27" x14ac:dyDescent="0.2">
      <c r="A981" s="20"/>
      <c r="B981" s="20"/>
      <c r="C981" s="20"/>
      <c r="D981" s="20"/>
      <c r="E981" s="20"/>
      <c r="F981" s="20"/>
      <c r="G981" s="20"/>
      <c r="H981" s="20"/>
      <c r="J981" s="20"/>
      <c r="L981" s="20"/>
      <c r="M981" s="20"/>
      <c r="N981" s="20"/>
      <c r="O981" s="20"/>
      <c r="P981" s="20"/>
      <c r="R981" s="20"/>
      <c r="S981" s="20"/>
      <c r="T981" s="20"/>
      <c r="U981" s="20"/>
      <c r="V981" s="20"/>
      <c r="W981" s="20"/>
      <c r="X981" s="20"/>
      <c r="Y981" s="20"/>
      <c r="Z981" s="20"/>
      <c r="AA981" s="20"/>
    </row>
    <row r="982" spans="1:27" x14ac:dyDescent="0.2">
      <c r="A982" s="20"/>
      <c r="B982" s="20"/>
      <c r="C982" s="20"/>
      <c r="D982" s="20"/>
      <c r="E982" s="20"/>
      <c r="F982" s="20"/>
      <c r="G982" s="20"/>
      <c r="H982" s="20"/>
      <c r="J982" s="20"/>
      <c r="L982" s="20"/>
      <c r="M982" s="20"/>
      <c r="N982" s="20"/>
      <c r="O982" s="20"/>
      <c r="P982" s="20"/>
      <c r="R982" s="20"/>
      <c r="S982" s="20"/>
      <c r="T982" s="20"/>
      <c r="U982" s="20"/>
      <c r="V982" s="20"/>
      <c r="W982" s="20"/>
      <c r="X982" s="20"/>
      <c r="Y982" s="20"/>
      <c r="Z982" s="20"/>
      <c r="AA982" s="20"/>
    </row>
    <row r="983" spans="1:27" x14ac:dyDescent="0.2">
      <c r="A983" s="20"/>
      <c r="B983" s="20"/>
      <c r="C983" s="20"/>
      <c r="D983" s="20"/>
      <c r="E983" s="20"/>
      <c r="F983" s="20"/>
      <c r="G983" s="20"/>
      <c r="H983" s="20"/>
      <c r="J983" s="20"/>
      <c r="L983" s="20"/>
      <c r="M983" s="20"/>
      <c r="N983" s="20"/>
      <c r="O983" s="20"/>
      <c r="P983" s="20"/>
      <c r="R983" s="20"/>
      <c r="S983" s="20"/>
      <c r="T983" s="20"/>
      <c r="U983" s="20"/>
      <c r="V983" s="20"/>
      <c r="W983" s="20"/>
      <c r="X983" s="20"/>
      <c r="Y983" s="20"/>
      <c r="Z983" s="20"/>
      <c r="AA983" s="20"/>
    </row>
    <row r="984" spans="1:27" x14ac:dyDescent="0.2">
      <c r="A984" s="20"/>
      <c r="B984" s="20"/>
      <c r="C984" s="20"/>
      <c r="D984" s="20"/>
      <c r="E984" s="20"/>
      <c r="F984" s="20"/>
      <c r="G984" s="20"/>
      <c r="H984" s="20"/>
      <c r="J984" s="20"/>
      <c r="L984" s="20"/>
      <c r="M984" s="20"/>
      <c r="N984" s="20"/>
      <c r="O984" s="20"/>
      <c r="P984" s="20"/>
      <c r="R984" s="20"/>
      <c r="S984" s="20"/>
      <c r="T984" s="20"/>
      <c r="U984" s="20"/>
      <c r="V984" s="20"/>
      <c r="W984" s="20"/>
      <c r="X984" s="20"/>
      <c r="Y984" s="20"/>
      <c r="Z984" s="20"/>
      <c r="AA984" s="20"/>
    </row>
    <row r="985" spans="1:27" x14ac:dyDescent="0.2">
      <c r="A985" s="20"/>
      <c r="B985" s="20"/>
      <c r="C985" s="20"/>
      <c r="D985" s="20"/>
      <c r="E985" s="20"/>
      <c r="F985" s="20"/>
      <c r="G985" s="20"/>
      <c r="H985" s="20"/>
      <c r="J985" s="20"/>
      <c r="L985" s="20"/>
      <c r="M985" s="20"/>
      <c r="N985" s="20"/>
      <c r="O985" s="20"/>
      <c r="P985" s="20"/>
      <c r="R985" s="20"/>
      <c r="S985" s="20"/>
      <c r="T985" s="20"/>
      <c r="U985" s="20"/>
      <c r="V985" s="20"/>
      <c r="W985" s="20"/>
      <c r="X985" s="20"/>
      <c r="Y985" s="20"/>
      <c r="Z985" s="20"/>
      <c r="AA985" s="20"/>
    </row>
    <row r="986" spans="1:27" x14ac:dyDescent="0.2">
      <c r="A986" s="20"/>
      <c r="B986" s="20"/>
      <c r="C986" s="20"/>
      <c r="D986" s="20"/>
      <c r="E986" s="20"/>
      <c r="F986" s="20"/>
      <c r="G986" s="20"/>
      <c r="H986" s="20"/>
      <c r="J986" s="20"/>
      <c r="L986" s="20"/>
      <c r="M986" s="20"/>
      <c r="N986" s="20"/>
      <c r="O986" s="20"/>
      <c r="P986" s="20"/>
      <c r="R986" s="20"/>
      <c r="S986" s="20"/>
      <c r="T986" s="20"/>
      <c r="U986" s="20"/>
      <c r="V986" s="20"/>
      <c r="W986" s="20"/>
      <c r="X986" s="20"/>
      <c r="Y986" s="20"/>
      <c r="Z986" s="20"/>
      <c r="AA986" s="20"/>
    </row>
    <row r="987" spans="1:27" x14ac:dyDescent="0.2">
      <c r="A987" s="20"/>
      <c r="B987" s="20"/>
      <c r="C987" s="20"/>
      <c r="D987" s="20"/>
      <c r="E987" s="20"/>
      <c r="F987" s="20"/>
      <c r="G987" s="20"/>
      <c r="H987" s="20"/>
      <c r="J987" s="20"/>
      <c r="L987" s="20"/>
      <c r="M987" s="20"/>
      <c r="N987" s="20"/>
      <c r="O987" s="20"/>
      <c r="P987" s="20"/>
      <c r="R987" s="20"/>
      <c r="S987" s="20"/>
      <c r="T987" s="20"/>
      <c r="U987" s="20"/>
      <c r="V987" s="20"/>
      <c r="W987" s="20"/>
      <c r="X987" s="20"/>
      <c r="Y987" s="20"/>
      <c r="Z987" s="20"/>
      <c r="AA987" s="20"/>
    </row>
    <row r="988" spans="1:27" x14ac:dyDescent="0.2">
      <c r="A988" s="20"/>
      <c r="B988" s="20"/>
      <c r="C988" s="20"/>
      <c r="D988" s="20"/>
      <c r="E988" s="20"/>
      <c r="F988" s="20"/>
      <c r="G988" s="20"/>
      <c r="H988" s="20"/>
      <c r="J988" s="20"/>
      <c r="L988" s="20"/>
      <c r="M988" s="20"/>
      <c r="N988" s="20"/>
      <c r="O988" s="20"/>
      <c r="P988" s="20"/>
      <c r="R988" s="20"/>
      <c r="S988" s="20"/>
      <c r="T988" s="20"/>
      <c r="U988" s="20"/>
      <c r="V988" s="20"/>
      <c r="W988" s="20"/>
      <c r="X988" s="20"/>
      <c r="Y988" s="20"/>
      <c r="Z988" s="20"/>
      <c r="AA988" s="20"/>
    </row>
    <row r="989" spans="1:27" x14ac:dyDescent="0.2">
      <c r="A989" s="20"/>
      <c r="B989" s="20"/>
      <c r="C989" s="20"/>
      <c r="D989" s="20"/>
      <c r="E989" s="20"/>
      <c r="F989" s="20"/>
      <c r="G989" s="20"/>
      <c r="H989" s="20"/>
      <c r="J989" s="20"/>
      <c r="L989" s="20"/>
      <c r="M989" s="20"/>
      <c r="N989" s="20"/>
      <c r="O989" s="20"/>
      <c r="P989" s="20"/>
      <c r="R989" s="20"/>
      <c r="S989" s="20"/>
      <c r="T989" s="20"/>
      <c r="U989" s="20"/>
      <c r="V989" s="20"/>
      <c r="W989" s="20"/>
      <c r="X989" s="20"/>
      <c r="Y989" s="20"/>
      <c r="Z989" s="20"/>
      <c r="AA989" s="20"/>
    </row>
    <row r="990" spans="1:27" x14ac:dyDescent="0.2">
      <c r="A990" s="20"/>
      <c r="B990" s="20"/>
      <c r="C990" s="20"/>
      <c r="D990" s="20"/>
      <c r="E990" s="20"/>
      <c r="F990" s="20"/>
      <c r="G990" s="20"/>
      <c r="H990" s="20"/>
      <c r="J990" s="20"/>
      <c r="L990" s="20"/>
      <c r="M990" s="20"/>
      <c r="N990" s="20"/>
      <c r="O990" s="20"/>
      <c r="P990" s="20"/>
      <c r="R990" s="20"/>
      <c r="S990" s="20"/>
      <c r="T990" s="20"/>
      <c r="U990" s="20"/>
      <c r="V990" s="20"/>
      <c r="W990" s="20"/>
      <c r="X990" s="20"/>
      <c r="Y990" s="20"/>
      <c r="Z990" s="20"/>
      <c r="AA990" s="20"/>
    </row>
    <row r="991" spans="1:27" x14ac:dyDescent="0.2">
      <c r="A991" s="20"/>
      <c r="B991" s="20"/>
      <c r="C991" s="20"/>
      <c r="D991" s="20"/>
      <c r="E991" s="20"/>
      <c r="F991" s="20"/>
      <c r="G991" s="20"/>
      <c r="H991" s="20"/>
      <c r="J991" s="20"/>
      <c r="L991" s="20"/>
      <c r="M991" s="20"/>
      <c r="N991" s="20"/>
      <c r="O991" s="20"/>
      <c r="P991" s="20"/>
      <c r="R991" s="20"/>
      <c r="S991" s="20"/>
      <c r="T991" s="20"/>
      <c r="U991" s="20"/>
      <c r="V991" s="20"/>
      <c r="W991" s="20"/>
      <c r="X991" s="20"/>
      <c r="Y991" s="20"/>
      <c r="Z991" s="20"/>
      <c r="AA991" s="20"/>
    </row>
    <row r="992" spans="1:27" x14ac:dyDescent="0.2">
      <c r="A992" s="20"/>
      <c r="B992" s="20"/>
      <c r="C992" s="20"/>
      <c r="D992" s="20"/>
      <c r="E992" s="20"/>
      <c r="F992" s="20"/>
      <c r="G992" s="20"/>
      <c r="H992" s="20"/>
      <c r="J992" s="20"/>
      <c r="L992" s="20"/>
      <c r="M992" s="20"/>
      <c r="N992" s="20"/>
      <c r="O992" s="20"/>
      <c r="P992" s="20"/>
      <c r="R992" s="20"/>
      <c r="S992" s="20"/>
      <c r="T992" s="20"/>
      <c r="U992" s="20"/>
      <c r="V992" s="20"/>
      <c r="W992" s="20"/>
      <c r="X992" s="20"/>
      <c r="Y992" s="20"/>
      <c r="Z992" s="20"/>
      <c r="AA992" s="20"/>
    </row>
    <row r="993" spans="1:27" x14ac:dyDescent="0.2">
      <c r="A993" s="20"/>
      <c r="B993" s="20"/>
      <c r="C993" s="20"/>
      <c r="D993" s="20"/>
      <c r="E993" s="20"/>
      <c r="F993" s="20"/>
      <c r="G993" s="20"/>
      <c r="H993" s="20"/>
      <c r="J993" s="20"/>
      <c r="L993" s="20"/>
      <c r="M993" s="20"/>
      <c r="N993" s="20"/>
      <c r="O993" s="20"/>
      <c r="P993" s="20"/>
      <c r="R993" s="20"/>
      <c r="S993" s="20"/>
      <c r="T993" s="20"/>
      <c r="U993" s="20"/>
      <c r="V993" s="20"/>
      <c r="W993" s="20"/>
      <c r="X993" s="20"/>
      <c r="Y993" s="20"/>
      <c r="Z993" s="20"/>
      <c r="AA993" s="20"/>
    </row>
    <row r="994" spans="1:27" x14ac:dyDescent="0.2">
      <c r="A994" s="20"/>
      <c r="B994" s="20"/>
      <c r="C994" s="20"/>
      <c r="D994" s="20"/>
      <c r="E994" s="20"/>
      <c r="F994" s="20"/>
      <c r="G994" s="20"/>
      <c r="H994" s="20"/>
      <c r="J994" s="20"/>
      <c r="L994" s="20"/>
      <c r="M994" s="20"/>
      <c r="N994" s="20"/>
      <c r="O994" s="20"/>
      <c r="P994" s="20"/>
      <c r="R994" s="20"/>
      <c r="S994" s="20"/>
      <c r="T994" s="20"/>
      <c r="U994" s="20"/>
      <c r="V994" s="20"/>
      <c r="W994" s="20"/>
      <c r="X994" s="20"/>
      <c r="Y994" s="20"/>
      <c r="Z994" s="20"/>
      <c r="AA994" s="20"/>
    </row>
    <row r="995" spans="1:27" x14ac:dyDescent="0.2">
      <c r="A995" s="20"/>
      <c r="B995" s="20"/>
      <c r="C995" s="20"/>
      <c r="D995" s="20"/>
      <c r="E995" s="20"/>
      <c r="F995" s="20"/>
      <c r="G995" s="20"/>
      <c r="H995" s="20"/>
      <c r="J995" s="20"/>
      <c r="L995" s="20"/>
      <c r="M995" s="20"/>
      <c r="N995" s="20"/>
      <c r="O995" s="20"/>
      <c r="P995" s="20"/>
      <c r="R995" s="20"/>
      <c r="S995" s="20"/>
      <c r="T995" s="20"/>
      <c r="U995" s="20"/>
      <c r="V995" s="20"/>
      <c r="W995" s="20"/>
      <c r="X995" s="20"/>
      <c r="Y995" s="20"/>
      <c r="Z995" s="20"/>
      <c r="AA995" s="20"/>
    </row>
    <row r="996" spans="1:27" x14ac:dyDescent="0.2">
      <c r="A996" s="20"/>
      <c r="B996" s="20"/>
      <c r="C996" s="20"/>
      <c r="D996" s="20"/>
      <c r="E996" s="20"/>
      <c r="F996" s="20"/>
      <c r="G996" s="20"/>
      <c r="H996" s="20"/>
      <c r="J996" s="20"/>
      <c r="L996" s="20"/>
      <c r="M996" s="20"/>
      <c r="N996" s="20"/>
      <c r="O996" s="20"/>
      <c r="P996" s="20"/>
      <c r="R996" s="20"/>
      <c r="S996" s="20"/>
      <c r="T996" s="20"/>
      <c r="U996" s="20"/>
      <c r="V996" s="20"/>
      <c r="W996" s="20"/>
      <c r="X996" s="20"/>
      <c r="Y996" s="20"/>
      <c r="Z996" s="20"/>
      <c r="AA996" s="20"/>
    </row>
    <row r="997" spans="1:27" x14ac:dyDescent="0.2">
      <c r="A997" s="20"/>
      <c r="B997" s="20"/>
      <c r="C997" s="20"/>
      <c r="D997" s="20"/>
      <c r="E997" s="20"/>
      <c r="F997" s="20"/>
      <c r="G997" s="20"/>
      <c r="H997" s="20"/>
      <c r="J997" s="20"/>
      <c r="L997" s="20"/>
      <c r="M997" s="20"/>
      <c r="N997" s="20"/>
      <c r="O997" s="20"/>
      <c r="P997" s="20"/>
      <c r="R997" s="20"/>
      <c r="S997" s="20"/>
      <c r="T997" s="20"/>
      <c r="U997" s="20"/>
      <c r="V997" s="20"/>
      <c r="W997" s="20"/>
      <c r="X997" s="20"/>
      <c r="Y997" s="20"/>
      <c r="Z997" s="20"/>
      <c r="AA997" s="20"/>
    </row>
    <row r="998" spans="1:27" x14ac:dyDescent="0.2">
      <c r="A998" s="20"/>
      <c r="B998" s="20"/>
      <c r="C998" s="20"/>
      <c r="D998" s="20"/>
      <c r="E998" s="20"/>
      <c r="F998" s="20"/>
      <c r="G998" s="20"/>
      <c r="H998" s="20"/>
      <c r="J998" s="20"/>
      <c r="L998" s="20"/>
      <c r="M998" s="20"/>
      <c r="N998" s="20"/>
      <c r="O998" s="20"/>
      <c r="P998" s="20"/>
      <c r="R998" s="20"/>
      <c r="S998" s="20"/>
      <c r="T998" s="20"/>
      <c r="U998" s="20"/>
      <c r="V998" s="20"/>
      <c r="W998" s="20"/>
      <c r="X998" s="20"/>
      <c r="Y998" s="20"/>
      <c r="Z998" s="20"/>
      <c r="AA998" s="20"/>
    </row>
    <row r="999" spans="1:27" x14ac:dyDescent="0.2">
      <c r="A999" s="20"/>
      <c r="B999" s="20"/>
      <c r="C999" s="20"/>
      <c r="D999" s="20"/>
      <c r="E999" s="20"/>
      <c r="F999" s="20"/>
      <c r="G999" s="20"/>
      <c r="H999" s="20"/>
      <c r="J999" s="20"/>
      <c r="L999" s="20"/>
      <c r="M999" s="20"/>
      <c r="N999" s="20"/>
      <c r="O999" s="20"/>
      <c r="P999" s="20"/>
      <c r="R999" s="20"/>
      <c r="S999" s="20"/>
      <c r="T999" s="20"/>
      <c r="U999" s="20"/>
      <c r="V999" s="20"/>
      <c r="W999" s="20"/>
      <c r="X999" s="20"/>
      <c r="Y999" s="20"/>
      <c r="Z999" s="20"/>
      <c r="AA999" s="20"/>
    </row>
    <row r="1000" spans="1:27" x14ac:dyDescent="0.2">
      <c r="A1000" s="20"/>
      <c r="B1000" s="20"/>
      <c r="C1000" s="20"/>
      <c r="D1000" s="20"/>
      <c r="E1000" s="20"/>
      <c r="F1000" s="20"/>
      <c r="G1000" s="20"/>
      <c r="H1000" s="20"/>
      <c r="J1000" s="20"/>
      <c r="L1000" s="20"/>
      <c r="M1000" s="20"/>
      <c r="N1000" s="20"/>
      <c r="O1000" s="20"/>
      <c r="P1000" s="20"/>
      <c r="R1000" s="20"/>
      <c r="S1000" s="20"/>
      <c r="T1000" s="20"/>
      <c r="U1000" s="20"/>
      <c r="V1000" s="20"/>
      <c r="W1000" s="20"/>
      <c r="X1000" s="20"/>
      <c r="Y1000" s="20"/>
      <c r="Z1000" s="20"/>
      <c r="AA1000" s="20"/>
    </row>
    <row r="1001" spans="1:27" x14ac:dyDescent="0.2">
      <c r="A1001" s="20"/>
      <c r="B1001" s="20"/>
      <c r="C1001" s="20"/>
      <c r="D1001" s="20"/>
      <c r="E1001" s="20"/>
      <c r="F1001" s="20"/>
      <c r="G1001" s="20"/>
      <c r="H1001" s="20"/>
      <c r="J1001" s="20"/>
      <c r="L1001" s="20"/>
      <c r="M1001" s="20"/>
      <c r="N1001" s="20"/>
      <c r="O1001" s="20"/>
      <c r="P1001" s="20"/>
      <c r="R1001" s="20"/>
      <c r="S1001" s="20"/>
      <c r="T1001" s="20"/>
      <c r="U1001" s="20"/>
      <c r="V1001" s="20"/>
      <c r="W1001" s="20"/>
      <c r="X1001" s="20"/>
      <c r="Y1001" s="20"/>
      <c r="Z1001" s="20"/>
      <c r="AA1001" s="20"/>
    </row>
    <row r="1002" spans="1:27" x14ac:dyDescent="0.2">
      <c r="A1002" s="20"/>
      <c r="B1002" s="20"/>
      <c r="C1002" s="20"/>
      <c r="D1002" s="20"/>
      <c r="E1002" s="20"/>
      <c r="F1002" s="20"/>
      <c r="G1002" s="20"/>
      <c r="H1002" s="20"/>
      <c r="J1002" s="20"/>
      <c r="L1002" s="20"/>
      <c r="M1002" s="20"/>
      <c r="N1002" s="20"/>
      <c r="O1002" s="20"/>
      <c r="P1002" s="20"/>
      <c r="R1002" s="20"/>
      <c r="S1002" s="20"/>
      <c r="T1002" s="20"/>
      <c r="U1002" s="20"/>
      <c r="V1002" s="20"/>
      <c r="W1002" s="20"/>
      <c r="X1002" s="20"/>
      <c r="Y1002" s="20"/>
      <c r="Z1002" s="20"/>
      <c r="AA1002" s="20"/>
    </row>
    <row r="1003" spans="1:27" x14ac:dyDescent="0.2">
      <c r="A1003" s="20"/>
      <c r="B1003" s="20"/>
      <c r="C1003" s="20"/>
      <c r="D1003" s="20"/>
      <c r="E1003" s="20"/>
      <c r="F1003" s="20"/>
      <c r="G1003" s="20"/>
      <c r="H1003" s="20"/>
      <c r="J1003" s="20"/>
      <c r="L1003" s="20"/>
      <c r="M1003" s="20"/>
      <c r="N1003" s="20"/>
      <c r="O1003" s="20"/>
      <c r="P1003" s="20"/>
      <c r="R1003" s="20"/>
      <c r="S1003" s="20"/>
      <c r="T1003" s="20"/>
      <c r="U1003" s="20"/>
      <c r="V1003" s="20"/>
      <c r="W1003" s="20"/>
      <c r="X1003" s="20"/>
      <c r="Y1003" s="20"/>
      <c r="Z1003" s="20"/>
      <c r="AA1003" s="20"/>
    </row>
    <row r="1004" spans="1:27" x14ac:dyDescent="0.2">
      <c r="A1004" s="20"/>
      <c r="B1004" s="20"/>
      <c r="C1004" s="20"/>
      <c r="D1004" s="20"/>
      <c r="E1004" s="20"/>
      <c r="F1004" s="20"/>
      <c r="G1004" s="20"/>
      <c r="H1004" s="20"/>
      <c r="J1004" s="20"/>
      <c r="L1004" s="20"/>
      <c r="M1004" s="20"/>
      <c r="N1004" s="20"/>
      <c r="O1004" s="20"/>
      <c r="P1004" s="20"/>
      <c r="R1004" s="20"/>
      <c r="S1004" s="20"/>
      <c r="T1004" s="20"/>
      <c r="U1004" s="20"/>
      <c r="V1004" s="20"/>
      <c r="W1004" s="20"/>
      <c r="X1004" s="20"/>
      <c r="Y1004" s="20"/>
      <c r="Z1004" s="20"/>
      <c r="AA1004" s="20"/>
    </row>
    <row r="1005" spans="1:27" x14ac:dyDescent="0.2">
      <c r="A1005" s="20"/>
      <c r="B1005" s="20"/>
      <c r="C1005" s="20"/>
      <c r="D1005" s="20"/>
      <c r="E1005" s="20"/>
      <c r="F1005" s="20"/>
      <c r="G1005" s="20"/>
      <c r="H1005" s="20"/>
      <c r="J1005" s="20"/>
      <c r="L1005" s="20"/>
      <c r="M1005" s="20"/>
      <c r="N1005" s="20"/>
      <c r="O1005" s="20"/>
      <c r="P1005" s="20"/>
      <c r="R1005" s="20"/>
      <c r="S1005" s="20"/>
      <c r="T1005" s="20"/>
      <c r="U1005" s="20"/>
      <c r="V1005" s="20"/>
      <c r="W1005" s="20"/>
      <c r="X1005" s="20"/>
      <c r="Y1005" s="20"/>
      <c r="Z1005" s="20"/>
      <c r="AA1005" s="20"/>
    </row>
    <row r="1006" spans="1:27" x14ac:dyDescent="0.2">
      <c r="A1006" s="20"/>
      <c r="B1006" s="20"/>
      <c r="C1006" s="20"/>
      <c r="D1006" s="20"/>
      <c r="E1006" s="20"/>
      <c r="F1006" s="20"/>
      <c r="G1006" s="20"/>
      <c r="H1006" s="20"/>
      <c r="J1006" s="20"/>
      <c r="L1006" s="20"/>
      <c r="M1006" s="20"/>
      <c r="N1006" s="20"/>
      <c r="O1006" s="20"/>
      <c r="P1006" s="20"/>
      <c r="R1006" s="20"/>
      <c r="S1006" s="20"/>
      <c r="T1006" s="20"/>
      <c r="U1006" s="20"/>
      <c r="V1006" s="20"/>
      <c r="W1006" s="20"/>
      <c r="X1006" s="20"/>
      <c r="Y1006" s="20"/>
      <c r="Z1006" s="20"/>
      <c r="AA1006" s="20"/>
    </row>
    <row r="1007" spans="1:27" x14ac:dyDescent="0.2">
      <c r="A1007" s="20"/>
      <c r="B1007" s="20"/>
      <c r="C1007" s="20"/>
      <c r="D1007" s="20"/>
      <c r="E1007" s="20"/>
      <c r="F1007" s="20"/>
      <c r="G1007" s="20"/>
      <c r="H1007" s="20"/>
      <c r="J1007" s="20"/>
      <c r="L1007" s="20"/>
      <c r="M1007" s="20"/>
      <c r="N1007" s="20"/>
      <c r="O1007" s="20"/>
      <c r="P1007" s="20"/>
      <c r="R1007" s="20"/>
      <c r="S1007" s="20"/>
      <c r="T1007" s="20"/>
      <c r="U1007" s="20"/>
      <c r="V1007" s="20"/>
      <c r="W1007" s="20"/>
      <c r="X1007" s="20"/>
      <c r="Y1007" s="20"/>
      <c r="Z1007" s="20"/>
      <c r="AA1007" s="20"/>
    </row>
    <row r="1008" spans="1:27" x14ac:dyDescent="0.2">
      <c r="A1008" s="20"/>
      <c r="B1008" s="20"/>
      <c r="C1008" s="20"/>
      <c r="D1008" s="20"/>
      <c r="E1008" s="20"/>
      <c r="F1008" s="20"/>
      <c r="G1008" s="20"/>
      <c r="H1008" s="20"/>
      <c r="J1008" s="20"/>
      <c r="L1008" s="20"/>
      <c r="M1008" s="20"/>
      <c r="N1008" s="20"/>
      <c r="O1008" s="20"/>
      <c r="P1008" s="20"/>
      <c r="R1008" s="20"/>
      <c r="S1008" s="20"/>
      <c r="T1008" s="20"/>
      <c r="U1008" s="20"/>
      <c r="V1008" s="20"/>
      <c r="W1008" s="20"/>
      <c r="X1008" s="20"/>
      <c r="Y1008" s="20"/>
      <c r="Z1008" s="20"/>
      <c r="AA1008" s="20"/>
    </row>
    <row r="1009" spans="1:27" x14ac:dyDescent="0.2">
      <c r="A1009" s="20"/>
      <c r="B1009" s="20"/>
      <c r="C1009" s="20"/>
      <c r="D1009" s="20"/>
      <c r="E1009" s="20"/>
      <c r="F1009" s="20"/>
      <c r="G1009" s="20"/>
      <c r="H1009" s="20"/>
      <c r="J1009" s="20"/>
      <c r="L1009" s="20"/>
      <c r="M1009" s="20"/>
      <c r="N1009" s="20"/>
      <c r="O1009" s="20"/>
      <c r="P1009" s="20"/>
      <c r="R1009" s="20"/>
      <c r="S1009" s="20"/>
      <c r="T1009" s="20"/>
      <c r="U1009" s="20"/>
      <c r="V1009" s="20"/>
      <c r="W1009" s="20"/>
      <c r="X1009" s="20"/>
      <c r="Y1009" s="20"/>
      <c r="Z1009" s="20"/>
      <c r="AA1009" s="20"/>
    </row>
    <row r="1010" spans="1:27" x14ac:dyDescent="0.2">
      <c r="A1010" s="20"/>
      <c r="B1010" s="20"/>
      <c r="C1010" s="20"/>
      <c r="D1010" s="20"/>
      <c r="E1010" s="20"/>
      <c r="F1010" s="20"/>
      <c r="G1010" s="20"/>
      <c r="H1010" s="20"/>
      <c r="J1010" s="20"/>
      <c r="L1010" s="20"/>
      <c r="M1010" s="20"/>
      <c r="N1010" s="20"/>
      <c r="O1010" s="20"/>
      <c r="P1010" s="20"/>
      <c r="R1010" s="20"/>
      <c r="S1010" s="20"/>
      <c r="T1010" s="20"/>
      <c r="U1010" s="20"/>
      <c r="V1010" s="20"/>
      <c r="W1010" s="20"/>
      <c r="X1010" s="20"/>
      <c r="Y1010" s="20"/>
      <c r="Z1010" s="20"/>
      <c r="AA1010" s="20"/>
    </row>
    <row r="1011" spans="1:27" x14ac:dyDescent="0.2">
      <c r="A1011" s="20"/>
      <c r="B1011" s="20"/>
      <c r="C1011" s="20"/>
      <c r="D1011" s="20"/>
      <c r="E1011" s="20"/>
      <c r="F1011" s="20"/>
      <c r="G1011" s="20"/>
      <c r="H1011" s="20"/>
      <c r="J1011" s="20"/>
      <c r="L1011" s="20"/>
      <c r="M1011" s="20"/>
      <c r="N1011" s="20"/>
      <c r="O1011" s="20"/>
      <c r="P1011" s="20"/>
      <c r="R1011" s="20"/>
      <c r="S1011" s="20"/>
      <c r="T1011" s="20"/>
      <c r="U1011" s="20"/>
      <c r="V1011" s="20"/>
      <c r="W1011" s="20"/>
      <c r="X1011" s="20"/>
      <c r="Y1011" s="20"/>
      <c r="Z1011" s="20"/>
      <c r="AA1011" s="20"/>
    </row>
    <row r="1012" spans="1:27" x14ac:dyDescent="0.2">
      <c r="A1012" s="20"/>
      <c r="B1012" s="20"/>
      <c r="C1012" s="20"/>
      <c r="D1012" s="20"/>
      <c r="E1012" s="20"/>
      <c r="F1012" s="20"/>
      <c r="G1012" s="20"/>
      <c r="H1012" s="20"/>
      <c r="J1012" s="20"/>
      <c r="L1012" s="20"/>
      <c r="M1012" s="20"/>
      <c r="N1012" s="20"/>
      <c r="O1012" s="20"/>
      <c r="P1012" s="20"/>
      <c r="R1012" s="20"/>
      <c r="S1012" s="20"/>
      <c r="T1012" s="20"/>
      <c r="U1012" s="20"/>
      <c r="V1012" s="20"/>
      <c r="W1012" s="20"/>
      <c r="X1012" s="20"/>
      <c r="Y1012" s="20"/>
      <c r="Z1012" s="20"/>
      <c r="AA1012" s="20"/>
    </row>
    <row r="1013" spans="1:27" x14ac:dyDescent="0.2">
      <c r="A1013" s="20"/>
      <c r="B1013" s="20"/>
      <c r="C1013" s="20"/>
      <c r="D1013" s="20"/>
      <c r="E1013" s="20"/>
      <c r="F1013" s="20"/>
      <c r="G1013" s="20"/>
      <c r="H1013" s="20"/>
      <c r="J1013" s="20"/>
      <c r="L1013" s="20"/>
      <c r="M1013" s="20"/>
      <c r="N1013" s="20"/>
      <c r="O1013" s="20"/>
      <c r="P1013" s="20"/>
      <c r="R1013" s="20"/>
      <c r="S1013" s="20"/>
      <c r="T1013" s="20"/>
      <c r="U1013" s="20"/>
      <c r="V1013" s="20"/>
      <c r="W1013" s="20"/>
      <c r="X1013" s="20"/>
      <c r="Y1013" s="20"/>
      <c r="Z1013" s="20"/>
      <c r="AA1013" s="20"/>
    </row>
    <row r="1014" spans="1:27" x14ac:dyDescent="0.2">
      <c r="A1014" s="20"/>
      <c r="B1014" s="20"/>
      <c r="C1014" s="20"/>
      <c r="D1014" s="20"/>
      <c r="E1014" s="20"/>
      <c r="F1014" s="20"/>
      <c r="G1014" s="20"/>
      <c r="H1014" s="20"/>
      <c r="J1014" s="20"/>
      <c r="L1014" s="20"/>
      <c r="M1014" s="20"/>
      <c r="N1014" s="20"/>
      <c r="O1014" s="20"/>
      <c r="P1014" s="20"/>
      <c r="R1014" s="20"/>
      <c r="S1014" s="20"/>
      <c r="T1014" s="20"/>
      <c r="U1014" s="20"/>
      <c r="V1014" s="20"/>
      <c r="W1014" s="20"/>
      <c r="X1014" s="20"/>
      <c r="Y1014" s="20"/>
      <c r="Z1014" s="20"/>
      <c r="AA1014" s="20"/>
    </row>
    <row r="1015" spans="1:27" x14ac:dyDescent="0.2">
      <c r="A1015" s="20"/>
      <c r="B1015" s="20"/>
      <c r="C1015" s="20"/>
      <c r="D1015" s="20"/>
      <c r="E1015" s="20"/>
      <c r="F1015" s="20"/>
      <c r="G1015" s="20"/>
      <c r="H1015" s="20"/>
      <c r="J1015" s="20"/>
      <c r="L1015" s="20"/>
      <c r="M1015" s="20"/>
      <c r="N1015" s="20"/>
      <c r="O1015" s="20"/>
      <c r="P1015" s="20"/>
      <c r="R1015" s="20"/>
      <c r="S1015" s="20"/>
      <c r="T1015" s="20"/>
      <c r="U1015" s="20"/>
      <c r="V1015" s="20"/>
      <c r="W1015" s="20"/>
      <c r="X1015" s="20"/>
      <c r="Y1015" s="20"/>
      <c r="Z1015" s="20"/>
      <c r="AA1015" s="20"/>
    </row>
    <row r="1016" spans="1:27" x14ac:dyDescent="0.2">
      <c r="A1016" s="20"/>
      <c r="B1016" s="20"/>
      <c r="C1016" s="20"/>
      <c r="D1016" s="20"/>
      <c r="E1016" s="20"/>
      <c r="F1016" s="20"/>
      <c r="G1016" s="20"/>
      <c r="H1016" s="20"/>
      <c r="J1016" s="20"/>
      <c r="L1016" s="20"/>
      <c r="M1016" s="20"/>
      <c r="N1016" s="20"/>
      <c r="O1016" s="20"/>
      <c r="P1016" s="20"/>
      <c r="R1016" s="20"/>
      <c r="S1016" s="20"/>
      <c r="T1016" s="20"/>
      <c r="U1016" s="20"/>
      <c r="V1016" s="20"/>
      <c r="W1016" s="20"/>
      <c r="X1016" s="20"/>
      <c r="Y1016" s="20"/>
      <c r="Z1016" s="20"/>
      <c r="AA1016" s="20"/>
    </row>
    <row r="1017" spans="1:27" x14ac:dyDescent="0.2">
      <c r="A1017" s="20"/>
      <c r="B1017" s="20"/>
      <c r="C1017" s="20"/>
      <c r="D1017" s="20"/>
      <c r="E1017" s="20"/>
      <c r="F1017" s="20"/>
      <c r="G1017" s="20"/>
      <c r="H1017" s="20"/>
      <c r="J1017" s="20"/>
      <c r="L1017" s="20"/>
      <c r="M1017" s="20"/>
      <c r="N1017" s="20"/>
      <c r="O1017" s="20"/>
      <c r="P1017" s="20"/>
      <c r="R1017" s="20"/>
      <c r="S1017" s="20"/>
      <c r="T1017" s="20"/>
      <c r="U1017" s="20"/>
      <c r="V1017" s="20"/>
      <c r="W1017" s="20"/>
      <c r="X1017" s="20"/>
      <c r="Y1017" s="20"/>
      <c r="Z1017" s="20"/>
      <c r="AA1017" s="20"/>
    </row>
    <row r="1018" spans="1:27" x14ac:dyDescent="0.2">
      <c r="A1018" s="20"/>
      <c r="B1018" s="20"/>
      <c r="C1018" s="20"/>
      <c r="D1018" s="20"/>
      <c r="E1018" s="20"/>
      <c r="F1018" s="20"/>
      <c r="G1018" s="20"/>
      <c r="H1018" s="20"/>
      <c r="J1018" s="20"/>
      <c r="L1018" s="20"/>
      <c r="M1018" s="20"/>
      <c r="N1018" s="20"/>
      <c r="O1018" s="20"/>
      <c r="P1018" s="20"/>
      <c r="R1018" s="20"/>
      <c r="S1018" s="20"/>
      <c r="T1018" s="20"/>
      <c r="U1018" s="20"/>
      <c r="V1018" s="20"/>
      <c r="W1018" s="20"/>
      <c r="X1018" s="20"/>
      <c r="Y1018" s="20"/>
      <c r="Z1018" s="20"/>
      <c r="AA1018" s="20"/>
    </row>
    <row r="1019" spans="1:27" x14ac:dyDescent="0.2">
      <c r="A1019" s="20"/>
      <c r="B1019" s="20"/>
      <c r="C1019" s="20"/>
      <c r="D1019" s="20"/>
      <c r="E1019" s="20"/>
      <c r="F1019" s="20"/>
      <c r="G1019" s="20"/>
      <c r="H1019" s="20"/>
      <c r="J1019" s="20"/>
      <c r="L1019" s="20"/>
      <c r="M1019" s="20"/>
      <c r="N1019" s="20"/>
      <c r="O1019" s="20"/>
      <c r="P1019" s="20"/>
      <c r="R1019" s="20"/>
      <c r="S1019" s="20"/>
      <c r="T1019" s="20"/>
      <c r="U1019" s="20"/>
      <c r="V1019" s="20"/>
      <c r="W1019" s="20"/>
      <c r="X1019" s="20"/>
      <c r="Y1019" s="20"/>
      <c r="Z1019" s="20"/>
      <c r="AA1019" s="20"/>
    </row>
    <row r="1020" spans="1:27" x14ac:dyDescent="0.2">
      <c r="A1020" s="20"/>
      <c r="B1020" s="20"/>
      <c r="C1020" s="20"/>
      <c r="D1020" s="20"/>
      <c r="E1020" s="20"/>
      <c r="F1020" s="20"/>
      <c r="G1020" s="20"/>
      <c r="H1020" s="20"/>
      <c r="J1020" s="20"/>
      <c r="L1020" s="20"/>
      <c r="M1020" s="20"/>
      <c r="N1020" s="20"/>
      <c r="O1020" s="20"/>
      <c r="P1020" s="20"/>
      <c r="R1020" s="20"/>
      <c r="S1020" s="20"/>
      <c r="T1020" s="20"/>
      <c r="U1020" s="20"/>
      <c r="V1020" s="20"/>
      <c r="W1020" s="20"/>
      <c r="X1020" s="20"/>
      <c r="Y1020" s="20"/>
      <c r="Z1020" s="20"/>
      <c r="AA1020" s="20"/>
    </row>
    <row r="1021" spans="1:27" x14ac:dyDescent="0.2">
      <c r="A1021" s="20"/>
      <c r="B1021" s="20"/>
      <c r="C1021" s="20"/>
      <c r="D1021" s="20"/>
      <c r="E1021" s="20"/>
      <c r="F1021" s="20"/>
      <c r="G1021" s="20"/>
      <c r="H1021" s="20"/>
      <c r="J1021" s="20"/>
      <c r="L1021" s="20"/>
      <c r="M1021" s="20"/>
      <c r="N1021" s="20"/>
      <c r="O1021" s="20"/>
      <c r="P1021" s="20"/>
      <c r="R1021" s="20"/>
      <c r="S1021" s="20"/>
      <c r="T1021" s="20"/>
      <c r="U1021" s="20"/>
      <c r="V1021" s="20"/>
      <c r="W1021" s="20"/>
      <c r="X1021" s="20"/>
      <c r="Y1021" s="20"/>
      <c r="Z1021" s="20"/>
      <c r="AA1021" s="20"/>
    </row>
    <row r="1022" spans="1:27" x14ac:dyDescent="0.2">
      <c r="A1022" s="20"/>
      <c r="B1022" s="20"/>
      <c r="C1022" s="20"/>
      <c r="D1022" s="20"/>
      <c r="E1022" s="20"/>
      <c r="F1022" s="20"/>
      <c r="G1022" s="20"/>
      <c r="H1022" s="20"/>
      <c r="J1022" s="20"/>
      <c r="L1022" s="20"/>
      <c r="M1022" s="20"/>
      <c r="N1022" s="20"/>
      <c r="O1022" s="20"/>
      <c r="P1022" s="20"/>
      <c r="R1022" s="20"/>
      <c r="S1022" s="20"/>
      <c r="T1022" s="20"/>
      <c r="U1022" s="20"/>
      <c r="V1022" s="20"/>
      <c r="W1022" s="20"/>
      <c r="X1022" s="20"/>
      <c r="Y1022" s="20"/>
      <c r="Z1022" s="20"/>
      <c r="AA1022" s="20"/>
    </row>
    <row r="1023" spans="1:27" x14ac:dyDescent="0.2">
      <c r="A1023" s="20"/>
      <c r="B1023" s="20"/>
      <c r="C1023" s="20"/>
      <c r="D1023" s="20"/>
      <c r="E1023" s="20"/>
      <c r="F1023" s="20"/>
      <c r="G1023" s="20"/>
      <c r="H1023" s="20"/>
      <c r="J1023" s="20"/>
      <c r="L1023" s="20"/>
      <c r="M1023" s="20"/>
      <c r="N1023" s="20"/>
      <c r="O1023" s="20"/>
      <c r="P1023" s="20"/>
      <c r="R1023" s="20"/>
      <c r="S1023" s="20"/>
      <c r="T1023" s="20"/>
      <c r="U1023" s="20"/>
      <c r="V1023" s="20"/>
      <c r="W1023" s="20"/>
      <c r="X1023" s="20"/>
      <c r="Y1023" s="20"/>
      <c r="Z1023" s="20"/>
      <c r="AA1023" s="20"/>
    </row>
    <row r="1024" spans="1:27" x14ac:dyDescent="0.2">
      <c r="A1024" s="20"/>
      <c r="B1024" s="20"/>
      <c r="C1024" s="20"/>
      <c r="D1024" s="20"/>
      <c r="E1024" s="20"/>
      <c r="F1024" s="20"/>
      <c r="G1024" s="20"/>
      <c r="H1024" s="20"/>
      <c r="J1024" s="20"/>
      <c r="L1024" s="20"/>
      <c r="M1024" s="20"/>
      <c r="N1024" s="20"/>
      <c r="O1024" s="20"/>
      <c r="P1024" s="20"/>
      <c r="R1024" s="20"/>
      <c r="S1024" s="20"/>
      <c r="T1024" s="20"/>
      <c r="U1024" s="20"/>
      <c r="V1024" s="20"/>
      <c r="W1024" s="20"/>
      <c r="X1024" s="20"/>
      <c r="Y1024" s="20"/>
      <c r="Z1024" s="20"/>
      <c r="AA1024" s="20"/>
    </row>
    <row r="1025" spans="1:27" x14ac:dyDescent="0.2">
      <c r="A1025" s="20"/>
      <c r="B1025" s="20"/>
      <c r="C1025" s="20"/>
      <c r="D1025" s="20"/>
      <c r="E1025" s="20"/>
      <c r="F1025" s="20"/>
      <c r="G1025" s="20"/>
      <c r="H1025" s="20"/>
      <c r="J1025" s="20"/>
      <c r="L1025" s="20"/>
      <c r="M1025" s="20"/>
      <c r="N1025" s="20"/>
      <c r="O1025" s="20"/>
      <c r="P1025" s="20"/>
      <c r="R1025" s="20"/>
      <c r="S1025" s="20"/>
      <c r="T1025" s="20"/>
      <c r="U1025" s="20"/>
      <c r="V1025" s="20"/>
      <c r="W1025" s="20"/>
      <c r="X1025" s="20"/>
      <c r="Y1025" s="20"/>
      <c r="Z1025" s="20"/>
      <c r="AA1025" s="20"/>
    </row>
    <row r="1026" spans="1:27" x14ac:dyDescent="0.2">
      <c r="A1026" s="20"/>
      <c r="B1026" s="20"/>
      <c r="C1026" s="20"/>
      <c r="D1026" s="20"/>
      <c r="E1026" s="20"/>
      <c r="F1026" s="20"/>
      <c r="G1026" s="20"/>
      <c r="H1026" s="20"/>
      <c r="J1026" s="20"/>
      <c r="L1026" s="20"/>
      <c r="M1026" s="20"/>
      <c r="N1026" s="20"/>
      <c r="O1026" s="20"/>
      <c r="P1026" s="20"/>
      <c r="R1026" s="20"/>
      <c r="S1026" s="20"/>
      <c r="T1026" s="20"/>
      <c r="U1026" s="20"/>
      <c r="V1026" s="20"/>
      <c r="W1026" s="20"/>
      <c r="X1026" s="20"/>
      <c r="Y1026" s="20"/>
      <c r="Z1026" s="20"/>
      <c r="AA1026" s="20"/>
    </row>
    <row r="1027" spans="1:27" x14ac:dyDescent="0.2">
      <c r="A1027" s="20"/>
      <c r="B1027" s="20"/>
      <c r="C1027" s="20"/>
      <c r="D1027" s="20"/>
      <c r="E1027" s="20"/>
      <c r="F1027" s="20"/>
      <c r="G1027" s="20"/>
      <c r="H1027" s="20"/>
      <c r="J1027" s="20"/>
      <c r="L1027" s="20"/>
      <c r="M1027" s="20"/>
      <c r="N1027" s="20"/>
      <c r="O1027" s="20"/>
      <c r="P1027" s="20"/>
      <c r="R1027" s="20"/>
      <c r="S1027" s="20"/>
      <c r="T1027" s="20"/>
      <c r="U1027" s="20"/>
      <c r="V1027" s="20"/>
      <c r="W1027" s="20"/>
      <c r="X1027" s="20"/>
      <c r="Y1027" s="20"/>
      <c r="Z1027" s="20"/>
      <c r="AA1027" s="20"/>
    </row>
    <row r="1028" spans="1:27" x14ac:dyDescent="0.2">
      <c r="A1028" s="20"/>
      <c r="B1028" s="20"/>
      <c r="C1028" s="20"/>
      <c r="D1028" s="20"/>
      <c r="E1028" s="20"/>
      <c r="F1028" s="20"/>
      <c r="G1028" s="20"/>
      <c r="H1028" s="20"/>
      <c r="J1028" s="20"/>
      <c r="L1028" s="20"/>
      <c r="M1028" s="20"/>
      <c r="N1028" s="20"/>
      <c r="O1028" s="20"/>
      <c r="P1028" s="20"/>
      <c r="R1028" s="20"/>
      <c r="S1028" s="20"/>
      <c r="T1028" s="20"/>
      <c r="U1028" s="20"/>
      <c r="V1028" s="20"/>
      <c r="W1028" s="20"/>
      <c r="X1028" s="20"/>
      <c r="Y1028" s="20"/>
      <c r="Z1028" s="20"/>
      <c r="AA1028" s="20"/>
    </row>
    <row r="1029" spans="1:27" x14ac:dyDescent="0.2">
      <c r="A1029" s="20"/>
      <c r="B1029" s="20"/>
      <c r="C1029" s="20"/>
      <c r="D1029" s="20"/>
      <c r="E1029" s="20"/>
      <c r="F1029" s="20"/>
      <c r="G1029" s="20"/>
      <c r="H1029" s="20"/>
      <c r="J1029" s="20"/>
      <c r="L1029" s="20"/>
      <c r="M1029" s="20"/>
      <c r="N1029" s="20"/>
      <c r="O1029" s="20"/>
      <c r="P1029" s="20"/>
      <c r="R1029" s="20"/>
      <c r="S1029" s="20"/>
      <c r="T1029" s="20"/>
      <c r="U1029" s="20"/>
      <c r="V1029" s="20"/>
      <c r="W1029" s="20"/>
      <c r="X1029" s="20"/>
      <c r="Y1029" s="20"/>
      <c r="Z1029" s="20"/>
      <c r="AA1029" s="20"/>
    </row>
    <row r="1030" spans="1:27" x14ac:dyDescent="0.2">
      <c r="A1030" s="20"/>
      <c r="B1030" s="20"/>
      <c r="C1030" s="20"/>
      <c r="D1030" s="20"/>
      <c r="E1030" s="20"/>
      <c r="F1030" s="20"/>
      <c r="G1030" s="20"/>
      <c r="H1030" s="20"/>
      <c r="J1030" s="20"/>
      <c r="L1030" s="20"/>
      <c r="M1030" s="20"/>
      <c r="N1030" s="20"/>
      <c r="O1030" s="20"/>
      <c r="P1030" s="20"/>
      <c r="R1030" s="20"/>
      <c r="S1030" s="20"/>
      <c r="T1030" s="20"/>
      <c r="U1030" s="20"/>
      <c r="V1030" s="20"/>
      <c r="W1030" s="20"/>
      <c r="X1030" s="20"/>
      <c r="Y1030" s="20"/>
      <c r="Z1030" s="20"/>
      <c r="AA1030" s="20"/>
    </row>
    <row r="1031" spans="1:27" x14ac:dyDescent="0.2">
      <c r="A1031" s="20"/>
      <c r="B1031" s="20"/>
      <c r="C1031" s="20"/>
      <c r="D1031" s="20"/>
      <c r="E1031" s="20"/>
      <c r="F1031" s="20"/>
      <c r="G1031" s="20"/>
      <c r="H1031" s="20"/>
      <c r="J1031" s="20"/>
      <c r="L1031" s="20"/>
      <c r="M1031" s="20"/>
      <c r="N1031" s="20"/>
      <c r="O1031" s="20"/>
      <c r="P1031" s="20"/>
      <c r="R1031" s="20"/>
      <c r="S1031" s="20"/>
      <c r="T1031" s="20"/>
      <c r="U1031" s="20"/>
      <c r="V1031" s="20"/>
      <c r="W1031" s="20"/>
      <c r="X1031" s="20"/>
      <c r="Y1031" s="20"/>
      <c r="Z1031" s="20"/>
      <c r="AA1031" s="20"/>
    </row>
    <row r="1032" spans="1:27" x14ac:dyDescent="0.2">
      <c r="A1032" s="20"/>
      <c r="B1032" s="20"/>
      <c r="C1032" s="20"/>
      <c r="D1032" s="20"/>
      <c r="E1032" s="20"/>
      <c r="F1032" s="20"/>
      <c r="G1032" s="20"/>
      <c r="H1032" s="20"/>
      <c r="J1032" s="20"/>
      <c r="L1032" s="20"/>
      <c r="M1032" s="20"/>
      <c r="N1032" s="20"/>
      <c r="O1032" s="20"/>
      <c r="P1032" s="20"/>
      <c r="R1032" s="20"/>
      <c r="S1032" s="20"/>
      <c r="T1032" s="20"/>
      <c r="U1032" s="20"/>
      <c r="V1032" s="20"/>
      <c r="W1032" s="20"/>
      <c r="X1032" s="20"/>
      <c r="Y1032" s="20"/>
      <c r="Z1032" s="20"/>
      <c r="AA1032" s="20"/>
    </row>
    <row r="1033" spans="1:27" x14ac:dyDescent="0.2">
      <c r="A1033" s="20"/>
      <c r="B1033" s="20"/>
      <c r="C1033" s="20"/>
      <c r="D1033" s="20"/>
      <c r="E1033" s="20"/>
      <c r="F1033" s="20"/>
      <c r="G1033" s="20"/>
      <c r="H1033" s="20"/>
      <c r="J1033" s="20"/>
      <c r="L1033" s="20"/>
      <c r="M1033" s="20"/>
      <c r="N1033" s="20"/>
      <c r="O1033" s="20"/>
      <c r="P1033" s="20"/>
      <c r="R1033" s="20"/>
      <c r="S1033" s="20"/>
      <c r="T1033" s="20"/>
      <c r="U1033" s="20"/>
      <c r="V1033" s="20"/>
      <c r="W1033" s="20"/>
      <c r="X1033" s="20"/>
      <c r="Y1033" s="20"/>
      <c r="Z1033" s="20"/>
      <c r="AA1033" s="20"/>
    </row>
    <row r="1034" spans="1:27" x14ac:dyDescent="0.2">
      <c r="A1034" s="20"/>
      <c r="B1034" s="20"/>
      <c r="C1034" s="20"/>
      <c r="D1034" s="20"/>
      <c r="E1034" s="20"/>
      <c r="F1034" s="20"/>
      <c r="G1034" s="20"/>
      <c r="H1034" s="20"/>
      <c r="J1034" s="20"/>
      <c r="L1034" s="20"/>
      <c r="M1034" s="20"/>
      <c r="N1034" s="20"/>
      <c r="O1034" s="20"/>
      <c r="P1034" s="20"/>
      <c r="R1034" s="20"/>
      <c r="S1034" s="20"/>
      <c r="T1034" s="20"/>
      <c r="U1034" s="20"/>
      <c r="V1034" s="20"/>
      <c r="W1034" s="20"/>
      <c r="X1034" s="20"/>
      <c r="Y1034" s="20"/>
      <c r="Z1034" s="20"/>
      <c r="AA1034" s="20"/>
    </row>
    <row r="1035" spans="1:27" x14ac:dyDescent="0.2">
      <c r="A1035" s="20"/>
      <c r="B1035" s="20"/>
      <c r="C1035" s="20"/>
      <c r="D1035" s="20"/>
      <c r="E1035" s="20"/>
      <c r="F1035" s="20"/>
      <c r="G1035" s="20"/>
      <c r="H1035" s="20"/>
      <c r="J1035" s="20"/>
      <c r="L1035" s="20"/>
      <c r="M1035" s="20"/>
      <c r="N1035" s="20"/>
      <c r="O1035" s="20"/>
      <c r="P1035" s="20"/>
      <c r="R1035" s="20"/>
      <c r="S1035" s="20"/>
      <c r="T1035" s="20"/>
      <c r="U1035" s="20"/>
      <c r="V1035" s="20"/>
      <c r="W1035" s="20"/>
      <c r="X1035" s="20"/>
      <c r="Y1035" s="20"/>
      <c r="Z1035" s="20"/>
      <c r="AA1035" s="20"/>
    </row>
    <row r="1036" spans="1:27" x14ac:dyDescent="0.2">
      <c r="A1036" s="20"/>
      <c r="B1036" s="20"/>
      <c r="C1036" s="20"/>
      <c r="D1036" s="20"/>
      <c r="E1036" s="20"/>
      <c r="F1036" s="20"/>
      <c r="G1036" s="20"/>
      <c r="H1036" s="20"/>
      <c r="J1036" s="20"/>
      <c r="L1036" s="20"/>
      <c r="M1036" s="20"/>
      <c r="N1036" s="20"/>
      <c r="O1036" s="20"/>
      <c r="P1036" s="20"/>
      <c r="R1036" s="20"/>
      <c r="S1036" s="20"/>
      <c r="T1036" s="20"/>
      <c r="U1036" s="20"/>
      <c r="V1036" s="20"/>
      <c r="W1036" s="20"/>
      <c r="X1036" s="20"/>
      <c r="Y1036" s="20"/>
      <c r="Z1036" s="20"/>
      <c r="AA1036" s="20"/>
    </row>
    <row r="1037" spans="1:27" x14ac:dyDescent="0.2">
      <c r="A1037" s="20"/>
      <c r="B1037" s="20"/>
      <c r="C1037" s="20"/>
      <c r="D1037" s="20"/>
      <c r="E1037" s="20"/>
      <c r="F1037" s="20"/>
      <c r="G1037" s="20"/>
      <c r="H1037" s="20"/>
      <c r="J1037" s="20"/>
      <c r="L1037" s="20"/>
      <c r="M1037" s="20"/>
      <c r="N1037" s="20"/>
      <c r="O1037" s="20"/>
      <c r="P1037" s="20"/>
      <c r="R1037" s="20"/>
      <c r="S1037" s="20"/>
      <c r="T1037" s="20"/>
      <c r="U1037" s="20"/>
      <c r="V1037" s="20"/>
      <c r="W1037" s="20"/>
      <c r="X1037" s="20"/>
      <c r="Y1037" s="20"/>
      <c r="Z1037" s="20"/>
      <c r="AA1037" s="20"/>
    </row>
    <row r="1038" spans="1:27" x14ac:dyDescent="0.2">
      <c r="A1038" s="20"/>
      <c r="B1038" s="20"/>
      <c r="C1038" s="20"/>
      <c r="D1038" s="20"/>
      <c r="E1038" s="20"/>
      <c r="F1038" s="20"/>
      <c r="G1038" s="20"/>
      <c r="H1038" s="20"/>
      <c r="J1038" s="20"/>
      <c r="L1038" s="20"/>
      <c r="M1038" s="20"/>
      <c r="N1038" s="20"/>
      <c r="O1038" s="20"/>
      <c r="P1038" s="20"/>
      <c r="R1038" s="20"/>
      <c r="S1038" s="20"/>
      <c r="T1038" s="20"/>
      <c r="U1038" s="20"/>
      <c r="V1038" s="20"/>
      <c r="W1038" s="20"/>
      <c r="X1038" s="20"/>
      <c r="Y1038" s="20"/>
      <c r="Z1038" s="20"/>
      <c r="AA1038" s="20"/>
    </row>
    <row r="1039" spans="1:27" x14ac:dyDescent="0.2">
      <c r="A1039" s="20"/>
      <c r="B1039" s="20"/>
      <c r="C1039" s="20"/>
      <c r="D1039" s="20"/>
      <c r="E1039" s="20"/>
      <c r="F1039" s="20"/>
      <c r="G1039" s="20"/>
      <c r="H1039" s="20"/>
      <c r="J1039" s="20"/>
      <c r="L1039" s="20"/>
      <c r="M1039" s="20"/>
      <c r="N1039" s="20"/>
      <c r="O1039" s="20"/>
      <c r="P1039" s="20"/>
      <c r="R1039" s="20"/>
      <c r="S1039" s="20"/>
      <c r="T1039" s="20"/>
      <c r="U1039" s="20"/>
      <c r="V1039" s="20"/>
      <c r="W1039" s="20"/>
      <c r="X1039" s="20"/>
      <c r="Y1039" s="20"/>
      <c r="Z1039" s="20"/>
      <c r="AA1039" s="20"/>
    </row>
    <row r="1040" spans="1:27" x14ac:dyDescent="0.2">
      <c r="A1040" s="20"/>
      <c r="B1040" s="20"/>
      <c r="C1040" s="20"/>
      <c r="D1040" s="20"/>
      <c r="E1040" s="20"/>
      <c r="F1040" s="20"/>
      <c r="G1040" s="20"/>
      <c r="H1040" s="20"/>
      <c r="J1040" s="20"/>
      <c r="L1040" s="20"/>
      <c r="M1040" s="20"/>
      <c r="N1040" s="20"/>
      <c r="O1040" s="20"/>
      <c r="P1040" s="20"/>
      <c r="R1040" s="20"/>
      <c r="S1040" s="20"/>
      <c r="T1040" s="20"/>
      <c r="U1040" s="20"/>
      <c r="V1040" s="20"/>
      <c r="W1040" s="20"/>
      <c r="X1040" s="20"/>
      <c r="Y1040" s="20"/>
      <c r="Z1040" s="20"/>
      <c r="AA1040" s="20"/>
    </row>
    <row r="1041" spans="1:27" x14ac:dyDescent="0.2">
      <c r="A1041" s="20"/>
      <c r="B1041" s="20"/>
      <c r="C1041" s="20"/>
      <c r="D1041" s="20"/>
      <c r="E1041" s="20"/>
      <c r="F1041" s="20"/>
      <c r="G1041" s="20"/>
      <c r="H1041" s="20"/>
      <c r="J1041" s="20"/>
      <c r="L1041" s="20"/>
      <c r="M1041" s="20"/>
      <c r="N1041" s="20"/>
      <c r="O1041" s="20"/>
      <c r="P1041" s="20"/>
      <c r="R1041" s="20"/>
      <c r="S1041" s="20"/>
      <c r="T1041" s="20"/>
      <c r="U1041" s="20"/>
      <c r="V1041" s="20"/>
      <c r="W1041" s="20"/>
      <c r="X1041" s="20"/>
      <c r="Y1041" s="20"/>
      <c r="Z1041" s="20"/>
      <c r="AA1041" s="20"/>
    </row>
    <row r="1042" spans="1:27" x14ac:dyDescent="0.2">
      <c r="A1042" s="20"/>
      <c r="B1042" s="20"/>
      <c r="C1042" s="20"/>
      <c r="D1042" s="20"/>
      <c r="E1042" s="20"/>
      <c r="F1042" s="20"/>
      <c r="G1042" s="20"/>
      <c r="H1042" s="20"/>
      <c r="J1042" s="20"/>
      <c r="L1042" s="20"/>
      <c r="M1042" s="20"/>
      <c r="N1042" s="20"/>
      <c r="O1042" s="20"/>
      <c r="P1042" s="20"/>
      <c r="R1042" s="20"/>
      <c r="S1042" s="20"/>
      <c r="T1042" s="20"/>
      <c r="U1042" s="20"/>
      <c r="V1042" s="20"/>
      <c r="W1042" s="20"/>
      <c r="X1042" s="20"/>
      <c r="Y1042" s="20"/>
      <c r="Z1042" s="20"/>
      <c r="AA1042" s="20"/>
    </row>
    <row r="1043" spans="1:27" x14ac:dyDescent="0.2">
      <c r="A1043" s="20"/>
      <c r="B1043" s="20"/>
      <c r="C1043" s="20"/>
      <c r="D1043" s="20"/>
      <c r="E1043" s="20"/>
      <c r="F1043" s="20"/>
      <c r="G1043" s="20"/>
      <c r="H1043" s="20"/>
      <c r="J1043" s="20"/>
      <c r="L1043" s="20"/>
      <c r="M1043" s="20"/>
      <c r="N1043" s="20"/>
      <c r="O1043" s="20"/>
      <c r="P1043" s="20"/>
      <c r="R1043" s="20"/>
      <c r="S1043" s="20"/>
      <c r="T1043" s="20"/>
      <c r="U1043" s="20"/>
      <c r="V1043" s="20"/>
      <c r="W1043" s="20"/>
      <c r="X1043" s="20"/>
      <c r="Y1043" s="20"/>
      <c r="Z1043" s="20"/>
      <c r="AA1043" s="20"/>
    </row>
    <row r="1044" spans="1:27" x14ac:dyDescent="0.2">
      <c r="A1044" s="20"/>
      <c r="B1044" s="20"/>
      <c r="C1044" s="20"/>
      <c r="D1044" s="20"/>
      <c r="E1044" s="20"/>
      <c r="F1044" s="20"/>
      <c r="G1044" s="20"/>
      <c r="H1044" s="20"/>
      <c r="J1044" s="20"/>
      <c r="L1044" s="20"/>
      <c r="M1044" s="20"/>
      <c r="N1044" s="20"/>
      <c r="O1044" s="20"/>
      <c r="P1044" s="20"/>
      <c r="R1044" s="20"/>
      <c r="S1044" s="20"/>
      <c r="T1044" s="20"/>
      <c r="U1044" s="20"/>
      <c r="V1044" s="20"/>
      <c r="W1044" s="20"/>
      <c r="X1044" s="20"/>
      <c r="Y1044" s="20"/>
      <c r="Z1044" s="20"/>
      <c r="AA1044" s="20"/>
    </row>
    <row r="1045" spans="1:27" x14ac:dyDescent="0.2">
      <c r="A1045" s="20"/>
      <c r="B1045" s="20"/>
      <c r="C1045" s="20"/>
      <c r="D1045" s="20"/>
      <c r="E1045" s="20"/>
      <c r="F1045" s="20"/>
      <c r="G1045" s="20"/>
      <c r="H1045" s="20"/>
      <c r="J1045" s="20"/>
      <c r="L1045" s="20"/>
      <c r="M1045" s="20"/>
      <c r="N1045" s="20"/>
      <c r="O1045" s="20"/>
      <c r="P1045" s="20"/>
      <c r="R1045" s="20"/>
      <c r="S1045" s="20"/>
      <c r="T1045" s="20"/>
      <c r="U1045" s="20"/>
      <c r="V1045" s="20"/>
      <c r="W1045" s="20"/>
      <c r="X1045" s="20"/>
      <c r="Y1045" s="20"/>
      <c r="Z1045" s="20"/>
      <c r="AA1045" s="20"/>
    </row>
    <row r="1046" spans="1:27" x14ac:dyDescent="0.2">
      <c r="A1046" s="20"/>
      <c r="B1046" s="20"/>
      <c r="C1046" s="20"/>
      <c r="D1046" s="20"/>
      <c r="E1046" s="20"/>
      <c r="F1046" s="20"/>
      <c r="G1046" s="20"/>
      <c r="H1046" s="20"/>
      <c r="J1046" s="20"/>
      <c r="L1046" s="20"/>
      <c r="M1046" s="20"/>
      <c r="N1046" s="20"/>
      <c r="O1046" s="20"/>
      <c r="P1046" s="20"/>
      <c r="R1046" s="20"/>
      <c r="S1046" s="20"/>
      <c r="T1046" s="20"/>
      <c r="U1046" s="20"/>
      <c r="V1046" s="20"/>
      <c r="W1046" s="20"/>
      <c r="X1046" s="20"/>
      <c r="Y1046" s="20"/>
      <c r="Z1046" s="20"/>
      <c r="AA1046" s="20"/>
    </row>
    <row r="1047" spans="1:27" x14ac:dyDescent="0.2">
      <c r="A1047" s="20"/>
      <c r="B1047" s="20"/>
      <c r="C1047" s="20"/>
      <c r="D1047" s="20"/>
      <c r="E1047" s="20"/>
      <c r="F1047" s="20"/>
      <c r="G1047" s="20"/>
      <c r="H1047" s="20"/>
      <c r="J1047" s="20"/>
      <c r="L1047" s="20"/>
      <c r="M1047" s="20"/>
      <c r="N1047" s="20"/>
      <c r="O1047" s="20"/>
      <c r="P1047" s="20"/>
      <c r="R1047" s="20"/>
      <c r="S1047" s="20"/>
      <c r="T1047" s="20"/>
      <c r="U1047" s="20"/>
      <c r="V1047" s="20"/>
      <c r="W1047" s="20"/>
      <c r="X1047" s="20"/>
      <c r="Y1047" s="20"/>
      <c r="Z1047" s="20"/>
      <c r="AA1047" s="20"/>
    </row>
    <row r="1048" spans="1:27" x14ac:dyDescent="0.2">
      <c r="A1048" s="20"/>
      <c r="B1048" s="20"/>
      <c r="C1048" s="20"/>
      <c r="D1048" s="20"/>
      <c r="E1048" s="20"/>
      <c r="F1048" s="20"/>
      <c r="G1048" s="20"/>
      <c r="H1048" s="20"/>
      <c r="J1048" s="20"/>
      <c r="L1048" s="20"/>
      <c r="M1048" s="20"/>
      <c r="N1048" s="20"/>
      <c r="O1048" s="20"/>
      <c r="P1048" s="20"/>
      <c r="R1048" s="20"/>
      <c r="S1048" s="20"/>
      <c r="T1048" s="20"/>
      <c r="U1048" s="20"/>
      <c r="V1048" s="20"/>
      <c r="W1048" s="20"/>
      <c r="X1048" s="20"/>
      <c r="Y1048" s="20"/>
      <c r="Z1048" s="20"/>
      <c r="AA1048" s="20"/>
    </row>
    <row r="1049" spans="1:27" x14ac:dyDescent="0.2">
      <c r="A1049" s="20"/>
      <c r="B1049" s="20"/>
      <c r="C1049" s="20"/>
      <c r="D1049" s="20"/>
      <c r="E1049" s="20"/>
      <c r="F1049" s="20"/>
      <c r="G1049" s="20"/>
      <c r="H1049" s="20"/>
      <c r="J1049" s="20"/>
      <c r="L1049" s="20"/>
      <c r="M1049" s="20"/>
      <c r="N1049" s="20"/>
      <c r="O1049" s="20"/>
      <c r="P1049" s="20"/>
      <c r="R1049" s="20"/>
      <c r="S1049" s="20"/>
      <c r="T1049" s="20"/>
      <c r="U1049" s="20"/>
      <c r="V1049" s="20"/>
      <c r="W1049" s="20"/>
      <c r="X1049" s="20"/>
      <c r="Y1049" s="20"/>
      <c r="Z1049" s="20"/>
      <c r="AA1049" s="20"/>
    </row>
    <row r="1050" spans="1:27" x14ac:dyDescent="0.2">
      <c r="A1050" s="20"/>
      <c r="B1050" s="20"/>
      <c r="C1050" s="20"/>
      <c r="D1050" s="20"/>
      <c r="E1050" s="20"/>
      <c r="F1050" s="20"/>
      <c r="G1050" s="20"/>
      <c r="H1050" s="20"/>
      <c r="J1050" s="20"/>
      <c r="L1050" s="20"/>
      <c r="M1050" s="20"/>
      <c r="N1050" s="20"/>
      <c r="O1050" s="20"/>
      <c r="P1050" s="20"/>
      <c r="R1050" s="20"/>
      <c r="S1050" s="20"/>
      <c r="T1050" s="20"/>
      <c r="U1050" s="20"/>
      <c r="V1050" s="20"/>
      <c r="W1050" s="20"/>
      <c r="X1050" s="20"/>
      <c r="Y1050" s="20"/>
      <c r="Z1050" s="20"/>
      <c r="AA1050" s="20"/>
    </row>
    <row r="1051" spans="1:27" x14ac:dyDescent="0.2">
      <c r="A1051" s="20"/>
      <c r="B1051" s="20"/>
      <c r="C1051" s="20"/>
      <c r="D1051" s="20"/>
      <c r="E1051" s="20"/>
      <c r="F1051" s="20"/>
      <c r="G1051" s="20"/>
      <c r="H1051" s="20"/>
      <c r="J1051" s="20"/>
      <c r="L1051" s="20"/>
      <c r="M1051" s="20"/>
      <c r="N1051" s="20"/>
      <c r="O1051" s="20"/>
      <c r="P1051" s="20"/>
      <c r="R1051" s="20"/>
      <c r="S1051" s="20"/>
      <c r="T1051" s="20"/>
      <c r="U1051" s="20"/>
      <c r="V1051" s="20"/>
      <c r="W1051" s="20"/>
      <c r="X1051" s="20"/>
      <c r="Y1051" s="20"/>
      <c r="Z1051" s="20"/>
      <c r="AA1051" s="20"/>
    </row>
    <row r="1052" spans="1:27" x14ac:dyDescent="0.2">
      <c r="A1052" s="20"/>
      <c r="B1052" s="20"/>
      <c r="C1052" s="20"/>
      <c r="D1052" s="20"/>
      <c r="E1052" s="20"/>
      <c r="F1052" s="20"/>
      <c r="G1052" s="20"/>
      <c r="H1052" s="20"/>
      <c r="J1052" s="20"/>
      <c r="L1052" s="20"/>
      <c r="M1052" s="20"/>
      <c r="N1052" s="20"/>
      <c r="O1052" s="20"/>
      <c r="P1052" s="20"/>
      <c r="R1052" s="20"/>
      <c r="S1052" s="20"/>
      <c r="T1052" s="20"/>
      <c r="U1052" s="20"/>
      <c r="V1052" s="20"/>
      <c r="W1052" s="20"/>
      <c r="X1052" s="20"/>
      <c r="Y1052" s="20"/>
      <c r="Z1052" s="20"/>
      <c r="AA1052" s="20"/>
    </row>
    <row r="1053" spans="1:27" x14ac:dyDescent="0.2">
      <c r="A1053" s="20"/>
      <c r="B1053" s="20"/>
      <c r="C1053" s="20"/>
      <c r="D1053" s="20"/>
      <c r="E1053" s="20"/>
      <c r="F1053" s="20"/>
      <c r="G1053" s="20"/>
      <c r="H1053" s="20"/>
      <c r="J1053" s="20"/>
      <c r="L1053" s="20"/>
      <c r="M1053" s="20"/>
      <c r="N1053" s="20"/>
      <c r="O1053" s="20"/>
      <c r="P1053" s="20"/>
      <c r="R1053" s="20"/>
      <c r="S1053" s="20"/>
      <c r="T1053" s="20"/>
      <c r="U1053" s="20"/>
      <c r="V1053" s="20"/>
      <c r="W1053" s="20"/>
      <c r="X1053" s="20"/>
      <c r="Y1053" s="20"/>
      <c r="Z1053" s="20"/>
      <c r="AA1053" s="20"/>
    </row>
    <row r="1054" spans="1:27" x14ac:dyDescent="0.2">
      <c r="A1054" s="20"/>
      <c r="B1054" s="20"/>
      <c r="C1054" s="20"/>
      <c r="D1054" s="20"/>
      <c r="E1054" s="20"/>
      <c r="F1054" s="20"/>
      <c r="G1054" s="20"/>
      <c r="H1054" s="20"/>
      <c r="J1054" s="20"/>
      <c r="L1054" s="20"/>
      <c r="M1054" s="20"/>
      <c r="N1054" s="20"/>
      <c r="O1054" s="20"/>
      <c r="P1054" s="20"/>
      <c r="R1054" s="20"/>
      <c r="S1054" s="20"/>
      <c r="T1054" s="20"/>
      <c r="U1054" s="20"/>
      <c r="V1054" s="20"/>
      <c r="W1054" s="20"/>
      <c r="X1054" s="20"/>
      <c r="Y1054" s="20"/>
      <c r="Z1054" s="20"/>
      <c r="AA1054" s="20"/>
    </row>
    <row r="1055" spans="1:27" x14ac:dyDescent="0.2">
      <c r="A1055" s="20"/>
      <c r="B1055" s="20"/>
      <c r="C1055" s="20"/>
      <c r="D1055" s="20"/>
      <c r="E1055" s="20"/>
      <c r="F1055" s="20"/>
      <c r="G1055" s="20"/>
      <c r="H1055" s="20"/>
      <c r="J1055" s="20"/>
      <c r="L1055" s="20"/>
      <c r="M1055" s="20"/>
      <c r="N1055" s="20"/>
      <c r="O1055" s="20"/>
      <c r="P1055" s="20"/>
      <c r="R1055" s="20"/>
      <c r="S1055" s="20"/>
      <c r="T1055" s="20"/>
      <c r="U1055" s="20"/>
      <c r="V1055" s="20"/>
      <c r="W1055" s="20"/>
      <c r="X1055" s="20"/>
      <c r="Y1055" s="20"/>
      <c r="Z1055" s="20"/>
      <c r="AA1055" s="20"/>
    </row>
    <row r="1056" spans="1:27" x14ac:dyDescent="0.2">
      <c r="A1056" s="20"/>
      <c r="B1056" s="20"/>
      <c r="C1056" s="20"/>
      <c r="D1056" s="20"/>
      <c r="E1056" s="20"/>
      <c r="F1056" s="20"/>
      <c r="G1056" s="20"/>
      <c r="H1056" s="20"/>
      <c r="J1056" s="20"/>
      <c r="L1056" s="20"/>
      <c r="M1056" s="20"/>
      <c r="N1056" s="20"/>
      <c r="O1056" s="20"/>
      <c r="P1056" s="20"/>
      <c r="R1056" s="20"/>
      <c r="S1056" s="20"/>
      <c r="T1056" s="20"/>
      <c r="U1056" s="20"/>
      <c r="V1056" s="20"/>
      <c r="W1056" s="20"/>
      <c r="X1056" s="20"/>
      <c r="Y1056" s="20"/>
      <c r="Z1056" s="20"/>
      <c r="AA1056" s="20"/>
    </row>
    <row r="1057" spans="1:27" x14ac:dyDescent="0.2">
      <c r="A1057" s="20"/>
      <c r="B1057" s="20"/>
      <c r="C1057" s="20"/>
      <c r="D1057" s="20"/>
      <c r="E1057" s="20"/>
      <c r="F1057" s="20"/>
      <c r="G1057" s="20"/>
      <c r="H1057" s="20"/>
      <c r="J1057" s="20"/>
      <c r="L1057" s="20"/>
      <c r="M1057" s="20"/>
      <c r="N1057" s="20"/>
      <c r="O1057" s="20"/>
      <c r="P1057" s="20"/>
      <c r="R1057" s="20"/>
      <c r="S1057" s="20"/>
      <c r="T1057" s="20"/>
      <c r="U1057" s="20"/>
      <c r="V1057" s="20"/>
      <c r="W1057" s="20"/>
      <c r="X1057" s="20"/>
      <c r="Y1057" s="20"/>
      <c r="Z1057" s="20"/>
      <c r="AA1057" s="20"/>
    </row>
    <row r="1058" spans="1:27" x14ac:dyDescent="0.2">
      <c r="A1058" s="20"/>
      <c r="B1058" s="20"/>
      <c r="C1058" s="20"/>
      <c r="D1058" s="20"/>
      <c r="E1058" s="20"/>
      <c r="F1058" s="20"/>
      <c r="G1058" s="20"/>
      <c r="H1058" s="20"/>
      <c r="J1058" s="20"/>
      <c r="L1058" s="20"/>
      <c r="M1058" s="20"/>
      <c r="N1058" s="20"/>
      <c r="O1058" s="20"/>
      <c r="P1058" s="20"/>
      <c r="R1058" s="20"/>
      <c r="S1058" s="20"/>
      <c r="T1058" s="20"/>
      <c r="U1058" s="20"/>
      <c r="V1058" s="20"/>
      <c r="W1058" s="20"/>
      <c r="X1058" s="20"/>
      <c r="Y1058" s="20"/>
      <c r="Z1058" s="20"/>
      <c r="AA1058" s="20"/>
    </row>
    <row r="1059" spans="1:27" x14ac:dyDescent="0.2">
      <c r="A1059" s="20"/>
      <c r="B1059" s="20"/>
      <c r="C1059" s="20"/>
      <c r="D1059" s="20"/>
      <c r="E1059" s="20"/>
      <c r="F1059" s="20"/>
      <c r="G1059" s="20"/>
      <c r="H1059" s="20"/>
      <c r="J1059" s="20"/>
      <c r="L1059" s="20"/>
      <c r="M1059" s="20"/>
      <c r="N1059" s="20"/>
      <c r="O1059" s="20"/>
      <c r="P1059" s="20"/>
      <c r="R1059" s="20"/>
      <c r="S1059" s="20"/>
      <c r="T1059" s="20"/>
      <c r="U1059" s="20"/>
      <c r="V1059" s="20"/>
      <c r="W1059" s="20"/>
      <c r="X1059" s="20"/>
      <c r="Y1059" s="20"/>
      <c r="Z1059" s="20"/>
      <c r="AA1059" s="20"/>
    </row>
    <row r="1060" spans="1:27" x14ac:dyDescent="0.2">
      <c r="A1060" s="20"/>
      <c r="B1060" s="20"/>
      <c r="C1060" s="20"/>
      <c r="D1060" s="20"/>
      <c r="E1060" s="20"/>
      <c r="F1060" s="20"/>
      <c r="G1060" s="20"/>
      <c r="H1060" s="20"/>
      <c r="J1060" s="20"/>
      <c r="L1060" s="20"/>
      <c r="M1060" s="20"/>
      <c r="N1060" s="20"/>
      <c r="O1060" s="20"/>
      <c r="P1060" s="20"/>
      <c r="R1060" s="20"/>
      <c r="S1060" s="20"/>
      <c r="T1060" s="20"/>
      <c r="U1060" s="20"/>
      <c r="V1060" s="20"/>
      <c r="W1060" s="20"/>
      <c r="X1060" s="20"/>
      <c r="Y1060" s="20"/>
      <c r="Z1060" s="20"/>
      <c r="AA1060" s="20"/>
    </row>
    <row r="1061" spans="1:27" x14ac:dyDescent="0.2">
      <c r="A1061" s="20"/>
      <c r="B1061" s="20"/>
      <c r="C1061" s="20"/>
      <c r="D1061" s="20"/>
      <c r="E1061" s="20"/>
      <c r="F1061" s="20"/>
      <c r="G1061" s="20"/>
      <c r="H1061" s="20"/>
      <c r="J1061" s="20"/>
      <c r="L1061" s="20"/>
      <c r="M1061" s="20"/>
      <c r="N1061" s="20"/>
      <c r="O1061" s="20"/>
      <c r="P1061" s="20"/>
      <c r="R1061" s="20"/>
      <c r="S1061" s="20"/>
      <c r="T1061" s="20"/>
      <c r="U1061" s="20"/>
      <c r="V1061" s="20"/>
      <c r="W1061" s="20"/>
      <c r="X1061" s="20"/>
      <c r="Y1061" s="20"/>
      <c r="Z1061" s="20"/>
      <c r="AA1061" s="20"/>
    </row>
    <row r="1062" spans="1:27" x14ac:dyDescent="0.2">
      <c r="A1062" s="20"/>
      <c r="B1062" s="20"/>
      <c r="C1062" s="20"/>
      <c r="D1062" s="20"/>
      <c r="E1062" s="20"/>
      <c r="F1062" s="20"/>
      <c r="G1062" s="20"/>
      <c r="H1062" s="20"/>
      <c r="J1062" s="20"/>
      <c r="L1062" s="20"/>
      <c r="M1062" s="20"/>
      <c r="N1062" s="20"/>
      <c r="O1062" s="20"/>
      <c r="P1062" s="20"/>
      <c r="R1062" s="20"/>
      <c r="S1062" s="20"/>
      <c r="T1062" s="20"/>
      <c r="U1062" s="20"/>
      <c r="V1062" s="20"/>
      <c r="W1062" s="20"/>
      <c r="X1062" s="20"/>
      <c r="Y1062" s="20"/>
      <c r="Z1062" s="20"/>
      <c r="AA1062" s="20"/>
    </row>
    <row r="1063" spans="1:27" x14ac:dyDescent="0.2">
      <c r="A1063" s="20"/>
      <c r="B1063" s="20"/>
      <c r="C1063" s="20"/>
      <c r="D1063" s="20"/>
      <c r="E1063" s="20"/>
      <c r="F1063" s="20"/>
      <c r="G1063" s="20"/>
      <c r="H1063" s="20"/>
      <c r="J1063" s="20"/>
      <c r="L1063" s="20"/>
      <c r="M1063" s="20"/>
      <c r="N1063" s="20"/>
      <c r="O1063" s="20"/>
      <c r="P1063" s="20"/>
      <c r="R1063" s="20"/>
      <c r="S1063" s="20"/>
      <c r="T1063" s="20"/>
      <c r="U1063" s="20"/>
      <c r="V1063" s="20"/>
      <c r="W1063" s="20"/>
      <c r="X1063" s="20"/>
      <c r="Y1063" s="20"/>
      <c r="Z1063" s="20"/>
      <c r="AA1063" s="20"/>
    </row>
    <row r="1064" spans="1:27" x14ac:dyDescent="0.2">
      <c r="A1064" s="20"/>
      <c r="B1064" s="20"/>
      <c r="C1064" s="20"/>
      <c r="D1064" s="20"/>
      <c r="E1064" s="20"/>
      <c r="F1064" s="20"/>
      <c r="G1064" s="20"/>
      <c r="H1064" s="20"/>
      <c r="J1064" s="20"/>
      <c r="L1064" s="20"/>
      <c r="M1064" s="20"/>
      <c r="N1064" s="20"/>
      <c r="O1064" s="20"/>
      <c r="P1064" s="20"/>
      <c r="R1064" s="20"/>
      <c r="S1064" s="20"/>
      <c r="T1064" s="20"/>
      <c r="U1064" s="20"/>
      <c r="V1064" s="20"/>
      <c r="W1064" s="20"/>
      <c r="X1064" s="20"/>
      <c r="Y1064" s="20"/>
      <c r="Z1064" s="20"/>
      <c r="AA1064" s="20"/>
    </row>
    <row r="1065" spans="1:27" x14ac:dyDescent="0.2">
      <c r="A1065" s="20"/>
      <c r="B1065" s="20"/>
      <c r="C1065" s="20"/>
      <c r="D1065" s="20"/>
      <c r="E1065" s="20"/>
      <c r="F1065" s="20"/>
      <c r="G1065" s="20"/>
      <c r="H1065" s="20"/>
      <c r="J1065" s="20"/>
      <c r="L1065" s="20"/>
      <c r="M1065" s="20"/>
      <c r="N1065" s="20"/>
      <c r="O1065" s="20"/>
      <c r="P1065" s="20"/>
      <c r="R1065" s="20"/>
      <c r="S1065" s="20"/>
      <c r="T1065" s="20"/>
      <c r="U1065" s="20"/>
      <c r="V1065" s="20"/>
      <c r="W1065" s="20"/>
      <c r="X1065" s="20"/>
      <c r="Y1065" s="20"/>
      <c r="Z1065" s="20"/>
      <c r="AA1065" s="20"/>
    </row>
    <row r="1066" spans="1:27" x14ac:dyDescent="0.2">
      <c r="A1066" s="20"/>
      <c r="B1066" s="20"/>
      <c r="C1066" s="20"/>
      <c r="D1066" s="20"/>
      <c r="E1066" s="20"/>
      <c r="F1066" s="20"/>
      <c r="G1066" s="20"/>
      <c r="H1066" s="20"/>
      <c r="J1066" s="20"/>
      <c r="L1066" s="20"/>
      <c r="M1066" s="20"/>
      <c r="N1066" s="20"/>
      <c r="O1066" s="20"/>
      <c r="P1066" s="20"/>
      <c r="R1066" s="20"/>
      <c r="S1066" s="20"/>
      <c r="T1066" s="20"/>
      <c r="U1066" s="20"/>
      <c r="V1066" s="20"/>
      <c r="W1066" s="20"/>
      <c r="X1066" s="20"/>
      <c r="Y1066" s="20"/>
      <c r="Z1066" s="20"/>
      <c r="AA1066" s="20"/>
    </row>
    <row r="1067" spans="1:27" x14ac:dyDescent="0.2">
      <c r="A1067" s="20"/>
      <c r="B1067" s="20"/>
      <c r="C1067" s="20"/>
      <c r="D1067" s="20"/>
      <c r="E1067" s="20"/>
      <c r="F1067" s="20"/>
      <c r="G1067" s="20"/>
      <c r="H1067" s="20"/>
      <c r="J1067" s="20"/>
      <c r="L1067" s="20"/>
      <c r="M1067" s="20"/>
      <c r="N1067" s="20"/>
      <c r="O1067" s="20"/>
      <c r="P1067" s="20"/>
      <c r="R1067" s="20"/>
      <c r="S1067" s="20"/>
      <c r="T1067" s="20"/>
      <c r="U1067" s="20"/>
      <c r="V1067" s="20"/>
      <c r="W1067" s="20"/>
      <c r="X1067" s="20"/>
      <c r="Y1067" s="20"/>
      <c r="Z1067" s="20"/>
      <c r="AA1067" s="20"/>
    </row>
    <row r="1068" spans="1:27" x14ac:dyDescent="0.2">
      <c r="A1068" s="20"/>
      <c r="B1068" s="20"/>
      <c r="C1068" s="20"/>
      <c r="D1068" s="20"/>
      <c r="E1068" s="20"/>
      <c r="F1068" s="20"/>
      <c r="G1068" s="20"/>
      <c r="H1068" s="20"/>
      <c r="J1068" s="20"/>
      <c r="L1068" s="20"/>
      <c r="M1068" s="20"/>
      <c r="N1068" s="20"/>
      <c r="O1068" s="20"/>
      <c r="P1068" s="20"/>
      <c r="R1068" s="20"/>
      <c r="S1068" s="20"/>
      <c r="T1068" s="20"/>
      <c r="U1068" s="20"/>
      <c r="V1068" s="20"/>
      <c r="W1068" s="20"/>
      <c r="X1068" s="20"/>
      <c r="Y1068" s="20"/>
      <c r="Z1068" s="20"/>
      <c r="AA1068" s="20"/>
    </row>
    <row r="1069" spans="1:27" x14ac:dyDescent="0.2">
      <c r="A1069" s="20"/>
      <c r="B1069" s="20"/>
      <c r="C1069" s="20"/>
      <c r="D1069" s="20"/>
      <c r="E1069" s="20"/>
      <c r="F1069" s="20"/>
      <c r="G1069" s="20"/>
      <c r="H1069" s="20"/>
      <c r="J1069" s="20"/>
      <c r="L1069" s="20"/>
      <c r="M1069" s="20"/>
      <c r="N1069" s="20"/>
      <c r="O1069" s="20"/>
      <c r="P1069" s="20"/>
      <c r="R1069" s="20"/>
      <c r="S1069" s="20"/>
      <c r="T1069" s="20"/>
      <c r="U1069" s="20"/>
      <c r="V1069" s="20"/>
      <c r="W1069" s="20"/>
      <c r="X1069" s="20"/>
      <c r="Y1069" s="20"/>
      <c r="Z1069" s="20"/>
      <c r="AA1069" s="20"/>
    </row>
    <row r="1070" spans="1:27" x14ac:dyDescent="0.2">
      <c r="A1070" s="20"/>
      <c r="B1070" s="20"/>
      <c r="C1070" s="20"/>
      <c r="D1070" s="20"/>
      <c r="E1070" s="20"/>
      <c r="F1070" s="20"/>
      <c r="G1070" s="20"/>
      <c r="H1070" s="20"/>
      <c r="J1070" s="20"/>
      <c r="L1070" s="20"/>
      <c r="M1070" s="20"/>
      <c r="N1070" s="20"/>
      <c r="O1070" s="20"/>
      <c r="P1070" s="20"/>
      <c r="R1070" s="20"/>
      <c r="S1070" s="20"/>
      <c r="T1070" s="20"/>
      <c r="U1070" s="20"/>
      <c r="V1070" s="20"/>
      <c r="W1070" s="20"/>
      <c r="X1070" s="20"/>
      <c r="Y1070" s="20"/>
      <c r="Z1070" s="20"/>
      <c r="AA1070" s="20"/>
    </row>
    <row r="1071" spans="1:27" x14ac:dyDescent="0.2">
      <c r="A1071" s="20"/>
      <c r="B1071" s="20"/>
      <c r="C1071" s="20"/>
      <c r="D1071" s="20"/>
      <c r="E1071" s="20"/>
      <c r="F1071" s="20"/>
      <c r="G1071" s="20"/>
      <c r="H1071" s="20"/>
      <c r="J1071" s="20"/>
      <c r="L1071" s="20"/>
      <c r="M1071" s="20"/>
      <c r="N1071" s="20"/>
      <c r="O1071" s="20"/>
      <c r="P1071" s="20"/>
      <c r="R1071" s="20"/>
      <c r="S1071" s="20"/>
      <c r="T1071" s="20"/>
      <c r="U1071" s="20"/>
      <c r="V1071" s="20"/>
      <c r="W1071" s="20"/>
      <c r="X1071" s="20"/>
      <c r="Y1071" s="20"/>
      <c r="Z1071" s="20"/>
      <c r="AA1071" s="20"/>
    </row>
    <row r="1072" spans="1:27" x14ac:dyDescent="0.2">
      <c r="A1072" s="20"/>
      <c r="B1072" s="20"/>
      <c r="C1072" s="20"/>
      <c r="D1072" s="20"/>
      <c r="E1072" s="20"/>
      <c r="F1072" s="20"/>
      <c r="G1072" s="20"/>
      <c r="H1072" s="20"/>
      <c r="J1072" s="20"/>
      <c r="L1072" s="20"/>
      <c r="M1072" s="20"/>
      <c r="N1072" s="20"/>
      <c r="O1072" s="20"/>
      <c r="P1072" s="20"/>
      <c r="R1072" s="20"/>
      <c r="S1072" s="20"/>
      <c r="T1072" s="20"/>
      <c r="U1072" s="20"/>
      <c r="V1072" s="20"/>
      <c r="W1072" s="20"/>
      <c r="X1072" s="20"/>
      <c r="Y1072" s="20"/>
      <c r="Z1072" s="20"/>
      <c r="AA1072" s="20"/>
    </row>
    <row r="1073" spans="1:27" x14ac:dyDescent="0.2">
      <c r="A1073" s="20"/>
      <c r="B1073" s="20"/>
      <c r="C1073" s="20"/>
      <c r="D1073" s="20"/>
      <c r="E1073" s="20"/>
      <c r="F1073" s="20"/>
      <c r="G1073" s="20"/>
      <c r="H1073" s="20"/>
      <c r="J1073" s="20"/>
      <c r="L1073" s="20"/>
      <c r="M1073" s="20"/>
      <c r="N1073" s="20"/>
      <c r="O1073" s="20"/>
      <c r="P1073" s="20"/>
      <c r="R1073" s="20"/>
      <c r="S1073" s="20"/>
      <c r="T1073" s="20"/>
      <c r="U1073" s="20"/>
      <c r="V1073" s="20"/>
      <c r="W1073" s="20"/>
      <c r="X1073" s="20"/>
      <c r="Y1073" s="20"/>
      <c r="Z1073" s="20"/>
      <c r="AA1073" s="20"/>
    </row>
    <row r="1074" spans="1:27" x14ac:dyDescent="0.2">
      <c r="A1074" s="20"/>
      <c r="B1074" s="20"/>
      <c r="C1074" s="20"/>
      <c r="D1074" s="20"/>
      <c r="E1074" s="20"/>
      <c r="F1074" s="20"/>
      <c r="G1074" s="20"/>
      <c r="H1074" s="20"/>
      <c r="J1074" s="20"/>
      <c r="L1074" s="20"/>
      <c r="M1074" s="20"/>
      <c r="N1074" s="20"/>
      <c r="O1074" s="20"/>
      <c r="P1074" s="20"/>
      <c r="R1074" s="20"/>
      <c r="S1074" s="20"/>
      <c r="T1074" s="20"/>
      <c r="U1074" s="20"/>
      <c r="V1074" s="20"/>
      <c r="W1074" s="20"/>
      <c r="X1074" s="20"/>
      <c r="Y1074" s="20"/>
      <c r="Z1074" s="20"/>
      <c r="AA1074" s="20"/>
    </row>
    <row r="1075" spans="1:27" x14ac:dyDescent="0.2">
      <c r="A1075" s="20"/>
      <c r="B1075" s="20"/>
      <c r="C1075" s="20"/>
      <c r="D1075" s="20"/>
      <c r="E1075" s="20"/>
      <c r="F1075" s="20"/>
      <c r="G1075" s="20"/>
      <c r="H1075" s="20"/>
      <c r="J1075" s="20"/>
      <c r="L1075" s="20"/>
      <c r="M1075" s="20"/>
      <c r="N1075" s="20"/>
      <c r="O1075" s="20"/>
      <c r="P1075" s="20"/>
      <c r="R1075" s="20"/>
      <c r="S1075" s="20"/>
      <c r="T1075" s="20"/>
      <c r="U1075" s="20"/>
      <c r="V1075" s="20"/>
      <c r="W1075" s="20"/>
      <c r="X1075" s="20"/>
      <c r="Y1075" s="20"/>
      <c r="Z1075" s="20"/>
      <c r="AA1075" s="20"/>
    </row>
    <row r="1076" spans="1:27" x14ac:dyDescent="0.2">
      <c r="A1076" s="20"/>
      <c r="B1076" s="20"/>
      <c r="C1076" s="20"/>
      <c r="D1076" s="20"/>
      <c r="E1076" s="20"/>
      <c r="F1076" s="20"/>
      <c r="G1076" s="20"/>
      <c r="H1076" s="20"/>
      <c r="J1076" s="20"/>
      <c r="L1076" s="20"/>
      <c r="M1076" s="20"/>
      <c r="N1076" s="20"/>
      <c r="O1076" s="20"/>
      <c r="P1076" s="20"/>
      <c r="R1076" s="20"/>
      <c r="S1076" s="20"/>
      <c r="T1076" s="20"/>
      <c r="U1076" s="20"/>
      <c r="V1076" s="20"/>
      <c r="W1076" s="20"/>
      <c r="X1076" s="20"/>
      <c r="Y1076" s="20"/>
      <c r="Z1076" s="20"/>
      <c r="AA1076" s="20"/>
    </row>
    <row r="1077" spans="1:27" x14ac:dyDescent="0.2">
      <c r="A1077" s="20"/>
      <c r="B1077" s="20"/>
      <c r="C1077" s="20"/>
      <c r="D1077" s="20"/>
      <c r="E1077" s="20"/>
      <c r="F1077" s="20"/>
      <c r="G1077" s="20"/>
      <c r="H1077" s="20"/>
      <c r="J1077" s="20"/>
      <c r="L1077" s="20"/>
      <c r="M1077" s="20"/>
      <c r="N1077" s="20"/>
      <c r="O1077" s="20"/>
      <c r="P1077" s="20"/>
      <c r="R1077" s="20"/>
      <c r="S1077" s="20"/>
      <c r="T1077" s="20"/>
      <c r="U1077" s="20"/>
      <c r="V1077" s="20"/>
      <c r="W1077" s="20"/>
      <c r="X1077" s="20"/>
      <c r="Y1077" s="20"/>
      <c r="Z1077" s="20"/>
      <c r="AA1077" s="20"/>
    </row>
    <row r="1078" spans="1:27" x14ac:dyDescent="0.2">
      <c r="A1078" s="20"/>
      <c r="B1078" s="20"/>
      <c r="C1078" s="20"/>
      <c r="D1078" s="20"/>
      <c r="E1078" s="20"/>
      <c r="F1078" s="20"/>
      <c r="G1078" s="20"/>
      <c r="H1078" s="20"/>
      <c r="J1078" s="20"/>
      <c r="L1078" s="20"/>
      <c r="M1078" s="20"/>
      <c r="N1078" s="20"/>
      <c r="O1078" s="20"/>
      <c r="P1078" s="20"/>
      <c r="R1078" s="20"/>
      <c r="S1078" s="20"/>
      <c r="T1078" s="20"/>
      <c r="U1078" s="20"/>
      <c r="V1078" s="20"/>
      <c r="W1078" s="20"/>
      <c r="X1078" s="20"/>
      <c r="Y1078" s="20"/>
      <c r="Z1078" s="20"/>
      <c r="AA1078" s="20"/>
    </row>
    <row r="1079" spans="1:27" x14ac:dyDescent="0.2">
      <c r="A1079" s="20"/>
      <c r="B1079" s="20"/>
      <c r="C1079" s="20"/>
      <c r="D1079" s="20"/>
      <c r="E1079" s="20"/>
      <c r="F1079" s="20"/>
      <c r="G1079" s="20"/>
      <c r="H1079" s="20"/>
      <c r="J1079" s="20"/>
      <c r="L1079" s="20"/>
      <c r="M1079" s="20"/>
      <c r="N1079" s="20"/>
      <c r="O1079" s="20"/>
      <c r="P1079" s="20"/>
      <c r="R1079" s="20"/>
      <c r="S1079" s="20"/>
      <c r="T1079" s="20"/>
      <c r="U1079" s="20"/>
      <c r="V1079" s="20"/>
      <c r="W1079" s="20"/>
      <c r="X1079" s="20"/>
      <c r="Y1079" s="20"/>
      <c r="Z1079" s="20"/>
      <c r="AA1079" s="20"/>
    </row>
    <row r="1080" spans="1:27" x14ac:dyDescent="0.2">
      <c r="A1080" s="20"/>
      <c r="B1080" s="20"/>
      <c r="C1080" s="20"/>
      <c r="D1080" s="20"/>
      <c r="E1080" s="20"/>
      <c r="F1080" s="20"/>
      <c r="G1080" s="20"/>
      <c r="H1080" s="20"/>
      <c r="J1080" s="20"/>
      <c r="L1080" s="20"/>
      <c r="M1080" s="20"/>
      <c r="N1080" s="20"/>
      <c r="O1080" s="20"/>
      <c r="P1080" s="20"/>
      <c r="R1080" s="20"/>
      <c r="S1080" s="20"/>
      <c r="T1080" s="20"/>
      <c r="U1080" s="20"/>
      <c r="V1080" s="20"/>
      <c r="W1080" s="20"/>
      <c r="X1080" s="20"/>
      <c r="Y1080" s="20"/>
      <c r="Z1080" s="20"/>
      <c r="AA1080" s="20"/>
    </row>
    <row r="1081" spans="1:27" x14ac:dyDescent="0.2">
      <c r="A1081" s="20"/>
      <c r="B1081" s="20"/>
      <c r="C1081" s="20"/>
      <c r="D1081" s="20"/>
      <c r="E1081" s="20"/>
      <c r="F1081" s="20"/>
      <c r="G1081" s="20"/>
      <c r="H1081" s="20"/>
      <c r="J1081" s="20"/>
      <c r="L1081" s="20"/>
      <c r="M1081" s="20"/>
      <c r="N1081" s="20"/>
      <c r="O1081" s="20"/>
      <c r="P1081" s="20"/>
      <c r="R1081" s="20"/>
      <c r="S1081" s="20"/>
      <c r="T1081" s="20"/>
      <c r="U1081" s="20"/>
      <c r="V1081" s="20"/>
      <c r="W1081" s="20"/>
      <c r="X1081" s="20"/>
      <c r="Y1081" s="20"/>
      <c r="Z1081" s="20"/>
      <c r="AA1081" s="20"/>
    </row>
    <row r="1082" spans="1:27" x14ac:dyDescent="0.2">
      <c r="A1082" s="20"/>
      <c r="B1082" s="20"/>
      <c r="C1082" s="20"/>
      <c r="D1082" s="20"/>
      <c r="E1082" s="20"/>
      <c r="F1082" s="20"/>
      <c r="G1082" s="20"/>
      <c r="H1082" s="20"/>
      <c r="J1082" s="20"/>
      <c r="L1082" s="20"/>
      <c r="M1082" s="20"/>
      <c r="N1082" s="20"/>
      <c r="O1082" s="20"/>
      <c r="P1082" s="20"/>
      <c r="R1082" s="20"/>
      <c r="S1082" s="20"/>
      <c r="T1082" s="20"/>
      <c r="U1082" s="20"/>
      <c r="V1082" s="20"/>
      <c r="W1082" s="20"/>
      <c r="X1082" s="20"/>
      <c r="Y1082" s="20"/>
      <c r="Z1082" s="20"/>
      <c r="AA1082" s="20"/>
    </row>
    <row r="1083" spans="1:27" x14ac:dyDescent="0.2">
      <c r="A1083" s="20"/>
      <c r="B1083" s="20"/>
      <c r="C1083" s="20"/>
      <c r="D1083" s="20"/>
      <c r="E1083" s="20"/>
      <c r="F1083" s="20"/>
      <c r="G1083" s="20"/>
      <c r="H1083" s="20"/>
      <c r="J1083" s="20"/>
      <c r="L1083" s="20"/>
      <c r="M1083" s="20"/>
      <c r="N1083" s="20"/>
      <c r="O1083" s="20"/>
      <c r="P1083" s="20"/>
      <c r="R1083" s="20"/>
      <c r="S1083" s="20"/>
      <c r="T1083" s="20"/>
      <c r="U1083" s="20"/>
      <c r="V1083" s="20"/>
      <c r="W1083" s="20"/>
      <c r="X1083" s="20"/>
      <c r="Y1083" s="20"/>
      <c r="Z1083" s="20"/>
      <c r="AA1083" s="20"/>
    </row>
    <row r="1084" spans="1:27" x14ac:dyDescent="0.2">
      <c r="A1084" s="20"/>
      <c r="B1084" s="20"/>
      <c r="C1084" s="20"/>
      <c r="D1084" s="20"/>
      <c r="E1084" s="20"/>
      <c r="F1084" s="20"/>
      <c r="G1084" s="20"/>
      <c r="H1084" s="20"/>
      <c r="J1084" s="20"/>
      <c r="L1084" s="20"/>
      <c r="M1084" s="20"/>
      <c r="N1084" s="20"/>
      <c r="O1084" s="20"/>
      <c r="P1084" s="20"/>
      <c r="R1084" s="20"/>
      <c r="S1084" s="20"/>
      <c r="T1084" s="20"/>
      <c r="U1084" s="20"/>
      <c r="V1084" s="20"/>
      <c r="W1084" s="20"/>
      <c r="X1084" s="20"/>
      <c r="Y1084" s="20"/>
      <c r="Z1084" s="20"/>
      <c r="AA1084" s="20"/>
    </row>
    <row r="1085" spans="1:27" x14ac:dyDescent="0.2">
      <c r="A1085" s="20"/>
      <c r="B1085" s="20"/>
      <c r="C1085" s="20"/>
      <c r="D1085" s="20"/>
      <c r="E1085" s="20"/>
      <c r="F1085" s="20"/>
      <c r="G1085" s="20"/>
      <c r="H1085" s="20"/>
      <c r="J1085" s="20"/>
      <c r="L1085" s="20"/>
      <c r="M1085" s="20"/>
      <c r="N1085" s="20"/>
      <c r="O1085" s="20"/>
      <c r="P1085" s="20"/>
      <c r="R1085" s="20"/>
      <c r="S1085" s="20"/>
      <c r="T1085" s="20"/>
      <c r="U1085" s="20"/>
      <c r="V1085" s="20"/>
      <c r="W1085" s="20"/>
      <c r="X1085" s="20"/>
      <c r="Y1085" s="20"/>
      <c r="Z1085" s="20"/>
      <c r="AA1085" s="20"/>
    </row>
    <row r="1086" spans="1:27" x14ac:dyDescent="0.2">
      <c r="A1086" s="20"/>
      <c r="B1086" s="20"/>
      <c r="C1086" s="20"/>
      <c r="D1086" s="20"/>
      <c r="E1086" s="20"/>
      <c r="F1086" s="20"/>
      <c r="G1086" s="20"/>
      <c r="H1086" s="20"/>
      <c r="J1086" s="20"/>
      <c r="L1086" s="20"/>
      <c r="M1086" s="20"/>
      <c r="N1086" s="20"/>
      <c r="O1086" s="20"/>
      <c r="P1086" s="20"/>
      <c r="R1086" s="20"/>
      <c r="S1086" s="20"/>
      <c r="T1086" s="20"/>
      <c r="U1086" s="20"/>
      <c r="V1086" s="20"/>
      <c r="W1086" s="20"/>
      <c r="X1086" s="20"/>
      <c r="Y1086" s="20"/>
      <c r="Z1086" s="20"/>
      <c r="AA1086" s="20"/>
    </row>
    <row r="1087" spans="1:27" x14ac:dyDescent="0.2">
      <c r="A1087" s="20"/>
      <c r="B1087" s="20"/>
      <c r="C1087" s="20"/>
      <c r="D1087" s="20"/>
      <c r="E1087" s="20"/>
      <c r="F1087" s="20"/>
      <c r="G1087" s="20"/>
      <c r="H1087" s="20"/>
      <c r="J1087" s="20"/>
      <c r="L1087" s="20"/>
      <c r="M1087" s="20"/>
      <c r="N1087" s="20"/>
      <c r="O1087" s="20"/>
      <c r="P1087" s="20"/>
      <c r="R1087" s="20"/>
      <c r="S1087" s="20"/>
      <c r="T1087" s="20"/>
      <c r="U1087" s="20"/>
      <c r="V1087" s="20"/>
      <c r="W1087" s="20"/>
      <c r="X1087" s="20"/>
      <c r="Y1087" s="20"/>
      <c r="Z1087" s="20"/>
      <c r="AA1087" s="20"/>
    </row>
    <row r="1088" spans="1:27" x14ac:dyDescent="0.2">
      <c r="A1088" s="20"/>
      <c r="B1088" s="20"/>
      <c r="C1088" s="20"/>
      <c r="D1088" s="20"/>
      <c r="E1088" s="20"/>
      <c r="F1088" s="20"/>
      <c r="G1088" s="20"/>
      <c r="H1088" s="20"/>
      <c r="J1088" s="20"/>
      <c r="L1088" s="20"/>
      <c r="M1088" s="20"/>
      <c r="N1088" s="20"/>
      <c r="O1088" s="20"/>
      <c r="P1088" s="20"/>
      <c r="R1088" s="20"/>
      <c r="S1088" s="20"/>
      <c r="T1088" s="20"/>
      <c r="U1088" s="20"/>
      <c r="V1088" s="20"/>
      <c r="W1088" s="20"/>
      <c r="X1088" s="20"/>
      <c r="Y1088" s="20"/>
      <c r="Z1088" s="20"/>
      <c r="AA1088" s="20"/>
    </row>
    <row r="1089" spans="1:27" x14ac:dyDescent="0.2">
      <c r="A1089" s="20"/>
      <c r="B1089" s="20"/>
      <c r="C1089" s="20"/>
      <c r="D1089" s="20"/>
      <c r="E1089" s="20"/>
      <c r="F1089" s="20"/>
      <c r="G1089" s="20"/>
      <c r="H1089" s="20"/>
      <c r="J1089" s="20"/>
      <c r="L1089" s="20"/>
      <c r="M1089" s="20"/>
      <c r="N1089" s="20"/>
      <c r="O1089" s="20"/>
      <c r="P1089" s="20"/>
      <c r="R1089" s="20"/>
      <c r="S1089" s="20"/>
      <c r="T1089" s="20"/>
      <c r="U1089" s="20"/>
      <c r="V1089" s="20"/>
      <c r="W1089" s="20"/>
      <c r="X1089" s="20"/>
      <c r="Y1089" s="20"/>
      <c r="Z1089" s="20"/>
      <c r="AA1089" s="20"/>
    </row>
    <row r="1090" spans="1:27" x14ac:dyDescent="0.2">
      <c r="A1090" s="20"/>
      <c r="B1090" s="20"/>
      <c r="C1090" s="20"/>
      <c r="D1090" s="20"/>
      <c r="E1090" s="20"/>
      <c r="F1090" s="20"/>
      <c r="G1090" s="20"/>
      <c r="H1090" s="20"/>
      <c r="J1090" s="20"/>
      <c r="L1090" s="20"/>
      <c r="M1090" s="20"/>
      <c r="N1090" s="20"/>
      <c r="O1090" s="20"/>
      <c r="P1090" s="20"/>
      <c r="R1090" s="20"/>
      <c r="S1090" s="20"/>
      <c r="T1090" s="20"/>
      <c r="U1090" s="20"/>
      <c r="V1090" s="20"/>
      <c r="W1090" s="20"/>
      <c r="X1090" s="20"/>
      <c r="Y1090" s="20"/>
      <c r="Z1090" s="20"/>
      <c r="AA1090" s="20"/>
    </row>
    <row r="1091" spans="1:27" x14ac:dyDescent="0.2">
      <c r="A1091" s="20"/>
      <c r="B1091" s="20"/>
      <c r="C1091" s="20"/>
      <c r="D1091" s="20"/>
      <c r="E1091" s="20"/>
      <c r="F1091" s="20"/>
      <c r="G1091" s="20"/>
      <c r="H1091" s="20"/>
      <c r="J1091" s="20"/>
      <c r="L1091" s="20"/>
      <c r="M1091" s="20"/>
      <c r="N1091" s="20"/>
      <c r="O1091" s="20"/>
      <c r="P1091" s="20"/>
      <c r="R1091" s="20"/>
      <c r="S1091" s="20"/>
      <c r="T1091" s="20"/>
      <c r="U1091" s="20"/>
      <c r="V1091" s="20"/>
      <c r="W1091" s="20"/>
      <c r="X1091" s="20"/>
      <c r="Y1091" s="20"/>
      <c r="Z1091" s="20"/>
      <c r="AA1091" s="20"/>
    </row>
    <row r="1092" spans="1:27" x14ac:dyDescent="0.2">
      <c r="A1092" s="20"/>
      <c r="B1092" s="20"/>
      <c r="C1092" s="20"/>
      <c r="D1092" s="20"/>
      <c r="E1092" s="20"/>
      <c r="F1092" s="20"/>
      <c r="G1092" s="20"/>
      <c r="H1092" s="20"/>
      <c r="J1092" s="20"/>
      <c r="L1092" s="20"/>
      <c r="M1092" s="20"/>
      <c r="N1092" s="20"/>
      <c r="O1092" s="20"/>
      <c r="P1092" s="20"/>
      <c r="R1092" s="20"/>
      <c r="S1092" s="20"/>
      <c r="T1092" s="20"/>
      <c r="U1092" s="20"/>
      <c r="V1092" s="20"/>
      <c r="W1092" s="20"/>
      <c r="X1092" s="20"/>
      <c r="Y1092" s="20"/>
      <c r="Z1092" s="20"/>
      <c r="AA1092" s="20"/>
    </row>
    <row r="1093" spans="1:27" x14ac:dyDescent="0.2">
      <c r="A1093" s="20"/>
      <c r="B1093" s="20"/>
      <c r="C1093" s="20"/>
      <c r="D1093" s="20"/>
      <c r="E1093" s="20"/>
      <c r="F1093" s="20"/>
      <c r="G1093" s="20"/>
      <c r="H1093" s="20"/>
      <c r="J1093" s="20"/>
      <c r="L1093" s="20"/>
      <c r="M1093" s="20"/>
      <c r="N1093" s="20"/>
      <c r="O1093" s="20"/>
      <c r="P1093" s="20"/>
      <c r="R1093" s="20"/>
      <c r="S1093" s="20"/>
      <c r="T1093" s="20"/>
      <c r="U1093" s="20"/>
      <c r="V1093" s="20"/>
      <c r="W1093" s="20"/>
      <c r="X1093" s="20"/>
      <c r="Y1093" s="20"/>
      <c r="Z1093" s="20"/>
      <c r="AA1093" s="20"/>
    </row>
    <row r="1094" spans="1:27" x14ac:dyDescent="0.2">
      <c r="A1094" s="20"/>
      <c r="B1094" s="20"/>
      <c r="C1094" s="20"/>
      <c r="D1094" s="20"/>
      <c r="E1094" s="20"/>
      <c r="F1094" s="20"/>
      <c r="G1094" s="20"/>
      <c r="H1094" s="20"/>
      <c r="J1094" s="20"/>
      <c r="L1094" s="20"/>
      <c r="M1094" s="20"/>
      <c r="N1094" s="20"/>
      <c r="O1094" s="20"/>
      <c r="P1094" s="20"/>
      <c r="R1094" s="20"/>
      <c r="S1094" s="20"/>
      <c r="T1094" s="20"/>
      <c r="U1094" s="20"/>
      <c r="V1094" s="20"/>
      <c r="W1094" s="20"/>
      <c r="X1094" s="20"/>
      <c r="Y1094" s="20"/>
      <c r="Z1094" s="20"/>
      <c r="AA1094" s="20"/>
    </row>
    <row r="1095" spans="1:27" x14ac:dyDescent="0.2">
      <c r="A1095" s="20"/>
      <c r="B1095" s="20"/>
      <c r="C1095" s="20"/>
      <c r="D1095" s="20"/>
      <c r="E1095" s="20"/>
      <c r="F1095" s="20"/>
      <c r="G1095" s="20"/>
      <c r="H1095" s="20"/>
      <c r="J1095" s="20"/>
      <c r="L1095" s="20"/>
      <c r="M1095" s="20"/>
      <c r="N1095" s="20"/>
      <c r="O1095" s="20"/>
      <c r="P1095" s="20"/>
      <c r="R1095" s="20"/>
      <c r="S1095" s="20"/>
      <c r="T1095" s="20"/>
      <c r="U1095" s="20"/>
      <c r="V1095" s="20"/>
      <c r="W1095" s="20"/>
      <c r="X1095" s="20"/>
      <c r="Y1095" s="20"/>
      <c r="Z1095" s="20"/>
      <c r="AA1095" s="20"/>
    </row>
    <row r="1096" spans="1:27" x14ac:dyDescent="0.2">
      <c r="A1096" s="20"/>
      <c r="B1096" s="20"/>
      <c r="C1096" s="20"/>
      <c r="D1096" s="20"/>
      <c r="E1096" s="20"/>
      <c r="F1096" s="20"/>
      <c r="G1096" s="20"/>
      <c r="H1096" s="20"/>
      <c r="J1096" s="20"/>
      <c r="L1096" s="20"/>
      <c r="M1096" s="20"/>
      <c r="N1096" s="20"/>
      <c r="O1096" s="20"/>
      <c r="P1096" s="20"/>
      <c r="R1096" s="20"/>
      <c r="S1096" s="20"/>
      <c r="T1096" s="20"/>
      <c r="U1096" s="20"/>
      <c r="V1096" s="20"/>
      <c r="W1096" s="20"/>
      <c r="X1096" s="20"/>
      <c r="Y1096" s="20"/>
      <c r="Z1096" s="20"/>
      <c r="AA1096" s="20"/>
    </row>
    <row r="1097" spans="1:27" x14ac:dyDescent="0.2">
      <c r="A1097" s="20"/>
      <c r="B1097" s="20"/>
      <c r="C1097" s="20"/>
      <c r="D1097" s="20"/>
      <c r="E1097" s="20"/>
      <c r="F1097" s="20"/>
      <c r="G1097" s="20"/>
      <c r="H1097" s="20"/>
      <c r="J1097" s="20"/>
      <c r="L1097" s="20"/>
      <c r="M1097" s="20"/>
      <c r="N1097" s="20"/>
      <c r="O1097" s="20"/>
      <c r="P1097" s="20"/>
      <c r="R1097" s="20"/>
      <c r="S1097" s="20"/>
      <c r="T1097" s="20"/>
      <c r="U1097" s="20"/>
      <c r="V1097" s="20"/>
      <c r="W1097" s="20"/>
      <c r="X1097" s="20"/>
      <c r="Y1097" s="20"/>
      <c r="Z1097" s="20"/>
      <c r="AA1097" s="20"/>
    </row>
    <row r="1098" spans="1:27" x14ac:dyDescent="0.2">
      <c r="A1098" s="20"/>
      <c r="B1098" s="20"/>
      <c r="C1098" s="20"/>
      <c r="D1098" s="20"/>
      <c r="E1098" s="20"/>
      <c r="F1098" s="20"/>
      <c r="G1098" s="20"/>
      <c r="H1098" s="20"/>
      <c r="J1098" s="20"/>
      <c r="L1098" s="20"/>
      <c r="M1098" s="20"/>
      <c r="N1098" s="20"/>
      <c r="O1098" s="20"/>
      <c r="P1098" s="20"/>
      <c r="R1098" s="20"/>
      <c r="S1098" s="20"/>
      <c r="T1098" s="20"/>
      <c r="U1098" s="20"/>
      <c r="V1098" s="20"/>
      <c r="W1098" s="20"/>
      <c r="X1098" s="20"/>
      <c r="Y1098" s="20"/>
      <c r="Z1098" s="20"/>
      <c r="AA1098" s="20"/>
    </row>
    <row r="1099" spans="1:27" x14ac:dyDescent="0.2">
      <c r="A1099" s="20"/>
      <c r="B1099" s="20"/>
      <c r="C1099" s="20"/>
      <c r="D1099" s="20"/>
      <c r="E1099" s="20"/>
      <c r="F1099" s="20"/>
      <c r="G1099" s="20"/>
      <c r="H1099" s="20"/>
      <c r="J1099" s="20"/>
      <c r="L1099" s="20"/>
      <c r="M1099" s="20"/>
      <c r="N1099" s="20"/>
      <c r="O1099" s="20"/>
      <c r="P1099" s="20"/>
      <c r="R1099" s="20"/>
      <c r="S1099" s="20"/>
      <c r="T1099" s="20"/>
      <c r="U1099" s="20"/>
      <c r="V1099" s="20"/>
      <c r="W1099" s="20"/>
      <c r="X1099" s="20"/>
      <c r="Y1099" s="20"/>
      <c r="Z1099" s="20"/>
      <c r="AA1099" s="20"/>
    </row>
    <row r="1100" spans="1:27" x14ac:dyDescent="0.2">
      <c r="A1100" s="20"/>
      <c r="B1100" s="20"/>
      <c r="C1100" s="20"/>
      <c r="D1100" s="20"/>
      <c r="E1100" s="20"/>
      <c r="F1100" s="20"/>
      <c r="G1100" s="20"/>
      <c r="H1100" s="20"/>
      <c r="J1100" s="20"/>
      <c r="L1100" s="20"/>
      <c r="M1100" s="20"/>
      <c r="N1100" s="20"/>
      <c r="O1100" s="20"/>
      <c r="P1100" s="20"/>
      <c r="R1100" s="20"/>
      <c r="S1100" s="20"/>
      <c r="T1100" s="20"/>
      <c r="U1100" s="20"/>
      <c r="V1100" s="20"/>
      <c r="W1100" s="20"/>
      <c r="X1100" s="20"/>
      <c r="Y1100" s="20"/>
      <c r="Z1100" s="20"/>
      <c r="AA1100" s="20"/>
    </row>
    <row r="1101" spans="1:27" x14ac:dyDescent="0.2">
      <c r="A1101" s="20"/>
      <c r="B1101" s="20"/>
      <c r="C1101" s="20"/>
      <c r="D1101" s="20"/>
      <c r="E1101" s="20"/>
      <c r="F1101" s="20"/>
      <c r="G1101" s="20"/>
      <c r="H1101" s="20"/>
      <c r="J1101" s="20"/>
      <c r="L1101" s="20"/>
      <c r="M1101" s="20"/>
      <c r="N1101" s="20"/>
      <c r="O1101" s="20"/>
      <c r="P1101" s="20"/>
      <c r="R1101" s="20"/>
      <c r="S1101" s="20"/>
      <c r="T1101" s="20"/>
      <c r="U1101" s="20"/>
      <c r="V1101" s="20"/>
      <c r="W1101" s="20"/>
      <c r="X1101" s="20"/>
      <c r="Y1101" s="20"/>
      <c r="Z1101" s="20"/>
      <c r="AA1101" s="20"/>
    </row>
    <row r="1102" spans="1:27" x14ac:dyDescent="0.2">
      <c r="A1102" s="20"/>
      <c r="B1102" s="20"/>
      <c r="C1102" s="20"/>
      <c r="D1102" s="20"/>
      <c r="E1102" s="20"/>
      <c r="F1102" s="20"/>
      <c r="G1102" s="20"/>
      <c r="H1102" s="20"/>
      <c r="J1102" s="20"/>
      <c r="L1102" s="20"/>
      <c r="M1102" s="20"/>
      <c r="N1102" s="20"/>
      <c r="O1102" s="20"/>
      <c r="P1102" s="20"/>
      <c r="R1102" s="20"/>
      <c r="S1102" s="20"/>
      <c r="T1102" s="20"/>
      <c r="U1102" s="20"/>
      <c r="V1102" s="20"/>
      <c r="W1102" s="20"/>
      <c r="X1102" s="20"/>
      <c r="Y1102" s="20"/>
      <c r="Z1102" s="20"/>
      <c r="AA1102" s="20"/>
    </row>
    <row r="1103" spans="1:27" x14ac:dyDescent="0.2">
      <c r="A1103" s="20"/>
      <c r="B1103" s="20"/>
      <c r="C1103" s="20"/>
      <c r="D1103" s="20"/>
      <c r="E1103" s="20"/>
      <c r="F1103" s="20"/>
      <c r="G1103" s="20"/>
      <c r="H1103" s="20"/>
      <c r="J1103" s="20"/>
      <c r="L1103" s="20"/>
      <c r="M1103" s="20"/>
      <c r="N1103" s="20"/>
      <c r="O1103" s="20"/>
      <c r="P1103" s="20"/>
      <c r="R1103" s="20"/>
      <c r="S1103" s="20"/>
      <c r="T1103" s="20"/>
      <c r="U1103" s="20"/>
      <c r="V1103" s="20"/>
      <c r="W1103" s="20"/>
      <c r="X1103" s="20"/>
      <c r="Y1103" s="20"/>
      <c r="Z1103" s="20"/>
      <c r="AA1103" s="20"/>
    </row>
    <row r="1104" spans="1:27" x14ac:dyDescent="0.2">
      <c r="A1104" s="20"/>
      <c r="B1104" s="20"/>
      <c r="C1104" s="20"/>
      <c r="D1104" s="20"/>
      <c r="E1104" s="20"/>
      <c r="F1104" s="20"/>
      <c r="G1104" s="20"/>
      <c r="H1104" s="20"/>
      <c r="J1104" s="20"/>
      <c r="L1104" s="20"/>
      <c r="M1104" s="20"/>
      <c r="N1104" s="20"/>
      <c r="O1104" s="20"/>
      <c r="P1104" s="20"/>
      <c r="R1104" s="20"/>
      <c r="S1104" s="20"/>
      <c r="T1104" s="20"/>
      <c r="U1104" s="20"/>
      <c r="V1104" s="20"/>
      <c r="W1104" s="20"/>
      <c r="X1104" s="20"/>
      <c r="Y1104" s="20"/>
      <c r="Z1104" s="20"/>
      <c r="AA1104" s="20"/>
    </row>
    <row r="1105" spans="1:27" x14ac:dyDescent="0.2">
      <c r="A1105" s="20"/>
      <c r="B1105" s="20"/>
      <c r="C1105" s="20"/>
      <c r="D1105" s="20"/>
      <c r="E1105" s="20"/>
      <c r="F1105" s="20"/>
      <c r="G1105" s="20"/>
      <c r="H1105" s="20"/>
      <c r="J1105" s="20"/>
      <c r="L1105" s="20"/>
      <c r="M1105" s="20"/>
      <c r="N1105" s="20"/>
      <c r="O1105" s="20"/>
      <c r="P1105" s="20"/>
      <c r="R1105" s="20"/>
      <c r="S1105" s="20"/>
      <c r="T1105" s="20"/>
      <c r="U1105" s="20"/>
      <c r="V1105" s="20"/>
      <c r="W1105" s="20"/>
      <c r="X1105" s="20"/>
      <c r="Y1105" s="20"/>
      <c r="Z1105" s="20"/>
      <c r="AA1105" s="20"/>
    </row>
    <row r="1106" spans="1:27" x14ac:dyDescent="0.2">
      <c r="A1106" s="20"/>
      <c r="B1106" s="20"/>
      <c r="C1106" s="20"/>
      <c r="D1106" s="20"/>
      <c r="E1106" s="20"/>
      <c r="F1106" s="20"/>
      <c r="G1106" s="20"/>
      <c r="H1106" s="20"/>
      <c r="J1106" s="20"/>
      <c r="L1106" s="20"/>
      <c r="M1106" s="20"/>
      <c r="N1106" s="20"/>
      <c r="O1106" s="20"/>
      <c r="P1106" s="20"/>
      <c r="R1106" s="20"/>
      <c r="S1106" s="20"/>
      <c r="T1106" s="20"/>
      <c r="U1106" s="20"/>
      <c r="V1106" s="20"/>
      <c r="W1106" s="20"/>
      <c r="X1106" s="20"/>
      <c r="Y1106" s="20"/>
      <c r="Z1106" s="20"/>
      <c r="AA1106" s="20"/>
    </row>
    <row r="1107" spans="1:27" x14ac:dyDescent="0.2">
      <c r="A1107" s="20"/>
      <c r="B1107" s="20"/>
      <c r="C1107" s="20"/>
      <c r="D1107" s="20"/>
      <c r="E1107" s="20"/>
      <c r="F1107" s="20"/>
      <c r="G1107" s="20"/>
      <c r="H1107" s="20"/>
      <c r="J1107" s="20"/>
      <c r="L1107" s="20"/>
      <c r="M1107" s="20"/>
      <c r="N1107" s="20"/>
      <c r="O1107" s="20"/>
      <c r="P1107" s="20"/>
      <c r="R1107" s="20"/>
      <c r="S1107" s="20"/>
      <c r="T1107" s="20"/>
      <c r="U1107" s="20"/>
      <c r="V1107" s="20"/>
      <c r="W1107" s="20"/>
      <c r="X1107" s="20"/>
      <c r="Y1107" s="20"/>
      <c r="Z1107" s="20"/>
      <c r="AA1107" s="20"/>
    </row>
    <row r="1108" spans="1:27" x14ac:dyDescent="0.2">
      <c r="A1108" s="20"/>
      <c r="B1108" s="20"/>
      <c r="C1108" s="20"/>
      <c r="D1108" s="20"/>
      <c r="E1108" s="20"/>
      <c r="F1108" s="20"/>
      <c r="G1108" s="20"/>
      <c r="H1108" s="20"/>
      <c r="J1108" s="20"/>
      <c r="L1108" s="20"/>
      <c r="M1108" s="20"/>
      <c r="N1108" s="20"/>
      <c r="O1108" s="20"/>
      <c r="P1108" s="20"/>
      <c r="R1108" s="20"/>
      <c r="S1108" s="20"/>
      <c r="T1108" s="20"/>
      <c r="U1108" s="20"/>
      <c r="V1108" s="20"/>
      <c r="W1108" s="20"/>
      <c r="X1108" s="20"/>
      <c r="Y1108" s="20"/>
      <c r="Z1108" s="20"/>
      <c r="AA1108" s="20"/>
    </row>
    <row r="1109" spans="1:27" x14ac:dyDescent="0.2">
      <c r="A1109" s="20"/>
      <c r="B1109" s="20"/>
      <c r="C1109" s="20"/>
      <c r="D1109" s="20"/>
      <c r="E1109" s="20"/>
      <c r="F1109" s="20"/>
      <c r="G1109" s="20"/>
      <c r="H1109" s="20"/>
      <c r="J1109" s="20"/>
      <c r="L1109" s="20"/>
      <c r="M1109" s="20"/>
      <c r="N1109" s="20"/>
      <c r="O1109" s="20"/>
      <c r="P1109" s="20"/>
      <c r="R1109" s="20"/>
      <c r="S1109" s="20"/>
      <c r="T1109" s="20"/>
      <c r="U1109" s="20"/>
      <c r="V1109" s="20"/>
      <c r="W1109" s="20"/>
      <c r="X1109" s="20"/>
      <c r="Y1109" s="20"/>
      <c r="Z1109" s="20"/>
      <c r="AA1109" s="20"/>
    </row>
    <row r="1110" spans="1:27" x14ac:dyDescent="0.2">
      <c r="A1110" s="20"/>
      <c r="B1110" s="20"/>
      <c r="C1110" s="20"/>
      <c r="D1110" s="20"/>
      <c r="E1110" s="20"/>
      <c r="F1110" s="20"/>
      <c r="G1110" s="20"/>
      <c r="H1110" s="20"/>
      <c r="J1110" s="20"/>
      <c r="L1110" s="20"/>
      <c r="M1110" s="20"/>
      <c r="N1110" s="20"/>
      <c r="O1110" s="20"/>
      <c r="P1110" s="20"/>
      <c r="R1110" s="20"/>
      <c r="S1110" s="20"/>
      <c r="T1110" s="20"/>
      <c r="U1110" s="20"/>
      <c r="V1110" s="20"/>
      <c r="W1110" s="20"/>
      <c r="X1110" s="20"/>
      <c r="Y1110" s="20"/>
      <c r="Z1110" s="20"/>
      <c r="AA1110" s="20"/>
    </row>
    <row r="1111" spans="1:27" x14ac:dyDescent="0.2">
      <c r="A1111" s="20"/>
      <c r="B1111" s="20"/>
      <c r="C1111" s="20"/>
      <c r="D1111" s="20"/>
      <c r="E1111" s="20"/>
      <c r="F1111" s="20"/>
      <c r="G1111" s="20"/>
      <c r="H1111" s="20"/>
      <c r="J1111" s="20"/>
      <c r="L1111" s="20"/>
      <c r="M1111" s="20"/>
      <c r="N1111" s="20"/>
      <c r="O1111" s="20"/>
      <c r="P1111" s="20"/>
      <c r="R1111" s="20"/>
      <c r="S1111" s="20"/>
      <c r="T1111" s="20"/>
      <c r="U1111" s="20"/>
      <c r="V1111" s="20"/>
      <c r="W1111" s="20"/>
      <c r="X1111" s="20"/>
      <c r="Y1111" s="20"/>
      <c r="Z1111" s="20"/>
      <c r="AA1111" s="20"/>
    </row>
    <row r="1112" spans="1:27" x14ac:dyDescent="0.2">
      <c r="A1112" s="20"/>
      <c r="B1112" s="20"/>
      <c r="C1112" s="20"/>
      <c r="D1112" s="20"/>
      <c r="E1112" s="20"/>
      <c r="F1112" s="20"/>
      <c r="G1112" s="20"/>
      <c r="H1112" s="20"/>
      <c r="J1112" s="20"/>
      <c r="L1112" s="20"/>
      <c r="M1112" s="20"/>
      <c r="N1112" s="20"/>
      <c r="O1112" s="20"/>
      <c r="P1112" s="20"/>
      <c r="R1112" s="20"/>
      <c r="S1112" s="20"/>
      <c r="T1112" s="20"/>
      <c r="U1112" s="20"/>
      <c r="V1112" s="20"/>
      <c r="W1112" s="20"/>
      <c r="X1112" s="20"/>
      <c r="Y1112" s="20"/>
      <c r="Z1112" s="20"/>
      <c r="AA1112" s="20"/>
    </row>
    <row r="1113" spans="1:27" x14ac:dyDescent="0.2">
      <c r="A1113" s="20"/>
      <c r="B1113" s="20"/>
      <c r="C1113" s="20"/>
      <c r="D1113" s="20"/>
      <c r="E1113" s="20"/>
      <c r="F1113" s="20"/>
      <c r="G1113" s="20"/>
      <c r="H1113" s="20"/>
      <c r="J1113" s="20"/>
      <c r="L1113" s="20"/>
      <c r="M1113" s="20"/>
      <c r="N1113" s="20"/>
      <c r="O1113" s="20"/>
      <c r="P1113" s="20"/>
      <c r="R1113" s="20"/>
      <c r="S1113" s="20"/>
      <c r="T1113" s="20"/>
      <c r="U1113" s="20"/>
      <c r="V1113" s="20"/>
      <c r="W1113" s="20"/>
      <c r="X1113" s="20"/>
      <c r="Y1113" s="20"/>
      <c r="Z1113" s="20"/>
      <c r="AA1113" s="20"/>
    </row>
    <row r="1114" spans="1:27" x14ac:dyDescent="0.2">
      <c r="A1114" s="20"/>
      <c r="B1114" s="20"/>
      <c r="C1114" s="20"/>
      <c r="D1114" s="20"/>
      <c r="E1114" s="20"/>
      <c r="F1114" s="20"/>
      <c r="G1114" s="20"/>
      <c r="H1114" s="20"/>
      <c r="J1114" s="20"/>
      <c r="L1114" s="20"/>
      <c r="M1114" s="20"/>
      <c r="N1114" s="20"/>
      <c r="O1114" s="20"/>
      <c r="P1114" s="20"/>
      <c r="R1114" s="20"/>
      <c r="S1114" s="20"/>
      <c r="T1114" s="20"/>
      <c r="U1114" s="20"/>
      <c r="V1114" s="20"/>
      <c r="W1114" s="20"/>
      <c r="X1114" s="20"/>
      <c r="Y1114" s="20"/>
      <c r="Z1114" s="20"/>
      <c r="AA1114" s="20"/>
    </row>
    <row r="1115" spans="1:27" x14ac:dyDescent="0.2">
      <c r="A1115" s="20"/>
      <c r="B1115" s="20"/>
      <c r="C1115" s="20"/>
      <c r="D1115" s="20"/>
      <c r="E1115" s="20"/>
      <c r="F1115" s="20"/>
      <c r="G1115" s="20"/>
      <c r="H1115" s="20"/>
      <c r="J1115" s="20"/>
      <c r="L1115" s="20"/>
      <c r="M1115" s="20"/>
      <c r="N1115" s="20"/>
      <c r="O1115" s="20"/>
      <c r="P1115" s="20"/>
      <c r="R1115" s="20"/>
      <c r="S1115" s="20"/>
      <c r="T1115" s="20"/>
      <c r="U1115" s="20"/>
      <c r="V1115" s="20"/>
      <c r="W1115" s="20"/>
      <c r="X1115" s="20"/>
      <c r="Y1115" s="20"/>
      <c r="Z1115" s="20"/>
      <c r="AA1115" s="20"/>
    </row>
    <row r="1116" spans="1:27" x14ac:dyDescent="0.2">
      <c r="A1116" s="20"/>
      <c r="B1116" s="20"/>
      <c r="C1116" s="20"/>
      <c r="D1116" s="20"/>
      <c r="E1116" s="20"/>
      <c r="F1116" s="20"/>
      <c r="G1116" s="20"/>
      <c r="H1116" s="20"/>
      <c r="J1116" s="20"/>
      <c r="L1116" s="20"/>
      <c r="M1116" s="20"/>
      <c r="N1116" s="20"/>
      <c r="O1116" s="20"/>
      <c r="P1116" s="20"/>
      <c r="R1116" s="20"/>
      <c r="S1116" s="20"/>
      <c r="T1116" s="20"/>
      <c r="U1116" s="20"/>
      <c r="V1116" s="20"/>
      <c r="W1116" s="20"/>
      <c r="X1116" s="20"/>
      <c r="Y1116" s="20"/>
      <c r="Z1116" s="20"/>
      <c r="AA1116" s="20"/>
    </row>
    <row r="1117" spans="1:27" x14ac:dyDescent="0.2">
      <c r="A1117" s="20"/>
      <c r="B1117" s="20"/>
      <c r="C1117" s="20"/>
      <c r="D1117" s="20"/>
      <c r="E1117" s="20"/>
      <c r="F1117" s="20"/>
      <c r="G1117" s="20"/>
      <c r="H1117" s="20"/>
      <c r="J1117" s="20"/>
      <c r="L1117" s="20"/>
      <c r="M1117" s="20"/>
      <c r="N1117" s="20"/>
      <c r="O1117" s="20"/>
      <c r="P1117" s="20"/>
      <c r="R1117" s="20"/>
      <c r="S1117" s="20"/>
      <c r="T1117" s="20"/>
      <c r="U1117" s="20"/>
      <c r="V1117" s="20"/>
      <c r="W1117" s="20"/>
      <c r="X1117" s="20"/>
      <c r="Y1117" s="20"/>
      <c r="Z1117" s="20"/>
      <c r="AA1117" s="20"/>
    </row>
    <row r="1118" spans="1:27" x14ac:dyDescent="0.2">
      <c r="A1118" s="20"/>
      <c r="B1118" s="20"/>
      <c r="C1118" s="20"/>
      <c r="D1118" s="20"/>
      <c r="E1118" s="20"/>
      <c r="F1118" s="20"/>
      <c r="G1118" s="20"/>
      <c r="H1118" s="20"/>
      <c r="J1118" s="20"/>
      <c r="L1118" s="20"/>
      <c r="M1118" s="20"/>
      <c r="N1118" s="20"/>
      <c r="O1118" s="20"/>
      <c r="P1118" s="20"/>
      <c r="R1118" s="20"/>
      <c r="S1118" s="20"/>
      <c r="T1118" s="20"/>
      <c r="U1118" s="20"/>
      <c r="V1118" s="20"/>
      <c r="W1118" s="20"/>
      <c r="X1118" s="20"/>
      <c r="Y1118" s="20"/>
      <c r="Z1118" s="20"/>
      <c r="AA1118" s="20"/>
    </row>
    <row r="1119" spans="1:27" x14ac:dyDescent="0.2">
      <c r="A1119" s="20"/>
      <c r="B1119" s="20"/>
      <c r="C1119" s="20"/>
      <c r="D1119" s="20"/>
      <c r="E1119" s="20"/>
      <c r="F1119" s="20"/>
      <c r="G1119" s="20"/>
      <c r="H1119" s="20"/>
      <c r="J1119" s="20"/>
      <c r="L1119" s="20"/>
      <c r="M1119" s="20"/>
      <c r="N1119" s="20"/>
      <c r="O1119" s="20"/>
      <c r="P1119" s="20"/>
      <c r="R1119" s="20"/>
      <c r="S1119" s="20"/>
      <c r="T1119" s="20"/>
      <c r="U1119" s="20"/>
      <c r="V1119" s="20"/>
      <c r="W1119" s="20"/>
      <c r="X1119" s="20"/>
      <c r="Y1119" s="20"/>
      <c r="Z1119" s="20"/>
      <c r="AA1119" s="20"/>
    </row>
    <row r="1120" spans="1:27" x14ac:dyDescent="0.2">
      <c r="A1120" s="20"/>
      <c r="B1120" s="20"/>
      <c r="C1120" s="20"/>
      <c r="D1120" s="20"/>
      <c r="E1120" s="20"/>
      <c r="F1120" s="20"/>
      <c r="G1120" s="20"/>
      <c r="H1120" s="20"/>
      <c r="J1120" s="20"/>
      <c r="L1120" s="20"/>
      <c r="M1120" s="20"/>
      <c r="N1120" s="20"/>
      <c r="O1120" s="20"/>
      <c r="P1120" s="20"/>
      <c r="R1120" s="20"/>
      <c r="S1120" s="20"/>
      <c r="T1120" s="20"/>
      <c r="U1120" s="20"/>
      <c r="V1120" s="20"/>
      <c r="W1120" s="20"/>
      <c r="X1120" s="20"/>
      <c r="Y1120" s="20"/>
      <c r="Z1120" s="20"/>
      <c r="AA1120" s="20"/>
    </row>
    <row r="1121" spans="1:27" x14ac:dyDescent="0.2">
      <c r="A1121" s="20"/>
      <c r="B1121" s="20"/>
      <c r="C1121" s="20"/>
      <c r="D1121" s="20"/>
      <c r="E1121" s="20"/>
      <c r="F1121" s="20"/>
      <c r="G1121" s="20"/>
      <c r="H1121" s="20"/>
      <c r="J1121" s="20"/>
      <c r="L1121" s="20"/>
      <c r="M1121" s="20"/>
      <c r="N1121" s="20"/>
      <c r="O1121" s="20"/>
      <c r="P1121" s="20"/>
      <c r="R1121" s="20"/>
      <c r="S1121" s="20"/>
      <c r="T1121" s="20"/>
      <c r="U1121" s="20"/>
      <c r="V1121" s="20"/>
      <c r="W1121" s="20"/>
      <c r="X1121" s="20"/>
      <c r="Y1121" s="20"/>
      <c r="Z1121" s="20"/>
      <c r="AA1121" s="20"/>
    </row>
    <row r="1122" spans="1:27" x14ac:dyDescent="0.2">
      <c r="A1122" s="20"/>
      <c r="B1122" s="20"/>
      <c r="C1122" s="20"/>
      <c r="D1122" s="20"/>
      <c r="E1122" s="20"/>
      <c r="F1122" s="20"/>
      <c r="G1122" s="20"/>
      <c r="H1122" s="20"/>
      <c r="J1122" s="20"/>
      <c r="L1122" s="20"/>
      <c r="M1122" s="20"/>
      <c r="N1122" s="20"/>
      <c r="O1122" s="20"/>
      <c r="P1122" s="20"/>
      <c r="R1122" s="20"/>
      <c r="S1122" s="20"/>
      <c r="T1122" s="20"/>
      <c r="U1122" s="20"/>
      <c r="V1122" s="20"/>
      <c r="W1122" s="20"/>
      <c r="X1122" s="20"/>
      <c r="Y1122" s="20"/>
      <c r="Z1122" s="20"/>
      <c r="AA1122" s="20"/>
    </row>
    <row r="1123" spans="1:27" x14ac:dyDescent="0.2">
      <c r="A1123" s="20"/>
      <c r="B1123" s="20"/>
      <c r="C1123" s="20"/>
      <c r="D1123" s="20"/>
      <c r="E1123" s="20"/>
      <c r="F1123" s="20"/>
      <c r="G1123" s="20"/>
      <c r="H1123" s="20"/>
      <c r="J1123" s="20"/>
      <c r="L1123" s="20"/>
      <c r="M1123" s="20"/>
      <c r="N1123" s="20"/>
      <c r="O1123" s="20"/>
      <c r="P1123" s="20"/>
      <c r="R1123" s="20"/>
      <c r="S1123" s="20"/>
      <c r="T1123" s="20"/>
      <c r="U1123" s="20"/>
      <c r="V1123" s="20"/>
      <c r="W1123" s="20"/>
      <c r="X1123" s="20"/>
      <c r="Y1123" s="20"/>
      <c r="Z1123" s="20"/>
      <c r="AA1123" s="20"/>
    </row>
    <row r="1124" spans="1:27" x14ac:dyDescent="0.2">
      <c r="A1124" s="20"/>
      <c r="B1124" s="20"/>
      <c r="C1124" s="20"/>
      <c r="D1124" s="20"/>
      <c r="E1124" s="20"/>
      <c r="F1124" s="20"/>
      <c r="G1124" s="20"/>
      <c r="H1124" s="20"/>
      <c r="J1124" s="20"/>
      <c r="L1124" s="20"/>
      <c r="M1124" s="20"/>
      <c r="N1124" s="20"/>
      <c r="O1124" s="20"/>
      <c r="P1124" s="20"/>
      <c r="R1124" s="20"/>
      <c r="S1124" s="20"/>
      <c r="T1124" s="20"/>
      <c r="U1124" s="20"/>
      <c r="V1124" s="20"/>
      <c r="W1124" s="20"/>
      <c r="X1124" s="20"/>
      <c r="Y1124" s="20"/>
      <c r="Z1124" s="20"/>
      <c r="AA1124" s="20"/>
    </row>
    <row r="1125" spans="1:27" x14ac:dyDescent="0.2">
      <c r="A1125" s="20"/>
      <c r="B1125" s="20"/>
      <c r="C1125" s="20"/>
      <c r="D1125" s="20"/>
      <c r="E1125" s="20"/>
      <c r="F1125" s="20"/>
      <c r="G1125" s="20"/>
      <c r="H1125" s="20"/>
      <c r="J1125" s="20"/>
      <c r="L1125" s="20"/>
      <c r="M1125" s="20"/>
      <c r="N1125" s="20"/>
      <c r="O1125" s="20"/>
      <c r="P1125" s="20"/>
      <c r="R1125" s="20"/>
      <c r="S1125" s="20"/>
      <c r="T1125" s="20"/>
      <c r="U1125" s="20"/>
      <c r="V1125" s="20"/>
      <c r="W1125" s="20"/>
      <c r="X1125" s="20"/>
      <c r="Y1125" s="20"/>
      <c r="Z1125" s="20"/>
      <c r="AA1125" s="20"/>
    </row>
    <row r="1126" spans="1:27" x14ac:dyDescent="0.2">
      <c r="A1126" s="20"/>
      <c r="B1126" s="20"/>
      <c r="C1126" s="20"/>
      <c r="D1126" s="20"/>
      <c r="E1126" s="20"/>
      <c r="F1126" s="20"/>
      <c r="G1126" s="20"/>
      <c r="H1126" s="20"/>
      <c r="J1126" s="20"/>
      <c r="L1126" s="20"/>
      <c r="M1126" s="20"/>
      <c r="N1126" s="20"/>
      <c r="O1126" s="20"/>
      <c r="P1126" s="20"/>
      <c r="R1126" s="20"/>
      <c r="S1126" s="20"/>
      <c r="T1126" s="20"/>
      <c r="U1126" s="20"/>
      <c r="V1126" s="20"/>
      <c r="W1126" s="20"/>
      <c r="X1126" s="20"/>
      <c r="Y1126" s="20"/>
      <c r="Z1126" s="20"/>
      <c r="AA1126" s="20"/>
    </row>
    <row r="1127" spans="1:27" x14ac:dyDescent="0.2">
      <c r="A1127" s="20"/>
      <c r="B1127" s="20"/>
      <c r="C1127" s="20"/>
      <c r="D1127" s="20"/>
      <c r="E1127" s="20"/>
      <c r="F1127" s="20"/>
      <c r="G1127" s="20"/>
      <c r="H1127" s="20"/>
      <c r="J1127" s="20"/>
      <c r="L1127" s="20"/>
      <c r="M1127" s="20"/>
      <c r="N1127" s="20"/>
      <c r="O1127" s="20"/>
      <c r="P1127" s="20"/>
      <c r="R1127" s="20"/>
      <c r="S1127" s="20"/>
      <c r="T1127" s="20"/>
      <c r="U1127" s="20"/>
      <c r="V1127" s="20"/>
      <c r="W1127" s="20"/>
      <c r="X1127" s="20"/>
      <c r="Y1127" s="20"/>
      <c r="Z1127" s="20"/>
      <c r="AA1127" s="20"/>
    </row>
    <row r="1128" spans="1:27" x14ac:dyDescent="0.2">
      <c r="A1128" s="20"/>
      <c r="B1128" s="20"/>
      <c r="C1128" s="20"/>
      <c r="D1128" s="20"/>
      <c r="E1128" s="20"/>
      <c r="F1128" s="20"/>
      <c r="G1128" s="20"/>
      <c r="H1128" s="20"/>
      <c r="J1128" s="20"/>
      <c r="L1128" s="20"/>
      <c r="M1128" s="20"/>
      <c r="N1128" s="20"/>
      <c r="O1128" s="20"/>
      <c r="P1128" s="20"/>
      <c r="R1128" s="20"/>
      <c r="S1128" s="20"/>
      <c r="T1128" s="20"/>
      <c r="U1128" s="20"/>
      <c r="V1128" s="20"/>
      <c r="W1128" s="20"/>
      <c r="X1128" s="20"/>
      <c r="Y1128" s="20"/>
      <c r="Z1128" s="20"/>
      <c r="AA1128" s="20"/>
    </row>
    <row r="1129" spans="1:27" x14ac:dyDescent="0.2">
      <c r="A1129" s="20"/>
      <c r="B1129" s="20"/>
      <c r="C1129" s="20"/>
      <c r="D1129" s="20"/>
      <c r="E1129" s="20"/>
      <c r="F1129" s="20"/>
      <c r="G1129" s="20"/>
      <c r="H1129" s="20"/>
      <c r="J1129" s="20"/>
      <c r="L1129" s="20"/>
      <c r="M1129" s="20"/>
      <c r="N1129" s="20"/>
      <c r="O1129" s="20"/>
      <c r="P1129" s="20"/>
      <c r="R1129" s="20"/>
      <c r="S1129" s="20"/>
      <c r="T1129" s="20"/>
      <c r="U1129" s="20"/>
      <c r="V1129" s="20"/>
      <c r="W1129" s="20"/>
      <c r="X1129" s="20"/>
      <c r="Y1129" s="20"/>
      <c r="Z1129" s="20"/>
      <c r="AA1129" s="20"/>
    </row>
    <row r="1130" spans="1:27" x14ac:dyDescent="0.2">
      <c r="A1130" s="20"/>
      <c r="B1130" s="20"/>
      <c r="C1130" s="20"/>
      <c r="D1130" s="20"/>
      <c r="E1130" s="20"/>
      <c r="F1130" s="20"/>
      <c r="G1130" s="20"/>
      <c r="H1130" s="20"/>
      <c r="J1130" s="20"/>
      <c r="L1130" s="20"/>
      <c r="M1130" s="20"/>
      <c r="N1130" s="20"/>
      <c r="O1130" s="20"/>
      <c r="P1130" s="20"/>
      <c r="R1130" s="20"/>
      <c r="S1130" s="20"/>
      <c r="T1130" s="20"/>
      <c r="U1130" s="20"/>
      <c r="V1130" s="20"/>
      <c r="W1130" s="20"/>
      <c r="X1130" s="20"/>
      <c r="Y1130" s="20"/>
      <c r="Z1130" s="20"/>
      <c r="AA1130" s="20"/>
    </row>
    <row r="1131" spans="1:27" x14ac:dyDescent="0.2">
      <c r="A1131" s="20"/>
      <c r="B1131" s="20"/>
      <c r="C1131" s="20"/>
      <c r="D1131" s="20"/>
      <c r="E1131" s="20"/>
      <c r="F1131" s="20"/>
      <c r="G1131" s="20"/>
      <c r="H1131" s="20"/>
      <c r="J1131" s="20"/>
      <c r="L1131" s="20"/>
      <c r="M1131" s="20"/>
      <c r="N1131" s="20"/>
      <c r="O1131" s="20"/>
      <c r="P1131" s="20"/>
      <c r="R1131" s="20"/>
      <c r="S1131" s="20"/>
      <c r="T1131" s="20"/>
      <c r="U1131" s="20"/>
      <c r="V1131" s="20"/>
      <c r="W1131" s="20"/>
      <c r="X1131" s="20"/>
      <c r="Y1131" s="20"/>
      <c r="Z1131" s="20"/>
      <c r="AA1131" s="20"/>
    </row>
    <row r="1132" spans="1:27" x14ac:dyDescent="0.2">
      <c r="A1132" s="20"/>
      <c r="B1132" s="20"/>
      <c r="C1132" s="20"/>
      <c r="D1132" s="20"/>
      <c r="E1132" s="20"/>
      <c r="F1132" s="20"/>
      <c r="G1132" s="20"/>
      <c r="H1132" s="20"/>
      <c r="J1132" s="20"/>
      <c r="L1132" s="20"/>
      <c r="M1132" s="20"/>
      <c r="N1132" s="20"/>
      <c r="O1132" s="20"/>
      <c r="P1132" s="20"/>
      <c r="R1132" s="20"/>
      <c r="S1132" s="20"/>
      <c r="T1132" s="20"/>
      <c r="U1132" s="20"/>
      <c r="V1132" s="20"/>
      <c r="W1132" s="20"/>
      <c r="X1132" s="20"/>
      <c r="Y1132" s="20"/>
      <c r="Z1132" s="20"/>
      <c r="AA1132" s="20"/>
    </row>
    <row r="1133" spans="1:27" x14ac:dyDescent="0.2">
      <c r="A1133" s="20"/>
      <c r="B1133" s="20"/>
      <c r="C1133" s="20"/>
      <c r="D1133" s="20"/>
      <c r="E1133" s="20"/>
      <c r="F1133" s="20"/>
      <c r="G1133" s="20"/>
      <c r="H1133" s="20"/>
      <c r="J1133" s="20"/>
      <c r="L1133" s="20"/>
      <c r="M1133" s="20"/>
      <c r="N1133" s="20"/>
      <c r="O1133" s="20"/>
      <c r="P1133" s="20"/>
      <c r="R1133" s="20"/>
      <c r="S1133" s="20"/>
      <c r="T1133" s="20"/>
      <c r="U1133" s="20"/>
      <c r="V1133" s="20"/>
      <c r="W1133" s="20"/>
      <c r="X1133" s="20"/>
      <c r="Y1133" s="20"/>
      <c r="Z1133" s="20"/>
      <c r="AA1133" s="20"/>
    </row>
    <row r="1134" spans="1:27" x14ac:dyDescent="0.2">
      <c r="A1134" s="20"/>
      <c r="B1134" s="20"/>
      <c r="C1134" s="20"/>
      <c r="D1134" s="20"/>
      <c r="E1134" s="20"/>
      <c r="F1134" s="20"/>
      <c r="G1134" s="20"/>
      <c r="H1134" s="20"/>
      <c r="J1134" s="20"/>
      <c r="L1134" s="20"/>
      <c r="M1134" s="20"/>
      <c r="N1134" s="20"/>
      <c r="O1134" s="20"/>
      <c r="P1134" s="20"/>
      <c r="R1134" s="20"/>
      <c r="S1134" s="20"/>
      <c r="T1134" s="20"/>
      <c r="U1134" s="20"/>
      <c r="V1134" s="20"/>
      <c r="W1134" s="20"/>
      <c r="X1134" s="20"/>
      <c r="Y1134" s="20"/>
      <c r="Z1134" s="20"/>
      <c r="AA1134" s="20"/>
    </row>
    <row r="1135" spans="1:27" x14ac:dyDescent="0.2">
      <c r="A1135" s="20"/>
      <c r="B1135" s="20"/>
      <c r="C1135" s="20"/>
      <c r="D1135" s="20"/>
      <c r="E1135" s="20"/>
      <c r="F1135" s="20"/>
      <c r="G1135" s="20"/>
      <c r="H1135" s="20"/>
      <c r="J1135" s="20"/>
      <c r="L1135" s="20"/>
      <c r="M1135" s="20"/>
      <c r="N1135" s="20"/>
      <c r="O1135" s="20"/>
      <c r="P1135" s="20"/>
      <c r="R1135" s="20"/>
      <c r="S1135" s="20"/>
      <c r="T1135" s="20"/>
      <c r="U1135" s="20"/>
      <c r="V1135" s="20"/>
      <c r="W1135" s="20"/>
      <c r="X1135" s="20"/>
      <c r="Y1135" s="20"/>
      <c r="Z1135" s="20"/>
      <c r="AA1135" s="20"/>
    </row>
    <row r="1136" spans="1:27" x14ac:dyDescent="0.2">
      <c r="A1136" s="20"/>
      <c r="B1136" s="20"/>
      <c r="C1136" s="20"/>
      <c r="D1136" s="20"/>
      <c r="E1136" s="20"/>
      <c r="F1136" s="20"/>
      <c r="G1136" s="20"/>
      <c r="H1136" s="20"/>
      <c r="J1136" s="20"/>
      <c r="L1136" s="20"/>
      <c r="M1136" s="20"/>
      <c r="N1136" s="20"/>
      <c r="O1136" s="20"/>
      <c r="P1136" s="20"/>
      <c r="R1136" s="20"/>
      <c r="S1136" s="20"/>
      <c r="T1136" s="20"/>
      <c r="U1136" s="20"/>
      <c r="V1136" s="20"/>
      <c r="W1136" s="20"/>
      <c r="X1136" s="20"/>
      <c r="Y1136" s="20"/>
      <c r="Z1136" s="20"/>
      <c r="AA1136" s="20"/>
    </row>
    <row r="1137" spans="1:27" x14ac:dyDescent="0.2">
      <c r="A1137" s="20"/>
      <c r="B1137" s="20"/>
      <c r="C1137" s="20"/>
      <c r="D1137" s="20"/>
      <c r="E1137" s="20"/>
      <c r="F1137" s="20"/>
      <c r="G1137" s="20"/>
      <c r="H1137" s="20"/>
      <c r="J1137" s="20"/>
      <c r="L1137" s="20"/>
      <c r="M1137" s="20"/>
      <c r="N1137" s="20"/>
      <c r="O1137" s="20"/>
      <c r="P1137" s="20"/>
      <c r="R1137" s="20"/>
      <c r="S1137" s="20"/>
      <c r="T1137" s="20"/>
      <c r="U1137" s="20"/>
      <c r="V1137" s="20"/>
      <c r="W1137" s="20"/>
      <c r="X1137" s="20"/>
      <c r="Y1137" s="20"/>
      <c r="Z1137" s="20"/>
      <c r="AA1137" s="20"/>
    </row>
    <row r="1138" spans="1:27" x14ac:dyDescent="0.2">
      <c r="A1138" s="20"/>
      <c r="B1138" s="20"/>
      <c r="C1138" s="20"/>
      <c r="D1138" s="20"/>
      <c r="E1138" s="20"/>
      <c r="F1138" s="20"/>
      <c r="G1138" s="20"/>
      <c r="H1138" s="20"/>
      <c r="J1138" s="20"/>
      <c r="L1138" s="20"/>
      <c r="M1138" s="20"/>
      <c r="N1138" s="20"/>
      <c r="O1138" s="20"/>
      <c r="P1138" s="20"/>
      <c r="R1138" s="20"/>
      <c r="S1138" s="20"/>
      <c r="T1138" s="20"/>
      <c r="U1138" s="20"/>
      <c r="V1138" s="20"/>
      <c r="W1138" s="20"/>
      <c r="X1138" s="20"/>
      <c r="Y1138" s="20"/>
      <c r="Z1138" s="20"/>
      <c r="AA1138" s="20"/>
    </row>
    <row r="1139" spans="1:27" x14ac:dyDescent="0.2">
      <c r="A1139" s="20"/>
      <c r="B1139" s="20"/>
      <c r="C1139" s="20"/>
      <c r="D1139" s="20"/>
      <c r="E1139" s="20"/>
      <c r="F1139" s="20"/>
      <c r="G1139" s="20"/>
      <c r="H1139" s="20"/>
      <c r="J1139" s="20"/>
      <c r="L1139" s="20"/>
      <c r="M1139" s="20"/>
      <c r="N1139" s="20"/>
      <c r="O1139" s="20"/>
      <c r="P1139" s="20"/>
      <c r="R1139" s="20"/>
      <c r="S1139" s="20"/>
      <c r="T1139" s="20"/>
      <c r="U1139" s="20"/>
      <c r="V1139" s="20"/>
      <c r="W1139" s="20"/>
      <c r="X1139" s="20"/>
      <c r="Y1139" s="20"/>
      <c r="Z1139" s="20"/>
      <c r="AA1139" s="20"/>
    </row>
    <row r="1140" spans="1:27" x14ac:dyDescent="0.2">
      <c r="A1140" s="20"/>
      <c r="B1140" s="20"/>
      <c r="C1140" s="20"/>
      <c r="D1140" s="20"/>
      <c r="E1140" s="20"/>
      <c r="F1140" s="20"/>
      <c r="G1140" s="20"/>
      <c r="H1140" s="20"/>
      <c r="J1140" s="20"/>
      <c r="L1140" s="20"/>
      <c r="M1140" s="20"/>
      <c r="N1140" s="20"/>
      <c r="O1140" s="20"/>
      <c r="P1140" s="20"/>
      <c r="R1140" s="20"/>
      <c r="S1140" s="20"/>
      <c r="T1140" s="20"/>
      <c r="U1140" s="20"/>
      <c r="V1140" s="20"/>
      <c r="W1140" s="20"/>
      <c r="X1140" s="20"/>
      <c r="Y1140" s="20"/>
      <c r="Z1140" s="20"/>
      <c r="AA1140" s="20"/>
    </row>
    <row r="1141" spans="1:27" x14ac:dyDescent="0.2">
      <c r="A1141" s="20"/>
      <c r="B1141" s="20"/>
      <c r="C1141" s="20"/>
      <c r="D1141" s="20"/>
      <c r="E1141" s="20"/>
      <c r="F1141" s="20"/>
      <c r="G1141" s="20"/>
      <c r="H1141" s="20"/>
      <c r="J1141" s="20"/>
      <c r="L1141" s="20"/>
      <c r="M1141" s="20"/>
      <c r="N1141" s="20"/>
      <c r="O1141" s="20"/>
      <c r="P1141" s="20"/>
      <c r="R1141" s="20"/>
      <c r="S1141" s="20"/>
      <c r="T1141" s="20"/>
      <c r="U1141" s="20"/>
      <c r="V1141" s="20"/>
      <c r="W1141" s="20"/>
      <c r="X1141" s="20"/>
      <c r="Y1141" s="20"/>
      <c r="Z1141" s="20"/>
      <c r="AA1141" s="20"/>
    </row>
    <row r="1142" spans="1:27" x14ac:dyDescent="0.2">
      <c r="A1142" s="20"/>
      <c r="B1142" s="20"/>
      <c r="C1142" s="20"/>
      <c r="D1142" s="20"/>
      <c r="E1142" s="20"/>
      <c r="F1142" s="20"/>
      <c r="G1142" s="20"/>
      <c r="H1142" s="20"/>
      <c r="J1142" s="20"/>
      <c r="L1142" s="20"/>
      <c r="M1142" s="20"/>
      <c r="N1142" s="20"/>
      <c r="O1142" s="20"/>
      <c r="P1142" s="20"/>
      <c r="R1142" s="20"/>
      <c r="S1142" s="20"/>
      <c r="T1142" s="20"/>
      <c r="U1142" s="20"/>
      <c r="V1142" s="20"/>
      <c r="W1142" s="20"/>
      <c r="X1142" s="20"/>
      <c r="Y1142" s="20"/>
      <c r="Z1142" s="20"/>
      <c r="AA1142" s="20"/>
    </row>
    <row r="1143" spans="1:27" x14ac:dyDescent="0.2">
      <c r="A1143" s="20"/>
      <c r="B1143" s="20"/>
      <c r="C1143" s="20"/>
      <c r="D1143" s="20"/>
      <c r="E1143" s="20"/>
      <c r="F1143" s="20"/>
      <c r="G1143" s="20"/>
      <c r="H1143" s="20"/>
      <c r="J1143" s="20"/>
      <c r="L1143" s="20"/>
      <c r="M1143" s="20"/>
      <c r="N1143" s="20"/>
      <c r="O1143" s="20"/>
      <c r="P1143" s="20"/>
      <c r="R1143" s="20"/>
      <c r="S1143" s="20"/>
      <c r="T1143" s="20"/>
      <c r="U1143" s="20"/>
      <c r="V1143" s="20"/>
      <c r="W1143" s="20"/>
      <c r="X1143" s="20"/>
      <c r="Y1143" s="20"/>
      <c r="Z1143" s="20"/>
      <c r="AA1143" s="20"/>
    </row>
    <row r="1144" spans="1:27" x14ac:dyDescent="0.2">
      <c r="A1144" s="20"/>
      <c r="B1144" s="20"/>
      <c r="C1144" s="20"/>
      <c r="D1144" s="20"/>
      <c r="E1144" s="20"/>
      <c r="F1144" s="20"/>
      <c r="G1144" s="20"/>
      <c r="H1144" s="20"/>
      <c r="J1144" s="20"/>
      <c r="L1144" s="20"/>
      <c r="M1144" s="20"/>
      <c r="N1144" s="20"/>
      <c r="O1144" s="20"/>
      <c r="P1144" s="20"/>
      <c r="R1144" s="20"/>
      <c r="S1144" s="20"/>
      <c r="T1144" s="20"/>
      <c r="U1144" s="20"/>
      <c r="V1144" s="20"/>
      <c r="W1144" s="20"/>
      <c r="X1144" s="20"/>
      <c r="Y1144" s="20"/>
      <c r="Z1144" s="20"/>
      <c r="AA1144" s="20"/>
    </row>
    <row r="1145" spans="1:27" x14ac:dyDescent="0.2">
      <c r="A1145" s="20"/>
      <c r="B1145" s="20"/>
      <c r="C1145" s="20"/>
      <c r="D1145" s="20"/>
      <c r="E1145" s="20"/>
      <c r="F1145" s="20"/>
      <c r="G1145" s="20"/>
      <c r="H1145" s="20"/>
      <c r="J1145" s="20"/>
      <c r="L1145" s="20"/>
      <c r="M1145" s="20"/>
      <c r="N1145" s="20"/>
      <c r="O1145" s="20"/>
      <c r="P1145" s="20"/>
      <c r="R1145" s="20"/>
      <c r="S1145" s="20"/>
      <c r="T1145" s="20"/>
      <c r="U1145" s="20"/>
      <c r="V1145" s="20"/>
      <c r="W1145" s="20"/>
      <c r="X1145" s="20"/>
      <c r="Y1145" s="20"/>
      <c r="Z1145" s="20"/>
      <c r="AA1145" s="20"/>
    </row>
    <row r="1146" spans="1:27" x14ac:dyDescent="0.2">
      <c r="A1146" s="20"/>
      <c r="B1146" s="20"/>
      <c r="C1146" s="20"/>
      <c r="D1146" s="20"/>
      <c r="E1146" s="20"/>
      <c r="F1146" s="20"/>
      <c r="G1146" s="20"/>
      <c r="H1146" s="20"/>
      <c r="J1146" s="20"/>
      <c r="L1146" s="20"/>
      <c r="M1146" s="20"/>
      <c r="N1146" s="20"/>
      <c r="O1146" s="20"/>
      <c r="P1146" s="20"/>
      <c r="R1146" s="20"/>
      <c r="S1146" s="20"/>
      <c r="T1146" s="20"/>
      <c r="U1146" s="20"/>
      <c r="V1146" s="20"/>
      <c r="W1146" s="20"/>
      <c r="X1146" s="20"/>
      <c r="Y1146" s="20"/>
      <c r="Z1146" s="20"/>
      <c r="AA1146" s="20"/>
    </row>
    <row r="1147" spans="1:27" x14ac:dyDescent="0.2">
      <c r="A1147" s="20"/>
      <c r="B1147" s="20"/>
      <c r="C1147" s="20"/>
      <c r="D1147" s="20"/>
      <c r="E1147" s="20"/>
      <c r="F1147" s="20"/>
      <c r="G1147" s="20"/>
      <c r="H1147" s="20"/>
      <c r="J1147" s="20"/>
      <c r="L1147" s="20"/>
      <c r="M1147" s="20"/>
      <c r="N1147" s="20"/>
      <c r="O1147" s="20"/>
      <c r="P1147" s="20"/>
      <c r="R1147" s="20"/>
      <c r="S1147" s="20"/>
      <c r="T1147" s="20"/>
      <c r="U1147" s="20"/>
      <c r="V1147" s="20"/>
      <c r="W1147" s="20"/>
      <c r="X1147" s="20"/>
      <c r="Y1147" s="20"/>
      <c r="Z1147" s="20"/>
      <c r="AA1147" s="20"/>
    </row>
    <row r="1148" spans="1:27" x14ac:dyDescent="0.2">
      <c r="A1148" s="20"/>
      <c r="B1148" s="20"/>
      <c r="C1148" s="20"/>
      <c r="D1148" s="20"/>
      <c r="E1148" s="20"/>
      <c r="F1148" s="20"/>
      <c r="G1148" s="20"/>
      <c r="H1148" s="20"/>
      <c r="J1148" s="20"/>
      <c r="L1148" s="20"/>
      <c r="M1148" s="20"/>
      <c r="N1148" s="20"/>
      <c r="O1148" s="20"/>
      <c r="P1148" s="20"/>
      <c r="R1148" s="20"/>
      <c r="S1148" s="20"/>
      <c r="T1148" s="20"/>
      <c r="U1148" s="20"/>
      <c r="V1148" s="20"/>
      <c r="W1148" s="20"/>
      <c r="X1148" s="20"/>
      <c r="Y1148" s="20"/>
      <c r="Z1148" s="20"/>
      <c r="AA1148" s="20"/>
    </row>
    <row r="1149" spans="1:27" x14ac:dyDescent="0.2">
      <c r="A1149" s="20"/>
      <c r="B1149" s="20"/>
      <c r="C1149" s="20"/>
      <c r="D1149" s="20"/>
      <c r="E1149" s="20"/>
      <c r="F1149" s="20"/>
      <c r="G1149" s="20"/>
      <c r="H1149" s="20"/>
      <c r="J1149" s="20"/>
      <c r="L1149" s="20"/>
      <c r="M1149" s="20"/>
      <c r="N1149" s="20"/>
      <c r="O1149" s="20"/>
      <c r="P1149" s="20"/>
      <c r="R1149" s="20"/>
      <c r="S1149" s="20"/>
      <c r="T1149" s="20"/>
      <c r="U1149" s="20"/>
      <c r="V1149" s="20"/>
      <c r="W1149" s="20"/>
      <c r="X1149" s="20"/>
      <c r="Y1149" s="20"/>
      <c r="Z1149" s="20"/>
      <c r="AA1149" s="20"/>
    </row>
    <row r="1150" spans="1:27" x14ac:dyDescent="0.2">
      <c r="A1150" s="20"/>
      <c r="B1150" s="20"/>
      <c r="C1150" s="20"/>
      <c r="D1150" s="20"/>
      <c r="E1150" s="20"/>
      <c r="F1150" s="20"/>
      <c r="G1150" s="20"/>
      <c r="H1150" s="20"/>
      <c r="J1150" s="20"/>
      <c r="L1150" s="20"/>
      <c r="M1150" s="20"/>
      <c r="N1150" s="20"/>
      <c r="O1150" s="20"/>
      <c r="P1150" s="20"/>
      <c r="R1150" s="20"/>
      <c r="S1150" s="20"/>
      <c r="T1150" s="20"/>
      <c r="U1150" s="20"/>
      <c r="V1150" s="20"/>
      <c r="W1150" s="20"/>
      <c r="X1150" s="20"/>
      <c r="Y1150" s="20"/>
      <c r="Z1150" s="20"/>
      <c r="AA1150" s="20"/>
    </row>
    <row r="1151" spans="1:27" x14ac:dyDescent="0.2">
      <c r="A1151" s="20"/>
      <c r="B1151" s="20"/>
      <c r="C1151" s="20"/>
      <c r="D1151" s="20"/>
      <c r="E1151" s="20"/>
      <c r="F1151" s="20"/>
      <c r="G1151" s="20"/>
      <c r="H1151" s="20"/>
      <c r="J1151" s="20"/>
      <c r="L1151" s="20"/>
      <c r="M1151" s="20"/>
      <c r="N1151" s="20"/>
      <c r="O1151" s="20"/>
      <c r="P1151" s="20"/>
      <c r="R1151" s="20"/>
      <c r="S1151" s="20"/>
      <c r="T1151" s="20"/>
      <c r="U1151" s="20"/>
      <c r="V1151" s="20"/>
      <c r="W1151" s="20"/>
      <c r="X1151" s="20"/>
      <c r="Y1151" s="20"/>
      <c r="Z1151" s="20"/>
      <c r="AA1151" s="20"/>
    </row>
    <row r="1152" spans="1:27" x14ac:dyDescent="0.2">
      <c r="A1152" s="20"/>
      <c r="B1152" s="20"/>
      <c r="C1152" s="20"/>
      <c r="D1152" s="20"/>
      <c r="E1152" s="20"/>
      <c r="F1152" s="20"/>
      <c r="G1152" s="20"/>
      <c r="H1152" s="20"/>
      <c r="J1152" s="20"/>
      <c r="L1152" s="20"/>
      <c r="M1152" s="20"/>
      <c r="N1152" s="20"/>
      <c r="O1152" s="20"/>
      <c r="P1152" s="20"/>
      <c r="R1152" s="20"/>
      <c r="S1152" s="20"/>
      <c r="T1152" s="20"/>
      <c r="U1152" s="20"/>
      <c r="V1152" s="20"/>
      <c r="W1152" s="20"/>
      <c r="X1152" s="20"/>
      <c r="Y1152" s="20"/>
      <c r="Z1152" s="20"/>
      <c r="AA1152" s="20"/>
    </row>
    <row r="1153" spans="1:27" x14ac:dyDescent="0.2">
      <c r="A1153" s="20"/>
      <c r="B1153" s="20"/>
      <c r="C1153" s="20"/>
      <c r="D1153" s="20"/>
      <c r="E1153" s="20"/>
      <c r="F1153" s="20"/>
      <c r="G1153" s="20"/>
      <c r="H1153" s="20"/>
      <c r="J1153" s="20"/>
      <c r="L1153" s="20"/>
      <c r="M1153" s="20"/>
      <c r="N1153" s="20"/>
      <c r="O1153" s="20"/>
      <c r="P1153" s="20"/>
      <c r="R1153" s="20"/>
      <c r="S1153" s="20"/>
      <c r="T1153" s="20"/>
      <c r="U1153" s="20"/>
      <c r="V1153" s="20"/>
      <c r="W1153" s="20"/>
      <c r="X1153" s="20"/>
      <c r="Y1153" s="20"/>
      <c r="Z1153" s="20"/>
      <c r="AA1153" s="20"/>
    </row>
    <row r="1154" spans="1:27" x14ac:dyDescent="0.2">
      <c r="A1154" s="20"/>
      <c r="B1154" s="20"/>
      <c r="C1154" s="20"/>
      <c r="D1154" s="20"/>
      <c r="E1154" s="20"/>
      <c r="F1154" s="20"/>
      <c r="G1154" s="20"/>
      <c r="H1154" s="20"/>
      <c r="J1154" s="20"/>
      <c r="L1154" s="20"/>
      <c r="M1154" s="20"/>
      <c r="N1154" s="20"/>
      <c r="O1154" s="20"/>
      <c r="P1154" s="20"/>
      <c r="R1154" s="20"/>
      <c r="S1154" s="20"/>
      <c r="T1154" s="20"/>
      <c r="U1154" s="20"/>
      <c r="V1154" s="20"/>
      <c r="W1154" s="20"/>
      <c r="X1154" s="20"/>
      <c r="Y1154" s="20"/>
      <c r="Z1154" s="20"/>
      <c r="AA1154" s="20"/>
    </row>
    <row r="1155" spans="1:27" x14ac:dyDescent="0.2">
      <c r="A1155" s="20"/>
      <c r="B1155" s="20"/>
      <c r="C1155" s="20"/>
      <c r="D1155" s="20"/>
      <c r="E1155" s="20"/>
      <c r="F1155" s="20"/>
      <c r="G1155" s="20"/>
      <c r="H1155" s="20"/>
      <c r="J1155" s="20"/>
      <c r="L1155" s="20"/>
      <c r="M1155" s="20"/>
      <c r="N1155" s="20"/>
      <c r="O1155" s="20"/>
      <c r="P1155" s="20"/>
      <c r="R1155" s="20"/>
      <c r="S1155" s="20"/>
      <c r="T1155" s="20"/>
      <c r="U1155" s="20"/>
      <c r="V1155" s="20"/>
      <c r="W1155" s="20"/>
      <c r="X1155" s="20"/>
      <c r="Y1155" s="20"/>
      <c r="Z1155" s="20"/>
      <c r="AA1155" s="20"/>
    </row>
    <row r="1156" spans="1:27" x14ac:dyDescent="0.2">
      <c r="A1156" s="20"/>
      <c r="B1156" s="20"/>
      <c r="C1156" s="20"/>
      <c r="D1156" s="20"/>
      <c r="E1156" s="20"/>
      <c r="F1156" s="20"/>
      <c r="G1156" s="20"/>
      <c r="H1156" s="20"/>
      <c r="J1156" s="20"/>
      <c r="L1156" s="20"/>
      <c r="M1156" s="20"/>
      <c r="N1156" s="20"/>
      <c r="O1156" s="20"/>
      <c r="P1156" s="20"/>
      <c r="R1156" s="20"/>
      <c r="S1156" s="20"/>
      <c r="T1156" s="20"/>
      <c r="U1156" s="20"/>
      <c r="V1156" s="20"/>
      <c r="W1156" s="20"/>
      <c r="X1156" s="20"/>
      <c r="Y1156" s="20"/>
      <c r="Z1156" s="20"/>
      <c r="AA1156" s="20"/>
    </row>
    <row r="1157" spans="1:27" x14ac:dyDescent="0.2">
      <c r="A1157" s="20"/>
      <c r="B1157" s="20"/>
      <c r="C1157" s="20"/>
      <c r="D1157" s="20"/>
      <c r="E1157" s="20"/>
      <c r="F1157" s="20"/>
      <c r="G1157" s="20"/>
      <c r="H1157" s="20"/>
      <c r="J1157" s="20"/>
      <c r="L1157" s="20"/>
      <c r="M1157" s="20"/>
      <c r="N1157" s="20"/>
      <c r="O1157" s="20"/>
      <c r="P1157" s="20"/>
      <c r="R1157" s="20"/>
      <c r="S1157" s="20"/>
      <c r="T1157" s="20"/>
      <c r="U1157" s="20"/>
      <c r="V1157" s="20"/>
      <c r="W1157" s="20"/>
      <c r="X1157" s="20"/>
      <c r="Y1157" s="20"/>
      <c r="Z1157" s="20"/>
      <c r="AA1157" s="20"/>
    </row>
    <row r="1158" spans="1:27" x14ac:dyDescent="0.2">
      <c r="A1158" s="20"/>
      <c r="B1158" s="20"/>
      <c r="C1158" s="20"/>
      <c r="D1158" s="20"/>
      <c r="E1158" s="20"/>
      <c r="F1158" s="20"/>
      <c r="G1158" s="20"/>
      <c r="H1158" s="20"/>
      <c r="J1158" s="20"/>
      <c r="L1158" s="20"/>
      <c r="M1158" s="20"/>
      <c r="N1158" s="20"/>
      <c r="O1158" s="20"/>
      <c r="P1158" s="20"/>
      <c r="R1158" s="20"/>
      <c r="S1158" s="20"/>
      <c r="T1158" s="20"/>
      <c r="U1158" s="20"/>
      <c r="V1158" s="20"/>
      <c r="W1158" s="20"/>
      <c r="X1158" s="20"/>
      <c r="Y1158" s="20"/>
      <c r="Z1158" s="20"/>
      <c r="AA1158" s="20"/>
    </row>
    <row r="1159" spans="1:27" x14ac:dyDescent="0.2">
      <c r="A1159" s="20"/>
      <c r="B1159" s="20"/>
      <c r="C1159" s="20"/>
      <c r="D1159" s="20"/>
      <c r="E1159" s="20"/>
      <c r="F1159" s="20"/>
      <c r="G1159" s="20"/>
      <c r="H1159" s="20"/>
      <c r="J1159" s="20"/>
      <c r="L1159" s="20"/>
      <c r="M1159" s="20"/>
      <c r="N1159" s="20"/>
      <c r="O1159" s="20"/>
      <c r="P1159" s="20"/>
      <c r="R1159" s="20"/>
      <c r="S1159" s="20"/>
      <c r="T1159" s="20"/>
      <c r="U1159" s="20"/>
      <c r="V1159" s="20"/>
      <c r="W1159" s="20"/>
      <c r="X1159" s="20"/>
      <c r="Y1159" s="20"/>
      <c r="Z1159" s="20"/>
      <c r="AA1159" s="20"/>
    </row>
    <row r="1160" spans="1:27" x14ac:dyDescent="0.2">
      <c r="A1160" s="20"/>
      <c r="B1160" s="20"/>
      <c r="C1160" s="20"/>
      <c r="D1160" s="20"/>
      <c r="E1160" s="20"/>
      <c r="F1160" s="20"/>
      <c r="G1160" s="20"/>
      <c r="H1160" s="20"/>
      <c r="J1160" s="20"/>
      <c r="L1160" s="20"/>
      <c r="M1160" s="20"/>
      <c r="N1160" s="20"/>
      <c r="O1160" s="20"/>
      <c r="P1160" s="20"/>
      <c r="R1160" s="20"/>
      <c r="S1160" s="20"/>
      <c r="T1160" s="20"/>
      <c r="U1160" s="20"/>
      <c r="V1160" s="20"/>
      <c r="W1160" s="20"/>
      <c r="X1160" s="20"/>
      <c r="Y1160" s="20"/>
      <c r="Z1160" s="20"/>
      <c r="AA1160" s="20"/>
    </row>
    <row r="1161" spans="1:27" x14ac:dyDescent="0.2">
      <c r="A1161" s="20"/>
      <c r="B1161" s="20"/>
      <c r="C1161" s="20"/>
      <c r="D1161" s="20"/>
      <c r="E1161" s="20"/>
      <c r="F1161" s="20"/>
      <c r="G1161" s="20"/>
      <c r="H1161" s="20"/>
      <c r="J1161" s="20"/>
      <c r="L1161" s="20"/>
      <c r="M1161" s="20"/>
      <c r="N1161" s="20"/>
      <c r="O1161" s="20"/>
      <c r="P1161" s="20"/>
      <c r="R1161" s="20"/>
      <c r="S1161" s="20"/>
      <c r="T1161" s="20"/>
      <c r="U1161" s="20"/>
      <c r="V1161" s="20"/>
      <c r="W1161" s="20"/>
      <c r="X1161" s="20"/>
      <c r="Y1161" s="20"/>
      <c r="Z1161" s="20"/>
      <c r="AA1161" s="20"/>
    </row>
    <row r="1162" spans="1:27" x14ac:dyDescent="0.2">
      <c r="A1162" s="20"/>
      <c r="B1162" s="20"/>
      <c r="C1162" s="20"/>
      <c r="D1162" s="20"/>
      <c r="E1162" s="20"/>
      <c r="F1162" s="20"/>
      <c r="G1162" s="20"/>
      <c r="H1162" s="20"/>
      <c r="J1162" s="20"/>
      <c r="L1162" s="20"/>
      <c r="M1162" s="20"/>
      <c r="N1162" s="20"/>
      <c r="O1162" s="20"/>
      <c r="P1162" s="20"/>
      <c r="R1162" s="20"/>
      <c r="S1162" s="20"/>
      <c r="T1162" s="20"/>
      <c r="U1162" s="20"/>
      <c r="V1162" s="20"/>
      <c r="W1162" s="20"/>
      <c r="X1162" s="20"/>
      <c r="Y1162" s="20"/>
      <c r="Z1162" s="20"/>
      <c r="AA1162" s="20"/>
    </row>
    <row r="1163" spans="1:27" x14ac:dyDescent="0.2">
      <c r="A1163" s="20"/>
      <c r="B1163" s="20"/>
      <c r="C1163" s="20"/>
      <c r="D1163" s="20"/>
      <c r="E1163" s="20"/>
      <c r="F1163" s="20"/>
      <c r="G1163" s="20"/>
      <c r="H1163" s="20"/>
      <c r="J1163" s="20"/>
      <c r="L1163" s="20"/>
      <c r="M1163" s="20"/>
      <c r="N1163" s="20"/>
      <c r="O1163" s="20"/>
      <c r="P1163" s="20"/>
      <c r="R1163" s="20"/>
      <c r="S1163" s="20"/>
      <c r="T1163" s="20"/>
      <c r="U1163" s="20"/>
      <c r="V1163" s="20"/>
      <c r="W1163" s="20"/>
      <c r="X1163" s="20"/>
      <c r="Y1163" s="20"/>
      <c r="Z1163" s="20"/>
      <c r="AA1163" s="20"/>
    </row>
    <row r="1164" spans="1:27" x14ac:dyDescent="0.2">
      <c r="A1164" s="20"/>
      <c r="B1164" s="20"/>
      <c r="C1164" s="20"/>
      <c r="D1164" s="20"/>
      <c r="E1164" s="20"/>
      <c r="F1164" s="20"/>
      <c r="G1164" s="20"/>
      <c r="H1164" s="20"/>
      <c r="J1164" s="20"/>
      <c r="L1164" s="20"/>
      <c r="M1164" s="20"/>
      <c r="N1164" s="20"/>
      <c r="O1164" s="20"/>
      <c r="P1164" s="20"/>
      <c r="R1164" s="20"/>
      <c r="S1164" s="20"/>
      <c r="T1164" s="20"/>
      <c r="U1164" s="20"/>
      <c r="V1164" s="20"/>
      <c r="W1164" s="20"/>
      <c r="X1164" s="20"/>
      <c r="Y1164" s="20"/>
      <c r="Z1164" s="20"/>
      <c r="AA1164" s="20"/>
    </row>
    <row r="1165" spans="1:27" x14ac:dyDescent="0.2">
      <c r="A1165" s="20"/>
      <c r="B1165" s="20"/>
      <c r="C1165" s="20"/>
      <c r="D1165" s="20"/>
      <c r="E1165" s="20"/>
      <c r="F1165" s="20"/>
      <c r="G1165" s="20"/>
      <c r="H1165" s="20"/>
      <c r="J1165" s="20"/>
      <c r="L1165" s="20"/>
      <c r="M1165" s="20"/>
      <c r="N1165" s="20"/>
      <c r="O1165" s="20"/>
      <c r="P1165" s="20"/>
      <c r="R1165" s="20"/>
      <c r="S1165" s="20"/>
      <c r="T1165" s="20"/>
      <c r="U1165" s="20"/>
      <c r="V1165" s="20"/>
      <c r="W1165" s="20"/>
      <c r="X1165" s="20"/>
      <c r="Y1165" s="20"/>
      <c r="Z1165" s="20"/>
      <c r="AA1165" s="20"/>
    </row>
    <row r="1166" spans="1:27" x14ac:dyDescent="0.2">
      <c r="A1166" s="20"/>
      <c r="B1166" s="20"/>
      <c r="C1166" s="20"/>
      <c r="D1166" s="20"/>
      <c r="E1166" s="20"/>
      <c r="F1166" s="20"/>
      <c r="G1166" s="20"/>
      <c r="H1166" s="20"/>
      <c r="J1166" s="20"/>
      <c r="L1166" s="20"/>
      <c r="M1166" s="20"/>
      <c r="N1166" s="20"/>
      <c r="O1166" s="20"/>
      <c r="P1166" s="20"/>
      <c r="R1166" s="20"/>
      <c r="S1166" s="20"/>
      <c r="T1166" s="20"/>
      <c r="U1166" s="20"/>
      <c r="V1166" s="20"/>
      <c r="W1166" s="20"/>
      <c r="X1166" s="20"/>
      <c r="Y1166" s="20"/>
      <c r="Z1166" s="20"/>
      <c r="AA1166" s="20"/>
    </row>
    <row r="1167" spans="1:27" x14ac:dyDescent="0.2">
      <c r="A1167" s="20"/>
      <c r="B1167" s="20"/>
      <c r="C1167" s="20"/>
      <c r="D1167" s="20"/>
      <c r="E1167" s="20"/>
      <c r="F1167" s="20"/>
      <c r="G1167" s="20"/>
      <c r="H1167" s="20"/>
      <c r="J1167" s="20"/>
      <c r="L1167" s="20"/>
      <c r="M1167" s="20"/>
      <c r="N1167" s="20"/>
      <c r="O1167" s="20"/>
      <c r="P1167" s="20"/>
      <c r="R1167" s="20"/>
      <c r="S1167" s="20"/>
      <c r="T1167" s="20"/>
      <c r="U1167" s="20"/>
      <c r="V1167" s="20"/>
      <c r="W1167" s="20"/>
      <c r="X1167" s="20"/>
      <c r="Y1167" s="20"/>
      <c r="Z1167" s="20"/>
      <c r="AA1167" s="20"/>
    </row>
    <row r="1168" spans="1:27" x14ac:dyDescent="0.2">
      <c r="A1168" s="20"/>
      <c r="B1168" s="20"/>
      <c r="C1168" s="20"/>
      <c r="D1168" s="20"/>
      <c r="E1168" s="20"/>
      <c r="F1168" s="20"/>
      <c r="G1168" s="20"/>
      <c r="H1168" s="20"/>
      <c r="J1168" s="20"/>
      <c r="L1168" s="20"/>
      <c r="M1168" s="20"/>
      <c r="N1168" s="20"/>
      <c r="O1168" s="20"/>
      <c r="P1168" s="20"/>
      <c r="R1168" s="20"/>
      <c r="S1168" s="20"/>
      <c r="T1168" s="20"/>
      <c r="U1168" s="20"/>
      <c r="V1168" s="20"/>
      <c r="W1168" s="20"/>
      <c r="X1168" s="20"/>
      <c r="Y1168" s="20"/>
      <c r="Z1168" s="20"/>
      <c r="AA1168" s="20"/>
    </row>
    <row r="1169" spans="1:27" x14ac:dyDescent="0.2">
      <c r="A1169" s="20"/>
      <c r="B1169" s="20"/>
      <c r="C1169" s="20"/>
      <c r="D1169" s="20"/>
      <c r="E1169" s="20"/>
      <c r="F1169" s="20"/>
      <c r="G1169" s="20"/>
      <c r="H1169" s="20"/>
      <c r="J1169" s="20"/>
      <c r="L1169" s="20"/>
      <c r="M1169" s="20"/>
      <c r="N1169" s="20"/>
      <c r="O1169" s="20"/>
      <c r="P1169" s="20"/>
      <c r="R1169" s="20"/>
      <c r="S1169" s="20"/>
      <c r="T1169" s="20"/>
      <c r="U1169" s="20"/>
      <c r="V1169" s="20"/>
      <c r="W1169" s="20"/>
      <c r="X1169" s="20"/>
      <c r="Y1169" s="20"/>
      <c r="Z1169" s="20"/>
      <c r="AA1169" s="20"/>
    </row>
    <row r="1170" spans="1:27" x14ac:dyDescent="0.2">
      <c r="A1170" s="20"/>
      <c r="B1170" s="20"/>
      <c r="C1170" s="20"/>
      <c r="D1170" s="20"/>
      <c r="E1170" s="20"/>
      <c r="F1170" s="20"/>
      <c r="G1170" s="20"/>
      <c r="H1170" s="20"/>
      <c r="J1170" s="20"/>
      <c r="L1170" s="20"/>
      <c r="M1170" s="20"/>
      <c r="N1170" s="20"/>
      <c r="O1170" s="20"/>
      <c r="P1170" s="20"/>
      <c r="R1170" s="20"/>
      <c r="S1170" s="20"/>
      <c r="T1170" s="20"/>
      <c r="U1170" s="20"/>
      <c r="V1170" s="20"/>
      <c r="W1170" s="20"/>
      <c r="X1170" s="20"/>
      <c r="Y1170" s="20"/>
      <c r="Z1170" s="20"/>
      <c r="AA1170" s="20"/>
    </row>
    <row r="1171" spans="1:27" x14ac:dyDescent="0.2">
      <c r="A1171" s="20"/>
      <c r="B1171" s="20"/>
      <c r="C1171" s="20"/>
      <c r="D1171" s="20"/>
      <c r="E1171" s="20"/>
      <c r="F1171" s="20"/>
      <c r="G1171" s="20"/>
      <c r="H1171" s="20"/>
      <c r="J1171" s="20"/>
      <c r="L1171" s="20"/>
      <c r="M1171" s="20"/>
      <c r="N1171" s="20"/>
      <c r="O1171" s="20"/>
      <c r="P1171" s="20"/>
      <c r="R1171" s="20"/>
      <c r="S1171" s="20"/>
      <c r="T1171" s="20"/>
      <c r="U1171" s="20"/>
      <c r="V1171" s="20"/>
      <c r="W1171" s="20"/>
      <c r="X1171" s="20"/>
      <c r="Y1171" s="20"/>
      <c r="Z1171" s="20"/>
      <c r="AA1171" s="20"/>
    </row>
    <row r="1172" spans="1:27" x14ac:dyDescent="0.2">
      <c r="A1172" s="20"/>
      <c r="B1172" s="20"/>
      <c r="C1172" s="20"/>
      <c r="D1172" s="20"/>
      <c r="E1172" s="20"/>
      <c r="F1172" s="20"/>
      <c r="G1172" s="20"/>
      <c r="H1172" s="20"/>
      <c r="J1172" s="20"/>
      <c r="L1172" s="20"/>
      <c r="M1172" s="20"/>
      <c r="N1172" s="20"/>
      <c r="O1172" s="20"/>
      <c r="P1172" s="20"/>
      <c r="R1172" s="20"/>
      <c r="S1172" s="20"/>
      <c r="T1172" s="20"/>
      <c r="U1172" s="20"/>
      <c r="V1172" s="20"/>
      <c r="W1172" s="20"/>
      <c r="X1172" s="20"/>
      <c r="Y1172" s="20"/>
      <c r="Z1172" s="20"/>
      <c r="AA1172" s="20"/>
    </row>
    <row r="1173" spans="1:27" x14ac:dyDescent="0.2">
      <c r="A1173" s="20"/>
      <c r="B1173" s="20"/>
      <c r="C1173" s="20"/>
      <c r="D1173" s="20"/>
      <c r="E1173" s="20"/>
      <c r="F1173" s="20"/>
      <c r="G1173" s="20"/>
      <c r="H1173" s="20"/>
      <c r="J1173" s="20"/>
      <c r="L1173" s="20"/>
      <c r="M1173" s="20"/>
      <c r="N1173" s="20"/>
      <c r="O1173" s="20"/>
      <c r="P1173" s="20"/>
      <c r="R1173" s="20"/>
      <c r="S1173" s="20"/>
      <c r="T1173" s="20"/>
      <c r="U1173" s="20"/>
      <c r="V1173" s="20"/>
      <c r="W1173" s="20"/>
      <c r="X1173" s="20"/>
      <c r="Y1173" s="20"/>
      <c r="Z1173" s="20"/>
      <c r="AA1173" s="20"/>
    </row>
    <row r="1174" spans="1:27" x14ac:dyDescent="0.2">
      <c r="A1174" s="20"/>
      <c r="B1174" s="20"/>
      <c r="C1174" s="20"/>
      <c r="D1174" s="20"/>
      <c r="E1174" s="20"/>
      <c r="F1174" s="20"/>
      <c r="G1174" s="20"/>
      <c r="H1174" s="20"/>
      <c r="J1174" s="20"/>
      <c r="L1174" s="20"/>
      <c r="M1174" s="20"/>
      <c r="N1174" s="20"/>
      <c r="O1174" s="20"/>
      <c r="P1174" s="20"/>
      <c r="R1174" s="20"/>
      <c r="S1174" s="20"/>
      <c r="T1174" s="20"/>
      <c r="U1174" s="20"/>
      <c r="V1174" s="20"/>
      <c r="W1174" s="20"/>
      <c r="X1174" s="20"/>
      <c r="Y1174" s="20"/>
      <c r="Z1174" s="20"/>
      <c r="AA1174" s="20"/>
    </row>
    <row r="1175" spans="1:27" x14ac:dyDescent="0.2">
      <c r="A1175" s="20"/>
      <c r="B1175" s="20"/>
      <c r="C1175" s="20"/>
      <c r="D1175" s="20"/>
      <c r="E1175" s="20"/>
      <c r="F1175" s="20"/>
      <c r="G1175" s="20"/>
      <c r="H1175" s="20"/>
      <c r="J1175" s="20"/>
      <c r="L1175" s="20"/>
      <c r="M1175" s="20"/>
      <c r="N1175" s="20"/>
      <c r="O1175" s="20"/>
      <c r="P1175" s="20"/>
      <c r="R1175" s="20"/>
      <c r="S1175" s="20"/>
      <c r="T1175" s="20"/>
      <c r="U1175" s="20"/>
      <c r="V1175" s="20"/>
      <c r="W1175" s="20"/>
      <c r="X1175" s="20"/>
      <c r="Y1175" s="20"/>
      <c r="Z1175" s="20"/>
      <c r="AA1175" s="20"/>
    </row>
    <row r="1176" spans="1:27" x14ac:dyDescent="0.2">
      <c r="A1176" s="20"/>
      <c r="B1176" s="20"/>
      <c r="C1176" s="20"/>
      <c r="D1176" s="20"/>
      <c r="E1176" s="20"/>
      <c r="F1176" s="20"/>
      <c r="G1176" s="20"/>
      <c r="H1176" s="20"/>
      <c r="J1176" s="20"/>
      <c r="L1176" s="20"/>
      <c r="M1176" s="20"/>
      <c r="N1176" s="20"/>
      <c r="O1176" s="20"/>
      <c r="P1176" s="20"/>
      <c r="R1176" s="20"/>
      <c r="S1176" s="20"/>
      <c r="T1176" s="20"/>
      <c r="U1176" s="20"/>
      <c r="V1176" s="20"/>
      <c r="W1176" s="20"/>
      <c r="X1176" s="20"/>
      <c r="Y1176" s="20"/>
      <c r="Z1176" s="20"/>
      <c r="AA1176" s="20"/>
    </row>
    <row r="1177" spans="1:27" x14ac:dyDescent="0.2">
      <c r="A1177" s="20"/>
      <c r="B1177" s="20"/>
      <c r="C1177" s="20"/>
      <c r="D1177" s="20"/>
      <c r="E1177" s="20"/>
      <c r="F1177" s="20"/>
      <c r="G1177" s="20"/>
      <c r="H1177" s="20"/>
      <c r="J1177" s="20"/>
      <c r="L1177" s="20"/>
      <c r="M1177" s="20"/>
      <c r="N1177" s="20"/>
      <c r="O1177" s="20"/>
      <c r="P1177" s="20"/>
      <c r="R1177" s="20"/>
      <c r="S1177" s="20"/>
      <c r="T1177" s="20"/>
      <c r="U1177" s="20"/>
      <c r="V1177" s="20"/>
      <c r="W1177" s="20"/>
      <c r="X1177" s="20"/>
      <c r="Y1177" s="20"/>
      <c r="Z1177" s="20"/>
      <c r="AA1177" s="20"/>
    </row>
    <row r="1178" spans="1:27" x14ac:dyDescent="0.2">
      <c r="A1178" s="20"/>
      <c r="B1178" s="20"/>
      <c r="C1178" s="20"/>
      <c r="D1178" s="20"/>
      <c r="E1178" s="20"/>
      <c r="F1178" s="20"/>
      <c r="G1178" s="20"/>
      <c r="H1178" s="20"/>
      <c r="J1178" s="20"/>
      <c r="L1178" s="20"/>
      <c r="M1178" s="20"/>
      <c r="N1178" s="20"/>
      <c r="O1178" s="20"/>
      <c r="P1178" s="20"/>
      <c r="R1178" s="20"/>
      <c r="S1178" s="20"/>
      <c r="T1178" s="20"/>
      <c r="U1178" s="20"/>
      <c r="V1178" s="20"/>
      <c r="W1178" s="20"/>
      <c r="X1178" s="20"/>
      <c r="Y1178" s="20"/>
      <c r="Z1178" s="20"/>
      <c r="AA1178" s="20"/>
    </row>
    <row r="1179" spans="1:27" x14ac:dyDescent="0.2">
      <c r="A1179" s="20"/>
      <c r="B1179" s="20"/>
      <c r="C1179" s="20"/>
      <c r="D1179" s="20"/>
      <c r="E1179" s="20"/>
      <c r="F1179" s="20"/>
      <c r="G1179" s="20"/>
      <c r="H1179" s="20"/>
      <c r="J1179" s="20"/>
      <c r="L1179" s="20"/>
      <c r="M1179" s="20"/>
      <c r="N1179" s="20"/>
      <c r="O1179" s="20"/>
      <c r="P1179" s="20"/>
      <c r="R1179" s="20"/>
      <c r="S1179" s="20"/>
      <c r="T1179" s="20"/>
      <c r="U1179" s="20"/>
      <c r="V1179" s="20"/>
      <c r="W1179" s="20"/>
      <c r="X1179" s="20"/>
      <c r="Y1179" s="20"/>
      <c r="Z1179" s="20"/>
      <c r="AA1179" s="20"/>
    </row>
    <row r="1180" spans="1:27" x14ac:dyDescent="0.2">
      <c r="A1180" s="20"/>
      <c r="B1180" s="20"/>
      <c r="C1180" s="20"/>
      <c r="D1180" s="20"/>
      <c r="E1180" s="20"/>
      <c r="F1180" s="20"/>
      <c r="G1180" s="20"/>
      <c r="H1180" s="20"/>
      <c r="J1180" s="20"/>
      <c r="L1180" s="20"/>
      <c r="M1180" s="20"/>
      <c r="N1180" s="20"/>
      <c r="O1180" s="20"/>
      <c r="P1180" s="20"/>
      <c r="R1180" s="20"/>
      <c r="S1180" s="20"/>
      <c r="T1180" s="20"/>
      <c r="U1180" s="20"/>
      <c r="V1180" s="20"/>
      <c r="W1180" s="20"/>
      <c r="X1180" s="20"/>
      <c r="Y1180" s="20"/>
      <c r="Z1180" s="20"/>
      <c r="AA1180" s="20"/>
    </row>
    <row r="1181" spans="1:27" x14ac:dyDescent="0.2">
      <c r="A1181" s="20"/>
      <c r="B1181" s="20"/>
      <c r="C1181" s="20"/>
      <c r="D1181" s="20"/>
      <c r="E1181" s="20"/>
      <c r="F1181" s="20"/>
      <c r="G1181" s="20"/>
      <c r="H1181" s="20"/>
      <c r="J1181" s="20"/>
      <c r="L1181" s="20"/>
      <c r="M1181" s="20"/>
      <c r="N1181" s="20"/>
      <c r="O1181" s="20"/>
      <c r="P1181" s="20"/>
      <c r="R1181" s="20"/>
      <c r="S1181" s="20"/>
      <c r="T1181" s="20"/>
      <c r="U1181" s="20"/>
      <c r="V1181" s="20"/>
      <c r="W1181" s="20"/>
      <c r="X1181" s="20"/>
      <c r="Y1181" s="20"/>
      <c r="Z1181" s="20"/>
      <c r="AA1181" s="20"/>
    </row>
    <row r="1182" spans="1:27" x14ac:dyDescent="0.2">
      <c r="A1182" s="20"/>
      <c r="B1182" s="20"/>
      <c r="C1182" s="20"/>
      <c r="D1182" s="20"/>
      <c r="E1182" s="20"/>
      <c r="F1182" s="20"/>
      <c r="G1182" s="20"/>
      <c r="H1182" s="20"/>
      <c r="J1182" s="20"/>
      <c r="L1182" s="20"/>
      <c r="M1182" s="20"/>
      <c r="N1182" s="20"/>
      <c r="O1182" s="20"/>
      <c r="P1182" s="20"/>
      <c r="R1182" s="20"/>
      <c r="S1182" s="20"/>
      <c r="T1182" s="20"/>
      <c r="U1182" s="20"/>
      <c r="V1182" s="20"/>
      <c r="W1182" s="20"/>
      <c r="X1182" s="20"/>
      <c r="Y1182" s="20"/>
      <c r="Z1182" s="20"/>
      <c r="AA1182" s="20"/>
    </row>
    <row r="1183" spans="1:27" x14ac:dyDescent="0.2">
      <c r="A1183" s="20"/>
      <c r="B1183" s="20"/>
      <c r="C1183" s="20"/>
      <c r="D1183" s="20"/>
      <c r="E1183" s="20"/>
      <c r="F1183" s="20"/>
      <c r="G1183" s="20"/>
      <c r="H1183" s="20"/>
      <c r="J1183" s="20"/>
      <c r="L1183" s="20"/>
      <c r="M1183" s="20"/>
      <c r="N1183" s="20"/>
      <c r="O1183" s="20"/>
      <c r="P1183" s="20"/>
      <c r="R1183" s="20"/>
      <c r="S1183" s="20"/>
      <c r="T1183" s="20"/>
      <c r="U1183" s="20"/>
      <c r="V1183" s="20"/>
      <c r="W1183" s="20"/>
      <c r="X1183" s="20"/>
      <c r="Y1183" s="20"/>
      <c r="Z1183" s="20"/>
      <c r="AA1183" s="20"/>
    </row>
    <row r="1184" spans="1:27" x14ac:dyDescent="0.2">
      <c r="A1184" s="20"/>
      <c r="B1184" s="20"/>
      <c r="C1184" s="20"/>
      <c r="D1184" s="20"/>
      <c r="E1184" s="20"/>
      <c r="F1184" s="20"/>
      <c r="G1184" s="20"/>
      <c r="H1184" s="20"/>
      <c r="J1184" s="20"/>
      <c r="L1184" s="20"/>
      <c r="M1184" s="20"/>
      <c r="N1184" s="20"/>
      <c r="O1184" s="20"/>
      <c r="P1184" s="20"/>
      <c r="R1184" s="20"/>
      <c r="S1184" s="20"/>
      <c r="T1184" s="20"/>
      <c r="U1184" s="20"/>
      <c r="V1184" s="20"/>
      <c r="W1184" s="20"/>
      <c r="X1184" s="20"/>
      <c r="Y1184" s="20"/>
      <c r="Z1184" s="20"/>
      <c r="AA1184" s="20"/>
    </row>
    <row r="1185" spans="1:27" x14ac:dyDescent="0.2">
      <c r="A1185" s="20"/>
      <c r="B1185" s="20"/>
      <c r="C1185" s="20"/>
      <c r="D1185" s="20"/>
      <c r="E1185" s="20"/>
      <c r="F1185" s="20"/>
      <c r="G1185" s="20"/>
      <c r="H1185" s="20"/>
      <c r="J1185" s="20"/>
      <c r="L1185" s="20"/>
      <c r="M1185" s="20"/>
      <c r="N1185" s="20"/>
      <c r="O1185" s="20"/>
      <c r="P1185" s="20"/>
      <c r="R1185" s="20"/>
      <c r="S1185" s="20"/>
      <c r="T1185" s="20"/>
      <c r="U1185" s="20"/>
      <c r="V1185" s="20"/>
      <c r="W1185" s="20"/>
      <c r="X1185" s="20"/>
      <c r="Y1185" s="20"/>
      <c r="Z1185" s="20"/>
      <c r="AA1185" s="20"/>
    </row>
    <row r="1186" spans="1:27" x14ac:dyDescent="0.2">
      <c r="A1186" s="20"/>
      <c r="B1186" s="20"/>
      <c r="C1186" s="20"/>
      <c r="D1186" s="20"/>
      <c r="E1186" s="20"/>
      <c r="F1186" s="20"/>
      <c r="G1186" s="20"/>
      <c r="H1186" s="20"/>
      <c r="J1186" s="20"/>
      <c r="L1186" s="20"/>
      <c r="M1186" s="20"/>
      <c r="N1186" s="20"/>
      <c r="O1186" s="20"/>
      <c r="P1186" s="20"/>
      <c r="R1186" s="20"/>
      <c r="S1186" s="20"/>
      <c r="T1186" s="20"/>
      <c r="U1186" s="20"/>
      <c r="V1186" s="20"/>
      <c r="W1186" s="20"/>
      <c r="X1186" s="20"/>
      <c r="Y1186" s="20"/>
      <c r="Z1186" s="20"/>
      <c r="AA1186" s="20"/>
    </row>
    <row r="1187" spans="1:27" x14ac:dyDescent="0.2">
      <c r="A1187" s="20"/>
      <c r="B1187" s="20"/>
      <c r="C1187" s="20"/>
      <c r="D1187" s="20"/>
      <c r="E1187" s="20"/>
      <c r="F1187" s="20"/>
      <c r="G1187" s="20"/>
      <c r="H1187" s="20"/>
      <c r="J1187" s="20"/>
      <c r="L1187" s="20"/>
      <c r="M1187" s="20"/>
      <c r="N1187" s="20"/>
      <c r="O1187" s="20"/>
      <c r="P1187" s="20"/>
      <c r="R1187" s="20"/>
      <c r="S1187" s="20"/>
      <c r="T1187" s="20"/>
      <c r="U1187" s="20"/>
      <c r="V1187" s="20"/>
      <c r="W1187" s="20"/>
      <c r="X1187" s="20"/>
      <c r="Y1187" s="20"/>
      <c r="Z1187" s="20"/>
      <c r="AA1187" s="20"/>
    </row>
    <row r="1188" spans="1:27" x14ac:dyDescent="0.2">
      <c r="A1188" s="20"/>
      <c r="B1188" s="20"/>
      <c r="C1188" s="20"/>
      <c r="D1188" s="20"/>
      <c r="E1188" s="20"/>
      <c r="F1188" s="20"/>
      <c r="G1188" s="20"/>
      <c r="H1188" s="20"/>
      <c r="J1188" s="20"/>
      <c r="L1188" s="20"/>
      <c r="M1188" s="20"/>
      <c r="N1188" s="20"/>
      <c r="O1188" s="20"/>
      <c r="P1188" s="20"/>
      <c r="R1188" s="20"/>
      <c r="S1188" s="20"/>
      <c r="T1188" s="20"/>
      <c r="U1188" s="20"/>
      <c r="V1188" s="20"/>
      <c r="W1188" s="20"/>
      <c r="X1188" s="20"/>
      <c r="Y1188" s="20"/>
      <c r="Z1188" s="20"/>
      <c r="AA1188" s="20"/>
    </row>
    <row r="1189" spans="1:27" x14ac:dyDescent="0.2">
      <c r="A1189" s="20"/>
      <c r="B1189" s="20"/>
      <c r="C1189" s="20"/>
      <c r="D1189" s="20"/>
      <c r="E1189" s="20"/>
      <c r="F1189" s="20"/>
      <c r="G1189" s="20"/>
      <c r="H1189" s="20"/>
      <c r="J1189" s="20"/>
      <c r="L1189" s="20"/>
      <c r="M1189" s="20"/>
      <c r="N1189" s="20"/>
      <c r="O1189" s="20"/>
      <c r="P1189" s="20"/>
      <c r="R1189" s="20"/>
      <c r="S1189" s="20"/>
      <c r="T1189" s="20"/>
      <c r="U1189" s="20"/>
      <c r="V1189" s="20"/>
      <c r="W1189" s="20"/>
      <c r="X1189" s="20"/>
      <c r="Y1189" s="20"/>
      <c r="Z1189" s="20"/>
      <c r="AA1189" s="20"/>
    </row>
    <row r="1190" spans="1:27" x14ac:dyDescent="0.2">
      <c r="A1190" s="20"/>
      <c r="B1190" s="20"/>
      <c r="C1190" s="20"/>
      <c r="D1190" s="20"/>
      <c r="E1190" s="20"/>
      <c r="F1190" s="20"/>
      <c r="G1190" s="20"/>
      <c r="H1190" s="20"/>
      <c r="J1190" s="20"/>
      <c r="L1190" s="20"/>
      <c r="M1190" s="20"/>
      <c r="N1190" s="20"/>
      <c r="O1190" s="20"/>
      <c r="P1190" s="20"/>
      <c r="R1190" s="20"/>
      <c r="S1190" s="20"/>
      <c r="T1190" s="20"/>
      <c r="U1190" s="20"/>
      <c r="V1190" s="20"/>
      <c r="W1190" s="20"/>
      <c r="X1190" s="20"/>
      <c r="Y1190" s="20"/>
      <c r="Z1190" s="20"/>
      <c r="AA1190" s="20"/>
    </row>
    <row r="1191" spans="1:27" x14ac:dyDescent="0.2">
      <c r="A1191" s="20"/>
      <c r="B1191" s="20"/>
      <c r="C1191" s="20"/>
      <c r="D1191" s="20"/>
      <c r="E1191" s="20"/>
      <c r="F1191" s="20"/>
      <c r="G1191" s="20"/>
      <c r="H1191" s="20"/>
      <c r="J1191" s="20"/>
      <c r="L1191" s="20"/>
      <c r="M1191" s="20"/>
      <c r="N1191" s="20"/>
      <c r="O1191" s="20"/>
      <c r="P1191" s="20"/>
      <c r="R1191" s="20"/>
      <c r="S1191" s="20"/>
      <c r="T1191" s="20"/>
      <c r="U1191" s="20"/>
      <c r="V1191" s="20"/>
      <c r="W1191" s="20"/>
      <c r="X1191" s="20"/>
      <c r="Y1191" s="20"/>
      <c r="Z1191" s="20"/>
      <c r="AA1191" s="20"/>
    </row>
    <row r="1192" spans="1:27" x14ac:dyDescent="0.2">
      <c r="A1192" s="20"/>
      <c r="B1192" s="20"/>
      <c r="C1192" s="20"/>
      <c r="D1192" s="20"/>
      <c r="E1192" s="20"/>
      <c r="F1192" s="20"/>
      <c r="G1192" s="20"/>
      <c r="H1192" s="20"/>
      <c r="J1192" s="20"/>
      <c r="L1192" s="20"/>
      <c r="M1192" s="20"/>
      <c r="N1192" s="20"/>
      <c r="O1192" s="20"/>
      <c r="P1192" s="20"/>
      <c r="R1192" s="20"/>
      <c r="S1192" s="20"/>
      <c r="T1192" s="20"/>
      <c r="U1192" s="20"/>
      <c r="V1192" s="20"/>
      <c r="W1192" s="20"/>
      <c r="X1192" s="20"/>
      <c r="Y1192" s="20"/>
      <c r="Z1192" s="20"/>
      <c r="AA1192" s="20"/>
    </row>
    <row r="1193" spans="1:27" x14ac:dyDescent="0.2">
      <c r="A1193" s="20"/>
      <c r="B1193" s="20"/>
      <c r="C1193" s="20"/>
      <c r="D1193" s="20"/>
      <c r="E1193" s="20"/>
      <c r="F1193" s="20"/>
      <c r="G1193" s="20"/>
      <c r="H1193" s="20"/>
      <c r="J1193" s="20"/>
      <c r="L1193" s="20"/>
      <c r="M1193" s="20"/>
      <c r="N1193" s="20"/>
      <c r="O1193" s="20"/>
      <c r="P1193" s="20"/>
      <c r="R1193" s="20"/>
      <c r="S1193" s="20"/>
      <c r="T1193" s="20"/>
      <c r="U1193" s="20"/>
      <c r="V1193" s="20"/>
      <c r="W1193" s="20"/>
      <c r="X1193" s="20"/>
      <c r="Y1193" s="20"/>
      <c r="Z1193" s="20"/>
      <c r="AA1193" s="20"/>
    </row>
    <row r="1194" spans="1:27" x14ac:dyDescent="0.2">
      <c r="A1194" s="20"/>
      <c r="B1194" s="20"/>
      <c r="C1194" s="20"/>
      <c r="D1194" s="20"/>
      <c r="E1194" s="20"/>
      <c r="F1194" s="20"/>
      <c r="G1194" s="20"/>
      <c r="H1194" s="20"/>
      <c r="J1194" s="20"/>
      <c r="L1194" s="20"/>
      <c r="M1194" s="20"/>
      <c r="N1194" s="20"/>
      <c r="O1194" s="20"/>
      <c r="P1194" s="20"/>
      <c r="R1194" s="20"/>
      <c r="S1194" s="20"/>
      <c r="T1194" s="20"/>
      <c r="U1194" s="20"/>
      <c r="V1194" s="20"/>
      <c r="W1194" s="20"/>
      <c r="X1194" s="20"/>
      <c r="Y1194" s="20"/>
      <c r="Z1194" s="20"/>
      <c r="AA1194" s="20"/>
    </row>
    <row r="1195" spans="1:27" x14ac:dyDescent="0.2">
      <c r="A1195" s="20"/>
      <c r="B1195" s="20"/>
      <c r="C1195" s="20"/>
      <c r="D1195" s="20"/>
      <c r="E1195" s="20"/>
      <c r="F1195" s="20"/>
      <c r="G1195" s="20"/>
      <c r="H1195" s="20"/>
      <c r="J1195" s="20"/>
      <c r="L1195" s="20"/>
      <c r="M1195" s="20"/>
      <c r="N1195" s="20"/>
      <c r="O1195" s="20"/>
      <c r="P1195" s="20"/>
      <c r="R1195" s="20"/>
      <c r="S1195" s="20"/>
      <c r="T1195" s="20"/>
      <c r="U1195" s="20"/>
      <c r="V1195" s="20"/>
      <c r="W1195" s="20"/>
      <c r="X1195" s="20"/>
      <c r="Y1195" s="20"/>
      <c r="Z1195" s="20"/>
      <c r="AA1195" s="20"/>
    </row>
    <row r="1196" spans="1:27" x14ac:dyDescent="0.2">
      <c r="A1196" s="20"/>
      <c r="B1196" s="20"/>
      <c r="C1196" s="20"/>
      <c r="D1196" s="20"/>
      <c r="E1196" s="20"/>
      <c r="F1196" s="20"/>
      <c r="G1196" s="20"/>
      <c r="H1196" s="20"/>
      <c r="J1196" s="20"/>
      <c r="L1196" s="20"/>
      <c r="M1196" s="20"/>
      <c r="N1196" s="20"/>
      <c r="O1196" s="20"/>
      <c r="P1196" s="20"/>
      <c r="R1196" s="20"/>
      <c r="S1196" s="20"/>
      <c r="T1196" s="20"/>
      <c r="U1196" s="20"/>
      <c r="V1196" s="20"/>
      <c r="W1196" s="20"/>
      <c r="X1196" s="20"/>
      <c r="Y1196" s="20"/>
      <c r="Z1196" s="20"/>
      <c r="AA1196" s="20"/>
    </row>
    <row r="1197" spans="1:27" x14ac:dyDescent="0.2">
      <c r="A1197" s="20"/>
      <c r="B1197" s="20"/>
      <c r="C1197" s="20"/>
      <c r="D1197" s="20"/>
      <c r="E1197" s="20"/>
      <c r="F1197" s="20"/>
      <c r="G1197" s="20"/>
      <c r="H1197" s="20"/>
      <c r="J1197" s="20"/>
      <c r="L1197" s="20"/>
      <c r="M1197" s="20"/>
      <c r="N1197" s="20"/>
      <c r="O1197" s="20"/>
      <c r="P1197" s="20"/>
      <c r="R1197" s="20"/>
      <c r="S1197" s="20"/>
      <c r="T1197" s="20"/>
      <c r="U1197" s="20"/>
      <c r="V1197" s="20"/>
      <c r="W1197" s="20"/>
      <c r="X1197" s="20"/>
      <c r="Y1197" s="20"/>
      <c r="Z1197" s="20"/>
      <c r="AA1197" s="20"/>
    </row>
    <row r="1198" spans="1:27" x14ac:dyDescent="0.2">
      <c r="A1198" s="20"/>
      <c r="B1198" s="20"/>
      <c r="C1198" s="20"/>
      <c r="D1198" s="20"/>
      <c r="E1198" s="20"/>
      <c r="F1198" s="20"/>
      <c r="G1198" s="20"/>
      <c r="H1198" s="20"/>
      <c r="J1198" s="20"/>
      <c r="L1198" s="20"/>
      <c r="M1198" s="20"/>
      <c r="N1198" s="20"/>
      <c r="O1198" s="20"/>
      <c r="P1198" s="20"/>
      <c r="R1198" s="20"/>
      <c r="S1198" s="20"/>
      <c r="T1198" s="20"/>
      <c r="U1198" s="20"/>
      <c r="V1198" s="20"/>
      <c r="W1198" s="20"/>
      <c r="X1198" s="20"/>
      <c r="Y1198" s="20"/>
      <c r="Z1198" s="20"/>
      <c r="AA1198" s="20"/>
    </row>
    <row r="1199" spans="1:27" x14ac:dyDescent="0.2">
      <c r="A1199" s="20"/>
      <c r="B1199" s="20"/>
      <c r="C1199" s="20"/>
      <c r="D1199" s="20"/>
      <c r="E1199" s="20"/>
      <c r="F1199" s="20"/>
      <c r="G1199" s="20"/>
      <c r="H1199" s="20"/>
      <c r="J1199" s="20"/>
      <c r="L1199" s="20"/>
      <c r="M1199" s="20"/>
      <c r="N1199" s="20"/>
      <c r="O1199" s="20"/>
      <c r="P1199" s="20"/>
      <c r="R1199" s="20"/>
      <c r="S1199" s="20"/>
      <c r="T1199" s="20"/>
      <c r="U1199" s="20"/>
      <c r="V1199" s="20"/>
      <c r="W1199" s="20"/>
      <c r="X1199" s="20"/>
      <c r="Y1199" s="20"/>
      <c r="Z1199" s="20"/>
      <c r="AA1199" s="20"/>
    </row>
    <row r="1200" spans="1:27" x14ac:dyDescent="0.2">
      <c r="A1200" s="20"/>
      <c r="B1200" s="20"/>
      <c r="C1200" s="20"/>
      <c r="D1200" s="20"/>
      <c r="E1200" s="20"/>
      <c r="F1200" s="20"/>
      <c r="G1200" s="20"/>
      <c r="H1200" s="20"/>
      <c r="J1200" s="20"/>
      <c r="L1200" s="20"/>
      <c r="M1200" s="20"/>
      <c r="N1200" s="20"/>
      <c r="O1200" s="20"/>
      <c r="P1200" s="20"/>
      <c r="R1200" s="20"/>
      <c r="S1200" s="20"/>
      <c r="T1200" s="20"/>
      <c r="U1200" s="20"/>
      <c r="V1200" s="20"/>
      <c r="W1200" s="20"/>
      <c r="X1200" s="20"/>
      <c r="Y1200" s="20"/>
      <c r="Z1200" s="20"/>
      <c r="AA1200" s="20"/>
    </row>
    <row r="1201" spans="1:27" x14ac:dyDescent="0.2">
      <c r="A1201" s="20"/>
      <c r="B1201" s="20"/>
      <c r="C1201" s="20"/>
      <c r="D1201" s="20"/>
      <c r="E1201" s="20"/>
      <c r="F1201" s="20"/>
      <c r="G1201" s="20"/>
      <c r="H1201" s="20"/>
      <c r="J1201" s="20"/>
      <c r="L1201" s="20"/>
      <c r="M1201" s="20"/>
      <c r="N1201" s="20"/>
      <c r="O1201" s="20"/>
      <c r="P1201" s="20"/>
      <c r="R1201" s="20"/>
      <c r="S1201" s="20"/>
      <c r="T1201" s="20"/>
      <c r="U1201" s="20"/>
      <c r="V1201" s="20"/>
      <c r="W1201" s="20"/>
      <c r="X1201" s="20"/>
      <c r="Y1201" s="20"/>
      <c r="Z1201" s="20"/>
      <c r="AA1201" s="20"/>
    </row>
    <row r="1202" spans="1:27" x14ac:dyDescent="0.2">
      <c r="A1202" s="20"/>
      <c r="B1202" s="20"/>
      <c r="C1202" s="20"/>
      <c r="D1202" s="20"/>
      <c r="E1202" s="20"/>
      <c r="F1202" s="20"/>
      <c r="G1202" s="20"/>
      <c r="H1202" s="20"/>
      <c r="J1202" s="20"/>
      <c r="L1202" s="20"/>
      <c r="M1202" s="20"/>
      <c r="N1202" s="20"/>
      <c r="O1202" s="20"/>
      <c r="P1202" s="20"/>
      <c r="R1202" s="20"/>
      <c r="S1202" s="20"/>
      <c r="T1202" s="20"/>
      <c r="U1202" s="20"/>
      <c r="V1202" s="20"/>
      <c r="W1202" s="20"/>
      <c r="X1202" s="20"/>
      <c r="Y1202" s="20"/>
      <c r="Z1202" s="20"/>
      <c r="AA1202" s="20"/>
    </row>
    <row r="1203" spans="1:27" x14ac:dyDescent="0.2">
      <c r="A1203" s="20"/>
      <c r="B1203" s="20"/>
      <c r="C1203" s="20"/>
      <c r="D1203" s="20"/>
      <c r="E1203" s="20"/>
      <c r="F1203" s="20"/>
      <c r="G1203" s="20"/>
      <c r="H1203" s="20"/>
      <c r="J1203" s="20"/>
      <c r="L1203" s="20"/>
      <c r="M1203" s="20"/>
      <c r="N1203" s="20"/>
      <c r="O1203" s="20"/>
      <c r="P1203" s="20"/>
      <c r="R1203" s="20"/>
      <c r="S1203" s="20"/>
      <c r="T1203" s="20"/>
      <c r="U1203" s="20"/>
      <c r="V1203" s="20"/>
      <c r="W1203" s="20"/>
      <c r="X1203" s="20"/>
      <c r="Y1203" s="20"/>
      <c r="Z1203" s="20"/>
      <c r="AA1203" s="20"/>
    </row>
    <row r="1204" spans="1:27" x14ac:dyDescent="0.2">
      <c r="A1204" s="20"/>
      <c r="B1204" s="20"/>
      <c r="C1204" s="20"/>
      <c r="D1204" s="20"/>
      <c r="E1204" s="20"/>
      <c r="F1204" s="20"/>
      <c r="G1204" s="20"/>
      <c r="H1204" s="20"/>
      <c r="J1204" s="20"/>
      <c r="L1204" s="20"/>
      <c r="M1204" s="20"/>
      <c r="N1204" s="20"/>
      <c r="O1204" s="20"/>
      <c r="P1204" s="20"/>
      <c r="R1204" s="20"/>
      <c r="S1204" s="20"/>
      <c r="T1204" s="20"/>
      <c r="U1204" s="20"/>
      <c r="V1204" s="20"/>
      <c r="W1204" s="20"/>
      <c r="X1204" s="20"/>
      <c r="Y1204" s="20"/>
      <c r="Z1204" s="20"/>
      <c r="AA1204" s="20"/>
    </row>
    <row r="1205" spans="1:27" x14ac:dyDescent="0.2">
      <c r="A1205" s="20"/>
      <c r="B1205" s="20"/>
      <c r="C1205" s="20"/>
      <c r="D1205" s="20"/>
      <c r="E1205" s="20"/>
      <c r="F1205" s="20"/>
      <c r="G1205" s="20"/>
      <c r="H1205" s="20"/>
      <c r="J1205" s="20"/>
      <c r="L1205" s="20"/>
      <c r="M1205" s="20"/>
      <c r="N1205" s="20"/>
      <c r="O1205" s="20"/>
      <c r="P1205" s="20"/>
      <c r="R1205" s="20"/>
      <c r="S1205" s="20"/>
      <c r="T1205" s="20"/>
      <c r="U1205" s="20"/>
      <c r="V1205" s="20"/>
      <c r="W1205" s="20"/>
      <c r="X1205" s="20"/>
      <c r="Y1205" s="20"/>
      <c r="Z1205" s="20"/>
      <c r="AA1205" s="20"/>
    </row>
    <row r="1206" spans="1:27" x14ac:dyDescent="0.2">
      <c r="A1206" s="20"/>
      <c r="B1206" s="20"/>
      <c r="C1206" s="20"/>
      <c r="D1206" s="20"/>
      <c r="E1206" s="20"/>
      <c r="F1206" s="20"/>
      <c r="G1206" s="20"/>
      <c r="H1206" s="20"/>
      <c r="J1206" s="20"/>
      <c r="L1206" s="20"/>
      <c r="M1206" s="20"/>
      <c r="N1206" s="20"/>
      <c r="O1206" s="20"/>
      <c r="P1206" s="20"/>
      <c r="R1206" s="20"/>
      <c r="S1206" s="20"/>
      <c r="T1206" s="20"/>
      <c r="U1206" s="20"/>
      <c r="V1206" s="20"/>
      <c r="W1206" s="20"/>
      <c r="X1206" s="20"/>
      <c r="Y1206" s="20"/>
      <c r="Z1206" s="20"/>
      <c r="AA1206" s="20"/>
    </row>
    <row r="1207" spans="1:27" x14ac:dyDescent="0.2">
      <c r="A1207" s="20"/>
      <c r="B1207" s="20"/>
      <c r="C1207" s="20"/>
      <c r="D1207" s="20"/>
      <c r="E1207" s="20"/>
      <c r="F1207" s="20"/>
      <c r="G1207" s="20"/>
      <c r="H1207" s="20"/>
      <c r="J1207" s="20"/>
      <c r="L1207" s="20"/>
      <c r="M1207" s="20"/>
      <c r="N1207" s="20"/>
      <c r="O1207" s="20"/>
      <c r="P1207" s="20"/>
      <c r="R1207" s="20"/>
      <c r="S1207" s="20"/>
      <c r="T1207" s="20"/>
      <c r="U1207" s="20"/>
      <c r="V1207" s="20"/>
      <c r="W1207" s="20"/>
      <c r="X1207" s="20"/>
      <c r="Y1207" s="20"/>
      <c r="Z1207" s="20"/>
      <c r="AA1207" s="20"/>
    </row>
    <row r="1208" spans="1:27" x14ac:dyDescent="0.2">
      <c r="A1208" s="20"/>
      <c r="B1208" s="20"/>
      <c r="C1208" s="20"/>
      <c r="D1208" s="20"/>
      <c r="E1208" s="20"/>
      <c r="F1208" s="20"/>
      <c r="G1208" s="20"/>
      <c r="H1208" s="20"/>
      <c r="J1208" s="20"/>
      <c r="L1208" s="20"/>
      <c r="M1208" s="20"/>
      <c r="N1208" s="20"/>
      <c r="O1208" s="20"/>
      <c r="P1208" s="20"/>
      <c r="R1208" s="20"/>
      <c r="S1208" s="20"/>
      <c r="T1208" s="20"/>
      <c r="U1208" s="20"/>
      <c r="V1208" s="20"/>
      <c r="W1208" s="20"/>
      <c r="X1208" s="20"/>
      <c r="Y1208" s="20"/>
      <c r="Z1208" s="20"/>
      <c r="AA1208" s="20"/>
    </row>
    <row r="1209" spans="1:27" x14ac:dyDescent="0.2">
      <c r="A1209" s="20"/>
      <c r="B1209" s="20"/>
      <c r="C1209" s="20"/>
      <c r="D1209" s="20"/>
      <c r="E1209" s="20"/>
      <c r="F1209" s="20"/>
      <c r="G1209" s="20"/>
      <c r="H1209" s="20"/>
      <c r="J1209" s="20"/>
      <c r="L1209" s="20"/>
      <c r="M1209" s="20"/>
      <c r="N1209" s="20"/>
      <c r="O1209" s="20"/>
      <c r="P1209" s="20"/>
      <c r="R1209" s="20"/>
      <c r="S1209" s="20"/>
      <c r="T1209" s="20"/>
      <c r="U1209" s="20"/>
      <c r="V1209" s="20"/>
      <c r="W1209" s="20"/>
      <c r="X1209" s="20"/>
      <c r="Y1209" s="20"/>
      <c r="Z1209" s="20"/>
      <c r="AA1209" s="20"/>
    </row>
    <row r="1210" spans="1:27" x14ac:dyDescent="0.2">
      <c r="A1210" s="20"/>
      <c r="B1210" s="20"/>
      <c r="C1210" s="20"/>
      <c r="D1210" s="20"/>
      <c r="E1210" s="20"/>
      <c r="F1210" s="20"/>
      <c r="G1210" s="20"/>
      <c r="H1210" s="20"/>
      <c r="J1210" s="20"/>
      <c r="L1210" s="20"/>
      <c r="M1210" s="20"/>
      <c r="N1210" s="20"/>
      <c r="O1210" s="20"/>
      <c r="P1210" s="20"/>
      <c r="R1210" s="20"/>
      <c r="S1210" s="20"/>
      <c r="T1210" s="20"/>
      <c r="U1210" s="20"/>
      <c r="V1210" s="20"/>
      <c r="W1210" s="20"/>
      <c r="X1210" s="20"/>
      <c r="Y1210" s="20"/>
      <c r="Z1210" s="20"/>
      <c r="AA1210" s="20"/>
    </row>
    <row r="1211" spans="1:27" x14ac:dyDescent="0.2">
      <c r="A1211" s="20"/>
      <c r="B1211" s="20"/>
      <c r="C1211" s="20"/>
      <c r="D1211" s="20"/>
      <c r="E1211" s="20"/>
      <c r="F1211" s="20"/>
      <c r="G1211" s="20"/>
      <c r="H1211" s="20"/>
      <c r="J1211" s="20"/>
      <c r="L1211" s="20"/>
      <c r="M1211" s="20"/>
      <c r="N1211" s="20"/>
      <c r="O1211" s="20"/>
      <c r="P1211" s="20"/>
      <c r="R1211" s="20"/>
      <c r="S1211" s="20"/>
      <c r="T1211" s="20"/>
      <c r="U1211" s="20"/>
      <c r="V1211" s="20"/>
      <c r="W1211" s="20"/>
      <c r="X1211" s="20"/>
      <c r="Y1211" s="20"/>
      <c r="Z1211" s="20"/>
      <c r="AA1211" s="20"/>
    </row>
    <row r="1212" spans="1:27" x14ac:dyDescent="0.2">
      <c r="A1212" s="20"/>
      <c r="B1212" s="20"/>
      <c r="C1212" s="20"/>
      <c r="D1212" s="20"/>
      <c r="E1212" s="20"/>
      <c r="F1212" s="20"/>
      <c r="G1212" s="20"/>
      <c r="H1212" s="20"/>
      <c r="J1212" s="20"/>
      <c r="L1212" s="20"/>
      <c r="M1212" s="20"/>
      <c r="N1212" s="20"/>
      <c r="O1212" s="20"/>
      <c r="P1212" s="20"/>
      <c r="R1212" s="20"/>
      <c r="S1212" s="20"/>
      <c r="T1212" s="20"/>
      <c r="U1212" s="20"/>
      <c r="V1212" s="20"/>
      <c r="W1212" s="20"/>
      <c r="X1212" s="20"/>
      <c r="Y1212" s="20"/>
      <c r="Z1212" s="20"/>
      <c r="AA1212" s="20"/>
    </row>
    <row r="1213" spans="1:27" x14ac:dyDescent="0.2">
      <c r="A1213" s="20"/>
      <c r="B1213" s="20"/>
      <c r="C1213" s="20"/>
      <c r="D1213" s="20"/>
      <c r="E1213" s="20"/>
      <c r="F1213" s="20"/>
      <c r="G1213" s="20"/>
      <c r="H1213" s="20"/>
      <c r="J1213" s="20"/>
      <c r="L1213" s="20"/>
      <c r="M1213" s="20"/>
      <c r="N1213" s="20"/>
      <c r="O1213" s="20"/>
      <c r="P1213" s="20"/>
      <c r="R1213" s="20"/>
      <c r="S1213" s="20"/>
      <c r="T1213" s="20"/>
      <c r="U1213" s="20"/>
      <c r="V1213" s="20"/>
      <c r="W1213" s="20"/>
      <c r="X1213" s="20"/>
      <c r="Y1213" s="20"/>
      <c r="Z1213" s="20"/>
      <c r="AA1213" s="20"/>
    </row>
    <row r="1214" spans="1:27" x14ac:dyDescent="0.2">
      <c r="A1214" s="20"/>
      <c r="B1214" s="20"/>
      <c r="C1214" s="20"/>
      <c r="D1214" s="20"/>
      <c r="E1214" s="20"/>
      <c r="F1214" s="20"/>
      <c r="G1214" s="20"/>
      <c r="H1214" s="20"/>
      <c r="J1214" s="20"/>
      <c r="L1214" s="20"/>
      <c r="M1214" s="20"/>
      <c r="N1214" s="20"/>
      <c r="O1214" s="20"/>
      <c r="P1214" s="20"/>
      <c r="R1214" s="20"/>
      <c r="S1214" s="20"/>
      <c r="T1214" s="20"/>
      <c r="U1214" s="20"/>
      <c r="V1214" s="20"/>
      <c r="W1214" s="20"/>
      <c r="X1214" s="20"/>
      <c r="Y1214" s="20"/>
      <c r="Z1214" s="20"/>
      <c r="AA1214" s="20"/>
    </row>
    <row r="1215" spans="1:27" x14ac:dyDescent="0.2">
      <c r="A1215" s="20"/>
      <c r="B1215" s="20"/>
      <c r="C1215" s="20"/>
      <c r="D1215" s="20"/>
      <c r="E1215" s="20"/>
      <c r="F1215" s="20"/>
      <c r="G1215" s="20"/>
      <c r="H1215" s="20"/>
      <c r="J1215" s="20"/>
      <c r="L1215" s="20"/>
      <c r="M1215" s="20"/>
      <c r="N1215" s="20"/>
      <c r="O1215" s="20"/>
      <c r="P1215" s="20"/>
      <c r="R1215" s="20"/>
      <c r="S1215" s="20"/>
      <c r="T1215" s="20"/>
      <c r="U1215" s="20"/>
      <c r="V1215" s="20"/>
      <c r="W1215" s="20"/>
      <c r="X1215" s="20"/>
      <c r="Y1215" s="20"/>
      <c r="Z1215" s="20"/>
      <c r="AA1215" s="20"/>
    </row>
    <row r="1216" spans="1:27" x14ac:dyDescent="0.2">
      <c r="A1216" s="20"/>
      <c r="B1216" s="20"/>
      <c r="C1216" s="20"/>
      <c r="D1216" s="20"/>
      <c r="E1216" s="20"/>
      <c r="F1216" s="20"/>
      <c r="G1216" s="20"/>
      <c r="H1216" s="20"/>
      <c r="J1216" s="20"/>
      <c r="L1216" s="20"/>
      <c r="M1216" s="20"/>
      <c r="N1216" s="20"/>
      <c r="O1216" s="20"/>
      <c r="P1216" s="20"/>
      <c r="R1216" s="20"/>
      <c r="S1216" s="20"/>
      <c r="T1216" s="20"/>
      <c r="U1216" s="20"/>
      <c r="V1216" s="20"/>
      <c r="W1216" s="20"/>
      <c r="X1216" s="20"/>
      <c r="Y1216" s="20"/>
      <c r="Z1216" s="20"/>
      <c r="AA1216" s="20"/>
    </row>
    <row r="1217" spans="1:27" x14ac:dyDescent="0.2">
      <c r="A1217" s="20"/>
      <c r="B1217" s="20"/>
      <c r="C1217" s="20"/>
      <c r="D1217" s="20"/>
      <c r="E1217" s="20"/>
      <c r="F1217" s="20"/>
      <c r="G1217" s="20"/>
      <c r="H1217" s="20"/>
      <c r="J1217" s="20"/>
      <c r="L1217" s="20"/>
      <c r="M1217" s="20"/>
      <c r="N1217" s="20"/>
      <c r="O1217" s="20"/>
      <c r="P1217" s="20"/>
      <c r="R1217" s="20"/>
      <c r="S1217" s="20"/>
      <c r="T1217" s="20"/>
      <c r="U1217" s="20"/>
      <c r="V1217" s="20"/>
      <c r="W1217" s="20"/>
      <c r="X1217" s="20"/>
      <c r="Y1217" s="20"/>
      <c r="Z1217" s="20"/>
      <c r="AA1217" s="20"/>
    </row>
    <row r="1218" spans="1:27" x14ac:dyDescent="0.2">
      <c r="A1218" s="20"/>
      <c r="B1218" s="20"/>
      <c r="C1218" s="20"/>
      <c r="D1218" s="20"/>
      <c r="E1218" s="20"/>
      <c r="F1218" s="20"/>
      <c r="G1218" s="20"/>
      <c r="H1218" s="20"/>
      <c r="J1218" s="20"/>
      <c r="L1218" s="20"/>
      <c r="M1218" s="20"/>
      <c r="N1218" s="20"/>
      <c r="O1218" s="20"/>
      <c r="P1218" s="20"/>
      <c r="R1218" s="20"/>
      <c r="S1218" s="20"/>
      <c r="T1218" s="20"/>
      <c r="U1218" s="20"/>
      <c r="V1218" s="20"/>
      <c r="W1218" s="20"/>
      <c r="X1218" s="20"/>
      <c r="Y1218" s="20"/>
      <c r="Z1218" s="20"/>
      <c r="AA1218" s="20"/>
    </row>
    <row r="1219" spans="1:27" x14ac:dyDescent="0.2">
      <c r="A1219" s="20"/>
      <c r="B1219" s="20"/>
      <c r="C1219" s="20"/>
      <c r="D1219" s="20"/>
      <c r="E1219" s="20"/>
      <c r="F1219" s="20"/>
      <c r="G1219" s="20"/>
      <c r="H1219" s="20"/>
      <c r="J1219" s="20"/>
      <c r="L1219" s="20"/>
      <c r="M1219" s="20"/>
      <c r="N1219" s="20"/>
      <c r="O1219" s="20"/>
      <c r="P1219" s="20"/>
      <c r="R1219" s="20"/>
      <c r="S1219" s="20"/>
      <c r="T1219" s="20"/>
      <c r="U1219" s="20"/>
      <c r="V1219" s="20"/>
      <c r="W1219" s="20"/>
      <c r="X1219" s="20"/>
      <c r="Y1219" s="20"/>
      <c r="Z1219" s="20"/>
      <c r="AA1219" s="20"/>
    </row>
    <row r="1220" spans="1:27" x14ac:dyDescent="0.2">
      <c r="A1220" s="20"/>
      <c r="B1220" s="20"/>
      <c r="C1220" s="20"/>
      <c r="D1220" s="20"/>
      <c r="E1220" s="20"/>
      <c r="F1220" s="20"/>
      <c r="G1220" s="20"/>
      <c r="H1220" s="20"/>
      <c r="J1220" s="20"/>
      <c r="L1220" s="20"/>
      <c r="M1220" s="20"/>
      <c r="N1220" s="20"/>
      <c r="O1220" s="20"/>
      <c r="P1220" s="20"/>
      <c r="R1220" s="20"/>
      <c r="S1220" s="20"/>
      <c r="T1220" s="20"/>
      <c r="U1220" s="20"/>
      <c r="V1220" s="20"/>
      <c r="W1220" s="20"/>
      <c r="X1220" s="20"/>
      <c r="Y1220" s="20"/>
      <c r="Z1220" s="20"/>
      <c r="AA1220" s="20"/>
    </row>
    <row r="1221" spans="1:27" x14ac:dyDescent="0.2">
      <c r="A1221" s="20"/>
      <c r="B1221" s="20"/>
      <c r="C1221" s="20"/>
      <c r="D1221" s="20"/>
      <c r="E1221" s="20"/>
      <c r="F1221" s="20"/>
      <c r="G1221" s="20"/>
      <c r="H1221" s="20"/>
      <c r="J1221" s="20"/>
      <c r="L1221" s="20"/>
      <c r="M1221" s="20"/>
      <c r="N1221" s="20"/>
      <c r="O1221" s="20"/>
      <c r="P1221" s="20"/>
      <c r="R1221" s="20"/>
      <c r="S1221" s="20"/>
      <c r="T1221" s="20"/>
      <c r="U1221" s="20"/>
      <c r="V1221" s="20"/>
      <c r="W1221" s="20"/>
      <c r="X1221" s="20"/>
      <c r="Y1221" s="20"/>
      <c r="Z1221" s="20"/>
      <c r="AA1221" s="20"/>
    </row>
    <row r="1222" spans="1:27" x14ac:dyDescent="0.2">
      <c r="A1222" s="20"/>
      <c r="B1222" s="20"/>
      <c r="C1222" s="20"/>
      <c r="D1222" s="20"/>
      <c r="E1222" s="20"/>
      <c r="F1222" s="20"/>
      <c r="G1222" s="20"/>
      <c r="H1222" s="20"/>
      <c r="J1222" s="20"/>
      <c r="L1222" s="20"/>
      <c r="M1222" s="20"/>
      <c r="N1222" s="20"/>
      <c r="O1222" s="20"/>
      <c r="P1222" s="20"/>
      <c r="R1222" s="20"/>
      <c r="S1222" s="20"/>
      <c r="T1222" s="20"/>
      <c r="U1222" s="20"/>
      <c r="V1222" s="20"/>
      <c r="W1222" s="20"/>
      <c r="X1222" s="20"/>
      <c r="Y1222" s="20"/>
      <c r="Z1222" s="20"/>
      <c r="AA1222" s="20"/>
    </row>
    <row r="1223" spans="1:27" x14ac:dyDescent="0.2">
      <c r="A1223" s="20"/>
      <c r="B1223" s="20"/>
      <c r="C1223" s="20"/>
      <c r="D1223" s="20"/>
      <c r="E1223" s="20"/>
      <c r="F1223" s="20"/>
      <c r="G1223" s="20"/>
      <c r="H1223" s="20"/>
      <c r="J1223" s="20"/>
      <c r="L1223" s="20"/>
      <c r="M1223" s="20"/>
      <c r="N1223" s="20"/>
      <c r="O1223" s="20"/>
      <c r="P1223" s="20"/>
      <c r="R1223" s="20"/>
      <c r="S1223" s="20"/>
      <c r="T1223" s="20"/>
      <c r="U1223" s="20"/>
      <c r="V1223" s="20"/>
      <c r="W1223" s="20"/>
      <c r="X1223" s="20"/>
      <c r="Y1223" s="20"/>
      <c r="Z1223" s="20"/>
      <c r="AA1223" s="20"/>
    </row>
    <row r="1224" spans="1:27" x14ac:dyDescent="0.2">
      <c r="A1224" s="20"/>
      <c r="B1224" s="20"/>
      <c r="C1224" s="20"/>
      <c r="D1224" s="20"/>
      <c r="E1224" s="20"/>
      <c r="F1224" s="20"/>
      <c r="G1224" s="20"/>
      <c r="H1224" s="20"/>
      <c r="J1224" s="20"/>
      <c r="L1224" s="20"/>
      <c r="M1224" s="20"/>
      <c r="N1224" s="20"/>
      <c r="O1224" s="20"/>
      <c r="P1224" s="20"/>
      <c r="R1224" s="20"/>
      <c r="S1224" s="20"/>
      <c r="T1224" s="20"/>
      <c r="U1224" s="20"/>
      <c r="V1224" s="20"/>
      <c r="W1224" s="20"/>
      <c r="X1224" s="20"/>
      <c r="Y1224" s="20"/>
      <c r="Z1224" s="20"/>
      <c r="AA1224" s="20"/>
    </row>
    <row r="1225" spans="1:27" x14ac:dyDescent="0.2">
      <c r="A1225" s="20"/>
      <c r="B1225" s="20"/>
      <c r="C1225" s="20"/>
      <c r="D1225" s="20"/>
      <c r="E1225" s="20"/>
      <c r="F1225" s="20"/>
      <c r="G1225" s="20"/>
      <c r="H1225" s="20"/>
      <c r="J1225" s="20"/>
      <c r="L1225" s="20"/>
      <c r="M1225" s="20"/>
      <c r="N1225" s="20"/>
      <c r="O1225" s="20"/>
      <c r="P1225" s="20"/>
      <c r="R1225" s="20"/>
      <c r="S1225" s="20"/>
      <c r="T1225" s="20"/>
      <c r="U1225" s="20"/>
      <c r="V1225" s="20"/>
      <c r="W1225" s="20"/>
      <c r="X1225" s="20"/>
      <c r="Y1225" s="20"/>
      <c r="Z1225" s="20"/>
      <c r="AA1225" s="20"/>
    </row>
    <row r="1226" spans="1:27" x14ac:dyDescent="0.2">
      <c r="A1226" s="20"/>
      <c r="B1226" s="20"/>
      <c r="C1226" s="20"/>
      <c r="D1226" s="20"/>
      <c r="E1226" s="20"/>
      <c r="F1226" s="20"/>
      <c r="G1226" s="20"/>
      <c r="H1226" s="20"/>
      <c r="J1226" s="20"/>
      <c r="L1226" s="20"/>
      <c r="M1226" s="20"/>
      <c r="N1226" s="20"/>
      <c r="O1226" s="20"/>
      <c r="P1226" s="20"/>
      <c r="R1226" s="20"/>
      <c r="S1226" s="20"/>
      <c r="T1226" s="20"/>
      <c r="U1226" s="20"/>
      <c r="V1226" s="20"/>
      <c r="W1226" s="20"/>
      <c r="X1226" s="20"/>
      <c r="Y1226" s="20"/>
      <c r="Z1226" s="20"/>
      <c r="AA1226" s="20"/>
    </row>
    <row r="1227" spans="1:27" x14ac:dyDescent="0.2">
      <c r="A1227" s="20"/>
      <c r="B1227" s="20"/>
      <c r="C1227" s="20"/>
      <c r="D1227" s="20"/>
      <c r="E1227" s="20"/>
      <c r="F1227" s="20"/>
      <c r="G1227" s="20"/>
      <c r="H1227" s="20"/>
      <c r="J1227" s="20"/>
      <c r="L1227" s="20"/>
      <c r="M1227" s="20"/>
      <c r="N1227" s="20"/>
      <c r="O1227" s="20"/>
      <c r="P1227" s="20"/>
      <c r="R1227" s="20"/>
      <c r="S1227" s="20"/>
      <c r="T1227" s="20"/>
      <c r="U1227" s="20"/>
      <c r="V1227" s="20"/>
      <c r="W1227" s="20"/>
      <c r="X1227" s="20"/>
      <c r="Y1227" s="20"/>
      <c r="Z1227" s="20"/>
      <c r="AA1227" s="20"/>
    </row>
    <row r="1228" spans="1:27" x14ac:dyDescent="0.2">
      <c r="A1228" s="20"/>
      <c r="B1228" s="20"/>
      <c r="C1228" s="20"/>
      <c r="D1228" s="20"/>
      <c r="E1228" s="20"/>
      <c r="F1228" s="20"/>
      <c r="G1228" s="20"/>
      <c r="H1228" s="20"/>
      <c r="J1228" s="20"/>
      <c r="L1228" s="20"/>
      <c r="M1228" s="20"/>
      <c r="N1228" s="20"/>
      <c r="O1228" s="20"/>
      <c r="P1228" s="20"/>
      <c r="R1228" s="20"/>
      <c r="S1228" s="20"/>
      <c r="T1228" s="20"/>
      <c r="U1228" s="20"/>
      <c r="V1228" s="20"/>
      <c r="W1228" s="20"/>
      <c r="X1228" s="20"/>
      <c r="Y1228" s="20"/>
      <c r="Z1228" s="20"/>
      <c r="AA1228" s="20"/>
    </row>
    <row r="1229" spans="1:27" x14ac:dyDescent="0.2">
      <c r="A1229" s="20"/>
      <c r="B1229" s="20"/>
      <c r="C1229" s="20"/>
      <c r="D1229" s="20"/>
      <c r="E1229" s="20"/>
      <c r="F1229" s="20"/>
      <c r="G1229" s="20"/>
      <c r="H1229" s="20"/>
      <c r="J1229" s="20"/>
      <c r="L1229" s="20"/>
      <c r="M1229" s="20"/>
      <c r="N1229" s="20"/>
      <c r="O1229" s="20"/>
      <c r="P1229" s="20"/>
      <c r="R1229" s="20"/>
      <c r="S1229" s="20"/>
      <c r="T1229" s="20"/>
      <c r="U1229" s="20"/>
      <c r="V1229" s="20"/>
      <c r="W1229" s="20"/>
      <c r="X1229" s="20"/>
      <c r="Y1229" s="20"/>
      <c r="Z1229" s="20"/>
      <c r="AA1229" s="20"/>
    </row>
    <row r="1230" spans="1:27" x14ac:dyDescent="0.2">
      <c r="A1230" s="20"/>
      <c r="B1230" s="20"/>
      <c r="C1230" s="20"/>
      <c r="D1230" s="20"/>
      <c r="E1230" s="20"/>
      <c r="F1230" s="20"/>
      <c r="G1230" s="20"/>
      <c r="H1230" s="20"/>
      <c r="J1230" s="20"/>
      <c r="L1230" s="20"/>
      <c r="M1230" s="20"/>
      <c r="N1230" s="20"/>
      <c r="O1230" s="20"/>
      <c r="P1230" s="20"/>
      <c r="R1230" s="20"/>
      <c r="S1230" s="20"/>
      <c r="T1230" s="20"/>
      <c r="U1230" s="20"/>
      <c r="V1230" s="20"/>
      <c r="W1230" s="20"/>
      <c r="X1230" s="20"/>
      <c r="Y1230" s="20"/>
      <c r="Z1230" s="20"/>
      <c r="AA1230" s="20"/>
    </row>
    <row r="1231" spans="1:27" x14ac:dyDescent="0.2">
      <c r="A1231" s="20"/>
      <c r="B1231" s="20"/>
      <c r="C1231" s="20"/>
      <c r="D1231" s="20"/>
      <c r="E1231" s="20"/>
      <c r="F1231" s="20"/>
      <c r="G1231" s="20"/>
      <c r="H1231" s="20"/>
      <c r="J1231" s="20"/>
      <c r="L1231" s="20"/>
      <c r="M1231" s="20"/>
      <c r="N1231" s="20"/>
      <c r="O1231" s="20"/>
      <c r="P1231" s="20"/>
      <c r="R1231" s="20"/>
      <c r="S1231" s="20"/>
      <c r="T1231" s="20"/>
      <c r="U1231" s="20"/>
      <c r="V1231" s="20"/>
      <c r="W1231" s="20"/>
      <c r="X1231" s="20"/>
      <c r="Y1231" s="20"/>
      <c r="Z1231" s="20"/>
      <c r="AA1231" s="20"/>
    </row>
    <row r="1232" spans="1:27" x14ac:dyDescent="0.2">
      <c r="A1232" s="20"/>
      <c r="B1232" s="20"/>
      <c r="C1232" s="20"/>
      <c r="D1232" s="20"/>
      <c r="E1232" s="20"/>
      <c r="F1232" s="20"/>
      <c r="G1232" s="20"/>
      <c r="H1232" s="20"/>
      <c r="J1232" s="20"/>
      <c r="L1232" s="20"/>
      <c r="M1232" s="20"/>
      <c r="N1232" s="20"/>
      <c r="O1232" s="20"/>
      <c r="P1232" s="20"/>
      <c r="R1232" s="20"/>
      <c r="S1232" s="20"/>
      <c r="T1232" s="20"/>
      <c r="U1232" s="20"/>
      <c r="V1232" s="20"/>
      <c r="W1232" s="20"/>
      <c r="X1232" s="20"/>
      <c r="Y1232" s="20"/>
      <c r="Z1232" s="20"/>
      <c r="AA1232" s="20"/>
    </row>
    <row r="1233" spans="1:27" x14ac:dyDescent="0.2">
      <c r="A1233" s="20"/>
      <c r="B1233" s="20"/>
      <c r="C1233" s="20"/>
      <c r="D1233" s="20"/>
      <c r="E1233" s="20"/>
      <c r="F1233" s="20"/>
      <c r="G1233" s="20"/>
      <c r="H1233" s="20"/>
      <c r="J1233" s="20"/>
      <c r="L1233" s="20"/>
      <c r="M1233" s="20"/>
      <c r="N1233" s="20"/>
      <c r="O1233" s="20"/>
      <c r="P1233" s="20"/>
      <c r="R1233" s="20"/>
      <c r="S1233" s="20"/>
      <c r="T1233" s="20"/>
      <c r="U1233" s="20"/>
      <c r="V1233" s="20"/>
      <c r="W1233" s="20"/>
      <c r="X1233" s="20"/>
      <c r="Y1233" s="20"/>
      <c r="Z1233" s="20"/>
      <c r="AA1233" s="20"/>
    </row>
    <row r="1234" spans="1:27" x14ac:dyDescent="0.2">
      <c r="A1234" s="20"/>
      <c r="B1234" s="20"/>
      <c r="C1234" s="20"/>
      <c r="D1234" s="20"/>
      <c r="E1234" s="20"/>
      <c r="F1234" s="20"/>
      <c r="G1234" s="20"/>
      <c r="H1234" s="20"/>
      <c r="J1234" s="20"/>
      <c r="L1234" s="20"/>
      <c r="M1234" s="20"/>
      <c r="N1234" s="20"/>
      <c r="O1234" s="20"/>
      <c r="P1234" s="20"/>
      <c r="R1234" s="20"/>
      <c r="S1234" s="20"/>
      <c r="T1234" s="20"/>
      <c r="U1234" s="20"/>
      <c r="V1234" s="20"/>
      <c r="W1234" s="20"/>
      <c r="X1234" s="20"/>
      <c r="Y1234" s="20"/>
      <c r="Z1234" s="20"/>
      <c r="AA1234" s="20"/>
    </row>
    <row r="1235" spans="1:27" x14ac:dyDescent="0.2">
      <c r="A1235" s="20"/>
      <c r="B1235" s="20"/>
      <c r="C1235" s="20"/>
      <c r="D1235" s="20"/>
      <c r="E1235" s="20"/>
      <c r="F1235" s="20"/>
      <c r="G1235" s="20"/>
      <c r="H1235" s="20"/>
      <c r="J1235" s="20"/>
      <c r="L1235" s="20"/>
      <c r="M1235" s="20"/>
      <c r="N1235" s="20"/>
      <c r="O1235" s="20"/>
      <c r="P1235" s="20"/>
      <c r="R1235" s="20"/>
      <c r="S1235" s="20"/>
      <c r="T1235" s="20"/>
      <c r="U1235" s="20"/>
      <c r="V1235" s="20"/>
      <c r="W1235" s="20"/>
      <c r="X1235" s="20"/>
      <c r="Y1235" s="20"/>
      <c r="Z1235" s="20"/>
      <c r="AA1235" s="20"/>
    </row>
    <row r="1236" spans="1:27" x14ac:dyDescent="0.2">
      <c r="A1236" s="20"/>
      <c r="B1236" s="20"/>
      <c r="C1236" s="20"/>
      <c r="D1236" s="20"/>
      <c r="E1236" s="20"/>
      <c r="F1236" s="20"/>
      <c r="G1236" s="20"/>
      <c r="H1236" s="20"/>
      <c r="J1236" s="20"/>
      <c r="L1236" s="20"/>
      <c r="M1236" s="20"/>
      <c r="N1236" s="20"/>
      <c r="O1236" s="20"/>
      <c r="P1236" s="20"/>
      <c r="R1236" s="20"/>
      <c r="S1236" s="20"/>
      <c r="T1236" s="20"/>
      <c r="U1236" s="20"/>
      <c r="V1236" s="20"/>
      <c r="W1236" s="20"/>
      <c r="X1236" s="20"/>
      <c r="Y1236" s="20"/>
      <c r="Z1236" s="20"/>
      <c r="AA1236" s="20"/>
    </row>
    <row r="1237" spans="1:27" x14ac:dyDescent="0.2">
      <c r="A1237" s="20"/>
      <c r="B1237" s="20"/>
      <c r="C1237" s="20"/>
      <c r="D1237" s="20"/>
      <c r="E1237" s="20"/>
      <c r="F1237" s="20"/>
      <c r="G1237" s="20"/>
      <c r="H1237" s="20"/>
      <c r="J1237" s="20"/>
      <c r="L1237" s="20"/>
      <c r="M1237" s="20"/>
      <c r="N1237" s="20"/>
      <c r="O1237" s="20"/>
      <c r="P1237" s="20"/>
      <c r="R1237" s="20"/>
      <c r="S1237" s="20"/>
      <c r="T1237" s="20"/>
      <c r="U1237" s="20"/>
      <c r="V1237" s="20"/>
      <c r="W1237" s="20"/>
      <c r="X1237" s="20"/>
      <c r="Y1237" s="20"/>
      <c r="Z1237" s="20"/>
      <c r="AA1237" s="20"/>
    </row>
    <row r="1238" spans="1:27" x14ac:dyDescent="0.2">
      <c r="A1238" s="20"/>
      <c r="B1238" s="20"/>
      <c r="C1238" s="20"/>
      <c r="D1238" s="20"/>
      <c r="E1238" s="20"/>
      <c r="F1238" s="20"/>
      <c r="G1238" s="20"/>
      <c r="H1238" s="20"/>
      <c r="J1238" s="20"/>
      <c r="L1238" s="20"/>
      <c r="M1238" s="20"/>
      <c r="N1238" s="20"/>
      <c r="O1238" s="20"/>
      <c r="P1238" s="20"/>
      <c r="R1238" s="20"/>
      <c r="S1238" s="20"/>
      <c r="T1238" s="20"/>
      <c r="U1238" s="20"/>
      <c r="V1238" s="20"/>
      <c r="W1238" s="20"/>
      <c r="X1238" s="20"/>
      <c r="Y1238" s="20"/>
      <c r="Z1238" s="20"/>
      <c r="AA1238" s="20"/>
    </row>
    <row r="1239" spans="1:27" x14ac:dyDescent="0.2">
      <c r="A1239" s="20"/>
      <c r="B1239" s="20"/>
      <c r="C1239" s="20"/>
      <c r="D1239" s="20"/>
      <c r="E1239" s="20"/>
      <c r="F1239" s="20"/>
      <c r="G1239" s="20"/>
      <c r="H1239" s="20"/>
      <c r="J1239" s="20"/>
      <c r="L1239" s="20"/>
      <c r="M1239" s="20"/>
      <c r="N1239" s="20"/>
      <c r="O1239" s="20"/>
      <c r="P1239" s="20"/>
      <c r="R1239" s="20"/>
      <c r="S1239" s="20"/>
      <c r="T1239" s="20"/>
      <c r="U1239" s="20"/>
      <c r="V1239" s="20"/>
      <c r="W1239" s="20"/>
      <c r="X1239" s="20"/>
      <c r="Y1239" s="20"/>
      <c r="Z1239" s="20"/>
      <c r="AA1239" s="20"/>
    </row>
    <row r="1240" spans="1:27" x14ac:dyDescent="0.2">
      <c r="A1240" s="20"/>
      <c r="B1240" s="20"/>
      <c r="C1240" s="20"/>
      <c r="D1240" s="20"/>
      <c r="E1240" s="20"/>
      <c r="F1240" s="20"/>
      <c r="G1240" s="20"/>
      <c r="H1240" s="20"/>
      <c r="J1240" s="20"/>
      <c r="L1240" s="20"/>
      <c r="M1240" s="20"/>
      <c r="N1240" s="20"/>
      <c r="O1240" s="20"/>
      <c r="P1240" s="20"/>
      <c r="R1240" s="20"/>
      <c r="S1240" s="20"/>
      <c r="T1240" s="20"/>
      <c r="U1240" s="20"/>
      <c r="V1240" s="20"/>
      <c r="W1240" s="20"/>
      <c r="X1240" s="20"/>
      <c r="Y1240" s="20"/>
      <c r="Z1240" s="20"/>
      <c r="AA1240" s="20"/>
    </row>
    <row r="1241" spans="1:27" x14ac:dyDescent="0.2">
      <c r="A1241" s="20"/>
      <c r="B1241" s="20"/>
      <c r="C1241" s="20"/>
      <c r="D1241" s="20"/>
      <c r="E1241" s="20"/>
      <c r="F1241" s="20"/>
      <c r="G1241" s="20"/>
      <c r="H1241" s="20"/>
      <c r="J1241" s="20"/>
      <c r="L1241" s="20"/>
      <c r="M1241" s="20"/>
      <c r="N1241" s="20"/>
      <c r="O1241" s="20"/>
      <c r="P1241" s="20"/>
      <c r="R1241" s="20"/>
      <c r="S1241" s="20"/>
      <c r="T1241" s="20"/>
      <c r="U1241" s="20"/>
      <c r="V1241" s="20"/>
      <c r="W1241" s="20"/>
      <c r="X1241" s="20"/>
      <c r="Y1241" s="20"/>
      <c r="Z1241" s="20"/>
      <c r="AA1241" s="20"/>
    </row>
    <row r="1242" spans="1:27" x14ac:dyDescent="0.2">
      <c r="A1242" s="20"/>
      <c r="B1242" s="20"/>
      <c r="C1242" s="20"/>
      <c r="D1242" s="20"/>
      <c r="E1242" s="20"/>
      <c r="F1242" s="20"/>
      <c r="G1242" s="20"/>
      <c r="H1242" s="20"/>
      <c r="J1242" s="20"/>
      <c r="L1242" s="20"/>
      <c r="M1242" s="20"/>
      <c r="N1242" s="20"/>
      <c r="O1242" s="20"/>
      <c r="P1242" s="20"/>
      <c r="R1242" s="20"/>
      <c r="S1242" s="20"/>
      <c r="T1242" s="20"/>
      <c r="U1242" s="20"/>
      <c r="V1242" s="20"/>
      <c r="W1242" s="20"/>
      <c r="X1242" s="20"/>
      <c r="Y1242" s="20"/>
      <c r="Z1242" s="20"/>
      <c r="AA1242" s="20"/>
    </row>
    <row r="1243" spans="1:27" x14ac:dyDescent="0.2">
      <c r="A1243" s="20"/>
      <c r="B1243" s="20"/>
      <c r="C1243" s="20"/>
      <c r="D1243" s="20"/>
      <c r="E1243" s="20"/>
      <c r="F1243" s="20"/>
      <c r="G1243" s="20"/>
      <c r="H1243" s="20"/>
      <c r="J1243" s="20"/>
      <c r="L1243" s="20"/>
      <c r="M1243" s="20"/>
      <c r="N1243" s="20"/>
      <c r="O1243" s="20"/>
      <c r="P1243" s="20"/>
      <c r="R1243" s="20"/>
      <c r="S1243" s="20"/>
      <c r="T1243" s="20"/>
      <c r="U1243" s="20"/>
      <c r="V1243" s="20"/>
      <c r="W1243" s="20"/>
      <c r="X1243" s="20"/>
      <c r="Y1243" s="20"/>
      <c r="Z1243" s="20"/>
      <c r="AA1243" s="20"/>
    </row>
    <row r="1244" spans="1:27" x14ac:dyDescent="0.2">
      <c r="A1244" s="20"/>
      <c r="B1244" s="20"/>
      <c r="C1244" s="20"/>
      <c r="D1244" s="20"/>
      <c r="E1244" s="20"/>
      <c r="F1244" s="20"/>
      <c r="G1244" s="20"/>
      <c r="H1244" s="20"/>
      <c r="J1244" s="20"/>
      <c r="L1244" s="20"/>
      <c r="M1244" s="20"/>
      <c r="N1244" s="20"/>
      <c r="O1244" s="20"/>
      <c r="P1244" s="20"/>
      <c r="R1244" s="20"/>
      <c r="S1244" s="20"/>
      <c r="T1244" s="20"/>
      <c r="U1244" s="20"/>
      <c r="V1244" s="20"/>
      <c r="W1244" s="20"/>
      <c r="X1244" s="20"/>
      <c r="Y1244" s="20"/>
      <c r="Z1244" s="20"/>
      <c r="AA1244" s="20"/>
    </row>
    <row r="1245" spans="1:27" x14ac:dyDescent="0.2">
      <c r="A1245" s="20"/>
      <c r="B1245" s="20"/>
      <c r="C1245" s="20"/>
      <c r="D1245" s="20"/>
      <c r="E1245" s="20"/>
      <c r="F1245" s="20"/>
      <c r="G1245" s="20"/>
      <c r="H1245" s="20"/>
      <c r="J1245" s="20"/>
      <c r="L1245" s="20"/>
      <c r="M1245" s="20"/>
      <c r="N1245" s="20"/>
      <c r="O1245" s="20"/>
      <c r="P1245" s="20"/>
      <c r="R1245" s="20"/>
      <c r="S1245" s="20"/>
      <c r="T1245" s="20"/>
      <c r="U1245" s="20"/>
      <c r="V1245" s="20"/>
      <c r="W1245" s="20"/>
      <c r="X1245" s="20"/>
      <c r="Y1245" s="20"/>
      <c r="Z1245" s="20"/>
      <c r="AA1245" s="20"/>
    </row>
    <row r="1246" spans="1:27" x14ac:dyDescent="0.2">
      <c r="A1246" s="20"/>
      <c r="B1246" s="20"/>
      <c r="C1246" s="20"/>
      <c r="D1246" s="20"/>
      <c r="E1246" s="20"/>
      <c r="F1246" s="20"/>
      <c r="G1246" s="20"/>
      <c r="H1246" s="20"/>
      <c r="J1246" s="20"/>
      <c r="L1246" s="20"/>
      <c r="M1246" s="20"/>
      <c r="N1246" s="20"/>
      <c r="O1246" s="20"/>
      <c r="P1246" s="20"/>
      <c r="R1246" s="20"/>
      <c r="S1246" s="20"/>
      <c r="T1246" s="20"/>
      <c r="U1246" s="20"/>
      <c r="V1246" s="20"/>
      <c r="W1246" s="20"/>
      <c r="X1246" s="20"/>
      <c r="Y1246" s="20"/>
      <c r="Z1246" s="20"/>
      <c r="AA1246" s="20"/>
    </row>
    <row r="1247" spans="1:27" x14ac:dyDescent="0.2">
      <c r="A1247" s="20"/>
      <c r="B1247" s="20"/>
      <c r="C1247" s="20"/>
      <c r="D1247" s="20"/>
      <c r="E1247" s="20"/>
      <c r="F1247" s="20"/>
      <c r="G1247" s="20"/>
      <c r="H1247" s="20"/>
      <c r="J1247" s="20"/>
      <c r="L1247" s="20"/>
      <c r="M1247" s="20"/>
      <c r="N1247" s="20"/>
      <c r="O1247" s="20"/>
      <c r="P1247" s="20"/>
      <c r="R1247" s="20"/>
      <c r="S1247" s="20"/>
      <c r="T1247" s="20"/>
      <c r="U1247" s="20"/>
      <c r="V1247" s="20"/>
      <c r="W1247" s="20"/>
      <c r="X1247" s="20"/>
      <c r="Y1247" s="20"/>
      <c r="Z1247" s="20"/>
      <c r="AA1247" s="20"/>
    </row>
    <row r="1248" spans="1:27" x14ac:dyDescent="0.2">
      <c r="A1248" s="20"/>
      <c r="B1248" s="20"/>
      <c r="C1248" s="20"/>
      <c r="D1248" s="20"/>
      <c r="E1248" s="20"/>
      <c r="F1248" s="20"/>
      <c r="G1248" s="20"/>
      <c r="H1248" s="20"/>
      <c r="J1248" s="20"/>
      <c r="L1248" s="20"/>
      <c r="M1248" s="20"/>
      <c r="N1248" s="20"/>
      <c r="O1248" s="20"/>
      <c r="P1248" s="20"/>
      <c r="R1248" s="20"/>
      <c r="S1248" s="20"/>
      <c r="T1248" s="20"/>
      <c r="U1248" s="20"/>
      <c r="V1248" s="20"/>
      <c r="W1248" s="20"/>
      <c r="X1248" s="20"/>
      <c r="Y1248" s="20"/>
      <c r="Z1248" s="20"/>
      <c r="AA1248" s="20"/>
    </row>
    <row r="1249" spans="1:27" x14ac:dyDescent="0.2">
      <c r="A1249" s="20"/>
      <c r="B1249" s="20"/>
      <c r="C1249" s="20"/>
      <c r="D1249" s="20"/>
      <c r="E1249" s="20"/>
      <c r="F1249" s="20"/>
      <c r="G1249" s="20"/>
      <c r="H1249" s="20"/>
      <c r="J1249" s="20"/>
      <c r="L1249" s="20"/>
      <c r="M1249" s="20"/>
      <c r="N1249" s="20"/>
      <c r="O1249" s="20"/>
      <c r="P1249" s="20"/>
      <c r="R1249" s="20"/>
      <c r="S1249" s="20"/>
      <c r="T1249" s="20"/>
      <c r="U1249" s="20"/>
      <c r="V1249" s="20"/>
      <c r="W1249" s="20"/>
      <c r="X1249" s="20"/>
      <c r="Y1249" s="20"/>
      <c r="Z1249" s="20"/>
      <c r="AA1249" s="20"/>
    </row>
    <row r="1250" spans="1:27" x14ac:dyDescent="0.2">
      <c r="A1250" s="20"/>
      <c r="B1250" s="20"/>
      <c r="C1250" s="20"/>
      <c r="D1250" s="20"/>
      <c r="E1250" s="20"/>
      <c r="F1250" s="20"/>
      <c r="G1250" s="20"/>
      <c r="H1250" s="20"/>
      <c r="J1250" s="20"/>
      <c r="L1250" s="20"/>
      <c r="M1250" s="20"/>
      <c r="N1250" s="20"/>
      <c r="O1250" s="20"/>
      <c r="P1250" s="20"/>
      <c r="R1250" s="20"/>
      <c r="S1250" s="20"/>
      <c r="T1250" s="20"/>
      <c r="U1250" s="20"/>
      <c r="V1250" s="20"/>
      <c r="W1250" s="20"/>
      <c r="X1250" s="20"/>
      <c r="Y1250" s="20"/>
      <c r="Z1250" s="20"/>
      <c r="AA1250" s="20"/>
    </row>
    <row r="1251" spans="1:27" x14ac:dyDescent="0.2">
      <c r="A1251" s="20"/>
      <c r="B1251" s="20"/>
      <c r="C1251" s="20"/>
      <c r="D1251" s="20"/>
      <c r="E1251" s="20"/>
      <c r="F1251" s="20"/>
      <c r="G1251" s="20"/>
      <c r="H1251" s="20"/>
      <c r="J1251" s="20"/>
      <c r="L1251" s="20"/>
      <c r="M1251" s="20"/>
      <c r="N1251" s="20"/>
      <c r="O1251" s="20"/>
      <c r="P1251" s="20"/>
      <c r="R1251" s="20"/>
      <c r="S1251" s="20"/>
      <c r="T1251" s="20"/>
      <c r="U1251" s="20"/>
      <c r="V1251" s="20"/>
      <c r="W1251" s="20"/>
      <c r="X1251" s="20"/>
      <c r="Y1251" s="20"/>
      <c r="Z1251" s="20"/>
      <c r="AA1251" s="20"/>
    </row>
    <row r="1252" spans="1:27" x14ac:dyDescent="0.2">
      <c r="A1252" s="20"/>
      <c r="B1252" s="20"/>
      <c r="C1252" s="20"/>
      <c r="D1252" s="20"/>
      <c r="E1252" s="20"/>
      <c r="F1252" s="20"/>
      <c r="G1252" s="20"/>
      <c r="H1252" s="20"/>
      <c r="J1252" s="20"/>
      <c r="L1252" s="20"/>
      <c r="M1252" s="20"/>
      <c r="N1252" s="20"/>
      <c r="O1252" s="20"/>
      <c r="P1252" s="20"/>
      <c r="R1252" s="20"/>
      <c r="S1252" s="20"/>
      <c r="T1252" s="20"/>
      <c r="U1252" s="20"/>
      <c r="V1252" s="20"/>
      <c r="W1252" s="20"/>
      <c r="X1252" s="20"/>
      <c r="Y1252" s="20"/>
      <c r="Z1252" s="20"/>
      <c r="AA1252" s="20"/>
    </row>
    <row r="1253" spans="1:27" x14ac:dyDescent="0.2">
      <c r="A1253" s="20"/>
      <c r="B1253" s="20"/>
      <c r="C1253" s="20"/>
      <c r="D1253" s="20"/>
      <c r="E1253" s="20"/>
      <c r="F1253" s="20"/>
      <c r="G1253" s="20"/>
      <c r="H1253" s="20"/>
      <c r="J1253" s="20"/>
      <c r="L1253" s="20"/>
      <c r="M1253" s="20"/>
      <c r="N1253" s="20"/>
      <c r="O1253" s="20"/>
      <c r="P1253" s="20"/>
      <c r="R1253" s="20"/>
      <c r="S1253" s="20"/>
      <c r="T1253" s="20"/>
      <c r="U1253" s="20"/>
      <c r="V1253" s="20"/>
      <c r="W1253" s="20"/>
      <c r="X1253" s="20"/>
      <c r="Y1253" s="20"/>
      <c r="Z1253" s="20"/>
      <c r="AA1253" s="20"/>
    </row>
    <row r="1254" spans="1:27" x14ac:dyDescent="0.2">
      <c r="A1254" s="20"/>
      <c r="B1254" s="20"/>
      <c r="C1254" s="20"/>
      <c r="D1254" s="20"/>
      <c r="E1254" s="20"/>
      <c r="F1254" s="20"/>
      <c r="G1254" s="20"/>
      <c r="H1254" s="20"/>
      <c r="J1254" s="20"/>
      <c r="L1254" s="20"/>
      <c r="M1254" s="20"/>
      <c r="N1254" s="20"/>
      <c r="O1254" s="20"/>
      <c r="P1254" s="20"/>
      <c r="R1254" s="20"/>
      <c r="S1254" s="20"/>
      <c r="T1254" s="20"/>
      <c r="U1254" s="20"/>
      <c r="V1254" s="20"/>
      <c r="W1254" s="20"/>
      <c r="X1254" s="20"/>
      <c r="Y1254" s="20"/>
      <c r="Z1254" s="20"/>
      <c r="AA1254" s="20"/>
    </row>
    <row r="1255" spans="1:27" x14ac:dyDescent="0.2">
      <c r="A1255" s="20"/>
      <c r="B1255" s="20"/>
      <c r="C1255" s="20"/>
      <c r="D1255" s="20"/>
      <c r="E1255" s="20"/>
      <c r="F1255" s="20"/>
      <c r="G1255" s="20"/>
      <c r="H1255" s="20"/>
      <c r="J1255" s="20"/>
      <c r="L1255" s="20"/>
      <c r="M1255" s="20"/>
      <c r="N1255" s="20"/>
      <c r="O1255" s="20"/>
      <c r="P1255" s="20"/>
      <c r="R1255" s="20"/>
      <c r="S1255" s="20"/>
      <c r="T1255" s="20"/>
      <c r="U1255" s="20"/>
      <c r="V1255" s="20"/>
      <c r="W1255" s="20"/>
      <c r="X1255" s="20"/>
      <c r="Y1255" s="20"/>
      <c r="Z1255" s="20"/>
      <c r="AA1255" s="20"/>
    </row>
    <row r="1256" spans="1:27" x14ac:dyDescent="0.2">
      <c r="A1256" s="20"/>
      <c r="B1256" s="20"/>
      <c r="C1256" s="20"/>
      <c r="D1256" s="20"/>
      <c r="E1256" s="20"/>
      <c r="F1256" s="20"/>
      <c r="G1256" s="20"/>
      <c r="H1256" s="20"/>
      <c r="J1256" s="20"/>
      <c r="L1256" s="20"/>
      <c r="M1256" s="20"/>
      <c r="N1256" s="20"/>
      <c r="O1256" s="20"/>
      <c r="P1256" s="20"/>
      <c r="R1256" s="20"/>
      <c r="S1256" s="20"/>
      <c r="T1256" s="20"/>
      <c r="U1256" s="20"/>
      <c r="V1256" s="20"/>
      <c r="W1256" s="20"/>
      <c r="X1256" s="20"/>
      <c r="Y1256" s="20"/>
      <c r="Z1256" s="20"/>
      <c r="AA1256" s="20"/>
    </row>
    <row r="1257" spans="1:27" x14ac:dyDescent="0.2">
      <c r="A1257" s="20"/>
      <c r="B1257" s="20"/>
      <c r="C1257" s="20"/>
      <c r="D1257" s="20"/>
      <c r="E1257" s="20"/>
      <c r="F1257" s="20"/>
      <c r="G1257" s="20"/>
      <c r="H1257" s="20"/>
      <c r="J1257" s="20"/>
      <c r="L1257" s="20"/>
      <c r="M1257" s="20"/>
      <c r="N1257" s="20"/>
      <c r="O1257" s="20"/>
      <c r="P1257" s="20"/>
      <c r="R1257" s="20"/>
      <c r="S1257" s="20"/>
      <c r="T1257" s="20"/>
      <c r="U1257" s="20"/>
      <c r="V1257" s="20"/>
      <c r="W1257" s="20"/>
      <c r="X1257" s="20"/>
      <c r="Y1257" s="20"/>
      <c r="Z1257" s="20"/>
      <c r="AA1257" s="20"/>
    </row>
    <row r="1258" spans="1:27" x14ac:dyDescent="0.2">
      <c r="A1258" s="20"/>
      <c r="B1258" s="20"/>
      <c r="C1258" s="20"/>
      <c r="D1258" s="20"/>
      <c r="E1258" s="20"/>
      <c r="F1258" s="20"/>
      <c r="G1258" s="20"/>
      <c r="H1258" s="20"/>
      <c r="J1258" s="20"/>
      <c r="L1258" s="20"/>
      <c r="M1258" s="20"/>
      <c r="N1258" s="20"/>
      <c r="O1258" s="20"/>
      <c r="P1258" s="20"/>
      <c r="R1258" s="20"/>
      <c r="S1258" s="20"/>
      <c r="T1258" s="20"/>
      <c r="U1258" s="20"/>
      <c r="V1258" s="20"/>
      <c r="W1258" s="20"/>
      <c r="X1258" s="20"/>
      <c r="Y1258" s="20"/>
      <c r="Z1258" s="20"/>
      <c r="AA1258" s="20"/>
    </row>
    <row r="1259" spans="1:27" x14ac:dyDescent="0.2">
      <c r="A1259" s="20"/>
      <c r="B1259" s="20"/>
      <c r="C1259" s="20"/>
      <c r="D1259" s="20"/>
      <c r="E1259" s="20"/>
      <c r="F1259" s="20"/>
      <c r="G1259" s="20"/>
      <c r="H1259" s="20"/>
      <c r="J1259" s="20"/>
      <c r="L1259" s="20"/>
      <c r="M1259" s="20"/>
      <c r="N1259" s="20"/>
      <c r="O1259" s="20"/>
      <c r="P1259" s="20"/>
      <c r="R1259" s="20"/>
      <c r="S1259" s="20"/>
      <c r="T1259" s="20"/>
      <c r="U1259" s="20"/>
      <c r="V1259" s="20"/>
      <c r="W1259" s="20"/>
      <c r="X1259" s="20"/>
      <c r="Y1259" s="20"/>
      <c r="Z1259" s="20"/>
      <c r="AA1259" s="20"/>
    </row>
    <row r="1260" spans="1:27" x14ac:dyDescent="0.2">
      <c r="A1260" s="20"/>
      <c r="B1260" s="20"/>
      <c r="C1260" s="20"/>
      <c r="D1260" s="20"/>
      <c r="E1260" s="20"/>
      <c r="F1260" s="20"/>
      <c r="G1260" s="20"/>
      <c r="H1260" s="20"/>
      <c r="J1260" s="20"/>
      <c r="L1260" s="20"/>
      <c r="M1260" s="20"/>
      <c r="N1260" s="20"/>
      <c r="O1260" s="20"/>
      <c r="P1260" s="20"/>
      <c r="R1260" s="20"/>
      <c r="S1260" s="20"/>
      <c r="T1260" s="20"/>
      <c r="U1260" s="20"/>
      <c r="V1260" s="20"/>
      <c r="W1260" s="20"/>
      <c r="X1260" s="20"/>
      <c r="Y1260" s="20"/>
      <c r="Z1260" s="20"/>
      <c r="AA1260" s="20"/>
    </row>
    <row r="1261" spans="1:27" x14ac:dyDescent="0.2">
      <c r="A1261" s="20"/>
      <c r="B1261" s="20"/>
      <c r="C1261" s="20"/>
      <c r="D1261" s="20"/>
      <c r="E1261" s="20"/>
      <c r="F1261" s="20"/>
      <c r="G1261" s="20"/>
      <c r="H1261" s="20"/>
      <c r="J1261" s="20"/>
      <c r="L1261" s="20"/>
      <c r="M1261" s="20"/>
      <c r="N1261" s="20"/>
      <c r="O1261" s="20"/>
      <c r="P1261" s="20"/>
      <c r="R1261" s="20"/>
      <c r="S1261" s="20"/>
      <c r="T1261" s="20"/>
      <c r="U1261" s="20"/>
      <c r="V1261" s="20"/>
      <c r="W1261" s="20"/>
      <c r="X1261" s="20"/>
      <c r="Y1261" s="20"/>
      <c r="Z1261" s="20"/>
      <c r="AA1261" s="20"/>
    </row>
    <row r="1262" spans="1:27" x14ac:dyDescent="0.2">
      <c r="A1262" s="20"/>
      <c r="B1262" s="20"/>
      <c r="C1262" s="20"/>
      <c r="D1262" s="20"/>
      <c r="E1262" s="20"/>
      <c r="F1262" s="20"/>
      <c r="G1262" s="20"/>
      <c r="H1262" s="20"/>
      <c r="J1262" s="20"/>
      <c r="L1262" s="20"/>
      <c r="M1262" s="20"/>
      <c r="N1262" s="20"/>
      <c r="O1262" s="20"/>
      <c r="P1262" s="20"/>
      <c r="R1262" s="20"/>
      <c r="S1262" s="20"/>
      <c r="T1262" s="20"/>
      <c r="U1262" s="20"/>
      <c r="V1262" s="20"/>
      <c r="W1262" s="20"/>
      <c r="X1262" s="20"/>
      <c r="Y1262" s="20"/>
      <c r="Z1262" s="20"/>
      <c r="AA1262" s="20"/>
    </row>
    <row r="1263" spans="1:27" x14ac:dyDescent="0.2">
      <c r="A1263" s="20"/>
      <c r="B1263" s="20"/>
      <c r="C1263" s="20"/>
      <c r="D1263" s="20"/>
      <c r="E1263" s="20"/>
      <c r="F1263" s="20"/>
      <c r="G1263" s="20"/>
      <c r="H1263" s="20"/>
      <c r="J1263" s="20"/>
      <c r="L1263" s="20"/>
      <c r="M1263" s="20"/>
      <c r="N1263" s="20"/>
      <c r="O1263" s="20"/>
      <c r="P1263" s="20"/>
      <c r="R1263" s="20"/>
      <c r="S1263" s="20"/>
      <c r="T1263" s="20"/>
      <c r="U1263" s="20"/>
      <c r="V1263" s="20"/>
      <c r="W1263" s="20"/>
      <c r="X1263" s="20"/>
      <c r="Y1263" s="20"/>
      <c r="Z1263" s="20"/>
      <c r="AA1263" s="20"/>
    </row>
    <row r="1264" spans="1:27" x14ac:dyDescent="0.2">
      <c r="A1264" s="20"/>
      <c r="B1264" s="20"/>
      <c r="C1264" s="20"/>
      <c r="D1264" s="20"/>
      <c r="E1264" s="20"/>
      <c r="F1264" s="20"/>
      <c r="G1264" s="20"/>
      <c r="H1264" s="20"/>
      <c r="J1264" s="20"/>
      <c r="L1264" s="20"/>
      <c r="M1264" s="20"/>
      <c r="N1264" s="20"/>
      <c r="O1264" s="20"/>
      <c r="P1264" s="20"/>
      <c r="R1264" s="20"/>
      <c r="S1264" s="20"/>
      <c r="T1264" s="20"/>
      <c r="U1264" s="20"/>
      <c r="V1264" s="20"/>
      <c r="W1264" s="20"/>
      <c r="X1264" s="20"/>
      <c r="Y1264" s="20"/>
      <c r="Z1264" s="20"/>
      <c r="AA1264" s="20"/>
    </row>
    <row r="1265" spans="1:27" x14ac:dyDescent="0.2">
      <c r="A1265" s="20"/>
      <c r="B1265" s="20"/>
      <c r="C1265" s="20"/>
      <c r="D1265" s="20"/>
      <c r="E1265" s="20"/>
      <c r="F1265" s="20"/>
      <c r="G1265" s="20"/>
      <c r="H1265" s="20"/>
      <c r="J1265" s="20"/>
      <c r="L1265" s="20"/>
      <c r="M1265" s="20"/>
      <c r="N1265" s="20"/>
      <c r="O1265" s="20"/>
      <c r="P1265" s="20"/>
      <c r="R1265" s="20"/>
      <c r="S1265" s="20"/>
      <c r="T1265" s="20"/>
      <c r="U1265" s="20"/>
      <c r="V1265" s="20"/>
      <c r="W1265" s="20"/>
      <c r="X1265" s="20"/>
      <c r="Y1265" s="20"/>
      <c r="Z1265" s="20"/>
      <c r="AA1265" s="20"/>
    </row>
    <row r="1266" spans="1:27" x14ac:dyDescent="0.2">
      <c r="A1266" s="20"/>
      <c r="B1266" s="20"/>
      <c r="C1266" s="20"/>
      <c r="D1266" s="20"/>
      <c r="E1266" s="20"/>
      <c r="F1266" s="20"/>
      <c r="G1266" s="20"/>
      <c r="H1266" s="20"/>
      <c r="J1266" s="20"/>
      <c r="L1266" s="20"/>
      <c r="M1266" s="20"/>
      <c r="N1266" s="20"/>
      <c r="O1266" s="20"/>
      <c r="P1266" s="20"/>
      <c r="R1266" s="20"/>
      <c r="S1266" s="20"/>
      <c r="T1266" s="20"/>
      <c r="U1266" s="20"/>
      <c r="V1266" s="20"/>
      <c r="W1266" s="20"/>
      <c r="X1266" s="20"/>
      <c r="Y1266" s="20"/>
      <c r="Z1266" s="20"/>
      <c r="AA1266" s="20"/>
    </row>
    <row r="1267" spans="1:27" x14ac:dyDescent="0.2">
      <c r="A1267" s="20"/>
      <c r="B1267" s="20"/>
      <c r="C1267" s="20"/>
      <c r="D1267" s="20"/>
      <c r="E1267" s="20"/>
      <c r="F1267" s="20"/>
      <c r="G1267" s="20"/>
      <c r="H1267" s="20"/>
      <c r="J1267" s="20"/>
      <c r="L1267" s="20"/>
      <c r="M1267" s="20"/>
      <c r="N1267" s="20"/>
      <c r="O1267" s="20"/>
      <c r="P1267" s="20"/>
      <c r="R1267" s="20"/>
      <c r="S1267" s="20"/>
      <c r="T1267" s="20"/>
      <c r="U1267" s="20"/>
      <c r="V1267" s="20"/>
      <c r="W1267" s="20"/>
      <c r="X1267" s="20"/>
      <c r="Y1267" s="20"/>
      <c r="Z1267" s="20"/>
      <c r="AA1267" s="20"/>
    </row>
    <row r="1268" spans="1:27" x14ac:dyDescent="0.2">
      <c r="A1268" s="20"/>
      <c r="B1268" s="20"/>
      <c r="C1268" s="20"/>
      <c r="D1268" s="20"/>
      <c r="E1268" s="20"/>
      <c r="F1268" s="20"/>
      <c r="G1268" s="20"/>
      <c r="H1268" s="20"/>
      <c r="J1268" s="20"/>
      <c r="L1268" s="20"/>
      <c r="M1268" s="20"/>
      <c r="N1268" s="20"/>
      <c r="O1268" s="20"/>
      <c r="P1268" s="20"/>
      <c r="R1268" s="20"/>
      <c r="S1268" s="20"/>
      <c r="T1268" s="20"/>
      <c r="U1268" s="20"/>
      <c r="V1268" s="20"/>
      <c r="W1268" s="20"/>
      <c r="X1268" s="20"/>
      <c r="Y1268" s="20"/>
      <c r="Z1268" s="20"/>
      <c r="AA1268" s="20"/>
    </row>
    <row r="1269" spans="1:27" x14ac:dyDescent="0.2">
      <c r="A1269" s="20"/>
      <c r="B1269" s="20"/>
      <c r="C1269" s="20"/>
      <c r="D1269" s="20"/>
      <c r="E1269" s="20"/>
      <c r="F1269" s="20"/>
      <c r="G1269" s="20"/>
      <c r="H1269" s="20"/>
      <c r="J1269" s="20"/>
      <c r="L1269" s="20"/>
      <c r="M1269" s="20"/>
      <c r="N1269" s="20"/>
      <c r="O1269" s="20"/>
      <c r="P1269" s="20"/>
      <c r="R1269" s="20"/>
      <c r="S1269" s="20"/>
      <c r="T1269" s="20"/>
      <c r="U1269" s="20"/>
      <c r="V1269" s="20"/>
      <c r="W1269" s="20"/>
      <c r="X1269" s="20"/>
      <c r="Y1269" s="20"/>
      <c r="Z1269" s="20"/>
      <c r="AA1269" s="20"/>
    </row>
    <row r="1270" spans="1:27" x14ac:dyDescent="0.2">
      <c r="A1270" s="20"/>
      <c r="B1270" s="20"/>
      <c r="C1270" s="20"/>
      <c r="D1270" s="20"/>
      <c r="E1270" s="20"/>
      <c r="F1270" s="20"/>
      <c r="G1270" s="20"/>
      <c r="H1270" s="20"/>
      <c r="J1270" s="20"/>
      <c r="L1270" s="20"/>
      <c r="M1270" s="20"/>
      <c r="N1270" s="20"/>
      <c r="O1270" s="20"/>
      <c r="P1270" s="20"/>
      <c r="R1270" s="20"/>
      <c r="S1270" s="20"/>
      <c r="T1270" s="20"/>
      <c r="U1270" s="20"/>
      <c r="V1270" s="20"/>
      <c r="W1270" s="20"/>
      <c r="X1270" s="20"/>
      <c r="Y1270" s="20"/>
      <c r="Z1270" s="20"/>
      <c r="AA1270" s="20"/>
    </row>
    <row r="1271" spans="1:27" x14ac:dyDescent="0.2">
      <c r="A1271" s="20"/>
      <c r="B1271" s="20"/>
      <c r="C1271" s="20"/>
      <c r="D1271" s="20"/>
      <c r="E1271" s="20"/>
      <c r="F1271" s="20"/>
      <c r="G1271" s="20"/>
      <c r="H1271" s="20"/>
      <c r="J1271" s="20"/>
      <c r="L1271" s="20"/>
      <c r="M1271" s="20"/>
      <c r="N1271" s="20"/>
      <c r="O1271" s="20"/>
      <c r="P1271" s="20"/>
      <c r="R1271" s="20"/>
      <c r="S1271" s="20"/>
      <c r="T1271" s="20"/>
      <c r="U1271" s="20"/>
      <c r="V1271" s="20"/>
      <c r="W1271" s="20"/>
      <c r="X1271" s="20"/>
      <c r="Y1271" s="20"/>
      <c r="Z1271" s="20"/>
      <c r="AA1271" s="20"/>
    </row>
    <row r="1272" spans="1:27" x14ac:dyDescent="0.2">
      <c r="A1272" s="20"/>
      <c r="B1272" s="20"/>
      <c r="C1272" s="20"/>
      <c r="D1272" s="20"/>
      <c r="E1272" s="20"/>
      <c r="F1272" s="20"/>
      <c r="G1272" s="20"/>
      <c r="H1272" s="20"/>
      <c r="J1272" s="20"/>
      <c r="L1272" s="20"/>
      <c r="M1272" s="20"/>
      <c r="N1272" s="20"/>
      <c r="O1272" s="20"/>
      <c r="P1272" s="20"/>
      <c r="R1272" s="20"/>
      <c r="S1272" s="20"/>
      <c r="T1272" s="20"/>
      <c r="U1272" s="20"/>
      <c r="V1272" s="20"/>
      <c r="W1272" s="20"/>
      <c r="X1272" s="20"/>
      <c r="Y1272" s="20"/>
      <c r="Z1272" s="20"/>
      <c r="AA1272" s="20"/>
    </row>
    <row r="1273" spans="1:27" x14ac:dyDescent="0.2">
      <c r="A1273" s="20"/>
      <c r="B1273" s="20"/>
      <c r="C1273" s="20"/>
      <c r="D1273" s="20"/>
      <c r="E1273" s="20"/>
      <c r="F1273" s="20"/>
      <c r="G1273" s="20"/>
      <c r="H1273" s="20"/>
      <c r="J1273" s="20"/>
      <c r="L1273" s="20"/>
      <c r="M1273" s="20"/>
      <c r="N1273" s="20"/>
      <c r="O1273" s="20"/>
      <c r="P1273" s="20"/>
      <c r="R1273" s="20"/>
      <c r="S1273" s="20"/>
      <c r="T1273" s="20"/>
      <c r="U1273" s="20"/>
      <c r="V1273" s="20"/>
      <c r="W1273" s="20"/>
      <c r="X1273" s="20"/>
      <c r="Y1273" s="20"/>
      <c r="Z1273" s="20"/>
      <c r="AA1273" s="20"/>
    </row>
    <row r="1274" spans="1:27" x14ac:dyDescent="0.2">
      <c r="A1274" s="20"/>
      <c r="B1274" s="20"/>
      <c r="C1274" s="20"/>
      <c r="D1274" s="20"/>
      <c r="E1274" s="20"/>
      <c r="F1274" s="20"/>
      <c r="G1274" s="20"/>
      <c r="H1274" s="20"/>
      <c r="J1274" s="20"/>
      <c r="L1274" s="20"/>
      <c r="M1274" s="20"/>
      <c r="N1274" s="20"/>
      <c r="O1274" s="20"/>
      <c r="P1274" s="20"/>
      <c r="R1274" s="20"/>
      <c r="S1274" s="20"/>
      <c r="T1274" s="20"/>
      <c r="U1274" s="20"/>
      <c r="V1274" s="20"/>
      <c r="W1274" s="20"/>
      <c r="X1274" s="20"/>
      <c r="Y1274" s="20"/>
      <c r="Z1274" s="20"/>
      <c r="AA1274" s="20"/>
    </row>
    <row r="1275" spans="1:27" x14ac:dyDescent="0.2">
      <c r="A1275" s="20"/>
      <c r="B1275" s="20"/>
      <c r="C1275" s="20"/>
      <c r="D1275" s="20"/>
      <c r="E1275" s="20"/>
      <c r="F1275" s="20"/>
      <c r="G1275" s="20"/>
      <c r="H1275" s="20"/>
      <c r="J1275" s="20"/>
      <c r="L1275" s="20"/>
      <c r="M1275" s="20"/>
      <c r="N1275" s="20"/>
      <c r="O1275" s="20"/>
      <c r="P1275" s="20"/>
      <c r="R1275" s="20"/>
      <c r="S1275" s="20"/>
      <c r="T1275" s="20"/>
      <c r="U1275" s="20"/>
      <c r="V1275" s="20"/>
      <c r="W1275" s="20"/>
      <c r="X1275" s="20"/>
      <c r="Y1275" s="20"/>
      <c r="Z1275" s="20"/>
      <c r="AA1275" s="20"/>
    </row>
    <row r="1276" spans="1:27" x14ac:dyDescent="0.2">
      <c r="A1276" s="20"/>
      <c r="B1276" s="20"/>
      <c r="C1276" s="20"/>
      <c r="D1276" s="20"/>
      <c r="E1276" s="20"/>
      <c r="F1276" s="20"/>
      <c r="G1276" s="20"/>
      <c r="H1276" s="20"/>
      <c r="J1276" s="20"/>
      <c r="L1276" s="20"/>
      <c r="M1276" s="20"/>
      <c r="N1276" s="20"/>
      <c r="O1276" s="20"/>
      <c r="P1276" s="20"/>
      <c r="R1276" s="20"/>
      <c r="S1276" s="20"/>
      <c r="T1276" s="20"/>
      <c r="U1276" s="20"/>
      <c r="V1276" s="20"/>
      <c r="W1276" s="20"/>
      <c r="X1276" s="20"/>
      <c r="Y1276" s="20"/>
      <c r="Z1276" s="20"/>
      <c r="AA1276" s="20"/>
    </row>
    <row r="1277" spans="1:27" x14ac:dyDescent="0.2">
      <c r="A1277" s="20"/>
      <c r="B1277" s="20"/>
      <c r="C1277" s="20"/>
      <c r="D1277" s="20"/>
      <c r="E1277" s="20"/>
      <c r="F1277" s="20"/>
      <c r="G1277" s="20"/>
      <c r="H1277" s="20"/>
      <c r="J1277" s="20"/>
      <c r="L1277" s="20"/>
      <c r="M1277" s="20"/>
      <c r="N1277" s="20"/>
      <c r="O1277" s="20"/>
      <c r="P1277" s="20"/>
      <c r="R1277" s="20"/>
      <c r="S1277" s="20"/>
      <c r="T1277" s="20"/>
      <c r="U1277" s="20"/>
      <c r="V1277" s="20"/>
      <c r="W1277" s="20"/>
      <c r="X1277" s="20"/>
      <c r="Y1277" s="20"/>
      <c r="Z1277" s="20"/>
      <c r="AA1277" s="20"/>
    </row>
    <row r="1278" spans="1:27" x14ac:dyDescent="0.2">
      <c r="A1278" s="20"/>
      <c r="B1278" s="20"/>
      <c r="C1278" s="20"/>
      <c r="D1278" s="20"/>
      <c r="E1278" s="20"/>
      <c r="F1278" s="20"/>
      <c r="G1278" s="20"/>
      <c r="H1278" s="20"/>
      <c r="J1278" s="20"/>
      <c r="L1278" s="20"/>
      <c r="M1278" s="20"/>
      <c r="N1278" s="20"/>
      <c r="O1278" s="20"/>
      <c r="P1278" s="20"/>
      <c r="R1278" s="20"/>
      <c r="S1278" s="20"/>
      <c r="T1278" s="20"/>
      <c r="U1278" s="20"/>
      <c r="V1278" s="20"/>
      <c r="W1278" s="20"/>
      <c r="X1278" s="20"/>
      <c r="Y1278" s="20"/>
      <c r="Z1278" s="20"/>
      <c r="AA1278" s="20"/>
    </row>
    <row r="1279" spans="1:27" x14ac:dyDescent="0.2">
      <c r="A1279" s="20"/>
      <c r="B1279" s="20"/>
      <c r="C1279" s="20"/>
      <c r="D1279" s="20"/>
      <c r="E1279" s="20"/>
      <c r="F1279" s="20"/>
      <c r="G1279" s="20"/>
      <c r="H1279" s="20"/>
      <c r="J1279" s="20"/>
      <c r="L1279" s="20"/>
      <c r="M1279" s="20"/>
      <c r="N1279" s="20"/>
      <c r="O1279" s="20"/>
      <c r="P1279" s="20"/>
      <c r="R1279" s="20"/>
      <c r="S1279" s="20"/>
      <c r="T1279" s="20"/>
      <c r="U1279" s="20"/>
      <c r="V1279" s="20"/>
      <c r="W1279" s="20"/>
      <c r="X1279" s="20"/>
      <c r="Y1279" s="20"/>
      <c r="Z1279" s="20"/>
      <c r="AA1279" s="20"/>
    </row>
    <row r="1280" spans="1:27" x14ac:dyDescent="0.2">
      <c r="A1280" s="20"/>
      <c r="B1280" s="20"/>
      <c r="C1280" s="20"/>
      <c r="D1280" s="20"/>
      <c r="E1280" s="20"/>
      <c r="F1280" s="20"/>
      <c r="G1280" s="20"/>
      <c r="H1280" s="20"/>
      <c r="J1280" s="20"/>
      <c r="L1280" s="20"/>
      <c r="M1280" s="20"/>
      <c r="N1280" s="20"/>
      <c r="O1280" s="20"/>
      <c r="P1280" s="20"/>
      <c r="R1280" s="20"/>
      <c r="S1280" s="20"/>
      <c r="T1280" s="20"/>
      <c r="U1280" s="20"/>
      <c r="V1280" s="20"/>
      <c r="W1280" s="20"/>
      <c r="X1280" s="20"/>
      <c r="Y1280" s="20"/>
      <c r="Z1280" s="20"/>
      <c r="AA1280" s="20"/>
    </row>
    <row r="1281" spans="1:27" x14ac:dyDescent="0.2">
      <c r="A1281" s="20"/>
      <c r="B1281" s="20"/>
      <c r="C1281" s="20"/>
      <c r="D1281" s="20"/>
      <c r="E1281" s="20"/>
      <c r="F1281" s="20"/>
      <c r="G1281" s="20"/>
      <c r="H1281" s="20"/>
      <c r="J1281" s="20"/>
      <c r="L1281" s="20"/>
      <c r="M1281" s="20"/>
      <c r="N1281" s="20"/>
      <c r="O1281" s="20"/>
      <c r="P1281" s="20"/>
      <c r="R1281" s="20"/>
      <c r="S1281" s="20"/>
      <c r="T1281" s="20"/>
      <c r="U1281" s="20"/>
      <c r="V1281" s="20"/>
      <c r="W1281" s="20"/>
      <c r="X1281" s="20"/>
      <c r="Y1281" s="20"/>
      <c r="Z1281" s="20"/>
      <c r="AA1281" s="20"/>
    </row>
    <row r="1282" spans="1:27" x14ac:dyDescent="0.2">
      <c r="A1282" s="20"/>
      <c r="B1282" s="20"/>
      <c r="C1282" s="20"/>
      <c r="D1282" s="20"/>
      <c r="E1282" s="20"/>
      <c r="F1282" s="20"/>
      <c r="G1282" s="20"/>
      <c r="H1282" s="20"/>
      <c r="J1282" s="20"/>
      <c r="L1282" s="20"/>
      <c r="M1282" s="20"/>
      <c r="N1282" s="20"/>
      <c r="O1282" s="20"/>
      <c r="P1282" s="20"/>
      <c r="R1282" s="20"/>
      <c r="S1282" s="20"/>
      <c r="T1282" s="20"/>
      <c r="U1282" s="20"/>
      <c r="V1282" s="20"/>
      <c r="W1282" s="20"/>
      <c r="X1282" s="20"/>
      <c r="Y1282" s="20"/>
      <c r="Z1282" s="20"/>
      <c r="AA1282" s="20"/>
    </row>
    <row r="1283" spans="1:27" x14ac:dyDescent="0.2">
      <c r="A1283" s="20"/>
      <c r="B1283" s="20"/>
      <c r="C1283" s="20"/>
      <c r="D1283" s="20"/>
      <c r="E1283" s="20"/>
      <c r="F1283" s="20"/>
      <c r="G1283" s="20"/>
      <c r="H1283" s="20"/>
      <c r="J1283" s="20"/>
      <c r="L1283" s="20"/>
      <c r="M1283" s="20"/>
      <c r="N1283" s="20"/>
      <c r="O1283" s="20"/>
      <c r="P1283" s="20"/>
      <c r="R1283" s="20"/>
      <c r="S1283" s="20"/>
      <c r="T1283" s="20"/>
      <c r="U1283" s="20"/>
      <c r="V1283" s="20"/>
      <c r="W1283" s="20"/>
      <c r="X1283" s="20"/>
      <c r="Y1283" s="20"/>
      <c r="Z1283" s="20"/>
      <c r="AA1283" s="20"/>
    </row>
    <row r="1284" spans="1:27" x14ac:dyDescent="0.2">
      <c r="A1284" s="20"/>
      <c r="B1284" s="20"/>
      <c r="C1284" s="20"/>
      <c r="D1284" s="20"/>
      <c r="E1284" s="20"/>
      <c r="F1284" s="20"/>
      <c r="G1284" s="20"/>
      <c r="H1284" s="20"/>
      <c r="J1284" s="20"/>
      <c r="L1284" s="20"/>
      <c r="M1284" s="20"/>
      <c r="N1284" s="20"/>
      <c r="O1284" s="20"/>
      <c r="P1284" s="20"/>
      <c r="R1284" s="20"/>
      <c r="S1284" s="20"/>
      <c r="T1284" s="20"/>
      <c r="U1284" s="20"/>
      <c r="V1284" s="20"/>
      <c r="W1284" s="20"/>
      <c r="X1284" s="20"/>
      <c r="Y1284" s="20"/>
      <c r="Z1284" s="20"/>
      <c r="AA1284" s="20"/>
    </row>
    <row r="1285" spans="1:27" x14ac:dyDescent="0.2">
      <c r="A1285" s="20"/>
      <c r="B1285" s="20"/>
      <c r="C1285" s="20"/>
      <c r="D1285" s="20"/>
      <c r="E1285" s="20"/>
      <c r="F1285" s="20"/>
      <c r="G1285" s="20"/>
      <c r="H1285" s="20"/>
      <c r="J1285" s="20"/>
      <c r="L1285" s="20"/>
      <c r="M1285" s="20"/>
      <c r="N1285" s="20"/>
      <c r="O1285" s="20"/>
      <c r="P1285" s="20"/>
      <c r="R1285" s="20"/>
      <c r="S1285" s="20"/>
      <c r="T1285" s="20"/>
      <c r="U1285" s="20"/>
      <c r="V1285" s="20"/>
      <c r="W1285" s="20"/>
      <c r="X1285" s="20"/>
      <c r="Y1285" s="20"/>
      <c r="Z1285" s="20"/>
      <c r="AA1285" s="20"/>
    </row>
    <row r="1286" spans="1:27" x14ac:dyDescent="0.2">
      <c r="A1286" s="20"/>
      <c r="B1286" s="20"/>
      <c r="C1286" s="20"/>
      <c r="D1286" s="20"/>
      <c r="E1286" s="20"/>
      <c r="F1286" s="20"/>
      <c r="G1286" s="20"/>
      <c r="H1286" s="20"/>
      <c r="J1286" s="20"/>
      <c r="L1286" s="20"/>
      <c r="M1286" s="20"/>
      <c r="N1286" s="20"/>
      <c r="O1286" s="20"/>
      <c r="P1286" s="20"/>
      <c r="R1286" s="20"/>
      <c r="S1286" s="20"/>
      <c r="T1286" s="20"/>
      <c r="U1286" s="20"/>
      <c r="V1286" s="20"/>
      <c r="W1286" s="20"/>
      <c r="X1286" s="20"/>
      <c r="Y1286" s="20"/>
      <c r="Z1286" s="20"/>
      <c r="AA1286" s="20"/>
    </row>
    <row r="1287" spans="1:27" x14ac:dyDescent="0.2">
      <c r="A1287" s="20"/>
      <c r="B1287" s="20"/>
      <c r="C1287" s="20"/>
      <c r="D1287" s="20"/>
      <c r="E1287" s="20"/>
      <c r="F1287" s="20"/>
      <c r="G1287" s="20"/>
      <c r="H1287" s="20"/>
      <c r="J1287" s="20"/>
      <c r="L1287" s="20"/>
      <c r="M1287" s="20"/>
      <c r="N1287" s="20"/>
      <c r="O1287" s="20"/>
      <c r="P1287" s="20"/>
      <c r="R1287" s="20"/>
      <c r="S1287" s="20"/>
      <c r="T1287" s="20"/>
      <c r="U1287" s="20"/>
      <c r="V1287" s="20"/>
      <c r="W1287" s="20"/>
      <c r="X1287" s="20"/>
      <c r="Y1287" s="20"/>
      <c r="Z1287" s="20"/>
      <c r="AA1287" s="20"/>
    </row>
    <row r="1288" spans="1:27" x14ac:dyDescent="0.2">
      <c r="A1288" s="20"/>
      <c r="B1288" s="20"/>
      <c r="C1288" s="20"/>
      <c r="D1288" s="20"/>
      <c r="E1288" s="20"/>
      <c r="F1288" s="20"/>
      <c r="G1288" s="20"/>
      <c r="H1288" s="20"/>
      <c r="J1288" s="20"/>
      <c r="L1288" s="20"/>
      <c r="M1288" s="20"/>
      <c r="N1288" s="20"/>
      <c r="O1288" s="20"/>
      <c r="P1288" s="20"/>
      <c r="R1288" s="20"/>
      <c r="S1288" s="20"/>
      <c r="T1288" s="20"/>
      <c r="U1288" s="20"/>
      <c r="V1288" s="20"/>
      <c r="W1288" s="20"/>
      <c r="X1288" s="20"/>
      <c r="Y1288" s="20"/>
      <c r="Z1288" s="20"/>
      <c r="AA1288" s="20"/>
    </row>
    <row r="1289" spans="1:27" x14ac:dyDescent="0.2">
      <c r="A1289" s="20"/>
      <c r="B1289" s="20"/>
      <c r="C1289" s="20"/>
      <c r="D1289" s="20"/>
      <c r="E1289" s="20"/>
      <c r="F1289" s="20"/>
      <c r="G1289" s="20"/>
      <c r="H1289" s="20"/>
      <c r="J1289" s="20"/>
      <c r="L1289" s="20"/>
      <c r="M1289" s="20"/>
      <c r="N1289" s="20"/>
      <c r="O1289" s="20"/>
      <c r="P1289" s="20"/>
      <c r="R1289" s="20"/>
      <c r="S1289" s="20"/>
      <c r="T1289" s="20"/>
      <c r="U1289" s="20"/>
      <c r="V1289" s="20"/>
      <c r="W1289" s="20"/>
      <c r="X1289" s="20"/>
      <c r="Y1289" s="20"/>
      <c r="Z1289" s="20"/>
      <c r="AA1289" s="20"/>
    </row>
    <row r="1290" spans="1:27" x14ac:dyDescent="0.2">
      <c r="A1290" s="20"/>
      <c r="B1290" s="20"/>
      <c r="C1290" s="20"/>
      <c r="D1290" s="20"/>
      <c r="E1290" s="20"/>
      <c r="F1290" s="20"/>
      <c r="G1290" s="20"/>
      <c r="H1290" s="20"/>
      <c r="J1290" s="20"/>
      <c r="L1290" s="20"/>
      <c r="M1290" s="20"/>
      <c r="N1290" s="20"/>
      <c r="O1290" s="20"/>
      <c r="P1290" s="20"/>
      <c r="R1290" s="20"/>
      <c r="S1290" s="20"/>
      <c r="T1290" s="20"/>
      <c r="U1290" s="20"/>
      <c r="V1290" s="20"/>
      <c r="W1290" s="20"/>
      <c r="X1290" s="20"/>
      <c r="Y1290" s="20"/>
      <c r="Z1290" s="20"/>
      <c r="AA1290" s="20"/>
    </row>
    <row r="1291" spans="1:27" x14ac:dyDescent="0.2">
      <c r="A1291" s="20"/>
      <c r="B1291" s="20"/>
      <c r="C1291" s="20"/>
      <c r="D1291" s="20"/>
      <c r="E1291" s="20"/>
      <c r="F1291" s="20"/>
      <c r="G1291" s="20"/>
      <c r="H1291" s="20"/>
      <c r="J1291" s="20"/>
      <c r="L1291" s="20"/>
      <c r="M1291" s="20"/>
      <c r="N1291" s="20"/>
      <c r="O1291" s="20"/>
      <c r="P1291" s="20"/>
      <c r="R1291" s="20"/>
      <c r="S1291" s="20"/>
      <c r="T1291" s="20"/>
      <c r="U1291" s="20"/>
      <c r="V1291" s="20"/>
      <c r="W1291" s="20"/>
      <c r="X1291" s="20"/>
      <c r="Y1291" s="20"/>
      <c r="Z1291" s="20"/>
      <c r="AA1291" s="20"/>
    </row>
    <row r="1292" spans="1:27" x14ac:dyDescent="0.2">
      <c r="A1292" s="20"/>
      <c r="B1292" s="20"/>
      <c r="C1292" s="20"/>
      <c r="D1292" s="20"/>
      <c r="E1292" s="20"/>
      <c r="F1292" s="20"/>
      <c r="G1292" s="20"/>
      <c r="H1292" s="20"/>
      <c r="J1292" s="20"/>
      <c r="L1292" s="20"/>
      <c r="M1292" s="20"/>
      <c r="N1292" s="20"/>
      <c r="O1292" s="20"/>
      <c r="P1292" s="20"/>
      <c r="R1292" s="20"/>
      <c r="S1292" s="20"/>
      <c r="T1292" s="20"/>
      <c r="U1292" s="20"/>
      <c r="V1292" s="20"/>
      <c r="W1292" s="20"/>
      <c r="X1292" s="20"/>
      <c r="Y1292" s="20"/>
      <c r="Z1292" s="20"/>
      <c r="AA1292" s="20"/>
    </row>
    <row r="1293" spans="1:27" x14ac:dyDescent="0.2">
      <c r="A1293" s="20"/>
      <c r="B1293" s="20"/>
      <c r="C1293" s="20"/>
      <c r="D1293" s="20"/>
      <c r="E1293" s="20"/>
      <c r="F1293" s="20"/>
      <c r="G1293" s="20"/>
      <c r="H1293" s="20"/>
      <c r="J1293" s="20"/>
      <c r="L1293" s="20"/>
      <c r="M1293" s="20"/>
      <c r="N1293" s="20"/>
      <c r="O1293" s="20"/>
      <c r="P1293" s="20"/>
      <c r="R1293" s="20"/>
      <c r="S1293" s="20"/>
      <c r="T1293" s="20"/>
      <c r="U1293" s="20"/>
      <c r="V1293" s="20"/>
      <c r="W1293" s="20"/>
      <c r="X1293" s="20"/>
      <c r="Y1293" s="20"/>
      <c r="Z1293" s="20"/>
      <c r="AA1293" s="20"/>
    </row>
    <row r="1294" spans="1:27" x14ac:dyDescent="0.2">
      <c r="A1294" s="20"/>
      <c r="B1294" s="20"/>
      <c r="C1294" s="20"/>
      <c r="D1294" s="20"/>
      <c r="E1294" s="20"/>
      <c r="F1294" s="20"/>
      <c r="G1294" s="20"/>
      <c r="H1294" s="20"/>
      <c r="J1294" s="20"/>
      <c r="L1294" s="20"/>
      <c r="M1294" s="20"/>
      <c r="N1294" s="20"/>
      <c r="O1294" s="20"/>
      <c r="P1294" s="20"/>
      <c r="R1294" s="20"/>
      <c r="S1294" s="20"/>
      <c r="T1294" s="20"/>
      <c r="U1294" s="20"/>
      <c r="V1294" s="20"/>
      <c r="W1294" s="20"/>
      <c r="X1294" s="20"/>
      <c r="Y1294" s="20"/>
      <c r="Z1294" s="20"/>
      <c r="AA1294" s="20"/>
    </row>
    <row r="1295" spans="1:27" x14ac:dyDescent="0.2">
      <c r="A1295" s="20"/>
      <c r="B1295" s="20"/>
      <c r="C1295" s="20"/>
      <c r="D1295" s="20"/>
      <c r="E1295" s="20"/>
      <c r="F1295" s="20"/>
      <c r="G1295" s="20"/>
      <c r="H1295" s="20"/>
      <c r="J1295" s="20"/>
      <c r="L1295" s="20"/>
      <c r="M1295" s="20"/>
      <c r="N1295" s="20"/>
      <c r="O1295" s="20"/>
      <c r="P1295" s="20"/>
      <c r="R1295" s="20"/>
      <c r="S1295" s="20"/>
      <c r="T1295" s="20"/>
      <c r="U1295" s="20"/>
      <c r="V1295" s="20"/>
      <c r="W1295" s="20"/>
      <c r="X1295" s="20"/>
      <c r="Y1295" s="20"/>
      <c r="Z1295" s="20"/>
      <c r="AA1295" s="20"/>
    </row>
    <row r="1296" spans="1:27" x14ac:dyDescent="0.2">
      <c r="A1296" s="20"/>
      <c r="B1296" s="20"/>
      <c r="C1296" s="20"/>
      <c r="D1296" s="20"/>
      <c r="E1296" s="20"/>
      <c r="F1296" s="20"/>
      <c r="G1296" s="20"/>
      <c r="H1296" s="20"/>
      <c r="J1296" s="20"/>
      <c r="L1296" s="20"/>
      <c r="M1296" s="20"/>
      <c r="N1296" s="20"/>
      <c r="O1296" s="20"/>
      <c r="P1296" s="20"/>
      <c r="R1296" s="20"/>
      <c r="S1296" s="20"/>
      <c r="T1296" s="20"/>
      <c r="U1296" s="20"/>
      <c r="V1296" s="20"/>
      <c r="W1296" s="20"/>
      <c r="X1296" s="20"/>
      <c r="Y1296" s="20"/>
      <c r="Z1296" s="20"/>
      <c r="AA1296" s="20"/>
    </row>
    <row r="1297" spans="1:27" x14ac:dyDescent="0.2">
      <c r="A1297" s="20"/>
      <c r="B1297" s="20"/>
      <c r="C1297" s="20"/>
      <c r="D1297" s="20"/>
      <c r="E1297" s="20"/>
      <c r="F1297" s="20"/>
      <c r="G1297" s="20"/>
      <c r="H1297" s="20"/>
      <c r="J1297" s="20"/>
      <c r="L1297" s="20"/>
      <c r="M1297" s="20"/>
      <c r="N1297" s="20"/>
      <c r="O1297" s="20"/>
      <c r="P1297" s="20"/>
      <c r="R1297" s="20"/>
      <c r="S1297" s="20"/>
      <c r="T1297" s="20"/>
      <c r="U1297" s="20"/>
      <c r="V1297" s="20"/>
      <c r="W1297" s="20"/>
      <c r="X1297" s="20"/>
      <c r="Y1297" s="20"/>
      <c r="Z1297" s="20"/>
      <c r="AA1297" s="20"/>
    </row>
    <row r="1298" spans="1:27" x14ac:dyDescent="0.2">
      <c r="A1298" s="20"/>
      <c r="B1298" s="20"/>
      <c r="C1298" s="20"/>
      <c r="D1298" s="20"/>
      <c r="E1298" s="20"/>
      <c r="F1298" s="20"/>
      <c r="G1298" s="20"/>
      <c r="H1298" s="20"/>
      <c r="J1298" s="20"/>
      <c r="L1298" s="20"/>
      <c r="M1298" s="20"/>
      <c r="N1298" s="20"/>
      <c r="O1298" s="20"/>
      <c r="P1298" s="20"/>
      <c r="R1298" s="20"/>
      <c r="S1298" s="20"/>
      <c r="T1298" s="20"/>
      <c r="U1298" s="20"/>
      <c r="V1298" s="20"/>
      <c r="W1298" s="20"/>
      <c r="X1298" s="20"/>
      <c r="Y1298" s="20"/>
      <c r="Z1298" s="20"/>
      <c r="AA1298" s="20"/>
    </row>
    <row r="1299" spans="1:27" x14ac:dyDescent="0.2">
      <c r="A1299" s="20"/>
      <c r="B1299" s="20"/>
      <c r="C1299" s="20"/>
      <c r="D1299" s="20"/>
      <c r="E1299" s="20"/>
      <c r="F1299" s="20"/>
      <c r="G1299" s="20"/>
      <c r="H1299" s="20"/>
      <c r="J1299" s="20"/>
      <c r="L1299" s="20"/>
      <c r="M1299" s="20"/>
      <c r="N1299" s="20"/>
      <c r="O1299" s="20"/>
      <c r="P1299" s="20"/>
      <c r="R1299" s="20"/>
      <c r="S1299" s="20"/>
      <c r="T1299" s="20"/>
      <c r="U1299" s="20"/>
      <c r="V1299" s="20"/>
      <c r="W1299" s="20"/>
      <c r="X1299" s="20"/>
      <c r="Y1299" s="20"/>
      <c r="Z1299" s="20"/>
      <c r="AA1299" s="20"/>
    </row>
    <row r="1300" spans="1:27" x14ac:dyDescent="0.2">
      <c r="A1300" s="20"/>
      <c r="B1300" s="20"/>
      <c r="C1300" s="20"/>
      <c r="D1300" s="20"/>
      <c r="E1300" s="20"/>
      <c r="F1300" s="20"/>
      <c r="G1300" s="20"/>
      <c r="H1300" s="20"/>
      <c r="J1300" s="20"/>
      <c r="L1300" s="20"/>
      <c r="M1300" s="20"/>
      <c r="N1300" s="20"/>
      <c r="O1300" s="20"/>
      <c r="P1300" s="20"/>
      <c r="R1300" s="20"/>
      <c r="S1300" s="20"/>
      <c r="T1300" s="20"/>
      <c r="U1300" s="20"/>
      <c r="V1300" s="20"/>
      <c r="W1300" s="20"/>
      <c r="X1300" s="20"/>
      <c r="Y1300" s="20"/>
      <c r="Z1300" s="20"/>
      <c r="AA1300" s="20"/>
    </row>
    <row r="1301" spans="1:27" x14ac:dyDescent="0.2">
      <c r="A1301" s="20"/>
      <c r="B1301" s="20"/>
      <c r="C1301" s="20"/>
      <c r="D1301" s="20"/>
      <c r="E1301" s="20"/>
      <c r="F1301" s="20"/>
      <c r="G1301" s="20"/>
      <c r="H1301" s="20"/>
      <c r="J1301" s="20"/>
      <c r="L1301" s="20"/>
      <c r="M1301" s="20"/>
      <c r="N1301" s="20"/>
      <c r="O1301" s="20"/>
      <c r="P1301" s="20"/>
      <c r="R1301" s="20"/>
      <c r="S1301" s="20"/>
      <c r="T1301" s="20"/>
      <c r="U1301" s="20"/>
      <c r="V1301" s="20"/>
      <c r="W1301" s="20"/>
      <c r="X1301" s="20"/>
      <c r="Y1301" s="20"/>
      <c r="Z1301" s="20"/>
      <c r="AA1301" s="20"/>
    </row>
    <row r="1302" spans="1:27" x14ac:dyDescent="0.2">
      <c r="A1302" s="20"/>
      <c r="B1302" s="20"/>
      <c r="C1302" s="20"/>
      <c r="D1302" s="20"/>
      <c r="E1302" s="20"/>
      <c r="F1302" s="20"/>
      <c r="G1302" s="20"/>
      <c r="H1302" s="20"/>
      <c r="J1302" s="20"/>
      <c r="L1302" s="20"/>
      <c r="M1302" s="20"/>
      <c r="N1302" s="20"/>
      <c r="O1302" s="20"/>
      <c r="P1302" s="20"/>
      <c r="R1302" s="20"/>
      <c r="S1302" s="20"/>
      <c r="T1302" s="20"/>
      <c r="U1302" s="20"/>
      <c r="V1302" s="20"/>
      <c r="W1302" s="20"/>
      <c r="X1302" s="20"/>
      <c r="Y1302" s="20"/>
      <c r="Z1302" s="20"/>
      <c r="AA1302" s="20"/>
    </row>
    <row r="1303" spans="1:27" x14ac:dyDescent="0.2">
      <c r="A1303" s="20"/>
      <c r="B1303" s="20"/>
      <c r="C1303" s="20"/>
      <c r="D1303" s="20"/>
      <c r="E1303" s="20"/>
      <c r="F1303" s="20"/>
      <c r="G1303" s="20"/>
      <c r="H1303" s="20"/>
      <c r="J1303" s="20"/>
      <c r="L1303" s="20"/>
      <c r="M1303" s="20"/>
      <c r="N1303" s="20"/>
      <c r="O1303" s="20"/>
      <c r="P1303" s="20"/>
      <c r="R1303" s="20"/>
      <c r="S1303" s="20"/>
      <c r="T1303" s="20"/>
      <c r="U1303" s="20"/>
      <c r="V1303" s="20"/>
      <c r="W1303" s="20"/>
      <c r="X1303" s="20"/>
      <c r="Y1303" s="20"/>
      <c r="Z1303" s="20"/>
      <c r="AA1303" s="20"/>
    </row>
    <row r="1304" spans="1:27" x14ac:dyDescent="0.2">
      <c r="A1304" s="20"/>
      <c r="B1304" s="20"/>
      <c r="C1304" s="20"/>
      <c r="D1304" s="20"/>
      <c r="E1304" s="20"/>
      <c r="F1304" s="20"/>
      <c r="G1304" s="20"/>
      <c r="H1304" s="20"/>
      <c r="J1304" s="20"/>
      <c r="L1304" s="20"/>
      <c r="M1304" s="20"/>
      <c r="N1304" s="20"/>
      <c r="O1304" s="20"/>
      <c r="P1304" s="20"/>
      <c r="R1304" s="20"/>
      <c r="S1304" s="20"/>
      <c r="T1304" s="20"/>
      <c r="U1304" s="20"/>
      <c r="V1304" s="20"/>
      <c r="W1304" s="20"/>
      <c r="X1304" s="20"/>
      <c r="Y1304" s="20"/>
      <c r="Z1304" s="20"/>
      <c r="AA1304" s="20"/>
    </row>
    <row r="1305" spans="1:27" x14ac:dyDescent="0.2">
      <c r="A1305" s="20"/>
      <c r="B1305" s="20"/>
      <c r="C1305" s="20"/>
      <c r="D1305" s="20"/>
      <c r="E1305" s="20"/>
      <c r="F1305" s="20"/>
      <c r="G1305" s="20"/>
      <c r="H1305" s="20"/>
      <c r="J1305" s="20"/>
      <c r="L1305" s="20"/>
      <c r="M1305" s="20"/>
      <c r="N1305" s="20"/>
      <c r="O1305" s="20"/>
      <c r="P1305" s="20"/>
      <c r="R1305" s="20"/>
      <c r="S1305" s="20"/>
      <c r="T1305" s="20"/>
      <c r="U1305" s="20"/>
      <c r="V1305" s="20"/>
      <c r="W1305" s="20"/>
      <c r="X1305" s="20"/>
      <c r="Y1305" s="20"/>
      <c r="Z1305" s="20"/>
      <c r="AA1305" s="20"/>
    </row>
    <row r="1306" spans="1:27" x14ac:dyDescent="0.2">
      <c r="A1306" s="20"/>
      <c r="B1306" s="20"/>
      <c r="C1306" s="20"/>
      <c r="D1306" s="20"/>
      <c r="E1306" s="20"/>
      <c r="F1306" s="20"/>
      <c r="G1306" s="20"/>
      <c r="H1306" s="20"/>
      <c r="J1306" s="20"/>
      <c r="L1306" s="20"/>
      <c r="M1306" s="20"/>
      <c r="N1306" s="20"/>
      <c r="O1306" s="20"/>
      <c r="P1306" s="20"/>
      <c r="R1306" s="20"/>
      <c r="S1306" s="20"/>
      <c r="T1306" s="20"/>
      <c r="U1306" s="20"/>
      <c r="V1306" s="20"/>
      <c r="W1306" s="20"/>
      <c r="X1306" s="20"/>
      <c r="Y1306" s="20"/>
      <c r="Z1306" s="20"/>
      <c r="AA1306" s="20"/>
    </row>
    <row r="1307" spans="1:27" x14ac:dyDescent="0.2">
      <c r="A1307" s="20"/>
      <c r="B1307" s="20"/>
      <c r="C1307" s="20"/>
      <c r="D1307" s="20"/>
      <c r="E1307" s="20"/>
      <c r="F1307" s="20"/>
      <c r="G1307" s="20"/>
      <c r="H1307" s="20"/>
      <c r="J1307" s="20"/>
      <c r="L1307" s="20"/>
      <c r="M1307" s="20"/>
      <c r="N1307" s="20"/>
      <c r="O1307" s="20"/>
      <c r="P1307" s="20"/>
      <c r="R1307" s="20"/>
      <c r="S1307" s="20"/>
      <c r="T1307" s="20"/>
      <c r="U1307" s="20"/>
      <c r="V1307" s="20"/>
      <c r="W1307" s="20"/>
      <c r="X1307" s="20"/>
      <c r="Y1307" s="20"/>
      <c r="Z1307" s="20"/>
      <c r="AA1307" s="20"/>
    </row>
    <row r="1308" spans="1:27" x14ac:dyDescent="0.2">
      <c r="A1308" s="20"/>
      <c r="B1308" s="20"/>
      <c r="C1308" s="20"/>
      <c r="D1308" s="20"/>
      <c r="E1308" s="20"/>
      <c r="F1308" s="20"/>
      <c r="G1308" s="20"/>
      <c r="H1308" s="20"/>
      <c r="J1308" s="20"/>
      <c r="L1308" s="20"/>
      <c r="M1308" s="20"/>
      <c r="N1308" s="20"/>
      <c r="O1308" s="20"/>
      <c r="P1308" s="20"/>
      <c r="R1308" s="20"/>
      <c r="S1308" s="20"/>
      <c r="T1308" s="20"/>
      <c r="U1308" s="20"/>
      <c r="V1308" s="20"/>
      <c r="W1308" s="20"/>
      <c r="X1308" s="20"/>
      <c r="Y1308" s="20"/>
      <c r="Z1308" s="20"/>
      <c r="AA1308" s="20"/>
    </row>
    <row r="1309" spans="1:27" x14ac:dyDescent="0.2">
      <c r="A1309" s="20"/>
      <c r="B1309" s="20"/>
      <c r="C1309" s="20"/>
      <c r="D1309" s="20"/>
      <c r="E1309" s="20"/>
      <c r="F1309" s="20"/>
      <c r="G1309" s="20"/>
      <c r="H1309" s="20"/>
      <c r="J1309" s="20"/>
      <c r="L1309" s="20"/>
      <c r="M1309" s="20"/>
      <c r="N1309" s="20"/>
      <c r="O1309" s="20"/>
      <c r="P1309" s="20"/>
      <c r="R1309" s="20"/>
      <c r="S1309" s="20"/>
      <c r="T1309" s="20"/>
      <c r="U1309" s="20"/>
      <c r="V1309" s="20"/>
      <c r="W1309" s="20"/>
      <c r="X1309" s="20"/>
      <c r="Y1309" s="20"/>
      <c r="Z1309" s="20"/>
      <c r="AA1309" s="20"/>
    </row>
    <row r="1310" spans="1:27" x14ac:dyDescent="0.2">
      <c r="A1310" s="20"/>
      <c r="B1310" s="20"/>
      <c r="C1310" s="20"/>
      <c r="D1310" s="20"/>
      <c r="E1310" s="20"/>
      <c r="F1310" s="20"/>
      <c r="G1310" s="20"/>
      <c r="H1310" s="20"/>
      <c r="J1310" s="20"/>
      <c r="L1310" s="20"/>
      <c r="M1310" s="20"/>
      <c r="N1310" s="20"/>
      <c r="O1310" s="20"/>
      <c r="P1310" s="20"/>
      <c r="R1310" s="20"/>
      <c r="S1310" s="20"/>
      <c r="T1310" s="20"/>
      <c r="U1310" s="20"/>
      <c r="V1310" s="20"/>
      <c r="W1310" s="20"/>
      <c r="X1310" s="20"/>
      <c r="Y1310" s="20"/>
      <c r="Z1310" s="20"/>
      <c r="AA1310" s="20"/>
    </row>
    <row r="1311" spans="1:27" x14ac:dyDescent="0.2">
      <c r="A1311" s="20"/>
      <c r="B1311" s="20"/>
      <c r="C1311" s="20"/>
      <c r="D1311" s="20"/>
      <c r="E1311" s="20"/>
      <c r="F1311" s="20"/>
      <c r="G1311" s="20"/>
      <c r="H1311" s="20"/>
      <c r="J1311" s="20"/>
      <c r="L1311" s="20"/>
      <c r="M1311" s="20"/>
      <c r="N1311" s="20"/>
      <c r="O1311" s="20"/>
      <c r="P1311" s="20"/>
      <c r="R1311" s="20"/>
      <c r="S1311" s="20"/>
      <c r="T1311" s="20"/>
      <c r="U1311" s="20"/>
      <c r="V1311" s="20"/>
      <c r="W1311" s="20"/>
      <c r="X1311" s="20"/>
      <c r="Y1311" s="20"/>
      <c r="Z1311" s="20"/>
      <c r="AA1311" s="20"/>
    </row>
    <row r="1312" spans="1:27" x14ac:dyDescent="0.2">
      <c r="A1312" s="20"/>
      <c r="B1312" s="20"/>
      <c r="C1312" s="20"/>
      <c r="D1312" s="20"/>
      <c r="E1312" s="20"/>
      <c r="F1312" s="20"/>
      <c r="G1312" s="20"/>
      <c r="H1312" s="20"/>
      <c r="J1312" s="20"/>
      <c r="L1312" s="20"/>
      <c r="M1312" s="20"/>
      <c r="N1312" s="20"/>
      <c r="O1312" s="20"/>
      <c r="P1312" s="20"/>
      <c r="R1312" s="20"/>
      <c r="S1312" s="20"/>
      <c r="T1312" s="20"/>
      <c r="U1312" s="20"/>
      <c r="V1312" s="20"/>
      <c r="W1312" s="20"/>
      <c r="X1312" s="20"/>
      <c r="Y1312" s="20"/>
      <c r="Z1312" s="20"/>
      <c r="AA1312" s="20"/>
    </row>
    <row r="1313" spans="1:27" x14ac:dyDescent="0.2">
      <c r="A1313" s="20"/>
      <c r="B1313" s="20"/>
      <c r="C1313" s="20"/>
      <c r="D1313" s="20"/>
      <c r="E1313" s="20"/>
      <c r="F1313" s="20"/>
      <c r="G1313" s="20"/>
      <c r="H1313" s="20"/>
      <c r="J1313" s="20"/>
      <c r="L1313" s="20"/>
      <c r="M1313" s="20"/>
      <c r="N1313" s="20"/>
      <c r="O1313" s="20"/>
      <c r="P1313" s="20"/>
      <c r="R1313" s="20"/>
      <c r="S1313" s="20"/>
      <c r="T1313" s="20"/>
      <c r="U1313" s="20"/>
      <c r="V1313" s="20"/>
      <c r="W1313" s="20"/>
      <c r="X1313" s="20"/>
      <c r="Y1313" s="20"/>
      <c r="Z1313" s="20"/>
      <c r="AA1313" s="20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96C4-F42A-4042-B97F-267294359804}">
  <dimension ref="B3:D8"/>
  <sheetViews>
    <sheetView workbookViewId="0">
      <selection activeCell="F15" sqref="F15"/>
    </sheetView>
  </sheetViews>
  <sheetFormatPr baseColWidth="10" defaultRowHeight="16" x14ac:dyDescent="0.2"/>
  <sheetData>
    <row r="3" spans="2:4" x14ac:dyDescent="0.2">
      <c r="B3" s="19" t="s">
        <v>268</v>
      </c>
      <c r="C3" s="19"/>
      <c r="D3" t="s">
        <v>269</v>
      </c>
    </row>
    <row r="4" spans="2:4" x14ac:dyDescent="0.2">
      <c r="B4" s="17">
        <v>0.5</v>
      </c>
      <c r="C4" s="17">
        <v>0.55000000000000004</v>
      </c>
      <c r="D4">
        <f>COUNTIFS(Table4[Strength of Win],"&gt;=Sheet2!B4",Table4[Strength of Win],"&lt;=Sheet2!C4")</f>
        <v>0</v>
      </c>
    </row>
    <row r="5" spans="2:4" x14ac:dyDescent="0.2">
      <c r="B5" s="17">
        <v>0.55000000000000004</v>
      </c>
      <c r="C5" s="17">
        <v>0.65</v>
      </c>
      <c r="D5">
        <f>COUNTIFS('NHL HomeIce Model'!L2:$L$1313,"&gt;=Sheet2!B4",'NHL HomeIce Model'!L2:$L$1313,"&lt;=Sheet2!C4")</f>
        <v>0</v>
      </c>
    </row>
    <row r="6" spans="2:4" x14ac:dyDescent="0.2">
      <c r="B6" s="17">
        <v>0.65</v>
      </c>
      <c r="C6" s="17">
        <v>0.75</v>
      </c>
      <c r="D6">
        <f>COUNTIFS('NHL HomeIce Model'!L3:$L$1313,"&gt;=Sheet2!B4",'NHL HomeIce Model'!L3:$L$1313,"&lt;=Sheet2!C4")</f>
        <v>0</v>
      </c>
    </row>
    <row r="7" spans="2:4" x14ac:dyDescent="0.2">
      <c r="B7" s="17">
        <v>0.75</v>
      </c>
      <c r="C7" s="17">
        <v>0.85</v>
      </c>
      <c r="D7">
        <f>COUNTIFS('NHL HomeIce Model'!L4:$L$1313,"&gt;=Sheet2!B4",'NHL HomeIce Model'!L4:$L$1313,"&lt;=Sheet2!C4")</f>
        <v>0</v>
      </c>
    </row>
    <row r="8" spans="2:4" x14ac:dyDescent="0.2">
      <c r="B8" s="17">
        <v>0.85</v>
      </c>
      <c r="C8" s="17">
        <v>1</v>
      </c>
      <c r="D8">
        <f>COUNTIFS('NHL HomeIce Model'!L5:$L$1313,"&gt;=Sheet2!B4",'NHL HomeIce Model'!L5:$L$1313,"&lt;=Sheet2!C4")</f>
        <v>0</v>
      </c>
    </row>
  </sheetData>
  <mergeCells count="1">
    <mergeCell ref="B3:C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DD94714-D322-D847-9A16-5EDA531ACA9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NHL2025-26Results</vt:lpstr>
      <vt:lpstr>NHL Model</vt:lpstr>
      <vt:lpstr>NHL HomeIce Model</vt:lpstr>
      <vt:lpstr>Standings</vt:lpstr>
      <vt:lpstr>ML Prediction Model</vt:lpstr>
      <vt:lpstr>Sheet2</vt:lpstr>
      <vt:lpstr>HomeEdge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Conte, Aidan</dc:creator>
  <cp:lastModifiedBy>Conte, Aidan</cp:lastModifiedBy>
  <dcterms:created xsi:type="dcterms:W3CDTF">2025-10-07T15:00:43Z</dcterms:created>
  <dcterms:modified xsi:type="dcterms:W3CDTF">2025-12-03T00:39:18Z</dcterms:modified>
</cp:coreProperties>
</file>