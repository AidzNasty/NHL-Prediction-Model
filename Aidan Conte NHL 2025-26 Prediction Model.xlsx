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134" documentId="14_{BC0C37BD-5950-BD49-823D-87212FE79B51}" xr6:coauthVersionLast="47" xr6:coauthVersionMax="47" xr10:uidLastSave="{99B9BD33-721F-8D41-AC86-3FA72BE42622}"/>
  <bookViews>
    <workbookView xWindow="-1160" yWindow="-20380" windowWidth="33600" windowHeight="2038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1" r:id="rId5"/>
    <sheet name="Sheet2" sheetId="9" r:id="rId6"/>
  </sheets>
  <definedNames>
    <definedName name="ExternalData_1" localSheetId="0" hidden="1">'NHL2025-26Results'!$A$1:$J$1313</definedName>
    <definedName name="ExternalData_3" localSheetId="4" hidden="1">'ML Prediction Model'!$A$1:$AA$1313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14" r:id="rId7"/>
    <pivotCache cacheId="15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12" i="1" l="1"/>
  <c r="H412" i="1" s="1"/>
  <c r="I412" i="1"/>
  <c r="G413" i="1"/>
  <c r="H413" i="1" s="1"/>
  <c r="I413" i="1"/>
  <c r="G414" i="1"/>
  <c r="H414" i="1" s="1"/>
  <c r="I414" i="1"/>
  <c r="G415" i="1"/>
  <c r="H415" i="1" s="1"/>
  <c r="I415" i="1"/>
  <c r="G416" i="1"/>
  <c r="H416" i="1" s="1"/>
  <c r="I416" i="1"/>
  <c r="E412" i="1"/>
  <c r="E413" i="1"/>
  <c r="E414" i="1"/>
  <c r="E415" i="1"/>
  <c r="E416" i="1"/>
  <c r="G408" i="1"/>
  <c r="I408" i="1"/>
  <c r="G409" i="1"/>
  <c r="H409" i="1" s="1"/>
  <c r="I409" i="1"/>
  <c r="G410" i="1"/>
  <c r="H410" i="1" s="1"/>
  <c r="I410" i="1"/>
  <c r="G411" i="1"/>
  <c r="I411" i="1"/>
  <c r="E408" i="1"/>
  <c r="E409" i="1"/>
  <c r="E410" i="1"/>
  <c r="E411" i="1"/>
  <c r="G397" i="1"/>
  <c r="H397" i="1" s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E397" i="1"/>
  <c r="E398" i="1"/>
  <c r="E399" i="1"/>
  <c r="E400" i="1"/>
  <c r="E401" i="1"/>
  <c r="E402" i="1"/>
  <c r="E403" i="1"/>
  <c r="E404" i="1"/>
  <c r="E405" i="1"/>
  <c r="E406" i="1"/>
  <c r="E407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H396" i="1" s="1"/>
  <c r="V3" i="4"/>
  <c r="V4" i="4"/>
  <c r="E373" i="1"/>
  <c r="E372" i="1"/>
  <c r="E371" i="1"/>
  <c r="E370" i="1"/>
  <c r="E369" i="1"/>
  <c r="E368" i="1"/>
  <c r="E367" i="1"/>
  <c r="E366" i="1"/>
  <c r="E365" i="1"/>
  <c r="E364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H373" i="1" s="1"/>
  <c r="I373" i="1"/>
  <c r="G374" i="1"/>
  <c r="I374" i="1"/>
  <c r="G375" i="1"/>
  <c r="I375" i="1"/>
  <c r="G376" i="1"/>
  <c r="I376" i="1"/>
  <c r="G377" i="1"/>
  <c r="H377" i="1" s="1"/>
  <c r="I377" i="1"/>
  <c r="G378" i="1"/>
  <c r="I378" i="1"/>
  <c r="G379" i="1"/>
  <c r="I379" i="1"/>
  <c r="G380" i="1"/>
  <c r="I380" i="1"/>
  <c r="G381" i="1"/>
  <c r="I381" i="1"/>
  <c r="E381" i="1"/>
  <c r="E374" i="1"/>
  <c r="E375" i="1"/>
  <c r="E376" i="1"/>
  <c r="E377" i="1"/>
  <c r="E378" i="1"/>
  <c r="E379" i="1"/>
  <c r="E380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E359" i="1"/>
  <c r="E360" i="1"/>
  <c r="E361" i="1"/>
  <c r="E362" i="1"/>
  <c r="E363" i="1"/>
  <c r="J415" i="1" l="1"/>
  <c r="J414" i="1"/>
  <c r="J413" i="1"/>
  <c r="J416" i="1"/>
  <c r="J412" i="1"/>
  <c r="H406" i="1"/>
  <c r="H402" i="1"/>
  <c r="H398" i="1"/>
  <c r="H411" i="1"/>
  <c r="H408" i="1"/>
  <c r="J408" i="1" s="1"/>
  <c r="J410" i="1"/>
  <c r="J409" i="1"/>
  <c r="H401" i="1"/>
  <c r="H405" i="1"/>
  <c r="J405" i="1" s="1"/>
  <c r="H404" i="1"/>
  <c r="H407" i="1"/>
  <c r="J407" i="1" s="1"/>
  <c r="H370" i="1"/>
  <c r="J370" i="1" s="1"/>
  <c r="J411" i="1"/>
  <c r="J406" i="1"/>
  <c r="H403" i="1"/>
  <c r="J403" i="1" s="1"/>
  <c r="H399" i="1"/>
  <c r="J399" i="1" s="1"/>
  <c r="H400" i="1"/>
  <c r="J400" i="1" s="1"/>
  <c r="J398" i="1"/>
  <c r="J404" i="1"/>
  <c r="J401" i="1"/>
  <c r="H378" i="1"/>
  <c r="J378" i="1" s="1"/>
  <c r="J402" i="1"/>
  <c r="H376" i="1"/>
  <c r="J376" i="1" s="1"/>
  <c r="H392" i="1"/>
  <c r="J392" i="1" s="1"/>
  <c r="H388" i="1"/>
  <c r="J388" i="1" s="1"/>
  <c r="H384" i="1"/>
  <c r="J384" i="1" s="1"/>
  <c r="J397" i="1"/>
  <c r="H389" i="1"/>
  <c r="J389" i="1" s="1"/>
  <c r="H395" i="1"/>
  <c r="J395" i="1" s="1"/>
  <c r="H387" i="1"/>
  <c r="J387" i="1" s="1"/>
  <c r="H380" i="1"/>
  <c r="J380" i="1" s="1"/>
  <c r="H366" i="1"/>
  <c r="J366" i="1" s="1"/>
  <c r="H394" i="1"/>
  <c r="J394" i="1" s="1"/>
  <c r="H390" i="1"/>
  <c r="J390" i="1" s="1"/>
  <c r="H386" i="1"/>
  <c r="J386" i="1" s="1"/>
  <c r="H382" i="1"/>
  <c r="J382" i="1" s="1"/>
  <c r="H385" i="1"/>
  <c r="J385" i="1" s="1"/>
  <c r="H391" i="1"/>
  <c r="J391" i="1" s="1"/>
  <c r="J396" i="1"/>
  <c r="H393" i="1"/>
  <c r="J393" i="1" s="1"/>
  <c r="H371" i="1"/>
  <c r="J371" i="1" s="1"/>
  <c r="H383" i="1"/>
  <c r="J383" i="1" s="1"/>
  <c r="H365" i="1"/>
  <c r="J365" i="1" s="1"/>
  <c r="H372" i="1"/>
  <c r="J372" i="1" s="1"/>
  <c r="H368" i="1"/>
  <c r="J368" i="1" s="1"/>
  <c r="H375" i="1"/>
  <c r="J375" i="1" s="1"/>
  <c r="H369" i="1"/>
  <c r="J369" i="1" s="1"/>
  <c r="H381" i="1"/>
  <c r="J381" i="1" s="1"/>
  <c r="H367" i="1"/>
  <c r="J367" i="1" s="1"/>
  <c r="H361" i="1"/>
  <c r="J361" i="1" s="1"/>
  <c r="H374" i="1"/>
  <c r="J374" i="1" s="1"/>
  <c r="H379" i="1"/>
  <c r="J379" i="1" s="1"/>
  <c r="V5" i="4"/>
  <c r="V6" i="4" s="1"/>
  <c r="J377" i="1"/>
  <c r="J373" i="1"/>
  <c r="H362" i="1"/>
  <c r="J362" i="1" s="1"/>
  <c r="H360" i="1"/>
  <c r="J360" i="1" s="1"/>
  <c r="H364" i="1"/>
  <c r="J364" i="1" s="1"/>
  <c r="H363" i="1"/>
  <c r="J363" i="1" s="1"/>
  <c r="H359" i="1"/>
  <c r="J359" i="1" s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46" i="1" l="1"/>
  <c r="H358" i="1"/>
  <c r="H342" i="1"/>
  <c r="H349" i="1"/>
  <c r="J349" i="1" s="1"/>
  <c r="H357" i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7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H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H333" i="1" s="1"/>
  <c r="E334" i="1"/>
  <c r="E335" i="1"/>
  <c r="E336" i="1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E313" i="1"/>
  <c r="E312" i="1"/>
  <c r="V8" i="4"/>
  <c r="E310" i="1"/>
  <c r="E309" i="1"/>
  <c r="E308" i="1"/>
  <c r="E307" i="1"/>
  <c r="G307" i="1"/>
  <c r="I307" i="1"/>
  <c r="G308" i="1"/>
  <c r="I308" i="1"/>
  <c r="G309" i="1"/>
  <c r="I309" i="1"/>
  <c r="G310" i="1"/>
  <c r="I310" i="1"/>
  <c r="G311" i="1"/>
  <c r="I311" i="1"/>
  <c r="I312" i="1"/>
  <c r="E311" i="1"/>
  <c r="H307" i="1" l="1"/>
  <c r="H314" i="1"/>
  <c r="H334" i="1"/>
  <c r="H340" i="1"/>
  <c r="H329" i="1"/>
  <c r="J329" i="1" s="1"/>
  <c r="H335" i="1"/>
  <c r="J335" i="1" s="1"/>
  <c r="H315" i="1"/>
  <c r="J315" i="1" s="1"/>
  <c r="J339" i="1"/>
  <c r="H336" i="1"/>
  <c r="J336" i="1" s="1"/>
  <c r="H332" i="1"/>
  <c r="J332" i="1" s="1"/>
  <c r="H331" i="1"/>
  <c r="H338" i="1"/>
  <c r="J338" i="1" s="1"/>
  <c r="H323" i="1"/>
  <c r="J323" i="1" s="1"/>
  <c r="J340" i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J331" i="1"/>
  <c r="J334" i="1"/>
  <c r="H322" i="1"/>
  <c r="J322" i="1" s="1"/>
  <c r="J333" i="1"/>
  <c r="H317" i="1"/>
  <c r="J317" i="1" s="1"/>
  <c r="H325" i="1"/>
  <c r="J325" i="1" s="1"/>
  <c r="H324" i="1"/>
  <c r="J324" i="1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J314" i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H289" i="1"/>
  <c r="H292" i="1"/>
  <c r="H285" i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4" i="1"/>
  <c r="J291" i="1"/>
  <c r="J300" i="1"/>
  <c r="H287" i="1"/>
  <c r="J287" i="1" s="1"/>
  <c r="H288" i="1"/>
  <c r="J288" i="1" s="1"/>
  <c r="J285" i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H277" i="1" s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81" i="1" l="1"/>
  <c r="H275" i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7" i="1"/>
  <c r="J281" i="1"/>
  <c r="J284" i="1"/>
  <c r="J276" i="1"/>
  <c r="J275" i="1"/>
  <c r="J278" i="1"/>
  <c r="E269" i="1" l="1"/>
  <c r="E268" i="1"/>
  <c r="E267" i="1"/>
  <c r="E266" i="1"/>
  <c r="E265" i="1"/>
  <c r="E264" i="1"/>
  <c r="E263" i="1"/>
  <c r="E262" i="1"/>
  <c r="H262" i="1" s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70" i="1" l="1"/>
  <c r="H239" i="1"/>
  <c r="H253" i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J270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J253" i="1"/>
  <c r="J239" i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G73" i="1"/>
  <c r="G74" i="1"/>
  <c r="G75" i="1"/>
  <c r="G76" i="1"/>
  <c r="H76" i="1" s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H130" i="1"/>
  <c r="H124" i="1"/>
  <c r="H123" i="1"/>
  <c r="H115" i="1"/>
  <c r="H111" i="1"/>
  <c r="H101" i="1"/>
  <c r="H97" i="1"/>
  <c r="H68" i="1"/>
  <c r="H94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H116" i="1" l="1"/>
  <c r="H83" i="1"/>
  <c r="F4" i="5"/>
  <c r="H223" i="1"/>
  <c r="J223" i="1" s="1"/>
  <c r="H85" i="1"/>
  <c r="H92" i="1"/>
  <c r="H127" i="1"/>
  <c r="J127" i="1" s="1"/>
  <c r="H119" i="1"/>
  <c r="J119" i="1" s="1"/>
  <c r="J332" i="4"/>
  <c r="H89" i="1"/>
  <c r="J89" i="1" s="1"/>
  <c r="H82" i="1"/>
  <c r="J82" i="1" s="1"/>
  <c r="H109" i="1"/>
  <c r="H87" i="1"/>
  <c r="H121" i="1"/>
  <c r="H78" i="1"/>
  <c r="H102" i="1"/>
  <c r="J102" i="1" s="1"/>
  <c r="H110" i="1"/>
  <c r="H118" i="1"/>
  <c r="H125" i="1"/>
  <c r="H117" i="1"/>
  <c r="H105" i="1"/>
  <c r="H75" i="1"/>
  <c r="J75" i="1" s="1"/>
  <c r="N32" i="5"/>
  <c r="M32" i="5"/>
  <c r="M16" i="5"/>
  <c r="N24" i="5"/>
  <c r="N16" i="5"/>
  <c r="N8" i="5"/>
  <c r="H67" i="1"/>
  <c r="J67" i="1" s="1"/>
  <c r="H79" i="1"/>
  <c r="J79" i="1" s="1"/>
  <c r="H71" i="1"/>
  <c r="J71" i="1" s="1"/>
  <c r="H90" i="1"/>
  <c r="J90" i="1" s="1"/>
  <c r="H88" i="1"/>
  <c r="H84" i="1"/>
  <c r="J84" i="1" s="1"/>
  <c r="H95" i="1"/>
  <c r="H113" i="1"/>
  <c r="J113" i="1" s="1"/>
  <c r="H126" i="1"/>
  <c r="H131" i="1"/>
  <c r="J131" i="1" s="1"/>
  <c r="M23" i="5"/>
  <c r="H180" i="1"/>
  <c r="J180" i="1" s="1"/>
  <c r="M13" i="5"/>
  <c r="H96" i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B2" i="5"/>
  <c r="M8" i="5"/>
  <c r="H122" i="1"/>
  <c r="J122" i="1" s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H150" i="1"/>
  <c r="J150" i="1" s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J93" i="1" s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B4" i="5"/>
  <c r="B3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J117" i="1"/>
  <c r="H161" i="1"/>
  <c r="J161" i="1" s="1"/>
  <c r="H218" i="1"/>
  <c r="J218" i="1" s="1"/>
  <c r="M31" i="5"/>
  <c r="N3" i="5"/>
  <c r="M28" i="5"/>
  <c r="M12" i="5"/>
  <c r="N28" i="5"/>
  <c r="N12" i="5"/>
  <c r="J101" i="1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85" i="1"/>
  <c r="J123" i="1"/>
  <c r="J125" i="1"/>
  <c r="J126" i="1"/>
  <c r="J109" i="1"/>
  <c r="J166" i="1"/>
  <c r="J87" i="1"/>
  <c r="J96" i="1"/>
  <c r="J111" i="1"/>
  <c r="J95" i="1"/>
  <c r="J78" i="1"/>
  <c r="J92" i="1"/>
  <c r="J91" i="1"/>
  <c r="J88" i="1"/>
  <c r="J121" i="1"/>
  <c r="J130" i="1"/>
  <c r="J105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L341" i="4" l="1"/>
  <c r="J3" i="1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427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N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N792" i="4" s="1"/>
  <c r="K895" i="4"/>
  <c r="M895" i="4" s="1"/>
  <c r="K505" i="4"/>
  <c r="M505" i="4" s="1"/>
  <c r="N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N604" i="4" s="1"/>
  <c r="L274" i="4"/>
  <c r="N274" i="4" s="1"/>
  <c r="K983" i="4"/>
  <c r="M983" i="4" s="1"/>
  <c r="K329" i="4"/>
  <c r="M329" i="4" s="1"/>
  <c r="K529" i="4"/>
  <c r="M529" i="4" s="1"/>
  <c r="K60" i="4"/>
  <c r="M60" i="4" s="1"/>
  <c r="N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N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N913" i="4" s="1"/>
  <c r="K103" i="4"/>
  <c r="M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N586" i="4" s="1"/>
  <c r="L545" i="4"/>
  <c r="N545" i="4" s="1"/>
  <c r="K150" i="4"/>
  <c r="M150" i="4" s="1"/>
  <c r="N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N357" i="4" s="1"/>
  <c r="K1068" i="4"/>
  <c r="M1068" i="4" s="1"/>
  <c r="L1308" i="4"/>
  <c r="N1308" i="4" s="1"/>
  <c r="K446" i="4"/>
  <c r="M446" i="4" s="1"/>
  <c r="N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N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N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N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N82" i="4" s="1"/>
  <c r="K458" i="4"/>
  <c r="M458" i="4" s="1"/>
  <c r="N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N598" i="4" s="1"/>
  <c r="L833" i="4"/>
  <c r="N833" i="4" s="1"/>
  <c r="K578" i="4"/>
  <c r="M578" i="4" s="1"/>
  <c r="N578" i="4" s="1"/>
  <c r="L325" i="4"/>
  <c r="N325" i="4" s="1"/>
  <c r="K503" i="4"/>
  <c r="M503" i="4" s="1"/>
  <c r="N503" i="4" s="1"/>
  <c r="K1093" i="4"/>
  <c r="M1093" i="4" s="1"/>
  <c r="N1093" i="4" s="1"/>
  <c r="K587" i="4"/>
  <c r="M587" i="4" s="1"/>
  <c r="N587" i="4" s="1"/>
  <c r="L490" i="4"/>
  <c r="N490" i="4" s="1"/>
  <c r="L853" i="4"/>
  <c r="N853" i="4" s="1"/>
  <c r="K171" i="4"/>
  <c r="M171" i="4" s="1"/>
  <c r="K530" i="4"/>
  <c r="M530" i="4" s="1"/>
  <c r="N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N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N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N593" i="4" s="1"/>
  <c r="K737" i="4"/>
  <c r="M737" i="4" s="1"/>
  <c r="N737" i="4" s="1"/>
  <c r="K1234" i="4"/>
  <c r="M1234" i="4" s="1"/>
  <c r="N1234" i="4" s="1"/>
  <c r="K559" i="4"/>
  <c r="M559" i="4" s="1"/>
  <c r="N559" i="4" s="1"/>
  <c r="K1101" i="4"/>
  <c r="M1101" i="4" s="1"/>
  <c r="K521" i="4"/>
  <c r="M521" i="4" s="1"/>
  <c r="N521" i="4" s="1"/>
  <c r="L942" i="4"/>
  <c r="N942" i="4" s="1"/>
  <c r="K183" i="4"/>
  <c r="M183" i="4" s="1"/>
  <c r="N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N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K618" i="4"/>
  <c r="M618" i="4" s="1"/>
  <c r="N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N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N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N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N351" i="4" s="1"/>
  <c r="L938" i="4"/>
  <c r="N938" i="4" s="1"/>
  <c r="L450" i="4"/>
  <c r="N450" i="4" s="1"/>
  <c r="L921" i="4"/>
  <c r="N921" i="4" s="1"/>
  <c r="L1306" i="4"/>
  <c r="N1306" i="4" s="1"/>
  <c r="K462" i="4"/>
  <c r="M462" i="4" s="1"/>
  <c r="N462" i="4" s="1"/>
  <c r="K589" i="4"/>
  <c r="M589" i="4" s="1"/>
  <c r="N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N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N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N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L236" i="4"/>
  <c r="K379" i="4"/>
  <c r="M379" i="4" s="1"/>
  <c r="K949" i="4"/>
  <c r="M949" i="4" s="1"/>
  <c r="N949" i="4" s="1"/>
  <c r="K353" i="4"/>
  <c r="M353" i="4" s="1"/>
  <c r="N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N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N534" i="4" s="1"/>
  <c r="K437" i="4"/>
  <c r="M437" i="4" s="1"/>
  <c r="N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N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N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N40" i="4" s="1"/>
  <c r="L469" i="4"/>
  <c r="N469" i="4" s="1"/>
  <c r="K47" i="4"/>
  <c r="M47" i="4" s="1"/>
  <c r="N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N575" i="4" s="1"/>
  <c r="L661" i="4"/>
  <c r="N661" i="4" s="1"/>
  <c r="K334" i="4"/>
  <c r="M334" i="4" s="1"/>
  <c r="N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N420" i="4" s="1"/>
  <c r="L366" i="4"/>
  <c r="N366" i="4" s="1"/>
  <c r="K439" i="4"/>
  <c r="M439" i="4" s="1"/>
  <c r="N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N83" i="4" s="1"/>
  <c r="K812" i="4"/>
  <c r="M812" i="4" s="1"/>
  <c r="N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N137" i="4" s="1"/>
  <c r="K430" i="4"/>
  <c r="M430" i="4" s="1"/>
  <c r="N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N631" i="4" s="1"/>
  <c r="K34" i="4"/>
  <c r="M34" i="4" s="1"/>
  <c r="N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N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N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N382" i="4" s="1"/>
  <c r="L787" i="4"/>
  <c r="N787" i="4" s="1"/>
  <c r="K406" i="4"/>
  <c r="M406" i="4" s="1"/>
  <c r="N406" i="4" s="1"/>
  <c r="K569" i="4"/>
  <c r="M569" i="4" s="1"/>
  <c r="N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N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N504" i="4" s="1"/>
  <c r="K390" i="4"/>
  <c r="M390" i="4" s="1"/>
  <c r="N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N592" i="4" s="1"/>
  <c r="K798" i="4"/>
  <c r="M798" i="4" s="1"/>
  <c r="N798" i="4" s="1"/>
  <c r="K287" i="4"/>
  <c r="M287" i="4" s="1"/>
  <c r="N287" i="4" s="1"/>
  <c r="L4" i="4"/>
  <c r="N4" i="4" s="1"/>
  <c r="K507" i="4"/>
  <c r="M507" i="4" s="1"/>
  <c r="N507" i="4" s="1"/>
  <c r="K57" i="4"/>
  <c r="M57" i="4" s="1"/>
  <c r="L206" i="4"/>
  <c r="N206" i="4" s="1"/>
  <c r="K314" i="4"/>
  <c r="M314" i="4" s="1"/>
  <c r="N314" i="4" s="1"/>
  <c r="L1292" i="4"/>
  <c r="N1292" i="4" s="1"/>
  <c r="K1254" i="4"/>
  <c r="M1254" i="4" s="1"/>
  <c r="N1254" i="4" s="1"/>
  <c r="K615" i="4"/>
  <c r="M615" i="4" s="1"/>
  <c r="N615" i="4" s="1"/>
  <c r="K216" i="4"/>
  <c r="M216" i="4" s="1"/>
  <c r="K510" i="4"/>
  <c r="M510" i="4" s="1"/>
  <c r="N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N109" i="4" s="1"/>
  <c r="K539" i="4"/>
  <c r="M539" i="4" s="1"/>
  <c r="N539" i="4" s="1"/>
  <c r="L267" i="4"/>
  <c r="N267" i="4" s="1"/>
  <c r="K715" i="4"/>
  <c r="M715" i="4" s="1"/>
  <c r="N715" i="4" s="1"/>
  <c r="L275" i="4"/>
  <c r="N275" i="4" s="1"/>
  <c r="K453" i="4"/>
  <c r="M453" i="4" s="1"/>
  <c r="N453" i="4" s="1"/>
  <c r="K360" i="4"/>
  <c r="M360" i="4" s="1"/>
  <c r="N360" i="4" s="1"/>
  <c r="K128" i="4"/>
  <c r="M128" i="4" s="1"/>
  <c r="N128" i="4" s="1"/>
  <c r="L161" i="4"/>
  <c r="N161" i="4" s="1"/>
  <c r="L517" i="4"/>
  <c r="N517" i="4" s="1"/>
  <c r="K759" i="4"/>
  <c r="M759" i="4" s="1"/>
  <c r="N759" i="4" s="1"/>
  <c r="K576" i="4"/>
  <c r="M576" i="4" s="1"/>
  <c r="N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N200" i="4" s="1"/>
  <c r="K297" i="4"/>
  <c r="M297" i="4" s="1"/>
  <c r="K467" i="4"/>
  <c r="M467" i="4" s="1"/>
  <c r="N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N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N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N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N352" i="4" s="1"/>
  <c r="K699" i="4"/>
  <c r="M699" i="4" s="1"/>
  <c r="N699" i="4" s="1"/>
  <c r="K443" i="4"/>
  <c r="M443" i="4" s="1"/>
  <c r="N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N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N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N226" i="4" s="1"/>
  <c r="K659" i="4"/>
  <c r="M659" i="4" s="1"/>
  <c r="N659" i="4" s="1"/>
  <c r="K547" i="4"/>
  <c r="M547" i="4" s="1"/>
  <c r="N547" i="4" s="1"/>
  <c r="K163" i="4"/>
  <c r="M163" i="4" s="1"/>
  <c r="N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L477" i="4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N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N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N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K419" i="4"/>
  <c r="M419" i="4" s="1"/>
  <c r="N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N513" i="4" s="1"/>
  <c r="K1243" i="4"/>
  <c r="M1243" i="4" s="1"/>
  <c r="K1031" i="4"/>
  <c r="M1031" i="4" s="1"/>
  <c r="N1031" i="4" s="1"/>
  <c r="K85" i="4"/>
  <c r="M85" i="4" s="1"/>
  <c r="N85" i="4" s="1"/>
  <c r="K472" i="4"/>
  <c r="M472" i="4" s="1"/>
  <c r="N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N564" i="4" s="1"/>
  <c r="L584" i="4"/>
  <c r="N584" i="4" s="1"/>
  <c r="K19" i="4"/>
  <c r="M19" i="4" s="1"/>
  <c r="N19" i="4" s="1"/>
  <c r="K647" i="4"/>
  <c r="M647" i="4" s="1"/>
  <c r="N647" i="4" s="1"/>
  <c r="K435" i="4"/>
  <c r="M435" i="4" s="1"/>
  <c r="N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N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N192" i="4" s="1"/>
  <c r="L312" i="4"/>
  <c r="N312" i="4" s="1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N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N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N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N998" i="4" s="1"/>
  <c r="K484" i="4"/>
  <c r="M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N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N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N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N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457" i="4" l="1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3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<sst xmlns="http://schemas.openxmlformats.org/spreadsheetml/2006/main" count="33348" uniqueCount="1521">
  <si>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</si>
  <si>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</si>
  <si>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</si>
  <si>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</si>
  <si>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</si>
  <si>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</si>
  <si>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</si>
  <si>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</si>
  <si>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</si>
  <si>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</si>
  <si>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</si>
  <si>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</si>
  <si>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</si>
  <si>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</si>
  <si>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</si>
  <si>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</si>
  <si>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</si>
  <si>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</si>
  <si>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</si>
  <si>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</si>
  <si>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</si>
  <si>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</si>
  <si>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</si>
  <si>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</si>
  <si>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</si>
  <si>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</si>
  <si>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</si>
  <si>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</si>
  <si>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</si>
  <si>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</si>
  <si>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</si>
  <si>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</si>
  <si>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</si>
  <si>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</si>
  <si>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</si>
  <si>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</si>
  <si>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</si>
  <si>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</si>
  <si>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</si>
  <si>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</si>
  <si>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</si>
  <si>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</si>
  <si>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</si>
  <si>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</si>
  <si>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</si>
  <si>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</si>
  <si>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</si>
  <si>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</si>
  <si>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</si>
  <si>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</si>
  <si>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</si>
  <si>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</si>
  <si>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</si>
  <si>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</si>
  <si>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</si>
  <si>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</si>
  <si>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</si>
  <si>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</si>
  <si>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</si>
  <si>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</si>
  <si>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</si>
  <si>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</si>
  <si>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</si>
  <si>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</si>
  <si>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</si>
  <si>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</si>
  <si>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</si>
  <si>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</si>
  <si>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</si>
  <si>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</si>
  <si>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</si>
  <si>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</si>
  <si>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</si>
  <si>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</si>
  <si>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</si>
  <si>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</si>
  <si>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</si>
  <si>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</si>
  <si>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</si>
  <si>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</si>
  <si>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</si>
  <si>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</si>
  <si>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</si>
  <si>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</si>
  <si>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</si>
  <si>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</si>
  <si>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</si>
  <si>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</si>
  <si>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</si>
  <si>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</si>
  <si>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</si>
  <si>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</si>
  <si>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</si>
  <si>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</si>
  <si>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</si>
  <si>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</si>
  <si>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</si>
  <si>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</si>
  <si>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</si>
  <si>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</si>
  <si>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</si>
  <si>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</si>
  <si>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</si>
  <si>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</si>
  <si>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</si>
  <si>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</si>
  <si>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</si>
  <si>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</si>
  <si>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</si>
  <si>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</si>
  <si>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</si>
  <si>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</si>
  <si>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</si>
  <si>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</si>
  <si>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</si>
  <si>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</si>
  <si>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</si>
  <si>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</si>
  <si>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</si>
  <si>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</si>
  <si>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</si>
  <si>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</si>
  <si>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</si>
  <si>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</si>
  <si>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</si>
  <si>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</si>
  <si>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</si>
  <si>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</si>
  <si>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</si>
  <si>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</si>
  <si>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</si>
  <si>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</si>
  <si>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</si>
  <si>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</si>
  <si>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</si>
  <si>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</si>
  <si>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</si>
  <si>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</si>
  <si>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</si>
  <si>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</si>
  <si>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</si>
  <si>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</si>
  <si>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</si>
  <si>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</si>
  <si>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</si>
  <si>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</si>
  <si>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</si>
  <si>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</si>
  <si>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</si>
  <si>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</si>
  <si>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</si>
  <si>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</si>
  <si>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</si>
  <si>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</si>
  <si>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</si>
  <si>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</si>
  <si>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</si>
  <si>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</si>
  <si>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</si>
  <si>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</si>
  <si>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</si>
  <si>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</si>
  <si>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</si>
  <si>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</si>
  <si>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</si>
  <si>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</si>
  <si>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</si>
  <si>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</si>
  <si>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</si>
  <si>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</si>
  <si>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</si>
  <si>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</si>
  <si>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</si>
  <si>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</si>
  <si>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</si>
  <si>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</si>
  <si>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</si>
  <si>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</si>
  <si>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</si>
  <si>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</si>
  <si>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</si>
  <si>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</si>
  <si>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</si>
  <si>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</si>
  <si>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</si>
  <si>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</si>
  <si>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</si>
  <si>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</si>
  <si>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</si>
  <si>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</si>
  <si>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</si>
  <si>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</si>
  <si>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</si>
  <si>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</si>
  <si>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</si>
  <si>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</si>
  <si>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</si>
  <si>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</si>
  <si>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</si>
  <si>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</si>
  <si>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</si>
  <si>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</si>
  <si>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</si>
  <si>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</si>
  <si>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</si>
  <si>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</si>
  <si>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</si>
  <si>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</si>
  <si>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</si>
  <si>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</si>
  <si>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</si>
  <si>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</si>
  <si>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</si>
  <si>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</si>
  <si>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</si>
  <si>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</si>
  <si>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</si>
  <si>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</si>
  <si>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</si>
  <si>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</si>
  <si>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</si>
  <si>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</si>
  <si>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</si>
  <si>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</si>
  <si>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</si>
  <si>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</si>
  <si>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</si>
  <si>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</si>
  <si>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</si>
  <si>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</si>
  <si>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</si>
  <si>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</si>
  <si>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</si>
  <si>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</si>
  <si>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</si>
  <si>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</si>
  <si>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</si>
  <si>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</si>
  <si>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</si>
  <si>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</si>
  <si>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</si>
  <si>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</si>
  <si>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</si>
  <si>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</si>
  <si>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</si>
  <si>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</si>
  <si>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</si>
  <si>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</si>
  <si>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</si>
  <si>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</si>
  <si>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</si>
  <si>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</si>
  <si>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</si>
  <si>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</si>
  <si>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</si>
  <si>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</si>
  <si>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</si>
  <si>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</si>
  <si>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</si>
  <si>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</si>
  <si>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</si>
  <si>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</si>
  <si>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</si>
  <si>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</si>
  <si>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excel_confidence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</si>
  <si>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</si>
  <si>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</si>
  <si>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</si>
  <si>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</si>
  <si>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</si>
  <si>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</si>
  <si>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</si>
  <si>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</si>
  <si>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matchup</t>
  </si>
  <si>
    <t>ml_winner</t>
  </si>
  <si>
    <t>ml_away_score</t>
  </si>
  <si>
    <t>ml_home_score</t>
  </si>
  <si>
    <t>ml_ot</t>
  </si>
  <si>
    <t>ml_ot_prob</t>
  </si>
  <si>
    <t>ml_result</t>
  </si>
  <si>
    <t>excel_winner</t>
  </si>
  <si>
    <t>excel_away_score</t>
  </si>
  <si>
    <t>excel_home_score</t>
  </si>
  <si>
    <t>excel_ot</t>
  </si>
  <si>
    <t>excel_homeice</t>
  </si>
  <si>
    <t>actual_ot</t>
  </si>
  <si>
    <t>game_status</t>
  </si>
  <si>
    <t>recorded_at</t>
  </si>
  <si>
    <t>updated_at</t>
  </si>
  <si>
    <t>10:00:00 PM</t>
  </si>
  <si>
    <t>Utah Mammoth @ Anaheim Ducks</t>
  </si>
  <si>
    <t>✓ Won by Anaheim Ducks</t>
  </si>
  <si>
    <t>COMPLETED</t>
  </si>
  <si>
    <t>7:00:00 PM</t>
  </si>
  <si>
    <t>Carolina Hurricanes @ Boston Bruins</t>
  </si>
  <si>
    <t>Edmonton Oilers @ Buffalo Sabres</t>
  </si>
  <si>
    <t>✓ Won by Buffalo Sabres</t>
  </si>
  <si>
    <t>7:30:00 PM</t>
  </si>
  <si>
    <t>Montreal Canadiens @ Columbus Blue Jackets</t>
  </si>
  <si>
    <t>Vancouver Canucks @ Florida Panthers</t>
  </si>
  <si>
    <t>Los Angeles Kings @ Washington Capitals</t>
  </si>
  <si>
    <t>8:30:00 PM</t>
  </si>
  <si>
    <t>Calgary Flames @ Chicago Blackhawks</t>
  </si>
  <si>
    <t>✓ Won by Chicago Blackhawks</t>
  </si>
  <si>
    <t>8:00:00 PM</t>
  </si>
  <si>
    <t>New York Islanders @ Dallas Stars</t>
  </si>
  <si>
    <t>Seattle Kraken @ Detroit Red Wings</t>
  </si>
  <si>
    <t>✓ Won by Detroit Red Wings</t>
  </si>
  <si>
    <t>Utah Mammoth @ San Jose Sharks</t>
  </si>
  <si>
    <t>✓ Won by San Jose Sharks</t>
  </si>
  <si>
    <t>New Jersey Devils @ Tampa Bay Lightning</t>
  </si>
  <si>
    <t>St. Louis Blues @ Toronto Maple Leafs</t>
  </si>
  <si>
    <t>✓ Won by Toronto Maple Leafs</t>
  </si>
  <si>
    <t>New York Rangers @ Vegas Golden Knights</t>
  </si>
  <si>
    <t>Columbus Blue Jackets @ Winnipeg Jets</t>
  </si>
  <si>
    <t>✓ Won by Winnipeg Jets</t>
  </si>
  <si>
    <t>Boston Bruins @ Anaheim Ducks</t>
  </si>
  <si>
    <t>Calgary Flames @ Buffalo Sabres</t>
  </si>
  <si>
    <t>9:30:00 PM</t>
  </si>
  <si>
    <t>Carolina Hurricanes @ Minnesota Wild</t>
  </si>
  <si>
    <t>Edmonton Oilers @ Washington Capitals</t>
  </si>
  <si>
    <t>✓ Won by Washington Capitals</t>
  </si>
  <si>
    <t>22:00:00</t>
  </si>
  <si>
    <t>Ottawa Senators @ Anaheim Ducks</t>
  </si>
  <si>
    <t>20:00:00</t>
  </si>
  <si>
    <t>Seattle Kraken @ Chicago Blackhawks</t>
  </si>
  <si>
    <t>21:00:00</t>
  </si>
  <si>
    <t>New York Rangers @ Colorado Avalanche</t>
  </si>
  <si>
    <t>19:00:00</t>
  </si>
  <si>
    <t>New York Islanders @ Detroit Red Wings</t>
  </si>
  <si>
    <t>New Jersey Devils @ Florida Panthers</t>
  </si>
  <si>
    <t>Washington Capitals @ Montreal Canadiens</t>
  </si>
  <si>
    <t>St. Louis Blues @ Philadelphia Flyers</t>
  </si>
  <si>
    <t>Los Angeles Kings @ San Jose Sharks</t>
  </si>
  <si>
    <t>19:30:00</t>
  </si>
  <si>
    <t>Edmonton Oilers @ Tampa Bay Lightning</t>
  </si>
  <si>
    <t>Columbus Blue Jackets @ Toronto Maple Leafs</t>
  </si>
  <si>
    <t>Vegas Golden Knights @ Utah Mammoth</t>
  </si>
  <si>
    <t>Dallas Stars @ Vancouver Canucks</t>
  </si>
  <si>
    <t>Chicago Blackhawks @ Buffalo Sabres</t>
  </si>
  <si>
    <t>22:30:00</t>
  </si>
  <si>
    <t>Boston Bruins @ Los Angeles Kings</t>
  </si>
  <si>
    <t>Minnesota Wild @ Pittsburgh Penguins</t>
  </si>
  <si>
    <t>✓ Won by Minnesota Wild</t>
  </si>
  <si>
    <t>Carolina Hurricanes @ Winnipeg Jets</t>
  </si>
  <si>
    <t>Vegas Golden Knights @ Anaheim Ducks</t>
  </si>
  <si>
    <t>Dallas Stars @ Calgary Flames</t>
  </si>
  <si>
    <t>13:00:00</t>
  </si>
  <si>
    <t>Columbus Blue Jackets @ Detroit Red Wings</t>
  </si>
  <si>
    <t>Edmonton Oilers @ Florida Panthers</t>
  </si>
  <si>
    <t>Toronto Maple Leafs @ Montreal Canadiens</t>
  </si>
  <si>
    <t>Colorado Avalanche @ Nashville Predators</t>
  </si>
  <si>
    <t>15:30:00</t>
  </si>
  <si>
    <t>St. Louis Blues @ New York Islanders</t>
  </si>
  <si>
    <t>New Jersey Devils @ Philadelphia Flyers</t>
  </si>
  <si>
    <t>Seattle Kraken @ Pittsburgh Penguins</t>
  </si>
  <si>
    <t>Ottawa Senators @ San Jose Sharks</t>
  </si>
  <si>
    <t>New York Rangers @ Utah Mammoth</t>
  </si>
  <si>
    <t>Tampa Bay Lightning @ Washington Capitals</t>
  </si>
  <si>
    <t>2025-11-23 11:29:50</t>
  </si>
  <si>
    <t>✓ Won by Montreal Canadiens</t>
  </si>
  <si>
    <t>✓ Won by Colorado Avalanche</t>
  </si>
  <si>
    <t>✓ Won by Utah Mammoth</t>
  </si>
  <si>
    <t>Carolina Hurricanes @ Buffalo Sabres</t>
  </si>
  <si>
    <t>Colorado Avalanche @ Chicago Blackhawks</t>
  </si>
  <si>
    <t>17:00:00</t>
  </si>
  <si>
    <t>Seattle Kraken @ New York Islanders</t>
  </si>
  <si>
    <t>Boston Bruins @ San Jose Sharks</t>
  </si>
  <si>
    <t>Calgary Flames @ Vancouver Canucks</t>
  </si>
  <si>
    <t>16:00:00</t>
  </si>
  <si>
    <t>Minnesota Wild @ Winnipeg Jets</t>
  </si>
  <si>
    <t>2025-11-24 11:01:13</t>
  </si>
  <si>
    <t>✓ Won by Calgary Flames</t>
  </si>
  <si>
    <t>Ottawa Senators @ Los Angeles Kings</t>
  </si>
  <si>
    <t>Detroit Red Wings @ New Jersey Devils</t>
  </si>
  <si>
    <t>Florida Panthers @ Nashville Predators</t>
  </si>
  <si>
    <t>St. Louis Blues @ New York Rangers</t>
  </si>
  <si>
    <t>Philadelphia Flyers @ Tampa Bay Lightning</t>
  </si>
  <si>
    <t>Columbus Blue Jackets @ Washington Capitals</t>
  </si>
  <si>
    <t>✗ Lost (predicted Boston Bruins, actual Carolina Hurricanes)</t>
  </si>
  <si>
    <t>✗ Lost (predicted Montreal Canadiens, actual Columbus Blue Jackets)</t>
  </si>
  <si>
    <t>✗ Lost (predicted Vancouver Canucks, actual Florida Panthers)</t>
  </si>
  <si>
    <t>✗ Lost (predicted Los Angeles Kings, actual Washington Capitals)</t>
  </si>
  <si>
    <t>✗ Lost (predicted Dallas Stars, actual New York Islanders)</t>
  </si>
  <si>
    <t>✗ Lost (predicted New Jersey Devils, actual Tampa Bay Lightning)</t>
  </si>
  <si>
    <t>✗ Lost (predicted New York Rangers, actual Vegas Golden Knights)</t>
  </si>
  <si>
    <t>✗ Lost (predicted Buffalo Sabres, actual Calgary Flames)</t>
  </si>
  <si>
    <t>✗ Lost (predicted Carolina Hurricanes, actual Minnesota Wild)</t>
  </si>
  <si>
    <t>✗ Lost (predicted Anaheim Ducks, actual Ottawa Senators)</t>
  </si>
  <si>
    <t>✗ Lost (predicted Chicago Blackhawks, actual Seattle Kraken)</t>
  </si>
  <si>
    <t>✗ Lost (predicted Detroit Red Wings, actual New York Islanders)</t>
  </si>
  <si>
    <t>✓ Won by Florida Panthers</t>
  </si>
  <si>
    <t>✗ Lost (predicted Montreal Canadiens, actual Washington Capitals)</t>
  </si>
  <si>
    <t>✓ Won by Philadelphia Flyers</t>
  </si>
  <si>
    <t>✗ Lost (predicted Los Angeles Kings, actual San Jose Sharks)</t>
  </si>
  <si>
    <t>✓ Won by Tampa Bay Lightning</t>
  </si>
  <si>
    <t>✗ Lost (predicted Toronto Maple Leafs, actual Columbus Blue Jackets)</t>
  </si>
  <si>
    <t>✗ Lost (predicted Utah Mammoth, actual Vegas Golden Knights)</t>
  </si>
  <si>
    <t>✓ Won by Dallas Stars</t>
  </si>
  <si>
    <t>✗ Lost (predicted Chicago Blackhawks, actual Buffalo Sabres)</t>
  </si>
  <si>
    <t>✗ Lost (predicted Los Angeles Kings, actual Boston Bruins)</t>
  </si>
  <si>
    <t>✗ Lost (predicted Winnipeg Jets, actual Carolina Hurricanes)</t>
  </si>
  <si>
    <t>✗ Lost (predicted Dallas Stars, actual Calgary Flames)</t>
  </si>
  <si>
    <t>✗ Lost (predicted Florida Panthers, actual Edmonton Oilers)</t>
  </si>
  <si>
    <t>✗ Lost (predicted New York Islanders, actual St. Louis Blues)</t>
  </si>
  <si>
    <t>✗ Lost (predicted New Jersey Devils, actual Philadelphia Flyers)</t>
  </si>
  <si>
    <t>✗ Lost (predicted Pittsburgh Penguins, actual Seattle Kraken)</t>
  </si>
  <si>
    <t>✗ Lost (predicted San Jose Sharks, actual Ottawa Senators)</t>
  </si>
  <si>
    <t>✗ Lost (predicted Washington Capitals, actual Tampa Bay Lightning)</t>
  </si>
  <si>
    <t>✗ Lost (predicted Carolina Hurricanes, actual Buffalo Sabres)</t>
  </si>
  <si>
    <t>✗ Lost (predicted Seattle Kraken, actual New York Islanders)</t>
  </si>
  <si>
    <t>✗ Lost (predicted Winnipeg Jets, actual Minnesota Wild)</t>
  </si>
  <si>
    <t>PENDING</t>
  </si>
  <si>
    <t>Vancouver Canucks @ Anaheim Ducks</t>
  </si>
  <si>
    <t>New York Rangers @ Carolina Hurricanes</t>
  </si>
  <si>
    <t>Toronto Maple Leafs @ Columbus Blue Jackets</t>
  </si>
  <si>
    <t>20:30:00</t>
  </si>
  <si>
    <t>Minnesota Wild @ Chicago Blackhawks</t>
  </si>
  <si>
    <t>San Jose Sharks @ Colorado Avalanche</t>
  </si>
  <si>
    <t>Nashville Predators @ Detroit Red Wings</t>
  </si>
  <si>
    <t>Philadelphia Flyers @ Florida Panthers</t>
  </si>
  <si>
    <t>St. Louis Blues @ New Jersey Devils</t>
  </si>
  <si>
    <t>Boston Bruins @ New York Islanders</t>
  </si>
  <si>
    <t>Buffalo Sabres @ Pittsburgh Penguins</t>
  </si>
  <si>
    <t>Dallas Stars @ Seattle Kraken</t>
  </si>
  <si>
    <t>Calgary Flames @ Tampa Bay Lightning</t>
  </si>
  <si>
    <t>21:30:00</t>
  </si>
  <si>
    <t>Montreal Canadiens @ Utah Mammoth</t>
  </si>
  <si>
    <t>Ottawa Senators @ Vegas Golden Knights</t>
  </si>
  <si>
    <t>Winnipeg Jets @ Washington Capitals</t>
  </si>
  <si>
    <t>2025-11-26 15:57:41</t>
  </si>
  <si>
    <t>Los Angeles Kings @ Anaheim Ducks</t>
  </si>
  <si>
    <t>2025-11-28 12:06:59</t>
  </si>
  <si>
    <t>New York Rangers @ Boston Bruins</t>
  </si>
  <si>
    <t>New Jersey Devils @ Buffalo Sabres</t>
  </si>
  <si>
    <t>Winnipeg Jets @ Carolina Hurricanes</t>
  </si>
  <si>
    <t>Pittsburgh Penguins @ Columbus Blue Jackets</t>
  </si>
  <si>
    <t>Nashville Predators @ Chicago Blackhawks</t>
  </si>
  <si>
    <t>Utah Mammoth @ Dallas Stars</t>
  </si>
  <si>
    <t>12:00:00</t>
  </si>
  <si>
    <t>Tampa Bay Lightning @ Detroit Red Wings</t>
  </si>
  <si>
    <t>Calgary Flames @ Florida Panthers</t>
  </si>
  <si>
    <t>Colorado Avalanche @ Minnesota Wild</t>
  </si>
  <si>
    <t>Philadelphia Flyers @ New York Islanders</t>
  </si>
  <si>
    <t>Vancouver Canucks @ San Jose Sharks</t>
  </si>
  <si>
    <t>Ottawa Senators @ St. Louis Blues</t>
  </si>
  <si>
    <t>Montreal Canadiens @ Vegas Golden Knights</t>
  </si>
  <si>
    <t>Toronto Maple Leafs @ Washington Capitals</t>
  </si>
  <si>
    <t>2025-11-29 12:05:06</t>
  </si>
  <si>
    <t>✓ Won by New Jersey Devils</t>
  </si>
  <si>
    <t>✓ Won by Carolina Hurricanes</t>
  </si>
  <si>
    <t>✓ Won by Pittsburgh Penguins</t>
  </si>
  <si>
    <t>Detroit Red Wings @ Boston Bruins</t>
  </si>
  <si>
    <t>15:00:00</t>
  </si>
  <si>
    <t>Montreal Canadiens @ Colorado Avalanche</t>
  </si>
  <si>
    <t>Vancouver Canucks @ Los Angeles Kings</t>
  </si>
  <si>
    <t>Buffalo Sabres @ Minnesota Wild</t>
  </si>
  <si>
    <t>Philadelphia Flyers @ New Jersey Devils</t>
  </si>
  <si>
    <t>Winnipeg Jets @ Nashville Predators</t>
  </si>
  <si>
    <t>14:00:00</t>
  </si>
  <si>
    <t>Tampa Bay Lightning @ New York Rangers</t>
  </si>
  <si>
    <t>Toronto Maple Leafs @ Pittsburgh Penguins</t>
  </si>
  <si>
    <t>Edmonton Oilers @ Seattle Kraken</t>
  </si>
  <si>
    <t>Utah Mammoth @ St. Louis Blues</t>
  </si>
  <si>
    <t>San Jose Sharks @ Vegas Golden Knights</t>
  </si>
  <si>
    <t>✓ Won by Boston Bruins</t>
  </si>
  <si>
    <t>2025-11-30 13:20:48</t>
  </si>
  <si>
    <t>Calgary Flames @ Carolina Hurricanes</t>
  </si>
  <si>
    <t>Anaheim Ducks @ Chicago Blackhawks</t>
  </si>
  <si>
    <t>18:00:00</t>
  </si>
  <si>
    <t>Ottawa Senators @ Dallas Stars</t>
  </si>
  <si>
    <t>Washington Capitals @ New York Islanders</t>
  </si>
  <si>
    <t>Winnipeg Jets @ Buffalo Sabres</t>
  </si>
  <si>
    <t>2025-12-01 18:51:40</t>
  </si>
  <si>
    <t>Columbus Blue Jackets @ New Jersey Devils</t>
  </si>
  <si>
    <t>Pittsburgh Penguins @ Philadelphia Flyers</t>
  </si>
  <si>
    <t>Anaheim Ducks @ St. Louis Blues</t>
  </si>
  <si>
    <t>2025-12-02 17:56:17</t>
  </si>
  <si>
    <t>Vancouver Canucks @ Colorado Avalanche</t>
  </si>
  <si>
    <t>Boston Bruins @ Detroit Red Wings</t>
  </si>
  <si>
    <t>Minnesota Wild @ Edmonton Oilers</t>
  </si>
  <si>
    <t>Toronto Maple Leafs @ Florida Panthers</t>
  </si>
  <si>
    <t>Washington Capitals @ Los Angeles Kings</t>
  </si>
  <si>
    <t>Ottawa Senators @ Montreal Canadiens</t>
  </si>
  <si>
    <t>Calgary Flames @ Nashville Predators</t>
  </si>
  <si>
    <t>Tampa Bay Lightning @ New York Islanders</t>
  </si>
  <si>
    <t>Dallas Stars @ New York Rangers</t>
  </si>
  <si>
    <t>Chicago Blackhawks @ Vegas Golden Knights</t>
  </si>
  <si>
    <t>Chicago Blackhawks @ Florida Panthers</t>
  </si>
  <si>
    <t>✗ Lost (predicted Chicago Blackhawks, actual Florida Panthers)</t>
  </si>
  <si>
    <t>0.0</t>
  </si>
  <si>
    <t>2025-12-02 19:36:51</t>
  </si>
  <si>
    <t>Colorado Avalanche @ Los Angeles Kings</t>
  </si>
  <si>
    <t>Pittsburgh Penguins @ New York Rangers</t>
  </si>
  <si>
    <t>Calgary Flames @ Edmonton Oilers</t>
  </si>
  <si>
    <t>✗ Lost (predicted Edmonton Oilers, actual Calgary Flames)</t>
  </si>
  <si>
    <t>1.0</t>
  </si>
  <si>
    <t>Montreal Canadiens @ Toronto Maple Leafs</t>
  </si>
  <si>
    <t>Los Angeles Kings @ Vegas Golden Knights</t>
  </si>
  <si>
    <t>✗ Lost (predicted Vegas Golden Knights, actual Los Angeles Kings)</t>
  </si>
  <si>
    <t>Boston Bruins @ Washington Capitals</t>
  </si>
  <si>
    <t>✗ Lost (predicted Washington Capitals, actual Boston Bruins)</t>
  </si>
  <si>
    <t>Columbus Blue Jackets @ Nashville Predators</t>
  </si>
  <si>
    <t>✗ Lost (predicted Columbus Blue Jackets, actual Nashville Predators)</t>
  </si>
  <si>
    <t>Dallas Stars @ Winnipeg Jets</t>
  </si>
  <si>
    <t>✓ Won by Vancouver Canucks</t>
  </si>
  <si>
    <t>Ottawa Senators @ Tampa Bay Lightning</t>
  </si>
  <si>
    <t>✗ Lost (predicted Tampa Bay Lightning, actual Ottawa Senators)</t>
  </si>
  <si>
    <t>Minnesota Wild @ St. Louis Blues</t>
  </si>
  <si>
    <t>Vegas Golden Knights @ San Jose Sharks</t>
  </si>
  <si>
    <t>✓ Won by Vegas Golden Knights</t>
  </si>
  <si>
    <t>Anaheim Ducks @ Seattle Kraken</t>
  </si>
  <si>
    <t>✗ Lost (predicted Anaheim Ducks, actual Seattle Kraken)</t>
  </si>
  <si>
    <t>New York Islanders @ Pittsburgh Penguins</t>
  </si>
  <si>
    <t>Utah Mammoth @ Colorado Avalanche</t>
  </si>
  <si>
    <t>Montreal Canadiens @ Detroit Red Wings</t>
  </si>
  <si>
    <t>New Jersey Devils @ Carolina Hurricanes</t>
  </si>
  <si>
    <t>New York Rangers @ Buffalo Sabres</t>
  </si>
  <si>
    <t>✓ Won by New York Rangers</t>
  </si>
  <si>
    <t>Chicago Blackhawks @ Boston Bruins</t>
  </si>
  <si>
    <t>Dallas Stars @ Colorado Avalanche</t>
  </si>
  <si>
    <t>✗ Lost (predicted Colorado Avalanche, actual Dallas Stars)</t>
  </si>
  <si>
    <t>Toronto Maple Leafs @ Detroit Red Wings</t>
  </si>
  <si>
    <t>✗ Lost (predicted Toronto Maple Leafs, actual Detroit Red Wings)</t>
  </si>
  <si>
    <t>St. Louis Blues @ Calgary Flames</t>
  </si>
  <si>
    <t>✗ Lost (predicted Calgary Flames, actual St. Louis Blues)</t>
  </si>
  <si>
    <t>Utah Mammoth @ Nashville Predators</t>
  </si>
  <si>
    <t>Buffalo Sabres @ Boston Bruins</t>
  </si>
  <si>
    <t>Vancouver Canucks @ Edmonton Oilers</t>
  </si>
  <si>
    <t>✓ Won by Edmonton Oilers</t>
  </si>
  <si>
    <t>Philadelphia Flyers @ Carolina Hurricanes</t>
  </si>
  <si>
    <t>Ottawa Senators @ Florida Panthers</t>
  </si>
  <si>
    <t>Montreal Canadiens @ Chicago Blackhawks</t>
  </si>
  <si>
    <t>✗ Lost (predicted Chicago Blackhawks, actual Montreal Canadiens)</t>
  </si>
  <si>
    <t>New York Rangers @ Pittsburgh Penguins</t>
  </si>
  <si>
    <t>✗ Lost (predicted Pittsburgh Penguins, actual New York Rangers)</t>
  </si>
  <si>
    <t>Vegas Golden Knights @ Seattle Kraken</t>
  </si>
  <si>
    <t>✗ Lost (predicted Vegas Golden Knights, actual Seattle Kraken)</t>
  </si>
  <si>
    <t>Anaheim Ducks @ San Jose Sharks</t>
  </si>
  <si>
    <t>Columbus Blue Jackets @ Minnesota Wild</t>
  </si>
  <si>
    <t>✗ Lost (predicted Minnesota Wild, actual Columbus Blue Jackets)</t>
  </si>
  <si>
    <t>✗ Lost (predicted Tampa Bay Lightning, actual New Jersey Devils)</t>
  </si>
  <si>
    <t>13:30:00</t>
  </si>
  <si>
    <t>Los Angeles Kings @ Winnipeg Jets</t>
  </si>
  <si>
    <t>Washington Capitals @ New York Rangers</t>
  </si>
  <si>
    <t>St. Louis Blues @ Vancouver Canucks</t>
  </si>
  <si>
    <t>✗ Lost (predicted Vancouver Canucks, actual St. Louis Blues)</t>
  </si>
  <si>
    <t>Detroit Red Wings @ Toronto Maple Leafs</t>
  </si>
  <si>
    <t>Florida Panthers @ Philadelphia Flyers</t>
  </si>
  <si>
    <t>Nashville Predators @ Ottawa Senators</t>
  </si>
  <si>
    <t>✗ Lost (predicted Ottawa Senators, actual Nashville Predators)</t>
  </si>
  <si>
    <t>Winnipeg Jets @ New York Islanders</t>
  </si>
  <si>
    <t>✗ Lost (predicted New York Islanders, actual Winnipeg Jets)</t>
  </si>
  <si>
    <t>New Jersey Devils @ Columbus Blue Jackets</t>
  </si>
  <si>
    <t>Utah Mammoth @ Chicago Blackhawks</t>
  </si>
  <si>
    <t>12:30:00</t>
  </si>
  <si>
    <t>Colorado Avalanche @ Buffalo Sabres</t>
  </si>
  <si>
    <t>Tampa Bay Lightning @ Boston Bruins</t>
  </si>
  <si>
    <t>Los Angeles Kings @ Minnesota Wild</t>
  </si>
  <si>
    <t>Carolina Hurricanes @ San Jose Sharks</t>
  </si>
  <si>
    <t>Nashville Predators @ Toronto Maple Leafs</t>
  </si>
  <si>
    <t>✗ Lost (predicted Tampa Bay Lightning, actual Washington Capitals)</t>
  </si>
  <si>
    <t>Edmonton Oilers @ New York Rangers</t>
  </si>
  <si>
    <t>✗ Lost (predicted New York Rangers, actual Edmonton Oilers)</t>
  </si>
  <si>
    <t>Vegas Golden Knights @ Calgary Flames</t>
  </si>
  <si>
    <t>Minnesota Wild @ Dallas Stars</t>
  </si>
  <si>
    <t>Pittsburgh Penguins @ Anaheim Ducks</t>
  </si>
  <si>
    <t>Seattle Kraken @ Montreal Canadiens</t>
  </si>
  <si>
    <t>Chicago Blackhawks @ St. Louis Blues</t>
  </si>
  <si>
    <t>Calgary Flames @ Utah Mammoth</t>
  </si>
  <si>
    <t>Ottawa Senators @ Buffalo Sabres</t>
  </si>
  <si>
    <t>Florida Panthers @ Detroit Red Wings</t>
  </si>
  <si>
    <t>✗ Lost (predicted Florida Panthers, actual Detroit Red Wings)</t>
  </si>
  <si>
    <t>Colorado Avalanche @ Columbus Blue Jackets</t>
  </si>
  <si>
    <t>Vancouver Canucks @ Dallas Stars</t>
  </si>
  <si>
    <t>✗ Lost (predicted Dallas Stars, actual Vancouver Canucks)</t>
  </si>
  <si>
    <t>Boston Bruins @ Vegas Golden Knights</t>
  </si>
  <si>
    <t>Nashville Predators @ Montreal Canadiens</t>
  </si>
  <si>
    <t>Florida Panthers @ New Jersey Devils</t>
  </si>
  <si>
    <t>Edmonton Oilers @ New York Islanders</t>
  </si>
  <si>
    <t>✓ Won by New York Islanders</t>
  </si>
  <si>
    <t>Seattle Kraken @ Ottawa Senators</t>
  </si>
  <si>
    <t>✓ Won by Ottawa Senators</t>
  </si>
  <si>
    <t>Winnipeg Jets @ Philadelphia Flyers</t>
  </si>
  <si>
    <t>New York Rangers @ Toronto Maple Leafs</t>
  </si>
  <si>
    <t>✗ Lost (predicted New York Rangers, actual Toronto Maple Leafs)</t>
  </si>
  <si>
    <t>Pittsburgh Penguins @ Los Angeles Kings</t>
  </si>
  <si>
    <t>Carolina Hurricanes @ Anaheim Ducks</t>
  </si>
  <si>
    <t>Vancouver Canucks @ Chicago Blackhawks</t>
  </si>
  <si>
    <t>✗ Lost (predicted Chicago Blackhawks, actual Vancouver Canucks)</t>
  </si>
  <si>
    <t>Minnesota Wild @ Washington Capitals</t>
  </si>
  <si>
    <t>San Jose Sharks @ Utah Mammoth</t>
  </si>
  <si>
    <t>✗ Lost (predicted Tampa Bay Lightning, actual Detroit Red Wings)</t>
  </si>
  <si>
    <t>Florida Panthers @ Buffalo Sabres</t>
  </si>
  <si>
    <t>✗ Lost (predicted Florida Panthers, actual Buffalo Sabres)</t>
  </si>
  <si>
    <t>Tampa Bay Lightning @ Columbus Blue Jackets</t>
  </si>
  <si>
    <t>✗ Lost (predicted Tampa Bay Lightning, actual Columbus Blue Jackets)</t>
  </si>
  <si>
    <t>Boston Bruins @ Colorado Avalanche</t>
  </si>
  <si>
    <t>Carolina Hurricanes @ Los Angeles Kings</t>
  </si>
  <si>
    <t>New York Rangers @ Montreal Canadiens</t>
  </si>
  <si>
    <t>Edmonton Oilers @ New Jersey Devils</t>
  </si>
  <si>
    <t>New York Islanders @ Ottawa Senators</t>
  </si>
  <si>
    <t>Minnesota Wild @ Philadelphia Flyers</t>
  </si>
  <si>
    <t>✗ Lost (predicted Minnesota Wild, actual Philadelphia Flyers)</t>
  </si>
  <si>
    <t>Pittsburgh Penguins @ San Jose Sharks</t>
  </si>
  <si>
    <t>Dallas Stars @ St. Louis Blues</t>
  </si>
  <si>
    <t>✗ Lost (predicted Dallas Stars, actual St. Louis Blues)</t>
  </si>
  <si>
    <t>Seattle Kraken @ Toronto Maple Leafs</t>
  </si>
  <si>
    <t>✗ Lost (predicted Toronto Maple Leafs, actual Seattle Kraken)</t>
  </si>
  <si>
    <t>Calgary Flames @ Vegas Golden Knights</t>
  </si>
  <si>
    <t>Nashville Predators @ Winnipeg Jets</t>
  </si>
  <si>
    <t>✗ Lost (predicted Anaheim Ducks, actual Chicago Blackhawks)</t>
  </si>
  <si>
    <t>Edmonton Oilers @ Detroit Red Wings</t>
  </si>
  <si>
    <t>✗ Lost (predicted Edmonton Oilers, actual Detroit Red Wings)</t>
  </si>
  <si>
    <t>Boston Bruins @ Utah Mammoth</t>
  </si>
  <si>
    <t>✗ Lost (predicted Boston Bruins, actual Utah Mammoth)</t>
  </si>
  <si>
    <t>Vancouver Canucks @ Washington Capitals</t>
  </si>
  <si>
    <t>✗ Lost (predicted Washington Capitals, actual Vancouver Canucks)</t>
  </si>
  <si>
    <t>Winnipeg Jets @ Calgary Flames</t>
  </si>
  <si>
    <t>Buffalo Sabres @ Montreal Canadiens</t>
  </si>
  <si>
    <t>✗ Lost (predicted Buffalo Sabres, actual Montreal Canadiens)</t>
  </si>
  <si>
    <t>Minnesota Wild @ New York Rangers</t>
  </si>
  <si>
    <t>Seattle Kraken @ Philadelphia Flyers</t>
  </si>
  <si>
    <t>Carolina Hurricanes @ Vegas Golden Knights</t>
  </si>
  <si>
    <t>✗ Lost (predicted Carolina Hurricanes, actual Vegas Golden Knights)</t>
  </si>
  <si>
    <t>Colorado Avalanche @ Utah Mammoth</t>
  </si>
  <si>
    <t>✗ Lost (predicted Colorado Avalanche, actual Utah Mammoth)</t>
  </si>
  <si>
    <t>Los Angeles Kings @ St. Louis Blues</t>
  </si>
  <si>
    <t>✓ Won by Los Angeles Kings</t>
  </si>
  <si>
    <t>Vancouver Canucks @ Pittsburgh Penguins</t>
  </si>
  <si>
    <t>Edmonton Oilers @ Ottawa Senators</t>
  </si>
  <si>
    <t>✗ Lost (predicted Ottawa Senators, actual Edmonton Oilers)</t>
  </si>
  <si>
    <t>Columbus Blue Jackets @ Dallas Stars</t>
  </si>
  <si>
    <t>✗ Lost (predicted Dallas Stars, actual Columbus Blue Jackets)</t>
  </si>
  <si>
    <t>Anaheim Ducks @ Nashville Predators</t>
  </si>
  <si>
    <t>Seattle Kraken @ Washington Capitals</t>
  </si>
  <si>
    <t>Florida Panthers @ Boston Bruins</t>
  </si>
  <si>
    <t>✗ Lost (predicted Boston Bruins, actual Florida Panthers)</t>
  </si>
  <si>
    <t>San Jose Sharks @ New York Islanders</t>
  </si>
  <si>
    <t>New Jersey Devils @ Toronto Maple Leafs</t>
  </si>
  <si>
    <t>Minnesota Wild @ New Jersey Devils</t>
  </si>
  <si>
    <t>Montreal Canadiens @ Calgary Flames</t>
  </si>
  <si>
    <t>Detroit Red Wings @ Buffalo Sabres</t>
  </si>
  <si>
    <t>Carolina Hurricanes @ Colorado Avalanche</t>
  </si>
  <si>
    <t>✗ Lost (predicted Colorado Avalanche, actual Carolina Hurricanes)</t>
  </si>
  <si>
    <t>Anaheim Ducks @ Boston Bruins</t>
  </si>
  <si>
    <t>18:45:00</t>
  </si>
  <si>
    <t>Chicago Blackhawks @ Tampa Bay Lightning</t>
  </si>
  <si>
    <t>✗ Lost (predicted Tampa Bay Lightning, actual Chicago Blackhawks)</t>
  </si>
  <si>
    <t>Philadelphia Flyers @ Ottawa Senators</t>
  </si>
  <si>
    <t>✗ Lost (predicted Philadelphia Flyers, actual Ottawa Senators)</t>
  </si>
  <si>
    <t>Seattle Kraken @ Winnipeg Jets</t>
  </si>
  <si>
    <t>✗ Lost (predicted Winnipeg Jets, actual Seattle Kraken)</t>
  </si>
  <si>
    <t>Detroit Red Wings @ New York Islanders</t>
  </si>
  <si>
    <t>Vancouver Canucks @ Nashville Predators</t>
  </si>
  <si>
    <t>✗ Lost (predicted Vancouver Canucks, actual Nashville Predators)</t>
  </si>
  <si>
    <t>Pittsburgh Penguins @ Florida Panthers</t>
  </si>
  <si>
    <t>Montreal Canadiens @ Edmonton Oilers</t>
  </si>
  <si>
    <t>✗ Lost (predicted Montreal Canadiens, actual Edmonton Oilers)</t>
  </si>
  <si>
    <t>Los Angeles Kings @ Dallas Stars</t>
  </si>
  <si>
    <t>✗ Lost (predicted Dallas Stars, actual Los Angeles Kings)</t>
  </si>
  <si>
    <t>San Jose Sharks @ New York Rangers</t>
  </si>
  <si>
    <t>✗ Lost (predicted New York Rangers, actual San Jose Sharks)</t>
  </si>
  <si>
    <t>Toronto Maple Leafs @ Buffalo Sabres</t>
  </si>
  <si>
    <t>Washington Capitals @ Columbus Blue Jackets</t>
  </si>
  <si>
    <t>San Jose Sharks @ New Jersey Devils</t>
  </si>
  <si>
    <t>Calgary Flames @ Winnipeg Jets</t>
  </si>
  <si>
    <t>Anaheim Ducks @ Tampa Bay Lightning</t>
  </si>
  <si>
    <t>Ottawa Senators @ Washington Capitals</t>
  </si>
  <si>
    <t>✗ Lost (predicted Washington Capitals, actual Ottawa Senators)</t>
  </si>
  <si>
    <t>Montreal Canadiens @ Vancouver Canucks</t>
  </si>
  <si>
    <t>Buffalo Sabres @ Toronto Maple Leafs</t>
  </si>
  <si>
    <t>✗ Lost (predicted Buffalo Sabres, actual Toronto Maple Leafs)</t>
  </si>
  <si>
    <t>✓ Won by Seattle Kraken</t>
  </si>
  <si>
    <t>Carolina Hurricanes @ Dallas Stars</t>
  </si>
  <si>
    <t>New York Islanders @ Philadelphia Flyers</t>
  </si>
  <si>
    <t>✗ Lost (predicted New York Islanders, actual Philadelphia Flyers)</t>
  </si>
  <si>
    <t>Los Angeles Kings @ Nashville Predators</t>
  </si>
  <si>
    <t>✗ Lost (predicted Los Angeles Kings, actual Nashville Predators)</t>
  </si>
  <si>
    <t>Utah Mammoth @ Minnesota Wild</t>
  </si>
  <si>
    <t>✗ Lost (predicted Minnesota Wild, actual Utah Mammoth)</t>
  </si>
  <si>
    <t>Vegas Golden Knights @ Florida Panthers</t>
  </si>
  <si>
    <t>✗ Lost (predicted Vegas Golden Knights, actual Florida Panthers)</t>
  </si>
  <si>
    <t>St. Louis Blues @ Detroit Red Wings</t>
  </si>
  <si>
    <t>Columbus Blue Jackets @ Pittsburgh Penguins</t>
  </si>
  <si>
    <t>✗ Lost (predicted Pittsburgh Penguins, actual Columbus Blue Jackets)</t>
  </si>
  <si>
    <t>Colorado Avalanche @ Boston Bruins</t>
  </si>
  <si>
    <t>✗ Lost (predicted Colorado Avalanche, actual Boston Bruins)</t>
  </si>
  <si>
    <t>Edmonton Oilers @ Vancouver Canucks</t>
  </si>
  <si>
    <t>✗ Lost (predicted Edmonton Oilers, actual Vancouver Canucks)</t>
  </si>
  <si>
    <t>Vegas Golden Knights @ Tampa Bay Lightning</t>
  </si>
  <si>
    <t>Utah Mammoth @ Winnipeg Jets</t>
  </si>
  <si>
    <t>✗ Lost (predicted Winnipeg Jets, actual Utah Mammoth)</t>
  </si>
  <si>
    <t>Colorado Avalanche @ New Jersey Devils</t>
  </si>
  <si>
    <t>✗ Lost (predicted Colorado Avalanche, actual New Jersey Devils)</t>
  </si>
  <si>
    <t>San Jose Sharks @ Minnesota Wild</t>
  </si>
  <si>
    <t>✗ Lost (predicted Minnesota Wild, actual San Jose Sharks)</t>
  </si>
  <si>
    <t>Los Angeles Kings @ Chicago Blackhawks</t>
  </si>
  <si>
    <t>✗ Lost (predicted Chicago Blackhawks, actual Los Angeles Kings)</t>
  </si>
  <si>
    <t>Dallas Stars @ Nashville Predators</t>
  </si>
  <si>
    <t>New York Rangers @ Calgary Flames</t>
  </si>
  <si>
    <t>✗ Lost (predicted New York Rangers, actual Calgary Flames)</t>
  </si>
  <si>
    <t>Boston Bruins @ Ottawa Senators</t>
  </si>
  <si>
    <t>✗ Lost (predicted Boston Bruins, actual Ottawa Senators)</t>
  </si>
  <si>
    <t>St. Louis Blues @ Pittsburgh Penguins</t>
  </si>
  <si>
    <t>New York Rangers @ Vancouver Canucks</t>
  </si>
  <si>
    <t>18:15:00</t>
  </si>
  <si>
    <t>Calgary Flames @ Toronto Maple Leafs</t>
  </si>
  <si>
    <t>20:15:00</t>
  </si>
  <si>
    <t>Detroit Red Wings @ St. Louis Blues</t>
  </si>
  <si>
    <t>Montreal Canadiens @ Seattle Kraken</t>
  </si>
  <si>
    <t>✗ Lost (predicted Pittsburgh Penguins, actual Philadelphia Flyers)</t>
  </si>
  <si>
    <t>19:45:00</t>
  </si>
  <si>
    <t>Tampa Bay Lightning @ Nashville Predators</t>
  </si>
  <si>
    <t>Winnipeg Jets @ Minnesota Wild</t>
  </si>
  <si>
    <t>✗ Lost (predicted Minnesota Wild, actual Winnipeg Jets)</t>
  </si>
  <si>
    <t>23:00:00</t>
  </si>
  <si>
    <t>Washington Capitals @ Dallas Stars</t>
  </si>
  <si>
    <t>Utah Mammoth @ Edmonton Oilers</t>
  </si>
  <si>
    <t>✗ Lost (predicted Utah Mammoth, actual Edmonton Oilers)</t>
  </si>
  <si>
    <t>19:15:00</t>
  </si>
  <si>
    <t>New York Islanders @ Boston Bruins</t>
  </si>
  <si>
    <t>Columbus Blue Jackets @ Buffalo Sabres</t>
  </si>
  <si>
    <t>✗ Lost (predicted Buffalo Sabres, actual Columbus Blue Jackets)</t>
  </si>
  <si>
    <t>Anaheim Ducks @ Florida Panthers</t>
  </si>
  <si>
    <t>18:30:00</t>
  </si>
  <si>
    <t>Vegas Golden Knights @ Carolina Hurricanes</t>
  </si>
  <si>
    <t>20:45:00</t>
  </si>
  <si>
    <t>Ottawa Senators @ Chicago Blackhawks</t>
  </si>
  <si>
    <t>New Jersey Devils @ Colorado Avalanche</t>
  </si>
  <si>
    <t>✓ Won by Columbus Blue Jackets</t>
  </si>
  <si>
    <t>Chicago Blackhawks @ Winnipeg Jets</t>
  </si>
  <si>
    <t>✗ Lost (predicted Chicago Blackhawks, actual Winnipeg Jets)</t>
  </si>
  <si>
    <t>Dallas Stars @ Tampa Bay Lightning</t>
  </si>
  <si>
    <t>Vancouver Canucks @ St. Louis Blues</t>
  </si>
  <si>
    <t>New Jersey Devils @ San Jose Sharks</t>
  </si>
  <si>
    <t>✗ Lost (predicted New Jersey Devils, actual San Jose Sharks)</t>
  </si>
  <si>
    <t>Nashville Predators @ Philadelphia Flyers</t>
  </si>
  <si>
    <t>Calgary Flames @ Ottawa Senators</t>
  </si>
  <si>
    <t>Pittsburgh Penguins @ Minnesota Wild</t>
  </si>
  <si>
    <t>✗ Lost (predicted Minnesota Wild, actual Pittsburgh Penguins)</t>
  </si>
  <si>
    <t>New York Rangers @ Edmonton Oilers</t>
  </si>
  <si>
    <t>New York Islanders @ Carolina Hurricanes</t>
  </si>
  <si>
    <t>Detroit Red Wings @ Los Angeles Kings</t>
  </si>
  <si>
    <t>✗ Lost (predicted Los Angeles Kings, actual Detroit Red Wings)</t>
  </si>
  <si>
    <t>Detroit Red Wings @ Anaheim Ducks</t>
  </si>
  <si>
    <t>Colorado Avalanche @ Vegas Golden Knights</t>
  </si>
  <si>
    <t>New York Islanders @ Washington Capitals</t>
  </si>
  <si>
    <t>✗ Lost (predicted Washington Capitals, actual New York Islanders)</t>
  </si>
  <si>
    <t>✗ Lost (predicted Carolina Hurricanes, actual Boston Bruins)</t>
  </si>
  <si>
    <t>St. Louis Blues @ Columbus Blue Jackets</t>
  </si>
  <si>
    <t>Chicago Blackhawks @ Edmonton Oilers</t>
  </si>
  <si>
    <t>✗ Lost (predicted Chicago Blackhawks, actual Edmonton Oilers)</t>
  </si>
  <si>
    <t>Dallas Stars @ Florida Panthers</t>
  </si>
  <si>
    <t>✗ Lost (predicted Dallas Stars, actual Florida Panthers)</t>
  </si>
  <si>
    <t>New Jersey Devils @ Los Angeles Kings</t>
  </si>
  <si>
    <t>Vancouver Canucks @ Minnesota Wild</t>
  </si>
  <si>
    <t>✗ Lost (predicted Ottawa Senators, actual Montreal Canadiens)</t>
  </si>
  <si>
    <t>✗ Lost (predicted Calgary Flames, actual Nashville Predators)</t>
  </si>
  <si>
    <t>Toronto Maple Leafs @ Philadelphia Flyers</t>
  </si>
  <si>
    <t>✗ Lost (predicted Philadelphia Flyers, actual Toronto Maple Leafs)</t>
  </si>
  <si>
    <t>New York Rangers @ Seattle Kraken</t>
  </si>
  <si>
    <t>Colorado Avalanche @ San Jose Sharks</t>
  </si>
  <si>
    <t>✗ Lost (predicted Colorado Avalanche, actual San Jose Sharks)</t>
  </si>
  <si>
    <t>Pittsburgh Penguins @ Winnipeg Jets</t>
  </si>
  <si>
    <t>✗ Lost (predicted Pittsburgh Penguins, actual Winnipeg Jets)</t>
  </si>
  <si>
    <t>Washington Capitals @ Buffalo Sabres</t>
  </si>
  <si>
    <t>✗ Lost (predicted Washington Capitals, actual Buffalo Sabres)</t>
  </si>
  <si>
    <t>Tampa Bay Lightning @ Utah Mammoth</t>
  </si>
  <si>
    <t>Detroit Red Wings @ San Jose Sharks</t>
  </si>
  <si>
    <t>✗ Lost (predicted San Jose Sharks, actual Detroit Red Wings)</t>
  </si>
  <si>
    <t>Columbus Blue Jackets @ New York Islanders</t>
  </si>
  <si>
    <t>New Jersey Devils @ Anaheim Ducks</t>
  </si>
  <si>
    <t>Calgary Flames @ Philadelphia Flyers</t>
  </si>
  <si>
    <t>✗ Lost (predicted Philadelphia Flyers, actual Calgary Flames)</t>
  </si>
  <si>
    <t>Chicago Blackhawks @ Seattle Kraken</t>
  </si>
  <si>
    <t>Edmonton Oilers @ St. Louis Blues</t>
  </si>
  <si>
    <t>✗ Lost (predicted Edmonton Oilers, actual St. Louis Blues)</t>
  </si>
  <si>
    <t>Pittsburgh Penguins @ Toronto Maple Leafs</t>
  </si>
  <si>
    <t>✗ Lost (predicted Pittsburgh Penguins, actual Toronto Maple Leafs)</t>
  </si>
  <si>
    <t>✗ Lost (predicted New York Islanders, actual Boston Bruins)</t>
  </si>
  <si>
    <t>Detroit Red Wings @ Vegas Golden Knights</t>
  </si>
  <si>
    <t>Carolina Hurricanes @ New York Rangers</t>
  </si>
  <si>
    <t>Philadelphia Flyers @ Montreal Canadiens</t>
  </si>
  <si>
    <t>Edmonton Oilers @ Dallas Stars</t>
  </si>
  <si>
    <t>Winnipeg Jets @ Los Angeles Kings</t>
  </si>
  <si>
    <t>Tampa Bay Lightning @ Colorado Avalanche</t>
  </si>
  <si>
    <t>Utah Mammoth @ Buffalo Sabres</t>
  </si>
  <si>
    <t>Florida Panthers @ Anaheim Ducks</t>
  </si>
  <si>
    <t>Nashville Predators @ Minnesota Wild</t>
  </si>
  <si>
    <t>Columbus Blue Jackets @ Calgary Flames</t>
  </si>
  <si>
    <t>✗ Lost (predicted Columbus Blue Jackets, actual Calgary Flames)</t>
  </si>
  <si>
    <t>San Jose Sharks @ Seattle Kraken</t>
  </si>
  <si>
    <t>Utah Mammoth @ Toronto Maple Leafs</t>
  </si>
  <si>
    <t>✗ Lost (predicted Utah Mammoth, actual Toronto Maple Leafs)</t>
  </si>
  <si>
    <t>Chicago Blackhawks @ Vancouver Canucks</t>
  </si>
  <si>
    <t>St. Louis Blues @ Washington Capitals</t>
  </si>
  <si>
    <t>Tampa Bay Lightning @ Vegas Golden Knights</t>
  </si>
  <si>
    <t>Washington Capitals @ Pittsburgh Penguins</t>
  </si>
  <si>
    <t>✗ Lost (predicted Washington Capitals, actual Pittsburgh Penguins)</t>
  </si>
  <si>
    <t>Philadelphia Flyers @ Nashville Predators</t>
  </si>
  <si>
    <t>Montreal Canadiens @ New Jersey Devils</t>
  </si>
  <si>
    <t>Florida Panthers @ Los Angeles Kings</t>
  </si>
  <si>
    <t>✗ Lost (predicted Los Angeles Kings, actual Florida Panthers)</t>
  </si>
  <si>
    <t>Anaheim Ducks @ Dallas Stars</t>
  </si>
  <si>
    <t>✗ Lost (predicted Dallas Stars, actual Anaheim Ducks)</t>
  </si>
  <si>
    <t>Minnesota Wild @ Carolina Hurricanes</t>
  </si>
  <si>
    <t>St. Louis Blues @ Buffalo Sabres</t>
  </si>
  <si>
    <t>✗ Lost (predicted Buffalo Sabres, actual St. Louis Blues)</t>
  </si>
  <si>
    <t>Ottawa Senators @ Boston Bruins</t>
  </si>
  <si>
    <t>Chicago Blackhawks @ Calgary Flames</t>
  </si>
  <si>
    <t>New York Rangers @ Detroit Red Wings</t>
  </si>
  <si>
    <t>Minnesota Wild @ New York Islanders</t>
  </si>
  <si>
    <t>Winnipeg Jets @ San Jose Sharks</t>
  </si>
  <si>
    <t>✗ Lost (predicted Winnipeg Jets, actual San Jose Sharks)</t>
  </si>
  <si>
    <t>Columbus Blue Jackets @ Vancouver Canucks</t>
  </si>
  <si>
    <t>✗ Lost (predicted Columbus Blue Jackets, actual Vancouver Canucks)</t>
  </si>
  <si>
    <t>Boston Bruins @ Toronto Maple Leafs</t>
  </si>
  <si>
    <t>Washington Capitals @ Tampa Bay Lightning</t>
  </si>
  <si>
    <t>Seattle Kraken @ St. Louis Blues</t>
  </si>
  <si>
    <t>Florida Panthers @ San Jose Sharks</t>
  </si>
  <si>
    <t>✗ Lost (predicted Florida Panthers, actual San Jose Sharks)</t>
  </si>
  <si>
    <t>Anaheim Ducks @ Vegas Golden Knights</t>
  </si>
  <si>
    <t>New York Islanders @ New York Rangers</t>
  </si>
  <si>
    <t>✗ Lost (predicted New York Rangers, actual New York Islanders)</t>
  </si>
  <si>
    <t>Pittsburgh Penguins @ New Jersey Devils</t>
  </si>
  <si>
    <t>Utah Mammoth @ Montreal Canadiens</t>
  </si>
  <si>
    <t>✗ Lost (predicted Utah Mammoth, actual Montreal Canadiens)</t>
  </si>
  <si>
    <t>Colorado Avalanche @ Edmonton Oilers</t>
  </si>
  <si>
    <t>Ottawa Senators @ Philadelphia Flyers</t>
  </si>
  <si>
    <t>Buffalo Sabres @ Carolina Hurricanes</t>
  </si>
  <si>
    <t>Colorado Avalanche @ Vancouver Canucks</t>
  </si>
  <si>
    <t>Carolina Hurricanes @ Toronto Maple Leafs</t>
  </si>
  <si>
    <t>Los Angeles Kings @ Pittsburgh Penguins</t>
  </si>
  <si>
    <t>✗ Lost (predicted Pittsburgh Penguins, actual Los Angeles Kings)</t>
  </si>
  <si>
    <t>Calgary Flames @ Minnesota Wild</t>
  </si>
  <si>
    <t>Chicago Blackhawks @ Detroit Red Wings</t>
  </si>
  <si>
    <t>Seattle Kraken @ Dallas Stars</t>
  </si>
  <si>
    <t>Winnipeg Jets @ Anaheim Ducks</t>
  </si>
  <si>
    <t>Utah Mammoth @ Ottawa Senators</t>
  </si>
  <si>
    <t>✗ Lost (predicted Utah Mammoth, actual Ottawa Senators)</t>
  </si>
  <si>
    <t>Columbus Blue Jackets @ Edmonton Oilers</t>
  </si>
  <si>
    <t>✗ Lost (predicted Columbus Blue Jackets, actual Edmonton Oilers)</t>
  </si>
  <si>
    <t>New York Islanders @ New Jersey Devils</t>
  </si>
  <si>
    <t>✗ Lost (predicted New Jersey Devils, actual New York Islanders)</t>
  </si>
  <si>
    <t>Nashville Predators @ New York Rangers</t>
  </si>
  <si>
    <t>Florida Panthers @ Vegas Golden Knights</t>
  </si>
  <si>
    <t>Calgary Flames @ St. Louis Blues</t>
  </si>
  <si>
    <t>Winnipeg Jets @ Vancouver Canucks</t>
  </si>
  <si>
    <t>Columbus Blue Jackets @ Seattle Kraken</t>
  </si>
  <si>
    <t>Toronto Maple Leafs @ Boston Bruins</t>
  </si>
  <si>
    <t>Los Angeles Kings @ Montreal Canadiens</t>
  </si>
  <si>
    <t>Anaheim Ducks @ Colorado Avalanche</t>
  </si>
  <si>
    <t>Dallas Stars @ Ottawa Senators</t>
  </si>
  <si>
    <t>Washington Capitals @ Carolina Hurricanes</t>
  </si>
  <si>
    <t>✗ Lost (predicted Carolina Hurricanes, actual Washington Capitals)</t>
  </si>
  <si>
    <t>New Jersey Devils @ Chicago Blackhawks</t>
  </si>
  <si>
    <t>Edmonton Oilers @ Philadelphia Flyers</t>
  </si>
  <si>
    <t>✗ Lost (predicted Philadelphia Flyers, actual Edmonton Oilers)</t>
  </si>
  <si>
    <t>New York Rangers @ Tampa Bay Lightning</t>
  </si>
  <si>
    <t>✗ Lost (predicted Tampa Bay Lightning, actual New York Rangers)</t>
  </si>
  <si>
    <t>Buffalo Sabres @ Utah Mammoth</t>
  </si>
  <si>
    <t>New York Islanders @ Vegas Golden Knights</t>
  </si>
  <si>
    <t>✗ Lost (predicted Vegas Golden Knights, actual New York Islanders)</t>
  </si>
  <si>
    <t>Los Angeles Kings @ Toronto Maple Leafs</t>
  </si>
  <si>
    <t>Winnipeg Jets @ Seattle Kraken</t>
  </si>
  <si>
    <t>San Jose Sharks @ Calgary Flames</t>
  </si>
  <si>
    <t>✗ Lost (predicted San Jose Sharks, actual Calgary Flames)</t>
  </si>
  <si>
    <t>Washington Capitals @ Florida Panthers</t>
  </si>
  <si>
    <t>✗ Lost (predicted Washington Capitals, actual Florida Panthers)</t>
  </si>
  <si>
    <t>Anaheim Ducks @ Detroit Red Wings</t>
  </si>
  <si>
    <t>✗ Lost (predicted Anaheim Ducks, actual Detroit Red Wings)</t>
  </si>
  <si>
    <t>Buffalo Sabres @ Colorado Avalanche</t>
  </si>
  <si>
    <t>Dallas Stars @ Montreal Canadiens</t>
  </si>
  <si>
    <t>Edmonton Oilers @ Columbus Blue Jackets</t>
  </si>
  <si>
    <t>New York Islanders @ Utah Mammoth</t>
  </si>
  <si>
    <t>Pittsburgh Penguins @ Nashville Predators</t>
  </si>
  <si>
    <t>✗ Lost (predicted Pittsburgh Penguins, actual Nashville Predators)</t>
  </si>
  <si>
    <t>Philadelphia Flyers @ St. Louis Blues</t>
  </si>
  <si>
    <t>Vancouver Canucks @ Carolina Hurricanes</t>
  </si>
  <si>
    <t>New Jersey Devils @ Washington Capitals</t>
  </si>
  <si>
    <t>✗ Lost (predicted Washington Capitals, actual New Jersey Devils)</t>
  </si>
  <si>
    <t>Vegas Golden Knights @ St. Louis Blues</t>
  </si>
  <si>
    <t>✗ Lost (predicted San Jose Sharks, actual Seattle Kraken)</t>
  </si>
  <si>
    <t>Boston Bruins @ Montreal Canadiens</t>
  </si>
  <si>
    <t>Anaheim Ducks @ Minnesota Wild</t>
  </si>
  <si>
    <t>✗ Lost (predicted Anaheim Ducks, actual Minnesota Wild)</t>
  </si>
  <si>
    <t>Los Angeles Kings @ Ottawa Senators</t>
  </si>
  <si>
    <t>Philadelphia Flyers @ Dallas Stars</t>
  </si>
  <si>
    <t>Toronto Maple Leafs @ Chicago Blackhawks</t>
  </si>
  <si>
    <t>New York Rangers @ Columbus Blue Jackets</t>
  </si>
  <si>
    <t>Edmonton Oilers @ Carolina Hurricanes</t>
  </si>
  <si>
    <t>✗ Lost (predicted Carolina Hurricanes, actual Edmonton Oilers)</t>
  </si>
  <si>
    <t>Buffalo Sabres @ Detroit Red Wings</t>
  </si>
  <si>
    <t>Tampa Bay Lightning @ Florida Panthers</t>
  </si>
  <si>
    <t>New York Islanders @ Colorado Avalanche</t>
  </si>
  <si>
    <t>Vegas Golden Knights @ Minnesota Wild</t>
  </si>
  <si>
    <t>Detroit Red Wings @ New York Rangers</t>
  </si>
  <si>
    <t>✗ Lost (predicted New York Rangers, actual Detroit Red Wings)</t>
  </si>
  <si>
    <t>09:00:00</t>
  </si>
  <si>
    <t>Nashville Predators @ Pittsburgh Penguins</t>
  </si>
  <si>
    <t>Vancouver Canucks @ Tampa Bay Lightning</t>
  </si>
  <si>
    <t>✗ Lost (predicted Tampa Bay Lightning, actual Vancouver Canucks)</t>
  </si>
  <si>
    <t>✗ Lost (predicted Ottawa Senators, actual Los Angeles Kings)</t>
  </si>
  <si>
    <t>Dallas Stars @ Edmonton Oilers</t>
  </si>
  <si>
    <t>✗ Lost (predicted Detroit Red Wings, actual Nashville Predators)</t>
  </si>
  <si>
    <t>✗ Lost (predicted Anaheim Ducks, actual Vancouver Canucks)</t>
  </si>
  <si>
    <t>✗ Lost (predicted Seattle Kraken, actual Dallas Stars)</t>
  </si>
  <si>
    <t>✗ Lost (predicted Florida Panthers, actual Philadelphia Flyers)</t>
  </si>
  <si>
    <t>✗ Lost (predicted Columbus Blue Jackets, actual Toronto Maple Leafs)</t>
  </si>
  <si>
    <t>✗ Lost (predicted Ottawa Senators, actual St. Louis Blues)</t>
  </si>
  <si>
    <t>✗ Lost (predicted Colorado Avalanche, actual Minnesota Wild)</t>
  </si>
  <si>
    <t>✗ Lost (predicted Boston Bruins, actual New York Rangers)</t>
  </si>
  <si>
    <t>✗ Lost (predicted Florida Panthers, actual Calgary Flames)</t>
  </si>
  <si>
    <t>✗ Lost (predicted Chicago Blackhawks, actual Nashville Predators)</t>
  </si>
  <si>
    <t>✗ Lost (predicted Utah Mammoth, actual St. Louis Blues)</t>
  </si>
  <si>
    <t>✗ Lost (predicted San Jose Sharks, actual Vegas Golden Knights)</t>
  </si>
  <si>
    <t>✗ Lost (predicted Minnesota Wild, actual Buffalo Sabres)</t>
  </si>
  <si>
    <t>✗ Lost (predicted Vancouver Canucks, actual Los Angeles Kings)</t>
  </si>
  <si>
    <t>✗ Lost (predicted Seattle Kraken, actual Edmonton Oilers)</t>
  </si>
  <si>
    <t>✗ Lost (predicted New Jersey Devils, actual Columbus Blue Jackets)</t>
  </si>
  <si>
    <t>✗ Lost (predicted Philadelphia Flyers, actual Pittsburgh Penguins)</t>
  </si>
  <si>
    <t>Washington Capitals @ San Jose Sharks</t>
  </si>
  <si>
    <t>Dallas Stars @ New Jersey Devils</t>
  </si>
  <si>
    <t>Buffalo Sabres @ Philadelphia Flyers</t>
  </si>
  <si>
    <t>Winnipeg Jets @ Montreal Canadiens</t>
  </si>
  <si>
    <t>St. Louis Blues @ Boston Bruins</t>
  </si>
  <si>
    <t>Toronto Maple Leafs @ Carolina Hurricanes</t>
  </si>
  <si>
    <t>Detroit Red Wings @ Columbus Blue Jackets</t>
  </si>
  <si>
    <t>Minnesota Wild @ Calgary Flames</t>
  </si>
  <si>
    <t>Seattle Kraken @ Edmonton Oilers</t>
  </si>
  <si>
    <t>Nashville Predators @ Florida Panthers</t>
  </si>
  <si>
    <t>Chicago Blackhawks @ Los Angeles Kings</t>
  </si>
  <si>
    <t>Colorado Avalanche @ New York Islanders</t>
  </si>
  <si>
    <t>New York Rangers @ Ottawa Senators</t>
  </si>
  <si>
    <t>Pittsburgh Penguins @ Tampa Bay Lightning</t>
  </si>
  <si>
    <t>Utah Mammoth @ Vancouver Canucks</t>
  </si>
  <si>
    <t>Vegas Golden Knights @ New Jersey Devils</t>
  </si>
  <si>
    <t>Buffalo Sabres @ Winnipeg Jets</t>
  </si>
  <si>
    <t>Washington Capitals @ Anaheim Ducks</t>
  </si>
  <si>
    <t>San Jose Sharks @ Dallas Stars</t>
  </si>
  <si>
    <t>Minnesota Wild @ Vancouver Canucks</t>
  </si>
  <si>
    <t>New York Islanders @ Tampa Bay Lightning</t>
  </si>
  <si>
    <t>Detroit Red Wings @ Seattle Kraken</t>
  </si>
  <si>
    <t>St. Louis Blues @ Ottawa Senators</t>
  </si>
  <si>
    <t>Colorado Avalanche @ New York Rangers</t>
  </si>
  <si>
    <t>Columbus Blue Jackets @ Florida Panthers</t>
  </si>
  <si>
    <t>Winnipeg Jets @ Edmonton Oilers</t>
  </si>
  <si>
    <t>Utah Mammoth @ Calgary Flames</t>
  </si>
  <si>
    <t>Nashville Predators @ Carolina Hurricanes</t>
  </si>
  <si>
    <t>New Jersey Devils @ Boston Bruins</t>
  </si>
  <si>
    <t>Vegas Golden Knights @ New York Rangers</t>
  </si>
  <si>
    <t>Colorado Avalanche @ Philadelphia Flyers</t>
  </si>
  <si>
    <t>St. Louis Blues @ Montreal Canadiens</t>
  </si>
  <si>
    <t>San Jose Sharks @ Carolina Hurricanes</t>
  </si>
  <si>
    <t>Pittsburgh Penguins @ Dallas Stars</t>
  </si>
  <si>
    <t>Chicago Blackhawks @ Anaheim Ducks</t>
  </si>
  <si>
    <t>New York Islanders @ Florida Panthers</t>
  </si>
  <si>
    <t>Buffalo Sabres @ Calgary Flames</t>
  </si>
  <si>
    <t>Minnesota Wild @ Seattle Kraken</t>
  </si>
  <si>
    <t>Tampa Bay Lightning @ Toronto Maple Leafs</t>
  </si>
  <si>
    <t>Los Angeles Kings @ Utah Mammoth</t>
  </si>
  <si>
    <t>Detroit Red Wings @ Vancouver Canucks</t>
  </si>
  <si>
    <t>San Jose Sharks @ Philadelphia Flyers</t>
  </si>
  <si>
    <t>Boston Bruins @ St. Louis Blues</t>
  </si>
  <si>
    <t>Anaheim Ducks @ Pittsburgh Penguins</t>
  </si>
  <si>
    <t>New Jersey Devils @ Ottawa Senators</t>
  </si>
  <si>
    <t>Tampa Bay Lightning @ Montreal Canadiens</t>
  </si>
  <si>
    <t>Buffalo Sabres @ Edmonton Oilers</t>
  </si>
  <si>
    <t>Columbus Blue Jackets @ Carolina Hurricanes</t>
  </si>
  <si>
    <t>Vegas Golden Knights @ New York Islanders</t>
  </si>
  <si>
    <t>Detroit Red Wings @ Calgary Flames</t>
  </si>
  <si>
    <t>New York Rangers @ Chicago Blackhawks</t>
  </si>
  <si>
    <t>Los Angeles Kings @ Seattle Kraken</t>
  </si>
  <si>
    <t>Florida Panthers @ Utah Mammoth</t>
  </si>
  <si>
    <t>Carolina Hurricanes @ Washington Capitals</t>
  </si>
  <si>
    <t>Boston Bruins @ Winnipeg Jets</t>
  </si>
  <si>
    <t>San Jose Sharks @ Toronto Maple Leafs</t>
  </si>
  <si>
    <t>Montreal Canadiens @ Pittsburgh Penguins</t>
  </si>
  <si>
    <t>Vegas Golden Knights @ Philadelphia Flyers</t>
  </si>
  <si>
    <t>Anaheim Ducks @ New York Islanders</t>
  </si>
  <si>
    <t>Buffalo Sabres @ Vancouver Canucks</t>
  </si>
  <si>
    <t>Tampa Bay Lightning @ New Jersey Devils</t>
  </si>
  <si>
    <t>Dallas Stars @ Minnesota Wild</t>
  </si>
  <si>
    <t>Detroit Red Wings @ Edmonton Oilers</t>
  </si>
  <si>
    <t>Florida Panthers @ Colorado Avalanche</t>
  </si>
  <si>
    <t>Ottawa Senators @ Columbus Blue Jackets</t>
  </si>
  <si>
    <t>St. Louis Blues @ Nashville Predators</t>
  </si>
  <si>
    <t>Seattle Kraken @ Utah Mammoth</t>
  </si>
  <si>
    <t>Washington Capitals @ Winnipeg Jets</t>
  </si>
  <si>
    <t>Edmonton Oilers @ Toronto Maple Leafs</t>
  </si>
  <si>
    <t>San Jose Sharks @ Pittsburgh Penguins</t>
  </si>
  <si>
    <t>Carolina Hurricanes @ Philadelphia Flyers</t>
  </si>
  <si>
    <t>Montreal Canadiens @ New York Rangers</t>
  </si>
  <si>
    <t>Florida Panthers @ Dallas Stars</t>
  </si>
  <si>
    <t>Ottawa Senators @ Minnesota Wild</t>
  </si>
  <si>
    <t>Calgary Flames @ Los Angeles Kings</t>
  </si>
  <si>
    <t>Nashville Predators @ Colorado Avalanche</t>
  </si>
  <si>
    <t>Detroit Red Wings @ Chicago Blackhawks</t>
  </si>
  <si>
    <t>Vegas Golden Knights @ Columbus Blue Jackets</t>
  </si>
  <si>
    <t>Anaheim Ducks @ New Jersey Devils</t>
  </si>
  <si>
    <t>Buffalo Sabres @ Seattle Kraken</t>
  </si>
  <si>
    <t>Vancouver Canucks @ New Jersey Devils</t>
  </si>
  <si>
    <t>Utah Mammoth @ Pittsburgh Penguins</t>
  </si>
  <si>
    <t>Boston Bruins @ Minnesota Wild</t>
  </si>
  <si>
    <t>Edmonton Oilers @ Montreal Canadiens</t>
  </si>
  <si>
    <t>Anaheim Ducks @ New York Rangers</t>
  </si>
  <si>
    <t>Nashville Predators @ St. Louis Blues</t>
  </si>
  <si>
    <t>Florida Panthers @ Tampa Bay Lightning</t>
  </si>
  <si>
    <t>Ottawa Senators @ Winnipeg Jets</t>
  </si>
  <si>
    <t>Chicago Blackhawks @ Toronto Maple Leafs</t>
  </si>
  <si>
    <t>Calgary Flames @ San Jose Sharks</t>
  </si>
  <si>
    <t>Colorado Avalanche @ Seattle Kraken</t>
  </si>
  <si>
    <t>Edmonton Oilers @ Pittsburgh Penguins</t>
  </si>
  <si>
    <t>Vancouver Canucks @ New York Rangers</t>
  </si>
  <si>
    <t>Anaheim Ducks @ Columbus Blue Jackets</t>
  </si>
  <si>
    <t>Washington Capitals @ Minnesota Wild</t>
  </si>
  <si>
    <t>Utah Mammoth @ Boston Bruins</t>
  </si>
  <si>
    <t>New Jersey Devils @ Vegas Golden Knights</t>
  </si>
  <si>
    <t>Carolina Hurricanes @ Nashville Predators</t>
  </si>
  <si>
    <t>Winnipeg Jets @ St. Louis Blues</t>
  </si>
  <si>
    <t>Utah Mammoth @ Detroit Red Wings</t>
  </si>
  <si>
    <t>Los Angeles Kings @ Florida Panthers</t>
  </si>
  <si>
    <t>Los Angeles Kings @ Tampa Bay Lightning</t>
  </si>
  <si>
    <t>New York Rangers @ St. Louis Blues</t>
  </si>
  <si>
    <t>Dallas Stars @ San Jose Sharks</t>
  </si>
  <si>
    <t>Pittsburgh Penguins @ Ottawa Senators</t>
  </si>
  <si>
    <t>Seattle Kraken @ Calgary Flames</t>
  </si>
  <si>
    <t>Minnesota Wild @ Columbus Blue Jackets</t>
  </si>
  <si>
    <t>Philadelphia Flyers @ Buffalo Sabres</t>
  </si>
  <si>
    <t>Edmonton Oilers @ Boston Bruins</t>
  </si>
  <si>
    <t>Chicago Blackhawks @ Montreal Canadiens</t>
  </si>
  <si>
    <t>Dallas Stars @ Anaheim Ducks</t>
  </si>
  <si>
    <t>Winnipeg Jets @ Colorado Avalanche</t>
  </si>
  <si>
    <t>Carolina Hurricanes @ Florida Panthers</t>
  </si>
  <si>
    <t>Vancouver Canucks @ New York Islanders</t>
  </si>
  <si>
    <t>New Jersey Devils @ Utah Mammoth</t>
  </si>
  <si>
    <t>Toronto Maple Leafs @ Nashville Predators</t>
  </si>
  <si>
    <t>Detroit Red Wings @ Washington Capitals</t>
  </si>
  <si>
    <t>Seattle Kraken @ San Jose Sharks</t>
  </si>
  <si>
    <t>Chicago Blackhawks @ Ottawa Senators</t>
  </si>
  <si>
    <t>Philadelphia Flyers @ New York Rangers</t>
  </si>
  <si>
    <t>Pittsburgh Penguins @ Montreal Canadiens</t>
  </si>
  <si>
    <t>Carolina Hurricanes @ Tampa Bay Lightning</t>
  </si>
  <si>
    <t>St. Louis Blues @ Florida Panthers</t>
  </si>
  <si>
    <t>Columbus Blue Jackets @ Anaheim Ducks</t>
  </si>
  <si>
    <t>Vancouver Canucks @ Boston Bruins</t>
  </si>
  <si>
    <t>Edmonton Oilers @ Minnesota Wild</t>
  </si>
  <si>
    <t>New York Islanders @ Buffalo Sabres</t>
  </si>
  <si>
    <t>New York Rangers @ Nashville Predators</t>
  </si>
  <si>
    <t>Buffalo Sabres @ New Jersey Devils</t>
  </si>
  <si>
    <t>Winnipeg Jets @ Utah Mammoth</t>
  </si>
  <si>
    <t>Vegas Golden Knights @ Edmonton Oilers</t>
  </si>
  <si>
    <t>Washington Capitals @ Detroit Red Wings</t>
  </si>
  <si>
    <t>Toronto Maple Leafs @ Dallas Stars</t>
  </si>
  <si>
    <t>Columbus Blue Jackets @ Los Angeles Kings</t>
  </si>
  <si>
    <t>Vancouver Canucks @ Philadelphia Flyers</t>
  </si>
  <si>
    <t>St. Louis Blues @ Tampa Bay Lightning</t>
  </si>
  <si>
    <t>Seattle Kraken @ Anaheim Ducks</t>
  </si>
  <si>
    <t>New York Rangers @ Washington Capitals</t>
  </si>
  <si>
    <t>Buffalo Sabres @ Ottawa Senators</t>
  </si>
  <si>
    <t>New Jersey Devils @ New York Islanders</t>
  </si>
  <si>
    <t>Seattle Kraken @ Los Angeles Kings</t>
  </si>
  <si>
    <t>Dallas Stars @ Detroit Red Wings</t>
  </si>
  <si>
    <t>Philadelphia Flyers @ Chicago Blackhawks</t>
  </si>
  <si>
    <t>Florida Panthers @ Carolina Hurricanes</t>
  </si>
  <si>
    <t>Montreal Canadiens @ Boston Bruins</t>
  </si>
  <si>
    <t>San Jose Sharks @ Vancouver Canucks</t>
  </si>
  <si>
    <t>Ottawa Senators @ Toronto Maple Leafs</t>
  </si>
  <si>
    <t>New York Rangers @ New York Islanders</t>
  </si>
  <si>
    <t>Anaheim Ducks @ Los Angeles Kings</t>
  </si>
  <si>
    <t>Chicago Blackhawks @ Dallas Stars</t>
  </si>
  <si>
    <t>Edmonton Oilers @ Calgary Flames</t>
  </si>
  <si>
    <t>Detroit Red Wings @ Carolina Hurricanes</t>
  </si>
  <si>
    <t>Boston Bruins @ Buffalo Sabres</t>
  </si>
  <si>
    <t>Washington Capitals @ New Jersey Devils</t>
  </si>
  <si>
    <t>Montreal Canadiens @ Tampa Bay Lightning</t>
  </si>
  <si>
    <t>Philadelphia Flyers @ Seattle Kraken</t>
  </si>
  <si>
    <t>Pittsburgh Penguins @ Chicago Blackhawks</t>
  </si>
  <si>
    <t>New York Islanders @ Columbus Blue Jackets</t>
  </si>
  <si>
    <t>San Jose Sharks @ Anaheim Ducks</t>
  </si>
  <si>
    <t>Nashville Predators @ Utah Mammoth</t>
  </si>
  <si>
    <t>Buffalo Sabres @ St. Louis Blues</t>
  </si>
  <si>
    <t>Vancouver Canucks @ Seattle Kraken</t>
  </si>
  <si>
    <t>Columbus Blue Jackets @ Ottawa Senators</t>
  </si>
  <si>
    <t>Edmonton Oilers @ Winnipeg Jets</t>
  </si>
  <si>
    <t>Los Angeles Kings @ Colorado Avalanche</t>
  </si>
  <si>
    <t>Boston Bruins @ Calgary Flames</t>
  </si>
  <si>
    <t>Minnesota Wild @ Vegas Golden Knights</t>
  </si>
  <si>
    <t>New York Islanders @ Chicago Blackhawks</t>
  </si>
  <si>
    <t>Montreal Canadiens @ Florida Panthers</t>
  </si>
  <si>
    <t>Carolina Hurricanes @ Pittsburgh Penguins</t>
  </si>
  <si>
    <t>Philadelphia Flyers @ Vancouver Canucks</t>
  </si>
  <si>
    <t>Winnipeg Jets @ Detroit Red Wings</t>
  </si>
  <si>
    <t>Nashville Predators @ Vegas Golden Knights</t>
  </si>
  <si>
    <t>Minnesota Wild @ San Jose Sharks</t>
  </si>
  <si>
    <t>Boston Bruins @ Edmonton Oilers</t>
  </si>
  <si>
    <t>Buffalo Sabres @ Dallas Stars</t>
  </si>
  <si>
    <t>Philadelphia Flyers @ Calgary Flames</t>
  </si>
  <si>
    <t>Tampa Bay Lightning @ Anaheim Ducks</t>
  </si>
  <si>
    <t>St. Louis Blues @ Colorado Avalanche</t>
  </si>
  <si>
    <t>Winnipeg Jets @ Toronto Maple Leafs</t>
  </si>
  <si>
    <t>Detroit Red Wings @ Pittsburgh Penguins</t>
  </si>
  <si>
    <t>Washington Capitals @ Ottawa Senators</t>
  </si>
  <si>
    <t>Nashville Predators @ Seattle Kraken</t>
  </si>
  <si>
    <t>Tampa Bay Lightning @ Los Angeles Kings</t>
  </si>
  <si>
    <t>Dallas Stars @ Chicago Blackhawks</t>
  </si>
  <si>
    <t>Montreal Canadiens @ Carolina Hurricanes</t>
  </si>
  <si>
    <t>Utah Mammoth @ New York Islanders</t>
  </si>
  <si>
    <t>Minnesota Wild @ Anaheim Ducks</t>
  </si>
  <si>
    <t>New York Rangers @ Florida Panthers</t>
  </si>
  <si>
    <t>Seattle Kraken @ Vancouver Canucks</t>
  </si>
  <si>
    <t>Toronto Maple Leafs @ New York Islanders</t>
  </si>
  <si>
    <t>Boston Bruins @ Vancouver Canucks</t>
  </si>
  <si>
    <t>Montreal Canadiens @ St. Louis Blues</t>
  </si>
  <si>
    <t>Tampa Bay Lightning @ San Jose Sharks</t>
  </si>
  <si>
    <t>Winnipeg Jets @ Ottawa Senators</t>
  </si>
  <si>
    <t>Utah Mammoth @ New Jersey Devils</t>
  </si>
  <si>
    <t>Chicago Blackhawks @ Washington Capitals</t>
  </si>
  <si>
    <t>Philadelphia Flyers @ Edmonton Oilers</t>
  </si>
  <si>
    <t>Pittsburgh Penguins @ Detroit Red Wings</t>
  </si>
  <si>
    <t>Nashville Predators @ Calgary Flames</t>
  </si>
  <si>
    <t>Buffalo Sabres @ Columbus Blue Jackets</t>
  </si>
  <si>
    <t>Colorado Avalanche @ Carolina Hurricanes</t>
  </si>
  <si>
    <t>Minnesota Wild @ Los Angeles Kings</t>
  </si>
  <si>
    <t>Colorado Avalanche @ Florida Panthers</t>
  </si>
  <si>
    <t>Montreal Canadiens @ Dallas Stars</t>
  </si>
  <si>
    <t>Carolina Hurricanes @ New Jersey Devils</t>
  </si>
  <si>
    <t>Vegas Golden Knights @ Chicago Blackhawks</t>
  </si>
  <si>
    <t>Utah Mammoth @ New York Rangers</t>
  </si>
  <si>
    <t>Detroit Red Wings @ Ottawa Senators</t>
  </si>
  <si>
    <t>Anaheim Ducks @ Washington Capitals</t>
  </si>
  <si>
    <t>Columbus Blue Jackets @ San Jose Sharks</t>
  </si>
  <si>
    <t>Vegas Golden Knights @ Winnipeg Jets</t>
  </si>
  <si>
    <t>Florida Panthers @ Toronto Maple Leafs</t>
  </si>
  <si>
    <t>Colorado Avalanche @ Tampa Bay Lightning</t>
  </si>
  <si>
    <t>Boston Bruins @ Seattle Kraken</t>
  </si>
  <si>
    <t>Dallas Stars @ Carolina Hurricanes</t>
  </si>
  <si>
    <t>Nashville Predators @ Edmonton Oilers</t>
  </si>
  <si>
    <t>Vancouver Canucks @ Buffalo Sabres</t>
  </si>
  <si>
    <t>Anaheim Ducks @ Philadelphia Flyers</t>
  </si>
  <si>
    <t>St. Louis Blues @ Chicago Blackhawks</t>
  </si>
  <si>
    <t>San Jose Sharks @ Los Angeles Kings</t>
  </si>
  <si>
    <t>Calgary Flames @ Montreal Canadiens</t>
  </si>
  <si>
    <t>Ottawa Senators @ Utah Mammoth</t>
  </si>
  <si>
    <t>Dallas Stars @ Washington Capitals</t>
  </si>
  <si>
    <t>New Jersey Devils @ Pittsburgh Penguins</t>
  </si>
  <si>
    <t>Columbus Blue Jackets @ Vegas Golden Knights</t>
  </si>
  <si>
    <t>Buffalo Sabres @ New York Rangers</t>
  </si>
  <si>
    <t>Florida Panthers @ Montreal Canadiens</t>
  </si>
  <si>
    <t>Vancouver Canucks @ Detroit Red Wings</t>
  </si>
  <si>
    <t>Ottawa Senators @ Colorado Avalanche</t>
  </si>
  <si>
    <t>Anaheim Ducks @ Carolina Hurricanes</t>
  </si>
  <si>
    <t>Calgary Flames @ Boston Bruins</t>
  </si>
  <si>
    <t>New York Islanders @ Nashville Predators</t>
  </si>
  <si>
    <t>Washington Capitals @ Chicago Blackhawks</t>
  </si>
  <si>
    <t>St. Louis Blues @ Utah Mammoth</t>
  </si>
  <si>
    <t>St. Louis Blues @ Vegas Golden Knights</t>
  </si>
  <si>
    <t>Vancouver Canucks @ Toronto Maple Leafs</t>
  </si>
  <si>
    <t>Calgary Flames @ Pittsburgh Penguins</t>
  </si>
  <si>
    <t>Tampa Bay Lightning @ Philadelphia Flyers</t>
  </si>
  <si>
    <t>Florida Panthers @ Ottawa Senators</t>
  </si>
  <si>
    <t>Chicago Blackhawks @ Nashville Predators</t>
  </si>
  <si>
    <t>New York Islanders @ Minnesota Wild</t>
  </si>
  <si>
    <t>Los Angeles Kings @ Edmonton Oilers</t>
  </si>
  <si>
    <t>Columbus Blue Jackets @ Colorado Avalanche</t>
  </si>
  <si>
    <t>Seattle Kraken @ Carolina Hurricanes</t>
  </si>
  <si>
    <t>Anaheim Ducks @ Buffalo Sabres</t>
  </si>
  <si>
    <t>Detroit Red Wings @ Montreal Canadiens</t>
  </si>
  <si>
    <t>Pittsburgh Penguins @ Boston Bruins</t>
  </si>
  <si>
    <t>Washington Capitals @ Nashville Predators</t>
  </si>
  <si>
    <t>Columbus Blue Jackets @ Utah Mammoth</t>
  </si>
  <si>
    <t>New Jersey Devils @ Winnipeg Jets</t>
  </si>
  <si>
    <t>Seattle Kraken @ New York Rangers</t>
  </si>
  <si>
    <t>Vancouver Canucks @ Montreal Canadiens</t>
  </si>
  <si>
    <t>New Jersey Devils @ Minnesota Wild</t>
  </si>
  <si>
    <t>Carolina Hurricanes @ Detroit Red Wings</t>
  </si>
  <si>
    <t>Toronto Maple Leafs @ Colorado Avalanche</t>
  </si>
  <si>
    <t>Edmonton Oilers @ Chicago Blackhawks</t>
  </si>
  <si>
    <t>Dallas Stars @ Los Angeles Kings</t>
  </si>
  <si>
    <t>Carolina Hurricanes @ St. Louis Blues</t>
  </si>
  <si>
    <t>Montreal Canadiens @ Washington Capitals</t>
  </si>
  <si>
    <t>New York Islanders @ Winnipeg Jets</t>
  </si>
  <si>
    <t>Tampa Bay Lightning @ Pittsburgh Penguins</t>
  </si>
  <si>
    <t>Toronto Maple Leafs @ Utah Mammoth</t>
  </si>
  <si>
    <t>Edmonton Oilers @ Nashville Predators</t>
  </si>
  <si>
    <t>Calgary Flames @ Columbus Blue Jackets</t>
  </si>
  <si>
    <t>Vancouver Canucks @ Ottawa Senators</t>
  </si>
  <si>
    <t>Vegas Golden Knights @ Los Angeles Kings</t>
  </si>
  <si>
    <t>Seattle Kraken @ New Jersey Devils</t>
  </si>
  <si>
    <t>Ottawa Senators @ New York Rangers</t>
  </si>
  <si>
    <t>San Jose Sharks @ Washington Capitals</t>
  </si>
  <si>
    <t>Toronto Maple Leafs @ Vegas Golden Knights</t>
  </si>
  <si>
    <t>Dallas Stars @ Utah Mammoth</t>
  </si>
  <si>
    <t>Philadelphia Flyers @ Pittsburgh Penguins</t>
  </si>
  <si>
    <t>Montreal Canadiens @ Buffalo Sabres</t>
  </si>
  <si>
    <t>Vancouver Canucks @ Columbus Blue Jackets</t>
  </si>
  <si>
    <t>Seattle Kraken @ Boston Bruins</t>
  </si>
  <si>
    <t>New York Islanders @ Edmonton Oilers</t>
  </si>
  <si>
    <t>Tampa Bay Lightning @ St. Louis Blues</t>
  </si>
  <si>
    <t>San Jose Sharks @ Detroit Red Wings</t>
  </si>
  <si>
    <t>Florida Panthers @ Washington Capitals</t>
  </si>
  <si>
    <t>Toronto Maple Leafs @ Winnipeg Jets</t>
  </si>
  <si>
    <t>New York Rangers @ Philadelphia Flyers</t>
  </si>
  <si>
    <t>Boston Bruins @ Chicago Blackhawks</t>
  </si>
  <si>
    <t>New York Islanders @ Calgary Flames</t>
  </si>
  <si>
    <t>Minnesota Wild @ Buffalo Sabres</t>
  </si>
  <si>
    <t>Montreal Canadiens @ Ottawa Senators</t>
  </si>
  <si>
    <t>St. Louis Blues @ Edmonton Oilers</t>
  </si>
  <si>
    <t>Tampa Bay Lightning @ Dallas Stars</t>
  </si>
  <si>
    <t>Ottawa Senators @ Detroit Red Wings</t>
  </si>
  <si>
    <t>Minnesota Wild @ Toronto Maple Leafs</t>
  </si>
  <si>
    <t>Pittsburgh Penguins @ Seattle Kraken</t>
  </si>
  <si>
    <t>New York Islanders @ Vancouver Canucks</t>
  </si>
  <si>
    <t>Philadelphia Flyers @ Vegas Golden Knights</t>
  </si>
  <si>
    <t>San Jose Sharks @ Florida Panthers</t>
  </si>
  <si>
    <t>Winnipeg Jets @ Chicago Blackhawks</t>
  </si>
  <si>
    <t>New Jersey Devils @ Calgary Flames</t>
  </si>
  <si>
    <t>New York Rangers @ Anaheim Ducks</t>
  </si>
  <si>
    <t>Washington Capitals @ Colorado Avalanche</t>
  </si>
  <si>
    <t>St. Louis Blues @ Winnipeg Jets</t>
  </si>
  <si>
    <t>Buffalo Sabres @ Nashville Predators</t>
  </si>
  <si>
    <t>Minnesota Wild @ Montreal Canadiens</t>
  </si>
  <si>
    <t>San Jose Sharks @ Tampa Bay Lightning</t>
  </si>
  <si>
    <t>New Jersey Devils @ Edmonton Oilers</t>
  </si>
  <si>
    <t>Boston Bruins @ Dallas Stars</t>
  </si>
  <si>
    <t>New York Rangers @ Los Angeles Kings</t>
  </si>
  <si>
    <t>Pittsburgh Penguins @ Calgary Flames</t>
  </si>
  <si>
    <t>New York Islanders @ Seattle Kraken</t>
  </si>
  <si>
    <t>Philadelphia Flyers @ Utah Mammoth</t>
  </si>
  <si>
    <t>Washington Capitals @ Vancouver Canucks</t>
  </si>
  <si>
    <t>Florida Panthers @ Winnipeg Jets</t>
  </si>
  <si>
    <t>Ottawa Senators @ Nashville Predators</t>
  </si>
  <si>
    <t>Detroit Red Wings @ Minnesota Wild</t>
  </si>
  <si>
    <t>Vegas Golden Knights @ Boston Bruins</t>
  </si>
  <si>
    <t>Dallas Stars @ Columbus Blue Jackets</t>
  </si>
  <si>
    <t>Chicago Blackhawks @ Carolina Hurricanes</t>
  </si>
  <si>
    <t>Pittsburgh Penguins @ Edmonton Oilers</t>
  </si>
  <si>
    <t>Washington Capitals @ Calgary Flames</t>
  </si>
  <si>
    <t>Tampa Bay Lightning @ Chicago Blackhawks</t>
  </si>
  <si>
    <t>Philadelphia Flyers @ Colorado Avalanche</t>
  </si>
  <si>
    <t>St. Louis Blues @ Dallas Stars</t>
  </si>
  <si>
    <t>New York Rangers @ San Jose Sharks</t>
  </si>
  <si>
    <t>Vegas Golden Knights @ Toronto Maple Leafs</t>
  </si>
  <si>
    <t>New Jersey Devils @ Vancouver Canucks</t>
  </si>
  <si>
    <t>Carolina Hurricanes @ Ottawa Senators</t>
  </si>
  <si>
    <t>Detroit Red Wings @ Winnipeg Jets</t>
  </si>
  <si>
    <t>Buffalo Sabres @ New York Islanders</t>
  </si>
  <si>
    <t>Florida Panthers @ Minnesota Wild</t>
  </si>
  <si>
    <t>Washington Capitals @ Edmonton Oilers</t>
  </si>
  <si>
    <t>Colorado Avalanche @ Toronto Maple Leafs</t>
  </si>
  <si>
    <t>New Jersey Devils @ Seattle Kraken</t>
  </si>
  <si>
    <t>Pittsburgh Penguins @ Vancouver Canucks</t>
  </si>
  <si>
    <t>Florida Panthers @ Chicago Blackhawks</t>
  </si>
  <si>
    <t>Anaheim Ducks @ Calgary Flames</t>
  </si>
  <si>
    <t>Vegas Golden Knights @ Ottawa Senators</t>
  </si>
  <si>
    <t>Los Angeles Kings @ Columbus Blue Jackets</t>
  </si>
  <si>
    <t>Anaheim Ducks @ Edmonton Oilers</t>
  </si>
  <si>
    <t>Boston Bruins @ New York Rangers</t>
  </si>
  <si>
    <t>Utah Mammoth @ Tampa Bay Lightning</t>
  </si>
  <si>
    <t>Washington Capitals @ Seattle Kraken</t>
  </si>
  <si>
    <t>Winnipeg Jets @ New Jersey Devils</t>
  </si>
  <si>
    <t>Utah Mammoth @ Florida Panthers</t>
  </si>
  <si>
    <t>Chicago Blackhawks @ Minnesota Wild</t>
  </si>
  <si>
    <t>Los Angeles Kings @ Detroit Red Wings</t>
  </si>
  <si>
    <t>Nashville Predators @ Boston Bruins</t>
  </si>
  <si>
    <t>Vegas Golden Knights @ Montreal Canadiens</t>
  </si>
  <si>
    <t>Philadelphia Flyers @ Columbus Blue Jackets</t>
  </si>
  <si>
    <t>Colorado Avalanche @ Ottawa Senators</t>
  </si>
  <si>
    <t>Dallas Stars @ Vegas Golden Knights</t>
  </si>
  <si>
    <t>Winnipeg Jets @ Tampa Bay Lightning</t>
  </si>
  <si>
    <t>Florida Panthers @ St. Louis Blues</t>
  </si>
  <si>
    <t>Toronto Maple Leafs @ Seattle Kraken</t>
  </si>
  <si>
    <t>Chicago Blackhawks @ Pittsburgh Penguins</t>
  </si>
  <si>
    <t>Nashville Predators @ New Jersey Devils</t>
  </si>
  <si>
    <t>Anaheim Ducks @ Vancouver Canucks</t>
  </si>
  <si>
    <t>Philadelphia Flyers @ Boston Bruins</t>
  </si>
  <si>
    <t>Los Angeles Kings @ Buffalo Sabres</t>
  </si>
  <si>
    <t>Colorado Avalanche @ Montreal Canadiens</t>
  </si>
  <si>
    <t>San Jose Sharks @ Edmonton Oilers</t>
  </si>
  <si>
    <t>Utah Mammoth @ Carolina Hurricanes</t>
  </si>
  <si>
    <t>Columbus Blue Jackets @ Chicago Blackhawks</t>
  </si>
  <si>
    <t>Seattle Kraken @ Vegas Golden Knights</t>
  </si>
  <si>
    <t>Toronto Maple Leafs @ Vancouver Canucks</t>
  </si>
  <si>
    <t>Columbus Blue Jackets @ St. Louis Blues</t>
  </si>
  <si>
    <t>Los Angeles Kings @ Philadelphia Flyers</t>
  </si>
  <si>
    <t>Nashville Predators @ New York Islanders</t>
  </si>
  <si>
    <t>Winnipeg Jets @ Florida Panthers</t>
  </si>
  <si>
    <t>Colorado Avalanche @ Detroit Red Wings</t>
  </si>
  <si>
    <t>Boston Bruins @ Tampa Bay Lightning</t>
  </si>
  <si>
    <t>Los Angeles Kings @ Carolina Hurricanes</t>
  </si>
  <si>
    <t>Vancouver Canucks @ Utah Mammoth</t>
  </si>
  <si>
    <t>Toronto Maple Leafs @ Calgary Flames</t>
  </si>
  <si>
    <t>San Jose Sharks @ Chicago Blackhawks</t>
  </si>
  <si>
    <t>Detroit Red Wings @ Colorado Avalanche</t>
  </si>
  <si>
    <t>Winnipeg Jets @ Dallas Stars</t>
  </si>
  <si>
    <t>Buffalo Sabres @ Florida Panthers</t>
  </si>
  <si>
    <t>Montreal Canadiens @ Minnesota Wild</t>
  </si>
  <si>
    <t>Ottawa Senators @ Pittsburgh Penguins</t>
  </si>
  <si>
    <t>Washington Capitals @ Philadelphia Flyers</t>
  </si>
  <si>
    <t>Pittsburgh Penguins @ New York Islanders</t>
  </si>
  <si>
    <t>Ottawa Senators @ Carolina Hurricanes</t>
  </si>
  <si>
    <t>Buffalo Sabres @ Tampa Bay Lightning</t>
  </si>
  <si>
    <t>Toronto Maple Leafs @ Edmonton Oilers</t>
  </si>
  <si>
    <t>Detroit Red Wings @ Utah Mammoth</t>
  </si>
  <si>
    <t>Minnesota Wild @ Nashville Predators</t>
  </si>
  <si>
    <t>Montreal Canadiens @ Winnipeg Jets</t>
  </si>
  <si>
    <t>Vancouver Canucks @ Vegas Golden Knights</t>
  </si>
  <si>
    <t>Chicago Blackhawks @ Columbus Blue Jackets</t>
  </si>
  <si>
    <t>Boston Bruins @ Florida Panthers</t>
  </si>
  <si>
    <t>Pittsburgh Penguins @ Buffalo Sabres</t>
  </si>
  <si>
    <t>Nashville Predators @ Washington Capitals</t>
  </si>
  <si>
    <t>Philadelphia Flyers @ Washington Capitals</t>
  </si>
  <si>
    <t>Toronto Maple Leafs @ Tampa Bay Lightning</t>
  </si>
  <si>
    <t>Edmonton Oilers @ Anaheim Ducks</t>
  </si>
  <si>
    <t>Tampa Bay Lightning @ Carolina Hurricanes</t>
  </si>
  <si>
    <t>Edmonton Oilers @ Los Angeles Kings</t>
  </si>
  <si>
    <t>Minnesota Wild @ Colorado Avalanche</t>
  </si>
  <si>
    <t>Columbus Blue Jackets @ Boston Bruins</t>
  </si>
  <si>
    <t>New York Islanders @ Montreal Canadiens</t>
  </si>
  <si>
    <t>Minnesota Wild @ Utah Mammoth</t>
  </si>
  <si>
    <t>Vegas Golden Knights @ Washington Capitals</t>
  </si>
  <si>
    <t>Edmonton Oilers @ San Jose Sharks</t>
  </si>
  <si>
    <t>New Jersey Devils @ St. Louis Blues</t>
  </si>
  <si>
    <t>Boston Bruins @ Philadelphia Flyers</t>
  </si>
  <si>
    <t>Chicago Blackhawks @ Colorado Avalanche</t>
  </si>
  <si>
    <t>Nashville Predators @ Dallas Stars</t>
  </si>
  <si>
    <t>Calgary Flames @ Anaheim Ducks</t>
  </si>
  <si>
    <t>St. Louis Blues @ Minnesota Wild</t>
  </si>
  <si>
    <t>Florida Panthers @ New York Islanders</t>
  </si>
  <si>
    <t>Vegas Golden Knights @ Pittsburgh Penguins</t>
  </si>
  <si>
    <t>Chicago Blackhawks @ Utah Mammoth</t>
  </si>
  <si>
    <t>Philadelphia Flyers @ Toronto Maple Leafs</t>
  </si>
  <si>
    <t>Carolina Hurricanes @ Seattle Kraken</t>
  </si>
  <si>
    <t>Detroit Red Wings @ Nashville Predators</t>
  </si>
  <si>
    <t>Columbus Blue Jackets @ New York Rangers</t>
  </si>
  <si>
    <t>Utah Mammoth @ Washington Capitals</t>
  </si>
  <si>
    <t>Montreal Canadiens @ San Jose Sharks</t>
  </si>
  <si>
    <t>Ottawa Senators @ Edmonton Oilers</t>
  </si>
  <si>
    <t>Tampa Bay Lightning @ Minnesota Wild</t>
  </si>
  <si>
    <t>Nashville Predators @ Columbus Blue Jackets</t>
  </si>
  <si>
    <t>Vegas Golden Knights @ Buffalo Sabres</t>
  </si>
  <si>
    <t>Colorado Avalanche @ Anaheim Ducks</t>
  </si>
  <si>
    <t>St. Louis Blues @ Seattle Kraken</t>
  </si>
  <si>
    <t>New York Islanders @ Anaheim Ducks</t>
  </si>
  <si>
    <t>Vegas Golden Knights @ Detroit Red Wings</t>
  </si>
  <si>
    <t>Toronto Maple Leafs @ New Jersey Devils</t>
  </si>
  <si>
    <t>Carolina Hurricanes @ Vancouver Canucks</t>
  </si>
  <si>
    <t>Utah Mammoth @ Philadelphia Flyers</t>
  </si>
  <si>
    <t>Tampa Bay Lightning @ Winnipeg Jets</t>
  </si>
  <si>
    <t>Toronto Maple Leafs @ New York Rangers</t>
  </si>
  <si>
    <t>New York Islanders @ Los Angeles Kings</t>
  </si>
  <si>
    <t>Ottawa Senators @ Calgary Flames</t>
  </si>
  <si>
    <t>Florida Panthers @ Columbus Blue Jackets</t>
  </si>
  <si>
    <t>Boston Bruins @ Nashville Predators</t>
  </si>
  <si>
    <t>Montreal Canadiens @ Anaheim Ducks</t>
  </si>
  <si>
    <t>Colorado Avalanche @ Dallas Stars</t>
  </si>
  <si>
    <t>Carolina Hurricanes @ Edmonton Oilers</t>
  </si>
  <si>
    <t>St. Louis Blues @ San Jose Sharks</t>
  </si>
  <si>
    <t>Vancouver Canucks @ Winnipeg Jets</t>
  </si>
  <si>
    <t>Ottawa Senators @ Seattle Kraken</t>
  </si>
  <si>
    <t>17:30:00</t>
  </si>
  <si>
    <t>New York Rangers @ New Jersey Devils</t>
  </si>
  <si>
    <t>New York Islanders @ San Jose Sharks</t>
  </si>
  <si>
    <t>Carolina Hurricanes @ Calgary Flames</t>
  </si>
  <si>
    <t>Utah Mammoth @ Columbus Blue Jackets</t>
  </si>
  <si>
    <t>Nashville Predators @ Buffalo Sabres</t>
  </si>
  <si>
    <t>Washington Capitals @ Boston Bruins</t>
  </si>
  <si>
    <t>Montreal Canadiens @ Los Angeles Kings</t>
  </si>
  <si>
    <t>Edmonton Oilers @ Vegas Golden Knights</t>
  </si>
  <si>
    <t>16:30:00</t>
  </si>
  <si>
    <t>Boston Bruins @ Pittsburgh Penguins</t>
  </si>
  <si>
    <t>Tampa Bay Lightning @ Buffalo Sabres</t>
  </si>
  <si>
    <t>St. Louis Blues @ Anaheim Ducks</t>
  </si>
  <si>
    <t>Ottawa Senators @ Vancouver Canucks</t>
  </si>
  <si>
    <t>Calgary Flames @ Washington Capitals</t>
  </si>
  <si>
    <t>Calgary Flames @ New York Rangers</t>
  </si>
  <si>
    <t>Anaheim Ducks @ Winnipeg Jets</t>
  </si>
  <si>
    <t>Columbus Blue Jackets @ Tampa Bay Lightning</t>
  </si>
  <si>
    <t>New York Islanders @ St. Louis Blues</t>
  </si>
  <si>
    <t>Detroit Red Wings @ Florida Panthers</t>
  </si>
  <si>
    <t>Vegas Golden Knights @ Dallas Stars</t>
  </si>
  <si>
    <t>Edmonton Oilers @ Colorado Avalanche</t>
  </si>
  <si>
    <t>Pittsburgh Penguins @ Carolina Hurricanes</t>
  </si>
  <si>
    <t>San Jose Sharks @ Buffalo Sabres</t>
  </si>
  <si>
    <t>Los Angeles Kings @ Boston Bruins</t>
  </si>
  <si>
    <t>New York Rangers @ Winnipeg Jets</t>
  </si>
  <si>
    <t>Pittsburgh Penguins @ Vegas Golden Knights</t>
  </si>
  <si>
    <t>Anaheim Ducks @ Toronto Maple Leafs</t>
  </si>
  <si>
    <t>Detroit Red Wings @ Tampa Bay Lightning</t>
  </si>
  <si>
    <t>Nashville Predators @ Vancouver Canucks</t>
  </si>
  <si>
    <t>Philadelphia Flyers @ Minnesota Wild</t>
  </si>
  <si>
    <t>St. Louis Blues @ Carolina Hurricanes</t>
  </si>
  <si>
    <t>San Jose Sharks @ Boston Bruins</t>
  </si>
  <si>
    <t>Calgary Flames @ New Jersey Devils</t>
  </si>
  <si>
    <t>Los Angeles Kings @ New York Islanders</t>
  </si>
  <si>
    <t>Colorado Avalanche @ Winnipeg Jets</t>
  </si>
  <si>
    <t>Pittsburgh Penguins @ Utah Mammoth</t>
  </si>
  <si>
    <t>Columbus Blue Jackets @ Philadelphia Flyers</t>
  </si>
  <si>
    <t>San Jose Sharks @ Montreal Canadiens</t>
  </si>
  <si>
    <t>Calgary Flames @ New York Islanders</t>
  </si>
  <si>
    <t>Los Angeles Kings @ New Jersey Devils</t>
  </si>
  <si>
    <t>New York Rangers @ Minnesota Wild</t>
  </si>
  <si>
    <t>Detroit Red Wings @ Dallas Stars</t>
  </si>
  <si>
    <t>Anaheim Ducks @ Ottawa Senators</t>
  </si>
  <si>
    <t>Florida Panthers @ Seattle Kraken</t>
  </si>
  <si>
    <t>San Jose Sharks @ Ottawa Senators</t>
  </si>
  <si>
    <t>Anaheim Ducks @ Montreal Canadiens</t>
  </si>
  <si>
    <t>Toronto Maple Leafs @ Minnesota Wild</t>
  </si>
  <si>
    <t>Pittsburgh Penguins @ Colorado Avalanche</t>
  </si>
  <si>
    <t>Calgary Flames @ Detroit Red Wings</t>
  </si>
  <si>
    <t>Boston Bruins @ New Jersey Devils</t>
  </si>
  <si>
    <t>Los Angeles Kings @ New York Rangers</t>
  </si>
  <si>
    <t>Buffalo Sabres @ Vegas Golden Knights</t>
  </si>
  <si>
    <t>Florida Panthers @ Vancouver Canucks</t>
  </si>
  <si>
    <t>New York Islanders @ Toronto Maple Leafs</t>
  </si>
  <si>
    <t>Carolina Hurricanes @ Columbus Blue Jackets</t>
  </si>
  <si>
    <t>Tampa Bay Lightning @ Seattle Kraken</t>
  </si>
  <si>
    <t>New Jersey Devils @ New York Rangers</t>
  </si>
  <si>
    <t>Philadelphia Flyers @ Anaheim Ducks</t>
  </si>
  <si>
    <t>Utah Mammoth @ Vegas Golden Knights</t>
  </si>
  <si>
    <t>Tampa Bay Lightning @ Vancouver Canucks</t>
  </si>
  <si>
    <t>Buffalo Sabres @ San Jose Sharks</t>
  </si>
  <si>
    <t>Seattle Kraken @ Nashville Predators</t>
  </si>
  <si>
    <t>Florida Panthers @ Edmonton Oilers</t>
  </si>
  <si>
    <t>Winnipeg Jets @ Boston Bruins</t>
  </si>
  <si>
    <t>Philadelphia Flyers @ Los Angeles Kings</t>
  </si>
  <si>
    <t>Florida Panthers @ Calgary Flames</t>
  </si>
  <si>
    <t>Anaheim Ducks @ Utah Mammoth</t>
  </si>
  <si>
    <t>Winnipeg Jets @ Pittsburgh Penguins</t>
  </si>
  <si>
    <t>Tampa Bay Lightning @ Edmonton Oilers</t>
  </si>
  <si>
    <t>Toronto Maple Leafs @ Ottawa Senators</t>
  </si>
  <si>
    <t>Philadelphia Flyers @ San Jose Sharks</t>
  </si>
  <si>
    <t>Vegas Golden Knights @ Nashville Predators</t>
  </si>
  <si>
    <t>Seattle Kraken @ Columbus Blue Jackets</t>
  </si>
  <si>
    <t>Buffalo Sabres @ Los Angeles Kings</t>
  </si>
  <si>
    <t>Colorado Avalanche @ Washington Capitals</t>
  </si>
  <si>
    <t>Winnipeg Jets @ New York Rangers</t>
  </si>
  <si>
    <t>Tampa Bay Lightning @ Calgary Flames</t>
  </si>
  <si>
    <t>Buffalo Sabres @ Anaheim Ducks</t>
  </si>
  <si>
    <t>Colorado Avalanche @ Pittsburgh Penguins</t>
  </si>
  <si>
    <t>Edmonton Oilers @ Utah Mammoth</t>
  </si>
  <si>
    <t>Minnesota Wild @ Tampa Bay Lightning</t>
  </si>
  <si>
    <t>Washington Capitals @ St. Louis Blues</t>
  </si>
  <si>
    <t>New Jersey Devils @ Dallas Stars</t>
  </si>
  <si>
    <t>San Jose Sharks @ Nashville Predators</t>
  </si>
  <si>
    <t>Carolina Hurricanes @ Montreal Canadiens</t>
  </si>
  <si>
    <t>Seattle Kraken @ Florida Panthers</t>
  </si>
  <si>
    <t>Los Angeles Kings @ Calgary Flames</t>
  </si>
  <si>
    <t>Chicago Blackhawks @ New York Islanders</t>
  </si>
  <si>
    <t>Washington Capitals @ Utah Mammoth</t>
  </si>
  <si>
    <t>San Jose Sharks @ St. Louis Blues</t>
  </si>
  <si>
    <t>Los Angeles Kings @ Vancouver Canucks</t>
  </si>
  <si>
    <t>Chicago Blackhawks @ Philadelphia Flyers</t>
  </si>
  <si>
    <t>Seattle Kraken @ Tampa Bay Lightning</t>
  </si>
  <si>
    <t>Dallas Stars @ New York Islanders</t>
  </si>
  <si>
    <t>New Jersey Devils @ Nashville Predators</t>
  </si>
  <si>
    <t>Columbus Blue Jackets @ Montreal Canadiens</t>
  </si>
  <si>
    <t>Minnesota Wild @ Florida Panthers</t>
  </si>
  <si>
    <t>Chicago Blackhawks @ New York Rangers</t>
  </si>
  <si>
    <t>Washington Capitals @ Vegas Golden Knights</t>
  </si>
  <si>
    <t>Toronto Maple Leafs @ St. Louis Blues</t>
  </si>
  <si>
    <t>Dallas Stars @ Pittsburgh Penguins</t>
  </si>
  <si>
    <t>Montreal Canadiens @ Nashville Predators</t>
  </si>
  <si>
    <t>Utah Mammoth @ Los Angeles Kings</t>
  </si>
  <si>
    <t>Vancouver Canucks @ Calgary Flames</t>
  </si>
  <si>
    <t>San Jose Sharks @ Columbus Blue Jackets</t>
  </si>
  <si>
    <t>Seattle Kraken @ Buffalo Sabres</t>
  </si>
  <si>
    <t>Minnesota Wild @ Boston Bruins</t>
  </si>
  <si>
    <t>Philadelphia Flyers @ Detroit Red Wings</t>
  </si>
  <si>
    <t>Nashville Predators @ Tampa Bay Lightning</t>
  </si>
  <si>
    <t>Dallas Stars @ Philadelphia Flyers</t>
  </si>
  <si>
    <t>Florida Panthers @ New York Rangers</t>
  </si>
  <si>
    <t>Boston Bruins @ Columbus Blue Jackets</t>
  </si>
  <si>
    <t>Chicago Blackhawks @ New Jersey Devils</t>
  </si>
  <si>
    <t>Toronto Maple Leafs @ Anaheim Ducks</t>
  </si>
  <si>
    <t>Calgary Flames @ Colorado Avalanche</t>
  </si>
  <si>
    <t>Dallas Stars @ Boston Bruins</t>
  </si>
  <si>
    <t>St. Louis Blues @ Los Angeles Kings</t>
  </si>
  <si>
    <t>Toronto Maple Leafs @ San Jose Sharks</t>
  </si>
  <si>
    <t>Utah Mammoth @ Seattle Kraken</t>
  </si>
  <si>
    <t>Detroit Red Wings @ Philadelphia Flyers</t>
  </si>
  <si>
    <t>Nashville Predators @ Los Angeles Kings</t>
  </si>
  <si>
    <t>Buffalo Sabres @ Washington Capitals</t>
  </si>
  <si>
    <t>Nashville Predators @ San Jose Sharks</t>
  </si>
  <si>
    <t>Florida Panthers @ Pittsburgh Penguins</t>
  </si>
  <si>
    <t>Minnesota Wild @ Ottawa Senators</t>
  </si>
  <si>
    <t>Toronto Maple Leafs @ Los Angeles Kings</t>
  </si>
  <si>
    <t>Winnipeg Jets @ Columbus Blue Jackets</t>
  </si>
  <si>
    <t>Minnesota Wild @ Detroit Red Wings</t>
  </si>
  <si>
    <t>New Jersey Devils @ Montreal Canadiens</t>
  </si>
  <si>
    <t>Chicago Blackhawks @ San Jose Sharks</t>
  </si>
  <si>
    <t>Colorado Avalanche @ St. Louis Blues</t>
  </si>
  <si>
    <t>Tampa Bay Lightning @ Ottawa Senators</t>
  </si>
  <si>
    <t>Calgary Flames @ Dallas Stars</t>
  </si>
  <si>
    <t>Vegas Golden Knights @ Vancouver Canucks</t>
  </si>
  <si>
    <t>Boston Bruins @ Carolina Hurricanes</t>
  </si>
  <si>
    <t>Nashville Predators @ Anaheim Ducks</t>
  </si>
  <si>
    <t>Seattle Kraken @ Minnesota Wild</t>
  </si>
  <si>
    <t>Washington Capitals @ Toronto Maple Leafs</t>
  </si>
  <si>
    <t>Carolina Hurricanes @ Chicago Blackhawks</t>
  </si>
  <si>
    <t>Calgary Flames @ Seattle Kraken</t>
  </si>
  <si>
    <t>Philadelphia Flyers @ Winnipeg Jets</t>
  </si>
  <si>
    <t>Carolina Hurricanes @ Utah Mammoth</t>
  </si>
  <si>
    <t>Ottawa Senators @ New York Islanders</t>
  </si>
  <si>
    <t>New Jersey Devils @ Detroit Red Wings</t>
  </si>
  <si>
    <t>New York Rangers @ Dallas Stars</t>
  </si>
  <si>
    <t>Vegas Golden Knights @ Colorado Avalanche</t>
  </si>
  <si>
    <t>Pittsburgh Penguins @ Washington Capitals</t>
  </si>
  <si>
    <t>Montreal Canadiens @ New York Islanders</t>
  </si>
  <si>
    <t>Ottawa Senators @ New Jersey Devils</t>
  </si>
  <si>
    <t>Winnipeg Jets @ Vegas Golden Knights</t>
  </si>
  <si>
    <t>Dallas Stars @ Toronto Maple Leafs</t>
  </si>
  <si>
    <t>Buffalo Sabres @ Chicago Blackhawks</t>
  </si>
  <si>
    <t>Pittsburgh Penguins @ St. Louis Blues</t>
  </si>
  <si>
    <t>Montreal Canadiens @ Philadelphia Flyers</t>
  </si>
  <si>
    <t>Carolina Hurricanes @ New York Islanders</t>
  </si>
  <si>
    <t>Colorado Avalanche @ Calgary Flames</t>
  </si>
  <si>
    <t>Dallas Stars @ Buffalo Sabres</t>
  </si>
  <si>
    <t>Seattle Kraken @ Colorado Avalanche</t>
  </si>
  <si>
    <t>San Jose Sharks @ Winnipeg Jets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</si>
</sst>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1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165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8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%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0.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0.392827083335" createdVersion="8" refreshedVersion="8" minRefreshableVersion="3" recordCount="32" xr:uid="{08FE906C-B966-1C47-96E4-36DEA2271602}">
  <cacheSource type="worksheet">
    <worksheetSource name="Table1"/>
  </cacheSource>
  <cacheFields count="14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13" maxValue="16"/>
    </cacheField>
    <cacheField name="W" numFmtId="0">
      <sharedItems containsSemiMixedTypes="0" containsString="0" containsNumber="1" containsInteger="1" minValue="4" maxValue="10"/>
    </cacheField>
    <cacheField name="L" numFmtId="0">
      <sharedItems containsSemiMixedTypes="0" containsString="0" containsNumber="1" containsInteger="1" minValue="1" maxValue="10"/>
    </cacheField>
    <cacheField name="OTL" numFmtId="0">
      <sharedItems containsSemiMixedTypes="0" containsString="0" containsNumber="1" containsInteger="1" minValue="0" maxValue="5"/>
    </cacheField>
    <cacheField name="PTS" numFmtId="0">
      <sharedItems containsSemiMixedTypes="0" containsString="0" containsNumber="1" containsInteger="1" minValue="10" maxValue="21"/>
    </cacheField>
    <cacheField name="HomeWins" numFmtId="0">
      <sharedItems containsSemiMixedTypes="0" containsString="0" containsNumber="1" containsInteger="1" minValue="0" maxValue="7"/>
    </cacheField>
    <cacheField name="HomeLoss" numFmtId="0">
      <sharedItems containsSemiMixedTypes="0" containsString="0" containsNumber="1" containsInteger="1" minValue="0" maxValue="5"/>
    </cacheField>
    <cacheField name="HomeOTL" numFmtId="0">
      <sharedItems containsSemiMixedTypes="0" containsString="0" containsNumber="1" containsInteger="1" minValue="0" maxValue="3"/>
    </cacheField>
    <cacheField name="AwayWins" numFmtId="0">
      <sharedItems containsSemiMixedTypes="0" containsString="0" containsNumber="1" containsInteger="1" minValue="0" maxValue="7"/>
    </cacheField>
    <cacheField name="AwayLoss" numFmtId="0">
      <sharedItems containsSemiMixedTypes="0" containsString="0" containsNumber="1" containsInteger="1" minValue="1" maxValue="6"/>
    </cacheField>
    <cacheField name="AwayOTL" numFmtId="0">
      <sharedItems containsSemiMixedTypes="0" containsString="0" containsNumber="1" containsInteger="1" minValue="0" maxValue="3"/>
    </cacheField>
    <cacheField name="HomeWin%" numFmtId="9">
      <sharedItems containsSemiMixedTypes="0" containsString="0" containsNumber="1" minValue="0" maxValue="1"/>
    </cacheField>
    <cacheField name="AwayWin%" numFmtId="9">
      <sharedItems containsSemiMixedTypes="0" containsString="0" containsNumber="1" minValue="0" maxValue="0.7777777777777777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8.574677430559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1.6211574240381006" maxValue="1.547501359148976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13"/>
    <n v="9"/>
    <n v="3"/>
    <n v="1"/>
    <n v="19"/>
    <n v="4"/>
    <n v="1"/>
    <n v="0"/>
    <n v="5"/>
    <n v="2"/>
    <n v="1"/>
    <n v="0.8"/>
    <n v="0.625"/>
  </r>
  <r>
    <x v="1"/>
    <n v="16"/>
    <n v="9"/>
    <n v="7"/>
    <n v="0"/>
    <n v="18"/>
    <n v="7"/>
    <n v="3"/>
    <n v="0"/>
    <n v="2"/>
    <n v="4"/>
    <n v="0"/>
    <n v="0.7"/>
    <n v="0.33333333333333331"/>
  </r>
  <r>
    <x v="2"/>
    <n v="14"/>
    <n v="5"/>
    <n v="5"/>
    <n v="4"/>
    <n v="14"/>
    <n v="5"/>
    <n v="3"/>
    <n v="2"/>
    <n v="0"/>
    <n v="2"/>
    <n v="2"/>
    <n v="0.5"/>
    <n v="0"/>
  </r>
  <r>
    <x v="3"/>
    <n v="16"/>
    <n v="4"/>
    <n v="10"/>
    <n v="2"/>
    <n v="10"/>
    <n v="2"/>
    <n v="4"/>
    <n v="1"/>
    <n v="2"/>
    <n v="6"/>
    <n v="1"/>
    <n v="0.2857142857142857"/>
    <n v="0.22222222222222221"/>
  </r>
  <r>
    <x v="4"/>
    <n v="13"/>
    <n v="9"/>
    <n v="4"/>
    <n v="0"/>
    <n v="18"/>
    <n v="4"/>
    <n v="1"/>
    <n v="0"/>
    <n v="5"/>
    <n v="3"/>
    <n v="0"/>
    <n v="0.8"/>
    <n v="0.625"/>
  </r>
  <r>
    <x v="5"/>
    <n v="15"/>
    <n v="7"/>
    <n v="5"/>
    <n v="3"/>
    <n v="17"/>
    <n v="3"/>
    <n v="2"/>
    <n v="1"/>
    <n v="4"/>
    <n v="3"/>
    <n v="2"/>
    <n v="0.5"/>
    <n v="0.44444444444444442"/>
  </r>
  <r>
    <x v="6"/>
    <n v="14"/>
    <n v="8"/>
    <n v="1"/>
    <n v="5"/>
    <n v="21"/>
    <n v="4"/>
    <n v="0"/>
    <n v="2"/>
    <n v="4"/>
    <n v="1"/>
    <n v="3"/>
    <n v="0.66666666666666663"/>
    <n v="0.5"/>
  </r>
  <r>
    <x v="7"/>
    <n v="13"/>
    <n v="7"/>
    <n v="6"/>
    <n v="0"/>
    <n v="14"/>
    <n v="3"/>
    <n v="3"/>
    <n v="0"/>
    <n v="4"/>
    <n v="3"/>
    <n v="0"/>
    <n v="0.5"/>
    <n v="0.5714285714285714"/>
  </r>
  <r>
    <x v="8"/>
    <n v="14"/>
    <n v="7"/>
    <n v="4"/>
    <n v="3"/>
    <n v="17"/>
    <n v="4"/>
    <n v="3"/>
    <n v="1"/>
    <n v="3"/>
    <n v="1"/>
    <n v="2"/>
    <n v="0.5"/>
    <n v="0.5"/>
  </r>
  <r>
    <x v="9"/>
    <n v="15"/>
    <n v="9"/>
    <n v="6"/>
    <n v="0"/>
    <n v="18"/>
    <n v="5"/>
    <n v="2"/>
    <n v="0"/>
    <n v="4"/>
    <n v="4"/>
    <n v="0"/>
    <n v="0.7142857142857143"/>
    <n v="0.5"/>
  </r>
  <r>
    <x v="10"/>
    <n v="15"/>
    <n v="6"/>
    <n v="5"/>
    <n v="4"/>
    <n v="16"/>
    <n v="4"/>
    <n v="0"/>
    <n v="2"/>
    <n v="2"/>
    <n v="5"/>
    <n v="2"/>
    <n v="0.66666666666666663"/>
    <n v="0.22222222222222221"/>
  </r>
  <r>
    <x v="11"/>
    <n v="14"/>
    <n v="7"/>
    <n v="6"/>
    <n v="1"/>
    <n v="15"/>
    <n v="5"/>
    <n v="1"/>
    <n v="1"/>
    <n v="2"/>
    <n v="5"/>
    <n v="0"/>
    <n v="0.7142857142857143"/>
    <n v="0.2857142857142857"/>
  </r>
  <r>
    <x v="12"/>
    <n v="15"/>
    <n v="6"/>
    <n v="5"/>
    <n v="4"/>
    <n v="16"/>
    <n v="1"/>
    <n v="4"/>
    <n v="2"/>
    <n v="5"/>
    <n v="1"/>
    <n v="2"/>
    <n v="0.14285714285714285"/>
    <n v="0.625"/>
  </r>
  <r>
    <x v="13"/>
    <n v="16"/>
    <n v="6"/>
    <n v="7"/>
    <n v="3"/>
    <n v="15"/>
    <n v="3"/>
    <n v="3"/>
    <n v="2"/>
    <n v="3"/>
    <n v="4"/>
    <n v="1"/>
    <n v="0.375"/>
    <n v="0.375"/>
  </r>
  <r>
    <x v="14"/>
    <n v="14"/>
    <n v="9"/>
    <n v="3"/>
    <n v="2"/>
    <n v="20"/>
    <n v="4"/>
    <n v="1"/>
    <n v="1"/>
    <n v="5"/>
    <n v="2"/>
    <n v="1"/>
    <n v="0.66666666666666663"/>
    <n v="0.625"/>
  </r>
  <r>
    <x v="15"/>
    <n v="16"/>
    <n v="5"/>
    <n v="7"/>
    <n v="4"/>
    <n v="14"/>
    <n v="4"/>
    <n v="4"/>
    <n v="2"/>
    <n v="1"/>
    <n v="3"/>
    <n v="2"/>
    <n v="0.4"/>
    <n v="0.16666666666666666"/>
  </r>
  <r>
    <x v="16"/>
    <n v="14"/>
    <n v="10"/>
    <n v="4"/>
    <n v="0"/>
    <n v="20"/>
    <n v="6"/>
    <n v="0"/>
    <n v="0"/>
    <n v="4"/>
    <n v="4"/>
    <n v="0"/>
    <n v="1"/>
    <n v="0.5"/>
  </r>
  <r>
    <x v="17"/>
    <n v="14"/>
    <n v="6"/>
    <n v="6"/>
    <n v="2"/>
    <n v="14"/>
    <n v="4"/>
    <n v="3"/>
    <n v="1"/>
    <n v="2"/>
    <n v="3"/>
    <n v="1"/>
    <n v="0.5"/>
    <n v="0.33333333333333331"/>
  </r>
  <r>
    <x v="18"/>
    <n v="15"/>
    <n v="7"/>
    <n v="6"/>
    <n v="2"/>
    <n v="16"/>
    <n v="0"/>
    <n v="5"/>
    <n v="1"/>
    <n v="7"/>
    <n v="1"/>
    <n v="1"/>
    <n v="0"/>
    <n v="0.77777777777777779"/>
  </r>
  <r>
    <x v="19"/>
    <n v="14"/>
    <n v="6"/>
    <n v="5"/>
    <n v="3"/>
    <n v="15"/>
    <n v="4"/>
    <n v="2"/>
    <n v="1"/>
    <n v="2"/>
    <n v="3"/>
    <n v="2"/>
    <n v="0.5714285714285714"/>
    <n v="0.2857142857142857"/>
  </r>
  <r>
    <x v="20"/>
    <n v="14"/>
    <n v="8"/>
    <n v="5"/>
    <n v="1"/>
    <n v="17"/>
    <n v="6"/>
    <n v="3"/>
    <n v="0"/>
    <n v="2"/>
    <n v="2"/>
    <n v="1"/>
    <n v="0.66666666666666663"/>
    <n v="0.4"/>
  </r>
  <r>
    <x v="21"/>
    <n v="15"/>
    <n v="9"/>
    <n v="4"/>
    <n v="2"/>
    <n v="20"/>
    <n v="4"/>
    <n v="1"/>
    <n v="1"/>
    <n v="5"/>
    <n v="3"/>
    <n v="1"/>
    <n v="0.66666666666666663"/>
    <n v="0.55555555555555558"/>
  </r>
  <r>
    <x v="22"/>
    <n v="15"/>
    <n v="6"/>
    <n v="6"/>
    <n v="3"/>
    <n v="15"/>
    <n v="3"/>
    <n v="3"/>
    <n v="3"/>
    <n v="3"/>
    <n v="3"/>
    <n v="0"/>
    <n v="0.33333333333333331"/>
    <n v="0.5"/>
  </r>
  <r>
    <x v="23"/>
    <n v="13"/>
    <n v="6"/>
    <n v="3"/>
    <n v="4"/>
    <n v="16"/>
    <n v="4"/>
    <n v="1"/>
    <n v="2"/>
    <n v="2"/>
    <n v="2"/>
    <n v="2"/>
    <n v="0.5714285714285714"/>
    <n v="0.33333333333333331"/>
  </r>
  <r>
    <x v="24"/>
    <n v="15"/>
    <n v="5"/>
    <n v="8"/>
    <n v="2"/>
    <n v="12"/>
    <n v="2"/>
    <n v="4"/>
    <n v="2"/>
    <n v="3"/>
    <n v="4"/>
    <n v="0"/>
    <n v="0.25"/>
    <n v="0.42857142857142855"/>
  </r>
  <r>
    <x v="25"/>
    <n v="14"/>
    <n v="7"/>
    <n v="5"/>
    <n v="2"/>
    <n v="16"/>
    <n v="3"/>
    <n v="3"/>
    <n v="0"/>
    <n v="4"/>
    <n v="2"/>
    <n v="2"/>
    <n v="0.5"/>
    <n v="0.5"/>
  </r>
  <r>
    <x v="26"/>
    <n v="14"/>
    <n v="8"/>
    <n v="5"/>
    <n v="1"/>
    <n v="17"/>
    <n v="7"/>
    <n v="2"/>
    <n v="1"/>
    <n v="1"/>
    <n v="3"/>
    <n v="0"/>
    <n v="0.7"/>
    <n v="0.25"/>
  </r>
  <r>
    <x v="27"/>
    <n v="14"/>
    <n v="9"/>
    <n v="5"/>
    <n v="0"/>
    <n v="18"/>
    <n v="4"/>
    <n v="1"/>
    <n v="0"/>
    <n v="5"/>
    <n v="4"/>
    <n v="0"/>
    <n v="0.8"/>
    <n v="0.55555555555555558"/>
  </r>
  <r>
    <x v="28"/>
    <n v="15"/>
    <n v="7"/>
    <n v="8"/>
    <n v="0"/>
    <n v="14"/>
    <n v="2"/>
    <n v="4"/>
    <n v="0"/>
    <n v="5"/>
    <n v="4"/>
    <n v="0"/>
    <n v="0.33333333333333331"/>
    <n v="0.55555555555555558"/>
  </r>
  <r>
    <x v="29"/>
    <n v="13"/>
    <n v="7"/>
    <n v="3"/>
    <n v="3"/>
    <n v="17"/>
    <n v="4"/>
    <n v="2"/>
    <n v="1"/>
    <n v="3"/>
    <n v="1"/>
    <n v="2"/>
    <n v="0.5714285714285714"/>
    <n v="0.5"/>
  </r>
  <r>
    <x v="30"/>
    <n v="14"/>
    <n v="7"/>
    <n v="6"/>
    <n v="1"/>
    <n v="15"/>
    <n v="4"/>
    <n v="4"/>
    <n v="0"/>
    <n v="3"/>
    <n v="2"/>
    <n v="1"/>
    <n v="0.5"/>
    <n v="0.5"/>
  </r>
  <r>
    <x v="31"/>
    <n v="14"/>
    <n v="9"/>
    <n v="5"/>
    <n v="0"/>
    <n v="18"/>
    <n v="5"/>
    <n v="3"/>
    <n v="0"/>
    <n v="4"/>
    <n v="2"/>
    <n v="0"/>
    <n v="0.625"/>
    <n v="0.6666666666666666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51775546328552802"/>
  </r>
  <r>
    <x v="1"/>
    <n v="4.029141914856392E-2"/>
  </r>
  <r>
    <x v="2"/>
    <n v="-0.8683412362501769"/>
  </r>
  <r>
    <x v="3"/>
    <n v="-1.3903684122795328"/>
  </r>
  <r>
    <x v="4"/>
    <n v="0.67193921242367816"/>
  </r>
  <r>
    <x v="5"/>
    <n v="0.30570968833820172"/>
  </r>
  <r>
    <x v="6"/>
    <n v="1.5475013591489768"/>
  </r>
  <r>
    <x v="7"/>
    <n v="-0.40822279081308277"/>
  </r>
  <r>
    <x v="8"/>
    <n v="0.19809534061227302"/>
  </r>
  <r>
    <x v="9"/>
    <n v="-0.513643833119658"/>
  </r>
  <r>
    <x v="10"/>
    <n v="-0.61980804137564283"/>
  </r>
  <r>
    <x v="11"/>
    <n v="-0.28105923893144158"/>
  </r>
  <r>
    <x v="12"/>
    <n v="-7.5459708298993802E-2"/>
  </r>
  <r>
    <x v="13"/>
    <n v="-0.53650300840565446"/>
  </r>
  <r>
    <x v="14"/>
    <n v="-0.52437726201848234"/>
  </r>
  <r>
    <x v="15"/>
    <n v="-1.3516250707060606"/>
  </r>
  <r>
    <x v="16"/>
    <n v="0.559441163373953"/>
  </r>
  <r>
    <x v="17"/>
    <n v="-6.4729560818359025E-2"/>
  </r>
  <r>
    <x v="18"/>
    <n v="-0.30719665303039001"/>
  </r>
  <r>
    <x v="19"/>
    <n v="-0.40651947573390851"/>
  </r>
  <r>
    <x v="20"/>
    <n v="-0.51358590497437617"/>
  </r>
  <r>
    <x v="21"/>
    <n v="0.26289091192875702"/>
  </r>
  <r>
    <x v="22"/>
    <n v="-0.39418177254008485"/>
  </r>
  <r>
    <x v="23"/>
    <n v="-0.361361309178443"/>
  </r>
  <r>
    <x v="24"/>
    <n v="-1.6211574240381006"/>
  </r>
  <r>
    <x v="25"/>
    <n v="-0.11309445867623392"/>
  </r>
  <r>
    <x v="26"/>
    <n v="-0.635565543477981"/>
  </r>
  <r>
    <x v="27"/>
    <n v="-0.12212311954851815"/>
  </r>
  <r>
    <x v="28"/>
    <n v="-0.6902088310934803"/>
  </r>
  <r>
    <x v="29"/>
    <n v="-6.3745791019188943E-4"/>
  </r>
  <r>
    <x v="30"/>
    <n v="-6.1308839486784707E-2"/>
  </r>
  <r>
    <x v="31"/>
    <n v="0.10510525836976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4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E74AA801-A9EA-E94D-9F3C-64027CACC214}" autoFormatId="16" applyNumberFormats="0" applyBorderFormats="0" applyFontFormats="0" applyPatternFormats="0" applyAlignmentFormats="0" applyWidthHeightFormats="0">
  <queryTableRefresh nextId="28">
    <queryTableFields count="27">
      <queryTableField id="1" name="game_date" tableColumnId="1"/>
      <queryTableField id="2" name="game_time" tableColumnId="2"/>
      <queryTableField id="3" name="away_team" tableColumnId="3"/>
      <queryTableField id="4" name="home_team" tableColumnId="4"/>
      <queryTableField id="5" name="matchup" tableColumnId="5"/>
      <queryTableField id="6" name="ml_winner" tableColumnId="6"/>
      <queryTableField id="7" name="ml_away_score" tableColumnId="7"/>
      <queryTableField id="8" name="ml_home_score" tableColumnId="8"/>
      <queryTableField id="9" name="ml_confidence" tableColumnId="9"/>
      <queryTableField id="10" name="ml_ot" tableColumnId="10"/>
      <queryTableField id="11" name="ml_ot_prob" tableColumnId="11"/>
      <queryTableField id="12" name="ml_correct" tableColumnId="12"/>
      <queryTableField id="13" name="ml_result" tableColumnId="13"/>
      <queryTableField id="14" name="excel_winner" tableColumnId="14"/>
      <queryTableField id="15" name="excel_away_score" tableColumnId="15"/>
      <queryTableField id="16" name="excel_home_score" tableColumnId="16"/>
      <queryTableField id="17" name="excel_confidence" tableColumnId="17"/>
      <queryTableField id="18" name="excel_ot" tableColumnId="18"/>
      <queryTableField id="19" name="excel_homeice" tableColumnId="19"/>
      <queryTableField id="20" name="excel_correct" tableColumnId="20"/>
      <queryTableField id="21" name="actual_winner" tableColumnId="21"/>
      <queryTableField id="22" name="actual_away_score" tableColumnId="22"/>
      <queryTableField id="23" name="actual_home_score" tableColumnId="23"/>
      <queryTableField id="24" name="actual_ot" tableColumnId="24"/>
      <queryTableField id="25" name="game_status" tableColumnId="25"/>
      <queryTableField id="26" name="recorded_at" tableColumnId="26"/>
      <queryTableField id="27" name="updated_at" tableColumnId="2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80"/>
    <tableColumn id="3" xr3:uid="{2C87C5E2-BA51-8A42-89C8-535F9675CB8F}" uniqueName="3" name="Visitor" queryTableFieldId="3" dataDxfId="79"/>
    <tableColumn id="4" xr3:uid="{CE6ABB56-546F-BB46-9A09-2A1A92669C31}" uniqueName="4" name="G" queryTableFieldId="4" dataDxfId="78"/>
    <tableColumn id="5" xr3:uid="{C1234731-C200-EA4C-B756-2CA67776A39C}" uniqueName="5" name="Home" queryTableFieldId="5" dataDxfId="77"/>
    <tableColumn id="6" xr3:uid="{339325E9-BBA1-9A48-8657-C4AC5A969A45}" uniqueName="6" name="G_1" queryTableFieldId="6" dataDxfId="76"/>
    <tableColumn id="11" xr3:uid="{D5C53254-CDEF-7A46-97BA-0F3F94C9C0F8}" uniqueName="11" name="Column1" queryTableFieldId="11" dataDxfId="75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74"/>
    <tableColumn id="10" xr3:uid="{D8B4237A-01AB-6648-9F38-4F24C83C2F02}" uniqueName="10" name="Losing_G" queryTableFieldId="10" dataDxfId="7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72" headerRowBorderDxfId="71" tableBorderDxfId="70">
  <autoFilter ref="D6:J1318" xr:uid="{082AB263-30A0-9143-A4CB-E8E85CF645DA}"/>
  <tableColumns count="7">
    <tableColumn id="1" xr3:uid="{A2DA1977-C625-F248-8922-D45BEAE345E6}" name="Visitor" dataDxfId="69"/>
    <tableColumn id="2" xr3:uid="{7F142366-1AE0-5D45-A506-465FBF578C3A}" name="G" dataDxfId="68"/>
    <tableColumn id="3" xr3:uid="{F73B07A5-94FF-C843-900F-F37684899EAA}" name="Home" dataDxfId="67"/>
    <tableColumn id="4" xr3:uid="{7D6FADB5-28D9-9449-ADC0-599788BF0B16}" name="G_1" dataDxfId="66"/>
    <tableColumn id="5" xr3:uid="{98CF2B62-3F88-D44B-AF59-BE4BB5C0604E}" name="HomeMargin" dataDxfId="65">
      <calculatedColumnFormula>Table3[[#This Row],[G_1]]-Table3[[#This Row],[G]]</calculatedColumnFormula>
    </tableColumn>
    <tableColumn id="6" xr3:uid="{FD0EC919-55F2-CA43-8B92-CA3E6283FCFD}" name="HomeForecast" dataDxfId="64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63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62" dataDxfId="61">
  <autoFilter ref="D1:R1313" xr:uid="{B940C27F-1AFD-1A45-A69A-42FED3D3591C}"/>
  <tableColumns count="15">
    <tableColumn id="1" xr3:uid="{27200A7D-FC6F-7D47-A38B-8116F873A9D8}" name="Date" dataDxfId="60"/>
    <tableColumn id="2" xr3:uid="{E6247AA5-111B-9544-9F6D-FFC524512888}" name="Time" dataDxfId="59"/>
    <tableColumn id="3" xr3:uid="{EDCD8AB3-2C72-284E-B537-7168C3C8687B}" name="Home" dataDxfId="58"/>
    <tableColumn id="4" xr3:uid="{EC6C1412-AAC2-6646-BF48-0D4526947D52}" name="Home Differential" dataDxfId="57">
      <calculatedColumnFormula>VLOOKUP(Table4[[#This Row],[Home]],'NHL Model'!$A$6:$B$38,2,FALSE)</calculatedColumnFormula>
    </tableColumn>
    <tableColumn id="5" xr3:uid="{67F5F1C4-5CC9-B648-BE7C-7E4EF3A85290}" name="Visitor" dataDxfId="56"/>
    <tableColumn id="6" xr3:uid="{84F489BE-33B4-0E4D-959D-E87A85C1D38D}" name="Away Differential" dataDxfId="55">
      <calculatedColumnFormula>VLOOKUP(Table4[[#This Row],[Visitor]],'NHL Model'!$A$6:$B$38,2,FALSE)</calculatedColumnFormula>
    </tableColumn>
    <tableColumn id="7" xr3:uid="{A6F9ABE3-1844-E54D-9016-325B538D2969}" name="HomeIce Differential" dataDxfId="54">
      <calculatedColumnFormula>($B$1+Table4[[#This Row],[Home Differential]])-Table4[[#This Row],[Away Differential]]</calculatedColumnFormula>
    </tableColumn>
    <tableColumn id="8" xr3:uid="{8FFD520F-0CF9-9D4A-93B6-B45373384612}" name="Predicted Winner" dataDxfId="53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52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51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50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9"/>
    <tableColumn id="13" xr3:uid="{F50D85A3-D772-F247-BFBE-86E765FD0BF6}" name="Locked Correct" dataDxfId="48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7">
  <autoFilter ref="A1:R33" xr:uid="{1B34B514-E1CC-0949-A7DD-8D37387465DD}"/>
  <tableColumns count="18">
    <tableColumn id="1" xr3:uid="{C9F77F0F-7B0D-CC44-9D34-395D1E3FA55B}" name="Team" dataDxfId="46"/>
    <tableColumn id="2" xr3:uid="{4080CFDD-7980-DD4D-A4DE-25DB03E50B7C}" name="GP" dataDxfId="45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44">
      <calculatedColumnFormula>COUNTIFS('NHL2025-26Results'!$H:$H,A2,'NHL2025-26Results'!$F:$F,"")</calculatedColumnFormula>
    </tableColumn>
    <tableColumn id="5" xr3:uid="{5EA2DCC3-F71A-5A40-B3F3-8F2F8CB0A7CE}" name="OTL" dataDxfId="43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42">
      <calculatedColumnFormula>(Table1[[#This Row],[W]]*2)+Table1[[#This Row],[OTL]]</calculatedColumnFormula>
    </tableColumn>
    <tableColumn id="7" xr3:uid="{40EA95E8-9958-E040-A5BE-EC17EEDC1CBD}" name="HomeWins" dataDxfId="41">
      <calculatedColumnFormula>COUNTIFS('NHL2025-26Results'!$D:$D,A2,'NHL2025-26Results'!$G:$G,A2)</calculatedColumnFormula>
    </tableColumn>
    <tableColumn id="9" xr3:uid="{F3FA5C24-502A-6446-A4B9-25DB670D2CB7}" name="HomeLoss" dataDxfId="40">
      <calculatedColumnFormula>COUNTIFS('NHL2025-26Results'!$D:$D,A2,'NHL2025-26Results'!$H:$H,A2,'NHL2025-26Results'!$F:$F,"")</calculatedColumnFormula>
    </tableColumn>
    <tableColumn id="8" xr3:uid="{999F1273-113E-7F4B-990E-AC7B23C4A496}" name="HomeOTL" dataDxfId="39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8">
      <calculatedColumnFormula>COUNTIFS('NHL2025-26Results'!$B:$B,A2,'NHL2025-26Results'!$G:$G,A2)</calculatedColumnFormula>
    </tableColumn>
    <tableColumn id="10" xr3:uid="{1A63BDD0-5CF0-0C48-B684-3675FC716427}" name="AwayLoss" dataDxfId="37">
      <calculatedColumnFormula>COUNTIFS('NHL2025-26Results'!$B:$B,A2,'NHL2025-26Results'!$H:$H,A2,'NHL2025-26Results'!$F:$F,"")</calculatedColumnFormula>
    </tableColumn>
    <tableColumn id="12" xr3:uid="{59628040-0BA7-5042-BB5A-1E9D40ABC469}" name="AwayOTL" dataDxfId="36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35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34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33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32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2332789-251B-774B-AB2B-8BB4F3AFC4B8}" name="nhl_predictions_daily_migrated" displayName="nhl_predictions_daily_migrated" ref="A1:AA1313" tableType="queryTable" totalsRowShown="0">
  <autoFilter ref="A1:AA1313" xr:uid="{F2332789-251B-774B-AB2B-8BB4F3AFC4B8}"/>
  <tableColumns count="27">
    <tableColumn id="1" xr3:uid="{A82D8364-7061-A147-9648-1020427F222D}" uniqueName="1" name="game_date" queryTableFieldId="1" dataDxfId="26"/>
    <tableColumn id="2" xr3:uid="{2F0B0F85-AE68-C84D-ABF4-9C9BD4BCDE1A}" uniqueName="2" name="game_time" queryTableFieldId="2" dataDxfId="25"/>
    <tableColumn id="3" xr3:uid="{E190D701-E48A-4849-B026-83F6843A3F7C}" uniqueName="3" name="away_team" queryTableFieldId="3" dataDxfId="24"/>
    <tableColumn id="4" xr3:uid="{D8A87A5E-45E9-434D-B896-A1AC29AE2193}" uniqueName="4" name="home_team" queryTableFieldId="4" dataDxfId="23"/>
    <tableColumn id="5" xr3:uid="{F866A432-CB2E-1344-BB8E-B02DE09CEE39}" uniqueName="5" name="matchup" queryTableFieldId="5" dataDxfId="22"/>
    <tableColumn id="6" xr3:uid="{321205EB-FCDC-FF42-A5BC-028328229DA9}" uniqueName="6" name="ml_winner" queryTableFieldId="6" dataDxfId="21"/>
    <tableColumn id="7" xr3:uid="{1146F8DC-3374-2845-B506-3428513D1030}" uniqueName="7" name="ml_away_score" queryTableFieldId="7" dataDxfId="20"/>
    <tableColumn id="8" xr3:uid="{04F6AA09-904F-E441-9223-5D3EABA2C9DE}" uniqueName="8" name="ml_home_score" queryTableFieldId="8" dataDxfId="19"/>
    <tableColumn id="9" xr3:uid="{A52E9546-F206-504B-B50C-DE483A5979F1}" uniqueName="9" name="ml_confidence" queryTableFieldId="9" dataDxfId="18" dataCellStyle="Percent"/>
    <tableColumn id="10" xr3:uid="{B0863A61-8896-F94A-9BD1-877DA74E944C}" uniqueName="10" name="ml_ot" queryTableFieldId="10" dataDxfId="17"/>
    <tableColumn id="11" xr3:uid="{0CEF2C0B-AEAC-D24C-B808-9E65DA36D85B}" uniqueName="11" name="ml_ot_prob" queryTableFieldId="11" dataDxfId="16"/>
    <tableColumn id="12" xr3:uid="{953F4783-1A2A-2049-B662-B96EC4C98B47}" uniqueName="12" name="ml_correct" queryTableFieldId="12" dataDxfId="15"/>
    <tableColumn id="13" xr3:uid="{01F9271B-BF28-974D-9DD2-7B2DE98B6F67}" uniqueName="13" name="ml_result" queryTableFieldId="13" dataDxfId="14"/>
    <tableColumn id="14" xr3:uid="{53D10B71-CBA8-8D4A-96BA-CDF21FB393EA}" uniqueName="14" name="excel_winner" queryTableFieldId="14" dataDxfId="13"/>
    <tableColumn id="15" xr3:uid="{BFE057F3-C344-6344-BBC6-D1E83F6B5653}" uniqueName="15" name="excel_away_score" queryTableFieldId="15" dataDxfId="12"/>
    <tableColumn id="16" xr3:uid="{95A37C51-0AFC-4B48-BDBD-9F547D067C1A}" uniqueName="16" name="excel_home_score" queryTableFieldId="16" dataDxfId="11"/>
    <tableColumn id="17" xr3:uid="{21361EAA-D669-0647-AB36-316C9A355B06}" uniqueName="17" name="excel_confidence" queryTableFieldId="17" dataDxfId="10" dataCellStyle="Percent"/>
    <tableColumn id="18" xr3:uid="{C0D4B874-D9A3-F047-9F50-E1FD6B0B1717}" uniqueName="18" name="excel_ot" queryTableFieldId="18" dataDxfId="9"/>
    <tableColumn id="19" xr3:uid="{B5C6CD51-366A-5E4F-9D9D-FCD85DB91334}" uniqueName="19" name="excel_homeice" queryTableFieldId="19" dataDxfId="8"/>
    <tableColumn id="20" xr3:uid="{8A0C0F6C-7907-0B40-9DDC-02333190C939}" uniqueName="20" name="excel_correct" queryTableFieldId="20" dataDxfId="7"/>
    <tableColumn id="21" xr3:uid="{4F720508-4E4B-1843-AE1F-4E2016CC6849}" uniqueName="21" name="actual_winner" queryTableFieldId="21" dataDxfId="6"/>
    <tableColumn id="22" xr3:uid="{DF1197C5-5856-EF4D-BC04-6C080F1AD21B}" uniqueName="22" name="actual_away_score" queryTableFieldId="22" dataDxfId="5"/>
    <tableColumn id="23" xr3:uid="{521AC888-C59A-E842-8AF4-8F313E19B6CE}" uniqueName="23" name="actual_home_score" queryTableFieldId="23" dataDxfId="4"/>
    <tableColumn id="24" xr3:uid="{BBF8FDF8-3558-D043-9E29-97FCC0E90C92}" uniqueName="24" name="actual_ot" queryTableFieldId="24" dataDxfId="3"/>
    <tableColumn id="25" xr3:uid="{B3C51976-5727-A24B-9842-AC69798A596C}" uniqueName="25" name="game_status" queryTableFieldId="25" dataDxfId="2"/>
    <tableColumn id="26" xr3:uid="{C7B8AFAB-46A9-D04C-A7AF-56BEE52383BA}" uniqueName="26" name="recorded_at" queryTableFieldId="26" dataDxfId="1"/>
    <tableColumn id="27" xr3:uid="{0C0062D0-5688-D346-83F6-DF5908F6B02E}" uniqueName="27" name="updated_at" queryTableFieldId="2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zoomScale="120" zoomScaleNormal="120" workbookViewId="0">
      <selection activeCell="R58" sqref="R58"/>
    </sheetView>
  </sheetViews>
  <sheetFormatPr baseColWidth="10" defaultColWidth="10.83203125" defaultRowHeight="16" x14ac:dyDescent="0.2"/>
  <cols>
    <col min="1" max="1" width="10.5" bestFit="1" customWidth="1"/>
    <col min="2" max="2" width="19.83203125" bestFit="1" customWidth="1"/>
    <col min="3" max="3" width="5" bestFit="1" customWidth="1"/>
    <col min="4" max="4" width="19.83203125" bestFit="1" customWidth="1"/>
    <col min="5" max="5" width="6.83203125" bestFit="1" customWidth="1"/>
    <col min="6" max="6" width="11.1640625" bestFit="1" customWidth="1"/>
    <col min="7" max="8" width="19.83203125" bestFit="1" customWidth="1"/>
    <col min="9" max="9" width="12.5" bestFit="1" customWidth="1"/>
    <col min="10" max="10" width="11.332031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D412" t="s">
        <v>12</v>
      </c>
      <c r="F412" t="s">
        <v>60</v>
      </c>
    </row>
    <row r="413" spans="1:10" x14ac:dyDescent="0.2">
      <c r="A413" s="1" t="s">
        <v>230</v>
      </c>
      <c r="B413" t="s">
        <v>21</v>
      </c>
      <c r="D413" t="s">
        <v>26</v>
      </c>
      <c r="F413" t="s">
        <v>60</v>
      </c>
    </row>
    <row r="414" spans="1:10" x14ac:dyDescent="0.2">
      <c r="A414" s="1" t="s">
        <v>230</v>
      </c>
      <c r="B414" t="s">
        <v>34</v>
      </c>
      <c r="D414" t="s">
        <v>17</v>
      </c>
      <c r="F414" t="s">
        <v>60</v>
      </c>
    </row>
    <row r="415" spans="1:10" x14ac:dyDescent="0.2">
      <c r="A415" s="1" t="s">
        <v>230</v>
      </c>
      <c r="B415" t="s">
        <v>19</v>
      </c>
      <c r="D415" t="s">
        <v>11</v>
      </c>
      <c r="F415" t="s">
        <v>60</v>
      </c>
    </row>
    <row r="416" spans="1:10" x14ac:dyDescent="0.2">
      <c r="A416" s="1" t="s">
        <v>230</v>
      </c>
      <c r="B416" t="s">
        <v>22</v>
      </c>
      <c r="D416" t="s">
        <v>13</v>
      </c>
      <c r="F416" t="s">
        <v>60</v>
      </c>
    </row>
    <row r="417" spans="1:6" x14ac:dyDescent="0.2">
      <c r="A417" s="1" t="s">
        <v>230</v>
      </c>
      <c r="B417" t="s">
        <v>36</v>
      </c>
      <c r="D417" t="s">
        <v>18</v>
      </c>
      <c r="F417" t="s">
        <v>60</v>
      </c>
    </row>
    <row r="418" spans="1:6" x14ac:dyDescent="0.2">
      <c r="A418" s="1" t="s">
        <v>230</v>
      </c>
      <c r="B418" t="s">
        <v>16</v>
      </c>
      <c r="D418" t="s">
        <v>29</v>
      </c>
      <c r="F418" t="s">
        <v>60</v>
      </c>
    </row>
    <row r="419" spans="1:6" x14ac:dyDescent="0.2">
      <c r="A419" s="1" t="s">
        <v>230</v>
      </c>
      <c r="B419" t="s">
        <v>37</v>
      </c>
      <c r="D419" t="s">
        <v>30</v>
      </c>
      <c r="F419" t="s">
        <v>60</v>
      </c>
    </row>
    <row r="420" spans="1:6" x14ac:dyDescent="0.2">
      <c r="A420" s="1" t="s">
        <v>230</v>
      </c>
      <c r="B420" t="s">
        <v>39</v>
      </c>
      <c r="D420" t="s">
        <v>15</v>
      </c>
      <c r="F420" t="s">
        <v>60</v>
      </c>
    </row>
    <row r="421" spans="1:6" x14ac:dyDescent="0.2">
      <c r="A421" s="1" t="s">
        <v>230</v>
      </c>
      <c r="B421" t="s">
        <v>10</v>
      </c>
      <c r="D421" t="s">
        <v>20</v>
      </c>
      <c r="F421" t="s">
        <v>60</v>
      </c>
    </row>
    <row r="422" spans="1:6" x14ac:dyDescent="0.2">
      <c r="A422" s="1" t="s">
        <v>231</v>
      </c>
      <c r="B422" t="s">
        <v>55</v>
      </c>
      <c r="D422" t="s">
        <v>31</v>
      </c>
      <c r="F422" t="s">
        <v>60</v>
      </c>
    </row>
    <row r="423" spans="1:6" x14ac:dyDescent="0.2">
      <c r="A423" s="1" t="s">
        <v>231</v>
      </c>
      <c r="B423" t="s">
        <v>40</v>
      </c>
      <c r="D423" t="s">
        <v>18</v>
      </c>
      <c r="F423" t="s">
        <v>60</v>
      </c>
    </row>
    <row r="424" spans="1:6" x14ac:dyDescent="0.2">
      <c r="A424" s="1" t="s">
        <v>231</v>
      </c>
      <c r="B424" t="s">
        <v>39</v>
      </c>
      <c r="D424" t="s">
        <v>24</v>
      </c>
      <c r="F424" t="s">
        <v>60</v>
      </c>
    </row>
    <row r="425" spans="1:6" x14ac:dyDescent="0.2">
      <c r="A425" s="1" t="s">
        <v>231</v>
      </c>
      <c r="B425" t="s">
        <v>23</v>
      </c>
      <c r="D425" t="s">
        <v>27</v>
      </c>
      <c r="F425" t="s">
        <v>60</v>
      </c>
    </row>
    <row r="426" spans="1:6" x14ac:dyDescent="0.2">
      <c r="A426" s="1" t="s">
        <v>231</v>
      </c>
      <c r="B426" t="s">
        <v>22</v>
      </c>
      <c r="D426" t="s">
        <v>33</v>
      </c>
      <c r="F426" t="s">
        <v>60</v>
      </c>
    </row>
    <row r="427" spans="1:6" x14ac:dyDescent="0.2">
      <c r="A427" s="1" t="s">
        <v>232</v>
      </c>
      <c r="B427" t="s">
        <v>35</v>
      </c>
      <c r="D427" t="s">
        <v>21</v>
      </c>
      <c r="F427" t="s">
        <v>60</v>
      </c>
    </row>
    <row r="428" spans="1:6" x14ac:dyDescent="0.2">
      <c r="A428" s="1" t="s">
        <v>232</v>
      </c>
      <c r="B428" t="s">
        <v>19</v>
      </c>
      <c r="D428" t="s">
        <v>25</v>
      </c>
      <c r="F428" t="s">
        <v>60</v>
      </c>
    </row>
    <row r="429" spans="1:6" x14ac:dyDescent="0.2">
      <c r="A429" s="1" t="s">
        <v>232</v>
      </c>
      <c r="B429" t="s">
        <v>26</v>
      </c>
      <c r="D429" t="s">
        <v>28</v>
      </c>
      <c r="F429" t="s">
        <v>60</v>
      </c>
    </row>
    <row r="430" spans="1:6" x14ac:dyDescent="0.2">
      <c r="A430" s="1" t="s">
        <v>232</v>
      </c>
      <c r="B430" t="s">
        <v>34</v>
      </c>
      <c r="D430" t="s">
        <v>16</v>
      </c>
      <c r="F430" t="s">
        <v>60</v>
      </c>
    </row>
    <row r="431" spans="1:6" x14ac:dyDescent="0.2">
      <c r="A431" s="1" t="s">
        <v>232</v>
      </c>
      <c r="B431" t="s">
        <v>32</v>
      </c>
      <c r="D431" t="s">
        <v>17</v>
      </c>
      <c r="F431" t="s">
        <v>60</v>
      </c>
    </row>
    <row r="432" spans="1:6" x14ac:dyDescent="0.2">
      <c r="A432" s="1" t="s">
        <v>232</v>
      </c>
      <c r="B432" t="s">
        <v>29</v>
      </c>
      <c r="D432" t="s">
        <v>11</v>
      </c>
      <c r="F432" t="s">
        <v>60</v>
      </c>
    </row>
    <row r="433" spans="1:6" x14ac:dyDescent="0.2">
      <c r="A433" s="1" t="s">
        <v>232</v>
      </c>
      <c r="B433" t="s">
        <v>10</v>
      </c>
      <c r="D433" t="s">
        <v>13</v>
      </c>
      <c r="F433" t="s">
        <v>60</v>
      </c>
    </row>
    <row r="434" spans="1:6" x14ac:dyDescent="0.2">
      <c r="A434" s="1" t="s">
        <v>232</v>
      </c>
      <c r="B434" t="s">
        <v>12</v>
      </c>
      <c r="D434" t="s">
        <v>30</v>
      </c>
      <c r="F434" t="s">
        <v>60</v>
      </c>
    </row>
    <row r="435" spans="1:6" x14ac:dyDescent="0.2">
      <c r="A435" s="1" t="s">
        <v>232</v>
      </c>
      <c r="B435" t="s">
        <v>15</v>
      </c>
      <c r="D435" t="s">
        <v>36</v>
      </c>
      <c r="F435" t="s">
        <v>60</v>
      </c>
    </row>
    <row r="436" spans="1:6" x14ac:dyDescent="0.2">
      <c r="A436" s="1" t="s">
        <v>232</v>
      </c>
      <c r="B436" t="s">
        <v>14</v>
      </c>
      <c r="D436" t="s">
        <v>37</v>
      </c>
      <c r="F436" t="s">
        <v>60</v>
      </c>
    </row>
    <row r="437" spans="1:6" x14ac:dyDescent="0.2">
      <c r="A437" s="1" t="s">
        <v>233</v>
      </c>
      <c r="B437" t="s">
        <v>22</v>
      </c>
      <c r="D437" t="s">
        <v>31</v>
      </c>
      <c r="F437" t="s">
        <v>60</v>
      </c>
    </row>
    <row r="438" spans="1:6" x14ac:dyDescent="0.2">
      <c r="A438" s="1" t="s">
        <v>233</v>
      </c>
      <c r="B438" t="s">
        <v>33</v>
      </c>
      <c r="D438" t="s">
        <v>39</v>
      </c>
      <c r="F438" t="s">
        <v>60</v>
      </c>
    </row>
    <row r="439" spans="1:6" x14ac:dyDescent="0.2">
      <c r="A439" s="1" t="s">
        <v>233</v>
      </c>
      <c r="B439" t="s">
        <v>20</v>
      </c>
      <c r="D439" t="s">
        <v>24</v>
      </c>
      <c r="F439" t="s">
        <v>60</v>
      </c>
    </row>
    <row r="440" spans="1:6" x14ac:dyDescent="0.2">
      <c r="A440" s="1" t="s">
        <v>233</v>
      </c>
      <c r="B440" t="s">
        <v>55</v>
      </c>
      <c r="D440" t="s">
        <v>38</v>
      </c>
      <c r="F440" t="s">
        <v>60</v>
      </c>
    </row>
    <row r="441" spans="1:6" x14ac:dyDescent="0.2">
      <c r="A441" s="1" t="s">
        <v>233</v>
      </c>
      <c r="B441" t="s">
        <v>23</v>
      </c>
      <c r="D441" t="s">
        <v>40</v>
      </c>
      <c r="F441" t="s">
        <v>60</v>
      </c>
    </row>
    <row r="442" spans="1:6" x14ac:dyDescent="0.2">
      <c r="A442" s="1" t="s">
        <v>234</v>
      </c>
      <c r="B442" t="s">
        <v>24</v>
      </c>
      <c r="D442" t="s">
        <v>21</v>
      </c>
      <c r="F442" t="s">
        <v>60</v>
      </c>
    </row>
    <row r="443" spans="1:6" x14ac:dyDescent="0.2">
      <c r="A443" s="1" t="s">
        <v>234</v>
      </c>
      <c r="B443" t="s">
        <v>29</v>
      </c>
      <c r="D443" t="s">
        <v>25</v>
      </c>
      <c r="F443" t="s">
        <v>60</v>
      </c>
    </row>
    <row r="444" spans="1:6" x14ac:dyDescent="0.2">
      <c r="A444" s="1" t="s">
        <v>234</v>
      </c>
      <c r="B444" t="s">
        <v>55</v>
      </c>
      <c r="D444" t="s">
        <v>16</v>
      </c>
      <c r="F444" t="s">
        <v>60</v>
      </c>
    </row>
    <row r="445" spans="1:6" x14ac:dyDescent="0.2">
      <c r="A445" s="1" t="s">
        <v>234</v>
      </c>
      <c r="B445" t="s">
        <v>40</v>
      </c>
      <c r="D445" t="s">
        <v>17</v>
      </c>
      <c r="F445" t="s">
        <v>60</v>
      </c>
    </row>
    <row r="446" spans="1:6" x14ac:dyDescent="0.2">
      <c r="A446" s="1" t="s">
        <v>234</v>
      </c>
      <c r="B446" t="s">
        <v>28</v>
      </c>
      <c r="D446" t="s">
        <v>11</v>
      </c>
      <c r="F446" t="s">
        <v>60</v>
      </c>
    </row>
    <row r="447" spans="1:6" x14ac:dyDescent="0.2">
      <c r="A447" s="1" t="s">
        <v>234</v>
      </c>
      <c r="B447" t="s">
        <v>10</v>
      </c>
      <c r="D447" t="s">
        <v>13</v>
      </c>
      <c r="F447" t="s">
        <v>60</v>
      </c>
    </row>
    <row r="448" spans="1:6" x14ac:dyDescent="0.2">
      <c r="A448" s="1" t="s">
        <v>234</v>
      </c>
      <c r="B448" t="s">
        <v>12</v>
      </c>
      <c r="D448" t="s">
        <v>15</v>
      </c>
      <c r="F448" t="s">
        <v>60</v>
      </c>
    </row>
    <row r="449" spans="1:6" x14ac:dyDescent="0.2">
      <c r="A449" s="1" t="s">
        <v>234</v>
      </c>
      <c r="B449" t="s">
        <v>35</v>
      </c>
      <c r="D449" t="s">
        <v>36</v>
      </c>
      <c r="F449" t="s">
        <v>60</v>
      </c>
    </row>
    <row r="450" spans="1:6" x14ac:dyDescent="0.2">
      <c r="A450" s="1" t="s">
        <v>234</v>
      </c>
      <c r="B450" t="s">
        <v>26</v>
      </c>
      <c r="D450" t="s">
        <v>32</v>
      </c>
      <c r="F450" t="s">
        <v>60</v>
      </c>
    </row>
    <row r="451" spans="1:6" x14ac:dyDescent="0.2">
      <c r="A451" s="1" t="s">
        <v>234</v>
      </c>
      <c r="B451" t="s">
        <v>30</v>
      </c>
      <c r="D451" t="s">
        <v>37</v>
      </c>
      <c r="F451" t="s">
        <v>60</v>
      </c>
    </row>
    <row r="452" spans="1:6" x14ac:dyDescent="0.2">
      <c r="A452" s="1" t="s">
        <v>234</v>
      </c>
      <c r="B452" t="s">
        <v>18</v>
      </c>
      <c r="D452" t="s">
        <v>19</v>
      </c>
      <c r="F452" t="s">
        <v>60</v>
      </c>
    </row>
    <row r="453" spans="1:6" x14ac:dyDescent="0.2">
      <c r="A453" s="1" t="s">
        <v>234</v>
      </c>
      <c r="B453" t="s">
        <v>34</v>
      </c>
      <c r="D453" t="s">
        <v>38</v>
      </c>
      <c r="F453" t="s">
        <v>60</v>
      </c>
    </row>
    <row r="454" spans="1:6" x14ac:dyDescent="0.2">
      <c r="A454" s="1" t="s">
        <v>235</v>
      </c>
      <c r="B454" t="s">
        <v>10</v>
      </c>
      <c r="D454" t="s">
        <v>31</v>
      </c>
      <c r="F454" t="s">
        <v>60</v>
      </c>
    </row>
    <row r="455" spans="1:6" x14ac:dyDescent="0.2">
      <c r="A455" s="1" t="s">
        <v>235</v>
      </c>
      <c r="B455" t="s">
        <v>33</v>
      </c>
      <c r="D455" t="s">
        <v>25</v>
      </c>
      <c r="F455" t="s">
        <v>60</v>
      </c>
    </row>
    <row r="456" spans="1:6" x14ac:dyDescent="0.2">
      <c r="A456" s="1" t="s">
        <v>235</v>
      </c>
      <c r="B456" t="s">
        <v>14</v>
      </c>
      <c r="D456" t="s">
        <v>39</v>
      </c>
      <c r="F456" t="s">
        <v>60</v>
      </c>
    </row>
    <row r="457" spans="1:6" x14ac:dyDescent="0.2">
      <c r="A457" s="1" t="s">
        <v>235</v>
      </c>
      <c r="B457" t="s">
        <v>30</v>
      </c>
      <c r="D457" t="s">
        <v>11</v>
      </c>
      <c r="F457" t="s">
        <v>60</v>
      </c>
    </row>
    <row r="458" spans="1:6" x14ac:dyDescent="0.2">
      <c r="A458" s="1" t="s">
        <v>235</v>
      </c>
      <c r="B458" t="s">
        <v>35</v>
      </c>
      <c r="D458" t="s">
        <v>18</v>
      </c>
      <c r="F458" t="s">
        <v>60</v>
      </c>
    </row>
    <row r="459" spans="1:6" x14ac:dyDescent="0.2">
      <c r="A459" s="1" t="s">
        <v>235</v>
      </c>
      <c r="B459" t="s">
        <v>20</v>
      </c>
      <c r="D459" t="s">
        <v>15</v>
      </c>
      <c r="F459" t="s">
        <v>60</v>
      </c>
    </row>
    <row r="460" spans="1:6" x14ac:dyDescent="0.2">
      <c r="A460" s="1" t="s">
        <v>235</v>
      </c>
      <c r="B460" t="s">
        <v>12</v>
      </c>
      <c r="D460" t="s">
        <v>27</v>
      </c>
      <c r="F460" t="s">
        <v>60</v>
      </c>
    </row>
    <row r="461" spans="1:6" x14ac:dyDescent="0.2">
      <c r="A461" s="1" t="s">
        <v>235</v>
      </c>
      <c r="B461" t="s">
        <v>28</v>
      </c>
      <c r="D461" t="s">
        <v>22</v>
      </c>
      <c r="F461" t="s">
        <v>60</v>
      </c>
    </row>
    <row r="462" spans="1:6" x14ac:dyDescent="0.2">
      <c r="A462" s="1" t="s">
        <v>236</v>
      </c>
      <c r="B462" t="s">
        <v>23</v>
      </c>
      <c r="D462" t="s">
        <v>16</v>
      </c>
      <c r="F462" t="s">
        <v>60</v>
      </c>
    </row>
    <row r="463" spans="1:6" x14ac:dyDescent="0.2">
      <c r="A463" s="1" t="s">
        <v>236</v>
      </c>
      <c r="B463" t="s">
        <v>34</v>
      </c>
      <c r="D463" t="s">
        <v>32</v>
      </c>
      <c r="F463" t="s">
        <v>60</v>
      </c>
    </row>
    <row r="464" spans="1:6" x14ac:dyDescent="0.2">
      <c r="A464" s="1" t="s">
        <v>236</v>
      </c>
      <c r="B464" t="s">
        <v>37</v>
      </c>
      <c r="D464" t="s">
        <v>19</v>
      </c>
      <c r="F464" t="s">
        <v>60</v>
      </c>
    </row>
    <row r="465" spans="1:6" x14ac:dyDescent="0.2">
      <c r="A465" s="1" t="s">
        <v>236</v>
      </c>
      <c r="B465" t="s">
        <v>13</v>
      </c>
      <c r="D465" t="s">
        <v>55</v>
      </c>
      <c r="F465" t="s">
        <v>60</v>
      </c>
    </row>
    <row r="466" spans="1:6" x14ac:dyDescent="0.2">
      <c r="A466" s="1" t="s">
        <v>236</v>
      </c>
      <c r="B466" t="s">
        <v>26</v>
      </c>
      <c r="D466" t="s">
        <v>38</v>
      </c>
      <c r="F466" t="s">
        <v>60</v>
      </c>
    </row>
    <row r="467" spans="1:6" x14ac:dyDescent="0.2">
      <c r="A467" s="1" t="s">
        <v>237</v>
      </c>
      <c r="B467" t="s">
        <v>28</v>
      </c>
      <c r="D467" t="s">
        <v>25</v>
      </c>
      <c r="F467" t="s">
        <v>60</v>
      </c>
    </row>
    <row r="468" spans="1:6" x14ac:dyDescent="0.2">
      <c r="A468" s="1" t="s">
        <v>237</v>
      </c>
      <c r="B468" t="s">
        <v>23</v>
      </c>
      <c r="D468" t="s">
        <v>17</v>
      </c>
      <c r="F468" t="s">
        <v>60</v>
      </c>
    </row>
    <row r="469" spans="1:6" x14ac:dyDescent="0.2">
      <c r="A469" s="1" t="s">
        <v>237</v>
      </c>
      <c r="B469" t="s">
        <v>37</v>
      </c>
      <c r="D469" t="s">
        <v>18</v>
      </c>
      <c r="F469" t="s">
        <v>60</v>
      </c>
    </row>
    <row r="470" spans="1:6" x14ac:dyDescent="0.2">
      <c r="A470" s="1" t="s">
        <v>237</v>
      </c>
      <c r="B470" t="s">
        <v>12</v>
      </c>
      <c r="D470" t="s">
        <v>29</v>
      </c>
      <c r="F470" t="s">
        <v>60</v>
      </c>
    </row>
    <row r="471" spans="1:6" x14ac:dyDescent="0.2">
      <c r="A471" s="1" t="s">
        <v>237</v>
      </c>
      <c r="B471" t="s">
        <v>20</v>
      </c>
      <c r="D471" t="s">
        <v>30</v>
      </c>
      <c r="F471" t="s">
        <v>60</v>
      </c>
    </row>
    <row r="472" spans="1:6" x14ac:dyDescent="0.2">
      <c r="A472" s="1" t="s">
        <v>237</v>
      </c>
      <c r="B472" t="s">
        <v>24</v>
      </c>
      <c r="D472" t="s">
        <v>36</v>
      </c>
      <c r="F472" t="s">
        <v>60</v>
      </c>
    </row>
    <row r="473" spans="1:6" x14ac:dyDescent="0.2">
      <c r="A473" s="1" t="s">
        <v>237</v>
      </c>
      <c r="B473" t="s">
        <v>33</v>
      </c>
      <c r="D473" t="s">
        <v>27</v>
      </c>
      <c r="F473" t="s">
        <v>60</v>
      </c>
    </row>
    <row r="474" spans="1:6" x14ac:dyDescent="0.2">
      <c r="A474" s="1" t="s">
        <v>237</v>
      </c>
      <c r="B474" t="s">
        <v>31</v>
      </c>
      <c r="D474" t="s">
        <v>14</v>
      </c>
      <c r="F474" t="s">
        <v>60</v>
      </c>
    </row>
    <row r="475" spans="1:6" x14ac:dyDescent="0.2">
      <c r="A475" s="1" t="s">
        <v>237</v>
      </c>
      <c r="B475" t="s">
        <v>21</v>
      </c>
      <c r="D475" t="s">
        <v>35</v>
      </c>
      <c r="F475" t="s">
        <v>60</v>
      </c>
    </row>
    <row r="476" spans="1:6" x14ac:dyDescent="0.2">
      <c r="A476" s="1" t="s">
        <v>237</v>
      </c>
      <c r="B476" t="s">
        <v>39</v>
      </c>
      <c r="D476" t="s">
        <v>40</v>
      </c>
      <c r="F476" t="s">
        <v>60</v>
      </c>
    </row>
    <row r="477" spans="1:6" x14ac:dyDescent="0.2">
      <c r="A477" s="1" t="s">
        <v>238</v>
      </c>
      <c r="B477" t="s">
        <v>26</v>
      </c>
      <c r="D477" t="s">
        <v>16</v>
      </c>
      <c r="F477" t="s">
        <v>60</v>
      </c>
    </row>
    <row r="478" spans="1:6" x14ac:dyDescent="0.2">
      <c r="A478" s="1" t="s">
        <v>238</v>
      </c>
      <c r="B478" t="s">
        <v>15</v>
      </c>
      <c r="D478" t="s">
        <v>10</v>
      </c>
      <c r="F478" t="s">
        <v>60</v>
      </c>
    </row>
    <row r="479" spans="1:6" x14ac:dyDescent="0.2">
      <c r="A479" s="1" t="s">
        <v>238</v>
      </c>
      <c r="B479" t="s">
        <v>13</v>
      </c>
      <c r="D479" t="s">
        <v>32</v>
      </c>
      <c r="F479" t="s">
        <v>60</v>
      </c>
    </row>
    <row r="480" spans="1:6" x14ac:dyDescent="0.2">
      <c r="A480" s="1" t="s">
        <v>238</v>
      </c>
      <c r="B480" t="s">
        <v>11</v>
      </c>
      <c r="D480" t="s">
        <v>55</v>
      </c>
      <c r="F480" t="s">
        <v>60</v>
      </c>
    </row>
    <row r="481" spans="1:6" x14ac:dyDescent="0.2">
      <c r="A481" s="1" t="s">
        <v>239</v>
      </c>
      <c r="B481" t="s">
        <v>36</v>
      </c>
      <c r="D481" t="s">
        <v>28</v>
      </c>
      <c r="F481" t="s">
        <v>60</v>
      </c>
    </row>
    <row r="482" spans="1:6" x14ac:dyDescent="0.2">
      <c r="A482" s="1" t="s">
        <v>239</v>
      </c>
      <c r="B482" t="s">
        <v>11</v>
      </c>
      <c r="D482" t="s">
        <v>12</v>
      </c>
      <c r="F482" t="s">
        <v>60</v>
      </c>
    </row>
    <row r="483" spans="1:6" x14ac:dyDescent="0.2">
      <c r="A483" s="1" t="s">
        <v>239</v>
      </c>
      <c r="B483" t="s">
        <v>26</v>
      </c>
      <c r="D483" t="s">
        <v>17</v>
      </c>
      <c r="F483" t="s">
        <v>60</v>
      </c>
    </row>
    <row r="484" spans="1:6" x14ac:dyDescent="0.2">
      <c r="A484" s="1" t="s">
        <v>239</v>
      </c>
      <c r="B484" t="s">
        <v>39</v>
      </c>
      <c r="D484" t="s">
        <v>34</v>
      </c>
      <c r="F484" t="s">
        <v>60</v>
      </c>
    </row>
    <row r="485" spans="1:6" x14ac:dyDescent="0.2">
      <c r="A485" s="1" t="s">
        <v>239</v>
      </c>
      <c r="B485" t="s">
        <v>37</v>
      </c>
      <c r="D485" t="s">
        <v>24</v>
      </c>
      <c r="F485" t="s">
        <v>60</v>
      </c>
    </row>
    <row r="486" spans="1:6" x14ac:dyDescent="0.2">
      <c r="A486" s="1" t="s">
        <v>239</v>
      </c>
      <c r="B486" t="s">
        <v>35</v>
      </c>
      <c r="D486" t="s">
        <v>29</v>
      </c>
      <c r="F486" t="s">
        <v>60</v>
      </c>
    </row>
    <row r="487" spans="1:6" x14ac:dyDescent="0.2">
      <c r="A487" s="1" t="s">
        <v>239</v>
      </c>
      <c r="B487" t="s">
        <v>31</v>
      </c>
      <c r="D487" t="s">
        <v>30</v>
      </c>
      <c r="F487" t="s">
        <v>60</v>
      </c>
    </row>
    <row r="488" spans="1:6" x14ac:dyDescent="0.2">
      <c r="A488" s="1" t="s">
        <v>239</v>
      </c>
      <c r="B488" t="s">
        <v>20</v>
      </c>
      <c r="D488" t="s">
        <v>27</v>
      </c>
      <c r="F488" t="s">
        <v>60</v>
      </c>
    </row>
    <row r="489" spans="1:6" x14ac:dyDescent="0.2">
      <c r="A489" s="1" t="s">
        <v>239</v>
      </c>
      <c r="B489" t="s">
        <v>18</v>
      </c>
      <c r="D489" t="s">
        <v>14</v>
      </c>
      <c r="F489" t="s">
        <v>60</v>
      </c>
    </row>
    <row r="490" spans="1:6" x14ac:dyDescent="0.2">
      <c r="A490" s="1" t="s">
        <v>239</v>
      </c>
      <c r="B490" t="s">
        <v>33</v>
      </c>
      <c r="D490" t="s">
        <v>19</v>
      </c>
      <c r="F490" t="s">
        <v>60</v>
      </c>
    </row>
    <row r="491" spans="1:6" x14ac:dyDescent="0.2">
      <c r="A491" s="1" t="s">
        <v>239</v>
      </c>
      <c r="B491" t="s">
        <v>23</v>
      </c>
      <c r="D491" t="s">
        <v>38</v>
      </c>
      <c r="F491" t="s">
        <v>60</v>
      </c>
    </row>
    <row r="492" spans="1:6" x14ac:dyDescent="0.2">
      <c r="A492" s="1" t="s">
        <v>239</v>
      </c>
      <c r="B492" t="s">
        <v>21</v>
      </c>
      <c r="D492" t="s">
        <v>40</v>
      </c>
      <c r="F492" t="s">
        <v>60</v>
      </c>
    </row>
    <row r="493" spans="1:6" x14ac:dyDescent="0.2">
      <c r="A493" s="1" t="s">
        <v>239</v>
      </c>
      <c r="B493" t="s">
        <v>25</v>
      </c>
      <c r="D493" t="s">
        <v>22</v>
      </c>
      <c r="F493" t="s">
        <v>60</v>
      </c>
    </row>
    <row r="494" spans="1:6" x14ac:dyDescent="0.2">
      <c r="A494" s="1" t="s">
        <v>240</v>
      </c>
      <c r="B494" t="s">
        <v>10</v>
      </c>
      <c r="D494" t="s">
        <v>35</v>
      </c>
      <c r="F494" t="s">
        <v>60</v>
      </c>
    </row>
    <row r="495" spans="1:6" x14ac:dyDescent="0.2">
      <c r="A495" s="1" t="s">
        <v>240</v>
      </c>
      <c r="B495" t="s">
        <v>32</v>
      </c>
      <c r="D495" t="s">
        <v>55</v>
      </c>
      <c r="F495" t="s">
        <v>60</v>
      </c>
    </row>
    <row r="496" spans="1:6" x14ac:dyDescent="0.2">
      <c r="A496" s="1" t="s">
        <v>63</v>
      </c>
      <c r="B496" t="s">
        <v>20</v>
      </c>
      <c r="D496" t="s">
        <v>28</v>
      </c>
      <c r="F496" t="s">
        <v>60</v>
      </c>
    </row>
    <row r="497" spans="1:6" x14ac:dyDescent="0.2">
      <c r="A497" s="1" t="s">
        <v>63</v>
      </c>
      <c r="B497" t="s">
        <v>26</v>
      </c>
      <c r="D497" t="s">
        <v>10</v>
      </c>
      <c r="F497" t="s">
        <v>60</v>
      </c>
    </row>
    <row r="498" spans="1:6" x14ac:dyDescent="0.2">
      <c r="A498" s="1" t="s">
        <v>63</v>
      </c>
      <c r="B498" t="s">
        <v>29</v>
      </c>
      <c r="D498" t="s">
        <v>12</v>
      </c>
      <c r="F498" t="s">
        <v>60</v>
      </c>
    </row>
    <row r="499" spans="1:6" x14ac:dyDescent="0.2">
      <c r="A499" s="1" t="s">
        <v>63</v>
      </c>
      <c r="B499" t="s">
        <v>11</v>
      </c>
      <c r="D499" t="s">
        <v>39</v>
      </c>
      <c r="F499" t="s">
        <v>60</v>
      </c>
    </row>
    <row r="500" spans="1:6" x14ac:dyDescent="0.2">
      <c r="A500" s="1" t="s">
        <v>63</v>
      </c>
      <c r="B500" t="s">
        <v>16</v>
      </c>
      <c r="D500" t="s">
        <v>13</v>
      </c>
      <c r="F500" t="s">
        <v>60</v>
      </c>
    </row>
    <row r="501" spans="1:6" x14ac:dyDescent="0.2">
      <c r="A501" s="1" t="s">
        <v>63</v>
      </c>
      <c r="B501" t="s">
        <v>36</v>
      </c>
      <c r="D501" t="s">
        <v>34</v>
      </c>
      <c r="F501" t="s">
        <v>60</v>
      </c>
    </row>
    <row r="502" spans="1:6" x14ac:dyDescent="0.2">
      <c r="A502" t="s">
        <v>63</v>
      </c>
      <c r="B502" t="s">
        <v>31</v>
      </c>
      <c r="D502" t="s">
        <v>24</v>
      </c>
      <c r="F502" t="s">
        <v>60</v>
      </c>
    </row>
    <row r="503" spans="1:6" x14ac:dyDescent="0.2">
      <c r="A503" t="s">
        <v>63</v>
      </c>
      <c r="B503" t="s">
        <v>37</v>
      </c>
      <c r="D503" t="s">
        <v>30</v>
      </c>
      <c r="F503" t="s">
        <v>60</v>
      </c>
    </row>
    <row r="504" spans="1:6" x14ac:dyDescent="0.2">
      <c r="A504" t="s">
        <v>63</v>
      </c>
      <c r="B504" t="s">
        <v>18</v>
      </c>
      <c r="D504" t="s">
        <v>15</v>
      </c>
      <c r="F504" t="s">
        <v>60</v>
      </c>
    </row>
    <row r="505" spans="1:6" x14ac:dyDescent="0.2">
      <c r="A505" t="s">
        <v>63</v>
      </c>
      <c r="B505" t="s">
        <v>25</v>
      </c>
      <c r="D505" t="s">
        <v>27</v>
      </c>
      <c r="F505" t="s">
        <v>60</v>
      </c>
    </row>
    <row r="506" spans="1:6" x14ac:dyDescent="0.2">
      <c r="A506" t="s">
        <v>63</v>
      </c>
      <c r="B506" t="s">
        <v>33</v>
      </c>
      <c r="D506" t="s">
        <v>14</v>
      </c>
      <c r="F506" t="s">
        <v>60</v>
      </c>
    </row>
    <row r="507" spans="1:6" x14ac:dyDescent="0.2">
      <c r="A507" t="s">
        <v>63</v>
      </c>
      <c r="B507" t="s">
        <v>17</v>
      </c>
      <c r="D507" t="s">
        <v>19</v>
      </c>
      <c r="F507" t="s">
        <v>60</v>
      </c>
    </row>
    <row r="508" spans="1:6" x14ac:dyDescent="0.2">
      <c r="A508" t="s">
        <v>63</v>
      </c>
      <c r="B508" t="s">
        <v>22</v>
      </c>
      <c r="D508" t="s">
        <v>40</v>
      </c>
      <c r="F508" t="s">
        <v>60</v>
      </c>
    </row>
    <row r="509" spans="1:6" x14ac:dyDescent="0.2">
      <c r="A509" t="s">
        <v>64</v>
      </c>
      <c r="B509" t="s">
        <v>27</v>
      </c>
      <c r="D509" t="s">
        <v>25</v>
      </c>
      <c r="F509" t="s">
        <v>60</v>
      </c>
    </row>
    <row r="510" spans="1:6" x14ac:dyDescent="0.2">
      <c r="A510" t="s">
        <v>64</v>
      </c>
      <c r="B510" t="s">
        <v>21</v>
      </c>
      <c r="D510" t="s">
        <v>34</v>
      </c>
      <c r="F510" t="s">
        <v>60</v>
      </c>
    </row>
    <row r="511" spans="1:6" x14ac:dyDescent="0.2">
      <c r="A511" t="s">
        <v>64</v>
      </c>
      <c r="B511" t="s">
        <v>17</v>
      </c>
      <c r="D511" t="s">
        <v>18</v>
      </c>
      <c r="F511" t="s">
        <v>60</v>
      </c>
    </row>
    <row r="512" spans="1:6" x14ac:dyDescent="0.2">
      <c r="A512" t="s">
        <v>64</v>
      </c>
      <c r="B512" t="s">
        <v>38</v>
      </c>
      <c r="D512" t="s">
        <v>24</v>
      </c>
      <c r="F512" t="s">
        <v>60</v>
      </c>
    </row>
    <row r="513" spans="1:6" x14ac:dyDescent="0.2">
      <c r="A513" t="s">
        <v>64</v>
      </c>
      <c r="B513" t="s">
        <v>55</v>
      </c>
      <c r="D513" t="s">
        <v>14</v>
      </c>
      <c r="F513" t="s">
        <v>60</v>
      </c>
    </row>
    <row r="514" spans="1:6" x14ac:dyDescent="0.2">
      <c r="A514" t="s">
        <v>64</v>
      </c>
      <c r="B514" t="s">
        <v>23</v>
      </c>
      <c r="D514" t="s">
        <v>32</v>
      </c>
      <c r="F514" t="s">
        <v>60</v>
      </c>
    </row>
    <row r="515" spans="1:6" x14ac:dyDescent="0.2">
      <c r="A515" t="s">
        <v>65</v>
      </c>
      <c r="B515" t="s">
        <v>13</v>
      </c>
      <c r="D515" t="s">
        <v>39</v>
      </c>
      <c r="F515" t="s">
        <v>60</v>
      </c>
    </row>
    <row r="516" spans="1:6" x14ac:dyDescent="0.2">
      <c r="A516" t="s">
        <v>65</v>
      </c>
      <c r="B516" t="s">
        <v>31</v>
      </c>
      <c r="D516" t="s">
        <v>15</v>
      </c>
      <c r="F516" t="s">
        <v>60</v>
      </c>
    </row>
    <row r="517" spans="1:6" x14ac:dyDescent="0.2">
      <c r="A517" t="s">
        <v>65</v>
      </c>
      <c r="B517" t="s">
        <v>29</v>
      </c>
      <c r="D517" t="s">
        <v>35</v>
      </c>
      <c r="F517" t="s">
        <v>60</v>
      </c>
    </row>
    <row r="518" spans="1:6" x14ac:dyDescent="0.2">
      <c r="A518" t="s">
        <v>65</v>
      </c>
      <c r="B518" t="s">
        <v>11</v>
      </c>
      <c r="D518" t="s">
        <v>37</v>
      </c>
      <c r="F518" t="s">
        <v>60</v>
      </c>
    </row>
    <row r="519" spans="1:6" x14ac:dyDescent="0.2">
      <c r="A519" t="s">
        <v>65</v>
      </c>
      <c r="B519" t="s">
        <v>36</v>
      </c>
      <c r="D519" t="s">
        <v>40</v>
      </c>
      <c r="F519" t="s">
        <v>60</v>
      </c>
    </row>
    <row r="520" spans="1:6" x14ac:dyDescent="0.2">
      <c r="A520" t="s">
        <v>66</v>
      </c>
      <c r="B520" t="s">
        <v>55</v>
      </c>
      <c r="D520" t="s">
        <v>21</v>
      </c>
      <c r="F520" t="s">
        <v>60</v>
      </c>
    </row>
    <row r="521" spans="1:6" x14ac:dyDescent="0.2">
      <c r="A521" t="s">
        <v>66</v>
      </c>
      <c r="B521" t="s">
        <v>31</v>
      </c>
      <c r="D521" t="s">
        <v>28</v>
      </c>
      <c r="F521" t="s">
        <v>60</v>
      </c>
    </row>
    <row r="522" spans="1:6" x14ac:dyDescent="0.2">
      <c r="A522" t="s">
        <v>66</v>
      </c>
      <c r="B522" t="s">
        <v>30</v>
      </c>
      <c r="D522" t="s">
        <v>26</v>
      </c>
      <c r="F522" t="s">
        <v>60</v>
      </c>
    </row>
    <row r="523" spans="1:6" x14ac:dyDescent="0.2">
      <c r="A523" t="s">
        <v>66</v>
      </c>
      <c r="B523" t="s">
        <v>22</v>
      </c>
      <c r="D523" t="s">
        <v>34</v>
      </c>
      <c r="F523" t="s">
        <v>60</v>
      </c>
    </row>
    <row r="524" spans="1:6" x14ac:dyDescent="0.2">
      <c r="A524" t="s">
        <v>66</v>
      </c>
      <c r="B524" t="s">
        <v>27</v>
      </c>
      <c r="D524" t="s">
        <v>18</v>
      </c>
      <c r="F524" t="s">
        <v>60</v>
      </c>
    </row>
    <row r="525" spans="1:6" x14ac:dyDescent="0.2">
      <c r="A525" t="s">
        <v>66</v>
      </c>
      <c r="B525" t="s">
        <v>38</v>
      </c>
      <c r="D525" t="s">
        <v>15</v>
      </c>
      <c r="F525" t="s">
        <v>60</v>
      </c>
    </row>
    <row r="526" spans="1:6" x14ac:dyDescent="0.2">
      <c r="A526" t="s">
        <v>66</v>
      </c>
      <c r="B526" t="s">
        <v>17</v>
      </c>
      <c r="D526" t="s">
        <v>14</v>
      </c>
      <c r="F526" t="s">
        <v>60</v>
      </c>
    </row>
    <row r="527" spans="1:6" x14ac:dyDescent="0.2">
      <c r="A527" t="s">
        <v>66</v>
      </c>
      <c r="B527" t="s">
        <v>12</v>
      </c>
      <c r="D527" t="s">
        <v>32</v>
      </c>
      <c r="F527" t="s">
        <v>60</v>
      </c>
    </row>
    <row r="528" spans="1:6" x14ac:dyDescent="0.2">
      <c r="A528" t="s">
        <v>66</v>
      </c>
      <c r="B528" t="s">
        <v>16</v>
      </c>
      <c r="D528" t="s">
        <v>33</v>
      </c>
      <c r="F528" t="s">
        <v>60</v>
      </c>
    </row>
    <row r="529" spans="1:6" x14ac:dyDescent="0.2">
      <c r="A529" t="s">
        <v>66</v>
      </c>
      <c r="B529" t="s">
        <v>10</v>
      </c>
      <c r="D529" t="s">
        <v>19</v>
      </c>
      <c r="F529" t="s">
        <v>60</v>
      </c>
    </row>
    <row r="530" spans="1:6" x14ac:dyDescent="0.2">
      <c r="A530" t="s">
        <v>67</v>
      </c>
      <c r="B530" t="s">
        <v>55</v>
      </c>
      <c r="D530" t="s">
        <v>26</v>
      </c>
      <c r="F530" t="s">
        <v>60</v>
      </c>
    </row>
    <row r="531" spans="1:6" x14ac:dyDescent="0.2">
      <c r="A531" t="s">
        <v>67</v>
      </c>
      <c r="B531" t="s">
        <v>13</v>
      </c>
      <c r="D531" t="s">
        <v>11</v>
      </c>
      <c r="F531" t="s">
        <v>60</v>
      </c>
    </row>
    <row r="532" spans="1:6" x14ac:dyDescent="0.2">
      <c r="A532" t="s">
        <v>67</v>
      </c>
      <c r="B532" t="s">
        <v>25</v>
      </c>
      <c r="D532" t="s">
        <v>29</v>
      </c>
      <c r="F532" t="s">
        <v>60</v>
      </c>
    </row>
    <row r="533" spans="1:6" x14ac:dyDescent="0.2">
      <c r="A533" t="s">
        <v>67</v>
      </c>
      <c r="B533" t="s">
        <v>40</v>
      </c>
      <c r="D533" t="s">
        <v>35</v>
      </c>
      <c r="F533" t="s">
        <v>60</v>
      </c>
    </row>
    <row r="534" spans="1:6" x14ac:dyDescent="0.2">
      <c r="A534" t="s">
        <v>67</v>
      </c>
      <c r="B534" t="s">
        <v>24</v>
      </c>
      <c r="D534" t="s">
        <v>20</v>
      </c>
      <c r="F534" t="s">
        <v>60</v>
      </c>
    </row>
    <row r="535" spans="1:6" x14ac:dyDescent="0.2">
      <c r="A535" t="s">
        <v>68</v>
      </c>
      <c r="B535" t="s">
        <v>17</v>
      </c>
      <c r="D535" t="s">
        <v>21</v>
      </c>
      <c r="F535" t="s">
        <v>60</v>
      </c>
    </row>
    <row r="536" spans="1:6" x14ac:dyDescent="0.2">
      <c r="A536" t="s">
        <v>68</v>
      </c>
      <c r="B536" t="s">
        <v>27</v>
      </c>
      <c r="D536" t="s">
        <v>23</v>
      </c>
      <c r="F536" t="s">
        <v>60</v>
      </c>
    </row>
    <row r="537" spans="1:6" x14ac:dyDescent="0.2">
      <c r="A537" t="s">
        <v>68</v>
      </c>
      <c r="B537" t="s">
        <v>34</v>
      </c>
      <c r="D537" t="s">
        <v>28</v>
      </c>
      <c r="F537" t="s">
        <v>60</v>
      </c>
    </row>
    <row r="538" spans="1:6" x14ac:dyDescent="0.2">
      <c r="A538" t="s">
        <v>68</v>
      </c>
      <c r="B538" t="s">
        <v>32</v>
      </c>
      <c r="D538" t="s">
        <v>16</v>
      </c>
      <c r="F538" t="s">
        <v>60</v>
      </c>
    </row>
    <row r="539" spans="1:6" x14ac:dyDescent="0.2">
      <c r="A539" t="s">
        <v>68</v>
      </c>
      <c r="B539" t="s">
        <v>10</v>
      </c>
      <c r="D539" t="s">
        <v>18</v>
      </c>
      <c r="F539" t="s">
        <v>60</v>
      </c>
    </row>
    <row r="540" spans="1:6" x14ac:dyDescent="0.2">
      <c r="A540" t="s">
        <v>68</v>
      </c>
      <c r="B540" t="s">
        <v>14</v>
      </c>
      <c r="D540" t="s">
        <v>36</v>
      </c>
      <c r="F540" t="s">
        <v>60</v>
      </c>
    </row>
    <row r="541" spans="1:6" x14ac:dyDescent="0.2">
      <c r="A541" t="s">
        <v>68</v>
      </c>
      <c r="B541" t="s">
        <v>39</v>
      </c>
      <c r="D541" t="s">
        <v>33</v>
      </c>
      <c r="F541" t="s">
        <v>60</v>
      </c>
    </row>
    <row r="542" spans="1:6" x14ac:dyDescent="0.2">
      <c r="A542" t="s">
        <v>68</v>
      </c>
      <c r="B542" t="s">
        <v>15</v>
      </c>
      <c r="D542" t="s">
        <v>35</v>
      </c>
      <c r="F542" t="s">
        <v>60</v>
      </c>
    </row>
    <row r="543" spans="1:6" x14ac:dyDescent="0.2">
      <c r="A543" t="s">
        <v>68</v>
      </c>
      <c r="B543" t="s">
        <v>13</v>
      </c>
      <c r="D543" t="s">
        <v>37</v>
      </c>
      <c r="F543" t="s">
        <v>60</v>
      </c>
    </row>
    <row r="544" spans="1:6" x14ac:dyDescent="0.2">
      <c r="A544" t="s">
        <v>68</v>
      </c>
      <c r="B544" t="s">
        <v>19</v>
      </c>
      <c r="D544" t="s">
        <v>22</v>
      </c>
      <c r="F544" t="s">
        <v>60</v>
      </c>
    </row>
    <row r="545" spans="1:6" x14ac:dyDescent="0.2">
      <c r="A545" t="s">
        <v>69</v>
      </c>
      <c r="B545" t="s">
        <v>39</v>
      </c>
      <c r="D545" t="s">
        <v>31</v>
      </c>
      <c r="F545" t="s">
        <v>60</v>
      </c>
    </row>
    <row r="546" spans="1:6" x14ac:dyDescent="0.2">
      <c r="A546" t="s">
        <v>69</v>
      </c>
      <c r="B546" t="s">
        <v>40</v>
      </c>
      <c r="D546" t="s">
        <v>12</v>
      </c>
      <c r="F546" t="s">
        <v>60</v>
      </c>
    </row>
    <row r="547" spans="1:6" x14ac:dyDescent="0.2">
      <c r="A547" t="s">
        <v>69</v>
      </c>
      <c r="B547" t="s">
        <v>25</v>
      </c>
      <c r="D547" t="s">
        <v>11</v>
      </c>
      <c r="F547" t="s">
        <v>60</v>
      </c>
    </row>
    <row r="548" spans="1:6" x14ac:dyDescent="0.2">
      <c r="A548" t="s">
        <v>69</v>
      </c>
      <c r="B548" t="s">
        <v>38</v>
      </c>
      <c r="D548" t="s">
        <v>30</v>
      </c>
      <c r="F548" t="s">
        <v>60</v>
      </c>
    </row>
    <row r="549" spans="1:6" x14ac:dyDescent="0.2">
      <c r="A549" t="s">
        <v>69</v>
      </c>
      <c r="B549" t="s">
        <v>24</v>
      </c>
      <c r="D549" t="s">
        <v>55</v>
      </c>
      <c r="F549" t="s">
        <v>60</v>
      </c>
    </row>
    <row r="550" spans="1:6" x14ac:dyDescent="0.2">
      <c r="A550" t="s">
        <v>70</v>
      </c>
      <c r="B550" t="s">
        <v>28</v>
      </c>
      <c r="D550" t="s">
        <v>31</v>
      </c>
      <c r="F550" t="s">
        <v>60</v>
      </c>
    </row>
    <row r="551" spans="1:6" x14ac:dyDescent="0.2">
      <c r="A551" t="s">
        <v>70</v>
      </c>
      <c r="B551" t="s">
        <v>38</v>
      </c>
      <c r="D551" t="s">
        <v>21</v>
      </c>
      <c r="F551" t="s">
        <v>60</v>
      </c>
    </row>
    <row r="552" spans="1:6" x14ac:dyDescent="0.2">
      <c r="A552" t="s">
        <v>70</v>
      </c>
      <c r="B552" t="s">
        <v>30</v>
      </c>
      <c r="D552" t="s">
        <v>23</v>
      </c>
      <c r="F552" t="s">
        <v>60</v>
      </c>
    </row>
    <row r="553" spans="1:6" x14ac:dyDescent="0.2">
      <c r="A553" t="s">
        <v>70</v>
      </c>
      <c r="B553" t="s">
        <v>20</v>
      </c>
      <c r="D553" t="s">
        <v>16</v>
      </c>
      <c r="F553" t="s">
        <v>60</v>
      </c>
    </row>
    <row r="554" spans="1:6" x14ac:dyDescent="0.2">
      <c r="A554" t="s">
        <v>70</v>
      </c>
      <c r="B554" t="s">
        <v>35</v>
      </c>
      <c r="D554" t="s">
        <v>11</v>
      </c>
      <c r="F554" t="s">
        <v>60</v>
      </c>
    </row>
    <row r="555" spans="1:6" x14ac:dyDescent="0.2">
      <c r="A555" t="s">
        <v>70</v>
      </c>
      <c r="B555" t="s">
        <v>17</v>
      </c>
      <c r="D555" t="s">
        <v>34</v>
      </c>
      <c r="F555" t="s">
        <v>60</v>
      </c>
    </row>
    <row r="556" spans="1:6" x14ac:dyDescent="0.2">
      <c r="A556" t="s">
        <v>70</v>
      </c>
      <c r="B556" t="s">
        <v>14</v>
      </c>
      <c r="D556" t="s">
        <v>18</v>
      </c>
      <c r="F556" t="s">
        <v>60</v>
      </c>
    </row>
    <row r="557" spans="1:6" x14ac:dyDescent="0.2">
      <c r="A557" t="s">
        <v>70</v>
      </c>
      <c r="B557" t="s">
        <v>19</v>
      </c>
      <c r="D557" t="s">
        <v>29</v>
      </c>
      <c r="F557" t="s">
        <v>60</v>
      </c>
    </row>
    <row r="558" spans="1:6" x14ac:dyDescent="0.2">
      <c r="A558" t="s">
        <v>70</v>
      </c>
      <c r="B558" t="s">
        <v>27</v>
      </c>
      <c r="D558" t="s">
        <v>15</v>
      </c>
      <c r="F558" t="s">
        <v>60</v>
      </c>
    </row>
    <row r="559" spans="1:6" x14ac:dyDescent="0.2">
      <c r="A559" t="s">
        <v>70</v>
      </c>
      <c r="B559" t="s">
        <v>10</v>
      </c>
      <c r="D559" t="s">
        <v>36</v>
      </c>
      <c r="F559" t="s">
        <v>60</v>
      </c>
    </row>
    <row r="560" spans="1:6" x14ac:dyDescent="0.2">
      <c r="A560" t="s">
        <v>70</v>
      </c>
      <c r="B560" t="s">
        <v>32</v>
      </c>
      <c r="D560" t="s">
        <v>33</v>
      </c>
      <c r="F560" t="s">
        <v>60</v>
      </c>
    </row>
    <row r="561" spans="1:6" x14ac:dyDescent="0.2">
      <c r="A561" t="s">
        <v>70</v>
      </c>
      <c r="B561" t="s">
        <v>25</v>
      </c>
      <c r="D561" t="s">
        <v>37</v>
      </c>
      <c r="F561" t="s">
        <v>60</v>
      </c>
    </row>
    <row r="562" spans="1:6" x14ac:dyDescent="0.2">
      <c r="A562" t="s">
        <v>70</v>
      </c>
      <c r="B562" t="s">
        <v>26</v>
      </c>
      <c r="D562" t="s">
        <v>22</v>
      </c>
      <c r="F562" t="s">
        <v>60</v>
      </c>
    </row>
    <row r="563" spans="1:6" x14ac:dyDescent="0.2">
      <c r="A563" t="s">
        <v>71</v>
      </c>
      <c r="B563" t="s">
        <v>36</v>
      </c>
      <c r="D563" t="s">
        <v>21</v>
      </c>
      <c r="F563" t="s">
        <v>60</v>
      </c>
    </row>
    <row r="564" spans="1:6" x14ac:dyDescent="0.2">
      <c r="A564" t="s">
        <v>71</v>
      </c>
      <c r="B564" t="s">
        <v>19</v>
      </c>
      <c r="D564" t="s">
        <v>39</v>
      </c>
      <c r="F564" t="s">
        <v>60</v>
      </c>
    </row>
    <row r="565" spans="1:6" x14ac:dyDescent="0.2">
      <c r="A565" t="s">
        <v>71</v>
      </c>
      <c r="B565" t="s">
        <v>22</v>
      </c>
      <c r="D565" t="s">
        <v>26</v>
      </c>
      <c r="F565" t="s">
        <v>60</v>
      </c>
    </row>
    <row r="566" spans="1:6" x14ac:dyDescent="0.2">
      <c r="A566" t="s">
        <v>71</v>
      </c>
      <c r="B566" t="s">
        <v>20</v>
      </c>
      <c r="D566" t="s">
        <v>17</v>
      </c>
      <c r="F566" t="s">
        <v>60</v>
      </c>
    </row>
    <row r="567" spans="1:6" x14ac:dyDescent="0.2">
      <c r="A567" t="s">
        <v>71</v>
      </c>
      <c r="B567" t="s">
        <v>12</v>
      </c>
      <c r="D567" t="s">
        <v>34</v>
      </c>
      <c r="F567" t="s">
        <v>60</v>
      </c>
    </row>
    <row r="568" spans="1:6" x14ac:dyDescent="0.2">
      <c r="A568" t="s">
        <v>71</v>
      </c>
      <c r="B568" t="s">
        <v>23</v>
      </c>
      <c r="D568" t="s">
        <v>24</v>
      </c>
      <c r="F568" t="s">
        <v>60</v>
      </c>
    </row>
    <row r="569" spans="1:6" x14ac:dyDescent="0.2">
      <c r="A569" t="s">
        <v>71</v>
      </c>
      <c r="B569" t="s">
        <v>15</v>
      </c>
      <c r="D569" t="s">
        <v>29</v>
      </c>
      <c r="F569" t="s">
        <v>60</v>
      </c>
    </row>
    <row r="570" spans="1:6" x14ac:dyDescent="0.2">
      <c r="A570" t="s">
        <v>71</v>
      </c>
      <c r="B570" t="s">
        <v>18</v>
      </c>
      <c r="D570" t="s">
        <v>14</v>
      </c>
      <c r="F570" t="s">
        <v>60</v>
      </c>
    </row>
    <row r="571" spans="1:6" x14ac:dyDescent="0.2">
      <c r="A571" t="s">
        <v>71</v>
      </c>
      <c r="B571" t="s">
        <v>40</v>
      </c>
      <c r="D571" t="s">
        <v>55</v>
      </c>
      <c r="F571" t="s">
        <v>60</v>
      </c>
    </row>
    <row r="572" spans="1:6" x14ac:dyDescent="0.2">
      <c r="A572" t="s">
        <v>72</v>
      </c>
      <c r="B572" t="s">
        <v>32</v>
      </c>
      <c r="D572" t="s">
        <v>31</v>
      </c>
      <c r="F572" t="s">
        <v>60</v>
      </c>
    </row>
    <row r="573" spans="1:6" x14ac:dyDescent="0.2">
      <c r="A573" t="s">
        <v>72</v>
      </c>
      <c r="B573" t="s">
        <v>28</v>
      </c>
      <c r="D573" t="s">
        <v>13</v>
      </c>
      <c r="F573" t="s">
        <v>60</v>
      </c>
    </row>
    <row r="574" spans="1:6" x14ac:dyDescent="0.2">
      <c r="A574" t="s">
        <v>72</v>
      </c>
      <c r="B574" t="s">
        <v>38</v>
      </c>
      <c r="D574" t="s">
        <v>27</v>
      </c>
      <c r="F574" t="s">
        <v>60</v>
      </c>
    </row>
    <row r="575" spans="1:6" x14ac:dyDescent="0.2">
      <c r="A575" t="s">
        <v>72</v>
      </c>
      <c r="B575" t="s">
        <v>35</v>
      </c>
      <c r="D575" t="s">
        <v>37</v>
      </c>
      <c r="F575" t="s">
        <v>60</v>
      </c>
    </row>
    <row r="576" spans="1:6" x14ac:dyDescent="0.2">
      <c r="A576" t="s">
        <v>73</v>
      </c>
      <c r="B576" t="s">
        <v>18</v>
      </c>
      <c r="D576" t="s">
        <v>21</v>
      </c>
      <c r="F576" t="s">
        <v>60</v>
      </c>
    </row>
    <row r="577" spans="1:6" x14ac:dyDescent="0.2">
      <c r="A577" t="s">
        <v>73</v>
      </c>
      <c r="B577" t="s">
        <v>11</v>
      </c>
      <c r="D577" t="s">
        <v>25</v>
      </c>
      <c r="F577" t="s">
        <v>60</v>
      </c>
    </row>
    <row r="578" spans="1:6" x14ac:dyDescent="0.2">
      <c r="A578" t="s">
        <v>73</v>
      </c>
      <c r="B578" t="s">
        <v>27</v>
      </c>
      <c r="D578" t="s">
        <v>10</v>
      </c>
      <c r="F578" t="s">
        <v>60</v>
      </c>
    </row>
    <row r="579" spans="1:6" x14ac:dyDescent="0.2">
      <c r="A579" t="s">
        <v>73</v>
      </c>
      <c r="B579" t="s">
        <v>55</v>
      </c>
      <c r="D579" t="s">
        <v>12</v>
      </c>
      <c r="F579" t="s">
        <v>60</v>
      </c>
    </row>
    <row r="580" spans="1:6" x14ac:dyDescent="0.2">
      <c r="A580" t="s">
        <v>73</v>
      </c>
      <c r="B580" t="s">
        <v>39</v>
      </c>
      <c r="D580" t="s">
        <v>26</v>
      </c>
      <c r="F580" t="s">
        <v>60</v>
      </c>
    </row>
    <row r="581" spans="1:6" x14ac:dyDescent="0.2">
      <c r="A581" t="s">
        <v>73</v>
      </c>
      <c r="B581" t="s">
        <v>16</v>
      </c>
      <c r="D581" t="s">
        <v>17</v>
      </c>
      <c r="F581" t="s">
        <v>60</v>
      </c>
    </row>
    <row r="582" spans="1:6" x14ac:dyDescent="0.2">
      <c r="A582" t="s">
        <v>73</v>
      </c>
      <c r="B582" t="s">
        <v>32</v>
      </c>
      <c r="D582" t="s">
        <v>13</v>
      </c>
      <c r="F582" t="s">
        <v>60</v>
      </c>
    </row>
    <row r="583" spans="1:6" x14ac:dyDescent="0.2">
      <c r="A583" t="s">
        <v>73</v>
      </c>
      <c r="B583" t="s">
        <v>29</v>
      </c>
      <c r="D583" t="s">
        <v>34</v>
      </c>
      <c r="F583" t="s">
        <v>60</v>
      </c>
    </row>
    <row r="584" spans="1:6" x14ac:dyDescent="0.2">
      <c r="A584" t="s">
        <v>73</v>
      </c>
      <c r="B584" t="s">
        <v>24</v>
      </c>
      <c r="D584" t="s">
        <v>30</v>
      </c>
      <c r="F584" t="s">
        <v>60</v>
      </c>
    </row>
    <row r="585" spans="1:6" x14ac:dyDescent="0.2">
      <c r="A585" t="s">
        <v>73</v>
      </c>
      <c r="B585" t="s">
        <v>23</v>
      </c>
      <c r="D585" t="s">
        <v>36</v>
      </c>
      <c r="F585" t="s">
        <v>60</v>
      </c>
    </row>
    <row r="586" spans="1:6" x14ac:dyDescent="0.2">
      <c r="A586" t="s">
        <v>73</v>
      </c>
      <c r="B586" t="s">
        <v>14</v>
      </c>
      <c r="D586" t="s">
        <v>19</v>
      </c>
      <c r="F586" t="s">
        <v>60</v>
      </c>
    </row>
    <row r="587" spans="1:6" x14ac:dyDescent="0.2">
      <c r="A587" t="s">
        <v>73</v>
      </c>
      <c r="B587" t="s">
        <v>33</v>
      </c>
      <c r="D587" t="s">
        <v>20</v>
      </c>
      <c r="F587" t="s">
        <v>60</v>
      </c>
    </row>
    <row r="588" spans="1:6" x14ac:dyDescent="0.2">
      <c r="A588" t="s">
        <v>73</v>
      </c>
      <c r="B588" t="s">
        <v>15</v>
      </c>
      <c r="D588" t="s">
        <v>22</v>
      </c>
      <c r="F588" t="s">
        <v>60</v>
      </c>
    </row>
    <row r="589" spans="1:6" x14ac:dyDescent="0.2">
      <c r="A589" t="s">
        <v>74</v>
      </c>
      <c r="B589" t="s">
        <v>21</v>
      </c>
      <c r="D589" t="s">
        <v>23</v>
      </c>
      <c r="F589" t="s">
        <v>60</v>
      </c>
    </row>
    <row r="590" spans="1:6" x14ac:dyDescent="0.2">
      <c r="A590" t="s">
        <v>74</v>
      </c>
      <c r="B590" t="s">
        <v>26</v>
      </c>
      <c r="D590" t="s">
        <v>25</v>
      </c>
      <c r="F590" t="s">
        <v>60</v>
      </c>
    </row>
    <row r="591" spans="1:6" x14ac:dyDescent="0.2">
      <c r="A591" t="s">
        <v>74</v>
      </c>
      <c r="B591" t="s">
        <v>17</v>
      </c>
      <c r="D591" t="s">
        <v>16</v>
      </c>
      <c r="F591" t="s">
        <v>60</v>
      </c>
    </row>
    <row r="592" spans="1:6" x14ac:dyDescent="0.2">
      <c r="A592" t="s">
        <v>74</v>
      </c>
      <c r="B592" t="s">
        <v>10</v>
      </c>
      <c r="D592" t="s">
        <v>39</v>
      </c>
      <c r="F592" t="s">
        <v>60</v>
      </c>
    </row>
    <row r="593" spans="1:6" x14ac:dyDescent="0.2">
      <c r="A593" t="s">
        <v>74</v>
      </c>
      <c r="B593" t="s">
        <v>37</v>
      </c>
      <c r="D593" t="s">
        <v>11</v>
      </c>
      <c r="F593" t="s">
        <v>60</v>
      </c>
    </row>
    <row r="594" spans="1:6" x14ac:dyDescent="0.2">
      <c r="A594" t="s">
        <v>74</v>
      </c>
      <c r="B594" t="s">
        <v>31</v>
      </c>
      <c r="D594" t="s">
        <v>13</v>
      </c>
      <c r="F594" t="s">
        <v>60</v>
      </c>
    </row>
    <row r="595" spans="1:6" x14ac:dyDescent="0.2">
      <c r="A595" t="s">
        <v>74</v>
      </c>
      <c r="B595" t="s">
        <v>22</v>
      </c>
      <c r="D595" t="s">
        <v>24</v>
      </c>
      <c r="F595" t="s">
        <v>60</v>
      </c>
    </row>
    <row r="596" spans="1:6" x14ac:dyDescent="0.2">
      <c r="A596" t="s">
        <v>74</v>
      </c>
      <c r="B596" t="s">
        <v>15</v>
      </c>
      <c r="D596" t="s">
        <v>30</v>
      </c>
      <c r="F596" t="s">
        <v>60</v>
      </c>
    </row>
    <row r="597" spans="1:6" x14ac:dyDescent="0.2">
      <c r="A597" t="s">
        <v>74</v>
      </c>
      <c r="B597" t="s">
        <v>29</v>
      </c>
      <c r="D597" t="s">
        <v>35</v>
      </c>
      <c r="F597" t="s">
        <v>60</v>
      </c>
    </row>
    <row r="598" spans="1:6" x14ac:dyDescent="0.2">
      <c r="A598" t="s">
        <v>74</v>
      </c>
      <c r="B598" t="s">
        <v>36</v>
      </c>
      <c r="D598" t="s">
        <v>19</v>
      </c>
      <c r="F598" t="s">
        <v>60</v>
      </c>
    </row>
    <row r="599" spans="1:6" x14ac:dyDescent="0.2">
      <c r="A599" t="s">
        <v>74</v>
      </c>
      <c r="B599" t="s">
        <v>33</v>
      </c>
      <c r="D599" t="s">
        <v>38</v>
      </c>
      <c r="F599" t="s">
        <v>60</v>
      </c>
    </row>
    <row r="600" spans="1:6" x14ac:dyDescent="0.2">
      <c r="A600" t="s">
        <v>74</v>
      </c>
      <c r="B600" t="s">
        <v>12</v>
      </c>
      <c r="D600" t="s">
        <v>20</v>
      </c>
      <c r="F600" t="s">
        <v>60</v>
      </c>
    </row>
    <row r="601" spans="1:6" x14ac:dyDescent="0.2">
      <c r="A601" t="s">
        <v>74</v>
      </c>
      <c r="B601" t="s">
        <v>34</v>
      </c>
      <c r="D601" t="s">
        <v>40</v>
      </c>
      <c r="F601" t="s">
        <v>60</v>
      </c>
    </row>
    <row r="602" spans="1:6" x14ac:dyDescent="0.2">
      <c r="A602" t="s">
        <v>75</v>
      </c>
      <c r="B602" t="s">
        <v>30</v>
      </c>
      <c r="D602" t="s">
        <v>28</v>
      </c>
      <c r="F602" t="s">
        <v>60</v>
      </c>
    </row>
    <row r="603" spans="1:6" x14ac:dyDescent="0.2">
      <c r="A603" t="s">
        <v>75</v>
      </c>
      <c r="B603" t="s">
        <v>14</v>
      </c>
      <c r="D603" t="s">
        <v>10</v>
      </c>
      <c r="F603" t="s">
        <v>60</v>
      </c>
    </row>
    <row r="604" spans="1:6" x14ac:dyDescent="0.2">
      <c r="A604" t="s">
        <v>75</v>
      </c>
      <c r="B604" t="s">
        <v>19</v>
      </c>
      <c r="D604" t="s">
        <v>26</v>
      </c>
      <c r="F604" t="s">
        <v>60</v>
      </c>
    </row>
    <row r="605" spans="1:6" x14ac:dyDescent="0.2">
      <c r="A605" t="s">
        <v>75</v>
      </c>
      <c r="B605" t="s">
        <v>27</v>
      </c>
      <c r="D605" t="s">
        <v>32</v>
      </c>
      <c r="F605" t="s">
        <v>60</v>
      </c>
    </row>
    <row r="606" spans="1:6" x14ac:dyDescent="0.2">
      <c r="A606" t="s">
        <v>75</v>
      </c>
      <c r="B606" t="s">
        <v>18</v>
      </c>
      <c r="D606" t="s">
        <v>37</v>
      </c>
      <c r="F606" t="s">
        <v>60</v>
      </c>
    </row>
    <row r="607" spans="1:6" x14ac:dyDescent="0.2">
      <c r="A607" t="s">
        <v>76</v>
      </c>
      <c r="B607" t="s">
        <v>33</v>
      </c>
      <c r="D607" t="s">
        <v>31</v>
      </c>
      <c r="F607" t="s">
        <v>60</v>
      </c>
    </row>
    <row r="608" spans="1:6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4.9900748923162465E-2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2225.0822896183831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0.17870302183926629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-0.17102128695663044</v>
      </c>
      <c r="J7">
        <f>(Table3[[#This Row],[HomeMargin]]-Table3[[#This Row],[HomeForecast]])^2</f>
        <v>1.3712908545055633</v>
      </c>
    </row>
    <row r="8" spans="1:10" x14ac:dyDescent="0.2">
      <c r="A8" s="4" t="s">
        <v>21</v>
      </c>
      <c r="B8">
        <v>-0.21976976044773161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-1.9202865081810274</v>
      </c>
      <c r="J8">
        <f>(Table3[[#This Row],[HomeMargin]]-Table3[[#This Row],[HomeForecast]])^2</f>
        <v>1.1657812244159185</v>
      </c>
    </row>
    <row r="9" spans="1:10" x14ac:dyDescent="0.2">
      <c r="A9" s="4" t="s">
        <v>23</v>
      </c>
      <c r="B9">
        <v>-0.4761104357405897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-9.7869013995290133E-2</v>
      </c>
      <c r="J9">
        <f>(Table3[[#This Row],[HomeMargin]]-Table3[[#This Row],[HomeForecast]])^2</f>
        <v>8.4223642599286705</v>
      </c>
    </row>
    <row r="10" spans="1:10" x14ac:dyDescent="0.2">
      <c r="A10" s="4" t="s">
        <v>16</v>
      </c>
      <c r="B10">
        <v>-1.0657812790446208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0.29793536373026153</v>
      </c>
      <c r="J10">
        <f>(Table3[[#This Row],[HomeMargin]]-Table3[[#This Row],[HomeForecast]])^2</f>
        <v>1.6846362084216062</v>
      </c>
    </row>
    <row r="11" spans="1:10" x14ac:dyDescent="0.2">
      <c r="A11" s="4" t="s">
        <v>25</v>
      </c>
      <c r="B11">
        <v>0.42567513732855267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8.3117858780070719E-3</v>
      </c>
      <c r="J11">
        <f>(Table3[[#This Row],[HomeMargin]]-Table3[[#This Row],[HomeForecast]])^2</f>
        <v>8.9501983705164392</v>
      </c>
    </row>
    <row r="12" spans="1:10" x14ac:dyDescent="0.2">
      <c r="A12" s="4" t="s">
        <v>10</v>
      </c>
      <c r="B12">
        <v>-0.17619625518431364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0.14374351727973972</v>
      </c>
      <c r="J12">
        <f>(Table3[[#This Row],[HomeMargin]]-Table3[[#This Row],[HomeForecast]])^2</f>
        <v>1.3081492333194302</v>
      </c>
    </row>
    <row r="13" spans="1:10" x14ac:dyDescent="0.2">
      <c r="A13" s="4" t="s">
        <v>12</v>
      </c>
      <c r="B13">
        <v>1.6319036584269762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0.710377742224651</v>
      </c>
      <c r="J13">
        <f>(Table3[[#This Row],[HomeMargin]]-Table3[[#This Row],[HomeForecast]])^2</f>
        <v>7.3461475055467957</v>
      </c>
    </row>
    <row r="14" spans="1:10" x14ac:dyDescent="0.2">
      <c r="A14" s="4" t="s">
        <v>28</v>
      </c>
      <c r="B14">
        <v>-0.59498940435054026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6.3272436597444914E-3</v>
      </c>
      <c r="J14">
        <f>(Table3[[#This Row],[HomeMargin]]-Table3[[#This Row],[HomeForecast]])^2</f>
        <v>0.98738554669284084</v>
      </c>
    </row>
    <row r="15" spans="1:10" x14ac:dyDescent="0.2">
      <c r="A15" s="4" t="s">
        <v>39</v>
      </c>
      <c r="B15">
        <v>0.41344250185511977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-0.13617570233348458</v>
      </c>
      <c r="J15">
        <f>(Table3[[#This Row],[HomeMargin]]-Table3[[#This Row],[HomeForecast]])^2</f>
        <v>14.929138203238143</v>
      </c>
    </row>
    <row r="16" spans="1:10" x14ac:dyDescent="0.2">
      <c r="A16" s="4" t="s">
        <v>26</v>
      </c>
      <c r="B16">
        <v>-0.87533956503230947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0.47404563548711087</v>
      </c>
      <c r="J16">
        <f>(Table3[[#This Row],[HomeMargin]]-Table3[[#This Row],[HomeForecast]])^2</f>
        <v>6.3804454516017142</v>
      </c>
    </row>
    <row r="17" spans="1:10" x14ac:dyDescent="0.2">
      <c r="A17" s="4" t="s">
        <v>17</v>
      </c>
      <c r="B17">
        <v>-0.81774666423752174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2.084927696371321</v>
      </c>
      <c r="J17">
        <f>(Table3[[#This Row],[HomeMargin]]-Table3[[#This Row],[HomeForecast]])^2</f>
        <v>1.1770681063535813</v>
      </c>
    </row>
    <row r="18" spans="1:10" x14ac:dyDescent="0.2">
      <c r="A18" s="4" t="s">
        <v>11</v>
      </c>
      <c r="B18">
        <v>-0.39711829106410657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-0.23254918783532186</v>
      </c>
      <c r="J18">
        <f>(Table3[[#This Row],[HomeMargin]]-Table3[[#This Row],[HomeForecast]])^2</f>
        <v>14.193685622080292</v>
      </c>
    </row>
    <row r="19" spans="1:10" x14ac:dyDescent="0.2">
      <c r="A19" s="4" t="s">
        <v>13</v>
      </c>
      <c r="B19">
        <v>-0.33828359867721369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3.3022041365371957E-2</v>
      </c>
      <c r="J19">
        <f>(Table3[[#This Row],[HomeMargin]]-Table3[[#This Row],[HomeForecast]])^2</f>
        <v>0.93504637248519251</v>
      </c>
    </row>
    <row r="20" spans="1:10" x14ac:dyDescent="0.2">
      <c r="A20" s="4" t="s">
        <v>34</v>
      </c>
      <c r="B20">
        <v>-5.5124787449478845E-2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-0.74002713053635827</v>
      </c>
      <c r="J20">
        <f>(Table3[[#This Row],[HomeMargin]]-Table3[[#This Row],[HomeForecast]])^2</f>
        <v>3.0276944150025922</v>
      </c>
    </row>
    <row r="21" spans="1:10" x14ac:dyDescent="0.2">
      <c r="A21" s="4" t="s">
        <v>18</v>
      </c>
      <c r="B21">
        <v>-0.59288962827382519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0.14856852479900506</v>
      </c>
      <c r="J21">
        <f>(Table3[[#This Row],[HomeMargin]]-Table3[[#This Row],[HomeForecast]])^2</f>
        <v>0.72493555696294243</v>
      </c>
    </row>
    <row r="22" spans="1:10" x14ac:dyDescent="0.2">
      <c r="A22" s="4" t="s">
        <v>29</v>
      </c>
      <c r="B22">
        <v>-1.384917283810061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-0.77817950819419379</v>
      </c>
      <c r="J22">
        <f>(Table3[[#This Row],[HomeMargin]]-Table3[[#This Row],[HomeForecast]])^2</f>
        <v>7.7182813797501337</v>
      </c>
    </row>
    <row r="23" spans="1:10" x14ac:dyDescent="0.2">
      <c r="A23" s="4" t="s">
        <v>24</v>
      </c>
      <c r="B23">
        <v>1.5302507646042616E-3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-0.15698941313844447</v>
      </c>
      <c r="J23">
        <f>(Table3[[#This Row],[HomeMargin]]-Table3[[#This Row],[HomeForecast]])^2</f>
        <v>0.71066684956066417</v>
      </c>
    </row>
    <row r="24" spans="1:10" x14ac:dyDescent="0.2">
      <c r="A24" s="4" t="s">
        <v>30</v>
      </c>
      <c r="B24">
        <v>-0.24093199744133265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-1.2894528355750812</v>
      </c>
      <c r="J24">
        <f>(Table3[[#This Row],[HomeMargin]]-Table3[[#This Row],[HomeForecast]])^2</f>
        <v>13.768160259421807</v>
      </c>
    </row>
    <row r="25" spans="1:10" x14ac:dyDescent="0.2">
      <c r="A25" s="4" t="s">
        <v>15</v>
      </c>
      <c r="B25">
        <v>-0.29003398448394263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1.0917817465346054</v>
      </c>
      <c r="J25">
        <f>(Table3[[#This Row],[HomeMargin]]-Table3[[#This Row],[HomeForecast]])^2</f>
        <v>4.3755508751353638</v>
      </c>
    </row>
    <row r="26" spans="1:10" x14ac:dyDescent="0.2">
      <c r="A26" s="4" t="s">
        <v>36</v>
      </c>
      <c r="B26">
        <v>-0.53137605086483863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0.16800427285697916</v>
      </c>
      <c r="J26">
        <f>(Table3[[#This Row],[HomeMargin]]-Table3[[#This Row],[HomeForecast]])^2</f>
        <v>14.684191252842369</v>
      </c>
    </row>
    <row r="27" spans="1:10" x14ac:dyDescent="0.2">
      <c r="A27" s="4" t="s">
        <v>27</v>
      </c>
      <c r="B27">
        <v>-0.38023958350631604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-0.67678357671474887</v>
      </c>
      <c r="J27">
        <f>(Table3[[#This Row],[HomeMargin]]-Table3[[#This Row],[HomeForecast]])^2</f>
        <v>0.10446885628131063</v>
      </c>
    </row>
    <row r="28" spans="1:10" x14ac:dyDescent="0.2">
      <c r="A28" s="4" t="s">
        <v>14</v>
      </c>
      <c r="B28">
        <v>-0.14226422156549004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0.30624142421602052</v>
      </c>
      <c r="J28">
        <f>(Table3[[#This Row],[HomeMargin]]-Table3[[#This Row],[HomeForecast]])^2</f>
        <v>2.8688181130417747</v>
      </c>
    </row>
    <row r="29" spans="1:10" x14ac:dyDescent="0.2">
      <c r="A29" s="4" t="s">
        <v>33</v>
      </c>
      <c r="B29">
        <v>-0.45133099238224339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0.85581546975803113</v>
      </c>
      <c r="J29">
        <f>(Table3[[#This Row],[HomeMargin]]-Table3[[#This Row],[HomeForecast]])^2</f>
        <v>2.0789178761097236E-2</v>
      </c>
    </row>
    <row r="30" spans="1:10" x14ac:dyDescent="0.2">
      <c r="A30" s="4" t="s">
        <v>32</v>
      </c>
      <c r="B30">
        <v>-0.64937723527808999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0.3785978418262641</v>
      </c>
      <c r="J30">
        <f>(Table3[[#This Row],[HomeMargin]]-Table3[[#This Row],[HomeForecast]])^2</f>
        <v>5.6577276931405605</v>
      </c>
    </row>
    <row r="31" spans="1:10" x14ac:dyDescent="0.2">
      <c r="A31" s="4" t="s">
        <v>35</v>
      </c>
      <c r="B31">
        <v>-1.3944783719477225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0.46659412201267403</v>
      </c>
      <c r="J31">
        <f>(Table3[[#This Row],[HomeMargin]]-Table3[[#This Row],[HomeForecast]])^2</f>
        <v>2.1508983187221258</v>
      </c>
    </row>
    <row r="32" spans="1:10" x14ac:dyDescent="0.2">
      <c r="A32" s="4" t="s">
        <v>37</v>
      </c>
      <c r="B32">
        <v>0.51050494674660429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1.2683619054950188</v>
      </c>
      <c r="J32">
        <f>(Table3[[#This Row],[HomeMargin]]-Table3[[#This Row],[HomeForecast]])^2</f>
        <v>5.145465734300994</v>
      </c>
    </row>
    <row r="33" spans="1:10" x14ac:dyDescent="0.2">
      <c r="A33" s="4" t="s">
        <v>19</v>
      </c>
      <c r="B33">
        <v>-0.63447859131898054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-0.1909602247901665</v>
      </c>
      <c r="J33">
        <f>(Table3[[#This Row],[HomeMargin]]-Table3[[#This Row],[HomeForecast]])^2</f>
        <v>10.18222715619291</v>
      </c>
    </row>
    <row r="34" spans="1:10" x14ac:dyDescent="0.2">
      <c r="A34" t="s">
        <v>55</v>
      </c>
      <c r="B34">
        <v>-0.4031232890211825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0.17983183979644479</v>
      </c>
      <c r="J34">
        <f>(Table3[[#This Row],[HomeMargin]]-Table3[[#This Row],[HomeForecast]])^2</f>
        <v>3.3130121314187946</v>
      </c>
    </row>
    <row r="35" spans="1:10" x14ac:dyDescent="0.2">
      <c r="A35" s="4" t="s">
        <v>38</v>
      </c>
      <c r="B35">
        <v>-0.9476777551108041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0.18415850872389455</v>
      </c>
      <c r="J35">
        <f>(Table3[[#This Row],[HomeMargin]]-Table3[[#This Row],[HomeForecast]])^2</f>
        <v>14.560646286544252</v>
      </c>
    </row>
    <row r="36" spans="1:10" x14ac:dyDescent="0.2">
      <c r="A36" s="4" t="s">
        <v>20</v>
      </c>
      <c r="B36">
        <v>-0.24444083032063643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0.5897653658242239</v>
      </c>
      <c r="J36">
        <f>(Table3[[#This Row],[HomeMargin]]-Table3[[#This Row],[HomeForecast]])^2</f>
        <v>12.886415381671126</v>
      </c>
    </row>
    <row r="37" spans="1:10" x14ac:dyDescent="0.2">
      <c r="A37" s="4" t="s">
        <v>22</v>
      </c>
      <c r="B37">
        <v>0.4407072328537569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-0.93189324586571609</v>
      </c>
      <c r="J37">
        <f>(Table3[[#This Row],[HomeMargin]]-Table3[[#This Row],[HomeForecast]])^2</f>
        <v>4.6385299587077987E-3</v>
      </c>
    </row>
    <row r="38" spans="1:10" x14ac:dyDescent="0.2">
      <c r="A38" s="4" t="s">
        <v>40</v>
      </c>
      <c r="B38">
        <v>-0.31324182378279158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-0.63173848137192712</v>
      </c>
      <c r="J38">
        <f>(Table3[[#This Row],[HomeMargin]]-Table3[[#This Row],[HomeForecast]])^2</f>
        <v>1.8721395833584002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0.19767051184161505</v>
      </c>
      <c r="J39">
        <f>(Table3[[#This Row],[HomeMargin]]-Table3[[#This Row],[HomeForecast]])^2</f>
        <v>27.015778749667874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-0.3550356560342911</v>
      </c>
      <c r="J40">
        <f>(Table3[[#This Row],[HomeMargin]]-Table3[[#This Row],[HomeForecast]])^2</f>
        <v>1.8361216291242817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-0.58013326529834719</v>
      </c>
      <c r="J41">
        <f>(Table3[[#This Row],[HomeMargin]]-Table3[[#This Row],[HomeForecast]])^2</f>
        <v>0.17628807490902809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0.5588754449051625</v>
      </c>
      <c r="J42">
        <f>(Table3[[#This Row],[HomeMargin]]-Table3[[#This Row],[HomeForecast]])^2</f>
        <v>6.547843542538593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7.4942523817584594E-2</v>
      </c>
      <c r="J43">
        <f>(Table3[[#This Row],[HomeMargin]]-Table3[[#This Row],[HomeForecast]])^2</f>
        <v>0.85573133424098002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-0.68084046841453705</v>
      </c>
      <c r="J44">
        <f>(Table3[[#This Row],[HomeMargin]]-Table3[[#This Row],[HomeForecast]])^2</f>
        <v>0.10186280660185212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-0.68037395827117342</v>
      </c>
      <c r="J45">
        <f>(Table3[[#This Row],[HomeMargin]]-Table3[[#This Row],[HomeForecast]])^2</f>
        <v>0.10216080655123759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-2.0581133452444034</v>
      </c>
      <c r="J46">
        <f>(Table3[[#This Row],[HomeMargin]]-Table3[[#This Row],[HomeForecast]])^2</f>
        <v>3.3771608954952198E-3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-0.54661890619198206</v>
      </c>
      <c r="J47">
        <f>(Table3[[#This Row],[HomeMargin]]-Table3[[#This Row],[HomeForecast]])^2</f>
        <v>0.20555441622255477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0.27682778276003128</v>
      </c>
      <c r="J48">
        <f>(Table3[[#This Row],[HomeMargin]]-Table3[[#This Row],[HomeForecast]])^2</f>
        <v>2.9693224902677096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0.33305956015089733</v>
      </c>
      <c r="J49">
        <f>(Table3[[#This Row],[HomeMargin]]-Table3[[#This Row],[HomeForecast]])^2</f>
        <v>0.44480955030611452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0.1222105752646214</v>
      </c>
      <c r="J50">
        <f>(Table3[[#This Row],[HomeMargin]]-Table3[[#This Row],[HomeForecast]])^2</f>
        <v>9.7481988762942375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0.90344198186838476</v>
      </c>
      <c r="J51">
        <f>(Table3[[#This Row],[HomeMargin]]-Table3[[#This Row],[HomeForecast]])^2</f>
        <v>15.236859305812583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6.6779456480953014E-2</v>
      </c>
      <c r="J52">
        <f>(Table3[[#This Row],[HomeMargin]]-Table3[[#This Row],[HomeForecast]])^2</f>
        <v>8.6037827569221736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0.29076172263649136</v>
      </c>
      <c r="J53">
        <f>(Table3[[#This Row],[HomeMargin]]-Table3[[#This Row],[HomeForecast]])^2</f>
        <v>1.6660658246235227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0.49670136576008084</v>
      </c>
      <c r="J54">
        <f>(Table3[[#This Row],[HomeMargin]]-Table3[[#This Row],[HomeForecast]])^2</f>
        <v>12.226920441308414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0.37086799232791878</v>
      </c>
      <c r="J55">
        <f>(Table3[[#This Row],[HomeMargin]]-Table3[[#This Row],[HomeForecast]])^2</f>
        <v>0.39580708307750367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-0.77143969980082194</v>
      </c>
      <c r="J56">
        <f>(Table3[[#This Row],[HomeMargin]]-Table3[[#This Row],[HomeForecast]])^2</f>
        <v>1.5093604112254946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0.51846803822776111</v>
      </c>
      <c r="J57">
        <f>(Table3[[#This Row],[HomeMargin]]-Table3[[#This Row],[HomeForecast]])^2</f>
        <v>6.1580008772971775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0.10638835592742724</v>
      </c>
      <c r="J58">
        <f>(Table3[[#This Row],[HomeMargin]]-Table3[[#This Row],[HomeForecast]])^2</f>
        <v>0.79854177042208652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0.57761342867674159</v>
      </c>
      <c r="J59">
        <f>(Table3[[#This Row],[HomeMargin]]-Table3[[#This Row],[HomeForecast]])^2</f>
        <v>6.6440909876946677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-0.82710538078763363</v>
      </c>
      <c r="J60">
        <f>(Table3[[#This Row],[HomeMargin]]-Table3[[#This Row],[HomeForecast]])^2</f>
        <v>10.067260264626785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0.80033944141424285</v>
      </c>
      <c r="J61">
        <f>(Table3[[#This Row],[HomeMargin]]-Table3[[#This Row],[HomeForecast]])^2</f>
        <v>4.8385065729978045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-1.9896964969684905E-2</v>
      </c>
      <c r="J62">
        <f>(Table3[[#This Row],[HomeMargin]]-Table3[[#This Row],[HomeForecast]])^2</f>
        <v>1.0401898191543748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0.10516636404741142</v>
      </c>
      <c r="J63">
        <f>(Table3[[#This Row],[HomeMargin]]-Table3[[#This Row],[HomeForecast]])^2</f>
        <v>15.169729051747661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-0.42832052504504048</v>
      </c>
      <c r="J64">
        <f>(Table3[[#This Row],[HomeMargin]]-Table3[[#This Row],[HomeForecast]])^2</f>
        <v>11.753381622445103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-1.1683813678402464</v>
      </c>
      <c r="J65">
        <f>(Table3[[#This Row],[HomeMargin]]-Table3[[#This Row],[HomeForecast]])^2</f>
        <v>14.681301342313782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0.71255873894660082</v>
      </c>
      <c r="J66">
        <f>(Table3[[#This Row],[HomeMargin]]-Table3[[#This Row],[HomeForecast]])^2</f>
        <v>1.6575050006627667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-0.19707136656612392</v>
      </c>
      <c r="J67">
        <f>(Table3[[#This Row],[HomeMargin]]-Table3[[#This Row],[HomeForecast]])^2</f>
        <v>7.856408924123496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-2.1769923138543539</v>
      </c>
      <c r="J68">
        <f>(Table3[[#This Row],[HomeMargin]]-Table3[[#This Row],[HomeForecast]])^2</f>
        <v>0.6773416514548104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1.4110210058890864</v>
      </c>
      <c r="J69">
        <f>(Table3[[#This Row],[HomeMargin]]-Table3[[#This Row],[HomeForecast]])^2</f>
        <v>11.635064302616595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-0.14611862818856117</v>
      </c>
      <c r="J70">
        <f>(Table3[[#This Row],[HomeMargin]]-Table3[[#This Row],[HomeForecast]])^2</f>
        <v>3.4368761407494626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0.84192840445939821</v>
      </c>
      <c r="J71">
        <f>(Table3[[#This Row],[HomeMargin]]-Table3[[#This Row],[HomeForecast]])^2</f>
        <v>2.49866293167516E-2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0.44854929075187328</v>
      </c>
      <c r="J72">
        <f>(Table3[[#This Row],[HomeMargin]]-Table3[[#This Row],[HomeForecast]])^2</f>
        <v>2.4069993032265153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0.62671541571935152</v>
      </c>
      <c r="J73">
        <f>(Table3[[#This Row],[HomeMargin]]-Table3[[#This Row],[HomeForecast]])^2</f>
        <v>1.8859105494228736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0.16790193333641384</v>
      </c>
      <c r="J74">
        <f>(Table3[[#This Row],[HomeMargin]]-Table3[[#This Row],[HomeForecast]])^2</f>
        <v>0.69238719254527792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-1.7097010800361967E-2</v>
      </c>
      <c r="J75">
        <f>(Table3[[#This Row],[HomeMargin]]-Table3[[#This Row],[HomeForecast]])^2</f>
        <v>8.8977102429761352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-0.29454385791187548</v>
      </c>
      <c r="J76">
        <f>(Table3[[#This Row],[HomeMargin]]-Table3[[#This Row],[HomeForecast]])^2</f>
        <v>1.6758438000573621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2.5229679050257636E-2</v>
      </c>
      <c r="J77">
        <f>(Table3[[#This Row],[HomeMargin]]-Table3[[#This Row],[HomeForecast]])^2</f>
        <v>0.95017717860446371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0.82138224884965294</v>
      </c>
      <c r="J78">
        <f>(Table3[[#This Row],[HomeMargin]]-Table3[[#This Row],[HomeForecast]])^2</f>
        <v>3.3174332964246189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-1.3359437628557513</v>
      </c>
      <c r="J79">
        <f>(Table3[[#This Row],[HomeMargin]]-Table3[[#This Row],[HomeForecast]])^2</f>
        <v>5.4566332632246866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9.810845228422338E-2</v>
      </c>
      <c r="J80">
        <f>(Table3[[#This Row],[HomeMargin]]-Table3[[#This Row],[HomeForecast]])^2</f>
        <v>8.4209745547042658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0.54573276922639824</v>
      </c>
      <c r="J81">
        <f>(Table3[[#This Row],[HomeMargin]]-Table3[[#This Row],[HomeForecast]])^2</f>
        <v>11.931962101596328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-2.9091395753320648E-2</v>
      </c>
      <c r="J82">
        <f>(Table3[[#This Row],[HomeMargin]]-Table3[[#This Row],[HomeForecast]])^2</f>
        <v>9.1753946838268003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-1.0555936021739822</v>
      </c>
      <c r="J83">
        <f>(Table3[[#This Row],[HomeMargin]]-Table3[[#This Row],[HomeForecast]])^2</f>
        <v>4.2254650572986083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1.9015741677978701</v>
      </c>
      <c r="J84">
        <f>(Table3[[#This Row],[HomeMargin]]-Table3[[#This Row],[HomeForecast]])^2</f>
        <v>1.2065393088489416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-0.71405798708260382</v>
      </c>
      <c r="J85">
        <f>(Table3[[#This Row],[HomeMargin]]-Table3[[#This Row],[HomeForecast]])^2</f>
        <v>8.1762834751252358E-2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-0.25295489486672013</v>
      </c>
      <c r="J86">
        <f>(Table3[[#This Row],[HomeMargin]]-Table3[[#This Row],[HomeForecast]])^2</f>
        <v>0.55807638910359314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0.8691776639252885</v>
      </c>
      <c r="J87">
        <f>(Table3[[#This Row],[HomeMargin]]-Table3[[#This Row],[HomeForecast]])^2</f>
        <v>1.2787591557654676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-0.2405433045003435</v>
      </c>
      <c r="J88">
        <f>(Table3[[#This Row],[HomeMargin]]-Table3[[#This Row],[HomeForecast]])^2</f>
        <v>0.57677447233925794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-0.2752140471336747</v>
      </c>
      <c r="J89">
        <f>(Table3[[#This Row],[HomeMargin]]-Table3[[#This Row],[HomeForecast]])^2</f>
        <v>1.6261708660070462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-0.25916602189359084</v>
      </c>
      <c r="J90">
        <f>(Table3[[#This Row],[HomeMargin]]-Table3[[#This Row],[HomeForecast]])^2</f>
        <v>7.5121708955426039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-1.7580201248796798</v>
      </c>
      <c r="J91">
        <f>(Table3[[#This Row],[HomeMargin]]-Table3[[#This Row],[HomeForecast]])^2</f>
        <v>14.122715259000687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6.4799392882271878E-2</v>
      </c>
      <c r="J92">
        <f>(Table3[[#This Row],[HomeMargin]]-Table3[[#This Row],[HomeForecast]])^2</f>
        <v>1.1337977470824547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0.8712411976471468</v>
      </c>
      <c r="J93">
        <f>(Table3[[#This Row],[HomeMargin]]-Table3[[#This Row],[HomeForecast]])^2</f>
        <v>17.046649248006165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1.1215762089504318</v>
      </c>
      <c r="J94">
        <f>(Table3[[#This Row],[HomeMargin]]-Table3[[#This Row],[HomeForecast]])^2</f>
        <v>3.5284759387810318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-0.3049985281004175</v>
      </c>
      <c r="J95">
        <f>(Table3[[#This Row],[HomeMargin]]-Table3[[#This Row],[HomeForecast]])^2</f>
        <v>1.7030211583442563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-7.6921518716253079E-3</v>
      </c>
      <c r="J96">
        <f>(Table3[[#This Row],[HomeMargin]]-Table3[[#This Row],[HomeForecast]])^2</f>
        <v>4.0308277766869161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-0.1334527796502884</v>
      </c>
      <c r="J97">
        <f>(Table3[[#This Row],[HomeMargin]]-Table3[[#This Row],[HomeForecast]])^2</f>
        <v>1.2847152036969653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1.4382857368877235</v>
      </c>
      <c r="J98">
        <f>(Table3[[#This Row],[HomeMargin]]-Table3[[#This Row],[HomeForecast]])^2</f>
        <v>5.94523733471011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-0.70263870633866676</v>
      </c>
      <c r="J99">
        <f>(Table3[[#This Row],[HomeMargin]]-Table3[[#This Row],[HomeForecast]])^2</f>
        <v>8.8423738967941659E-2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-6.6878443610073057E-2</v>
      </c>
      <c r="J100">
        <f>(Table3[[#This Row],[HomeMargin]]-Table3[[#This Row],[HomeForecast]])^2</f>
        <v>4.271986500659998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-0.18500844811130132</v>
      </c>
      <c r="J101">
        <f>(Table3[[#This Row],[HomeMargin]]-Table3[[#This Row],[HomeForecast]])^2</f>
        <v>3.2941943334273471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0.31903840069493644</v>
      </c>
      <c r="J102">
        <f>(Table3[[#This Row],[HomeMargin]]-Table3[[#This Row],[HomeForecast]])^2</f>
        <v>7.1875550969483655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-0.62021521872602658</v>
      </c>
      <c r="J103">
        <f>(Table3[[#This Row],[HomeMargin]]-Table3[[#This Row],[HomeForecast]])^2</f>
        <v>13.105958229895533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0.22724927953953741</v>
      </c>
      <c r="J104">
        <f>(Table3[[#This Row],[HomeMargin]]-Table3[[#This Row],[HomeForecast]])^2</f>
        <v>1.5061407941303135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1.0583326551288226</v>
      </c>
      <c r="J105">
        <f>(Table3[[#This Row],[HomeMargin]]-Table3[[#This Row],[HomeForecast]])^2</f>
        <v>25.5867292499426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-1.5137195567261648</v>
      </c>
      <c r="J106">
        <f>(Table3[[#This Row],[HomeMargin]]-Table3[[#This Row],[HomeForecast]])^2</f>
        <v>2.209029556058268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0.26029974386407317</v>
      </c>
      <c r="J107">
        <f>(Table3[[#This Row],[HomeMargin]]-Table3[[#This Row],[HomeForecast]])^2</f>
        <v>0.54715646892755576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0.33627136229584559</v>
      </c>
      <c r="J108">
        <f>(Table3[[#This Row],[HomeMargin]]-Table3[[#This Row],[HomeForecast]])^2</f>
        <v>1.7856211536919948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0.85531428246847652</v>
      </c>
      <c r="J109">
        <f>(Table3[[#This Row],[HomeMargin]]-Table3[[#This Row],[HomeForecast]])^2</f>
        <v>9.889048262046753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-1.0062940243473464</v>
      </c>
      <c r="J110">
        <f>(Table3[[#This Row],[HomeMargin]]-Table3[[#This Row],[HomeForecast]])^2</f>
        <v>3.9614742484989063E-5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-0.58610809316042234</v>
      </c>
      <c r="J111">
        <f>(Table3[[#This Row],[HomeMargin]]-Table3[[#This Row],[HomeForecast]])^2</f>
        <v>5.8268741379056124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-1.9851261985249962</v>
      </c>
      <c r="J112">
        <f>(Table3[[#This Row],[HomeMargin]]-Table3[[#This Row],[HomeForecast]])^2</f>
        <v>8.9109784211202943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1.1399852170550093</v>
      </c>
      <c r="J113">
        <f>(Table3[[#This Row],[HomeMargin]]-Table3[[#This Row],[HomeForecast]])^2</f>
        <v>3.4596549927739009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0.44912987821488226</v>
      </c>
      <c r="J114">
        <f>(Table3[[#This Row],[HomeMargin]]-Table3[[#This Row],[HomeForecast]])^2</f>
        <v>2.405198134645786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-0.42299090184763322</v>
      </c>
      <c r="J115">
        <f>(Table3[[#This Row],[HomeMargin]]-Table3[[#This Row],[HomeForecast]])^2</f>
        <v>0.33293949935060763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0.10655578713724556</v>
      </c>
      <c r="J116">
        <f>(Table3[[#This Row],[HomeMargin]]-Table3[[#This Row],[HomeForecast]])^2</f>
        <v>8.3720194129489656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-0.34857203336383547</v>
      </c>
      <c r="J117">
        <f>(Table3[[#This Row],[HomeMargin]]-Table3[[#This Row],[HomeForecast]])^2</f>
        <v>2.7272143289880564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1.256129270021586</v>
      </c>
      <c r="J118">
        <f>(Table3[[#This Row],[HomeMargin]]-Table3[[#This Row],[HomeForecast]])^2</f>
        <v>5.0901192830481348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0.80162684945549589</v>
      </c>
      <c r="J119">
        <f>(Table3[[#This Row],[HomeMargin]]-Table3[[#This Row],[HomeForecast]])^2</f>
        <v>3.2458593046789361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-0.17495628704053412</v>
      </c>
      <c r="J120">
        <f>(Table3[[#This Row],[HomeMargin]]-Table3[[#This Row],[HomeForecast]])^2</f>
        <v>1.3805222764560781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-0.20495332057545404</v>
      </c>
      <c r="J121">
        <f>(Table3[[#This Row],[HomeMargin]]-Table3[[#This Row],[HomeForecast]])^2</f>
        <v>3.2221925813130885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-0.38733877977609443</v>
      </c>
      <c r="J122">
        <f>(Table3[[#This Row],[HomeMargin]]-Table3[[#This Row],[HomeForecast]])^2</f>
        <v>1.9247088898706231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0.68430831651413926</v>
      </c>
      <c r="J123">
        <f>(Table3[[#This Row],[HomeMargin]]-Table3[[#This Row],[HomeForecast]])^2</f>
        <v>18.625194706909024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0.21119775682146322</v>
      </c>
      <c r="J124">
        <f>(Table3[[#This Row],[HomeMargin]]-Table3[[#This Row],[HomeForecast]])^2</f>
        <v>1.4670000061293442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-0.10123571843536011</v>
      </c>
      <c r="J125">
        <f>(Table3[[#This Row],[HomeMargin]]-Table3[[#This Row],[HomeForecast]])^2</f>
        <v>1.2127201075578435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-0.94145433400337764</v>
      </c>
      <c r="J126">
        <f>(Table3[[#This Row],[HomeMargin]]-Table3[[#This Row],[HomeForecast]])^2</f>
        <v>4.2376102589934774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0.73660195085408042</v>
      </c>
      <c r="J127">
        <f>(Table3[[#This Row],[HomeMargin]]-Table3[[#This Row],[HomeForecast]])^2</f>
        <v>3.0157863357101982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0.38603616041846089</v>
      </c>
      <c r="J128">
        <f>(Table3[[#This Row],[HomeMargin]]-Table3[[#This Row],[HomeForecast]])^2</f>
        <v>11.465240879661394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0.20826890450155333</v>
      </c>
      <c r="J129">
        <f>(Table3[[#This Row],[HomeMargin]]-Table3[[#This Row],[HomeForecast]])^2</f>
        <v>3.2103003185760639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-0.98579588828113474</v>
      </c>
      <c r="J130">
        <f>(Table3[[#This Row],[HomeMargin]]-Table3[[#This Row],[HomeForecast]])^2</f>
        <v>9.085426427102913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0.50276199207001016</v>
      </c>
      <c r="J131">
        <f>(Table3[[#This Row],[HomeMargin]]-Table3[[#This Row],[HomeForecast]])^2</f>
        <v>2.2417216523901642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0.80244020418499173</v>
      </c>
      <c r="J132">
        <f>(Table3[[#This Row],[HomeMargin]]-Table3[[#This Row],[HomeForecast]])^2</f>
        <v>1.4341494645524839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-1.8017726699515453</v>
      </c>
      <c r="J133">
        <f>(Table3[[#This Row],[HomeMargin]]-Table3[[#This Row],[HomeForecast]])^2</f>
        <v>7.8499300940874122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3.766811344972959E-2</v>
      </c>
      <c r="J134">
        <f>(Table3[[#This Row],[HomeMargin]]-Table3[[#This Row],[HomeForecast]])^2</f>
        <v>0.92608265987140237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0.56903955583857546</v>
      </c>
      <c r="J135">
        <f>(Table3[[#This Row],[HomeMargin]]-Table3[[#This Row],[HomeForecast]])^2</f>
        <v>2.0476477927546615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-0.10277671182030765</v>
      </c>
      <c r="J136">
        <f>(Table3[[#This Row],[HomeMargin]]-Table3[[#This Row],[HomeForecast]])^2</f>
        <v>9.6272233234144391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0.39789925049486613</v>
      </c>
      <c r="J137">
        <f>(Table3[[#This Row],[HomeMargin]]-Table3[[#This Row],[HomeForecast]])^2</f>
        <v>19.341517817503309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-0.99673293620968484</v>
      </c>
      <c r="J138">
        <f>(Table3[[#This Row],[HomeMargin]]-Table3[[#This Row],[HomeForecast]])^2</f>
        <v>3.9869424185445492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-8.9406837141820905E-2</v>
      </c>
      <c r="J139">
        <f>(Table3[[#This Row],[HomeMargin]]-Table3[[#This Row],[HomeForecast]])^2</f>
        <v>1.1868072568113457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0.50262593170821268</v>
      </c>
      <c r="J140">
        <f>(Table3[[#This Row],[HomeMargin]]-Table3[[#This Row],[HomeForecast]])^2</f>
        <v>2.2578846906419741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0.21827017788259417</v>
      </c>
      <c r="J141">
        <f>(Table3[[#This Row],[HomeMargin]]-Table3[[#This Row],[HomeForecast]])^2</f>
        <v>0.61110151478771091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0.38170267383050044</v>
      </c>
      <c r="J142">
        <f>(Table3[[#This Row],[HomeMargin]]-Table3[[#This Row],[HomeForecast]])^2</f>
        <v>0.38229158354835246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-0.10846740665522842</v>
      </c>
      <c r="J143">
        <f>(Table3[[#This Row],[HomeMargin]]-Table3[[#This Row],[HomeForecast]])^2</f>
        <v>1.2286999916169676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-0.30488737791381648</v>
      </c>
      <c r="J144">
        <f>(Table3[[#This Row],[HomeMargin]]-Table3[[#This Row],[HomeForecast]])^2</f>
        <v>0.48318155738352941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1.021984032641758</v>
      </c>
      <c r="J145">
        <f>(Table3[[#This Row],[HomeMargin]]-Table3[[#This Row],[HomeForecast]])^2</f>
        <v>49.308259754675802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-0.72584654563751583</v>
      </c>
      <c r="J146">
        <f>(Table3[[#This Row],[HomeMargin]]-Table3[[#This Row],[HomeForecast]])^2</f>
        <v>22.333625572914045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0.21198809241606251</v>
      </c>
      <c r="J147">
        <f>(Table3[[#This Row],[HomeMargin]]-Table3[[#This Row],[HomeForecast]])^2</f>
        <v>4.8928913209904517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0.44610695385592702</v>
      </c>
      <c r="J148">
        <f>(Table3[[#This Row],[HomeMargin]]-Table3[[#This Row],[HomeForecast]])^2</f>
        <v>2.0912253219904682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-1.5804726587392095</v>
      </c>
      <c r="J149">
        <f>(Table3[[#This Row],[HomeMargin]]-Table3[[#This Row],[HomeForecast]])^2</f>
        <v>6.6588391425006037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-1.7484590367420183</v>
      </c>
      <c r="J150">
        <f>(Table3[[#This Row],[HomeMargin]]-Table3[[#This Row],[HomeForecast]])^2</f>
        <v>0.56019092968078987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0.80484652599040318</v>
      </c>
      <c r="J151">
        <f>(Table3[[#This Row],[HomeMargin]]-Table3[[#This Row],[HomeForecast]])^2</f>
        <v>3.8084878418014383E-2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-8.0030341950119932E-2</v>
      </c>
      <c r="J152">
        <f>(Table3[[#This Row],[HomeMargin]]-Table3[[#This Row],[HomeForecast]])^2</f>
        <v>1.1664655395328933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0.1397822141615534</v>
      </c>
      <c r="J153">
        <f>(Table3[[#This Row],[HomeMargin]]-Table3[[#This Row],[HomeForecast]])^2</f>
        <v>1.2991034957190133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-0.26170554149394454</v>
      </c>
      <c r="J154">
        <f>(Table3[[#This Row],[HomeMargin]]-Table3[[#This Row],[HomeForecast]])^2</f>
        <v>27.685545205388088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1.302114899305395</v>
      </c>
      <c r="J155">
        <f>(Table3[[#This Row],[HomeMargin]]-Table3[[#This Row],[HomeForecast]])^2</f>
        <v>2.8828138151607288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7.1062985916763494E-2</v>
      </c>
      <c r="J156">
        <f>(Table3[[#This Row],[HomeMargin]]-Table3[[#This Row],[HomeForecast]])^2</f>
        <v>8.5786720324668266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0.16877971753311305</v>
      </c>
      <c r="J157">
        <f>(Table3[[#This Row],[HomeMargin]]-Table3[[#This Row],[HomeForecast]])^2</f>
        <v>1.3660460281167839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0.72001671657235156</v>
      </c>
      <c r="J158">
        <f>(Table3[[#This Row],[HomeMargin]]-Table3[[#This Row],[HomeForecast]])^2</f>
        <v>13.838524371577739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0.40508054460368748</v>
      </c>
      <c r="J159">
        <f>(Table3[[#This Row],[HomeMargin]]-Table3[[#This Row],[HomeForecast]])^2</f>
        <v>12.923445890786921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1.6802741565855344</v>
      </c>
      <c r="J160">
        <f>(Table3[[#This Row],[HomeMargin]]-Table3[[#This Row],[HomeForecast]])^2</f>
        <v>5.3811279886049528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2.2636017924525353E-2</v>
      </c>
      <c r="J161">
        <f>(Table3[[#This Row],[HomeMargin]]-Table3[[#This Row],[HomeForecast]])^2</f>
        <v>0.95524035345842884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-0.36472262629317681</v>
      </c>
      <c r="J162">
        <f>(Table3[[#This Row],[HomeMargin]]-Table3[[#This Row],[HomeForecast]])^2</f>
        <v>11.321358351889254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-0.52592056398021036</v>
      </c>
      <c r="J163">
        <f>(Table3[[#This Row],[HomeMargin]]-Table3[[#This Row],[HomeForecast]])^2</f>
        <v>0.22475131165684181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0.30801778525647522</v>
      </c>
      <c r="J164">
        <f>(Table3[[#This Row],[HomeMargin]]-Table3[[#This Row],[HomeForecast]])^2</f>
        <v>1.7109105265472544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-1.8455214816335028</v>
      </c>
      <c r="J165">
        <f>(Table3[[#This Row],[HomeMargin]]-Table3[[#This Row],[HomeForecast]])^2</f>
        <v>1.3328206493697026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-0.18807461301766351</v>
      </c>
      <c r="J166">
        <f>(Table3[[#This Row],[HomeMargin]]-Table3[[#This Row],[HomeForecast]])^2</f>
        <v>1.4115212860970712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-6.5868580811023758E-3</v>
      </c>
      <c r="J167">
        <f>(Table3[[#This Row],[HomeMargin]]-Table3[[#This Row],[HomeForecast]])^2</f>
        <v>0.98686967053717578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-6.3146644781867212E-2</v>
      </c>
      <c r="J168">
        <f>(Table3[[#This Row],[HomeMargin]]-Table3[[#This Row],[HomeForecast]])^2</f>
        <v>0.87769420918347296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-0.4692380579922506</v>
      </c>
      <c r="J169">
        <f>(Table3[[#This Row],[HomeMargin]]-Table3[[#This Row],[HomeForecast]])^2</f>
        <v>6.4047560071148339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0.48120343664880272</v>
      </c>
      <c r="J170">
        <f>(Table3[[#This Row],[HomeMargin]]-Table3[[#This Row],[HomeForecast]])^2</f>
        <v>0.26914987414501285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-0.60774302170369898</v>
      </c>
      <c r="J171">
        <f>(Table3[[#This Row],[HomeMargin]]-Table3[[#This Row],[HomeForecast]])^2</f>
        <v>1.9383794936147467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8.9389935891602712E-2</v>
      </c>
      <c r="J172">
        <f>(Table3[[#This Row],[HomeMargin]]-Table3[[#This Row],[HomeForecast]])^2</f>
        <v>8.47165094528909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0.30624142421602052</v>
      </c>
      <c r="J173">
        <f>(Table3[[#This Row],[HomeMargin]]-Table3[[#This Row],[HomeForecast]])^2</f>
        <v>0.48130096147381562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0.71650788369304785</v>
      </c>
      <c r="J174">
        <f>(Table3[[#This Row],[HomeMargin]]-Table3[[#This Row],[HomeForecast]])^2</f>
        <v>10.781320477849908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-0.47781193083041668</v>
      </c>
      <c r="J175">
        <f>(Table3[[#This Row],[HomeMargin]]-Table3[[#This Row],[HomeForecast]])^2</f>
        <v>0.27268037958305746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0.58695671527825821</v>
      </c>
      <c r="J176">
        <f>(Table3[[#This Row],[HomeMargin]]-Table3[[#This Row],[HomeForecast]])^2</f>
        <v>2.5184316161667586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0.13704018303917365</v>
      </c>
      <c r="J177">
        <f>(Table3[[#This Row],[HomeMargin]]-Table3[[#This Row],[HomeForecast]])^2</f>
        <v>9.8410211100024529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0.58430597710294463</v>
      </c>
      <c r="J178">
        <f>(Table3[[#This Row],[HomeMargin]]-Table3[[#This Row],[HomeForecast]])^2</f>
        <v>0.17280152067233759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1.0545784492269075</v>
      </c>
      <c r="J179">
        <f>(Table3[[#This Row],[HomeMargin]]-Table3[[#This Row],[HomeForecast]])^2</f>
        <v>3.7846650102123842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-0.40296049422368518</v>
      </c>
      <c r="J180">
        <f>(Table3[[#This Row],[HomeMargin]]-Table3[[#This Row],[HomeForecast]])^2</f>
        <v>11.580140125247109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-0.39689986791375598</v>
      </c>
      <c r="J181">
        <f>(Table3[[#This Row],[HomeMargin]]-Table3[[#This Row],[HomeForecast]])^2</f>
        <v>0.363729769322445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0.14696319381464695</v>
      </c>
      <c r="J182">
        <f>(Table3[[#This Row],[HomeMargin]]-Table3[[#This Row],[HomeForecast]])^2</f>
        <v>0.72767179270690763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-8.7144819675315455E-2</v>
      </c>
      <c r="J183">
        <f>(Table3[[#This Row],[HomeMargin]]-Table3[[#This Row],[HomeForecast]])^2</f>
        <v>9.5304631376481357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1.1039433357947381</v>
      </c>
      <c r="J184">
        <f>(Table3[[#This Row],[HomeMargin]]-Table3[[#This Row],[HomeForecast]])^2</f>
        <v>3.5950308738771852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-1.8264437398244502</v>
      </c>
      <c r="J185">
        <f>(Table3[[#This Row],[HomeMargin]]-Table3[[#This Row],[HomeForecast]])^2</f>
        <v>3.0121775446123138E-2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0.73153997921825198</v>
      </c>
      <c r="J186">
        <f>(Table3[[#This Row],[HomeMargin]]-Table3[[#This Row],[HomeForecast]])^2</f>
        <v>7.4613106580676485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-0.59554414885312179</v>
      </c>
      <c r="J187">
        <f>(Table3[[#This Row],[HomeMargin]]-Table3[[#This Row],[HomeForecast]])^2</f>
        <v>2.5457611309394323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-0.86691691967118412</v>
      </c>
      <c r="J188">
        <f>(Table3[[#This Row],[HomeMargin]]-Table3[[#This Row],[HomeForecast]])^2</f>
        <v>3.4853787849545426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0.84938971652034467</v>
      </c>
      <c r="J189">
        <f>(Table3[[#This Row],[HomeMargin]]-Table3[[#This Row],[HomeForecast]])^2</f>
        <v>2.2683457489822138E-2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-0.59164966013004561</v>
      </c>
      <c r="J190">
        <f>(Table3[[#This Row],[HomeMargin]]-Table3[[#This Row],[HomeForecast]])^2</f>
        <v>2.5333486405920898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-0.76066004399606379</v>
      </c>
      <c r="J191">
        <f>(Table3[[#This Row],[HomeMargin]]-Table3[[#This Row],[HomeForecast]])^2</f>
        <v>3.0999237905242212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-0.28991310051865549</v>
      </c>
      <c r="J192">
        <f>(Table3[[#This Row],[HomeMargin]]-Table3[[#This Row],[HomeForecast]])^2</f>
        <v>7.3445710027404072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0.94245371658448773</v>
      </c>
      <c r="J193">
        <f>(Table3[[#This Row],[HomeMargin]]-Table3[[#This Row],[HomeForecast]])^2</f>
        <v>4.2334967083969879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-1.1612828485824123E-2</v>
      </c>
      <c r="J194">
        <f>(Table3[[#This Row],[HomeMargin]]-Table3[[#This Row],[HomeForecast]])^2</f>
        <v>1.0233605147570894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-0.2692352558422777</v>
      </c>
      <c r="J195">
        <f>(Table3[[#This Row],[HomeMargin]]-Table3[[#This Row],[HomeForecast]])^2</f>
        <v>5.1494286463575678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0.30413975673582699</v>
      </c>
      <c r="J196">
        <f>(Table3[[#This Row],[HomeMargin]]-Table3[[#This Row],[HomeForecast]])^2</f>
        <v>10.917339532042289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-0.30944250187098493</v>
      </c>
      <c r="J197">
        <f>(Table3[[#This Row],[HomeMargin]]-Table3[[#This Row],[HomeForecast]])^2</f>
        <v>0.47686965822220456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-2.0333339018860572</v>
      </c>
      <c r="J198">
        <f>(Table3[[#This Row],[HomeMargin]]-Table3[[#This Row],[HomeForecast]])^2</f>
        <v>9.2011145603312929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-0.12107685329413906</v>
      </c>
      <c r="J199">
        <f>(Table3[[#This Row],[HomeMargin]]-Table3[[#This Row],[HomeForecast]])^2</f>
        <v>9.741120724168443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0.22707351999782449</v>
      </c>
      <c r="J200">
        <f>(Table3[[#This Row],[HomeMargin]]-Table3[[#This Row],[HomeForecast]])^2</f>
        <v>7.6891212634972543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0.40395815583237005</v>
      </c>
      <c r="J201">
        <f>(Table3[[#This Row],[HomeMargin]]-Table3[[#This Row],[HomeForecast]])^2</f>
        <v>0.35526587999874926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0.73544244446146734</v>
      </c>
      <c r="J202">
        <f>(Table3[[#This Row],[HomeMargin]]-Table3[[#This Row],[HomeForecast]])^2</f>
        <v>3.0117604780383931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0.47390932157322857</v>
      </c>
      <c r="J203">
        <f>(Table3[[#This Row],[HomeMargin]]-Table3[[#This Row],[HomeForecast]])^2</f>
        <v>2.1724086882204552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-0.8637274868446243</v>
      </c>
      <c r="J204">
        <f>(Table3[[#This Row],[HomeMargin]]-Table3[[#This Row],[HomeForecast]])^2</f>
        <v>1.2911152241524335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-0.38733877977609443</v>
      </c>
      <c r="J205">
        <f>(Table3[[#This Row],[HomeMargin]]-Table3[[#This Row],[HomeForecast]])^2</f>
        <v>0.37535377076624493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-0.42328023117061392</v>
      </c>
      <c r="J206">
        <f>(Table3[[#This Row],[HomeMargin]]-Table3[[#This Row],[HomeForecast]])^2</f>
        <v>5.8722870787823034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-0.52683095878703834</v>
      </c>
      <c r="J207">
        <f>(Table3[[#This Row],[HomeMargin]]-Table3[[#This Row],[HomeForecast]])^2</f>
        <v>2.3312127767105468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-0.4423136208303281</v>
      </c>
      <c r="J208">
        <f>(Table3[[#This Row],[HomeMargin]]-Table3[[#This Row],[HomeForecast]])^2</f>
        <v>2.0802685808326911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0.62572206182653534</v>
      </c>
      <c r="J209">
        <f>(Table3[[#This Row],[HomeMargin]]-Table3[[#This Row],[HomeForecast]])^2</f>
        <v>11.385751604044167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-2.3086397796244718E-2</v>
      </c>
      <c r="J210">
        <f>(Table3[[#This Row],[HomeMargin]]-Table3[[#This Row],[HomeForecast]])^2</f>
        <v>0.95436018617071694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1.1712994606035343</v>
      </c>
      <c r="J211">
        <f>(Table3[[#This Row],[HomeMargin]]-Table3[[#This Row],[HomeForecast]])^2</f>
        <v>2.9343505203061799E-2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1.2810899150158039</v>
      </c>
      <c r="J212">
        <f>(Table3[[#This Row],[HomeMargin]]-Table3[[#This Row],[HomeForecast]])^2</f>
        <v>7.9011540323591881E-2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2.4858974028740377E-2</v>
      </c>
      <c r="J213">
        <f>(Table3[[#This Row],[HomeMargin]]-Table3[[#This Row],[HomeForecast]])^2</f>
        <v>8.8514641244173191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1.3796932452837445</v>
      </c>
      <c r="J214">
        <f>(Table3[[#This Row],[HomeMargin]]-Table3[[#This Row],[HomeForecast]])^2</f>
        <v>0.14416696051410174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-0.16274929584434672</v>
      </c>
      <c r="J215">
        <f>(Table3[[#This Row],[HomeMargin]]-Table3[[#This Row],[HomeForecast]])^2</f>
        <v>0.70098874160913727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2.8738511929561422E-2</v>
      </c>
      <c r="J216">
        <f>(Table3[[#This Row],[HomeMargin]]-Table3[[#This Row],[HomeForecast]])^2</f>
        <v>1.0583029259270482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-0.66580837288933281</v>
      </c>
      <c r="J217">
        <f>(Table3[[#This Row],[HomeMargin]]-Table3[[#This Row],[HomeForecast]])^2</f>
        <v>5.4484505520735436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0.68079948363483545</v>
      </c>
      <c r="J218">
        <f>(Table3[[#This Row],[HomeMargin]]-Table3[[#This Row],[HomeForecast]])^2</f>
        <v>0.10188896964778768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-0.42089112577091814</v>
      </c>
      <c r="J219">
        <f>(Table3[[#This Row],[HomeMargin]]-Table3[[#This Row],[HomeForecast]])^2</f>
        <v>19.544278345920056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-0.14814549397268417</v>
      </c>
      <c r="J220">
        <f>(Table3[[#This Row],[HomeMargin]]-Table3[[#This Row],[HomeForecast]])^2</f>
        <v>23.540492147657567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-0.18145455337463562</v>
      </c>
      <c r="J221">
        <f>(Table3[[#This Row],[HomeMargin]]-Table3[[#This Row],[HomeForecast]])^2</f>
        <v>4.7587439684389299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-0.72158075100332808</v>
      </c>
      <c r="J222">
        <f>(Table3[[#This Row],[HomeMargin]]-Table3[[#This Row],[HomeForecast]])^2</f>
        <v>5.1911942741985575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1.8850863537246418</v>
      </c>
      <c r="J223">
        <f>(Table3[[#This Row],[HomeMargin]]-Table3[[#This Row],[HomeForecast]])^2</f>
        <v>9.7026870237524463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0.36150703934026951</v>
      </c>
      <c r="J224">
        <f>(Table3[[#This Row],[HomeMargin]]-Table3[[#This Row],[HomeForecast]])^2</f>
        <v>0.40767326081202815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0.96826868513029529</v>
      </c>
      <c r="J225">
        <f>(Table3[[#This Row],[HomeMargin]]-Table3[[#This Row],[HomeForecast]])^2</f>
        <v>15.747156357385723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0.530700673701194</v>
      </c>
      <c r="J226">
        <f>(Table3[[#This Row],[HomeMargin]]-Table3[[#This Row],[HomeForecast]])^2</f>
        <v>0.22024185766451318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0.28464022893901597</v>
      </c>
      <c r="J227">
        <f>(Table3[[#This Row],[HomeMargin]]-Table3[[#This Row],[HomeForecast]])^2</f>
        <v>5.2195809756865179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0.10873544131005536</v>
      </c>
      <c r="J228">
        <f>(Table3[[#This Row],[HomeMargin]]-Table3[[#This Row],[HomeForecast]])^2</f>
        <v>9.6642360440572244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0.64432062796159195</v>
      </c>
      <c r="J229">
        <f>(Table3[[#This Row],[HomeMargin]]-Table3[[#This Row],[HomeForecast]])^2</f>
        <v>0.12650781569363628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-0.95477695138058249</v>
      </c>
      <c r="J230">
        <f>(Table3[[#This Row],[HomeMargin]]-Table3[[#This Row],[HomeForecast]])^2</f>
        <v>1.0924912213652689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-0.53307070549608448</v>
      </c>
      <c r="J231">
        <f>(Table3[[#This Row],[HomeMargin]]-Table3[[#This Row],[HomeForecast]])^2</f>
        <v>6.4164471990424321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-0.70504502814407832</v>
      </c>
      <c r="J232">
        <f>(Table3[[#This Row],[HomeMargin]]-Table3[[#This Row],[HomeForecast]])^2</f>
        <v>5.2668183228462144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-0.8396842749371447</v>
      </c>
      <c r="J233">
        <f>(Table3[[#This Row],[HomeMargin]]-Table3[[#This Row],[HomeForecast]])^2</f>
        <v>9.9875954820795609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-0.53540483162520447</v>
      </c>
      <c r="J234">
        <f>(Table3[[#This Row],[HomeMargin]]-Table3[[#This Row],[HomeForecast]])^2</f>
        <v>6.0742293439763868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-0.13590646106869134</v>
      </c>
      <c r="J235">
        <f>(Table3[[#This Row],[HomeMargin]]-Table3[[#This Row],[HomeForecast]])^2</f>
        <v>8.2030317997480662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-8.818841967628932E-2</v>
      </c>
      <c r="J236">
        <f>(Table3[[#This Row],[HomeMargin]]-Table3[[#This Row],[HomeForecast]])^2</f>
        <v>1.1841540367175802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0.95168632199230485</v>
      </c>
      <c r="J237">
        <f>(Table3[[#This Row],[HomeMargin]]-Table3[[#This Row],[HomeForecast]])^2</f>
        <v>4.1955889235134123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-2.3997495737413352</v>
      </c>
      <c r="J238">
        <f>(Table3[[#This Row],[HomeMargin]]-Table3[[#This Row],[HomeForecast]])^2</f>
        <v>31.362804836810355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-0.13986559032948026</v>
      </c>
      <c r="J239">
        <f>(Table3[[#This Row],[HomeMargin]]-Table3[[#This Row],[HomeForecast]])^2</f>
        <v>17.138487105994052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0.19369522125325678</v>
      </c>
      <c r="J240">
        <f>(Table3[[#This Row],[HomeMargin]]-Table3[[#This Row],[HomeForecast]])^2</f>
        <v>0.65012739622983451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-1.7484590367420183</v>
      </c>
      <c r="J241">
        <f>(Table3[[#This Row],[HomeMargin]]-Table3[[#This Row],[HomeForecast]])^2</f>
        <v>0.56019092968078987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7.9876188055247321E-4</v>
      </c>
      <c r="J242">
        <f>(Table3[[#This Row],[HomeMargin]]-Table3[[#This Row],[HomeForecast]])^2</f>
        <v>25.007988256826064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0.20103721628168508</v>
      </c>
      <c r="J243">
        <f>(Table3[[#This Row],[HomeMargin]]-Table3[[#This Row],[HomeForecast]])^2</f>
        <v>1.4424903948936594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-4.3119523949743388E-3</v>
      </c>
      <c r="J244">
        <f>(Table3[[#This Row],[HomeMargin]]-Table3[[#This Row],[HomeForecast]])^2</f>
        <v>4.0172664025133544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-0.69520038774647008</v>
      </c>
      <c r="J245">
        <f>(Table3[[#This Row],[HomeMargin]]-Table3[[#This Row],[HomeForecast]])^2</f>
        <v>9.2902803629902178E-2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0.11969846281600982</v>
      </c>
      <c r="J246">
        <f>(Table3[[#This Row],[HomeMargin]]-Table3[[#This Row],[HomeForecast]])^2</f>
        <v>0.77493079636849604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-0.3648080819480865</v>
      </c>
      <c r="J247">
        <f>(Table3[[#This Row],[HomeMargin]]-Table3[[#This Row],[HomeForecast]])^2</f>
        <v>2.6738526088622958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-0.30278760183710141</v>
      </c>
      <c r="J248">
        <f>(Table3[[#This Row],[HomeMargin]]-Table3[[#This Row],[HomeForecast]])^2</f>
        <v>1.6972555355004659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-0.37324310323674026</v>
      </c>
      <c r="J249">
        <f>(Table3[[#This Row],[HomeMargin]]-Table3[[#This Row],[HomeForecast]])^2</f>
        <v>0.39282420764031145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0.5418455945452203</v>
      </c>
      <c r="J250">
        <f>(Table3[[#This Row],[HomeMargin]]-Table3[[#This Row],[HomeForecast]])^2</f>
        <v>6.0425230810567401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1.1127204860563722</v>
      </c>
      <c r="J251">
        <f>(Table3[[#This Row],[HomeMargin]]-Table3[[#This Row],[HomeForecast]])^2</f>
        <v>1.2705907976784798E-2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-0.64924256092483335</v>
      </c>
      <c r="J252">
        <f>(Table3[[#This Row],[HomeMargin]]-Table3[[#This Row],[HomeForecast]])^2</f>
        <v>11.227575415517569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1.0605572405183044</v>
      </c>
      <c r="J253">
        <f>(Table3[[#This Row],[HomeMargin]]-Table3[[#This Row],[HomeForecast]])^2</f>
        <v>0.8825526983425831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-7.8352012920493652E-2</v>
      </c>
      <c r="J254">
        <f>(Table3[[#This Row],[HomeMargin]]-Table3[[#This Row],[HomeForecast]])^2</f>
        <v>4.3195470896106682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0.24592012603488611</v>
      </c>
      <c r="J255">
        <f>(Table3[[#This Row],[HomeMargin]]-Table3[[#This Row],[HomeForecast]])^2</f>
        <v>1.5523169604587863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-1.0102529797243709</v>
      </c>
      <c r="J256">
        <f>(Table3[[#This Row],[HomeMargin]]-Table3[[#This Row],[HomeForecast]])^2</f>
        <v>1.0512359322836062E-4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-2.5296806646146179</v>
      </c>
      <c r="J257">
        <f>(Table3[[#This Row],[HomeMargin]]-Table3[[#This Row],[HomeForecast]])^2</f>
        <v>2.3399229356958191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-0.17285651096381904</v>
      </c>
      <c r="J258">
        <f>(Table3[[#This Row],[HomeMargin]]-Table3[[#This Row],[HomeForecast]])^2</f>
        <v>1.3755923953102231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0.29236299712909936</v>
      </c>
      <c r="J259">
        <f>(Table3[[#This Row],[HomeMargin]]-Table3[[#This Row],[HomeForecast]])^2</f>
        <v>1.6702021163485083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1.1447840482492808</v>
      </c>
      <c r="J260">
        <f>(Table3[[#This Row],[HomeMargin]]-Table3[[#This Row],[HomeForecast]])^2</f>
        <v>3.4418262276303269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0.20257820966663259</v>
      </c>
      <c r="J261">
        <f>(Table3[[#This Row],[HomeMargin]]-Table3[[#This Row],[HomeForecast]])^2</f>
        <v>1.4461943503650034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0.46460957979441142</v>
      </c>
      <c r="J262">
        <f>(Table3[[#This Row],[HomeMargin]]-Table3[[#This Row],[HomeForecast]])^2</f>
        <v>2.357423742459094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3.4868653397958249E-2</v>
      </c>
      <c r="J263">
        <f>(Table3[[#This Row],[HomeMargin]]-Table3[[#This Row],[HomeForecast]])^2</f>
        <v>9.2104277433775366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1.5031013855108724</v>
      </c>
      <c r="J264">
        <f>(Table3[[#This Row],[HomeMargin]]-Table3[[#This Row],[HomeForecast]])^2</f>
        <v>2.24070546205947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0.44610695385592702</v>
      </c>
      <c r="J265">
        <f>(Table3[[#This Row],[HomeMargin]]-Table3[[#This Row],[HomeForecast]])^2</f>
        <v>2.0912253219904682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-0.20470528067344906</v>
      </c>
      <c r="J266">
        <f>(Table3[[#This Row],[HomeMargin]]-Table3[[#This Row],[HomeForecast]])^2</f>
        <v>14.404262006548002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-0.89491780379679597</v>
      </c>
      <c r="J267">
        <f>(Table3[[#This Row],[HomeMargin]]-Table3[[#This Row],[HomeForecast]])^2</f>
        <v>1.1042267958888666E-2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-4.4870820043872994E-3</v>
      </c>
      <c r="J268">
        <f>(Table3[[#This Row],[HomeMargin]]-Table3[[#This Row],[HomeForecast]])^2</f>
        <v>0.99104596989613947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-0.27879634397993924</v>
      </c>
      <c r="J269">
        <f>(Table3[[#This Row],[HomeMargin]]-Table3[[#This Row],[HomeForecast]])^2</f>
        <v>1.635320089376459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-0.58453518240485014</v>
      </c>
      <c r="J270">
        <f>(Table3[[#This Row],[HomeMargin]]-Table3[[#This Row],[HomeForecast]])^2</f>
        <v>2.0035406498496711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-0.12782575702575544</v>
      </c>
      <c r="J271">
        <f>(Table3[[#This Row],[HomeMargin]]-Table3[[#This Row],[HomeForecast]])^2</f>
        <v>0.76068791010769654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0.48740782965436819</v>
      </c>
      <c r="J272">
        <f>(Table3[[#This Row],[HomeMargin]]-Table3[[#This Row],[HomeForecast]])^2</f>
        <v>2.212382051717118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0.8504396801537093</v>
      </c>
      <c r="J273">
        <f>(Table3[[#This Row],[HomeMargin]]-Table3[[#This Row],[HomeForecast]])^2</f>
        <v>23.526765090809615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0.12288789564256969</v>
      </c>
      <c r="J274">
        <f>(Table3[[#This Row],[HomeMargin]]-Table3[[#This Row],[HomeForecast]])^2</f>
        <v>8.2777740610400397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0.2726580088101439</v>
      </c>
      <c r="J275">
        <f>(Table3[[#This Row],[HomeMargin]]-Table3[[#This Row],[HomeForecast]])^2</f>
        <v>0.52902637214802473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-0.56454953773921501</v>
      </c>
      <c r="J276">
        <f>(Table3[[#This Row],[HomeMargin]]-Table3[[#This Row],[HomeForecast]])^2</f>
        <v>6.5769143315184211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2.1579148430907282</v>
      </c>
      <c r="J277">
        <f>(Table3[[#This Row],[HomeMargin]]-Table3[[#This Row],[HomeForecast]])^2</f>
        <v>0.70910741148691281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-1.0041418379484133</v>
      </c>
      <c r="J278">
        <f>(Table3[[#This Row],[HomeMargin]]-Table3[[#This Row],[HomeForecast]])^2</f>
        <v>16.0331518584089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-0.78792477499470093</v>
      </c>
      <c r="J279">
        <f>(Table3[[#This Row],[HomeMargin]]-Table3[[#This Row],[HomeForecast]])^2</f>
        <v>14.348374101018655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-0.95643138120578253</v>
      </c>
      <c r="J280">
        <f>(Table3[[#This Row],[HomeMargin]]-Table3[[#This Row],[HomeForecast]])^2</f>
        <v>36.524721650074241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-0.26170554149394454</v>
      </c>
      <c r="J281">
        <f>(Table3[[#This Row],[HomeMargin]]-Table3[[#This Row],[HomeForecast]])^2</f>
        <v>5.1153119564244163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-0.28623466257213598</v>
      </c>
      <c r="J282">
        <f>(Table3[[#This Row],[HomeMargin]]-Table3[[#This Row],[HomeForecast]])^2</f>
        <v>5.2268689323463295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-0.24629424371860442</v>
      </c>
      <c r="J283">
        <f>(Table3[[#This Row],[HomeMargin]]-Table3[[#This Row],[HomeForecast]])^2</f>
        <v>0.56807236705171049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4.6391916043858672E-2</v>
      </c>
      <c r="J284">
        <f>(Table3[[#This Row],[HomeMargin]]-Table3[[#This Row],[HomeForecast]])^2</f>
        <v>1.0949360419619376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1.4232536413625192</v>
      </c>
      <c r="J285">
        <f>(Table3[[#This Row],[HomeMargin]]-Table3[[#This Row],[HomeForecast]])^2</f>
        <v>0.17914364492663201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-1.1927523133214084</v>
      </c>
      <c r="J286">
        <f>(Table3[[#This Row],[HomeMargin]]-Table3[[#This Row],[HomeForecast]])^2</f>
        <v>4.808162707576388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-0.96433803951824404</v>
      </c>
      <c r="J287">
        <f>(Table3[[#This Row],[HomeMargin]]-Table3[[#This Row],[HomeForecast]])^2</f>
        <v>1.2717754254023238E-3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-0.11229054265668736</v>
      </c>
      <c r="J288">
        <f>(Table3[[#This Row],[HomeMargin]]-Table3[[#This Row],[HomeForecast]])^2</f>
        <v>0.78802808065675856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1.2933225504892369</v>
      </c>
      <c r="J289">
        <f>(Table3[[#This Row],[HomeMargin]]-Table3[[#This Row],[HomeForecast]])^2</f>
        <v>5.2593283205824601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-0.2550546709434352</v>
      </c>
      <c r="J290">
        <f>(Table3[[#This Row],[HomeMargin]]-Table3[[#This Row],[HomeForecast]])^2</f>
        <v>0.55494354328319373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-0.70263870633866676</v>
      </c>
      <c r="J291">
        <f>(Table3[[#This Row],[HomeMargin]]-Table3[[#This Row],[HomeForecast]])^2</f>
        <v>8.8423738967941659E-2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0.50818308505782939</v>
      </c>
      <c r="J292">
        <f>(Table3[[#This Row],[HomeMargin]]-Table3[[#This Row],[HomeForecast]])^2</f>
        <v>0.24188387782323428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0.84358283428459835</v>
      </c>
      <c r="J293">
        <f>(Table3[[#This Row],[HomeMargin]]-Table3[[#This Row],[HomeForecast]])^2</f>
        <v>9.9629693240228487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-0.34932838036855735</v>
      </c>
      <c r="J294">
        <f>(Table3[[#This Row],[HomeMargin]]-Table3[[#This Row],[HomeForecast]])^2</f>
        <v>0.42337355659380471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-0.85772248888754832</v>
      </c>
      <c r="J295">
        <f>(Table3[[#This Row],[HomeMargin]]-Table3[[#This Row],[HomeForecast]])^2</f>
        <v>1.3047979123932572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-0.18392706036558265</v>
      </c>
      <c r="J296">
        <f>(Table3[[#This Row],[HomeMargin]]-Table3[[#This Row],[HomeForecast]])^2</f>
        <v>4.7695374049970543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-0.32321911890293115</v>
      </c>
      <c r="J297">
        <f>(Table3[[#This Row],[HomeMargin]]-Table3[[#This Row],[HomeForecast]])^2</f>
        <v>0.45803236101852479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-0.14319170326446246</v>
      </c>
      <c r="J298">
        <f>(Table3[[#This Row],[HomeMargin]]-Table3[[#This Row],[HomeForecast]])^2</f>
        <v>0.73412045735485287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-0.14814549397268417</v>
      </c>
      <c r="J299">
        <f>(Table3[[#This Row],[HomeMargin]]-Table3[[#This Row],[HomeForecast]])^2</f>
        <v>9.9108200512205151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-1.1001367927039236</v>
      </c>
      <c r="J300">
        <f>(Table3[[#This Row],[HomeMargin]]-Table3[[#This Row],[HomeForecast]])^2</f>
        <v>3.6094802064373339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0.48907773101231511</v>
      </c>
      <c r="J301">
        <f>(Table3[[#This Row],[HomeMargin]]-Table3[[#This Row],[HomeForecast]])^2</f>
        <v>2.2173524889967848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1.9227364047914712</v>
      </c>
      <c r="J302">
        <f>(Table3[[#This Row],[HomeMargin]]-Table3[[#This Row],[HomeForecast]])^2</f>
        <v>1.1604968535616049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0.23921679179432004</v>
      </c>
      <c r="J303">
        <f>(Table3[[#This Row],[HomeMargin]]-Table3[[#This Row],[HomeForecast]])^2</f>
        <v>0.57879108988772709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0.63520632947152933</v>
      </c>
      <c r="J304">
        <f>(Table3[[#This Row],[HomeMargin]]-Table3[[#This Row],[HomeForecast]])^2</f>
        <v>2.6738997399437516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1.2925538111677333</v>
      </c>
      <c r="J305">
        <f>(Table3[[#This Row],[HomeMargin]]-Table3[[#This Row],[HomeForecast]])^2</f>
        <v>7.3302648654223663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1.5080834507805707</v>
      </c>
      <c r="J306">
        <f>(Table3[[#This Row],[HomeMargin]]-Table3[[#This Row],[HomeForecast]])^2</f>
        <v>30.338983300762806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0.63172705978361121</v>
      </c>
      <c r="J307">
        <f>(Table3[[#This Row],[HomeMargin]]-Table3[[#This Row],[HomeForecast]])^2</f>
        <v>0.13562495849562387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-0.59554414885312179</v>
      </c>
      <c r="J308">
        <f>(Table3[[#This Row],[HomeMargin]]-Table3[[#This Row],[HomeForecast]])^2</f>
        <v>1.9724962378207025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0.39153697742009452</v>
      </c>
      <c r="J309">
        <f>(Table3[[#This Row],[HomeMargin]]-Table3[[#This Row],[HomeForecast]])^2</f>
        <v>13.021005385326507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4.7800972846447354E-2</v>
      </c>
      <c r="J310">
        <f>(Table3[[#This Row],[HomeMargin]]-Table3[[#This Row],[HomeForecast]])^2</f>
        <v>0.90668298731217212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0.60046021296985996</v>
      </c>
      <c r="J311">
        <f>(Table3[[#This Row],[HomeMargin]]-Table3[[#This Row],[HomeForecast]])^2</f>
        <v>5.7577911895406499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0.82889158045413303</v>
      </c>
      <c r="J312">
        <f>(Table3[[#This Row],[HomeMargin]]-Table3[[#This Row],[HomeForecast]])^2</f>
        <v>2.9278091239484431E-2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0.93948577278346967</v>
      </c>
      <c r="J313">
        <f>(Table3[[#This Row],[HomeMargin]]-Table3[[#This Row],[HomeForecast]])^2</f>
        <v>4.2457188805617356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0.70427524821961485</v>
      </c>
      <c r="J314">
        <f>(Table3[[#This Row],[HomeMargin]]-Table3[[#This Row],[HomeForecast]])^2</f>
        <v>2.9045541216940296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-0.17606158083105705</v>
      </c>
      <c r="J315">
        <f>(Table3[[#This Row],[HomeMargin]]-Table3[[#This Row],[HomeForecast]])^2</f>
        <v>4.7352440035689582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1.6930455621015916E-3</v>
      </c>
      <c r="J316">
        <f>(Table3[[#This Row],[HomeMargin]]-Table3[[#This Row],[HomeForecast]])^2</f>
        <v>0.99661677527907222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0.5588754449051625</v>
      </c>
      <c r="J317">
        <f>(Table3[[#This Row],[HomeMargin]]-Table3[[#This Row],[HomeForecast]])^2</f>
        <v>11.841338203676644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0.80990052955190439</v>
      </c>
      <c r="J318">
        <f>(Table3[[#This Row],[HomeMargin]]-Table3[[#This Row],[HomeForecast]])^2</f>
        <v>3.6137808664646373E-2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9.5493903086468657E-2</v>
      </c>
      <c r="J319">
        <f>(Table3[[#This Row],[HomeMargin]]-Table3[[#This Row],[HomeForecast]])^2</f>
        <v>0.81813127935375052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0.33164832949091116</v>
      </c>
      <c r="J320">
        <f>(Table3[[#This Row],[HomeMargin]]-Table3[[#This Row],[HomeForecast]])^2</f>
        <v>7.120100637508644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0.44837353121016033</v>
      </c>
      <c r="J321">
        <f>(Table3[[#This Row],[HomeMargin]]-Table3[[#This Row],[HomeForecast]])^2</f>
        <v>0.30429176106954797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0.63957159222719362</v>
      </c>
      <c r="J322">
        <f>(Table3[[#This Row],[HomeMargin]]-Table3[[#This Row],[HomeForecast]])^2</f>
        <v>21.525624559401578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-0.43089917585486903</v>
      </c>
      <c r="J323">
        <f>(Table3[[#This Row],[HomeMargin]]-Table3[[#This Row],[HomeForecast]])^2</f>
        <v>2.0474724514621436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1.3083546460144411</v>
      </c>
      <c r="J324">
        <f>(Table3[[#This Row],[HomeMargin]]-Table3[[#This Row],[HomeForecast]])^2</f>
        <v>2.8616640036609269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0.7599798216272674</v>
      </c>
      <c r="J325">
        <f>(Table3[[#This Row],[HomeMargin]]-Table3[[#This Row],[HomeForecast]])^2</f>
        <v>3.0975289725351485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0.52308172901693883</v>
      </c>
      <c r="J326">
        <f>(Table3[[#This Row],[HomeMargin]]-Table3[[#This Row],[HomeForecast]])^2</f>
        <v>2.3197779532652274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1.9718383918340812</v>
      </c>
      <c r="J327">
        <f>(Table3[[#This Row],[HomeMargin]]-Table3[[#This Row],[HomeForecast]])^2</f>
        <v>1.0571162925063284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-0.5845068186678144</v>
      </c>
      <c r="J328">
        <f>(Table3[[#This Row],[HomeMargin]]-Table3[[#This Row],[HomeForecast]])^2</f>
        <v>19.496580034391023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-0.34874779290554836</v>
      </c>
      <c r="J329">
        <f>(Table3[[#This Row],[HomeMargin]]-Table3[[#This Row],[HomeForecast]])^2</f>
        <v>1.8191206088675878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-0.98369611220441966</v>
      </c>
      <c r="J330">
        <f>(Table3[[#This Row],[HomeMargin]]-Table3[[#This Row],[HomeForecast]])^2</f>
        <v>9.0980891435307321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1.064139537364569</v>
      </c>
      <c r="J331">
        <f>(Table3[[#This Row],[HomeMargin]]-Table3[[#This Row],[HomeForecast]])^2</f>
        <v>4.113880253340944E-3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-6.3146644781867212E-2</v>
      </c>
      <c r="J332">
        <f>(Table3[[#This Row],[HomeMargin]]-Table3[[#This Row],[HomeForecast]])^2</f>
        <v>1.1302807883109416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1.3781523599072885</v>
      </c>
      <c r="J333">
        <f>(Table3[[#This Row],[HomeMargin]]-Table3[[#This Row],[HomeForecast]])^2</f>
        <v>0.14299920730345142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1.0411561954722148E-2</v>
      </c>
      <c r="J334">
        <f>(Table3[[#This Row],[HomeMargin]]-Table3[[#This Row],[HomeForecast]])^2</f>
        <v>1.0209315245317816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-0.10878170977738358</v>
      </c>
      <c r="J335">
        <f>(Table3[[#This Row],[HomeMargin]]-Table3[[#This Row],[HomeForecast]])^2</f>
        <v>8.3591432017177905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-1.3112195080427616</v>
      </c>
      <c r="J336">
        <f>(Table3[[#This Row],[HomeMargin]]-Table3[[#This Row],[HomeForecast]])^2</f>
        <v>0.47441856610085542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-0.25001343163311357</v>
      </c>
      <c r="J337">
        <f>(Table3[[#This Row],[HomeMargin]]-Table3[[#This Row],[HomeForecast]])^2</f>
        <v>39.062667895594323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-6.8613089306319597E-2</v>
      </c>
      <c r="J338">
        <f>(Table3[[#This Row],[HomeMargin]]-Table3[[#This Row],[HomeForecast]])^2</f>
        <v>0.86748157741151777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-3.7238685192848738E-2</v>
      </c>
      <c r="J339">
        <f>(Table3[[#This Row],[HomeMargin]]-Table3[[#This Row],[HomeForecast]])^2</f>
        <v>24.628999867746405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-0.68901621218818176</v>
      </c>
      <c r="J340">
        <f>(Table3[[#This Row],[HomeMargin]]-Table3[[#This Row],[HomeForecast]])^2</f>
        <v>9.6710916281785991E-2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0.47304460108306517</v>
      </c>
      <c r="J341">
        <f>(Table3[[#This Row],[HomeMargin]]-Table3[[#This Row],[HomeForecast]])^2</f>
        <v>0.27768199244770597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-1.4293230319765782</v>
      </c>
      <c r="J342">
        <f>(Table3[[#This Row],[HomeMargin]]-Table3[[#This Row],[HomeForecast]])^2</f>
        <v>5.9016103936918736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-0.23044941175860678</v>
      </c>
      <c r="J343">
        <f>(Table3[[#This Row],[HomeMargin]]-Table3[[#This Row],[HomeForecast]])^2</f>
        <v>1.5140057548971018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0.47052912209657766</v>
      </c>
      <c r="J344">
        <f>(Table3[[#This Row],[HomeMargin]]-Table3[[#This Row],[HomeForecast]])^2</f>
        <v>12.044572387320443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9.1489711968317788E-2</v>
      </c>
      <c r="J345">
        <f>(Table3[[#This Row],[HomeMargin]]-Table3[[#This Row],[HomeForecast]])^2</f>
        <v>8.4594320955861395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-2.9669201933138747</v>
      </c>
      <c r="J346">
        <f>(Table3[[#This Row],[HomeMargin]]-Table3[[#This Row],[HomeForecast]])^2</f>
        <v>1.094273610391421E-3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1.2034471234295523</v>
      </c>
      <c r="J347">
        <f>(Table3[[#This Row],[HomeMargin]]-Table3[[#This Row],[HomeForecast]])^2</f>
        <v>4.8551792257499695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-0.33186908534775783</v>
      </c>
      <c r="J348">
        <f>(Table3[[#This Row],[HomeMargin]]-Table3[[#This Row],[HomeForecast]])^2</f>
        <v>11.101351601896106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0.55701376263576241</v>
      </c>
      <c r="J349">
        <f>(Table3[[#This Row],[HomeMargin]]-Table3[[#This Row],[HomeForecast]])^2</f>
        <v>2.4242918570371748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0.12994580740575773</v>
      </c>
      <c r="J350">
        <f>(Table3[[#This Row],[HomeMargin]]-Table3[[#This Row],[HomeForecast]])^2</f>
        <v>1.2767775276738498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-6.318855561407738E-2</v>
      </c>
      <c r="J351">
        <f>(Table3[[#This Row],[HomeMargin]]-Table3[[#This Row],[HomeForecast]])^2</f>
        <v>1.1303699047887483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-1.9896964969684905E-2</v>
      </c>
      <c r="J352">
        <f>(Table3[[#This Row],[HomeMargin]]-Table3[[#This Row],[HomeForecast]])^2</f>
        <v>3.920808029336265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-0.85188482414597988</v>
      </c>
      <c r="J353">
        <f>(Table3[[#This Row],[HomeMargin]]-Table3[[#This Row],[HomeForecast]])^2</f>
        <v>14.837016698486106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-1.7581991646881274</v>
      </c>
      <c r="J354">
        <f>(Table3[[#This Row],[HomeMargin]]-Table3[[#This Row],[HomeForecast]])^2</f>
        <v>0.57486597333377421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0.45834598675991978</v>
      </c>
      <c r="J355">
        <f>(Table3[[#This Row],[HomeMargin]]-Table3[[#This Row],[HomeForecast]])^2</f>
        <v>0.29338907005908499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-0.18166048301134929</v>
      </c>
      <c r="J356">
        <f>(Table3[[#This Row],[HomeMargin]]-Table3[[#This Row],[HomeForecast]])^2</f>
        <v>4.7596424631333125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0.16800427285697916</v>
      </c>
      <c r="J357">
        <f>(Table3[[#This Row],[HomeMargin]]-Table3[[#This Row],[HomeForecast]])^2</f>
        <v>10.036251072840077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-0.20821628741015025</v>
      </c>
      <c r="J358">
        <f>(Table3[[#This Row],[HomeMargin]]-Table3[[#This Row],[HomeForecast]])^2</f>
        <v>7.7940562978819656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0.24299320111078743</v>
      </c>
      <c r="J359">
        <f>(Table3[[#This Row],[HomeMargin]]-Table3[[#This Row],[HomeForecast]])^2</f>
        <v>0.57305929356449281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0.92677056472007624</v>
      </c>
      <c r="J360">
        <f>(Table3[[#This Row],[HomeMargin]]-Table3[[#This Row],[HomeForecast]])^2</f>
        <v>5.362550191416543E-3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-0.93789824382279197</v>
      </c>
      <c r="J361">
        <f>(Table3[[#This Row],[HomeMargin]]-Table3[[#This Row],[HomeForecast]])^2</f>
        <v>16.500670677537958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1.1543451363869424</v>
      </c>
      <c r="J362">
        <f>(Table3[[#This Row],[HomeMargin]]-Table3[[#This Row],[HomeForecast]])^2</f>
        <v>2.3822421126303839E-2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0.94064527917608276</v>
      </c>
      <c r="J363">
        <f>(Table3[[#This Row],[HomeMargin]]-Table3[[#This Row],[HomeForecast]])^2</f>
        <v>4.2409418661797549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-0.10878170977738358</v>
      </c>
      <c r="J364">
        <f>(Table3[[#This Row],[HomeMargin]]-Table3[[#This Row],[HomeForecast]])^2</f>
        <v>16.882087138601165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1.0855973861274597</v>
      </c>
      <c r="J365">
        <f>(Table3[[#This Row],[HomeMargin]]-Table3[[#This Row],[HomeForecast]])^2</f>
        <v>8.4937425957470953</v>
      </c>
    </row>
    <row r="366" spans="4:10" x14ac:dyDescent="0.2">
      <c r="D366" t="s">
        <v>39</v>
      </c>
      <c r="E366">
        <f>'NHL2025-26Results'!C361</f>
        <v>8</v>
      </c>
      <c r="F366" t="s">
        <v>17</v>
      </c>
      <c r="G366">
        <f>'NHL2025-26Results'!E361</f>
        <v>3</v>
      </c>
      <c r="H366">
        <f>Table3[[#This Row],[G_1]]-Table3[[#This Row],[G]]</f>
        <v>-5</v>
      </c>
      <c r="I366">
        <f>HomeEdge+VLOOKUP(Table3[[#This Row],[Home]],$A$6:$B$38,2,FALSE)-VLOOKUP(Table3[[#This Row],[Visitor]],$A$6:$B$38,2,FALSE)</f>
        <v>-1.1812884171694791</v>
      </c>
      <c r="J366">
        <f>(Table3[[#This Row],[HomeMargin]]-Table3[[#This Row],[HomeForecast]])^2</f>
        <v>14.582558152843983</v>
      </c>
    </row>
    <row r="367" spans="4:10" x14ac:dyDescent="0.2">
      <c r="D367" t="s">
        <v>38</v>
      </c>
      <c r="E367">
        <f>'NHL2025-26Results'!C362</f>
        <v>5</v>
      </c>
      <c r="F367" t="s">
        <v>31</v>
      </c>
      <c r="G367">
        <f>'NHL2025-26Results'!E362</f>
        <v>4</v>
      </c>
      <c r="H367">
        <f>Table3[[#This Row],[G_1]]-Table3[[#This Row],[G]]</f>
        <v>-1</v>
      </c>
      <c r="I367">
        <f>HomeEdge+VLOOKUP(Table3[[#This Row],[Home]],$A$6:$B$38,2,FALSE)-VLOOKUP(Table3[[#This Row],[Visitor]],$A$6:$B$38,2,FALSE)</f>
        <v>1.1762815258732329</v>
      </c>
      <c r="J367">
        <f>(Table3[[#This Row],[HomeMargin]]-Table3[[#This Row],[HomeForecast]])^2</f>
        <v>4.7362012798571271</v>
      </c>
    </row>
    <row r="368" spans="4:10" x14ac:dyDescent="0.2">
      <c r="D368" t="s">
        <v>15</v>
      </c>
      <c r="E368">
        <f>'NHL2025-26Results'!C363</f>
        <v>4</v>
      </c>
      <c r="F368" t="s">
        <v>25</v>
      </c>
      <c r="G368">
        <f>'NHL2025-26Results'!E363</f>
        <v>2</v>
      </c>
      <c r="H368">
        <f>Table3[[#This Row],[G_1]]-Table3[[#This Row],[G]]</f>
        <v>-2</v>
      </c>
      <c r="I368">
        <f>HomeEdge+VLOOKUP(Table3[[#This Row],[Home]],$A$6:$B$38,2,FALSE)-VLOOKUP(Table3[[#This Row],[Visitor]],$A$6:$B$38,2,FALSE)</f>
        <v>0.76560987073565778</v>
      </c>
      <c r="J368">
        <f>(Table3[[#This Row],[HomeMargin]]-Table3[[#This Row],[HomeForecast]])^2</f>
        <v>7.6485979571105016</v>
      </c>
    </row>
    <row r="369" spans="4:10" x14ac:dyDescent="0.2">
      <c r="D369" t="s">
        <v>19</v>
      </c>
      <c r="E369">
        <f>'NHL2025-26Results'!C364</f>
        <v>2</v>
      </c>
      <c r="F369" t="s">
        <v>28</v>
      </c>
      <c r="G369">
        <f>'NHL2025-26Results'!E364</f>
        <v>1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8.9389935891602712E-2</v>
      </c>
      <c r="J369">
        <f>(Table3[[#This Row],[HomeMargin]]-Table3[[#This Row],[HomeForecast]])^2</f>
        <v>1.1867704324219099</v>
      </c>
    </row>
    <row r="370" spans="4:10" x14ac:dyDescent="0.2">
      <c r="D370" t="s">
        <v>34</v>
      </c>
      <c r="E370">
        <f>'NHL2025-26Results'!C365</f>
        <v>4</v>
      </c>
      <c r="F370" t="s">
        <v>10</v>
      </c>
      <c r="G370">
        <f>'NHL2025-26Results'!E365</f>
        <v>3</v>
      </c>
      <c r="H370">
        <f>Table3[[#This Row],[G_1]]-Table3[[#This Row],[G]]</f>
        <v>-1</v>
      </c>
      <c r="I370">
        <f>HomeEdge+VLOOKUP(Table3[[#This Row],[Home]],$A$6:$B$38,2,FALSE)-VLOOKUP(Table3[[#This Row],[Visitor]],$A$6:$B$38,2,FALSE)</f>
        <v>-7.1170718811672334E-2</v>
      </c>
      <c r="J370">
        <f>(Table3[[#This Row],[HomeMargin]]-Table3[[#This Row],[HomeForecast]])^2</f>
        <v>0.86272383359282545</v>
      </c>
    </row>
    <row r="371" spans="4:10" x14ac:dyDescent="0.2">
      <c r="D371" t="s">
        <v>33</v>
      </c>
      <c r="E371">
        <f>'NHL2025-26Results'!C366</f>
        <v>0</v>
      </c>
      <c r="F371" t="s">
        <v>12</v>
      </c>
      <c r="G371">
        <f>'NHL2025-26Results'!E366</f>
        <v>6</v>
      </c>
      <c r="H371">
        <f>Table3[[#This Row],[G_1]]-Table3[[#This Row],[G]]</f>
        <v>6</v>
      </c>
      <c r="I371">
        <f>HomeEdge+VLOOKUP(Table3[[#This Row],[Home]],$A$6:$B$38,2,FALSE)-VLOOKUP(Table3[[#This Row],[Visitor]],$A$6:$B$38,2,FALSE)</f>
        <v>2.1331353997323821</v>
      </c>
      <c r="J371">
        <f>(Table3[[#This Row],[HomeMargin]]-Table3[[#This Row],[HomeForecast]])^2</f>
        <v>14.952641836802844</v>
      </c>
    </row>
    <row r="372" spans="4:10" x14ac:dyDescent="0.2">
      <c r="D372" t="s">
        <v>29</v>
      </c>
      <c r="E372">
        <f>'NHL2025-26Results'!C367</f>
        <v>6</v>
      </c>
      <c r="F372" t="s">
        <v>26</v>
      </c>
      <c r="G372">
        <f>'NHL2025-26Results'!E367</f>
        <v>3</v>
      </c>
      <c r="H372">
        <f>Table3[[#This Row],[G_1]]-Table3[[#This Row],[G]]</f>
        <v>-3</v>
      </c>
      <c r="I372">
        <f>HomeEdge+VLOOKUP(Table3[[#This Row],[Home]],$A$6:$B$38,2,FALSE)-VLOOKUP(Table3[[#This Row],[Visitor]],$A$6:$B$38,2,FALSE)</f>
        <v>0.55947846770091392</v>
      </c>
      <c r="J372">
        <f>(Table3[[#This Row],[HomeMargin]]-Table3[[#This Row],[HomeForecast]])^2</f>
        <v>12.669886962026446</v>
      </c>
    </row>
    <row r="373" spans="4:10" x14ac:dyDescent="0.2">
      <c r="D373" t="s">
        <v>27</v>
      </c>
      <c r="E373">
        <f>'NHL2025-26Results'!C368</f>
        <v>4</v>
      </c>
      <c r="F373" t="s">
        <v>11</v>
      </c>
      <c r="G373">
        <f>'NHL2025-26Results'!E368</f>
        <v>2</v>
      </c>
      <c r="H373">
        <f>Table3[[#This Row],[G_1]]-Table3[[#This Row],[G]]</f>
        <v>-2</v>
      </c>
      <c r="I373">
        <f>HomeEdge+VLOOKUP(Table3[[#This Row],[Home]],$A$6:$B$38,2,FALSE)-VLOOKUP(Table3[[#This Row],[Visitor]],$A$6:$B$38,2,FALSE)</f>
        <v>3.3022041365371957E-2</v>
      </c>
      <c r="J373">
        <f>(Table3[[#This Row],[HomeMargin]]-Table3[[#This Row],[HomeForecast]])^2</f>
        <v>4.1331786206774241</v>
      </c>
    </row>
    <row r="374" spans="4:10" x14ac:dyDescent="0.2">
      <c r="D374" t="s">
        <v>35</v>
      </c>
      <c r="E374">
        <f>'NHL2025-26Results'!C369</f>
        <v>2</v>
      </c>
      <c r="F374" t="s">
        <v>24</v>
      </c>
      <c r="G374">
        <f>'NHL2025-26Results'!E369</f>
        <v>3</v>
      </c>
      <c r="H374">
        <f>Table3[[#This Row],[G_1]]-Table3[[#This Row],[G]]</f>
        <v>1</v>
      </c>
      <c r="I374">
        <f>HomeEdge+VLOOKUP(Table3[[#This Row],[Home]],$A$6:$B$38,2,FALSE)-VLOOKUP(Table3[[#This Row],[Visitor]],$A$6:$B$38,2,FALSE)</f>
        <v>1.4459093716354892</v>
      </c>
      <c r="J374">
        <f>(Table3[[#This Row],[HomeMargin]]-Table3[[#This Row],[HomeForecast]])^2</f>
        <v>0.19883516771235679</v>
      </c>
    </row>
    <row r="375" spans="4:10" x14ac:dyDescent="0.2">
      <c r="D375" t="s">
        <v>21</v>
      </c>
      <c r="E375">
        <f>'NHL2025-26Results'!C370</f>
        <v>3</v>
      </c>
      <c r="F375" t="s">
        <v>30</v>
      </c>
      <c r="G375">
        <f>'NHL2025-26Results'!E370</f>
        <v>1</v>
      </c>
      <c r="H375">
        <f>Table3[[#This Row],[G_1]]-Table3[[#This Row],[G]]</f>
        <v>-2</v>
      </c>
      <c r="I375">
        <f>HomeEdge+VLOOKUP(Table3[[#This Row],[Home]],$A$6:$B$38,2,FALSE)-VLOOKUP(Table3[[#This Row],[Visitor]],$A$6:$B$38,2,FALSE)</f>
        <v>2.8738511929561422E-2</v>
      </c>
      <c r="J375">
        <f>(Table3[[#This Row],[HomeMargin]]-Table3[[#This Row],[HomeForecast]])^2</f>
        <v>4.1157799497861722</v>
      </c>
    </row>
    <row r="376" spans="4:10" x14ac:dyDescent="0.2">
      <c r="D376" t="s">
        <v>23</v>
      </c>
      <c r="E376">
        <f>'NHL2025-26Results'!C371</f>
        <v>2</v>
      </c>
      <c r="F376" t="s">
        <v>14</v>
      </c>
      <c r="G376">
        <f>'NHL2025-26Results'!E371</f>
        <v>4</v>
      </c>
      <c r="H376">
        <f>Table3[[#This Row],[G_1]]-Table3[[#This Row],[G]]</f>
        <v>2</v>
      </c>
      <c r="I376">
        <f>HomeEdge+VLOOKUP(Table3[[#This Row],[Home]],$A$6:$B$38,2,FALSE)-VLOOKUP(Table3[[#This Row],[Visitor]],$A$6:$B$38,2,FALSE)</f>
        <v>0.38374696309826212</v>
      </c>
      <c r="J376">
        <f>(Table3[[#This Row],[HomeMargin]]-Table3[[#This Row],[HomeForecast]])^2</f>
        <v>2.6122738792940905</v>
      </c>
    </row>
    <row r="377" spans="4:10" x14ac:dyDescent="0.2">
      <c r="D377" t="s">
        <v>39</v>
      </c>
      <c r="E377">
        <f>'NHL2025-26Results'!C372</f>
        <v>3</v>
      </c>
      <c r="F377" t="s">
        <v>32</v>
      </c>
      <c r="G377">
        <f>'NHL2025-26Results'!E372</f>
        <v>2</v>
      </c>
      <c r="H377">
        <f>Table3[[#This Row],[G_1]]-Table3[[#This Row],[G]]</f>
        <v>-1</v>
      </c>
      <c r="I377">
        <f>HomeEdge+VLOOKUP(Table3[[#This Row],[Home]],$A$6:$B$38,2,FALSE)-VLOOKUP(Table3[[#This Row],[Visitor]],$A$6:$B$38,2,FALSE)</f>
        <v>-1.0129189882100473</v>
      </c>
      <c r="J377">
        <f>(Table3[[#This Row],[HomeMargin]]-Table3[[#This Row],[HomeForecast]])^2</f>
        <v>1.6690025637134198E-4</v>
      </c>
    </row>
    <row r="378" spans="4:10" x14ac:dyDescent="0.2">
      <c r="D378" t="s">
        <v>16</v>
      </c>
      <c r="E378">
        <f>'NHL2025-26Results'!C373</f>
        <v>1</v>
      </c>
      <c r="F378" t="s">
        <v>37</v>
      </c>
      <c r="G378">
        <f>'NHL2025-26Results'!E373</f>
        <v>5</v>
      </c>
      <c r="H378">
        <f>Table3[[#This Row],[G_1]]-Table3[[#This Row],[G]]</f>
        <v>4</v>
      </c>
      <c r="I378">
        <f>HomeEdge+VLOOKUP(Table3[[#This Row],[Home]],$A$6:$B$38,2,FALSE)-VLOOKUP(Table3[[#This Row],[Visitor]],$A$6:$B$38,2,FALSE)</f>
        <v>1.6261869747143876</v>
      </c>
      <c r="J378">
        <f>(Table3[[#This Row],[HomeMargin]]-Table3[[#This Row],[HomeForecast]])^2</f>
        <v>5.6349882790156318</v>
      </c>
    </row>
    <row r="379" spans="4:10" x14ac:dyDescent="0.2">
      <c r="D379" t="s">
        <v>18</v>
      </c>
      <c r="E379">
        <f>'NHL2025-26Results'!C374</f>
        <v>4</v>
      </c>
      <c r="F379" t="s">
        <v>55</v>
      </c>
      <c r="G379">
        <f>'NHL2025-26Results'!E374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0.23966708817580518</v>
      </c>
      <c r="J379">
        <f>(Table3[[#This Row],[HomeMargin]]-Table3[[#This Row],[HomeForecast]])^2</f>
        <v>1.5367744895062796</v>
      </c>
    </row>
    <row r="380" spans="4:10" x14ac:dyDescent="0.2">
      <c r="D380" t="s">
        <v>36</v>
      </c>
      <c r="E380">
        <f>'NHL2025-26Results'!C375</f>
        <v>4</v>
      </c>
      <c r="F380" t="s">
        <v>20</v>
      </c>
      <c r="G380">
        <f>'NHL2025-26Results'!E375</f>
        <v>3</v>
      </c>
      <c r="H380">
        <f>Table3[[#This Row],[G_1]]-Table3[[#This Row],[G]]</f>
        <v>-1</v>
      </c>
      <c r="I380">
        <f>HomeEdge+VLOOKUP(Table3[[#This Row],[Home]],$A$6:$B$38,2,FALSE)-VLOOKUP(Table3[[#This Row],[Visitor]],$A$6:$B$38,2,FALSE)</f>
        <v>0.33683596946736466</v>
      </c>
      <c r="J380">
        <f>(Table3[[#This Row],[HomeMargin]]-Table3[[#This Row],[HomeForecast]])^2</f>
        <v>1.7871304092617486</v>
      </c>
    </row>
    <row r="381" spans="4:10" x14ac:dyDescent="0.2">
      <c r="D381" t="s">
        <v>40</v>
      </c>
      <c r="E381">
        <f>'NHL2025-26Results'!C376</f>
        <v>3</v>
      </c>
      <c r="F381" t="s">
        <v>22</v>
      </c>
      <c r="G381">
        <f>'NHL2025-26Results'!E376</f>
        <v>4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0.80384980555971097</v>
      </c>
      <c r="J381">
        <f>(Table3[[#This Row],[HomeMargin]]-Table3[[#This Row],[HomeForecast]])^2</f>
        <v>3.8474898778963193E-2</v>
      </c>
    </row>
    <row r="382" spans="4:10" x14ac:dyDescent="0.2">
      <c r="D382" t="s">
        <v>13</v>
      </c>
      <c r="E382">
        <f>'NHL2025-26Results'!C377</f>
        <v>4</v>
      </c>
      <c r="F382" t="s">
        <v>31</v>
      </c>
      <c r="G382">
        <f>'NHL2025-26Results'!E377</f>
        <v>5</v>
      </c>
      <c r="H382">
        <f>Table3[[#This Row],[G_1]]-Table3[[#This Row],[G]]</f>
        <v>1</v>
      </c>
      <c r="I382">
        <f>HomeEdge+VLOOKUP(Table3[[#This Row],[Home]],$A$6:$B$38,2,FALSE)-VLOOKUP(Table3[[#This Row],[Visitor]],$A$6:$B$38,2,FALSE)</f>
        <v>0.56688736943964246</v>
      </c>
      <c r="J382">
        <f>(Table3[[#This Row],[HomeMargin]]-Table3[[#This Row],[HomeForecast]])^2</f>
        <v>0.18758655075091274</v>
      </c>
    </row>
    <row r="383" spans="4:10" x14ac:dyDescent="0.2">
      <c r="D383" t="s">
        <v>15</v>
      </c>
      <c r="E383">
        <f>'NHL2025-26Results'!C378</f>
        <v>6</v>
      </c>
      <c r="F383" t="s">
        <v>21</v>
      </c>
      <c r="G383">
        <f>'NHL2025-26Results'!E378</f>
        <v>2</v>
      </c>
      <c r="H383">
        <f>Table3[[#This Row],[G_1]]-Table3[[#This Row],[G]]</f>
        <v>-4</v>
      </c>
      <c r="I383">
        <f>HomeEdge+VLOOKUP(Table3[[#This Row],[Home]],$A$6:$B$38,2,FALSE)-VLOOKUP(Table3[[#This Row],[Visitor]],$A$6:$B$38,2,FALSE)</f>
        <v>0.12016497295937348</v>
      </c>
      <c r="J383">
        <f>(Table3[[#This Row],[HomeMargin]]-Table3[[#This Row],[HomeForecast]])^2</f>
        <v>16.975759404401316</v>
      </c>
    </row>
    <row r="384" spans="4:10" x14ac:dyDescent="0.2">
      <c r="D384" t="s">
        <v>24</v>
      </c>
      <c r="E384">
        <f>'NHL2025-26Results'!C379</f>
        <v>5</v>
      </c>
      <c r="F384" t="s">
        <v>23</v>
      </c>
      <c r="G384">
        <f>'NHL2025-26Results'!E379</f>
        <v>0</v>
      </c>
      <c r="H384">
        <f>Table3[[#This Row],[G_1]]-Table3[[#This Row],[G]]</f>
        <v>-5</v>
      </c>
      <c r="I384">
        <f>HomeEdge+VLOOKUP(Table3[[#This Row],[Home]],$A$6:$B$38,2,FALSE)-VLOOKUP(Table3[[#This Row],[Visitor]],$A$6:$B$38,2,FALSE)</f>
        <v>-0.42773993758203149</v>
      </c>
      <c r="J384">
        <f>(Table3[[#This Row],[HomeMargin]]-Table3[[#This Row],[HomeForecast]])^2</f>
        <v>20.905562078382367</v>
      </c>
    </row>
    <row r="385" spans="4:10" x14ac:dyDescent="0.2">
      <c r="D385" t="s">
        <v>40</v>
      </c>
      <c r="E385">
        <f>'NHL2025-26Results'!C380</f>
        <v>1</v>
      </c>
      <c r="F385" t="s">
        <v>25</v>
      </c>
      <c r="G385">
        <f>'NHL2025-26Results'!E380</f>
        <v>5</v>
      </c>
      <c r="H385">
        <f>Table3[[#This Row],[G_1]]-Table3[[#This Row],[G]]</f>
        <v>4</v>
      </c>
      <c r="I385">
        <f>HomeEdge+VLOOKUP(Table3[[#This Row],[Home]],$A$6:$B$38,2,FALSE)-VLOOKUP(Table3[[#This Row],[Visitor]],$A$6:$B$38,2,FALSE)</f>
        <v>0.78881771003450674</v>
      </c>
      <c r="J385">
        <f>(Table3[[#This Row],[HomeMargin]]-Table3[[#This Row],[HomeForecast]])^2</f>
        <v>10.31169169938803</v>
      </c>
    </row>
    <row r="386" spans="4:10" x14ac:dyDescent="0.2">
      <c r="D386" t="s">
        <v>14</v>
      </c>
      <c r="E386">
        <f>'NHL2025-26Results'!C381</f>
        <v>4</v>
      </c>
      <c r="F386" t="s">
        <v>28</v>
      </c>
      <c r="G386">
        <f>'NHL2025-26Results'!E381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-0.40282443386188782</v>
      </c>
      <c r="J386">
        <f>(Table3[[#This Row],[HomeMargin]]-Table3[[#This Row],[HomeForecast]])^2</f>
        <v>0.35661865679237481</v>
      </c>
    </row>
    <row r="387" spans="4:10" x14ac:dyDescent="0.2">
      <c r="D387" t="s">
        <v>29</v>
      </c>
      <c r="E387">
        <f>'NHL2025-26Results'!C382</f>
        <v>4</v>
      </c>
      <c r="F387" t="s">
        <v>10</v>
      </c>
      <c r="G387">
        <f>'NHL2025-26Results'!E382</f>
        <v>3</v>
      </c>
      <c r="H387">
        <f>Table3[[#This Row],[G_1]]-Table3[[#This Row],[G]]</f>
        <v>-1</v>
      </c>
      <c r="I387">
        <f>HomeEdge+VLOOKUP(Table3[[#This Row],[Home]],$A$6:$B$38,2,FALSE)-VLOOKUP(Table3[[#This Row],[Visitor]],$A$6:$B$38,2,FALSE)</f>
        <v>1.2586217775489097</v>
      </c>
      <c r="J387">
        <f>(Table3[[#This Row],[HomeMargin]]-Table3[[#This Row],[HomeForecast]])^2</f>
        <v>5.1013723340181958</v>
      </c>
    </row>
    <row r="388" spans="4:10" x14ac:dyDescent="0.2">
      <c r="D388" t="s">
        <v>55</v>
      </c>
      <c r="E388">
        <f>'NHL2025-26Results'!C383</f>
        <v>3</v>
      </c>
      <c r="F388" t="s">
        <v>39</v>
      </c>
      <c r="G388">
        <f>'NHL2025-26Results'!E383</f>
        <v>4</v>
      </c>
      <c r="H388">
        <f>Table3[[#This Row],[G_1]]-Table3[[#This Row],[G]]</f>
        <v>1</v>
      </c>
      <c r="I388">
        <f>HomeEdge+VLOOKUP(Table3[[#This Row],[Home]],$A$6:$B$38,2,FALSE)-VLOOKUP(Table3[[#This Row],[Visitor]],$A$6:$B$38,2,FALSE)</f>
        <v>0.86646653979946475</v>
      </c>
      <c r="J388">
        <f>(Table3[[#This Row],[HomeMargin]]-Table3[[#This Row],[HomeForecast]])^2</f>
        <v>1.7831184993127931E-2</v>
      </c>
    </row>
    <row r="389" spans="4:10" x14ac:dyDescent="0.2">
      <c r="D389" t="s">
        <v>37</v>
      </c>
      <c r="E389">
        <f>'NHL2025-26Results'!C384</f>
        <v>6</v>
      </c>
      <c r="F389" t="s">
        <v>26</v>
      </c>
      <c r="G389">
        <f>'NHL2025-26Results'!E384</f>
        <v>3</v>
      </c>
      <c r="H389">
        <f>Table3[[#This Row],[G_1]]-Table3[[#This Row],[G]]</f>
        <v>-3</v>
      </c>
      <c r="I389">
        <f>HomeEdge+VLOOKUP(Table3[[#This Row],[Home]],$A$6:$B$38,2,FALSE)-VLOOKUP(Table3[[#This Row],[Visitor]],$A$6:$B$38,2,FALSE)</f>
        <v>-1.3359437628557513</v>
      </c>
      <c r="J389">
        <f>(Table3[[#This Row],[HomeMargin]]-Table3[[#This Row],[HomeForecast]])^2</f>
        <v>2.7690831603786759</v>
      </c>
    </row>
    <row r="390" spans="4:10" x14ac:dyDescent="0.2">
      <c r="D390" t="s">
        <v>16</v>
      </c>
      <c r="E390">
        <f>'NHL2025-26Results'!C385</f>
        <v>5</v>
      </c>
      <c r="F390" t="s">
        <v>11</v>
      </c>
      <c r="G390">
        <f>'NHL2025-26Results'!E385</f>
        <v>3</v>
      </c>
      <c r="H390">
        <f>Table3[[#This Row],[G_1]]-Table3[[#This Row],[G]]</f>
        <v>-2</v>
      </c>
      <c r="I390">
        <f>HomeEdge+VLOOKUP(Table3[[#This Row],[Home]],$A$6:$B$38,2,FALSE)-VLOOKUP(Table3[[#This Row],[Visitor]],$A$6:$B$38,2,FALSE)</f>
        <v>0.71856373690367681</v>
      </c>
      <c r="J390">
        <f>(Table3[[#This Row],[HomeMargin]]-Table3[[#This Row],[HomeForecast]])^2</f>
        <v>7.3905887916076836</v>
      </c>
    </row>
    <row r="391" spans="4:10" x14ac:dyDescent="0.2">
      <c r="D391" t="s">
        <v>12</v>
      </c>
      <c r="E391">
        <f>'NHL2025-26Results'!C386</f>
        <v>2</v>
      </c>
      <c r="F391" t="s">
        <v>34</v>
      </c>
      <c r="G391">
        <f>'NHL2025-26Results'!E386</f>
        <v>3</v>
      </c>
      <c r="H391">
        <f>Table3[[#This Row],[G_1]]-Table3[[#This Row],[G]]</f>
        <v>1</v>
      </c>
      <c r="I391">
        <f>HomeEdge+VLOOKUP(Table3[[#This Row],[Home]],$A$6:$B$38,2,FALSE)-VLOOKUP(Table3[[#This Row],[Visitor]],$A$6:$B$38,2,FALSE)</f>
        <v>-1.6371276969532926</v>
      </c>
      <c r="J391">
        <f>(Table3[[#This Row],[HomeMargin]]-Table3[[#This Row],[HomeForecast]])^2</f>
        <v>6.9544424900381783</v>
      </c>
    </row>
    <row r="392" spans="4:10" x14ac:dyDescent="0.2">
      <c r="D392" t="s">
        <v>27</v>
      </c>
      <c r="E392">
        <f>'NHL2025-26Results'!C387</f>
        <v>4</v>
      </c>
      <c r="F392" t="s">
        <v>30</v>
      </c>
      <c r="G392">
        <f>'NHL2025-26Results'!E387</f>
        <v>3</v>
      </c>
      <c r="H392">
        <f>Table3[[#This Row],[G_1]]-Table3[[#This Row],[G]]</f>
        <v>-1</v>
      </c>
      <c r="I392">
        <f>HomeEdge+VLOOKUP(Table3[[#This Row],[Home]],$A$6:$B$38,2,FALSE)-VLOOKUP(Table3[[#This Row],[Visitor]],$A$6:$B$38,2,FALSE)</f>
        <v>0.18920833498814585</v>
      </c>
      <c r="J392">
        <f>(Table3[[#This Row],[HomeMargin]]-Table3[[#This Row],[HomeForecast]])^2</f>
        <v>1.4142164640052783</v>
      </c>
    </row>
    <row r="393" spans="4:10" x14ac:dyDescent="0.2">
      <c r="D393" t="s">
        <v>38</v>
      </c>
      <c r="E393">
        <f>'NHL2025-26Results'!C388</f>
        <v>2</v>
      </c>
      <c r="F393" t="s">
        <v>33</v>
      </c>
      <c r="G393">
        <f>'NHL2025-26Results'!E388</f>
        <v>3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0.54624751165172314</v>
      </c>
      <c r="J393">
        <f>(Table3[[#This Row],[HomeMargin]]-Table3[[#This Row],[HomeForecast]])^2</f>
        <v>0.20589132068225313</v>
      </c>
    </row>
    <row r="394" spans="4:10" x14ac:dyDescent="0.2">
      <c r="D394" t="s">
        <v>36</v>
      </c>
      <c r="E394">
        <f>'NHL2025-26Results'!C389</f>
        <v>3</v>
      </c>
      <c r="F394" t="s">
        <v>35</v>
      </c>
      <c r="G394">
        <f>'NHL2025-26Results'!E389</f>
        <v>4</v>
      </c>
      <c r="H394">
        <f>Table3[[#This Row],[G_1]]-Table3[[#This Row],[G]]</f>
        <v>1</v>
      </c>
      <c r="I394">
        <f>HomeEdge+VLOOKUP(Table3[[#This Row],[Home]],$A$6:$B$38,2,FALSE)-VLOOKUP(Table3[[#This Row],[Visitor]],$A$6:$B$38,2,FALSE)</f>
        <v>-0.81320157215972144</v>
      </c>
      <c r="J394">
        <f>(Table3[[#This Row],[HomeMargin]]-Table3[[#This Row],[HomeForecast]])^2</f>
        <v>3.2876999412824857</v>
      </c>
    </row>
    <row r="395" spans="4:10" x14ac:dyDescent="0.2">
      <c r="D395" t="s">
        <v>18</v>
      </c>
      <c r="E395">
        <f>'NHL2025-26Results'!C390</f>
        <v>4</v>
      </c>
      <c r="F395" t="s">
        <v>20</v>
      </c>
      <c r="G395">
        <f>'NHL2025-26Results'!E390</f>
        <v>1</v>
      </c>
      <c r="H395">
        <f>Table3[[#This Row],[G_1]]-Table3[[#This Row],[G]]</f>
        <v>-3</v>
      </c>
      <c r="I395">
        <f>HomeEdge+VLOOKUP(Table3[[#This Row],[Home]],$A$6:$B$38,2,FALSE)-VLOOKUP(Table3[[#This Row],[Visitor]],$A$6:$B$38,2,FALSE)</f>
        <v>0.39834954687635121</v>
      </c>
      <c r="J395">
        <f>(Table3[[#This Row],[HomeMargin]]-Table3[[#This Row],[HomeForecast]])^2</f>
        <v>11.548779642754702</v>
      </c>
    </row>
    <row r="396" spans="4:10" x14ac:dyDescent="0.2">
      <c r="D396" t="s">
        <v>19</v>
      </c>
      <c r="E396">
        <f>'NHL2025-26Results'!C391</f>
        <v>2</v>
      </c>
      <c r="F396" t="s">
        <v>22</v>
      </c>
      <c r="G396">
        <f>'NHL2025-26Results'!E391</f>
        <v>4</v>
      </c>
      <c r="H396">
        <f>Table3[[#This Row],[G_1]]-Table3[[#This Row],[G]]</f>
        <v>2</v>
      </c>
      <c r="I396">
        <f>HomeEdge+VLOOKUP(Table3[[#This Row],[Home]],$A$6:$B$38,2,FALSE)-VLOOKUP(Table3[[#This Row],[Visitor]],$A$6:$B$38,2,FALSE)</f>
        <v>1.1250865730958999</v>
      </c>
      <c r="J396">
        <f>(Table3[[#This Row],[HomeMargin]]-Table3[[#This Row],[HomeForecast]])^2</f>
        <v>0.76547350457707619</v>
      </c>
    </row>
    <row r="397" spans="4:10" x14ac:dyDescent="0.2">
      <c r="D397" t="s">
        <v>26</v>
      </c>
      <c r="E397">
        <f>'NHL2025-26Results'!C392</f>
        <v>2</v>
      </c>
      <c r="F397" t="s">
        <v>21</v>
      </c>
      <c r="G397">
        <f>'NHL2025-26Results'!E392</f>
        <v>3</v>
      </c>
      <c r="H397">
        <f>Table3[[#This Row],[G_1]]-Table3[[#This Row],[G]]</f>
        <v>1</v>
      </c>
      <c r="I397">
        <f>HomeEdge+VLOOKUP(Table3[[#This Row],[Home]],$A$6:$B$38,2,FALSE)-VLOOKUP(Table3[[#This Row],[Visitor]],$A$6:$B$38,2,FALSE)</f>
        <v>0.70547055350774035</v>
      </c>
      <c r="J397">
        <f>(Table3[[#This Row],[HomeMargin]]-Table3[[#This Row],[HomeForecast]])^2</f>
        <v>8.6747594851036836E-2</v>
      </c>
    </row>
    <row r="398" spans="4:10" x14ac:dyDescent="0.2">
      <c r="D398" t="s">
        <v>18</v>
      </c>
      <c r="E398">
        <f>'NHL2025-26Results'!C393</f>
        <v>2</v>
      </c>
      <c r="F398" t="s">
        <v>12</v>
      </c>
      <c r="G398">
        <f>'NHL2025-26Results'!E393</f>
        <v>7</v>
      </c>
      <c r="H398">
        <f>Table3[[#This Row],[G_1]]-Table3[[#This Row],[G]]</f>
        <v>5</v>
      </c>
      <c r="I398">
        <f>HomeEdge+VLOOKUP(Table3[[#This Row],[Home]],$A$6:$B$38,2,FALSE)-VLOOKUP(Table3[[#This Row],[Visitor]],$A$6:$B$38,2,FALSE)</f>
        <v>2.2746940356239636</v>
      </c>
      <c r="J398">
        <f>(Table3[[#This Row],[HomeMargin]]-Table3[[#This Row],[HomeForecast]])^2</f>
        <v>7.4272925994635983</v>
      </c>
    </row>
    <row r="399" spans="4:10" x14ac:dyDescent="0.2">
      <c r="D399" t="s">
        <v>38</v>
      </c>
      <c r="E399">
        <f>'NHL2025-26Results'!C394</f>
        <v>1</v>
      </c>
      <c r="F399" t="s">
        <v>13</v>
      </c>
      <c r="G399">
        <f>'NHL2025-26Results'!E394</f>
        <v>2</v>
      </c>
      <c r="H399">
        <f>Table3[[#This Row],[G_1]]-Table3[[#This Row],[G]]</f>
        <v>1</v>
      </c>
      <c r="I399">
        <f>HomeEdge+VLOOKUP(Table3[[#This Row],[Home]],$A$6:$B$38,2,FALSE)-VLOOKUP(Table3[[#This Row],[Visitor]],$A$6:$B$38,2,FALSE)</f>
        <v>0.65929490535675295</v>
      </c>
      <c r="J399">
        <f>(Table3[[#This Row],[HomeMargin]]-Table3[[#This Row],[HomeForecast]])^2</f>
        <v>0.11607996151586393</v>
      </c>
    </row>
    <row r="400" spans="4:10" x14ac:dyDescent="0.2">
      <c r="D400" t="s">
        <v>23</v>
      </c>
      <c r="E400">
        <f>'NHL2025-26Results'!C395</f>
        <v>3</v>
      </c>
      <c r="F400" t="s">
        <v>34</v>
      </c>
      <c r="G400">
        <f>'NHL2025-26Results'!E395</f>
        <v>2</v>
      </c>
      <c r="H400">
        <f>Table3[[#This Row],[G_1]]-Table3[[#This Row],[G]]</f>
        <v>-1</v>
      </c>
      <c r="I400">
        <f>HomeEdge+VLOOKUP(Table3[[#This Row],[Home]],$A$6:$B$38,2,FALSE)-VLOOKUP(Table3[[#This Row],[Visitor]],$A$6:$B$38,2,FALSE)</f>
        <v>0.47088639721427333</v>
      </c>
      <c r="J400">
        <f>(Table3[[#This Row],[HomeMargin]]-Table3[[#This Row],[HomeForecast]])^2</f>
        <v>2.1635067935099852</v>
      </c>
    </row>
    <row r="401" spans="4:10" x14ac:dyDescent="0.2">
      <c r="D401" t="s">
        <v>27</v>
      </c>
      <c r="E401">
        <f>'NHL2025-26Results'!C396</f>
        <v>5</v>
      </c>
      <c r="F401" t="s">
        <v>24</v>
      </c>
      <c r="G401">
        <f>'NHL2025-26Results'!E396</f>
        <v>3</v>
      </c>
      <c r="H401">
        <f>Table3[[#This Row],[G_1]]-Table3[[#This Row],[G]]</f>
        <v>-2</v>
      </c>
      <c r="I401">
        <f>HomeEdge+VLOOKUP(Table3[[#This Row],[Home]],$A$6:$B$38,2,FALSE)-VLOOKUP(Table3[[#This Row],[Visitor]],$A$6:$B$38,2,FALSE)</f>
        <v>0.43167058319408275</v>
      </c>
      <c r="J401">
        <f>(Table3[[#This Row],[HomeMargin]]-Table3[[#This Row],[HomeForecast]])^2</f>
        <v>5.9130218251714508</v>
      </c>
    </row>
    <row r="402" spans="4:10" x14ac:dyDescent="0.2">
      <c r="D402" t="s">
        <v>40</v>
      </c>
      <c r="E402">
        <f>'NHL2025-26Results'!C397</f>
        <v>5</v>
      </c>
      <c r="F402" t="s">
        <v>29</v>
      </c>
      <c r="G402">
        <f>'NHL2025-26Results'!E397</f>
        <v>2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-1.0217747111041069</v>
      </c>
      <c r="J402">
        <f>(Table3[[#This Row],[HomeMargin]]-Table3[[#This Row],[HomeForecast]])^2</f>
        <v>3.9133752936272397</v>
      </c>
    </row>
    <row r="403" spans="4:10" x14ac:dyDescent="0.2">
      <c r="D403" t="s">
        <v>37</v>
      </c>
      <c r="E403">
        <f>'NHL2025-26Results'!C398</f>
        <v>4</v>
      </c>
      <c r="F403" t="s">
        <v>15</v>
      </c>
      <c r="G403">
        <f>'NHL2025-26Results'!E398</f>
        <v>1</v>
      </c>
      <c r="H403">
        <f>Table3[[#This Row],[G_1]]-Table3[[#This Row],[G]]</f>
        <v>-3</v>
      </c>
      <c r="I403">
        <f>HomeEdge+VLOOKUP(Table3[[#This Row],[Home]],$A$6:$B$38,2,FALSE)-VLOOKUP(Table3[[#This Row],[Visitor]],$A$6:$B$38,2,FALSE)</f>
        <v>-0.75063818230738444</v>
      </c>
      <c r="J403">
        <f>(Table3[[#This Row],[HomeMargin]]-Table3[[#This Row],[HomeForecast]])^2</f>
        <v>5.0596285868934263</v>
      </c>
    </row>
    <row r="404" spans="4:10" x14ac:dyDescent="0.2">
      <c r="D404" t="s">
        <v>19</v>
      </c>
      <c r="E404">
        <f>'NHL2025-26Results'!C399</f>
        <v>7</v>
      </c>
      <c r="F404" t="s">
        <v>14</v>
      </c>
      <c r="G404">
        <f>'NHL2025-26Results'!E399</f>
        <v>2</v>
      </c>
      <c r="H404">
        <f>Table3[[#This Row],[G_1]]-Table3[[#This Row],[G]]</f>
        <v>-5</v>
      </c>
      <c r="I404">
        <f>HomeEdge+VLOOKUP(Table3[[#This Row],[Home]],$A$6:$B$38,2,FALSE)-VLOOKUP(Table3[[#This Row],[Visitor]],$A$6:$B$38,2,FALSE)</f>
        <v>0.54211511867665296</v>
      </c>
      <c r="J404">
        <f>(Table3[[#This Row],[HomeMargin]]-Table3[[#This Row],[HomeForecast]])^2</f>
        <v>30.715039988664333</v>
      </c>
    </row>
    <row r="405" spans="4:10" x14ac:dyDescent="0.2">
      <c r="D405" t="s">
        <v>17</v>
      </c>
      <c r="E405">
        <f>'NHL2025-26Results'!C400</f>
        <v>4</v>
      </c>
      <c r="F405" t="s">
        <v>32</v>
      </c>
      <c r="G405">
        <f>'NHL2025-26Results'!E400</f>
        <v>0</v>
      </c>
      <c r="H405">
        <f>Table3[[#This Row],[G_1]]-Table3[[#This Row],[G]]</f>
        <v>-4</v>
      </c>
      <c r="I405">
        <f>HomeEdge+VLOOKUP(Table3[[#This Row],[Home]],$A$6:$B$38,2,FALSE)-VLOOKUP(Table3[[#This Row],[Visitor]],$A$6:$B$38,2,FALSE)</f>
        <v>0.21827017788259417</v>
      </c>
      <c r="J405">
        <f>(Table3[[#This Row],[HomeMargin]]-Table3[[#This Row],[HomeForecast]])^2</f>
        <v>17.793803293613653</v>
      </c>
    </row>
    <row r="406" spans="4:10" x14ac:dyDescent="0.2">
      <c r="D406" t="s">
        <v>55</v>
      </c>
      <c r="E406">
        <f>'NHL2025-26Results'!C401</f>
        <v>0</v>
      </c>
      <c r="F406" t="s">
        <v>35</v>
      </c>
      <c r="G406">
        <f>'NHL2025-26Results'!E401</f>
        <v>1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-0.94145433400337764</v>
      </c>
      <c r="J406">
        <f>(Table3[[#This Row],[HomeMargin]]-Table3[[#This Row],[HomeForecast]])^2</f>
        <v>3.7692449310204985</v>
      </c>
    </row>
    <row r="407" spans="4:10" x14ac:dyDescent="0.2">
      <c r="D407" t="s">
        <v>33</v>
      </c>
      <c r="E407">
        <f>'NHL2025-26Results'!C402</f>
        <v>3</v>
      </c>
      <c r="F407" t="s">
        <v>20</v>
      </c>
      <c r="G407">
        <f>'NHL2025-26Results'!E402</f>
        <v>4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0.25679091098476942</v>
      </c>
      <c r="J407">
        <f>(Table3[[#This Row],[HomeMargin]]-Table3[[#This Row],[HomeForecast]])^2</f>
        <v>0.55235974999484883</v>
      </c>
    </row>
    <row r="408" spans="4:10" x14ac:dyDescent="0.2">
      <c r="D408" t="s">
        <v>16</v>
      </c>
      <c r="E408">
        <f>'NHL2025-26Results'!C403</f>
        <v>0</v>
      </c>
      <c r="F408" t="s">
        <v>25</v>
      </c>
      <c r="G408">
        <f>'NHL2025-26Results'!E403</f>
        <v>1</v>
      </c>
      <c r="H408">
        <f>Table3[[#This Row],[G_1]]-Table3[[#This Row],[G]]</f>
        <v>1</v>
      </c>
      <c r="I408">
        <f>HomeEdge+VLOOKUP(Table3[[#This Row],[Home]],$A$6:$B$38,2,FALSE)-VLOOKUP(Table3[[#This Row],[Visitor]],$A$6:$B$38,2,FALSE)</f>
        <v>1.541357165296336</v>
      </c>
      <c r="J408">
        <f>(Table3[[#This Row],[HomeMargin]]-Table3[[#This Row],[HomeForecast]])^2</f>
        <v>0.29306758041768449</v>
      </c>
    </row>
    <row r="409" spans="4:10" x14ac:dyDescent="0.2">
      <c r="D409" t="s">
        <v>31</v>
      </c>
      <c r="E409">
        <f>'NHL2025-26Results'!C404</f>
        <v>3</v>
      </c>
      <c r="F409" t="s">
        <v>10</v>
      </c>
      <c r="G409">
        <f>'NHL2025-26Results'!E404</f>
        <v>5</v>
      </c>
      <c r="H409">
        <f>Table3[[#This Row],[G_1]]-Table3[[#This Row],[G]]</f>
        <v>2</v>
      </c>
      <c r="I409">
        <f>HomeEdge+VLOOKUP(Table3[[#This Row],[Home]],$A$6:$B$38,2,FALSE)-VLOOKUP(Table3[[#This Row],[Visitor]],$A$6:$B$38,2,FALSE)</f>
        <v>-0.3049985281004175</v>
      </c>
      <c r="J409">
        <f>(Table3[[#This Row],[HomeMargin]]-Table3[[#This Row],[HomeForecast]])^2</f>
        <v>5.3130182145450915</v>
      </c>
    </row>
    <row r="410" spans="4:10" x14ac:dyDescent="0.2">
      <c r="D410" t="s">
        <v>36</v>
      </c>
      <c r="E410">
        <f>'NHL2025-26Results'!C405</f>
        <v>1</v>
      </c>
      <c r="F410" t="s">
        <v>39</v>
      </c>
      <c r="G410">
        <f>'NHL2025-26Results'!E405</f>
        <v>6</v>
      </c>
      <c r="H410">
        <f>Table3[[#This Row],[G_1]]-Table3[[#This Row],[G]]</f>
        <v>5</v>
      </c>
      <c r="I410">
        <f>HomeEdge+VLOOKUP(Table3[[#This Row],[Home]],$A$6:$B$38,2,FALSE)-VLOOKUP(Table3[[#This Row],[Visitor]],$A$6:$B$38,2,FALSE)</f>
        <v>0.99471930164312083</v>
      </c>
      <c r="J410">
        <f>(Table3[[#This Row],[HomeMargin]]-Table3[[#This Row],[HomeForecast]])^2</f>
        <v>16.042273472630168</v>
      </c>
    </row>
    <row r="411" spans="4:10" x14ac:dyDescent="0.2">
      <c r="D411" t="s">
        <v>22</v>
      </c>
      <c r="E411">
        <f>'NHL2025-26Results'!C406</f>
        <v>4</v>
      </c>
      <c r="F411" t="s">
        <v>30</v>
      </c>
      <c r="G411">
        <f>'NHL2025-26Results'!E406</f>
        <v>1</v>
      </c>
      <c r="H411">
        <f>Table3[[#This Row],[G_1]]-Table3[[#This Row],[G]]</f>
        <v>-3</v>
      </c>
      <c r="I411">
        <f>HomeEdge+VLOOKUP(Table3[[#This Row],[Home]],$A$6:$B$38,2,FALSE)-VLOOKUP(Table3[[#This Row],[Visitor]],$A$6:$B$38,2,FALSE)</f>
        <v>-0.63173848137192712</v>
      </c>
      <c r="J411">
        <f>(Table3[[#This Row],[HomeMargin]]-Table3[[#This Row],[HomeForecast]])^2</f>
        <v>5.6086626206145462</v>
      </c>
    </row>
    <row r="412" spans="4:10" x14ac:dyDescent="0.2">
      <c r="D412" t="s">
        <v>40</v>
      </c>
      <c r="E412">
        <f>'NHL2025-26Results'!C407</f>
        <v>1</v>
      </c>
      <c r="F412" t="s">
        <v>23</v>
      </c>
      <c r="G412">
        <f>'NHL2025-26Results'!E407</f>
        <v>5</v>
      </c>
      <c r="H412">
        <f>Table3[[#This Row],[G_1]]-Table3[[#This Row],[G]]</f>
        <v>4</v>
      </c>
      <c r="I412">
        <f>HomeEdge+VLOOKUP(Table3[[#This Row],[Home]],$A$6:$B$38,2,FALSE)-VLOOKUP(Table3[[#This Row],[Visitor]],$A$6:$B$38,2,FALSE)</f>
        <v>-0.11296786303463563</v>
      </c>
      <c r="J412">
        <f>(Table3[[#This Row],[HomeMargin]]-Table3[[#This Row],[HomeForecast]])^2</f>
        <v>16.916504642355701</v>
      </c>
    </row>
    <row r="413" spans="4:10" x14ac:dyDescent="0.2">
      <c r="D413" t="s">
        <v>28</v>
      </c>
      <c r="E413">
        <f>'NHL2025-26Results'!C408</f>
        <v>5</v>
      </c>
      <c r="F413" t="s">
        <v>24</v>
      </c>
      <c r="G413">
        <f>'NHL2025-26Results'!E408</f>
        <v>3</v>
      </c>
      <c r="H413">
        <f>Table3[[#This Row],[G_1]]-Table3[[#This Row],[G]]</f>
        <v>-2</v>
      </c>
      <c r="I413">
        <f>HomeEdge+VLOOKUP(Table3[[#This Row],[Home]],$A$6:$B$38,2,FALSE)-VLOOKUP(Table3[[#This Row],[Visitor]],$A$6:$B$38,2,FALSE)</f>
        <v>0.64642040403830703</v>
      </c>
      <c r="J413">
        <f>(Table3[[#This Row],[HomeMargin]]-Table3[[#This Row],[HomeForecast]])^2</f>
        <v>7.0035409549102754</v>
      </c>
    </row>
    <row r="414" spans="4:10" x14ac:dyDescent="0.2">
      <c r="D414" t="s">
        <v>14</v>
      </c>
      <c r="E414">
        <f>'NHL2025-26Results'!C409</f>
        <v>5</v>
      </c>
      <c r="F414" t="s">
        <v>27</v>
      </c>
      <c r="G414">
        <f>'NHL2025-26Results'!E409</f>
        <v>1</v>
      </c>
      <c r="H414">
        <f>Table3[[#This Row],[G_1]]-Table3[[#This Row],[G]]</f>
        <v>-4</v>
      </c>
      <c r="I414">
        <f>HomeEdge+VLOOKUP(Table3[[#This Row],[Home]],$A$6:$B$38,2,FALSE)-VLOOKUP(Table3[[#This Row],[Visitor]],$A$6:$B$38,2,FALSE)</f>
        <v>-0.18807461301766351</v>
      </c>
      <c r="J414">
        <f>(Table3[[#This Row],[HomeMargin]]-Table3[[#This Row],[HomeForecast]])^2</f>
        <v>14.530775155920436</v>
      </c>
    </row>
    <row r="415" spans="4:10" x14ac:dyDescent="0.2">
      <c r="D415" t="s">
        <v>55</v>
      </c>
      <c r="E415">
        <f>'NHL2025-26Results'!C410</f>
        <v>3</v>
      </c>
      <c r="F415" t="s">
        <v>33</v>
      </c>
      <c r="G415">
        <f>'NHL2025-26Results'!E410</f>
        <v>6</v>
      </c>
      <c r="H415">
        <f>Table3[[#This Row],[G_1]]-Table3[[#This Row],[G]]</f>
        <v>3</v>
      </c>
      <c r="I415">
        <f>HomeEdge+VLOOKUP(Table3[[#This Row],[Home]],$A$6:$B$38,2,FALSE)-VLOOKUP(Table3[[#This Row],[Visitor]],$A$6:$B$38,2,FALSE)</f>
        <v>1.6930455621015916E-3</v>
      </c>
      <c r="J415">
        <f>(Table3[[#This Row],[HomeMargin]]-Table3[[#This Row],[HomeForecast]])^2</f>
        <v>8.9898445930306661</v>
      </c>
    </row>
    <row r="416" spans="4:10" x14ac:dyDescent="0.2">
      <c r="D416" t="s">
        <v>31</v>
      </c>
      <c r="E416">
        <f>'NHL2025-26Results'!C411</f>
        <v>4</v>
      </c>
      <c r="F416" t="s">
        <v>35</v>
      </c>
      <c r="G416">
        <f>'NHL2025-26Results'!E411</f>
        <v>1</v>
      </c>
      <c r="H416">
        <f>Table3[[#This Row],[G_1]]-Table3[[#This Row],[G]]</f>
        <v>-3</v>
      </c>
      <c r="I416">
        <f>HomeEdge+VLOOKUP(Table3[[#This Row],[Home]],$A$6:$B$38,2,FALSE)-VLOOKUP(Table3[[#This Row],[Visitor]],$A$6:$B$38,2,FALSE)</f>
        <v>-1.5232806448638263</v>
      </c>
      <c r="J416">
        <f>(Table3[[#This Row],[HomeMargin]]-Table3[[#This Row],[HomeForecast]])^2</f>
        <v>2.1807000538337968</v>
      </c>
    </row>
    <row r="417" spans="4:6" x14ac:dyDescent="0.2">
      <c r="D417" t="s">
        <v>38</v>
      </c>
      <c r="F417" t="s">
        <v>12</v>
      </c>
    </row>
    <row r="418" spans="4:6" x14ac:dyDescent="0.2">
      <c r="D418" t="s">
        <v>21</v>
      </c>
      <c r="F418" t="s">
        <v>26</v>
      </c>
    </row>
    <row r="419" spans="4:6" x14ac:dyDescent="0.2">
      <c r="D419" t="s">
        <v>34</v>
      </c>
      <c r="F419" t="s">
        <v>17</v>
      </c>
    </row>
    <row r="420" spans="4:6" x14ac:dyDescent="0.2">
      <c r="D420" t="s">
        <v>19</v>
      </c>
      <c r="F420" t="s">
        <v>11</v>
      </c>
    </row>
    <row r="421" spans="4:6" x14ac:dyDescent="0.2">
      <c r="D421" t="s">
        <v>22</v>
      </c>
      <c r="F421" t="s">
        <v>13</v>
      </c>
    </row>
    <row r="422" spans="4:6" x14ac:dyDescent="0.2">
      <c r="D422" t="s">
        <v>36</v>
      </c>
      <c r="F422" t="s">
        <v>18</v>
      </c>
    </row>
    <row r="423" spans="4:6" x14ac:dyDescent="0.2">
      <c r="D423" t="s">
        <v>16</v>
      </c>
      <c r="F423" t="s">
        <v>29</v>
      </c>
    </row>
    <row r="424" spans="4:6" x14ac:dyDescent="0.2">
      <c r="D424" t="s">
        <v>37</v>
      </c>
      <c r="F424" t="s">
        <v>30</v>
      </c>
    </row>
    <row r="425" spans="4:6" x14ac:dyDescent="0.2">
      <c r="D425" t="s">
        <v>39</v>
      </c>
      <c r="F425" t="s">
        <v>15</v>
      </c>
    </row>
    <row r="426" spans="4:6" x14ac:dyDescent="0.2">
      <c r="D426" t="s">
        <v>10</v>
      </c>
      <c r="F426" t="s">
        <v>20</v>
      </c>
    </row>
    <row r="427" spans="4:6" x14ac:dyDescent="0.2">
      <c r="D427" t="s">
        <v>55</v>
      </c>
      <c r="F427" t="s">
        <v>31</v>
      </c>
    </row>
    <row r="428" spans="4:6" x14ac:dyDescent="0.2">
      <c r="D428" t="s">
        <v>40</v>
      </c>
      <c r="F428" t="s">
        <v>18</v>
      </c>
    </row>
    <row r="429" spans="4:6" x14ac:dyDescent="0.2">
      <c r="D429" t="s">
        <v>39</v>
      </c>
      <c r="F429" t="s">
        <v>24</v>
      </c>
    </row>
    <row r="430" spans="4:6" x14ac:dyDescent="0.2">
      <c r="D430" t="s">
        <v>23</v>
      </c>
      <c r="F430" t="s">
        <v>27</v>
      </c>
    </row>
    <row r="431" spans="4:6" x14ac:dyDescent="0.2">
      <c r="D431" t="s">
        <v>22</v>
      </c>
      <c r="F431" t="s">
        <v>33</v>
      </c>
    </row>
    <row r="432" spans="4:6" x14ac:dyDescent="0.2">
      <c r="D432" t="s">
        <v>35</v>
      </c>
      <c r="F432" t="s">
        <v>21</v>
      </c>
    </row>
    <row r="433" spans="4:6" x14ac:dyDescent="0.2">
      <c r="D433" t="s">
        <v>19</v>
      </c>
      <c r="F433" t="s">
        <v>25</v>
      </c>
    </row>
    <row r="434" spans="4:6" x14ac:dyDescent="0.2">
      <c r="D434" t="s">
        <v>26</v>
      </c>
      <c r="F434" t="s">
        <v>28</v>
      </c>
    </row>
    <row r="435" spans="4:6" x14ac:dyDescent="0.2">
      <c r="D435" t="s">
        <v>34</v>
      </c>
      <c r="F435" t="s">
        <v>16</v>
      </c>
    </row>
    <row r="436" spans="4:6" x14ac:dyDescent="0.2">
      <c r="D436" t="s">
        <v>32</v>
      </c>
      <c r="F436" t="s">
        <v>17</v>
      </c>
    </row>
    <row r="437" spans="4:6" x14ac:dyDescent="0.2">
      <c r="D437" t="s">
        <v>29</v>
      </c>
      <c r="F437" t="s">
        <v>11</v>
      </c>
    </row>
    <row r="438" spans="4:6" x14ac:dyDescent="0.2">
      <c r="D438" t="s">
        <v>10</v>
      </c>
      <c r="F438" t="s">
        <v>13</v>
      </c>
    </row>
    <row r="439" spans="4:6" x14ac:dyDescent="0.2">
      <c r="D439" t="s">
        <v>12</v>
      </c>
      <c r="F439" t="s">
        <v>30</v>
      </c>
    </row>
    <row r="440" spans="4:6" x14ac:dyDescent="0.2">
      <c r="D440" t="s">
        <v>15</v>
      </c>
      <c r="F440" t="s">
        <v>36</v>
      </c>
    </row>
    <row r="441" spans="4:6" x14ac:dyDescent="0.2">
      <c r="D441" t="s">
        <v>14</v>
      </c>
      <c r="F441" t="s">
        <v>37</v>
      </c>
    </row>
    <row r="442" spans="4:6" x14ac:dyDescent="0.2">
      <c r="D442" t="s">
        <v>22</v>
      </c>
      <c r="F442" t="s">
        <v>31</v>
      </c>
    </row>
    <row r="443" spans="4:6" x14ac:dyDescent="0.2">
      <c r="D443" t="s">
        <v>33</v>
      </c>
      <c r="F443" t="s">
        <v>39</v>
      </c>
    </row>
    <row r="444" spans="4:6" x14ac:dyDescent="0.2">
      <c r="D444" t="s">
        <v>20</v>
      </c>
      <c r="F444" t="s">
        <v>24</v>
      </c>
    </row>
    <row r="445" spans="4:6" x14ac:dyDescent="0.2">
      <c r="D445" t="s">
        <v>55</v>
      </c>
      <c r="F445" t="s">
        <v>38</v>
      </c>
    </row>
    <row r="446" spans="4:6" x14ac:dyDescent="0.2">
      <c r="D446" t="s">
        <v>23</v>
      </c>
      <c r="F446" t="s">
        <v>40</v>
      </c>
    </row>
    <row r="447" spans="4:6" x14ac:dyDescent="0.2">
      <c r="D447" t="s">
        <v>24</v>
      </c>
      <c r="F447" t="s">
        <v>21</v>
      </c>
    </row>
    <row r="448" spans="4:6" x14ac:dyDescent="0.2">
      <c r="D448" t="s">
        <v>29</v>
      </c>
      <c r="F448" t="s">
        <v>25</v>
      </c>
    </row>
    <row r="449" spans="4:6" x14ac:dyDescent="0.2">
      <c r="D449" t="s">
        <v>55</v>
      </c>
      <c r="F449" t="s">
        <v>16</v>
      </c>
    </row>
    <row r="450" spans="4:6" x14ac:dyDescent="0.2">
      <c r="D450" t="s">
        <v>40</v>
      </c>
      <c r="F450" t="s">
        <v>17</v>
      </c>
    </row>
    <row r="451" spans="4:6" x14ac:dyDescent="0.2">
      <c r="D451" t="s">
        <v>28</v>
      </c>
      <c r="F451" t="s">
        <v>11</v>
      </c>
    </row>
    <row r="452" spans="4:6" x14ac:dyDescent="0.2">
      <c r="D452" t="s">
        <v>10</v>
      </c>
      <c r="F452" t="s">
        <v>13</v>
      </c>
    </row>
    <row r="453" spans="4:6" x14ac:dyDescent="0.2">
      <c r="D453" t="s">
        <v>12</v>
      </c>
      <c r="F453" t="s">
        <v>15</v>
      </c>
    </row>
    <row r="454" spans="4:6" x14ac:dyDescent="0.2">
      <c r="D454" t="s">
        <v>35</v>
      </c>
      <c r="F454" t="s">
        <v>36</v>
      </c>
    </row>
    <row r="455" spans="4:6" x14ac:dyDescent="0.2">
      <c r="D455" t="s">
        <v>26</v>
      </c>
      <c r="F455" t="s">
        <v>32</v>
      </c>
    </row>
    <row r="456" spans="4:6" x14ac:dyDescent="0.2">
      <c r="D456" t="s">
        <v>30</v>
      </c>
      <c r="F456" t="s">
        <v>37</v>
      </c>
    </row>
    <row r="457" spans="4:6" x14ac:dyDescent="0.2">
      <c r="D457" t="s">
        <v>18</v>
      </c>
      <c r="F457" t="s">
        <v>19</v>
      </c>
    </row>
    <row r="458" spans="4:6" x14ac:dyDescent="0.2">
      <c r="D458" t="s">
        <v>34</v>
      </c>
      <c r="F458" t="s">
        <v>38</v>
      </c>
    </row>
    <row r="459" spans="4:6" x14ac:dyDescent="0.2">
      <c r="D459" t="s">
        <v>10</v>
      </c>
      <c r="F459" t="s">
        <v>31</v>
      </c>
    </row>
    <row r="460" spans="4:6" x14ac:dyDescent="0.2">
      <c r="D460" t="s">
        <v>33</v>
      </c>
      <c r="F460" t="s">
        <v>25</v>
      </c>
    </row>
    <row r="461" spans="4:6" x14ac:dyDescent="0.2">
      <c r="D461" t="s">
        <v>14</v>
      </c>
      <c r="F461" t="s">
        <v>39</v>
      </c>
    </row>
    <row r="462" spans="4:6" x14ac:dyDescent="0.2">
      <c r="D462" t="s">
        <v>30</v>
      </c>
      <c r="F462" t="s">
        <v>11</v>
      </c>
    </row>
    <row r="463" spans="4:6" x14ac:dyDescent="0.2">
      <c r="D463" t="s">
        <v>35</v>
      </c>
      <c r="F463" t="s">
        <v>18</v>
      </c>
    </row>
    <row r="464" spans="4:6" x14ac:dyDescent="0.2">
      <c r="D464" t="s">
        <v>20</v>
      </c>
      <c r="F464" t="s">
        <v>15</v>
      </c>
    </row>
    <row r="465" spans="4:6" x14ac:dyDescent="0.2">
      <c r="D465" t="s">
        <v>12</v>
      </c>
      <c r="F465" t="s">
        <v>27</v>
      </c>
    </row>
    <row r="466" spans="4:6" x14ac:dyDescent="0.2">
      <c r="D466" t="s">
        <v>28</v>
      </c>
      <c r="F466" t="s">
        <v>22</v>
      </c>
    </row>
    <row r="467" spans="4:6" x14ac:dyDescent="0.2">
      <c r="D467" t="s">
        <v>23</v>
      </c>
      <c r="F467" t="s">
        <v>16</v>
      </c>
    </row>
    <row r="468" spans="4:6" x14ac:dyDescent="0.2">
      <c r="D468" t="s">
        <v>34</v>
      </c>
      <c r="F468" t="s">
        <v>32</v>
      </c>
    </row>
    <row r="469" spans="4:6" x14ac:dyDescent="0.2">
      <c r="D469" t="s">
        <v>37</v>
      </c>
      <c r="F469" t="s">
        <v>19</v>
      </c>
    </row>
    <row r="470" spans="4:6" x14ac:dyDescent="0.2">
      <c r="D470" t="s">
        <v>13</v>
      </c>
      <c r="F470" t="s">
        <v>55</v>
      </c>
    </row>
    <row r="471" spans="4:6" x14ac:dyDescent="0.2">
      <c r="D471" t="s">
        <v>26</v>
      </c>
      <c r="F471" t="s">
        <v>38</v>
      </c>
    </row>
    <row r="472" spans="4:6" x14ac:dyDescent="0.2">
      <c r="D472" t="s">
        <v>28</v>
      </c>
      <c r="F472" t="s">
        <v>25</v>
      </c>
    </row>
    <row r="473" spans="4:6" x14ac:dyDescent="0.2">
      <c r="D473" t="s">
        <v>23</v>
      </c>
      <c r="F473" t="s">
        <v>17</v>
      </c>
    </row>
    <row r="474" spans="4:6" x14ac:dyDescent="0.2">
      <c r="D474" t="s">
        <v>37</v>
      </c>
      <c r="F474" t="s">
        <v>18</v>
      </c>
    </row>
    <row r="475" spans="4:6" x14ac:dyDescent="0.2">
      <c r="D475" t="s">
        <v>12</v>
      </c>
      <c r="F475" t="s">
        <v>29</v>
      </c>
    </row>
    <row r="476" spans="4:6" x14ac:dyDescent="0.2">
      <c r="D476" t="s">
        <v>20</v>
      </c>
      <c r="F476" t="s">
        <v>30</v>
      </c>
    </row>
    <row r="477" spans="4:6" x14ac:dyDescent="0.2">
      <c r="D477" t="s">
        <v>24</v>
      </c>
      <c r="F477" t="s">
        <v>36</v>
      </c>
    </row>
    <row r="478" spans="4:6" x14ac:dyDescent="0.2">
      <c r="D478" t="s">
        <v>33</v>
      </c>
      <c r="F478" t="s">
        <v>27</v>
      </c>
    </row>
    <row r="479" spans="4:6" x14ac:dyDescent="0.2">
      <c r="D479" t="s">
        <v>31</v>
      </c>
      <c r="F479" t="s">
        <v>14</v>
      </c>
    </row>
    <row r="480" spans="4:6" x14ac:dyDescent="0.2">
      <c r="D480" t="s">
        <v>21</v>
      </c>
      <c r="F480" t="s">
        <v>35</v>
      </c>
    </row>
    <row r="481" spans="4:6" x14ac:dyDescent="0.2">
      <c r="D481" t="s">
        <v>39</v>
      </c>
      <c r="F481" t="s">
        <v>40</v>
      </c>
    </row>
    <row r="482" spans="4:6" x14ac:dyDescent="0.2">
      <c r="D482" t="s">
        <v>26</v>
      </c>
      <c r="F482" t="s">
        <v>16</v>
      </c>
    </row>
    <row r="483" spans="4:6" x14ac:dyDescent="0.2">
      <c r="D483" t="s">
        <v>15</v>
      </c>
      <c r="F483" t="s">
        <v>10</v>
      </c>
    </row>
    <row r="484" spans="4:6" x14ac:dyDescent="0.2">
      <c r="D484" t="s">
        <v>13</v>
      </c>
      <c r="F484" t="s">
        <v>32</v>
      </c>
    </row>
    <row r="485" spans="4:6" x14ac:dyDescent="0.2">
      <c r="D485" t="s">
        <v>11</v>
      </c>
      <c r="F485" t="s">
        <v>55</v>
      </c>
    </row>
    <row r="486" spans="4:6" x14ac:dyDescent="0.2">
      <c r="D486" t="s">
        <v>36</v>
      </c>
      <c r="F486" t="s">
        <v>28</v>
      </c>
    </row>
    <row r="487" spans="4:6" x14ac:dyDescent="0.2">
      <c r="D487" t="s">
        <v>11</v>
      </c>
      <c r="F487" t="s">
        <v>12</v>
      </c>
    </row>
    <row r="488" spans="4:6" x14ac:dyDescent="0.2">
      <c r="D488" t="s">
        <v>26</v>
      </c>
      <c r="F488" t="s">
        <v>17</v>
      </c>
    </row>
    <row r="489" spans="4:6" x14ac:dyDescent="0.2">
      <c r="D489" t="s">
        <v>39</v>
      </c>
      <c r="F489" t="s">
        <v>34</v>
      </c>
    </row>
    <row r="490" spans="4:6" x14ac:dyDescent="0.2">
      <c r="D490" t="s">
        <v>37</v>
      </c>
      <c r="F490" t="s">
        <v>24</v>
      </c>
    </row>
    <row r="491" spans="4:6" x14ac:dyDescent="0.2">
      <c r="D491" t="s">
        <v>35</v>
      </c>
      <c r="F491" t="s">
        <v>29</v>
      </c>
    </row>
    <row r="492" spans="4:6" x14ac:dyDescent="0.2">
      <c r="D492" t="s">
        <v>31</v>
      </c>
      <c r="F492" t="s">
        <v>30</v>
      </c>
    </row>
    <row r="493" spans="4:6" x14ac:dyDescent="0.2">
      <c r="D493" t="s">
        <v>20</v>
      </c>
      <c r="F493" t="s">
        <v>27</v>
      </c>
    </row>
    <row r="494" spans="4:6" x14ac:dyDescent="0.2">
      <c r="D494" t="s">
        <v>18</v>
      </c>
      <c r="F494" t="s">
        <v>14</v>
      </c>
    </row>
    <row r="495" spans="4:6" x14ac:dyDescent="0.2">
      <c r="D495" t="s">
        <v>33</v>
      </c>
      <c r="F495" t="s">
        <v>19</v>
      </c>
    </row>
    <row r="496" spans="4:6" x14ac:dyDescent="0.2">
      <c r="D496" t="s">
        <v>23</v>
      </c>
      <c r="F496" t="s">
        <v>38</v>
      </c>
    </row>
    <row r="497" spans="4:6" x14ac:dyDescent="0.2">
      <c r="D497" t="s">
        <v>21</v>
      </c>
      <c r="F497" t="s">
        <v>40</v>
      </c>
    </row>
    <row r="498" spans="4:6" x14ac:dyDescent="0.2">
      <c r="D498" t="s">
        <v>25</v>
      </c>
      <c r="F498" t="s">
        <v>22</v>
      </c>
    </row>
    <row r="499" spans="4:6" x14ac:dyDescent="0.2">
      <c r="D499" t="s">
        <v>10</v>
      </c>
      <c r="F499" t="s">
        <v>35</v>
      </c>
    </row>
    <row r="500" spans="4:6" x14ac:dyDescent="0.2">
      <c r="D500" t="s">
        <v>32</v>
      </c>
      <c r="F500" t="s">
        <v>55</v>
      </c>
    </row>
    <row r="501" spans="4:6" x14ac:dyDescent="0.2">
      <c r="D501" t="s">
        <v>20</v>
      </c>
      <c r="F501" t="s">
        <v>28</v>
      </c>
    </row>
    <row r="502" spans="4:6" x14ac:dyDescent="0.2">
      <c r="D502" t="s">
        <v>26</v>
      </c>
      <c r="F502" t="s">
        <v>10</v>
      </c>
    </row>
    <row r="503" spans="4:6" x14ac:dyDescent="0.2">
      <c r="D503" t="s">
        <v>29</v>
      </c>
      <c r="F503" t="s">
        <v>12</v>
      </c>
    </row>
    <row r="504" spans="4:6" x14ac:dyDescent="0.2">
      <c r="D504" t="s">
        <v>11</v>
      </c>
      <c r="F504" t="s">
        <v>39</v>
      </c>
    </row>
    <row r="505" spans="4:6" x14ac:dyDescent="0.2">
      <c r="D505" t="s">
        <v>16</v>
      </c>
      <c r="F505" t="s">
        <v>13</v>
      </c>
    </row>
    <row r="506" spans="4:6" x14ac:dyDescent="0.2">
      <c r="D506" t="s">
        <v>36</v>
      </c>
      <c r="F506" t="s">
        <v>34</v>
      </c>
    </row>
    <row r="507" spans="4:6" x14ac:dyDescent="0.2">
      <c r="D507" t="s">
        <v>31</v>
      </c>
      <c r="F507" t="s">
        <v>24</v>
      </c>
    </row>
    <row r="508" spans="4:6" x14ac:dyDescent="0.2">
      <c r="D508" t="s">
        <v>37</v>
      </c>
      <c r="F508" t="s">
        <v>30</v>
      </c>
    </row>
    <row r="509" spans="4:6" x14ac:dyDescent="0.2">
      <c r="D509" t="s">
        <v>18</v>
      </c>
      <c r="F509" t="s">
        <v>15</v>
      </c>
    </row>
    <row r="510" spans="4:6" x14ac:dyDescent="0.2">
      <c r="D510" t="s">
        <v>25</v>
      </c>
      <c r="F510" t="s">
        <v>27</v>
      </c>
    </row>
    <row r="511" spans="4:6" x14ac:dyDescent="0.2">
      <c r="D511" t="s">
        <v>33</v>
      </c>
      <c r="F511" t="s">
        <v>14</v>
      </c>
    </row>
    <row r="512" spans="4:6" x14ac:dyDescent="0.2">
      <c r="D512" t="s">
        <v>17</v>
      </c>
      <c r="F512" t="s">
        <v>19</v>
      </c>
    </row>
    <row r="513" spans="4:6" x14ac:dyDescent="0.2">
      <c r="D513" t="s">
        <v>22</v>
      </c>
      <c r="F513" t="s">
        <v>40</v>
      </c>
    </row>
    <row r="514" spans="4:6" x14ac:dyDescent="0.2">
      <c r="D514" t="s">
        <v>27</v>
      </c>
      <c r="F514" t="s">
        <v>25</v>
      </c>
    </row>
    <row r="515" spans="4:6" x14ac:dyDescent="0.2">
      <c r="D515" t="s">
        <v>21</v>
      </c>
      <c r="F515" t="s">
        <v>34</v>
      </c>
    </row>
    <row r="516" spans="4:6" x14ac:dyDescent="0.2">
      <c r="D516" t="s">
        <v>17</v>
      </c>
      <c r="F516" t="s">
        <v>18</v>
      </c>
    </row>
    <row r="517" spans="4:6" x14ac:dyDescent="0.2">
      <c r="D517" t="s">
        <v>38</v>
      </c>
      <c r="F517" t="s">
        <v>24</v>
      </c>
    </row>
    <row r="518" spans="4:6" x14ac:dyDescent="0.2">
      <c r="D518" t="s">
        <v>55</v>
      </c>
      <c r="F518" t="s">
        <v>14</v>
      </c>
    </row>
    <row r="519" spans="4:6" x14ac:dyDescent="0.2">
      <c r="D519" t="s">
        <v>23</v>
      </c>
      <c r="F519" t="s">
        <v>32</v>
      </c>
    </row>
    <row r="520" spans="4:6" x14ac:dyDescent="0.2">
      <c r="D520" t="s">
        <v>13</v>
      </c>
      <c r="F520" t="s">
        <v>39</v>
      </c>
    </row>
    <row r="521" spans="4:6" x14ac:dyDescent="0.2">
      <c r="D521" t="s">
        <v>31</v>
      </c>
      <c r="F521" t="s">
        <v>15</v>
      </c>
    </row>
    <row r="522" spans="4:6" x14ac:dyDescent="0.2">
      <c r="D522" t="s">
        <v>29</v>
      </c>
      <c r="F522" t="s">
        <v>35</v>
      </c>
    </row>
    <row r="523" spans="4:6" x14ac:dyDescent="0.2">
      <c r="D523" t="s">
        <v>11</v>
      </c>
      <c r="F523" t="s">
        <v>37</v>
      </c>
    </row>
    <row r="524" spans="4:6" x14ac:dyDescent="0.2">
      <c r="D524" t="s">
        <v>36</v>
      </c>
      <c r="F524" t="s">
        <v>40</v>
      </c>
    </row>
    <row r="525" spans="4:6" x14ac:dyDescent="0.2">
      <c r="D525" t="s">
        <v>55</v>
      </c>
      <c r="F525" t="s">
        <v>21</v>
      </c>
    </row>
    <row r="526" spans="4:6" x14ac:dyDescent="0.2">
      <c r="D526" t="s">
        <v>31</v>
      </c>
      <c r="F526" t="s">
        <v>28</v>
      </c>
    </row>
    <row r="527" spans="4:6" x14ac:dyDescent="0.2">
      <c r="D527" t="s">
        <v>30</v>
      </c>
      <c r="F527" t="s">
        <v>26</v>
      </c>
    </row>
    <row r="528" spans="4:6" x14ac:dyDescent="0.2">
      <c r="D528" t="s">
        <v>22</v>
      </c>
      <c r="F528" t="s">
        <v>34</v>
      </c>
    </row>
    <row r="529" spans="4:6" x14ac:dyDescent="0.2">
      <c r="D529" t="s">
        <v>27</v>
      </c>
      <c r="F529" t="s">
        <v>18</v>
      </c>
    </row>
    <row r="530" spans="4:6" x14ac:dyDescent="0.2">
      <c r="D530" t="s">
        <v>38</v>
      </c>
      <c r="F530" t="s">
        <v>15</v>
      </c>
    </row>
    <row r="531" spans="4:6" x14ac:dyDescent="0.2">
      <c r="D531" t="s">
        <v>17</v>
      </c>
      <c r="F531" t="s">
        <v>14</v>
      </c>
    </row>
    <row r="532" spans="4:6" x14ac:dyDescent="0.2">
      <c r="D532" t="s">
        <v>12</v>
      </c>
      <c r="F532" t="s">
        <v>32</v>
      </c>
    </row>
    <row r="533" spans="4:6" x14ac:dyDescent="0.2">
      <c r="D533" t="s">
        <v>16</v>
      </c>
      <c r="F533" t="s">
        <v>33</v>
      </c>
    </row>
    <row r="534" spans="4:6" x14ac:dyDescent="0.2">
      <c r="D534" t="s">
        <v>10</v>
      </c>
      <c r="F534" t="s">
        <v>19</v>
      </c>
    </row>
    <row r="535" spans="4:6" x14ac:dyDescent="0.2">
      <c r="D535" t="s">
        <v>55</v>
      </c>
      <c r="F535" t="s">
        <v>26</v>
      </c>
    </row>
    <row r="536" spans="4:6" x14ac:dyDescent="0.2">
      <c r="D536" t="s">
        <v>13</v>
      </c>
      <c r="F536" t="s">
        <v>11</v>
      </c>
    </row>
    <row r="537" spans="4:6" x14ac:dyDescent="0.2">
      <c r="D537" t="s">
        <v>25</v>
      </c>
      <c r="F537" t="s">
        <v>29</v>
      </c>
    </row>
    <row r="538" spans="4:6" x14ac:dyDescent="0.2">
      <c r="D538" t="s">
        <v>40</v>
      </c>
      <c r="F538" t="s">
        <v>35</v>
      </c>
    </row>
    <row r="539" spans="4:6" x14ac:dyDescent="0.2">
      <c r="D539" t="s">
        <v>24</v>
      </c>
      <c r="F539" t="s">
        <v>20</v>
      </c>
    </row>
    <row r="540" spans="4:6" x14ac:dyDescent="0.2">
      <c r="D540" t="s">
        <v>17</v>
      </c>
      <c r="F540" t="s">
        <v>21</v>
      </c>
    </row>
    <row r="541" spans="4:6" x14ac:dyDescent="0.2">
      <c r="D541" t="s">
        <v>27</v>
      </c>
      <c r="F541" t="s">
        <v>23</v>
      </c>
    </row>
    <row r="542" spans="4:6" x14ac:dyDescent="0.2">
      <c r="D542" t="s">
        <v>34</v>
      </c>
      <c r="F542" t="s">
        <v>28</v>
      </c>
    </row>
    <row r="543" spans="4:6" x14ac:dyDescent="0.2">
      <c r="D543" t="s">
        <v>32</v>
      </c>
      <c r="F543" t="s">
        <v>16</v>
      </c>
    </row>
    <row r="544" spans="4:6" x14ac:dyDescent="0.2">
      <c r="D544" t="s">
        <v>10</v>
      </c>
      <c r="F544" t="s">
        <v>18</v>
      </c>
    </row>
    <row r="545" spans="4:6" x14ac:dyDescent="0.2">
      <c r="D545" t="s">
        <v>14</v>
      </c>
      <c r="F545" t="s">
        <v>36</v>
      </c>
    </row>
    <row r="546" spans="4:6" x14ac:dyDescent="0.2">
      <c r="D546" t="s">
        <v>39</v>
      </c>
      <c r="F546" t="s">
        <v>33</v>
      </c>
    </row>
    <row r="547" spans="4:6" x14ac:dyDescent="0.2">
      <c r="D547" t="s">
        <v>15</v>
      </c>
      <c r="F547" t="s">
        <v>35</v>
      </c>
    </row>
    <row r="548" spans="4:6" x14ac:dyDescent="0.2">
      <c r="D548" t="s">
        <v>13</v>
      </c>
      <c r="F548" t="s">
        <v>37</v>
      </c>
    </row>
    <row r="549" spans="4:6" x14ac:dyDescent="0.2">
      <c r="D549" t="s">
        <v>19</v>
      </c>
      <c r="F549" t="s">
        <v>22</v>
      </c>
    </row>
    <row r="550" spans="4:6" x14ac:dyDescent="0.2">
      <c r="D550" t="s">
        <v>39</v>
      </c>
      <c r="F550" t="s">
        <v>31</v>
      </c>
    </row>
    <row r="551" spans="4:6" x14ac:dyDescent="0.2">
      <c r="D551" t="s">
        <v>40</v>
      </c>
      <c r="F551" t="s">
        <v>12</v>
      </c>
    </row>
    <row r="552" spans="4:6" x14ac:dyDescent="0.2">
      <c r="D552" t="s">
        <v>25</v>
      </c>
      <c r="F552" t="s">
        <v>11</v>
      </c>
    </row>
    <row r="553" spans="4:6" x14ac:dyDescent="0.2">
      <c r="D553" t="s">
        <v>38</v>
      </c>
      <c r="F553" t="s">
        <v>30</v>
      </c>
    </row>
    <row r="554" spans="4:6" x14ac:dyDescent="0.2">
      <c r="D554" t="s">
        <v>24</v>
      </c>
      <c r="F554" t="s">
        <v>55</v>
      </c>
    </row>
    <row r="555" spans="4:6" x14ac:dyDescent="0.2">
      <c r="D555" t="s">
        <v>28</v>
      </c>
      <c r="F555" t="s">
        <v>31</v>
      </c>
    </row>
    <row r="556" spans="4:6" x14ac:dyDescent="0.2">
      <c r="D556" t="s">
        <v>38</v>
      </c>
      <c r="F556" t="s">
        <v>21</v>
      </c>
    </row>
    <row r="557" spans="4:6" x14ac:dyDescent="0.2">
      <c r="D557" t="s">
        <v>30</v>
      </c>
      <c r="F557" t="s">
        <v>23</v>
      </c>
    </row>
    <row r="558" spans="4:6" x14ac:dyDescent="0.2">
      <c r="D558" t="s">
        <v>20</v>
      </c>
      <c r="F558" t="s">
        <v>16</v>
      </c>
    </row>
    <row r="559" spans="4:6" x14ac:dyDescent="0.2">
      <c r="D559" t="s">
        <v>35</v>
      </c>
      <c r="F559" t="s">
        <v>11</v>
      </c>
    </row>
    <row r="560" spans="4:6" x14ac:dyDescent="0.2">
      <c r="D560" t="s">
        <v>17</v>
      </c>
      <c r="F560" t="s">
        <v>34</v>
      </c>
    </row>
    <row r="561" spans="4:6" x14ac:dyDescent="0.2">
      <c r="D561" t="s">
        <v>14</v>
      </c>
      <c r="F561" t="s">
        <v>18</v>
      </c>
    </row>
    <row r="562" spans="4:6" x14ac:dyDescent="0.2">
      <c r="D562" t="s">
        <v>19</v>
      </c>
      <c r="F562" t="s">
        <v>29</v>
      </c>
    </row>
    <row r="563" spans="4:6" x14ac:dyDescent="0.2">
      <c r="D563" t="s">
        <v>27</v>
      </c>
      <c r="F563" t="s">
        <v>15</v>
      </c>
    </row>
    <row r="564" spans="4:6" x14ac:dyDescent="0.2">
      <c r="D564" t="s">
        <v>10</v>
      </c>
      <c r="F564" t="s">
        <v>36</v>
      </c>
    </row>
    <row r="565" spans="4:6" x14ac:dyDescent="0.2">
      <c r="D565" t="s">
        <v>32</v>
      </c>
      <c r="F565" t="s">
        <v>33</v>
      </c>
    </row>
    <row r="566" spans="4:6" x14ac:dyDescent="0.2">
      <c r="D566" t="s">
        <v>25</v>
      </c>
      <c r="F566" t="s">
        <v>37</v>
      </c>
    </row>
    <row r="567" spans="4:6" x14ac:dyDescent="0.2">
      <c r="D567" t="s">
        <v>26</v>
      </c>
      <c r="F567" t="s">
        <v>22</v>
      </c>
    </row>
    <row r="568" spans="4:6" x14ac:dyDescent="0.2">
      <c r="D568" t="s">
        <v>36</v>
      </c>
      <c r="F568" t="s">
        <v>21</v>
      </c>
    </row>
    <row r="569" spans="4:6" x14ac:dyDescent="0.2">
      <c r="D569" t="s">
        <v>19</v>
      </c>
      <c r="F569" t="s">
        <v>39</v>
      </c>
    </row>
    <row r="570" spans="4:6" x14ac:dyDescent="0.2">
      <c r="D570" t="s">
        <v>22</v>
      </c>
      <c r="F570" t="s">
        <v>26</v>
      </c>
    </row>
    <row r="571" spans="4:6" x14ac:dyDescent="0.2">
      <c r="D571" t="s">
        <v>20</v>
      </c>
      <c r="F571" t="s">
        <v>17</v>
      </c>
    </row>
    <row r="572" spans="4:6" x14ac:dyDescent="0.2">
      <c r="D572" t="s">
        <v>12</v>
      </c>
      <c r="F572" t="s">
        <v>34</v>
      </c>
    </row>
    <row r="573" spans="4:6" x14ac:dyDescent="0.2">
      <c r="D573" t="s">
        <v>23</v>
      </c>
      <c r="F573" t="s">
        <v>24</v>
      </c>
    </row>
    <row r="574" spans="4:6" x14ac:dyDescent="0.2">
      <c r="D574" t="s">
        <v>15</v>
      </c>
      <c r="F574" t="s">
        <v>29</v>
      </c>
    </row>
    <row r="575" spans="4:6" x14ac:dyDescent="0.2">
      <c r="D575" t="s">
        <v>18</v>
      </c>
      <c r="F575" t="s">
        <v>14</v>
      </c>
    </row>
    <row r="576" spans="4:6" x14ac:dyDescent="0.2">
      <c r="D576" t="s">
        <v>40</v>
      </c>
      <c r="F576" t="s">
        <v>55</v>
      </c>
    </row>
    <row r="577" spans="4:6" x14ac:dyDescent="0.2">
      <c r="D577" t="s">
        <v>32</v>
      </c>
      <c r="F577" t="s">
        <v>31</v>
      </c>
    </row>
    <row r="578" spans="4:6" x14ac:dyDescent="0.2">
      <c r="D578" t="s">
        <v>28</v>
      </c>
      <c r="F578" t="s">
        <v>13</v>
      </c>
    </row>
    <row r="579" spans="4:6" x14ac:dyDescent="0.2">
      <c r="D579" t="s">
        <v>38</v>
      </c>
      <c r="F579" t="s">
        <v>27</v>
      </c>
    </row>
    <row r="580" spans="4:6" x14ac:dyDescent="0.2">
      <c r="D580" t="s">
        <v>35</v>
      </c>
      <c r="F580" t="s">
        <v>37</v>
      </c>
    </row>
    <row r="581" spans="4:6" x14ac:dyDescent="0.2">
      <c r="D581" t="s">
        <v>18</v>
      </c>
      <c r="F581" t="s">
        <v>21</v>
      </c>
    </row>
    <row r="582" spans="4:6" x14ac:dyDescent="0.2">
      <c r="D582" t="s">
        <v>11</v>
      </c>
      <c r="F582" t="s">
        <v>25</v>
      </c>
    </row>
    <row r="583" spans="4:6" x14ac:dyDescent="0.2">
      <c r="D583" t="s">
        <v>27</v>
      </c>
      <c r="F583" t="s">
        <v>10</v>
      </c>
    </row>
    <row r="584" spans="4:6" x14ac:dyDescent="0.2">
      <c r="D584" t="s">
        <v>55</v>
      </c>
      <c r="F584" t="s">
        <v>12</v>
      </c>
    </row>
    <row r="585" spans="4:6" x14ac:dyDescent="0.2">
      <c r="D585" t="s">
        <v>39</v>
      </c>
      <c r="F585" t="s">
        <v>26</v>
      </c>
    </row>
    <row r="586" spans="4:6" x14ac:dyDescent="0.2">
      <c r="D586" t="s">
        <v>16</v>
      </c>
      <c r="F586" t="s">
        <v>17</v>
      </c>
    </row>
    <row r="587" spans="4:6" x14ac:dyDescent="0.2">
      <c r="D587" t="s">
        <v>32</v>
      </c>
      <c r="F587" t="s">
        <v>13</v>
      </c>
    </row>
    <row r="588" spans="4:6" x14ac:dyDescent="0.2">
      <c r="D588" t="s">
        <v>29</v>
      </c>
      <c r="F588" t="s">
        <v>34</v>
      </c>
    </row>
    <row r="589" spans="4:6" x14ac:dyDescent="0.2">
      <c r="D589" t="s">
        <v>24</v>
      </c>
      <c r="F589" t="s">
        <v>30</v>
      </c>
    </row>
    <row r="590" spans="4:6" x14ac:dyDescent="0.2">
      <c r="D590" t="s">
        <v>23</v>
      </c>
      <c r="F590" t="s">
        <v>36</v>
      </c>
    </row>
    <row r="591" spans="4:6" x14ac:dyDescent="0.2">
      <c r="D591" t="s">
        <v>14</v>
      </c>
      <c r="F591" t="s">
        <v>19</v>
      </c>
    </row>
    <row r="592" spans="4:6" x14ac:dyDescent="0.2">
      <c r="D592" t="s">
        <v>33</v>
      </c>
      <c r="F592" t="s">
        <v>20</v>
      </c>
    </row>
    <row r="593" spans="4:6" x14ac:dyDescent="0.2">
      <c r="D593" t="s">
        <v>15</v>
      </c>
      <c r="F593" t="s">
        <v>22</v>
      </c>
    </row>
    <row r="594" spans="4:6" x14ac:dyDescent="0.2">
      <c r="D594" t="s">
        <v>21</v>
      </c>
      <c r="F594" t="s">
        <v>23</v>
      </c>
    </row>
    <row r="595" spans="4:6" x14ac:dyDescent="0.2">
      <c r="D595" t="s">
        <v>26</v>
      </c>
      <c r="F595" t="s">
        <v>25</v>
      </c>
    </row>
    <row r="596" spans="4:6" x14ac:dyDescent="0.2">
      <c r="D596" t="s">
        <v>17</v>
      </c>
      <c r="F596" t="s">
        <v>16</v>
      </c>
    </row>
    <row r="597" spans="4:6" x14ac:dyDescent="0.2">
      <c r="D597" t="s">
        <v>10</v>
      </c>
      <c r="F597" t="s">
        <v>39</v>
      </c>
    </row>
    <row r="598" spans="4:6" x14ac:dyDescent="0.2">
      <c r="D598" t="s">
        <v>37</v>
      </c>
      <c r="F598" t="s">
        <v>11</v>
      </c>
    </row>
    <row r="599" spans="4:6" x14ac:dyDescent="0.2">
      <c r="D599" t="s">
        <v>31</v>
      </c>
      <c r="F599" t="s">
        <v>13</v>
      </c>
    </row>
    <row r="600" spans="4:6" x14ac:dyDescent="0.2">
      <c r="D600" t="s">
        <v>22</v>
      </c>
      <c r="F600" t="s">
        <v>24</v>
      </c>
    </row>
    <row r="601" spans="4:6" x14ac:dyDescent="0.2">
      <c r="D601" t="s">
        <v>15</v>
      </c>
      <c r="F601" t="s">
        <v>30</v>
      </c>
    </row>
    <row r="602" spans="4:6" x14ac:dyDescent="0.2">
      <c r="D602" t="s">
        <v>29</v>
      </c>
      <c r="F602" t="s">
        <v>35</v>
      </c>
    </row>
    <row r="603" spans="4:6" x14ac:dyDescent="0.2">
      <c r="D603" t="s">
        <v>36</v>
      </c>
      <c r="F603" t="s">
        <v>19</v>
      </c>
    </row>
    <row r="604" spans="4:6" x14ac:dyDescent="0.2">
      <c r="D604" t="s">
        <v>33</v>
      </c>
      <c r="F604" t="s">
        <v>38</v>
      </c>
    </row>
    <row r="605" spans="4:6" x14ac:dyDescent="0.2">
      <c r="D605" t="s">
        <v>12</v>
      </c>
      <c r="F605" t="s">
        <v>20</v>
      </c>
    </row>
    <row r="606" spans="4:6" x14ac:dyDescent="0.2">
      <c r="D606" t="s">
        <v>34</v>
      </c>
      <c r="F606" t="s">
        <v>40</v>
      </c>
    </row>
    <row r="607" spans="4:6" x14ac:dyDescent="0.2">
      <c r="D607" t="s">
        <v>30</v>
      </c>
      <c r="F607" t="s">
        <v>28</v>
      </c>
    </row>
    <row r="608" spans="4:6" x14ac:dyDescent="0.2">
      <c r="D608" t="s">
        <v>14</v>
      </c>
      <c r="F608" t="s">
        <v>10</v>
      </c>
    </row>
    <row r="609" spans="4:6" x14ac:dyDescent="0.2">
      <c r="D609" t="s">
        <v>19</v>
      </c>
      <c r="F609" t="s">
        <v>26</v>
      </c>
    </row>
    <row r="610" spans="4:6" x14ac:dyDescent="0.2">
      <c r="D610" t="s">
        <v>27</v>
      </c>
      <c r="F610" t="s">
        <v>32</v>
      </c>
    </row>
    <row r="611" spans="4:6" x14ac:dyDescent="0.2">
      <c r="D611" t="s">
        <v>18</v>
      </c>
      <c r="F611" t="s">
        <v>37</v>
      </c>
    </row>
    <row r="612" spans="4:6" x14ac:dyDescent="0.2">
      <c r="D612" t="s">
        <v>33</v>
      </c>
      <c r="F612" t="s">
        <v>31</v>
      </c>
    </row>
    <row r="613" spans="4:6" x14ac:dyDescent="0.2">
      <c r="D613" t="s">
        <v>15</v>
      </c>
      <c r="F613" t="s">
        <v>25</v>
      </c>
    </row>
    <row r="614" spans="4:6" x14ac:dyDescent="0.2">
      <c r="D614" t="s">
        <v>21</v>
      </c>
      <c r="F614" t="s">
        <v>16</v>
      </c>
    </row>
    <row r="615" spans="4:6" x14ac:dyDescent="0.2">
      <c r="D615" t="s">
        <v>13</v>
      </c>
      <c r="F615" t="s">
        <v>12</v>
      </c>
    </row>
    <row r="616" spans="4:6" x14ac:dyDescent="0.2">
      <c r="D616" t="s">
        <v>22</v>
      </c>
      <c r="F616" t="s">
        <v>11</v>
      </c>
    </row>
    <row r="617" spans="4:6" x14ac:dyDescent="0.2">
      <c r="D617" t="s">
        <v>28</v>
      </c>
      <c r="F617" t="s">
        <v>36</v>
      </c>
    </row>
    <row r="618" spans="4:6" x14ac:dyDescent="0.2">
      <c r="D618" t="s">
        <v>38</v>
      </c>
      <c r="F618" t="s">
        <v>32</v>
      </c>
    </row>
    <row r="619" spans="4:6" x14ac:dyDescent="0.2">
      <c r="D619" t="s">
        <v>23</v>
      </c>
      <c r="F619" t="s">
        <v>35</v>
      </c>
    </row>
    <row r="620" spans="4:6" x14ac:dyDescent="0.2">
      <c r="D620" t="s">
        <v>29</v>
      </c>
      <c r="F620" t="s">
        <v>55</v>
      </c>
    </row>
    <row r="621" spans="4:6" x14ac:dyDescent="0.2">
      <c r="D621" t="s">
        <v>34</v>
      </c>
      <c r="F621" t="s">
        <v>20</v>
      </c>
    </row>
    <row r="622" spans="4:6" x14ac:dyDescent="0.2">
      <c r="D622" t="s">
        <v>17</v>
      </c>
      <c r="F622" t="s">
        <v>40</v>
      </c>
    </row>
    <row r="623" spans="4:6" x14ac:dyDescent="0.2">
      <c r="D623" t="s">
        <v>30</v>
      </c>
      <c r="F623" t="s">
        <v>10</v>
      </c>
    </row>
    <row r="624" spans="4:6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C1" zoomScale="85" zoomScaleNormal="70" workbookViewId="0">
      <pane ySplit="1" topLeftCell="A403" activePane="bottomLeft" state="frozen"/>
      <selection activeCell="I1" sqref="I1"/>
      <selection pane="bottomLeft" activeCell="O426" sqref="O426"/>
    </sheetView>
  </sheetViews>
  <sheetFormatPr baseColWidth="10" defaultColWidth="10.83203125" defaultRowHeight="16" x14ac:dyDescent="0.2"/>
  <cols>
    <col min="1" max="1" width="19.83203125" bestFit="1" customWidth="1"/>
    <col min="2" max="2" width="12.83203125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4.9900748923162465E-2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-0.39711829106410657</v>
      </c>
      <c r="H2" t="s">
        <v>10</v>
      </c>
      <c r="I2">
        <f>VLOOKUP(Table4[[#This Row],[Visitor]],'NHL Model'!$A$6:$B$38,2,FALSE)</f>
        <v>-0.17619625518431364</v>
      </c>
      <c r="J2">
        <f>($B$1+Table4[[#This Row],[Home Differential]])-Table4[[#This Row],[Away Differential]]</f>
        <v>-0.17102128695663044</v>
      </c>
      <c r="K2" t="str">
        <f>IF(Table4[[#This Row],[HomeIce Differential]]&gt;0,Table4[[#This Row],[Home]],Table4[[#This Row],[Visitor]])</f>
        <v>Chicago Blackhawks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0.46595263884762023</v>
      </c>
      <c r="M2" t="str">
        <f>IF(OR((NHL2025_26Results[[#This Row],[Winning Team]]="")),"-",IF(Table4[[#This Row],[Predicted Winner]]=NHL2025_26Results[[#This Row],[Winning Team]],"YES","NO"))</f>
        <v>NO</v>
      </c>
      <c r="N2">
        <f>IF(Table4[[#This Row],[Adjusted Correct]]="-", "",IF(Table4[[#This Row],[Adjusted Correct]]="YES",(Table4[[#This Row],[Strength of Win]]-1)^2,(Table4[[#This Row],[Strength of Win]]-0)^2))</f>
        <v>0.21711186164906079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-0.33828359867721369</v>
      </c>
      <c r="H3" t="s">
        <v>12</v>
      </c>
      <c r="I3">
        <f>VLOOKUP(Table4[[#This Row],[Visitor]],'NHL Model'!$A$6:$B$38,2,FALSE)</f>
        <v>1.6319036584269762</v>
      </c>
      <c r="J3">
        <f>($B$1+Table4[[#This Row],[Home Differential]])-Table4[[#This Row],[Away Differential]]</f>
        <v>-1.9202865081810274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0.7568449603440992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5.9124373310062692E-2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241</v>
      </c>
      <c r="V3">
        <f>COUNTIF(Table4[Locked Correct],"YES")</f>
        <v>245</v>
      </c>
    </row>
    <row r="4" spans="1:22" x14ac:dyDescent="0.2">
      <c r="A4" s="4" t="s">
        <v>31</v>
      </c>
      <c r="B4">
        <v>0.51775546328552802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-0.29003398448394263</v>
      </c>
      <c r="H4" t="s">
        <v>14</v>
      </c>
      <c r="I4">
        <f>VLOOKUP(Table4[[#This Row],[Visitor]],'NHL Model'!$A$6:$B$38,2,FALSE)</f>
        <v>-0.14226422156549004</v>
      </c>
      <c r="J4">
        <f>($B$1+Table4[[#This Row],[Home Differential]])-Table4[[#This Row],[Away Differential]]</f>
        <v>-9.7869013995290133E-2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0.51071438506573652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0.23940041298160036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169</v>
      </c>
      <c r="V4">
        <f>COUNTIF(Table4[Locked Correct],"NO")</f>
        <v>165</v>
      </c>
    </row>
    <row r="5" spans="1:22" x14ac:dyDescent="0.2">
      <c r="A5" s="4" t="s">
        <v>21</v>
      </c>
      <c r="B5">
        <v>4.029141914856392E-2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-0.81774666423752174</v>
      </c>
      <c r="H5" t="s">
        <v>16</v>
      </c>
      <c r="I5">
        <f>VLOOKUP(Table4[[#This Row],[Visitor]],'NHL Model'!$A$6:$B$38,2,FALSE)</f>
        <v>-1.0657812790446208</v>
      </c>
      <c r="J5">
        <f>($B$1+Table4[[#This Row],[Home Differential]])-Table4[[#This Row],[Away Differential]]</f>
        <v>0.29793536373026153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0.58183430278759984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0.33853115590033239</v>
      </c>
      <c r="O5">
        <v>-4.1674767740132361E-3</v>
      </c>
      <c r="P5" s="11"/>
      <c r="Q5" t="s">
        <v>16</v>
      </c>
      <c r="R5" t="s">
        <v>248</v>
      </c>
      <c r="T5">
        <f>SUM(T3:T4)</f>
        <v>410</v>
      </c>
      <c r="V5">
        <f>SUM(V3:V4)</f>
        <v>410</v>
      </c>
    </row>
    <row r="6" spans="1:22" x14ac:dyDescent="0.2">
      <c r="A6" s="4" t="s">
        <v>23</v>
      </c>
      <c r="B6">
        <v>-0.8683412362501769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-0.63447859131898054</v>
      </c>
      <c r="H6" t="s">
        <v>18</v>
      </c>
      <c r="I6">
        <f>VLOOKUP(Table4[[#This Row],[Visitor]],'NHL Model'!$A$6:$B$38,2,FALSE)</f>
        <v>-0.59288962827382519</v>
      </c>
      <c r="J6">
        <f>($B$1+Table4[[#This Row],[Home Differential]])-Table4[[#This Row],[Away Differential]]</f>
        <v>8.3117858780070719E-3</v>
      </c>
      <c r="K6" t="str">
        <f>IF(Table4[[#This Row],[HomeIce Differential]]&gt;0,Table4[[#This Row],[Home]],Table4[[#This Row],[Visitor]])</f>
        <v>Toronto Maple Leafs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0.48168268984656837</v>
      </c>
      <c r="M6" t="str">
        <f>IF(OR((NHL2025_26Results[[#This Row],[Winning Team]]="")),"-",IF(Table4[[#This Row],[Predicted Winner]]=NHL2025_26Results[[#This Row],[Winning Team]],"YES","NO"))</f>
        <v>YES</v>
      </c>
      <c r="N6">
        <f>IF(Table4[[#This Row],[Adjusted Correct]]="-", "",IF(Table4[[#This Row],[Adjusted Correct]]="YES",(Table4[[#This Row],[Strength of Win]]-1)^2,(Table4[[#This Row],[Strength of Win]]-0)^2))</f>
        <v>0.26865283400468865</v>
      </c>
      <c r="O6">
        <v>-4.4363714293103977E-3</v>
      </c>
      <c r="P6" s="11"/>
      <c r="Q6" t="s">
        <v>18</v>
      </c>
      <c r="R6" t="s">
        <v>249</v>
      </c>
      <c r="T6" s="13">
        <f>T3/T5</f>
        <v>0.58780487804878045</v>
      </c>
      <c r="V6" s="13">
        <f>V3/V5</f>
        <v>0.59756097560975607</v>
      </c>
    </row>
    <row r="7" spans="1:22" x14ac:dyDescent="0.2">
      <c r="A7" s="4" t="s">
        <v>16</v>
      </c>
      <c r="B7">
        <v>-1.3903684122795328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-0.24444083032063643</v>
      </c>
      <c r="H7" t="s">
        <v>13</v>
      </c>
      <c r="I7">
        <f>VLOOKUP(Table4[[#This Row],[Visitor]],'NHL Model'!$A$6:$B$38,2,FALSE)</f>
        <v>-0.33828359867721369</v>
      </c>
      <c r="J7">
        <f>($B$1+Table4[[#This Row],[Home Differential]])-Table4[[#This Row],[Away Differential]]</f>
        <v>0.14374351727973972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0.49046838767162676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0.24055923930520515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0.67193921242367816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0.4407072328537569</v>
      </c>
      <c r="H8" t="s">
        <v>21</v>
      </c>
      <c r="I8">
        <f>VLOOKUP(Table4[[#This Row],[Visitor]],'NHL Model'!$A$6:$B$38,2,FALSE)</f>
        <v>-0.21976976044773161</v>
      </c>
      <c r="J8">
        <f>($B$1+Table4[[#This Row],[Home Differential]])-Table4[[#This Row],[Away Differential]]</f>
        <v>0.710377742224651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0.64816447713626768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0.42011718942133125</v>
      </c>
      <c r="O8">
        <v>-4.9858230986448791E-3</v>
      </c>
      <c r="P8" s="11"/>
      <c r="Q8" t="s">
        <v>21</v>
      </c>
      <c r="R8" t="s">
        <v>248</v>
      </c>
      <c r="T8">
        <f>SUM(Table4[Error])</f>
        <v>93.893696092886202</v>
      </c>
      <c r="V8">
        <f>COUNTIF(Table4[Locked Correct],"")</f>
        <v>902</v>
      </c>
    </row>
    <row r="9" spans="1:22" x14ac:dyDescent="0.2">
      <c r="A9" s="4" t="s">
        <v>10</v>
      </c>
      <c r="B9">
        <v>0.30570968833820172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-0.21976976044773161</v>
      </c>
      <c r="H9" t="s">
        <v>10</v>
      </c>
      <c r="I9">
        <f>VLOOKUP(Table4[[#This Row],[Visitor]],'NHL Model'!$A$6:$B$38,2,FALSE)</f>
        <v>-0.17619625518431364</v>
      </c>
      <c r="J9">
        <f>($B$1+Table4[[#This Row],[Home Differential]])-Table4[[#This Row],[Away Differential]]</f>
        <v>6.3272436597444914E-3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0.58364035348487175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0.17335535524620255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1.5475013591489768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-0.4761104357405897</v>
      </c>
      <c r="H10" t="s">
        <v>15</v>
      </c>
      <c r="I10">
        <f>VLOOKUP(Table4[[#This Row],[Visitor]],'NHL Model'!$A$6:$B$38,2,FALSE)</f>
        <v>-0.29003398448394263</v>
      </c>
      <c r="J10">
        <f>($B$1+Table4[[#This Row],[Home Differential]])-Table4[[#This Row],[Away Differential]]</f>
        <v>-0.13617570233348458</v>
      </c>
      <c r="K10" t="str">
        <f>IF(Table4[[#This Row],[HomeIce Differential]]&gt;0,Table4[[#This Row],[Home]],Table4[[#This Row],[Visitor]])</f>
        <v>New York Rangers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0.56590052305735883</v>
      </c>
      <c r="M10" t="str">
        <f>IF(OR((NHL2025_26Results[[#This Row],[Winning Team]]="")),"-",IF(Table4[[#This Row],[Predicted Winner]]=NHL2025_26Results[[#This Row],[Winning Team]],"YES","NO"))</f>
        <v>YES</v>
      </c>
      <c r="N10">
        <f>IF(Table4[[#This Row],[Adjusted Correct]]="-", "",IF(Table4[[#This Row],[Adjusted Correct]]="YES",(Table4[[#This Row],[Strength of Win]]-1)^2,(Table4[[#This Row],[Strength of Win]]-0)^2))</f>
        <v>0.18844235588187466</v>
      </c>
      <c r="O10">
        <v>2.893763878885032E-2</v>
      </c>
      <c r="P10" s="11"/>
      <c r="Q10" t="s">
        <v>23</v>
      </c>
      <c r="R10" t="s">
        <v>249</v>
      </c>
      <c r="T10">
        <v>0.11676475894664017</v>
      </c>
    </row>
    <row r="11" spans="1:22" x14ac:dyDescent="0.2">
      <c r="A11" s="4" t="s">
        <v>28</v>
      </c>
      <c r="B11">
        <v>-0.40822279081308277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0.42567513732855267</v>
      </c>
      <c r="H11" t="s">
        <v>24</v>
      </c>
      <c r="I11">
        <f>VLOOKUP(Table4[[#This Row],[Visitor]],'NHL Model'!$A$6:$B$38,2,FALSE)</f>
        <v>1.5302507646042616E-3</v>
      </c>
      <c r="J11">
        <f>($B$1+Table4[[#This Row],[Home Differential]])-Table4[[#This Row],[Away Differential]]</f>
        <v>0.47404563548711087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0.62678039578593081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0.13929287296970647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0.19809534061227302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1.6319036584269762</v>
      </c>
      <c r="H12" t="s">
        <v>55</v>
      </c>
      <c r="I12">
        <f>VLOOKUP(Table4[[#This Row],[Visitor]],'NHL Model'!$A$6:$B$38,2,FALSE)</f>
        <v>-0.4031232890211825</v>
      </c>
      <c r="J12">
        <f>($B$1+Table4[[#This Row],[Home Differential]])-Table4[[#This Row],[Away Differential]]</f>
        <v>2.084927696371321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0.88777597679518749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1.2594231384274296E-2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-0.513643833119658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-0.87533956503230947</v>
      </c>
      <c r="H13" t="s">
        <v>18</v>
      </c>
      <c r="I13">
        <f>VLOOKUP(Table4[[#This Row],[Visitor]],'NHL Model'!$A$6:$B$38,2,FALSE)</f>
        <v>-0.59288962827382519</v>
      </c>
      <c r="J13">
        <f>($B$1+Table4[[#This Row],[Home Differential]])-Table4[[#This Row],[Away Differential]]</f>
        <v>-0.23254918783532186</v>
      </c>
      <c r="K13" t="str">
        <f>IF(Table4[[#This Row],[HomeIce Differential]]&gt;0,Table4[[#This Row],[Home]],Table4[[#This Row],[Visitor]])</f>
        <v>Montreal Canadiens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0.54644138368872142</v>
      </c>
      <c r="M13" t="str">
        <f>IF(OR((NHL2025_26Results[[#This Row],[Winning Team]]="")),"-",IF(Table4[[#This Row],[Predicted Winner]]=NHL2025_26Results[[#This Row],[Winning Team]],"YES","NO"))</f>
        <v>YES</v>
      </c>
      <c r="N13">
        <f>IF(Table4[[#This Row],[Adjusted Correct]]="-", "",IF(Table4[[#This Row],[Adjusted Correct]]="YES",(Table4[[#This Row],[Strength of Win]]-1)^2,(Table4[[#This Row],[Strength of Win]]-0)^2))</f>
        <v>0.20571541843020164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-0.61980804137564283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-0.39711829106410657</v>
      </c>
      <c r="H14" t="s">
        <v>27</v>
      </c>
      <c r="I14">
        <f>VLOOKUP(Table4[[#This Row],[Visitor]],'NHL Model'!$A$6:$B$38,2,FALSE)</f>
        <v>-0.38023958350631604</v>
      </c>
      <c r="J14">
        <f>($B$1+Table4[[#This Row],[Home Differential]])-Table4[[#This Row],[Away Differential]]</f>
        <v>3.3022041365371957E-2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0.51548371767669787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0.23475602783639382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-0.28105923893144158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-1.384917283810061</v>
      </c>
      <c r="H15" t="s">
        <v>28</v>
      </c>
      <c r="I15">
        <f>VLOOKUP(Table4[[#This Row],[Visitor]],'NHL Model'!$A$6:$B$38,2,FALSE)</f>
        <v>-0.59498940435054026</v>
      </c>
      <c r="J15">
        <f>($B$1+Table4[[#This Row],[Home Differential]])-Table4[[#This Row],[Away Differential]]</f>
        <v>-0.74002713053635827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0.54998524845144892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0.30248377351420197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-7.5459708298993802E-2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-0.14226422156549004</v>
      </c>
      <c r="H16" t="s">
        <v>30</v>
      </c>
      <c r="I16">
        <f>VLOOKUP(Table4[[#This Row],[Visitor]],'NHL Model'!$A$6:$B$38,2,FALSE)</f>
        <v>-0.24093199744133265</v>
      </c>
      <c r="J16">
        <f>($B$1+Table4[[#This Row],[Home Differential]])-Table4[[#This Row],[Away Differential]]</f>
        <v>0.14856852479900506</v>
      </c>
      <c r="K16" t="str">
        <f>IF(Table4[[#This Row],[HomeIce Differential]]&gt;0,Table4[[#This Row],[Home]],Table4[[#This Row],[Visitor]])</f>
        <v>Pittsburgh Penguins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0.48472439887735758</v>
      </c>
      <c r="M16" t="str">
        <f>IF(OR((NHL2025_26Results[[#This Row],[Winning Team]]="")),"-",IF(Table4[[#This Row],[Predicted Winner]]=NHL2025_26Results[[#This Row],[Winning Team]],"YES","NO"))</f>
        <v>YES</v>
      </c>
      <c r="N16">
        <f>IF(Table4[[#This Row],[Adjusted Correct]]="-", "",IF(Table4[[#This Row],[Adjusted Correct]]="YES",(Table4[[#This Row],[Strength of Win]]-1)^2,(Table4[[#This Row],[Strength of Win]]-0)^2))</f>
        <v>0.26550894511230055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-0.53650300840565446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-0.64937723527808999</v>
      </c>
      <c r="H17" t="s">
        <v>31</v>
      </c>
      <c r="I17">
        <f>VLOOKUP(Table4[[#This Row],[Visitor]],'NHL Model'!$A$6:$B$38,2,FALSE)</f>
        <v>0.17870302183926629</v>
      </c>
      <c r="J17">
        <f>($B$1+Table4[[#This Row],[Home Differential]])-Table4[[#This Row],[Away Differential]]</f>
        <v>-0.77817950819419379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0.57163317346074072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0.3267644850007973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-0.52437726201848234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-0.45133099238224339</v>
      </c>
      <c r="H18" t="s">
        <v>20</v>
      </c>
      <c r="I18">
        <f>VLOOKUP(Table4[[#This Row],[Visitor]],'NHL Model'!$A$6:$B$38,2,FALSE)</f>
        <v>-0.24444083032063643</v>
      </c>
      <c r="J18">
        <f>($B$1+Table4[[#This Row],[Home Differential]])-Table4[[#This Row],[Away Differential]]</f>
        <v>-0.15698941313844447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0.46820858159353196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0.28280211269076316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-1.3516250707060606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-1.3944783719477225</v>
      </c>
      <c r="H19" t="s">
        <v>34</v>
      </c>
      <c r="I19">
        <f>VLOOKUP(Table4[[#This Row],[Visitor]],'NHL Model'!$A$6:$B$38,2,FALSE)</f>
        <v>-5.5124787449478845E-2</v>
      </c>
      <c r="J19">
        <f>($B$1+Table4[[#This Row],[Home Differential]])-Table4[[#This Row],[Away Differential]]</f>
        <v>-1.2894528355750812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0.65307521233305632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0.12035680829775396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0.559441163373953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0.51050494674660429</v>
      </c>
      <c r="H20" t="s">
        <v>36</v>
      </c>
      <c r="I20">
        <f>VLOOKUP(Table4[[#This Row],[Visitor]],'NHL Model'!$A$6:$B$38,2,FALSE)</f>
        <v>-0.53137605086483863</v>
      </c>
      <c r="J20">
        <f>($B$1+Table4[[#This Row],[Home Differential]])-Table4[[#This Row],[Away Differential]]</f>
        <v>1.0917817465346054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0.69972769826475267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0.48961885171888875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-6.4729560818359025E-2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-0.9476777551108041</v>
      </c>
      <c r="H21" t="s">
        <v>16</v>
      </c>
      <c r="I21">
        <f>VLOOKUP(Table4[[#This Row],[Visitor]],'NHL Model'!$A$6:$B$38,2,FALSE)</f>
        <v>-1.0657812790446208</v>
      </c>
      <c r="J21">
        <f>($B$1+Table4[[#This Row],[Home Differential]])-Table4[[#This Row],[Away Differential]]</f>
        <v>0.16800427285697916</v>
      </c>
      <c r="K21" t="str">
        <f>IF(Table4[[#This Row],[HomeIce Differential]]&gt;0,Table4[[#This Row],[Home]],Table4[[#This Row],[Visitor]])</f>
        <v>Vancouver Canucks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0.55961697842215075</v>
      </c>
      <c r="M21" t="str">
        <f>IF(OR((NHL2025_26Results[[#This Row],[Winning Team]]="")),"-",IF(Table4[[#This Row],[Predicted Winner]]=NHL2025_26Results[[#This Row],[Winning Team]],"YES","NO"))</f>
        <v>YES</v>
      </c>
      <c r="N21">
        <f>IF(Table4[[#This Row],[Adjusted Correct]]="-", "",IF(Table4[[#This Row],[Adjusted Correct]]="YES",(Table4[[#This Row],[Strength of Win]]-1)^2,(Table4[[#This Row],[Strength of Win]]-0)^2))</f>
        <v>0.19393720569403644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-0.30719665303039001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-0.31324182378279158</v>
      </c>
      <c r="H22" t="s">
        <v>39</v>
      </c>
      <c r="I22">
        <f>VLOOKUP(Table4[[#This Row],[Visitor]],'NHL Model'!$A$6:$B$38,2,FALSE)</f>
        <v>0.41344250185511977</v>
      </c>
      <c r="J22">
        <f>($B$1+Table4[[#This Row],[Home Differential]])-Table4[[#This Row],[Away Differential]]</f>
        <v>-0.67678357671474887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0.63834650509244772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0.13079325037884693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-0.40651947573390851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-0.21976976044773161</v>
      </c>
      <c r="H23" t="s">
        <v>23</v>
      </c>
      <c r="I23">
        <f>VLOOKUP(Table4[[#This Row],[Visitor]],'NHL Model'!$A$6:$B$38,2,FALSE)</f>
        <v>-0.4761104357405897</v>
      </c>
      <c r="J23">
        <f>($B$1+Table4[[#This Row],[Home Differential]])-Table4[[#This Row],[Away Differential]]</f>
        <v>0.30624142421602052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0.61865976048220439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0.14542037827548973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-0.51358590497437617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0.42567513732855267</v>
      </c>
      <c r="H24" t="s">
        <v>27</v>
      </c>
      <c r="I24">
        <f>VLOOKUP(Table4[[#This Row],[Visitor]],'NHL Model'!$A$6:$B$38,2,FALSE)</f>
        <v>-0.38023958350631604</v>
      </c>
      <c r="J24">
        <f>($B$1+Table4[[#This Row],[Home Differential]])-Table4[[#This Row],[Away Differential]]</f>
        <v>0.85581546975803113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0.64992908702910213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0.12254964410827796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0.26289091192875702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-1.0657812790446208</v>
      </c>
      <c r="H25" t="s">
        <v>35</v>
      </c>
      <c r="I25">
        <f>VLOOKUP(Table4[[#This Row],[Visitor]],'NHL Model'!$A$6:$B$38,2,FALSE)</f>
        <v>-1.3944783719477225</v>
      </c>
      <c r="J25">
        <f>($B$1+Table4[[#This Row],[Home Differential]])-Table4[[#This Row],[Away Differential]]</f>
        <v>0.3785978418262641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0.58420688573856194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0.34129768534434918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-0.39418177254008485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-0.17619625518431364</v>
      </c>
      <c r="H26" t="s">
        <v>18</v>
      </c>
      <c r="I26">
        <f>VLOOKUP(Table4[[#This Row],[Visitor]],'NHL Model'!$A$6:$B$38,2,FALSE)</f>
        <v>-0.59288962827382519</v>
      </c>
      <c r="J26">
        <f>($B$1+Table4[[#This Row],[Home Differential]])-Table4[[#This Row],[Away Differential]]</f>
        <v>0.46659412201267403</v>
      </c>
      <c r="K26" t="str">
        <f>IF(Table4[[#This Row],[HomeIce Differential]]&gt;0,Table4[[#This Row],[Home]],Table4[[#This Row],[Visitor]])</f>
        <v>Chicago Blackhawks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0.53519391635483582</v>
      </c>
      <c r="M26" t="str">
        <f>IF(OR((NHL2025_26Results[[#This Row],[Winning Team]]="")),"-",IF(Table4[[#This Row],[Predicted Winner]]=NHL2025_26Results[[#This Row],[Winning Team]],"YES","NO"))</f>
        <v>NO</v>
      </c>
      <c r="N26">
        <f>IF(Table4[[#This Row],[Adjusted Correct]]="-", "",IF(Table4[[#This Row],[Adjusted Correct]]="YES",(Table4[[#This Row],[Strength of Win]]-1)^2,(Table4[[#This Row],[Strength of Win]]-0)^2))</f>
        <v>0.286432528103227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-0.361361309178443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1.6319036584269762</v>
      </c>
      <c r="H27" t="s">
        <v>39</v>
      </c>
      <c r="I27">
        <f>VLOOKUP(Table4[[#This Row],[Visitor]],'NHL Model'!$A$6:$B$38,2,FALSE)</f>
        <v>0.41344250185511977</v>
      </c>
      <c r="J27">
        <f>($B$1+Table4[[#This Row],[Home Differential]])-Table4[[#This Row],[Away Differential]]</f>
        <v>1.2683619054950188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0.69431845954718507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0.48207812326797606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-1.6211574240381006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-0.87533956503230947</v>
      </c>
      <c r="H28" t="s">
        <v>19</v>
      </c>
      <c r="I28">
        <f>VLOOKUP(Table4[[#This Row],[Visitor]],'NHL Model'!$A$6:$B$38,2,FALSE)</f>
        <v>-0.63447859131898054</v>
      </c>
      <c r="J28">
        <f>($B$1+Table4[[#This Row],[Home Differential]])-Table4[[#This Row],[Away Differential]]</f>
        <v>-0.1909602247901665</v>
      </c>
      <c r="K28" t="str">
        <f>IF(Table4[[#This Row],[HomeIce Differential]]&gt;0,Table4[[#This Row],[Home]],Table4[[#This Row],[Visitor]])</f>
        <v>Toronto Maple Leafs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0.48229742461602004</v>
      </c>
      <c r="M28" t="str">
        <f>IF(OR((NHL2025_26Results[[#This Row],[Winning Team]]="")),"-",IF(Table4[[#This Row],[Predicted Winner]]=NHL2025_26Results[[#This Row],[Winning Team]],"YES","NO"))</f>
        <v>NO</v>
      </c>
      <c r="N28">
        <f>IF(Table4[[#This Row],[Adjusted Correct]]="-", "",IF(Table4[[#This Row],[Adjusted Correct]]="YES",(Table4[[#This Row],[Strength of Win]]-1)^2,(Table4[[#This Row],[Strength of Win]]-0)^2))</f>
        <v>0.23261080579124555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-0.11309445867623392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-0.81774666423752174</v>
      </c>
      <c r="H29" t="s">
        <v>38</v>
      </c>
      <c r="I29">
        <f>VLOOKUP(Table4[[#This Row],[Visitor]],'NHL Model'!$A$6:$B$38,2,FALSE)</f>
        <v>-0.9476777551108041</v>
      </c>
      <c r="J29">
        <f>($B$1+Table4[[#This Row],[Home Differential]])-Table4[[#This Row],[Away Differential]]</f>
        <v>0.17983183979644479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0.564476282294328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0.18968090868416987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-0.635565543477981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-0.39711829106410657</v>
      </c>
      <c r="H30" t="s">
        <v>36</v>
      </c>
      <c r="I30">
        <f>VLOOKUP(Table4[[#This Row],[Visitor]],'NHL Model'!$A$6:$B$38,2,FALSE)</f>
        <v>-0.53137605086483863</v>
      </c>
      <c r="J30">
        <f>($B$1+Table4[[#This Row],[Home Differential]])-Table4[[#This Row],[Away Differential]]</f>
        <v>0.18415850872389455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0.57551984437773329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0.18018340251710377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-0.12212311954851815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-5.5124787449478845E-2</v>
      </c>
      <c r="H31" t="s">
        <v>28</v>
      </c>
      <c r="I31">
        <f>VLOOKUP(Table4[[#This Row],[Visitor]],'NHL Model'!$A$6:$B$38,2,FALSE)</f>
        <v>-0.59498940435054026</v>
      </c>
      <c r="J31">
        <f>($B$1+Table4[[#This Row],[Home Differential]])-Table4[[#This Row],[Away Differential]]</f>
        <v>0.5897653658242239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0.60528765183514521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0.36637314146410399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-0.6902088310934803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-1.384917283810061</v>
      </c>
      <c r="H32" t="s">
        <v>55</v>
      </c>
      <c r="I32">
        <f>VLOOKUP(Table4[[#This Row],[Visitor]],'NHL Model'!$A$6:$B$38,2,FALSE)</f>
        <v>-0.4031232890211825</v>
      </c>
      <c r="J32">
        <f>($B$1+Table4[[#This Row],[Home Differential]])-Table4[[#This Row],[Away Differential]]</f>
        <v>-0.93189324586571609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0.56881229021751245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0.1859228410674667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-6.3745791019188943E-4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-0.24093199744133265</v>
      </c>
      <c r="H33" t="s">
        <v>22</v>
      </c>
      <c r="I33">
        <f>VLOOKUP(Table4[[#This Row],[Visitor]],'NHL Model'!$A$6:$B$38,2,FALSE)</f>
        <v>0.4407072328537569</v>
      </c>
      <c r="J33">
        <f>($B$1+Table4[[#This Row],[Home Differential]])-Table4[[#This Row],[Away Differential]]</f>
        <v>-0.63173848137192712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0.57627735430877991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0.17954088047156724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-6.1308839486784707E-2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-0.14226422156549004</v>
      </c>
      <c r="H34" t="s">
        <v>15</v>
      </c>
      <c r="I34">
        <f>VLOOKUP(Table4[[#This Row],[Visitor]],'NHL Model'!$A$6:$B$38,2,FALSE)</f>
        <v>-0.29003398448394263</v>
      </c>
      <c r="J34">
        <f>($B$1+Table4[[#This Row],[Home Differential]])-Table4[[#This Row],[Away Differential]]</f>
        <v>0.19767051184161505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0.46299948327093315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0.21436852150915112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0.105105258369765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-0.64937723527808999</v>
      </c>
      <c r="H35" t="s">
        <v>20</v>
      </c>
      <c r="I35">
        <f>VLOOKUP(Table4[[#This Row],[Visitor]],'NHL Model'!$A$6:$B$38,2,FALSE)</f>
        <v>-0.24444083032063643</v>
      </c>
      <c r="J35">
        <f>($B$1+Table4[[#This Row],[Home Differential]])-Table4[[#This Row],[Away Differential]]</f>
        <v>-0.3550356560342911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0.50145565279430626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0.25145777171936384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-7.6523491360758822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-0.45133099238224339</v>
      </c>
      <c r="H36" t="s">
        <v>31</v>
      </c>
      <c r="I36">
        <f>VLOOKUP(Table4[[#This Row],[Visitor]],'NHL Model'!$A$6:$B$38,2,FALSE)</f>
        <v>0.17870302183926629</v>
      </c>
      <c r="J36">
        <f>($B$1+Table4[[#This Row],[Home Differential]])-Table4[[#This Row],[Away Differential]]</f>
        <v>-0.58013326529834719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0.53832735617360639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0.2131416300576521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0.51050494674660429</v>
      </c>
      <c r="H37" t="s">
        <v>24</v>
      </c>
      <c r="I37">
        <f>VLOOKUP(Table4[[#This Row],[Visitor]],'NHL Model'!$A$6:$B$38,2,FALSE)</f>
        <v>1.5302507646042616E-3</v>
      </c>
      <c r="J37">
        <f>($B$1+Table4[[#This Row],[Home Differential]])-Table4[[#This Row],[Away Differential]]</f>
        <v>0.5588754449051625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0.61698109453658201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0.38066567101555876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-0.31324182378279158</v>
      </c>
      <c r="H38" t="s">
        <v>13</v>
      </c>
      <c r="I38">
        <f>VLOOKUP(Table4[[#This Row],[Visitor]],'NHL Model'!$A$6:$B$38,2,FALSE)</f>
        <v>-0.33828359867721369</v>
      </c>
      <c r="J38">
        <f>($B$1+Table4[[#This Row],[Home Differential]])-Table4[[#This Row],[Away Differential]]</f>
        <v>7.4942523817584594E-2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0.48494112191888922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0.2652856478901725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-0.29003398448394263</v>
      </c>
      <c r="H39" t="s">
        <v>22</v>
      </c>
      <c r="I39">
        <f>VLOOKUP(Table4[[#This Row],[Visitor]],'NHL Model'!$A$6:$B$38,2,FALSE)</f>
        <v>0.4407072328537569</v>
      </c>
      <c r="J39">
        <f>($B$1+Table4[[#This Row],[Home Differential]])-Table4[[#This Row],[Away Differential]]</f>
        <v>-0.68084046841453705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0.58201073598961128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0.17471502482794643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0.7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-0.21976976044773161</v>
      </c>
      <c r="H40" t="s">
        <v>37</v>
      </c>
      <c r="I40">
        <f>VLOOKUP(Table4[[#This Row],[Visitor]],'NHL Model'!$A$6:$B$38,2,FALSE)</f>
        <v>0.51050494674660429</v>
      </c>
      <c r="J40">
        <f>($B$1+Table4[[#This Row],[Home Differential]])-Table4[[#This Row],[Away Differential]]</f>
        <v>-0.68037395827117342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0.58853461032201404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0.16930376690285684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-0.4761104357405897</v>
      </c>
      <c r="H41" t="s">
        <v>12</v>
      </c>
      <c r="I41">
        <f>VLOOKUP(Table4[[#This Row],[Visitor]],'NHL Model'!$A$6:$B$38,2,FALSE)</f>
        <v>1.6319036584269762</v>
      </c>
      <c r="J41">
        <f>($B$1+Table4[[#This Row],[Home Differential]])-Table4[[#This Row],[Away Differential]]</f>
        <v>-2.0581133452444034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0.76276408823416275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5.6280877831368113E-2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0.2857142857142857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-0.59498940435054026</v>
      </c>
      <c r="H42" t="s">
        <v>24</v>
      </c>
      <c r="I42">
        <f>VLOOKUP(Table4[[#This Row],[Visitor]],'NHL Model'!$A$6:$B$38,2,FALSE)</f>
        <v>1.5302507646042616E-3</v>
      </c>
      <c r="J42">
        <f>($B$1+Table4[[#This Row],[Home Differential]])-Table4[[#This Row],[Away Differential]]</f>
        <v>-0.54661890619198206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0.54459505558641363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0.20739366339634169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0.8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-0.17619625518431364</v>
      </c>
      <c r="H43" t="s">
        <v>55</v>
      </c>
      <c r="I43">
        <f>VLOOKUP(Table4[[#This Row],[Visitor]],'NHL Model'!$A$6:$B$38,2,FALSE)</f>
        <v>-0.4031232890211825</v>
      </c>
      <c r="J43">
        <f>($B$1+Table4[[#This Row],[Home Differential]])-Table4[[#This Row],[Away Differential]]</f>
        <v>0.27682778276003128</v>
      </c>
      <c r="K43" t="str">
        <f>IF(Table4[[#This Row],[HomeIce Differential]]&gt;0,Table4[[#This Row],[Home]],Table4[[#This Row],[Visitor]])</f>
        <v>Chicago Blackhawks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0.57232372932370801</v>
      </c>
      <c r="M43" t="str">
        <f>IF(OR((NHL2025_26Results[[#This Row],[Winning Team]]="")),"-",IF(Table4[[#This Row],[Predicted Winner]]=NHL2025_26Results[[#This Row],[Winning Team]],"YES","NO"))</f>
        <v>YES</v>
      </c>
      <c r="N43">
        <f>IF(Table4[[#This Row],[Adjusted Correct]]="-", "",IF(Table4[[#This Row],[Adjusted Correct]]="YES",(Table4[[#This Row],[Strength of Win]]-1)^2,(Table4[[#This Row],[Strength of Win]]-0)^2))</f>
        <v>0.18290699249958098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-5.5124787449478845E-2</v>
      </c>
      <c r="H44" t="s">
        <v>13</v>
      </c>
      <c r="I44">
        <f>VLOOKUP(Table4[[#This Row],[Visitor]],'NHL Model'!$A$6:$B$38,2,FALSE)</f>
        <v>-0.33828359867721369</v>
      </c>
      <c r="J44">
        <f>($B$1+Table4[[#This Row],[Home Differential]])-Table4[[#This Row],[Away Differential]]</f>
        <v>0.33305956015089733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0.51257382978220933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0.23758427141318264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0.66666666666666663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-0.24093199744133265</v>
      </c>
      <c r="H45" t="s">
        <v>40</v>
      </c>
      <c r="I45">
        <f>VLOOKUP(Table4[[#This Row],[Visitor]],'NHL Model'!$A$6:$B$38,2,FALSE)</f>
        <v>-0.31324182378279158</v>
      </c>
      <c r="J45">
        <f>($B$1+Table4[[#This Row],[Home Differential]])-Table4[[#This Row],[Away Differential]]</f>
        <v>0.1222105752646214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0.53350065759227305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0.28462295165138779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-0.53137605086483863</v>
      </c>
      <c r="H46" t="s">
        <v>29</v>
      </c>
      <c r="I46">
        <f>VLOOKUP(Table4[[#This Row],[Visitor]],'NHL Model'!$A$6:$B$38,2,FALSE)</f>
        <v>-1.384917283810061</v>
      </c>
      <c r="J46">
        <f>($B$1+Table4[[#This Row],[Home Differential]])-Table4[[#This Row],[Away Differential]]</f>
        <v>0.90344198186838476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0.64798566443947669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0.41988542131907008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0.5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-0.38023958350631604</v>
      </c>
      <c r="H47" t="s">
        <v>11</v>
      </c>
      <c r="I47">
        <f>VLOOKUP(Table4[[#This Row],[Visitor]],'NHL Model'!$A$6:$B$38,2,FALSE)</f>
        <v>-0.39711829106410657</v>
      </c>
      <c r="J47">
        <f>($B$1+Table4[[#This Row],[Home Differential]])-Table4[[#This Row],[Away Differential]]</f>
        <v>6.6779456480953014E-2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0.56181410763720108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0.19200687626578242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0.7142857142857143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-0.63447859131898054</v>
      </c>
      <c r="H48" t="s">
        <v>26</v>
      </c>
      <c r="I48">
        <f>VLOOKUP(Table4[[#This Row],[Visitor]],'NHL Model'!$A$6:$B$38,2,FALSE)</f>
        <v>-0.87533956503230947</v>
      </c>
      <c r="J48">
        <f>($B$1+Table4[[#This Row],[Home Differential]])-Table4[[#This Row],[Away Differential]]</f>
        <v>0.29076172263649136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0.5739507224545598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0.32941943180611116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0.66666666666666663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-0.9476777551108041</v>
      </c>
      <c r="H49" t="s">
        <v>35</v>
      </c>
      <c r="I49">
        <f>VLOOKUP(Table4[[#This Row],[Visitor]],'NHL Model'!$A$6:$B$38,2,FALSE)</f>
        <v>-1.3944783719477225</v>
      </c>
      <c r="J49">
        <f>($B$1+Table4[[#This Row],[Home Differential]])-Table4[[#This Row],[Away Differential]]</f>
        <v>0.49670136576008084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0.59799721524144278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0.35760066943652047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0.7142857142857143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0.17870302183926629</v>
      </c>
      <c r="H50" t="s">
        <v>14</v>
      </c>
      <c r="I50">
        <f>VLOOKUP(Table4[[#This Row],[Visitor]],'NHL Model'!$A$6:$B$38,2,FALSE)</f>
        <v>-0.14226422156549004</v>
      </c>
      <c r="J50">
        <f>($B$1+Table4[[#This Row],[Home Differential]])-Table4[[#This Row],[Away Differential]]</f>
        <v>0.37086799232791878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0.62539386396399976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0.14032975715582233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0.14285714285714285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-1.0657812790446208</v>
      </c>
      <c r="H51" t="s">
        <v>20</v>
      </c>
      <c r="I51">
        <f>VLOOKUP(Table4[[#This Row],[Visitor]],'NHL Model'!$A$6:$B$38,2,FALSE)</f>
        <v>-0.24444083032063643</v>
      </c>
      <c r="J51">
        <f>($B$1+Table4[[#This Row],[Home Differential]])-Table4[[#This Row],[Away Differential]]</f>
        <v>-0.77143969980082194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0.55007697058911142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0.20243073239427131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0.375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0.41344250185511977</v>
      </c>
      <c r="H52" t="s">
        <v>34</v>
      </c>
      <c r="I52">
        <f>VLOOKUP(Table4[[#This Row],[Visitor]],'NHL Model'!$A$6:$B$38,2,FALSE)</f>
        <v>-5.5124787449478845E-2</v>
      </c>
      <c r="J52">
        <f>($B$1+Table4[[#This Row],[Home Differential]])-Table4[[#This Row],[Away Differential]]</f>
        <v>0.51846803822776111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0.5906592774329128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0.16755982715174506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0.66666666666666663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-0.59288962827382519</v>
      </c>
      <c r="H53" t="s">
        <v>32</v>
      </c>
      <c r="I53">
        <f>VLOOKUP(Table4[[#This Row],[Visitor]],'NHL Model'!$A$6:$B$38,2,FALSE)</f>
        <v>-0.64937723527808999</v>
      </c>
      <c r="J53">
        <f>($B$1+Table4[[#This Row],[Home Differential]])-Table4[[#This Row],[Away Differential]]</f>
        <v>0.10638835592742724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0.55242241073459541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0.2003256984126312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0.4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-0.29003398448394263</v>
      </c>
      <c r="H54" t="s">
        <v>17</v>
      </c>
      <c r="I54">
        <f>VLOOKUP(Table4[[#This Row],[Visitor]],'NHL Model'!$A$6:$B$38,2,FALSE)</f>
        <v>-0.81774666423752174</v>
      </c>
      <c r="J54">
        <f>($B$1+Table4[[#This Row],[Home Differential]])-Table4[[#This Row],[Away Differential]]</f>
        <v>0.57761342867674159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0.60744489276378211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0.36898929774480277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1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-0.45133099238224339</v>
      </c>
      <c r="H55" t="s">
        <v>25</v>
      </c>
      <c r="I55">
        <f>VLOOKUP(Table4[[#This Row],[Visitor]],'NHL Model'!$A$6:$B$38,2,FALSE)</f>
        <v>0.42567513732855267</v>
      </c>
      <c r="J55">
        <f>($B$1+Table4[[#This Row],[Home Differential]])-Table4[[#This Row],[Away Differential]]</f>
        <v>-0.82710538078763363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0.61902574000297383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0.14514138678028168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0.5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-0.63447859131898054</v>
      </c>
      <c r="H56" t="s">
        <v>29</v>
      </c>
      <c r="I56">
        <f>VLOOKUP(Table4[[#This Row],[Visitor]],'NHL Model'!$A$6:$B$38,2,FALSE)</f>
        <v>-1.384917283810061</v>
      </c>
      <c r="J56">
        <f>($B$1+Table4[[#This Row],[Home Differential]])-Table4[[#This Row],[Away Differential]]</f>
        <v>0.80033944141424285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0.63345144195222269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0.13435784540690476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0.4407072328537569</v>
      </c>
      <c r="H57" t="s">
        <v>37</v>
      </c>
      <c r="I57">
        <f>VLOOKUP(Table4[[#This Row],[Visitor]],'NHL Model'!$A$6:$B$38,2,FALSE)</f>
        <v>0.51050494674660429</v>
      </c>
      <c r="J57">
        <f>($B$1+Table4[[#This Row],[Home Differential]])-Table4[[#This Row],[Away Differential]]</f>
        <v>-1.9896964969684905E-2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0.52863905379213916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0.27945924919424819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0.5714285714285714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-0.4761104357405897</v>
      </c>
      <c r="H58" t="s">
        <v>36</v>
      </c>
      <c r="I58">
        <f>VLOOKUP(Table4[[#This Row],[Visitor]],'NHL Model'!$A$6:$B$38,2,FALSE)</f>
        <v>-0.53137605086483863</v>
      </c>
      <c r="J58">
        <f>($B$1+Table4[[#This Row],[Home Differential]])-Table4[[#This Row],[Away Differential]]</f>
        <v>0.10516636404741142</v>
      </c>
      <c r="K58" t="str">
        <f>IF(Table4[[#This Row],[HomeIce Differential]]&gt;0,Table4[[#This Row],[Home]],Table4[[#This Row],[Visitor]])</f>
        <v>Buffalo Sabres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0.56240197453604368</v>
      </c>
      <c r="M58" t="str">
        <f>IF(OR((NHL2025_26Results[[#This Row],[Winning Team]]="")),"-",IF(Table4[[#This Row],[Predicted Winner]]=NHL2025_26Results[[#This Row],[Winning Team]],"YES","NO"))</f>
        <v>YES</v>
      </c>
      <c r="N58">
        <f>IF(Table4[[#This Row],[Adjusted Correct]]="-", "",IF(Table4[[#This Row],[Adjusted Correct]]="YES",(Table4[[#This Row],[Strength of Win]]-1)^2,(Table4[[#This Row],[Strength of Win]]-0)^2))</f>
        <v>0.19149203188995337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0.66666666666666663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-0.87533956503230947</v>
      </c>
      <c r="H59" t="s">
        <v>11</v>
      </c>
      <c r="I59">
        <f>VLOOKUP(Table4[[#This Row],[Visitor]],'NHL Model'!$A$6:$B$38,2,FALSE)</f>
        <v>-0.39711829106410657</v>
      </c>
      <c r="J59">
        <f>($B$1+Table4[[#This Row],[Home Differential]])-Table4[[#This Row],[Away Differential]]</f>
        <v>-0.42832052504504048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0.51001274285878251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0.26011299787833858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0.66666666666666663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-1.3944783719477225</v>
      </c>
      <c r="H60" t="s">
        <v>10</v>
      </c>
      <c r="I60">
        <f>VLOOKUP(Table4[[#This Row],[Visitor]],'NHL Model'!$A$6:$B$38,2,FALSE)</f>
        <v>-0.17619625518431364</v>
      </c>
      <c r="J60">
        <f>($B$1+Table4[[#This Row],[Home Differential]])-Table4[[#This Row],[Away Differential]]</f>
        <v>-1.1683813678402464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0.59642576877361209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0.16287216010997002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0.33333333333333331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-0.4031232890211825</v>
      </c>
      <c r="H61" t="s">
        <v>16</v>
      </c>
      <c r="I61">
        <f>VLOOKUP(Table4[[#This Row],[Visitor]],'NHL Model'!$A$6:$B$38,2,FALSE)</f>
        <v>-1.0657812790446208</v>
      </c>
      <c r="J61">
        <f>($B$1+Table4[[#This Row],[Home Differential]])-Table4[[#This Row],[Away Differential]]</f>
        <v>0.71255873894660082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0.66363292683452446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0.11314280790990837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0.5714285714285714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0.17870302183926629</v>
      </c>
      <c r="H62" t="s">
        <v>25</v>
      </c>
      <c r="I62">
        <f>VLOOKUP(Table4[[#This Row],[Visitor]],'NHL Model'!$A$6:$B$38,2,FALSE)</f>
        <v>0.42567513732855267</v>
      </c>
      <c r="J62">
        <f>($B$1+Table4[[#This Row],[Home Differential]])-Table4[[#This Row],[Away Differential]]</f>
        <v>-0.19707136656612392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0.47371521596449112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0.27697567390730227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0.25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-0.59498940435054026</v>
      </c>
      <c r="H63" t="s">
        <v>12</v>
      </c>
      <c r="I63">
        <f>VLOOKUP(Table4[[#This Row],[Visitor]],'NHL Model'!$A$6:$B$38,2,FALSE)</f>
        <v>1.6319036584269762</v>
      </c>
      <c r="J63">
        <f>($B$1+Table4[[#This Row],[Home Differential]])-Table4[[#This Row],[Away Differential]]</f>
        <v>-2.1769923138543539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0.78681915186374829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4.5446074012091615E-2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0.41344250185511977</v>
      </c>
      <c r="H64" t="s">
        <v>38</v>
      </c>
      <c r="I64">
        <f>VLOOKUP(Table4[[#This Row],[Visitor]],'NHL Model'!$A$6:$B$38,2,FALSE)</f>
        <v>-0.9476777551108041</v>
      </c>
      <c r="J64">
        <f>($B$1+Table4[[#This Row],[Home Differential]])-Table4[[#This Row],[Away Differential]]</f>
        <v>1.4110210058890864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0.73347790676820435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0.53798983971706671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0.7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-0.33828359867721369</v>
      </c>
      <c r="H65" t="s">
        <v>14</v>
      </c>
      <c r="I65">
        <f>VLOOKUP(Table4[[#This Row],[Visitor]],'NHL Model'!$A$6:$B$38,2,FALSE)</f>
        <v>-0.14226422156549004</v>
      </c>
      <c r="J65">
        <f>($B$1+Table4[[#This Row],[Home Differential]])-Table4[[#This Row],[Away Differential]]</f>
        <v>-0.14611862818856117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0.51634823963628218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0.23391902530292313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0.8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-0.59288962827382519</v>
      </c>
      <c r="H66" t="s">
        <v>29</v>
      </c>
      <c r="I66">
        <f>VLOOKUP(Table4[[#This Row],[Visitor]],'NHL Model'!$A$6:$B$38,2,FALSE)</f>
        <v>-1.384917283810061</v>
      </c>
      <c r="J66">
        <f>($B$1+Table4[[#This Row],[Home Differential]])-Table4[[#This Row],[Away Differential]]</f>
        <v>0.84192840445939821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0.63830756719703108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0.1308214159469302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0.33333333333333331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1.5302507646042616E-3</v>
      </c>
      <c r="H67" t="s">
        <v>11</v>
      </c>
      <c r="I67">
        <f>VLOOKUP(Table4[[#This Row],[Visitor]],'NHL Model'!$A$6:$B$38,2,FALSE)</f>
        <v>-0.39711829106410657</v>
      </c>
      <c r="J67">
        <f>($B$1+Table4[[#This Row],[Home Differential]])-Table4[[#This Row],[Away Differential]]</f>
        <v>0.44854929075187328</v>
      </c>
      <c r="K67" t="str">
        <f>IF(Table4[[#This Row],[HomeIce Differential]]&gt;0,Table4[[#This Row],[Home]],Table4[[#This Row],[Visitor]])</f>
        <v>New Jersey Devils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0.67220946055413056</v>
      </c>
      <c r="M67" t="str">
        <f>IF(OR((NHL2025_26Results[[#This Row],[Winning Team]]="")),"-",IF(Table4[[#This Row],[Predicted Winner]]=NHL2025_26Results[[#This Row],[Winning Team]],"YES","NO"))</f>
        <v>YES</v>
      </c>
      <c r="N67">
        <f>IF(Table4[[#This Row],[Adjusted Correct]]="-", "",IF(Table4[[#This Row],[Adjusted Correct]]="YES",(Table4[[#This Row],[Strength of Win]]-1)^2,(Table4[[#This Row],[Strength of Win]]-0)^2))</f>
        <v>0.1074466377502141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0.5714285714285714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-0.24093199744133265</v>
      </c>
      <c r="H68" t="s">
        <v>17</v>
      </c>
      <c r="I68">
        <f>VLOOKUP(Table4[[#This Row],[Visitor]],'NHL Model'!$A$6:$B$38,2,FALSE)</f>
        <v>-0.81774666423752174</v>
      </c>
      <c r="J68">
        <f>($B$1+Table4[[#This Row],[Home Differential]])-Table4[[#This Row],[Away Differential]]</f>
        <v>0.62671541571935152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0.61317827444461348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0.14963104736164676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-0.53137605086483863</v>
      </c>
      <c r="H69" t="s">
        <v>32</v>
      </c>
      <c r="I69">
        <f>VLOOKUP(Table4[[#This Row],[Visitor]],'NHL Model'!$A$6:$B$38,2,FALSE)</f>
        <v>-0.64937723527808999</v>
      </c>
      <c r="J69">
        <f>($B$1+Table4[[#This Row],[Home Differential]])-Table4[[#This Row],[Away Differential]]</f>
        <v>0.16790193333641384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0.56210050797704114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0.19175596511396542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0.625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-0.38023958350631604</v>
      </c>
      <c r="H70" t="s">
        <v>40</v>
      </c>
      <c r="I70">
        <f>VLOOKUP(Table4[[#This Row],[Visitor]],'NHL Model'!$A$6:$B$38,2,FALSE)</f>
        <v>-0.31324182378279158</v>
      </c>
      <c r="J70">
        <f>($B$1+Table4[[#This Row],[Home Differential]])-Table4[[#This Row],[Away Differential]]</f>
        <v>-1.7097010800361967E-2</v>
      </c>
      <c r="K70" t="str">
        <f>IF(Table4[[#This Row],[HomeIce Differential]]&gt;0,Table4[[#This Row],[Home]],Table4[[#This Row],[Visitor]])</f>
        <v>Winnipeg Jets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0.46866299501147907</v>
      </c>
      <c r="M70" t="str">
        <f>IF(OR((NHL2025_26Results[[#This Row],[Winning Team]]="")),"-",IF(Table4[[#This Row],[Predicted Winner]]=NHL2025_26Results[[#This Row],[Winning Team]],"YES","NO"))</f>
        <v>YES</v>
      </c>
      <c r="N70">
        <f>IF(Table4[[#This Row],[Adjusted Correct]]="-", "",IF(Table4[[#This Row],[Adjusted Correct]]="YES",(Table4[[#This Row],[Strength of Win]]-1)^2,(Table4[[#This Row],[Strength of Win]]-0)^2))</f>
        <v>0.28231901287017147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17.521428571428572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-0.63447859131898054</v>
      </c>
      <c r="H71" t="s">
        <v>15</v>
      </c>
      <c r="I71">
        <f>VLOOKUP(Table4[[#This Row],[Visitor]],'NHL Model'!$A$6:$B$38,2,FALSE)</f>
        <v>-0.29003398448394263</v>
      </c>
      <c r="J71">
        <f>($B$1+Table4[[#This Row],[Home Differential]])-Table4[[#This Row],[Away Differential]]</f>
        <v>-0.29454385791187548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0.59447380896340563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0.35339910954345971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-0.24444083032063643</v>
      </c>
      <c r="H72" t="s">
        <v>21</v>
      </c>
      <c r="I72">
        <f>VLOOKUP(Table4[[#This Row],[Visitor]],'NHL Model'!$A$6:$B$38,2,FALSE)</f>
        <v>-0.21976976044773161</v>
      </c>
      <c r="J72">
        <f>($B$1+Table4[[#This Row],[Home Differential]])-Table4[[#This Row],[Away Differential]]</f>
        <v>2.5229679050257636E-2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0.5421164443050468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0.2096573505758533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-0.17619625518431364</v>
      </c>
      <c r="H73" t="s">
        <v>38</v>
      </c>
      <c r="I73">
        <f>VLOOKUP(Table4[[#This Row],[Visitor]],'NHL Model'!$A$6:$B$38,2,FALSE)</f>
        <v>-0.9476777551108041</v>
      </c>
      <c r="J73">
        <f>($B$1+Table4[[#This Row],[Home Differential]])-Table4[[#This Row],[Away Differential]]</f>
        <v>0.82138224884965294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0.63233234134958161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0.39984418991664378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-0.87533956503230947</v>
      </c>
      <c r="H74" t="s">
        <v>37</v>
      </c>
      <c r="I74">
        <f>VLOOKUP(Table4[[#This Row],[Visitor]],'NHL Model'!$A$6:$B$38,2,FALSE)</f>
        <v>0.51050494674660429</v>
      </c>
      <c r="J74">
        <f>($B$1+Table4[[#This Row],[Home Differential]])-Table4[[#This Row],[Away Differential]]</f>
        <v>-1.3359437628557513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0.70847733928142309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0.50194014027528466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-0.4031232890211825</v>
      </c>
      <c r="H75" t="s">
        <v>33</v>
      </c>
      <c r="I75">
        <f>VLOOKUP(Table4[[#This Row],[Visitor]],'NHL Model'!$A$6:$B$38,2,FALSE)</f>
        <v>-0.45133099238224339</v>
      </c>
      <c r="J75">
        <f>($B$1+Table4[[#This Row],[Home Differential]])-Table4[[#This Row],[Away Differential]]</f>
        <v>9.810845228422338E-2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0.59188678722769805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0.16655639443933021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0.4407072328537569</v>
      </c>
      <c r="H76" t="s">
        <v>34</v>
      </c>
      <c r="I76">
        <f>VLOOKUP(Table4[[#This Row],[Visitor]],'NHL Model'!$A$6:$B$38,2,FALSE)</f>
        <v>-5.5124787449478845E-2</v>
      </c>
      <c r="J76">
        <f>($B$1+Table4[[#This Row],[Home Differential]])-Table4[[#This Row],[Away Differential]]</f>
        <v>0.54573276922639824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0.58753187905752657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0.17012995079381488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-0.4761104357405897</v>
      </c>
      <c r="H77" t="s">
        <v>11</v>
      </c>
      <c r="I77">
        <f>VLOOKUP(Table4[[#This Row],[Visitor]],'NHL Model'!$A$6:$B$38,2,FALSE)</f>
        <v>-0.39711829106410657</v>
      </c>
      <c r="J77">
        <f>($B$1+Table4[[#This Row],[Home Differential]])-Table4[[#This Row],[Away Differential]]</f>
        <v>-2.9091395753320648E-2</v>
      </c>
      <c r="K77" t="str">
        <f>IF(Table4[[#This Row],[HomeIce Differential]]&gt;0,Table4[[#This Row],[Home]],Table4[[#This Row],[Visitor]])</f>
        <v>Florida Panthers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0.45327460042380474</v>
      </c>
      <c r="M77" t="str">
        <f>IF(OR((NHL2025_26Results[[#This Row],[Winning Team]]="")),"-",IF(Table4[[#This Row],[Predicted Winner]]=NHL2025_26Results[[#This Row],[Winning Team]],"YES","NO"))</f>
        <v>NO</v>
      </c>
      <c r="N77">
        <f>IF(Table4[[#This Row],[Adjusted Correct]]="-", "",IF(Table4[[#This Row],[Adjusted Correct]]="YES",(Table4[[#This Row],[Strength of Win]]-1)^2,(Table4[[#This Row],[Strength of Win]]-0)^2))</f>
        <v>0.20545786338935984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-0.59498940435054026</v>
      </c>
      <c r="H78" t="s">
        <v>37</v>
      </c>
      <c r="I78">
        <f>VLOOKUP(Table4[[#This Row],[Visitor]],'NHL Model'!$A$6:$B$38,2,FALSE)</f>
        <v>0.51050494674660429</v>
      </c>
      <c r="J78">
        <f>($B$1+Table4[[#This Row],[Home Differential]])-Table4[[#This Row],[Away Differential]]</f>
        <v>-1.0555936021739822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0.67574232034876447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0.45662768351033223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1.6319036584269762</v>
      </c>
      <c r="H79" t="s">
        <v>21</v>
      </c>
      <c r="I79">
        <f>VLOOKUP(Table4[[#This Row],[Visitor]],'NHL Model'!$A$6:$B$38,2,FALSE)</f>
        <v>-0.21976976044773161</v>
      </c>
      <c r="J79">
        <f>($B$1+Table4[[#This Row],[Home Differential]])-Table4[[#This Row],[Away Differential]]</f>
        <v>1.9015741677978701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0.86560120575771982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1.8063035893778764E-2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-0.33828359867721369</v>
      </c>
      <c r="H80" t="s">
        <v>25</v>
      </c>
      <c r="I80">
        <f>VLOOKUP(Table4[[#This Row],[Visitor]],'NHL Model'!$A$6:$B$38,2,FALSE)</f>
        <v>0.42567513732855267</v>
      </c>
      <c r="J80">
        <f>($B$1+Table4[[#This Row],[Home Differential]])-Table4[[#This Row],[Away Differential]]</f>
        <v>-0.71405798708260382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0.6159999778434796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0.14745601701620817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-0.59288962827382519</v>
      </c>
      <c r="H81" t="s">
        <v>15</v>
      </c>
      <c r="I81">
        <f>VLOOKUP(Table4[[#This Row],[Visitor]],'NHL Model'!$A$6:$B$38,2,FALSE)</f>
        <v>-0.29003398448394263</v>
      </c>
      <c r="J81">
        <f>($B$1+Table4[[#This Row],[Home Differential]])-Table4[[#This Row],[Away Differential]]</f>
        <v>-0.25295489486672013</v>
      </c>
      <c r="K81" t="str">
        <f>IF(Table4[[#This Row],[HomeIce Differential]]&gt;0,Table4[[#This Row],[Home]],Table4[[#This Row],[Visitor]])</f>
        <v>New York Rangers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0.58961768371859735</v>
      </c>
      <c r="M81" t="str">
        <f>IF(OR((NHL2025_26Results[[#This Row],[Winning Team]]="")),"-",IF(Table4[[#This Row],[Predicted Winner]]=NHL2025_26Results[[#This Row],[Winning Team]],"YES","NO"))</f>
        <v>YES</v>
      </c>
      <c r="N81">
        <f>IF(Table4[[#This Row],[Adjusted Correct]]="-", "",IF(Table4[[#This Row],[Adjusted Correct]]="YES",(Table4[[#This Row],[Strength of Win]]-1)^2,(Table4[[#This Row],[Strength of Win]]-0)^2))</f>
        <v>0.16841364551648919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1.5302507646042616E-3</v>
      </c>
      <c r="H82" t="s">
        <v>17</v>
      </c>
      <c r="I82">
        <f>VLOOKUP(Table4[[#This Row],[Visitor]],'NHL Model'!$A$6:$B$38,2,FALSE)</f>
        <v>-0.81774666423752174</v>
      </c>
      <c r="J82">
        <f>($B$1+Table4[[#This Row],[Home Differential]])-Table4[[#This Row],[Away Differential]]</f>
        <v>0.8691776639252885</v>
      </c>
      <c r="K82" t="str">
        <f>IF(Table4[[#This Row],[HomeIce Differential]]&gt;0,Table4[[#This Row],[Home]],Table4[[#This Row],[Visitor]])</f>
        <v>New Jersey Devils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0.7213240311538418</v>
      </c>
      <c r="M82" t="str">
        <f>IF(OR((NHL2025_26Results[[#This Row],[Winning Team]]="")),"-",IF(Table4[[#This Row],[Predicted Winner]]=NHL2025_26Results[[#This Row],[Winning Team]],"YES","NO"))</f>
        <v>YES</v>
      </c>
      <c r="N82">
        <f>IF(Table4[[#This Row],[Adjusted Correct]]="-", "",IF(Table4[[#This Row],[Adjusted Correct]]="YES",(Table4[[#This Row],[Strength of Win]]-1)^2,(Table4[[#This Row],[Strength of Win]]-0)^2))</f>
        <v>7.7660295612344929E-2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-0.53137605086483863</v>
      </c>
      <c r="H83" t="s">
        <v>30</v>
      </c>
      <c r="I83">
        <f>VLOOKUP(Table4[[#This Row],[Visitor]],'NHL Model'!$A$6:$B$38,2,FALSE)</f>
        <v>-0.24093199744133265</v>
      </c>
      <c r="J83">
        <f>($B$1+Table4[[#This Row],[Home Differential]])-Table4[[#This Row],[Away Differential]]</f>
        <v>-0.2405433045003435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0.55820746289392176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0.19518064584262551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-0.38023958350631604</v>
      </c>
      <c r="H84" t="s">
        <v>34</v>
      </c>
      <c r="I84">
        <f>VLOOKUP(Table4[[#This Row],[Visitor]],'NHL Model'!$A$6:$B$38,2,FALSE)</f>
        <v>-5.5124787449478845E-2</v>
      </c>
      <c r="J84">
        <f>($B$1+Table4[[#This Row],[Home Differential]])-Table4[[#This Row],[Away Differential]]</f>
        <v>-0.2752140471336747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0.52050739489554854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0.2709279481409505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-0.45133099238224339</v>
      </c>
      <c r="H85" t="s">
        <v>14</v>
      </c>
      <c r="I85">
        <f>VLOOKUP(Table4[[#This Row],[Visitor]],'NHL Model'!$A$6:$B$38,2,FALSE)</f>
        <v>-0.14226422156549004</v>
      </c>
      <c r="J85">
        <f>($B$1+Table4[[#This Row],[Home Differential]])-Table4[[#This Row],[Away Differential]]</f>
        <v>-0.25916602189359084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0.51934442750587928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0.23102977936965094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-1.3944783719477225</v>
      </c>
      <c r="H86" t="s">
        <v>39</v>
      </c>
      <c r="I86">
        <f>VLOOKUP(Table4[[#This Row],[Visitor]],'NHL Model'!$A$6:$B$38,2,FALSE)</f>
        <v>0.41344250185511977</v>
      </c>
      <c r="J86">
        <f>($B$1+Table4[[#This Row],[Home Differential]])-Table4[[#This Row],[Away Differential]]</f>
        <v>-1.7580201248796798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0.76707254891390675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0.58840029529727789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-0.63447859131898054</v>
      </c>
      <c r="H87" t="s">
        <v>32</v>
      </c>
      <c r="I87">
        <f>VLOOKUP(Table4[[#This Row],[Visitor]],'NHL Model'!$A$6:$B$38,2,FALSE)</f>
        <v>-0.64937723527808999</v>
      </c>
      <c r="J87">
        <f>($B$1+Table4[[#This Row],[Home Differential]])-Table4[[#This Row],[Away Differential]]</f>
        <v>6.4799392882271878E-2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0.54756628548978714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0.29982883700508306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-0.24444083032063643</v>
      </c>
      <c r="H88" t="s">
        <v>16</v>
      </c>
      <c r="I88">
        <f>VLOOKUP(Table4[[#This Row],[Visitor]],'NHL Model'!$A$6:$B$38,2,FALSE)</f>
        <v>-1.0657812790446208</v>
      </c>
      <c r="J88">
        <f>($B$1+Table4[[#This Row],[Home Differential]])-Table4[[#This Row],[Away Differential]]</f>
        <v>0.8712411976471468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0.64173026842765124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0.12835720056092284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-0.31324182378279158</v>
      </c>
      <c r="H89" t="s">
        <v>29</v>
      </c>
      <c r="I89">
        <f>VLOOKUP(Table4[[#This Row],[Visitor]],'NHL Model'!$A$6:$B$38,2,FALSE)</f>
        <v>-1.384917283810061</v>
      </c>
      <c r="J89">
        <f>($B$1+Table4[[#This Row],[Home Differential]])-Table4[[#This Row],[Away Differential]]</f>
        <v>1.1215762089504318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0.67345605488272364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0.10663094809275479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-0.17619625518431364</v>
      </c>
      <c r="H90" t="s">
        <v>31</v>
      </c>
      <c r="I90">
        <f>VLOOKUP(Table4[[#This Row],[Visitor]],'NHL Model'!$A$6:$B$38,2,FALSE)</f>
        <v>0.17870302183926629</v>
      </c>
      <c r="J90">
        <f>($B$1+Table4[[#This Row],[Home Differential]])-Table4[[#This Row],[Away Differential]]</f>
        <v>-0.3049985281004175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0.51638231038195603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0.26665069047540679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-0.87533956503230947</v>
      </c>
      <c r="H91" t="s">
        <v>17</v>
      </c>
      <c r="I91">
        <f>VLOOKUP(Table4[[#This Row],[Visitor]],'NHL Model'!$A$6:$B$38,2,FALSE)</f>
        <v>-0.81774666423752174</v>
      </c>
      <c r="J91">
        <f>($B$1+Table4[[#This Row],[Home Differential]])-Table4[[#This Row],[Away Differential]]</f>
        <v>-7.6921518716253079E-3</v>
      </c>
      <c r="K91" t="str">
        <f>IF(Table4[[#This Row],[HomeIce Differential]]&gt;0,Table4[[#This Row],[Home]],Table4[[#This Row],[Visitor]])</f>
        <v>Edmonton Oilers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0.46089817225907131</v>
      </c>
      <c r="M91" t="str">
        <f>IF(OR((NHL2025_26Results[[#This Row],[Winning Team]]="")),"-",IF(Table4[[#This Row],[Predicted Winner]]=NHL2025_26Results[[#This Row],[Winning Team]],"YES","NO"))</f>
        <v>NO</v>
      </c>
      <c r="N91">
        <f>IF(Table4[[#This Row],[Adjusted Correct]]="-", "",IF(Table4[[#This Row],[Adjusted Correct]]="YES",(Table4[[#This Row],[Strength of Win]]-1)^2,(Table4[[#This Row],[Strength of Win]]-0)^2))</f>
        <v>0.21242712519175258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-0.4031232890211825</v>
      </c>
      <c r="H92" t="s">
        <v>21</v>
      </c>
      <c r="I92">
        <f>VLOOKUP(Table4[[#This Row],[Visitor]],'NHL Model'!$A$6:$B$38,2,FALSE)</f>
        <v>-0.21976976044773161</v>
      </c>
      <c r="J92">
        <f>($B$1+Table4[[#This Row],[Home Differential]])-Table4[[#This Row],[Away Differential]]</f>
        <v>-0.1334527796502884</v>
      </c>
      <c r="K92" t="str">
        <f>IF(Table4[[#This Row],[HomeIce Differential]]&gt;0,Table4[[#This Row],[Home]],Table4[[#This Row],[Visitor]])</f>
        <v>Boston Bruins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0.43596474725172057</v>
      </c>
      <c r="M92" t="str">
        <f>IF(OR((NHL2025_26Results[[#This Row],[Winning Team]]="")),"-",IF(Table4[[#This Row],[Predicted Winner]]=NHL2025_26Results[[#This Row],[Winning Team]],"YES","NO"))</f>
        <v>NO</v>
      </c>
      <c r="N92">
        <f>IF(Table4[[#This Row],[Adjusted Correct]]="-", "",IF(Table4[[#This Row],[Adjusted Correct]]="YES",(Table4[[#This Row],[Strength of Win]]-1)^2,(Table4[[#This Row],[Strength of Win]]-0)^2))</f>
        <v>0.19006526084625661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0.4407072328537569</v>
      </c>
      <c r="H93" t="s">
        <v>38</v>
      </c>
      <c r="I93">
        <f>VLOOKUP(Table4[[#This Row],[Visitor]],'NHL Model'!$A$6:$B$38,2,FALSE)</f>
        <v>-0.9476777551108041</v>
      </c>
      <c r="J93">
        <f>($B$1+Table4[[#This Row],[Home Differential]])-Table4[[#This Row],[Away Differential]]</f>
        <v>1.4382857368877235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0.73044108736408575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0.53354418210962795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-1.0657812790446208</v>
      </c>
      <c r="H94" t="s">
        <v>40</v>
      </c>
      <c r="I94">
        <f>VLOOKUP(Table4[[#This Row],[Visitor]],'NHL Model'!$A$6:$B$38,2,FALSE)</f>
        <v>-0.31324182378279158</v>
      </c>
      <c r="J94">
        <f>($B$1+Table4[[#This Row],[Home Differential]])-Table4[[#This Row],[Away Differential]]</f>
        <v>-0.70263870633866676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0.56281266994144419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0.19113276156372863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-0.59288962827382519</v>
      </c>
      <c r="H95" t="s">
        <v>23</v>
      </c>
      <c r="I95">
        <f>VLOOKUP(Table4[[#This Row],[Visitor]],'NHL Model'!$A$6:$B$38,2,FALSE)</f>
        <v>-0.4761104357405897</v>
      </c>
      <c r="J95">
        <f>($B$1+Table4[[#This Row],[Home Differential]])-Table4[[#This Row],[Away Differential]]</f>
        <v>-6.6878443610073057E-2</v>
      </c>
      <c r="K95" t="str">
        <f>IF(Table4[[#This Row],[HomeIce Differential]]&gt;0,Table4[[#This Row],[Home]],Table4[[#This Row],[Visitor]])</f>
        <v>Buffalo Sabres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0.46780904534685669</v>
      </c>
      <c r="M95" t="str">
        <f>IF(OR((NHL2025_26Results[[#This Row],[Winning Team]]="")),"-",IF(Table4[[#This Row],[Predicted Winner]]=NHL2025_26Results[[#This Row],[Winning Team]],"YES","NO"))</f>
        <v>NO</v>
      </c>
      <c r="N95">
        <f>IF(Table4[[#This Row],[Adjusted Correct]]="-", "",IF(Table4[[#This Row],[Adjusted Correct]]="YES",(Table4[[#This Row],[Strength of Win]]-1)^2,(Table4[[#This Row],[Strength of Win]]-0)^2))</f>
        <v>0.21884530290833742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-0.29003398448394263</v>
      </c>
      <c r="H96" t="s">
        <v>34</v>
      </c>
      <c r="I96">
        <f>VLOOKUP(Table4[[#This Row],[Visitor]],'NHL Model'!$A$6:$B$38,2,FALSE)</f>
        <v>-5.5124787449478845E-2</v>
      </c>
      <c r="J96">
        <f>($B$1+Table4[[#This Row],[Home Differential]])-Table4[[#This Row],[Away Differential]]</f>
        <v>-0.18500844811130132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0.52411502966087842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0.22646650499466664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-0.38023958350631604</v>
      </c>
      <c r="H97" t="s">
        <v>32</v>
      </c>
      <c r="I97">
        <f>VLOOKUP(Table4[[#This Row],[Visitor]],'NHL Model'!$A$6:$B$38,2,FALSE)</f>
        <v>-0.64937723527808999</v>
      </c>
      <c r="J97">
        <f>($B$1+Table4[[#This Row],[Home Differential]])-Table4[[#This Row],[Away Differential]]</f>
        <v>0.31903840069493644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0.59126906245048083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0.16706097931010894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-0.24444083032063643</v>
      </c>
      <c r="H98" t="s">
        <v>25</v>
      </c>
      <c r="I98">
        <f>VLOOKUP(Table4[[#This Row],[Visitor]],'NHL Model'!$A$6:$B$38,2,FALSE)</f>
        <v>0.42567513732855267</v>
      </c>
      <c r="J98">
        <f>($B$1+Table4[[#This Row],[Home Differential]])-Table4[[#This Row],[Away Differential]]</f>
        <v>-0.62021521872602658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0.60504244961743847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0.36607636583907055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-0.21976976044773161</v>
      </c>
      <c r="H99" t="s">
        <v>11</v>
      </c>
      <c r="I99">
        <f>VLOOKUP(Table4[[#This Row],[Visitor]],'NHL Model'!$A$6:$B$38,2,FALSE)</f>
        <v>-0.39711829106410657</v>
      </c>
      <c r="J99">
        <f>($B$1+Table4[[#This Row],[Home Differential]])-Table4[[#This Row],[Away Differential]]</f>
        <v>0.22724927953953741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0.6094362617503768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0.3714125571362738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0.41344250185511977</v>
      </c>
      <c r="H100" t="s">
        <v>28</v>
      </c>
      <c r="I100">
        <f>VLOOKUP(Table4[[#This Row],[Visitor]],'NHL Model'!$A$6:$B$38,2,FALSE)</f>
        <v>-0.59498940435054026</v>
      </c>
      <c r="J100">
        <f>($B$1+Table4[[#This Row],[Home Differential]])-Table4[[#This Row],[Away Differential]]</f>
        <v>1.0583326551288226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0.69229633650839406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0.47927421754294358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-1.384917283810061</v>
      </c>
      <c r="H101" t="s">
        <v>31</v>
      </c>
      <c r="I101">
        <f>VLOOKUP(Table4[[#This Row],[Visitor]],'NHL Model'!$A$6:$B$38,2,FALSE)</f>
        <v>0.17870302183926629</v>
      </c>
      <c r="J101">
        <f>($B$1+Table4[[#This Row],[Home Differential]])-Table4[[#This Row],[Away Differential]]</f>
        <v>-1.5137195567261648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0.65751832992317638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0.11729369433861027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-0.24093199744133265</v>
      </c>
      <c r="H102" t="s">
        <v>33</v>
      </c>
      <c r="I102">
        <f>VLOOKUP(Table4[[#This Row],[Visitor]],'NHL Model'!$A$6:$B$38,2,FALSE)</f>
        <v>-0.45133099238224339</v>
      </c>
      <c r="J102">
        <f>($B$1+Table4[[#This Row],[Home Differential]])-Table4[[#This Row],[Away Differential]]</f>
        <v>0.26029974386407317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0.57039383684616074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0.18456145541976315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-0.53137605086483863</v>
      </c>
      <c r="H103" t="s">
        <v>17</v>
      </c>
      <c r="I103">
        <f>VLOOKUP(Table4[[#This Row],[Visitor]],'NHL Model'!$A$6:$B$38,2,FALSE)</f>
        <v>-0.81774666423752174</v>
      </c>
      <c r="J103">
        <f>($B$1+Table4[[#This Row],[Home Differential]])-Table4[[#This Row],[Away Differential]]</f>
        <v>0.33627136229584559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0.58176012376347264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0.33844484160129101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-0.14226422156549004</v>
      </c>
      <c r="H104" t="s">
        <v>38</v>
      </c>
      <c r="I104">
        <f>VLOOKUP(Table4[[#This Row],[Visitor]],'NHL Model'!$A$6:$B$38,2,FALSE)</f>
        <v>-0.9476777551108041</v>
      </c>
      <c r="J104">
        <f>($B$1+Table4[[#This Row],[Home Differential]])-Table4[[#This Row],[Away Differential]]</f>
        <v>0.85531428246847652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0.63629440707565277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0.13228175832445097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-1.3944783719477225</v>
      </c>
      <c r="H105" t="s">
        <v>13</v>
      </c>
      <c r="I105">
        <f>VLOOKUP(Table4[[#This Row],[Visitor]],'NHL Model'!$A$6:$B$38,2,FALSE)</f>
        <v>-0.33828359867721369</v>
      </c>
      <c r="J105">
        <f>($B$1+Table4[[#This Row],[Home Differential]])-Table4[[#This Row],[Away Differential]]</f>
        <v>-1.0062940243473464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0.64381546865604655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0.12686742036871176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-0.63447859131898054</v>
      </c>
      <c r="H106" t="s">
        <v>24</v>
      </c>
      <c r="I106">
        <f>VLOOKUP(Table4[[#This Row],[Visitor]],'NHL Model'!$A$6:$B$38,2,FALSE)</f>
        <v>1.5302507646042616E-3</v>
      </c>
      <c r="J106">
        <f>($B$1+Table4[[#This Row],[Home Differential]])-Table4[[#This Row],[Away Differential]]</f>
        <v>-0.58610809316042234</v>
      </c>
      <c r="K106" t="str">
        <f>IF(Table4[[#This Row],[HomeIce Differential]]&gt;0,Table4[[#This Row],[Home]],Table4[[#This Row],[Visitor]])</f>
        <v>New Jersey Devils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0.54920600098378236</v>
      </c>
      <c r="M106" t="str">
        <f>IF(OR((NHL2025_26Results[[#This Row],[Winning Team]]="")),"-",IF(Table4[[#This Row],[Predicted Winner]]=NHL2025_26Results[[#This Row],[Winning Team]],"YES","NO"))</f>
        <v>YES</v>
      </c>
      <c r="N106">
        <f>IF(Table4[[#This Row],[Adjusted Correct]]="-", "",IF(Table4[[#This Row],[Adjusted Correct]]="YES",(Table4[[#This Row],[Strength of Win]]-1)^2,(Table4[[#This Row],[Strength of Win]]-0)^2))</f>
        <v>0.20321522954903362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-0.4031232890211825</v>
      </c>
      <c r="H107" t="s">
        <v>12</v>
      </c>
      <c r="I107">
        <f>VLOOKUP(Table4[[#This Row],[Visitor]],'NHL Model'!$A$6:$B$38,2,FALSE)</f>
        <v>1.6319036584269762</v>
      </c>
      <c r="J107">
        <f>($B$1+Table4[[#This Row],[Home Differential]])-Table4[[#This Row],[Away Differential]]</f>
        <v>-1.9851261985249962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0.72341289378127493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0.52332621488899822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0.4407072328537569</v>
      </c>
      <c r="H108" t="s">
        <v>32</v>
      </c>
      <c r="I108">
        <f>VLOOKUP(Table4[[#This Row],[Visitor]],'NHL Model'!$A$6:$B$38,2,FALSE)</f>
        <v>-0.64937723527808999</v>
      </c>
      <c r="J108">
        <f>($B$1+Table4[[#This Row],[Home Differential]])-Table4[[#This Row],[Away Differential]]</f>
        <v>1.1399852170550093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0.69914783492121801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9.0512025232590693E-2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-0.4761104357405897</v>
      </c>
      <c r="H109" t="s">
        <v>26</v>
      </c>
      <c r="I109">
        <f>VLOOKUP(Table4[[#This Row],[Visitor]],'NHL Model'!$A$6:$B$38,2,FALSE)</f>
        <v>-0.87533956503230947</v>
      </c>
      <c r="J109">
        <f>($B$1+Table4[[#This Row],[Home Differential]])-Table4[[#This Row],[Away Differential]]</f>
        <v>0.44912987821488226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0.60256479135424768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0.15795474507129267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-1.0657812790446208</v>
      </c>
      <c r="H110" t="s">
        <v>18</v>
      </c>
      <c r="I110">
        <f>VLOOKUP(Table4[[#This Row],[Visitor]],'NHL Model'!$A$6:$B$38,2,FALSE)</f>
        <v>-0.59288962827382519</v>
      </c>
      <c r="J110">
        <f>($B$1+Table4[[#This Row],[Home Differential]])-Table4[[#This Row],[Away Differential]]</f>
        <v>-0.42299090184763322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0.56867826451875392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0.186038439498554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1.5302507646042616E-3</v>
      </c>
      <c r="H111" t="s">
        <v>34</v>
      </c>
      <c r="I111">
        <f>VLOOKUP(Table4[[#This Row],[Visitor]],'NHL Model'!$A$6:$B$38,2,FALSE)</f>
        <v>-5.5124787449478845E-2</v>
      </c>
      <c r="J111">
        <f>($B$1+Table4[[#This Row],[Home Differential]])-Table4[[#This Row],[Away Differential]]</f>
        <v>0.10655578713724556</v>
      </c>
      <c r="K111" t="str">
        <f>IF(Table4[[#This Row],[HomeIce Differential]]&gt;0,Table4[[#This Row],[Home]],Table4[[#This Row],[Visitor]])</f>
        <v>New Jersey Devils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0.59138932922050258</v>
      </c>
      <c r="M111" t="str">
        <f>IF(OR((NHL2025_26Results[[#This Row],[Winning Team]]="")),"-",IF(Table4[[#This Row],[Predicted Winner]]=NHL2025_26Results[[#This Row],[Winning Team]],"YES","NO"))</f>
        <v>YES</v>
      </c>
      <c r="N111">
        <f>IF(Table4[[#This Row],[Adjusted Correct]]="-", "",IF(Table4[[#This Row],[Adjusted Correct]]="YES",(Table4[[#This Row],[Strength of Win]]-1)^2,(Table4[[#This Row],[Strength of Win]]-0)^2))</f>
        <v>0.16696268027487082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-0.21976976044773161</v>
      </c>
      <c r="H112" t="s">
        <v>31</v>
      </c>
      <c r="I112">
        <f>VLOOKUP(Table4[[#This Row],[Visitor]],'NHL Model'!$A$6:$B$38,2,FALSE)</f>
        <v>0.17870302183926629</v>
      </c>
      <c r="J112">
        <f>($B$1+Table4[[#This Row],[Home Differential]])-Table4[[#This Row],[Away Differential]]</f>
        <v>-0.34857203336383547</v>
      </c>
      <c r="K112" t="str">
        <f>IF(Table4[[#This Row],[HomeIce Differential]]&gt;0,Table4[[#This Row],[Home]],Table4[[#This Row],[Visitor]])</f>
        <v>Anaheim Ducks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0.47820092945126846</v>
      </c>
      <c r="M112" t="str">
        <f>IF(OR((NHL2025_26Results[[#This Row],[Winning Team]]="")),"-",IF(Table4[[#This Row],[Predicted Winner]]=NHL2025_26Results[[#This Row],[Winning Team]],"YES","NO"))</f>
        <v>YES</v>
      </c>
      <c r="N112">
        <f>IF(Table4[[#This Row],[Adjusted Correct]]="-", "",IF(Table4[[#This Row],[Adjusted Correct]]="YES",(Table4[[#This Row],[Strength of Win]]-1)^2,(Table4[[#This Row],[Strength of Win]]-0)^2))</f>
        <v>0.27227427002552013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1.6319036584269762</v>
      </c>
      <c r="H113" t="s">
        <v>25</v>
      </c>
      <c r="I113">
        <f>VLOOKUP(Table4[[#This Row],[Visitor]],'NHL Model'!$A$6:$B$38,2,FALSE)</f>
        <v>0.42567513732855267</v>
      </c>
      <c r="J113">
        <f>($B$1+Table4[[#This Row],[Home Differential]])-Table4[[#This Row],[Away Differential]]</f>
        <v>1.256129270021586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0.7218928703579427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0.52112931627362946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0.41344250185511977</v>
      </c>
      <c r="H114" t="s">
        <v>13</v>
      </c>
      <c r="I114">
        <f>VLOOKUP(Table4[[#This Row],[Visitor]],'NHL Model'!$A$6:$B$38,2,FALSE)</f>
        <v>-0.33828359867721369</v>
      </c>
      <c r="J114">
        <f>($B$1+Table4[[#This Row],[Home Differential]])-Table4[[#This Row],[Away Differential]]</f>
        <v>0.80162684945549589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0.59993087976587611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0.35991706049665811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-0.81774666423752174</v>
      </c>
      <c r="H115" t="s">
        <v>18</v>
      </c>
      <c r="I115">
        <f>VLOOKUP(Table4[[#This Row],[Visitor]],'NHL Model'!$A$6:$B$38,2,FALSE)</f>
        <v>-0.59288962827382519</v>
      </c>
      <c r="J115">
        <f>($B$1+Table4[[#This Row],[Home Differential]])-Table4[[#This Row],[Away Differential]]</f>
        <v>-0.17495628704053412</v>
      </c>
      <c r="K115" t="str">
        <f>IF(Table4[[#This Row],[HomeIce Differential]]&gt;0,Table4[[#This Row],[Home]],Table4[[#This Row],[Visitor]])</f>
        <v>Montreal Canadiens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0.53262385063370665</v>
      </c>
      <c r="M115" t="str">
        <f>IF(OR((NHL2025_26Results[[#This Row],[Winning Team]]="")),"-",IF(Table4[[#This Row],[Predicted Winner]]=NHL2025_26Results[[#This Row],[Winning Team]],"YES","NO"))</f>
        <v>NO</v>
      </c>
      <c r="N115">
        <f>IF(Table4[[#This Row],[Adjusted Correct]]="-", "",IF(Table4[[#This Row],[Adjusted Correct]]="YES",(Table4[[#This Row],[Strength of Win]]-1)^2,(Table4[[#This Row],[Strength of Win]]-0)^2))</f>
        <v>0.28368816626387705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-0.39711829106410657</v>
      </c>
      <c r="H116" t="s">
        <v>14</v>
      </c>
      <c r="I116">
        <f>VLOOKUP(Table4[[#This Row],[Visitor]],'NHL Model'!$A$6:$B$38,2,FALSE)</f>
        <v>-0.14226422156549004</v>
      </c>
      <c r="J116">
        <f>($B$1+Table4[[#This Row],[Home Differential]])-Table4[[#This Row],[Away Differential]]</f>
        <v>-0.20495332057545404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0.50907983992379147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0.24100260356925021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-1.384917283810061</v>
      </c>
      <c r="H117" t="s">
        <v>38</v>
      </c>
      <c r="I117">
        <f>VLOOKUP(Table4[[#This Row],[Visitor]],'NHL Model'!$A$6:$B$38,2,FALSE)</f>
        <v>-0.9476777551108041</v>
      </c>
      <c r="J117">
        <f>($B$1+Table4[[#This Row],[Home Differential]])-Table4[[#This Row],[Away Differential]]</f>
        <v>-0.38733877977609443</v>
      </c>
      <c r="K117" t="str">
        <f>IF(Table4[[#This Row],[HomeIce Differential]]&gt;0,Table4[[#This Row],[Home]],Table4[[#This Row],[Visitor]])</f>
        <v>Vancouver Canucks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0.50880367819163874</v>
      </c>
      <c r="M117" t="str">
        <f>IF(OR((NHL2025_26Results[[#This Row],[Winning Team]]="")),"-",IF(Table4[[#This Row],[Predicted Winner]]=NHL2025_26Results[[#This Row],[Winning Team]],"YES","NO"))</f>
        <v>NO</v>
      </c>
      <c r="N117">
        <f>IF(Table4[[#This Row],[Adjusted Correct]]="-", "",IF(Table4[[#This Row],[Adjusted Correct]]="YES",(Table4[[#This Row],[Strength of Win]]-1)^2,(Table4[[#This Row],[Strength of Win]]-0)^2))</f>
        <v>0.25888118294134066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-0.24093199744133265</v>
      </c>
      <c r="H118" t="s">
        <v>26</v>
      </c>
      <c r="I118">
        <f>VLOOKUP(Table4[[#This Row],[Visitor]],'NHL Model'!$A$6:$B$38,2,FALSE)</f>
        <v>-0.87533956503230947</v>
      </c>
      <c r="J118">
        <f>($B$1+Table4[[#This Row],[Home Differential]])-Table4[[#This Row],[Away Differential]]</f>
        <v>0.68430831651413926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0.61990309562295465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0.14447365671701276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-0.29003398448394263</v>
      </c>
      <c r="H119" t="s">
        <v>33</v>
      </c>
      <c r="I119">
        <f>VLOOKUP(Table4[[#This Row],[Visitor]],'NHL Model'!$A$6:$B$38,2,FALSE)</f>
        <v>-0.45133099238224339</v>
      </c>
      <c r="J119">
        <f>($B$1+Table4[[#This Row],[Home Differential]])-Table4[[#This Row],[Away Differential]]</f>
        <v>0.21119775682146322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0.56466045516532937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0.31884142962751694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-0.53137605086483863</v>
      </c>
      <c r="H120" t="s">
        <v>27</v>
      </c>
      <c r="I120">
        <f>VLOOKUP(Table4[[#This Row],[Visitor]],'NHL Model'!$A$6:$B$38,2,FALSE)</f>
        <v>-0.38023958350631604</v>
      </c>
      <c r="J120">
        <f>($B$1+Table4[[#This Row],[Home Differential]])-Table4[[#This Row],[Away Differential]]</f>
        <v>-0.10123571843536011</v>
      </c>
      <c r="K120" t="str">
        <f>IF(Table4[[#This Row],[HomeIce Differential]]&gt;0,Table4[[#This Row],[Home]],Table4[[#This Row],[Visitor]])</f>
        <v>Philadelphia Flyers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0.51182076425989476</v>
      </c>
      <c r="M120" t="str">
        <f>IF(OR((NHL2025_26Results[[#This Row],[Winning Team]]="")),"-",IF(Table4[[#This Row],[Predicted Winner]]=NHL2025_26Results[[#This Row],[Winning Team]],"YES","NO"))</f>
        <v>NO</v>
      </c>
      <c r="N120">
        <f>IF(Table4[[#This Row],[Adjusted Correct]]="-", "",IF(Table4[[#This Row],[Adjusted Correct]]="YES",(Table4[[#This Row],[Strength of Win]]-1)^2,(Table4[[#This Row],[Strength of Win]]-0)^2))</f>
        <v>0.26196049472758276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-1.3944783719477225</v>
      </c>
      <c r="H121" t="s">
        <v>55</v>
      </c>
      <c r="I121">
        <f>VLOOKUP(Table4[[#This Row],[Visitor]],'NHL Model'!$A$6:$B$38,2,FALSE)</f>
        <v>-0.4031232890211825</v>
      </c>
      <c r="J121">
        <f>($B$1+Table4[[#This Row],[Home Differential]])-Table4[[#This Row],[Away Differential]]</f>
        <v>-0.94145433400337764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0.5699286883691741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0.18496133308785898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0.51050494674660429</v>
      </c>
      <c r="H122" t="s">
        <v>10</v>
      </c>
      <c r="I122">
        <f>VLOOKUP(Table4[[#This Row],[Visitor]],'NHL Model'!$A$6:$B$38,2,FALSE)</f>
        <v>-0.17619625518431364</v>
      </c>
      <c r="J122">
        <f>($B$1+Table4[[#This Row],[Home Differential]])-Table4[[#This Row],[Away Differential]]</f>
        <v>0.73660195085408042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0.65825521503939921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0.4332999281265657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-0.31324182378279158</v>
      </c>
      <c r="H123" t="s">
        <v>32</v>
      </c>
      <c r="I123">
        <f>VLOOKUP(Table4[[#This Row],[Visitor]],'NHL Model'!$A$6:$B$38,2,FALSE)</f>
        <v>-0.64937723527808999</v>
      </c>
      <c r="J123">
        <f>($B$1+Table4[[#This Row],[Home Differential]])-Table4[[#This Row],[Away Differential]]</f>
        <v>0.38603616041846089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0.58757089842028809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0.34523956067042449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-0.4761104357405897</v>
      </c>
      <c r="H124" t="s">
        <v>19</v>
      </c>
      <c r="I124">
        <f>VLOOKUP(Table4[[#This Row],[Visitor]],'NHL Model'!$A$6:$B$38,2,FALSE)</f>
        <v>-0.63447859131898054</v>
      </c>
      <c r="J124">
        <f>($B$1+Table4[[#This Row],[Home Differential]])-Table4[[#This Row],[Away Differential]]</f>
        <v>0.20826890450155333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0.57444071781895778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0.18110070265044392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-0.59498940435054026</v>
      </c>
      <c r="H125" t="s">
        <v>22</v>
      </c>
      <c r="I125">
        <f>VLOOKUP(Table4[[#This Row],[Visitor]],'NHL Model'!$A$6:$B$38,2,FALSE)</f>
        <v>0.4407072328537569</v>
      </c>
      <c r="J125">
        <f>($B$1+Table4[[#This Row],[Home Differential]])-Table4[[#This Row],[Away Differential]]</f>
        <v>-0.98579588828113474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0.61761878207980603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0.14621539581813087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1.5302507646042616E-3</v>
      </c>
      <c r="H126" t="s">
        <v>33</v>
      </c>
      <c r="I126">
        <f>VLOOKUP(Table4[[#This Row],[Visitor]],'NHL Model'!$A$6:$B$38,2,FALSE)</f>
        <v>-0.45133099238224339</v>
      </c>
      <c r="J126">
        <f>($B$1+Table4[[#This Row],[Home Differential]])-Table4[[#This Row],[Away Differential]]</f>
        <v>0.50276199207001016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0.67853959355538906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0.10333679291153446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-0.31324182378279158</v>
      </c>
      <c r="H127" t="s">
        <v>16</v>
      </c>
      <c r="I127">
        <f>VLOOKUP(Table4[[#This Row],[Visitor]],'NHL Model'!$A$6:$B$38,2,FALSE)</f>
        <v>-1.0657812790446208</v>
      </c>
      <c r="J127">
        <f>($B$1+Table4[[#This Row],[Home Differential]])-Table4[[#This Row],[Away Differential]]</f>
        <v>0.80244020418499173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0.63619221621509325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0.13235610354248545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-0.21976976044773161</v>
      </c>
      <c r="H128" t="s">
        <v>12</v>
      </c>
      <c r="I128">
        <f>VLOOKUP(Table4[[#This Row],[Visitor]],'NHL Model'!$A$6:$B$38,2,FALSE)</f>
        <v>1.6319036584269762</v>
      </c>
      <c r="J128">
        <f>($B$1+Table4[[#This Row],[Home Differential]])-Table4[[#This Row],[Away Differential]]</f>
        <v>-1.8017726699515453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0.69946652091585082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0.4892534138821244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0.41344250185511977</v>
      </c>
      <c r="H129" t="s">
        <v>25</v>
      </c>
      <c r="I129">
        <f>VLOOKUP(Table4[[#This Row],[Visitor]],'NHL Model'!$A$6:$B$38,2,FALSE)</f>
        <v>0.42567513732855267</v>
      </c>
      <c r="J129">
        <f>($B$1+Table4[[#This Row],[Home Differential]])-Table4[[#This Row],[Away Differential]]</f>
        <v>3.766811344972959E-2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0.50439830818693232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0.24562103692797491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-0.87533956503230947</v>
      </c>
      <c r="H130" t="s">
        <v>35</v>
      </c>
      <c r="I130">
        <f>VLOOKUP(Table4[[#This Row],[Visitor]],'NHL Model'!$A$6:$B$38,2,FALSE)</f>
        <v>-1.3944783719477225</v>
      </c>
      <c r="J130">
        <f>($B$1+Table4[[#This Row],[Home Differential]])-Table4[[#This Row],[Away Differential]]</f>
        <v>0.56903955583857546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0.60644376656859444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0.15488650887271499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-0.39711829106410657</v>
      </c>
      <c r="H131" t="s">
        <v>20</v>
      </c>
      <c r="I131">
        <f>VLOOKUP(Table4[[#This Row],[Visitor]],'NHL Model'!$A$6:$B$38,2,FALSE)</f>
        <v>-0.24444083032063643</v>
      </c>
      <c r="J131">
        <f>($B$1+Table4[[#This Row],[Home Differential]])-Table4[[#This Row],[Away Differential]]</f>
        <v>-0.10277671182030765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0.45798407748241166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0.20974941522741564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-5.5124787449478845E-2</v>
      </c>
      <c r="H132" t="s">
        <v>55</v>
      </c>
      <c r="I132">
        <f>VLOOKUP(Table4[[#This Row],[Visitor]],'NHL Model'!$A$6:$B$38,2,FALSE)</f>
        <v>-0.4031232890211825</v>
      </c>
      <c r="J132">
        <f>($B$1+Table4[[#This Row],[Home Differential]])-Table4[[#This Row],[Away Differential]]</f>
        <v>0.39789925049486613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0.5864606100690819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0.34393604716259973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-1.384917283810061</v>
      </c>
      <c r="H133" t="s">
        <v>13</v>
      </c>
      <c r="I133">
        <f>VLOOKUP(Table4[[#This Row],[Visitor]],'NHL Model'!$A$6:$B$38,2,FALSE)</f>
        <v>-0.33828359867721369</v>
      </c>
      <c r="J133">
        <f>($B$1+Table4[[#This Row],[Home Differential]])-Table4[[#This Row],[Away Differential]]</f>
        <v>-0.99673293620968484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0.64269907050438491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0.41306209522720033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-0.38023958350631604</v>
      </c>
      <c r="H134" t="s">
        <v>30</v>
      </c>
      <c r="I134">
        <f>VLOOKUP(Table4[[#This Row],[Visitor]],'NHL Model'!$A$6:$B$38,2,FALSE)</f>
        <v>-0.24093199744133265</v>
      </c>
      <c r="J134">
        <f>($B$1+Table4[[#This Row],[Home Differential]])-Table4[[#This Row],[Away Differential]]</f>
        <v>-8.9406837141820905E-2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0.52895808630556485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0.27979665706804541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-0.14226422156549004</v>
      </c>
      <c r="H135" t="s">
        <v>28</v>
      </c>
      <c r="I135">
        <f>VLOOKUP(Table4[[#This Row],[Visitor]],'NHL Model'!$A$6:$B$38,2,FALSE)</f>
        <v>-0.59498940435054026</v>
      </c>
      <c r="J135">
        <f>($B$1+Table4[[#This Row],[Home Differential]])-Table4[[#This Row],[Away Differential]]</f>
        <v>0.50262593170821268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0.59511283681584248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0.35415928854299955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-0.64937723527808999</v>
      </c>
      <c r="H136" t="s">
        <v>17</v>
      </c>
      <c r="I136">
        <f>VLOOKUP(Table4[[#This Row],[Visitor]],'NHL Model'!$A$6:$B$38,2,FALSE)</f>
        <v>-0.81774666423752174</v>
      </c>
      <c r="J136">
        <f>($B$1+Table4[[#This Row],[Home Differential]])-Table4[[#This Row],[Away Differential]]</f>
        <v>0.21827017788259417</v>
      </c>
      <c r="K136" t="str">
        <f>IF(Table4[[#This Row],[HomeIce Differential]]&gt;0,Table4[[#This Row],[Home]],Table4[[#This Row],[Visitor]])</f>
        <v>Seattle Kraken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0.5654862647057014</v>
      </c>
      <c r="M136" t="str">
        <f>IF(OR((NHL2025_26Results[[#This Row],[Winning Team]]="")),"-",IF(Table4[[#This Row],[Predicted Winner]]=NHL2025_26Results[[#This Row],[Winning Team]],"YES","NO"))</f>
        <v>YES</v>
      </c>
      <c r="N136">
        <f>IF(Table4[[#This Row],[Adjusted Correct]]="-", "",IF(Table4[[#This Row],[Adjusted Correct]]="YES",(Table4[[#This Row],[Strength of Win]]-1)^2,(Table4[[#This Row],[Strength of Win]]-0)^2))</f>
        <v>0.18880218615940378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0.51050494674660429</v>
      </c>
      <c r="H137" t="s">
        <v>31</v>
      </c>
      <c r="I137">
        <f>VLOOKUP(Table4[[#This Row],[Visitor]],'NHL Model'!$A$6:$B$38,2,FALSE)</f>
        <v>0.17870302183926629</v>
      </c>
      <c r="J137">
        <f>($B$1+Table4[[#This Row],[Home Differential]])-Table4[[#This Row],[Away Differential]]</f>
        <v>0.38170267383050044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0.59629355863014089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0.16297889080351549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-0.63447859131898054</v>
      </c>
      <c r="H138" t="s">
        <v>23</v>
      </c>
      <c r="I138">
        <f>VLOOKUP(Table4[[#This Row],[Visitor]],'NHL Model'!$A$6:$B$38,2,FALSE)</f>
        <v>-0.4761104357405897</v>
      </c>
      <c r="J138">
        <f>($B$1+Table4[[#This Row],[Home Differential]])-Table4[[#This Row],[Away Differential]]</f>
        <v>-0.10846740665522842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0.47266517059166496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0.22341236349044774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-0.9476777551108041</v>
      </c>
      <c r="H139" t="s">
        <v>18</v>
      </c>
      <c r="I139">
        <f>VLOOKUP(Table4[[#This Row],[Visitor]],'NHL Model'!$A$6:$B$38,2,FALSE)</f>
        <v>-0.59288962827382519</v>
      </c>
      <c r="J139">
        <f>($B$1+Table4[[#This Row],[Home Differential]])-Table4[[#This Row],[Away Differential]]</f>
        <v>-0.30488737791381648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0.55488793501587308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0.19812475039443361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0.4407072328537569</v>
      </c>
      <c r="H140" t="s">
        <v>36</v>
      </c>
      <c r="I140">
        <f>VLOOKUP(Table4[[#This Row],[Visitor]],'NHL Model'!$A$6:$B$38,2,FALSE)</f>
        <v>-0.53137605086483863</v>
      </c>
      <c r="J140">
        <f>($B$1+Table4[[#This Row],[Home Differential]])-Table4[[#This Row],[Away Differential]]</f>
        <v>1.021984032641758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0.68536945506778668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0.46973128993991486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-1.0657812790446208</v>
      </c>
      <c r="H141" t="s">
        <v>15</v>
      </c>
      <c r="I141">
        <f>VLOOKUP(Table4[[#This Row],[Visitor]],'NHL Model'!$A$6:$B$38,2,FALSE)</f>
        <v>-0.29003398448394263</v>
      </c>
      <c r="J141">
        <f>($B$1+Table4[[#This Row],[Home Differential]])-Table4[[#This Row],[Away Differential]]</f>
        <v>-0.72584654563751583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0.64483476332872802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0.4158118719972167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-0.17619625518431364</v>
      </c>
      <c r="H142" t="s">
        <v>13</v>
      </c>
      <c r="I142">
        <f>VLOOKUP(Table4[[#This Row],[Visitor]],'NHL Model'!$A$6:$B$38,2,FALSE)</f>
        <v>-0.33828359867721369</v>
      </c>
      <c r="J142">
        <f>($B$1+Table4[[#This Row],[Home Differential]])-Table4[[#This Row],[Away Differential]]</f>
        <v>0.21198809241606251</v>
      </c>
      <c r="K142" t="str">
        <f>IF(Table4[[#This Row],[HomeIce Differential]]&gt;0,Table4[[#This Row],[Home]],Table4[[#This Row],[Visitor]])</f>
        <v>Chicago Blackhawks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0.49843694903683539</v>
      </c>
      <c r="M142" t="str">
        <f>IF(OR((NHL2025_26Results[[#This Row],[Winning Team]]="")),"-",IF(Table4[[#This Row],[Predicted Winner]]=NHL2025_26Results[[#This Row],[Winning Team]],"YES","NO"))</f>
        <v>NO</v>
      </c>
      <c r="N142">
        <f>IF(Table4[[#This Row],[Adjusted Correct]]="-", "",IF(Table4[[#This Row],[Adjusted Correct]]="YES",(Table4[[#This Row],[Strength of Win]]-1)^2,(Table4[[#This Row],[Strength of Win]]-0)^2))</f>
        <v>0.24843939216514885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-5.5124787449478845E-2</v>
      </c>
      <c r="H143" t="s">
        <v>33</v>
      </c>
      <c r="I143">
        <f>VLOOKUP(Table4[[#This Row],[Visitor]],'NHL Model'!$A$6:$B$38,2,FALSE)</f>
        <v>-0.45133099238224339</v>
      </c>
      <c r="J143">
        <f>($B$1+Table4[[#This Row],[Home Differential]])-Table4[[#This Row],[Away Differential]]</f>
        <v>0.44610695385592702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0.59208957093140724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0.35057006000573793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1.5302507646042616E-3</v>
      </c>
      <c r="H144" t="s">
        <v>12</v>
      </c>
      <c r="I144">
        <f>VLOOKUP(Table4[[#This Row],[Visitor]],'NHL Model'!$A$6:$B$38,2,FALSE)</f>
        <v>1.6319036584269762</v>
      </c>
      <c r="J144">
        <f>($B$1+Table4[[#This Row],[Home Differential]])-Table4[[#This Row],[Away Differential]]</f>
        <v>-1.5804726587392095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0.63524773437155191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0.40353968402418977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-1.384917283810061</v>
      </c>
      <c r="H145" t="s">
        <v>39</v>
      </c>
      <c r="I145">
        <f>VLOOKUP(Table4[[#This Row],[Visitor]],'NHL Model'!$A$6:$B$38,2,FALSE)</f>
        <v>0.41344250185511977</v>
      </c>
      <c r="J145">
        <f>($B$1+Table4[[#This Row],[Home Differential]])-Table4[[#This Row],[Away Differential]]</f>
        <v>-1.7484590367420183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0.7659561507622451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5.4776523366024947E-2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0.51050494674660429</v>
      </c>
      <c r="H146" t="s">
        <v>20</v>
      </c>
      <c r="I146">
        <f>VLOOKUP(Table4[[#This Row],[Visitor]],'NHL Model'!$A$6:$B$38,2,FALSE)</f>
        <v>-0.24444083032063643</v>
      </c>
      <c r="J146">
        <f>($B$1+Table4[[#This Row],[Home Differential]])-Table4[[#This Row],[Away Differential]]</f>
        <v>0.80484652599040318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0.66622377640460784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0.11140656743760123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-0.9476777551108041</v>
      </c>
      <c r="H147" t="s">
        <v>17</v>
      </c>
      <c r="I147">
        <f>VLOOKUP(Table4[[#This Row],[Visitor]],'NHL Model'!$A$6:$B$38,2,FALSE)</f>
        <v>-0.81774666423752174</v>
      </c>
      <c r="J147">
        <f>($B$1+Table4[[#This Row],[Home Differential]])-Table4[[#This Row],[Away Differential]]</f>
        <v>-8.0030341950119932E-2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0.46934472358622298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0.22028446955822806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-0.31324182378279158</v>
      </c>
      <c r="H148" t="s">
        <v>55</v>
      </c>
      <c r="I148">
        <f>VLOOKUP(Table4[[#This Row],[Visitor]],'NHL Model'!$A$6:$B$38,2,FALSE)</f>
        <v>-0.4031232890211825</v>
      </c>
      <c r="J148">
        <f>($B$1+Table4[[#This Row],[Home Differential]])-Table4[[#This Row],[Away Differential]]</f>
        <v>0.1397822141615534</v>
      </c>
      <c r="K148" t="str">
        <f>IF(Table4[[#This Row],[HomeIce Differential]]&gt;0,Table4[[#This Row],[Home]],Table4[[#This Row],[Visitor]])</f>
        <v>Winnipeg Jets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0.5588171157459414</v>
      </c>
      <c r="M148" t="str">
        <f>IF(OR((NHL2025_26Results[[#This Row],[Winning Team]]="")),"-",IF(Table4[[#This Row],[Predicted Winner]]=NHL2025_26Results[[#This Row],[Winning Team]],"YES","NO"))</f>
        <v>NO</v>
      </c>
      <c r="N148">
        <f>IF(Table4[[#This Row],[Adjusted Correct]]="-", "",IF(Table4[[#This Row],[Adjusted Correct]]="YES",(Table4[[#This Row],[Strength of Win]]-1)^2,(Table4[[#This Row],[Strength of Win]]-0)^2))</f>
        <v>0.31227656885061289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-0.53137605086483863</v>
      </c>
      <c r="H149" t="s">
        <v>21</v>
      </c>
      <c r="I149">
        <f>VLOOKUP(Table4[[#This Row],[Visitor]],'NHL Model'!$A$6:$B$38,2,FALSE)</f>
        <v>-0.21976976044773161</v>
      </c>
      <c r="J149">
        <f>($B$1+Table4[[#This Row],[Home Differential]])-Table4[[#This Row],[Away Differential]]</f>
        <v>-0.26170554149394454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0.48889131780087369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0.23901472062107487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-0.14226422156549004</v>
      </c>
      <c r="H150" t="s">
        <v>35</v>
      </c>
      <c r="I150">
        <f>VLOOKUP(Table4[[#This Row],[Visitor]],'NHL Model'!$A$6:$B$38,2,FALSE)</f>
        <v>-1.3944783719477225</v>
      </c>
      <c r="J150">
        <f>($B$1+Table4[[#This Row],[Home Differential]])-Table4[[#This Row],[Away Differential]]</f>
        <v>1.302114899305395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0.69204113233822317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9.483866417152377E-2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-0.21976976044773161</v>
      </c>
      <c r="H151" t="s">
        <v>30</v>
      </c>
      <c r="I151">
        <f>VLOOKUP(Table4[[#This Row],[Visitor]],'NHL Model'!$A$6:$B$38,2,FALSE)</f>
        <v>-0.24093199744133265</v>
      </c>
      <c r="J151">
        <f>($B$1+Table4[[#This Row],[Home Differential]])-Table4[[#This Row],[Away Differential]]</f>
        <v>7.1062985916763494E-2</v>
      </c>
      <c r="K151" t="str">
        <f>IF(Table4[[#This Row],[HomeIce Differential]]&gt;0,Table4[[#This Row],[Home]],Table4[[#This Row],[Visitor]])</f>
        <v>Boston Bruins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0.51921468298828499</v>
      </c>
      <c r="M151" t="str">
        <f>IF(OR((NHL2025_26Results[[#This Row],[Winning Team]]="")),"-",IF(Table4[[#This Row],[Predicted Winner]]=NHL2025_26Results[[#This Row],[Winning Team]],"YES","NO"))</f>
        <v>YES</v>
      </c>
      <c r="N151">
        <f>IF(Table4[[#This Row],[Adjusted Correct]]="-", "",IF(Table4[[#This Row],[Adjusted Correct]]="YES",(Table4[[#This Row],[Strength of Win]]-1)^2,(Table4[[#This Row],[Strength of Win]]-0)^2))</f>
        <v>0.23115452105405529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-0.4761104357405897</v>
      </c>
      <c r="H152" t="s">
        <v>28</v>
      </c>
      <c r="I152">
        <f>VLOOKUP(Table4[[#This Row],[Visitor]],'NHL Model'!$A$6:$B$38,2,FALSE)</f>
        <v>-0.59498940435054026</v>
      </c>
      <c r="J152">
        <f>($B$1+Table4[[#This Row],[Home Differential]])-Table4[[#This Row],[Away Differential]]</f>
        <v>0.16877971753311305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0.5662662274862772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0.32065744039154026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0.42567513732855267</v>
      </c>
      <c r="H153" t="s">
        <v>20</v>
      </c>
      <c r="I153">
        <f>VLOOKUP(Table4[[#This Row],[Visitor]],'NHL Model'!$A$6:$B$38,2,FALSE)</f>
        <v>-0.24444083032063643</v>
      </c>
      <c r="J153">
        <f>($B$1+Table4[[#This Row],[Home Differential]])-Table4[[#This Row],[Away Differential]]</f>
        <v>0.72001671657235156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0.67578855467948284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0.45669017063578438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-0.17619625518431364</v>
      </c>
      <c r="H154" t="s">
        <v>36</v>
      </c>
      <c r="I154">
        <f>VLOOKUP(Table4[[#This Row],[Visitor]],'NHL Model'!$A$6:$B$38,2,FALSE)</f>
        <v>-0.53137605086483863</v>
      </c>
      <c r="J154">
        <f>($B$1+Table4[[#This Row],[Home Differential]])-Table4[[#This Row],[Away Differential]]</f>
        <v>0.40508054460368748</v>
      </c>
      <c r="K154" t="str">
        <f>IF(Table4[[#This Row],[HomeIce Differential]]&gt;0,Table4[[#This Row],[Home]],Table4[[#This Row],[Visitor]])</f>
        <v>Chicago Blackhawks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0.58729913214462337</v>
      </c>
      <c r="M154" t="str">
        <f>IF(OR((NHL2025_26Results[[#This Row],[Winning Team]]="")),"-",IF(Table4[[#This Row],[Predicted Winner]]=NHL2025_26Results[[#This Row],[Winning Team]],"YES","NO"))</f>
        <v>YES</v>
      </c>
      <c r="N154">
        <f>IF(Table4[[#This Row],[Adjusted Correct]]="-", "",IF(Table4[[#This Row],[Adjusted Correct]]="YES",(Table4[[#This Row],[Strength of Win]]-1)^2,(Table4[[#This Row],[Strength of Win]]-0)^2))</f>
        <v>0.17032200632858105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1.6319036584269762</v>
      </c>
      <c r="H155" t="s">
        <v>24</v>
      </c>
      <c r="I155">
        <f>VLOOKUP(Table4[[#This Row],[Visitor]],'NHL Model'!$A$6:$B$38,2,FALSE)</f>
        <v>1.5302507646042616E-3</v>
      </c>
      <c r="J155">
        <f>($B$1+Table4[[#This Row],[Home Differential]])-Table4[[#This Row],[Away Differential]]</f>
        <v>1.6802741565855344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0.82119680685797902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3.1970581877782858E-2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0.41344250185511977</v>
      </c>
      <c r="H156" t="s">
        <v>22</v>
      </c>
      <c r="I156">
        <f>VLOOKUP(Table4[[#This Row],[Visitor]],'NHL Model'!$A$6:$B$38,2,FALSE)</f>
        <v>0.4407072328537569</v>
      </c>
      <c r="J156">
        <f>($B$1+Table4[[#This Row],[Home Differential]])-Table4[[#This Row],[Away Differential]]</f>
        <v>2.2636017924525353E-2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0.53276357110417993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0.21830988048731872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-0.81774666423752174</v>
      </c>
      <c r="H157" t="s">
        <v>55</v>
      </c>
      <c r="I157">
        <f>VLOOKUP(Table4[[#This Row],[Visitor]],'NHL Model'!$A$6:$B$38,2,FALSE)</f>
        <v>-0.4031232890211825</v>
      </c>
      <c r="J157">
        <f>($B$1+Table4[[#This Row],[Home Differential]])-Table4[[#This Row],[Away Differential]]</f>
        <v>-0.36472262629317681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0.49554079768155213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0.24556068216686897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-0.39711829106410657</v>
      </c>
      <c r="H158" t="s">
        <v>31</v>
      </c>
      <c r="I158">
        <f>VLOOKUP(Table4[[#This Row],[Visitor]],'NHL Model'!$A$6:$B$38,2,FALSE)</f>
        <v>0.17870302183926629</v>
      </c>
      <c r="J158">
        <f>($B$1+Table4[[#This Row],[Home Differential]])-Table4[[#This Row],[Away Differential]]</f>
        <v>-0.52592056398021036</v>
      </c>
      <c r="K158" t="str">
        <f>IF(Table4[[#This Row],[HomeIce Differential]]&gt;0,Table4[[#This Row],[Home]],Table4[[#This Row],[Visitor]])</f>
        <v>Anaheim Ducks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0.52807565454489702</v>
      </c>
      <c r="M158" t="str">
        <f>IF(OR((NHL2025_26Results[[#This Row],[Winning Team]]="")),"-",IF(Table4[[#This Row],[Predicted Winner]]=NHL2025_26Results[[#This Row],[Winning Team]],"YES","NO"))</f>
        <v>YES</v>
      </c>
      <c r="N158">
        <f>IF(Table4[[#This Row],[Adjusted Correct]]="-", "",IF(Table4[[#This Row],[Adjusted Correct]]="YES",(Table4[[#This Row],[Strength of Win]]-1)^2,(Table4[[#This Row],[Strength of Win]]-0)^2))</f>
        <v>0.22271258783322737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-5.5124787449478845E-2</v>
      </c>
      <c r="H159" t="s">
        <v>40</v>
      </c>
      <c r="I159">
        <f>VLOOKUP(Table4[[#This Row],[Visitor]],'NHL Model'!$A$6:$B$38,2,FALSE)</f>
        <v>-0.31324182378279158</v>
      </c>
      <c r="J159">
        <f>($B$1+Table4[[#This Row],[Home Differential]])-Table4[[#This Row],[Away Differential]]</f>
        <v>0.30801778525647522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0.55519639167751955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0.30824303333173769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-1.384917283810061</v>
      </c>
      <c r="H160" t="s">
        <v>37</v>
      </c>
      <c r="I160">
        <f>VLOOKUP(Table4[[#This Row],[Visitor]],'NHL Model'!$A$6:$B$38,2,FALSE)</f>
        <v>0.51050494674660429</v>
      </c>
      <c r="J160">
        <f>($B$1+Table4[[#This Row],[Home Differential]])-Table4[[#This Row],[Away Differential]]</f>
        <v>-1.8455214816335028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0.76797805877908609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5.3834181207921231E-2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-0.38023958350631604</v>
      </c>
      <c r="H161" t="s">
        <v>14</v>
      </c>
      <c r="I161">
        <f>VLOOKUP(Table4[[#This Row],[Visitor]],'NHL Model'!$A$6:$B$38,2,FALSE)</f>
        <v>-0.14226422156549004</v>
      </c>
      <c r="J161">
        <f>($B$1+Table4[[#This Row],[Home Differential]])-Table4[[#This Row],[Away Differential]]</f>
        <v>-0.18807461301766351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0.50710900170447515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0.25715953960970939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-0.64937723527808999</v>
      </c>
      <c r="H162" t="s">
        <v>18</v>
      </c>
      <c r="I162">
        <f>VLOOKUP(Table4[[#This Row],[Visitor]],'NHL Model'!$A$6:$B$38,2,FALSE)</f>
        <v>-0.59288962827382519</v>
      </c>
      <c r="J162">
        <f>($B$1+Table4[[#This Row],[Home Differential]])-Table4[[#This Row],[Away Differential]]</f>
        <v>-6.5868580811023758E-3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0.52005694672394875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0.23034533438793856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-0.45133099238224339</v>
      </c>
      <c r="H163" t="s">
        <v>13</v>
      </c>
      <c r="I163">
        <f>VLOOKUP(Table4[[#This Row],[Visitor]],'NHL Model'!$A$6:$B$38,2,FALSE)</f>
        <v>-0.33828359867721369</v>
      </c>
      <c r="J163">
        <f>($B$1+Table4[[#This Row],[Home Differential]])-Table4[[#This Row],[Away Differential]]</f>
        <v>-6.3146644781867212E-2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0.52350233501430832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0.22705002473681646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-1.3944783719477225</v>
      </c>
      <c r="H164" t="s">
        <v>26</v>
      </c>
      <c r="I164">
        <f>VLOOKUP(Table4[[#This Row],[Visitor]],'NHL Model'!$A$6:$B$38,2,FALSE)</f>
        <v>-0.87533956503230947</v>
      </c>
      <c r="J164">
        <f>($B$1+Table4[[#This Row],[Home Differential]])-Table4[[#This Row],[Away Differential]]</f>
        <v>-0.4692380579922506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0.51479046873005474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0.23542828923519998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-0.63447859131898054</v>
      </c>
      <c r="H165" t="s">
        <v>16</v>
      </c>
      <c r="I165">
        <f>VLOOKUP(Table4[[#This Row],[Visitor]],'NHL Model'!$A$6:$B$38,2,FALSE)</f>
        <v>-1.0657812790446208</v>
      </c>
      <c r="J165">
        <f>($B$1+Table4[[#This Row],[Home Differential]])-Table4[[#This Row],[Away Differential]]</f>
        <v>0.48120343664880272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0.5961876032845923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0.16306445174104181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-0.9476777551108041</v>
      </c>
      <c r="H166" t="s">
        <v>15</v>
      </c>
      <c r="I166">
        <f>VLOOKUP(Table4[[#This Row],[Visitor]],'NHL Model'!$A$6:$B$38,2,FALSE)</f>
        <v>-0.29003398448394263</v>
      </c>
      <c r="J166">
        <f>($B$1+Table4[[#This Row],[Home Differential]])-Table4[[#This Row],[Away Differential]]</f>
        <v>-0.60774302170369898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0.63104443382584718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0.13612820981088966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-0.59498940435054026</v>
      </c>
      <c r="H167" t="s">
        <v>19</v>
      </c>
      <c r="I167">
        <f>VLOOKUP(Table4[[#This Row],[Visitor]],'NHL Model'!$A$6:$B$38,2,FALSE)</f>
        <v>-0.63447859131898054</v>
      </c>
      <c r="J167">
        <f>($B$1+Table4[[#This Row],[Home Differential]])-Table4[[#This Row],[Away Differential]]</f>
        <v>8.9389935891602712E-2</v>
      </c>
      <c r="K167" t="str">
        <f>IF(Table4[[#This Row],[HomeIce Differential]]&gt;0,Table4[[#This Row],[Home]],Table4[[#This Row],[Visitor]])</f>
        <v>Columbus Blue Jackets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0.55043759431663863</v>
      </c>
      <c r="M167" t="str">
        <f>IF(OR((NHL2025_26Results[[#This Row],[Winning Team]]="")),"-",IF(Table4[[#This Row],[Predicted Winner]]=NHL2025_26Results[[#This Row],[Winning Team]],"YES","NO"))</f>
        <v>YES</v>
      </c>
      <c r="N167">
        <f>IF(Table4[[#This Row],[Adjusted Correct]]="-", "",IF(Table4[[#This Row],[Adjusted Correct]]="YES",(Table4[[#This Row],[Strength of Win]]-1)^2,(Table4[[#This Row],[Strength of Win]]-0)^2))</f>
        <v>0.20210635660381118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-0.21976976044773161</v>
      </c>
      <c r="H168" t="s">
        <v>23</v>
      </c>
      <c r="I168">
        <f>VLOOKUP(Table4[[#This Row],[Visitor]],'NHL Model'!$A$6:$B$38,2,FALSE)</f>
        <v>-0.4761104357405897</v>
      </c>
      <c r="J168">
        <f>($B$1+Table4[[#This Row],[Home Differential]])-Table4[[#This Row],[Away Differential]]</f>
        <v>0.30624142421602052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0.61865976048220439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0.14542037827548973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0.42567513732855267</v>
      </c>
      <c r="H169" t="s">
        <v>30</v>
      </c>
      <c r="I169">
        <f>VLOOKUP(Table4[[#This Row],[Visitor]],'NHL Model'!$A$6:$B$38,2,FALSE)</f>
        <v>-0.24093199744133265</v>
      </c>
      <c r="J169">
        <f>($B$1+Table4[[#This Row],[Home Differential]])-Table4[[#This Row],[Away Differential]]</f>
        <v>0.71650788369304785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0.60366287032278598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0.15708312036077277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-0.81774666423752174</v>
      </c>
      <c r="H170" t="s">
        <v>15</v>
      </c>
      <c r="I170">
        <f>VLOOKUP(Table4[[#This Row],[Visitor]],'NHL Model'!$A$6:$B$38,2,FALSE)</f>
        <v>-0.29003398448394263</v>
      </c>
      <c r="J170">
        <f>($B$1+Table4[[#This Row],[Home Differential]])-Table4[[#This Row],[Away Differential]]</f>
        <v>-0.47781193083041668</v>
      </c>
      <c r="K170" t="str">
        <f>IF(Table4[[#This Row],[HomeIce Differential]]&gt;0,Table4[[#This Row],[Home]],Table4[[#This Row],[Visitor]])</f>
        <v>New York Rangers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0.60886422062356638</v>
      </c>
      <c r="M170" t="str">
        <f>IF(OR((NHL2025_26Results[[#This Row],[Winning Team]]="")),"-",IF(Table4[[#This Row],[Predicted Winner]]=NHL2025_26Results[[#This Row],[Winning Team]],"YES","NO"))</f>
        <v>YES</v>
      </c>
      <c r="N170">
        <f>IF(Table4[[#This Row],[Adjusted Correct]]="-", "",IF(Table4[[#This Row],[Adjusted Correct]]="YES",(Table4[[#This Row],[Strength of Win]]-1)^2,(Table4[[#This Row],[Strength of Win]]-0)^2))</f>
        <v>0.15298719790841017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-0.33828359867721369</v>
      </c>
      <c r="H171" t="s">
        <v>26</v>
      </c>
      <c r="I171">
        <f>VLOOKUP(Table4[[#This Row],[Visitor]],'NHL Model'!$A$6:$B$38,2,FALSE)</f>
        <v>-0.87533956503230947</v>
      </c>
      <c r="J171">
        <f>($B$1+Table4[[#This Row],[Home Differential]])-Table4[[#This Row],[Away Differential]]</f>
        <v>0.58695671527825821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0.6085358593715775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0.37031589214110433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-5.5124787449478845E-2</v>
      </c>
      <c r="H172" t="s">
        <v>14</v>
      </c>
      <c r="I172">
        <f>VLOOKUP(Table4[[#This Row],[Visitor]],'NHL Model'!$A$6:$B$38,2,FALSE)</f>
        <v>-0.14226422156549004</v>
      </c>
      <c r="J172">
        <f>($B$1+Table4[[#This Row],[Home Differential]])-Table4[[#This Row],[Away Differential]]</f>
        <v>0.13704018303917365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0.51671473070034157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0.26699411292272651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-0.53137605086483863</v>
      </c>
      <c r="H173" t="s">
        <v>16</v>
      </c>
      <c r="I173">
        <f>VLOOKUP(Table4[[#This Row],[Visitor]],'NHL Model'!$A$6:$B$38,2,FALSE)</f>
        <v>-1.0657812790446208</v>
      </c>
      <c r="J173">
        <f>($B$1+Table4[[#This Row],[Home Differential]])-Table4[[#This Row],[Away Differential]]</f>
        <v>0.58430597710294463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0.61072182577184631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0.15153749693040477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-0.38023958350631604</v>
      </c>
      <c r="H174" t="s">
        <v>29</v>
      </c>
      <c r="I174">
        <f>VLOOKUP(Table4[[#This Row],[Visitor]],'NHL Model'!$A$6:$B$38,2,FALSE)</f>
        <v>-1.384917283810061</v>
      </c>
      <c r="J174">
        <f>($B$1+Table4[[#This Row],[Home Differential]])-Table4[[#This Row],[Away Differential]]</f>
        <v>1.0545784492269075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0.67715421891291649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0.10422939836572905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-0.45133099238224339</v>
      </c>
      <c r="H175" t="s">
        <v>24</v>
      </c>
      <c r="I175">
        <f>VLOOKUP(Table4[[#This Row],[Visitor]],'NHL Model'!$A$6:$B$38,2,FALSE)</f>
        <v>1.5302507646042616E-3</v>
      </c>
      <c r="J175">
        <f>($B$1+Table4[[#This Row],[Home Differential]])-Table4[[#This Row],[Away Differential]]</f>
        <v>-0.40296049422368518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0.51763982026716526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0.26795098352622315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-1.3944783719477225</v>
      </c>
      <c r="H176" t="s">
        <v>38</v>
      </c>
      <c r="I176">
        <f>VLOOKUP(Table4[[#This Row],[Visitor]],'NHL Model'!$A$6:$B$38,2,FALSE)</f>
        <v>-0.9476777551108041</v>
      </c>
      <c r="J176">
        <f>($B$1+Table4[[#This Row],[Home Differential]])-Table4[[#This Row],[Away Differential]]</f>
        <v>-0.39689986791375598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0.50992007634330028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0.24017833157135662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0.51050494674660429</v>
      </c>
      <c r="H177" t="s">
        <v>39</v>
      </c>
      <c r="I177">
        <f>VLOOKUP(Table4[[#This Row],[Visitor]],'NHL Model'!$A$6:$B$38,2,FALSE)</f>
        <v>0.41344250185511977</v>
      </c>
      <c r="J177">
        <f>($B$1+Table4[[#This Row],[Home Differential]])-Table4[[#This Row],[Away Differential]]</f>
        <v>0.14696319381464695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0.48774835719391324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0.26240174555753476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-0.31324182378279158</v>
      </c>
      <c r="H178" t="s">
        <v>10</v>
      </c>
      <c r="I178">
        <f>VLOOKUP(Table4[[#This Row],[Visitor]],'NHL Model'!$A$6:$B$38,2,FALSE)</f>
        <v>-0.17619625518431364</v>
      </c>
      <c r="J178">
        <f>($B$1+Table4[[#This Row],[Home Differential]])-Table4[[#This Row],[Away Differential]]</f>
        <v>-8.7144819675315455E-2</v>
      </c>
      <c r="K178" t="str">
        <f>IF(Table4[[#This Row],[HomeIce Differential]]&gt;0,Table4[[#This Row],[Home]],Table4[[#This Row],[Visitor]])</f>
        <v>Chicago Blackhawks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0.46767996465849671</v>
      </c>
      <c r="M178" t="str">
        <f>IF(OR((NHL2025_26Results[[#This Row],[Winning Team]]="")),"-",IF(Table4[[#This Row],[Predicted Winner]]=NHL2025_26Results[[#This Row],[Winning Team]],"YES","NO"))</f>
        <v>NO</v>
      </c>
      <c r="N178">
        <f>IF(Table4[[#This Row],[Adjusted Correct]]="-", "",IF(Table4[[#This Row],[Adjusted Correct]]="YES",(Table4[[#This Row],[Strength of Win]]-1)^2,(Table4[[#This Row],[Strength of Win]]-0)^2))</f>
        <v>0.21872454934297272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0.17870302183926629</v>
      </c>
      <c r="H179" t="s">
        <v>26</v>
      </c>
      <c r="I179">
        <f>VLOOKUP(Table4[[#This Row],[Visitor]],'NHL Model'!$A$6:$B$38,2,FALSE)</f>
        <v>-0.87533956503230947</v>
      </c>
      <c r="J179">
        <f>($B$1+Table4[[#This Row],[Home Differential]])-Table4[[#This Row],[Away Differential]]</f>
        <v>1.1039433357947381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0.7487363882386241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6.3133402595371438E-2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-0.24444083032063643</v>
      </c>
      <c r="H180" t="s">
        <v>12</v>
      </c>
      <c r="I180">
        <f>VLOOKUP(Table4[[#This Row],[Visitor]],'NHL Model'!$A$6:$B$38,2,FALSE)</f>
        <v>1.6319036584269762</v>
      </c>
      <c r="J180">
        <f>($B$1+Table4[[#This Row],[Home Differential]])-Table4[[#This Row],[Away Differential]]</f>
        <v>-1.8264437398244502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0.74588743211805819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6.4573197155554485E-2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0.4407072328537569</v>
      </c>
      <c r="H181" t="s">
        <v>30</v>
      </c>
      <c r="I181">
        <f>VLOOKUP(Table4[[#This Row],[Visitor]],'NHL Model'!$A$6:$B$38,2,FALSE)</f>
        <v>-0.24093199744133265</v>
      </c>
      <c r="J181">
        <f>($B$1+Table4[[#This Row],[Home Differential]])-Table4[[#This Row],[Away Differential]]</f>
        <v>0.73153997921825198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0.57908897540919857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0.33534404144047536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-0.21976976044773161</v>
      </c>
      <c r="H182" t="s">
        <v>25</v>
      </c>
      <c r="I182">
        <f>VLOOKUP(Table4[[#This Row],[Visitor]],'NHL Model'!$A$6:$B$38,2,FALSE)</f>
        <v>0.42567513732855267</v>
      </c>
      <c r="J182">
        <f>($B$1+Table4[[#This Row],[Home Differential]])-Table4[[#This Row],[Away Differential]]</f>
        <v>-0.59554414885312179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0.55862153841523121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0.31205802318139964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-0.4761104357405897</v>
      </c>
      <c r="H183" t="s">
        <v>22</v>
      </c>
      <c r="I183">
        <f>VLOOKUP(Table4[[#This Row],[Visitor]],'NHL Model'!$A$6:$B$38,2,FALSE)</f>
        <v>0.4407072328537569</v>
      </c>
      <c r="J183">
        <f>($B$1+Table4[[#This Row],[Home Differential]])-Table4[[#This Row],[Away Differential]]</f>
        <v>-0.86691691967118412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0.59353303745986197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0.35228146655632991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-0.59498940435054026</v>
      </c>
      <c r="H184" t="s">
        <v>35</v>
      </c>
      <c r="I184">
        <f>VLOOKUP(Table4[[#This Row],[Visitor]],'NHL Model'!$A$6:$B$38,2,FALSE)</f>
        <v>-1.3944783719477225</v>
      </c>
      <c r="J184">
        <f>($B$1+Table4[[#This Row],[Home Differential]])-Table4[[#This Row],[Away Differential]]</f>
        <v>0.84938971652034467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0.63917878550125307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0.13019194883235075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-0.81774666423752174</v>
      </c>
      <c r="H185" t="s">
        <v>10</v>
      </c>
      <c r="I185">
        <f>VLOOKUP(Table4[[#This Row],[Visitor]],'NHL Model'!$A$6:$B$38,2,FALSE)</f>
        <v>-0.17619625518431364</v>
      </c>
      <c r="J185">
        <f>($B$1+Table4[[#This Row],[Home Differential]])-Table4[[#This Row],[Away Differential]]</f>
        <v>-0.59164966013004561</v>
      </c>
      <c r="K185" t="str">
        <f>IF(Table4[[#This Row],[HomeIce Differential]]&gt;0,Table4[[#This Row],[Home]],Table4[[#This Row],[Visitor]])</f>
        <v>Chicago Blackhawks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0.52203787808599023</v>
      </c>
      <c r="M185" t="str">
        <f>IF(OR((NHL2025_26Results[[#This Row],[Winning Team]]="")),"-",IF(Table4[[#This Row],[Predicted Winner]]=NHL2025_26Results[[#This Row],[Winning Team]],"YES","NO"))</f>
        <v>NO</v>
      </c>
      <c r="N185">
        <f>IF(Table4[[#This Row],[Adjusted Correct]]="-", "",IF(Table4[[#This Row],[Adjusted Correct]]="YES",(Table4[[#This Row],[Strength of Win]]-1)^2,(Table4[[#This Row],[Strength of Win]]-0)^2))</f>
        <v>0.27252354615652319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-0.39711829106410657</v>
      </c>
      <c r="H186" t="s">
        <v>39</v>
      </c>
      <c r="I186">
        <f>VLOOKUP(Table4[[#This Row],[Visitor]],'NHL Model'!$A$6:$B$38,2,FALSE)</f>
        <v>0.41344250185511977</v>
      </c>
      <c r="J186">
        <f>($B$1+Table4[[#This Row],[Home Differential]])-Table4[[#This Row],[Away Differential]]</f>
        <v>-0.76066004399606379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0.6366443736340629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0.40531605847990826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-0.33828359867721369</v>
      </c>
      <c r="H187" t="s">
        <v>24</v>
      </c>
      <c r="I187">
        <f>VLOOKUP(Table4[[#This Row],[Visitor]],'NHL Model'!$A$6:$B$38,2,FALSE)</f>
        <v>1.5302507646042616E-3</v>
      </c>
      <c r="J187">
        <f>($B$1+Table4[[#This Row],[Home Differential]])-Table4[[#This Row],[Away Differential]]</f>
        <v>-0.28991310051865549</v>
      </c>
      <c r="K187" t="str">
        <f>IF(Table4[[#This Row],[HomeIce Differential]]&gt;0,Table4[[#This Row],[Home]],Table4[[#This Row],[Visitor]])</f>
        <v>New Jersey Devils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0.51462086406676455</v>
      </c>
      <c r="M187" t="str">
        <f>IF(OR((NHL2025_26Results[[#This Row],[Winning Team]]="")),"-",IF(Table4[[#This Row],[Predicted Winner]]=NHL2025_26Results[[#This Row],[Winning Team]],"YES","NO"))</f>
        <v>YES</v>
      </c>
      <c r="N187">
        <f>IF(Table4[[#This Row],[Adjusted Correct]]="-", "",IF(Table4[[#This Row],[Adjusted Correct]]="YES",(Table4[[#This Row],[Strength of Win]]-1)^2,(Table4[[#This Row],[Strength of Win]]-0)^2))</f>
        <v>0.23559290559929424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-5.5124787449478845E-2</v>
      </c>
      <c r="H188" t="s">
        <v>38</v>
      </c>
      <c r="I188">
        <f>VLOOKUP(Table4[[#This Row],[Visitor]],'NHL Model'!$A$6:$B$38,2,FALSE)</f>
        <v>-0.9476777551108041</v>
      </c>
      <c r="J188">
        <f>($B$1+Table4[[#This Row],[Home Differential]])-Table4[[#This Row],[Away Differential]]</f>
        <v>0.94245371658448773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0.6464692220949555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0.1249840109261459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-0.59288962827382519</v>
      </c>
      <c r="H189" t="s">
        <v>36</v>
      </c>
      <c r="I189">
        <f>VLOOKUP(Table4[[#This Row],[Visitor]],'NHL Model'!$A$6:$B$38,2,FALSE)</f>
        <v>-0.53137605086483863</v>
      </c>
      <c r="J189">
        <f>($B$1+Table4[[#This Row],[Home Differential]])-Table4[[#This Row],[Away Differential]]</f>
        <v>-1.1612828485824123E-2</v>
      </c>
      <c r="K189" t="str">
        <f>IF(Table4[[#This Row],[HomeIce Differential]]&gt;0,Table4[[#This Row],[Home]],Table4[[#This Row],[Visitor]])</f>
        <v>Ottawa Senators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0.46135596911883597</v>
      </c>
      <c r="M189" t="str">
        <f>IF(OR((NHL2025_26Results[[#This Row],[Winning Team]]="")),"-",IF(Table4[[#This Row],[Predicted Winner]]=NHL2025_26Results[[#This Row],[Winning Team]],"YES","NO"))</f>
        <v>NO</v>
      </c>
      <c r="N189">
        <f>IF(Table4[[#This Row],[Adjusted Correct]]="-", "",IF(Table4[[#This Row],[Adjusted Correct]]="YES",(Table4[[#This Row],[Strength of Win]]-1)^2,(Table4[[#This Row],[Strength of Win]]-0)^2))</f>
        <v>0.21284933024158034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-1.384917283810061</v>
      </c>
      <c r="H190" t="s">
        <v>16</v>
      </c>
      <c r="I190">
        <f>VLOOKUP(Table4[[#This Row],[Visitor]],'NHL Model'!$A$6:$B$38,2,FALSE)</f>
        <v>-1.0657812790446208</v>
      </c>
      <c r="J190">
        <f>($B$1+Table4[[#This Row],[Home Differential]])-Table4[[#This Row],[Away Differential]]</f>
        <v>-0.2692352558422777</v>
      </c>
      <c r="K190" t="str">
        <f>IF(Table4[[#This Row],[HomeIce Differential]]&gt;0,Table4[[#This Row],[Home]],Table4[[#This Row],[Visitor]])</f>
        <v>Calgary Flames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0.49143718974836059</v>
      </c>
      <c r="M190" t="str">
        <f>IF(OR((NHL2025_26Results[[#This Row],[Winning Team]]="")),"-",IF(Table4[[#This Row],[Predicted Winner]]=NHL2025_26Results[[#This Row],[Winning Team]],"YES","NO"))</f>
        <v>NO</v>
      </c>
      <c r="N190">
        <f>IF(Table4[[#This Row],[Adjusted Correct]]="-", "",IF(Table4[[#This Row],[Adjusted Correct]]="YES",(Table4[[#This Row],[Strength of Win]]-1)^2,(Table4[[#This Row],[Strength of Win]]-0)^2))</f>
        <v>0.24151051146776617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-0.38023958350631604</v>
      </c>
      <c r="H191" t="s">
        <v>19</v>
      </c>
      <c r="I191">
        <f>VLOOKUP(Table4[[#This Row],[Visitor]],'NHL Model'!$A$6:$B$38,2,FALSE)</f>
        <v>-0.63447859131898054</v>
      </c>
      <c r="J191">
        <f>($B$1+Table4[[#This Row],[Home Differential]])-Table4[[#This Row],[Away Differential]]</f>
        <v>0.30413975673582699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0.5895294258799636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0.3475449439783595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-0.64937723527808999</v>
      </c>
      <c r="H192" t="s">
        <v>15</v>
      </c>
      <c r="I192">
        <f>VLOOKUP(Table4[[#This Row],[Visitor]],'NHL Model'!$A$6:$B$38,2,FALSE)</f>
        <v>-0.29003398448394263</v>
      </c>
      <c r="J192">
        <f>($B$1+Table4[[#This Row],[Home Differential]])-Table4[[#This Row],[Away Differential]]</f>
        <v>-0.30944250187098493</v>
      </c>
      <c r="K192" t="str">
        <f>IF(Table4[[#This Row],[HomeIce Differential]]&gt;0,Table4[[#This Row],[Home]],Table4[[#This Row],[Visitor]])</f>
        <v>New York Rangers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0.59621344553392286</v>
      </c>
      <c r="M192" t="str">
        <f>IF(OR((NHL2025_26Results[[#This Row],[Winning Team]]="")),"-",IF(Table4[[#This Row],[Predicted Winner]]=NHL2025_26Results[[#This Row],[Winning Team]],"YES","NO"))</f>
        <v>YES</v>
      </c>
      <c r="N192">
        <f>IF(Table4[[#This Row],[Adjusted Correct]]="-", "",IF(Table4[[#This Row],[Adjusted Correct]]="YES",(Table4[[#This Row],[Strength of Win]]-1)^2,(Table4[[#This Row],[Strength of Win]]-0)^2))</f>
        <v>0.16304358156758628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-0.45133099238224339</v>
      </c>
      <c r="H193" t="s">
        <v>12</v>
      </c>
      <c r="I193">
        <f>VLOOKUP(Table4[[#This Row],[Visitor]],'NHL Model'!$A$6:$B$38,2,FALSE)</f>
        <v>1.6319036584269762</v>
      </c>
      <c r="J193">
        <f>($B$1+Table4[[#This Row],[Home Differential]])-Table4[[#This Row],[Away Differential]]</f>
        <v>-2.0333339018860572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0.75987072250359355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0.57740351491813324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-0.31324182378279158</v>
      </c>
      <c r="H194" t="s">
        <v>14</v>
      </c>
      <c r="I194">
        <f>VLOOKUP(Table4[[#This Row],[Visitor]],'NHL Model'!$A$6:$B$38,2,FALSE)</f>
        <v>-0.14226422156549004</v>
      </c>
      <c r="J194">
        <f>($B$1+Table4[[#This Row],[Home Differential]])-Table4[[#This Row],[Away Differential]]</f>
        <v>-0.12107685329413906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0.51091170313729506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0.26103076840265149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0.17870302183926629</v>
      </c>
      <c r="H195" t="s">
        <v>24</v>
      </c>
      <c r="I195">
        <f>VLOOKUP(Table4[[#This Row],[Visitor]],'NHL Model'!$A$6:$B$38,2,FALSE)</f>
        <v>1.5302507646042616E-3</v>
      </c>
      <c r="J195">
        <f>($B$1+Table4[[#This Row],[Home Differential]])-Table4[[#This Row],[Away Differential]]</f>
        <v>0.22707351999782449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0.62651418482571097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0.13949165413640319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-0.24093199744133265</v>
      </c>
      <c r="H196" t="s">
        <v>28</v>
      </c>
      <c r="I196">
        <f>VLOOKUP(Table4[[#This Row],[Visitor]],'NHL Model'!$A$6:$B$38,2,FALSE)</f>
        <v>-0.59498940435054026</v>
      </c>
      <c r="J196">
        <f>($B$1+Table4[[#This Row],[Home Differential]])-Table4[[#This Row],[Away Differential]]</f>
        <v>0.40395815583237005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0.5835919177498986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0.1733956909632072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-0.38023958350631604</v>
      </c>
      <c r="H197" t="s">
        <v>16</v>
      </c>
      <c r="I197">
        <f>VLOOKUP(Table4[[#This Row],[Visitor]],'NHL Model'!$A$6:$B$38,2,FALSE)</f>
        <v>-1.0657812790446208</v>
      </c>
      <c r="J197">
        <f>($B$1+Table4[[#This Row],[Home Differential]])-Table4[[#This Row],[Away Differential]]</f>
        <v>0.73544244446146734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0.63989038024528599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0.40945969873045668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-0.45133099238224339</v>
      </c>
      <c r="H198" t="s">
        <v>26</v>
      </c>
      <c r="I198">
        <f>VLOOKUP(Table4[[#This Row],[Visitor]],'NHL Model'!$A$6:$B$38,2,FALSE)</f>
        <v>-0.87533956503230947</v>
      </c>
      <c r="J198">
        <f>($B$1+Table4[[#This Row],[Home Differential]])-Table4[[#This Row],[Away Differential]]</f>
        <v>0.47390932157322857</v>
      </c>
      <c r="K198" t="str">
        <f>IF(Table4[[#This Row],[HomeIce Differential]]&gt;0,Table4[[#This Row],[Home]],Table4[[#This Row],[Visitor]])</f>
        <v>San Jose Sharks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0.60545815708481687</v>
      </c>
      <c r="M198" t="str">
        <f>IF(OR((NHL2025_26Results[[#This Row],[Winning Team]]="")),"-",IF(Table4[[#This Row],[Predicted Winner]]=NHL2025_26Results[[#This Row],[Winning Team]],"YES","NO"))</f>
        <v>NO</v>
      </c>
      <c r="N198">
        <f>IF(Table4[[#This Row],[Adjusted Correct]]="-", "",IF(Table4[[#This Row],[Adjusted Correct]]="YES",(Table4[[#This Row],[Strength of Win]]-1)^2,(Table4[[#This Row],[Strength of Win]]-0)^2))</f>
        <v>0.3665795799805428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-0.4031232890211825</v>
      </c>
      <c r="H199" t="s">
        <v>37</v>
      </c>
      <c r="I199">
        <f>VLOOKUP(Table4[[#This Row],[Visitor]],'NHL Model'!$A$6:$B$38,2,FALSE)</f>
        <v>0.51050494674660429</v>
      </c>
      <c r="J199">
        <f>($B$1+Table4[[#This Row],[Home Differential]])-Table4[[#This Row],[Away Differential]]</f>
        <v>-0.8637274868446243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0.61248083877374404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0.15017110031750097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-1.384917283810061</v>
      </c>
      <c r="H200" t="s">
        <v>38</v>
      </c>
      <c r="I200">
        <f>VLOOKUP(Table4[[#This Row],[Visitor]],'NHL Model'!$A$6:$B$38,2,FALSE)</f>
        <v>-0.9476777551108041</v>
      </c>
      <c r="J200">
        <f>($B$1+Table4[[#This Row],[Home Differential]])-Table4[[#This Row],[Away Differential]]</f>
        <v>-0.38733877977609443</v>
      </c>
      <c r="K200" t="str">
        <f>IF(Table4[[#This Row],[HomeIce Differential]]&gt;0,Table4[[#This Row],[Home]],Table4[[#This Row],[Visitor]])</f>
        <v>Vancouver Canucks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0.50880367819163874</v>
      </c>
      <c r="M200" t="str">
        <f>IF(OR((NHL2025_26Results[[#This Row],[Winning Team]]="")),"-",IF(Table4[[#This Row],[Predicted Winner]]=NHL2025_26Results[[#This Row],[Winning Team]],"YES","NO"))</f>
        <v>YES</v>
      </c>
      <c r="N200">
        <f>IF(Table4[[#This Row],[Adjusted Correct]]="-", "",IF(Table4[[#This Row],[Adjusted Correct]]="YES",(Table4[[#This Row],[Strength of Win]]-1)^2,(Table4[[#This Row],[Strength of Win]]-0)^2))</f>
        <v>0.2412738265580632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-0.64937723527808999</v>
      </c>
      <c r="H201" t="s">
        <v>10</v>
      </c>
      <c r="I201">
        <f>VLOOKUP(Table4[[#This Row],[Visitor]],'NHL Model'!$A$6:$B$38,2,FALSE)</f>
        <v>-0.17619625518431364</v>
      </c>
      <c r="J201">
        <f>($B$1+Table4[[#This Row],[Home Differential]])-Table4[[#This Row],[Away Differential]]</f>
        <v>-0.42328023117061392</v>
      </c>
      <c r="K201" t="str">
        <f>IF(Table4[[#This Row],[HomeIce Differential]]&gt;0,Table4[[#This Row],[Home]],Table4[[#This Row],[Visitor]])</f>
        <v>Chicago Blackhawks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0.50942421415951489</v>
      </c>
      <c r="M201" t="str">
        <f>IF(OR((NHL2025_26Results[[#This Row],[Winning Team]]="")),"-",IF(Table4[[#This Row],[Predicted Winner]]=NHL2025_26Results[[#This Row],[Winning Team]],"YES","NO"))</f>
        <v>NO</v>
      </c>
      <c r="N201">
        <f>IF(Table4[[#This Row],[Adjusted Correct]]="-", "",IF(Table4[[#This Row],[Adjusted Correct]]="YES",(Table4[[#This Row],[Strength of Win]]-1)^2,(Table4[[#This Row],[Strength of Win]]-0)^2))</f>
        <v>0.25951302997203929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-1.3944783719477225</v>
      </c>
      <c r="H202" t="s">
        <v>17</v>
      </c>
      <c r="I202">
        <f>VLOOKUP(Table4[[#This Row],[Visitor]],'NHL Model'!$A$6:$B$38,2,FALSE)</f>
        <v>-0.81774666423752174</v>
      </c>
      <c r="J202">
        <f>($B$1+Table4[[#This Row],[Home Differential]])-Table4[[#This Row],[Away Differential]]</f>
        <v>-0.52683095878703834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0.52151528990839591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0.27197819760823821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-0.63447859131898054</v>
      </c>
      <c r="H203" t="s">
        <v>14</v>
      </c>
      <c r="I203">
        <f>VLOOKUP(Table4[[#This Row],[Visitor]],'NHL Model'!$A$6:$B$38,2,FALSE)</f>
        <v>-0.14226422156549004</v>
      </c>
      <c r="J203">
        <f>($B$1+Table4[[#This Row],[Home Differential]])-Table4[[#This Row],[Away Differential]]</f>
        <v>-0.4423136208303281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0.55093337655329999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0.30352758540042024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0.17870302183926629</v>
      </c>
      <c r="H204" t="s">
        <v>11</v>
      </c>
      <c r="I204">
        <f>VLOOKUP(Table4[[#This Row],[Visitor]],'NHL Model'!$A$6:$B$38,2,FALSE)</f>
        <v>-0.39711829106410657</v>
      </c>
      <c r="J204">
        <f>($B$1+Table4[[#This Row],[Home Differential]])-Table4[[#This Row],[Away Differential]]</f>
        <v>0.62572206182653534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0.69289699646057179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9.431225478293806E-2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-0.4761104357405897</v>
      </c>
      <c r="H205" t="s">
        <v>55</v>
      </c>
      <c r="I205">
        <f>VLOOKUP(Table4[[#This Row],[Visitor]],'NHL Model'!$A$6:$B$38,2,FALSE)</f>
        <v>-0.4031232890211825</v>
      </c>
      <c r="J205">
        <f>($B$1+Table4[[#This Row],[Home Differential]])-Table4[[#This Row],[Away Differential]]</f>
        <v>-2.3086397796244718E-2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0.45257342828487174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0.29967585141977854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1.6319036584269762</v>
      </c>
      <c r="H206" t="s">
        <v>37</v>
      </c>
      <c r="I206">
        <f>VLOOKUP(Table4[[#This Row],[Visitor]],'NHL Model'!$A$6:$B$38,2,FALSE)</f>
        <v>0.51050494674660429</v>
      </c>
      <c r="J206">
        <f>($B$1+Table4[[#This Row],[Home Differential]])-Table4[[#This Row],[Away Differential]]</f>
        <v>1.1712994606035343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0.69232205472725694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9.4665718007257066E-2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0.41344250185511977</v>
      </c>
      <c r="H207" t="s">
        <v>17</v>
      </c>
      <c r="I207">
        <f>VLOOKUP(Table4[[#This Row],[Visitor]],'NHL Model'!$A$6:$B$38,2,FALSE)</f>
        <v>-0.81774666423752174</v>
      </c>
      <c r="J207">
        <f>($B$1+Table4[[#This Row],[Home Differential]])-Table4[[#This Row],[Away Differential]]</f>
        <v>1.2810899150158039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0.72183222092408972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7.7377313316024432E-2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-0.33828359867721369</v>
      </c>
      <c r="H208" t="s">
        <v>40</v>
      </c>
      <c r="I208">
        <f>VLOOKUP(Table4[[#This Row],[Visitor]],'NHL Model'!$A$6:$B$38,2,FALSE)</f>
        <v>-0.31324182378279158</v>
      </c>
      <c r="J208">
        <f>($B$1+Table4[[#This Row],[Home Differential]])-Table4[[#This Row],[Away Differential]]</f>
        <v>2.4858974028740377E-2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0.52213342134089591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0.22835646699935772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-5.5124787449478845E-2</v>
      </c>
      <c r="H209" t="s">
        <v>29</v>
      </c>
      <c r="I209">
        <f>VLOOKUP(Table4[[#This Row],[Visitor]],'NHL Model'!$A$6:$B$38,2,FALSE)</f>
        <v>-1.384917283810061</v>
      </c>
      <c r="J209">
        <f>($B$1+Table4[[#This Row],[Home Differential]])-Table4[[#This Row],[Away Differential]]</f>
        <v>1.3796932452837445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0.70109954920586415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8.9341479484937633E-2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-0.59288962827382519</v>
      </c>
      <c r="H210" t="s">
        <v>27</v>
      </c>
      <c r="I210">
        <f>VLOOKUP(Table4[[#This Row],[Visitor]],'NHL Model'!$A$6:$B$38,2,FALSE)</f>
        <v>-0.38023958350631604</v>
      </c>
      <c r="J210">
        <f>($B$1+Table4[[#This Row],[Home Differential]])-Table4[[#This Row],[Away Differential]]</f>
        <v>-0.16274929584434672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0.52151594511207089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0.22894699078199476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-0.24093199744133265</v>
      </c>
      <c r="H211" t="s">
        <v>21</v>
      </c>
      <c r="I211">
        <f>VLOOKUP(Table4[[#This Row],[Visitor]],'NHL Model'!$A$6:$B$38,2,FALSE)</f>
        <v>-0.21976976044773161</v>
      </c>
      <c r="J211">
        <f>($B$1+Table4[[#This Row],[Home Differential]])-Table4[[#This Row],[Away Differential]]</f>
        <v>2.8738511929561422E-2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0.54252615233038282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0.29433462596240972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-0.29003398448394263</v>
      </c>
      <c r="H212" t="s">
        <v>25</v>
      </c>
      <c r="I212">
        <f>VLOOKUP(Table4[[#This Row],[Visitor]],'NHL Model'!$A$6:$B$38,2,FALSE)</f>
        <v>0.42567513732855267</v>
      </c>
      <c r="J212">
        <f>($B$1+Table4[[#This Row],[Home Differential]])-Table4[[#This Row],[Away Differential]]</f>
        <v>-0.66580837288933281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0.61036612327293382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0.15181455789336259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-0.24444083032063643</v>
      </c>
      <c r="H213" t="s">
        <v>26</v>
      </c>
      <c r="I213">
        <f>VLOOKUP(Table4[[#This Row],[Visitor]],'NHL Model'!$A$6:$B$38,2,FALSE)</f>
        <v>-0.87533956503230947</v>
      </c>
      <c r="J213">
        <f>($B$1+Table4[[#This Row],[Home Differential]])-Table4[[#This Row],[Away Differential]]</f>
        <v>0.68079948363483545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0.61949338759761874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0.144785282081936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-1.0657812790446208</v>
      </c>
      <c r="H214" t="s">
        <v>28</v>
      </c>
      <c r="I214">
        <f>VLOOKUP(Table4[[#This Row],[Visitor]],'NHL Model'!$A$6:$B$38,2,FALSE)</f>
        <v>-0.59498940435054026</v>
      </c>
      <c r="J214">
        <f>($B$1+Table4[[#This Row],[Home Differential]])-Table4[[#This Row],[Away Differential]]</f>
        <v>-0.42089112577091814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0.51272140978381853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0.26288324405070634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-0.64937723527808999</v>
      </c>
      <c r="H215" t="s">
        <v>33</v>
      </c>
      <c r="I215">
        <f>VLOOKUP(Table4[[#This Row],[Visitor]],'NHL Model'!$A$6:$B$38,2,FALSE)</f>
        <v>-0.45133099238224339</v>
      </c>
      <c r="J215">
        <f>($B$1+Table4[[#This Row],[Home Differential]])-Table4[[#This Row],[Away Differential]]</f>
        <v>-0.14814549397268417</v>
      </c>
      <c r="K215" t="str">
        <f>IF(Table4[[#This Row],[HomeIce Differential]]&gt;0,Table4[[#This Row],[Home]],Table4[[#This Row],[Visitor]])</f>
        <v>San Jose Sharks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0.47729817289275145</v>
      </c>
      <c r="M215" t="str">
        <f>IF(OR((NHL2025_26Results[[#This Row],[Winning Team]]="")),"-",IF(Table4[[#This Row],[Predicted Winner]]=NHL2025_26Results[[#This Row],[Winning Team]],"YES","NO"))</f>
        <v>YES</v>
      </c>
      <c r="N215">
        <f>IF(Table4[[#This Row],[Adjusted Correct]]="-", "",IF(Table4[[#This Row],[Adjusted Correct]]="YES",(Table4[[#This Row],[Strength of Win]]-1)^2,(Table4[[#This Row],[Strength of Win]]-0)^2))</f>
        <v>0.27321720006125594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-0.63447859131898054</v>
      </c>
      <c r="H216" t="s">
        <v>55</v>
      </c>
      <c r="I216">
        <f>VLOOKUP(Table4[[#This Row],[Visitor]],'NHL Model'!$A$6:$B$38,2,FALSE)</f>
        <v>-0.4031232890211825</v>
      </c>
      <c r="J216">
        <f>($B$1+Table4[[#This Row],[Home Differential]])-Table4[[#This Row],[Away Differential]]</f>
        <v>-0.18145455337463562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0.48118749718455961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0.23154140744674057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-0.9476777551108041</v>
      </c>
      <c r="H217" t="s">
        <v>10</v>
      </c>
      <c r="I217">
        <f>VLOOKUP(Table4[[#This Row],[Visitor]],'NHL Model'!$A$6:$B$38,2,FALSE)</f>
        <v>-0.17619625518431364</v>
      </c>
      <c r="J217">
        <f>($B$1+Table4[[#This Row],[Home Differential]])-Table4[[#This Row],[Away Differential]]</f>
        <v>-0.72158075100332808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0.54425520245143921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0.20770332049257867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0.4407072328537569</v>
      </c>
      <c r="H218" t="s">
        <v>35</v>
      </c>
      <c r="I218">
        <f>VLOOKUP(Table4[[#This Row],[Visitor]],'NHL Model'!$A$6:$B$38,2,FALSE)</f>
        <v>-1.3944783719477225</v>
      </c>
      <c r="J218">
        <f>($B$1+Table4[[#This Row],[Home Differential]])-Table4[[#This Row],[Away Differential]]</f>
        <v>1.8850863537246418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0.78614938953531521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4.5732083596118349E-2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-0.21976976044773161</v>
      </c>
      <c r="H219" t="s">
        <v>36</v>
      </c>
      <c r="I219">
        <f>VLOOKUP(Table4[[#This Row],[Visitor]],'NHL Model'!$A$6:$B$38,2,FALSE)</f>
        <v>-0.53137605086483863</v>
      </c>
      <c r="J219">
        <f>($B$1+Table4[[#This Row],[Home Differential]])-Table4[[#This Row],[Away Differential]]</f>
        <v>0.36150703934026951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0.62511283671022522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0.14054038519945425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-0.4761104357405897</v>
      </c>
      <c r="H220" t="s">
        <v>35</v>
      </c>
      <c r="I220">
        <f>VLOOKUP(Table4[[#This Row],[Visitor]],'NHL Model'!$A$6:$B$38,2,FALSE)</f>
        <v>-1.3944783719477225</v>
      </c>
      <c r="J220">
        <f>($B$1+Table4[[#This Row],[Home Differential]])-Table4[[#This Row],[Away Differential]]</f>
        <v>0.96826868513029529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0.66318190900357221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0.43981024442962235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0.42567513732855267</v>
      </c>
      <c r="H221" t="s">
        <v>34</v>
      </c>
      <c r="I221">
        <f>VLOOKUP(Table4[[#This Row],[Visitor]],'NHL Model'!$A$6:$B$38,2,FALSE)</f>
        <v>-5.5124787449478845E-2</v>
      </c>
      <c r="J221">
        <f>($B$1+Table4[[#This Row],[Home Differential]])-Table4[[#This Row],[Away Differential]]</f>
        <v>0.530700673701194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0.61196713623753951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0.15056950335969621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0.41344250185511977</v>
      </c>
      <c r="H222" t="s">
        <v>31</v>
      </c>
      <c r="I222">
        <f>VLOOKUP(Table4[[#This Row],[Visitor]],'NHL Model'!$A$6:$B$38,2,FALSE)</f>
        <v>0.17870302183926629</v>
      </c>
      <c r="J222">
        <f>($B$1+Table4[[#This Row],[Home Differential]])-Table4[[#This Row],[Away Differential]]</f>
        <v>0.28464022893901597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0.5849600856496151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0.34217830180320502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-0.33828359867721369</v>
      </c>
      <c r="H223" t="s">
        <v>11</v>
      </c>
      <c r="I223">
        <f>VLOOKUP(Table4[[#This Row],[Visitor]],'NHL Model'!$A$6:$B$38,2,FALSE)</f>
        <v>-0.39711829106410657</v>
      </c>
      <c r="J223">
        <f>($B$1+Table4[[#This Row],[Home Differential]])-Table4[[#This Row],[Away Differential]]</f>
        <v>0.10873544131005536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0.5526964675935252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0.30547338529036067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1.5302507646042616E-3</v>
      </c>
      <c r="H224" t="s">
        <v>18</v>
      </c>
      <c r="I224">
        <f>VLOOKUP(Table4[[#This Row],[Visitor]],'NHL Model'!$A$6:$B$38,2,FALSE)</f>
        <v>-0.59288962827382519</v>
      </c>
      <c r="J224">
        <f>($B$1+Table4[[#This Row],[Home Differential]])-Table4[[#This Row],[Away Differential]]</f>
        <v>0.64432062796159195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0.63773394280828299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0.13123669619323239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-1.384917283810061</v>
      </c>
      <c r="H225" t="s">
        <v>27</v>
      </c>
      <c r="I225">
        <f>VLOOKUP(Table4[[#This Row],[Visitor]],'NHL Model'!$A$6:$B$38,2,FALSE)</f>
        <v>-0.38023958350631604</v>
      </c>
      <c r="J225">
        <f>($B$1+Table4[[#This Row],[Home Differential]])-Table4[[#This Row],[Away Differential]]</f>
        <v>-0.95477695138058249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0.61399686338983206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0.14899842147288797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-0.14226422156549004</v>
      </c>
      <c r="H226" t="s">
        <v>22</v>
      </c>
      <c r="I226">
        <f>VLOOKUP(Table4[[#This Row],[Visitor]],'NHL Model'!$A$6:$B$38,2,FALSE)</f>
        <v>0.4407072328537569</v>
      </c>
      <c r="J226">
        <f>($B$1+Table4[[#This Row],[Home Differential]])-Table4[[#This Row],[Away Differential]]</f>
        <v>-0.53307070549608448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0.56475643524283603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0.31894983114819564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-0.24444083032063643</v>
      </c>
      <c r="H227" t="s">
        <v>37</v>
      </c>
      <c r="I227">
        <f>VLOOKUP(Table4[[#This Row],[Visitor]],'NHL Model'!$A$6:$B$38,2,FALSE)</f>
        <v>0.51050494674660429</v>
      </c>
      <c r="J227">
        <f>($B$1+Table4[[#This Row],[Home Differential]])-Table4[[#This Row],[Away Differential]]</f>
        <v>-0.70504502814407832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0.63481060060307437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0.13336329743188727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-1.0657812790446208</v>
      </c>
      <c r="H228" t="s">
        <v>10</v>
      </c>
      <c r="I228">
        <f>VLOOKUP(Table4[[#This Row],[Visitor]],'NHL Model'!$A$6:$B$38,2,FALSE)</f>
        <v>-0.17619625518431364</v>
      </c>
      <c r="J228">
        <f>($B$1+Table4[[#This Row],[Home Differential]])-Table4[[#This Row],[Away Differential]]</f>
        <v>-0.8396842749371447</v>
      </c>
      <c r="K228" t="str">
        <f>IF(Table4[[#This Row],[HomeIce Differential]]&gt;0,Table4[[#This Row],[Home]],Table4[[#This Row],[Visitor]])</f>
        <v>Chicago Blackhawks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0.55804553195432005</v>
      </c>
      <c r="M228" t="str">
        <f>IF(OR((NHL2025_26Results[[#This Row],[Winning Team]]="")),"-",IF(Table4[[#This Row],[Predicted Winner]]=NHL2025_26Results[[#This Row],[Winning Team]],"YES","NO"))</f>
        <v>YES</v>
      </c>
      <c r="N228">
        <f>IF(Table4[[#This Row],[Adjusted Correct]]="-", "",IF(Table4[[#This Row],[Adjusted Correct]]="YES",(Table4[[#This Row],[Strength of Win]]-1)^2,(Table4[[#This Row],[Strength of Win]]-0)^2))</f>
        <v>0.19532375182553993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-0.87533956503230947</v>
      </c>
      <c r="H229" t="s">
        <v>15</v>
      </c>
      <c r="I229">
        <f>VLOOKUP(Table4[[#This Row],[Visitor]],'NHL Model'!$A$6:$B$38,2,FALSE)</f>
        <v>-0.29003398448394263</v>
      </c>
      <c r="J229">
        <f>($B$1+Table4[[#This Row],[Home Differential]])-Table4[[#This Row],[Away Differential]]</f>
        <v>-0.53540483162520447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0.62259788249869552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0.14243235829446843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-0.24093199744133265</v>
      </c>
      <c r="H230" t="s">
        <v>34</v>
      </c>
      <c r="I230">
        <f>VLOOKUP(Table4[[#This Row],[Visitor]],'NHL Model'!$A$6:$B$38,2,FALSE)</f>
        <v>-5.5124787449478845E-2</v>
      </c>
      <c r="J230">
        <f>($B$1+Table4[[#This Row],[Home Differential]])-Table4[[#This Row],[Away Differential]]</f>
        <v>-0.13590646106869134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0.51838164798004693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0.23195623700241544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-0.45133099238224339</v>
      </c>
      <c r="H231" t="s">
        <v>40</v>
      </c>
      <c r="I231">
        <f>VLOOKUP(Table4[[#This Row],[Visitor]],'NHL Model'!$A$6:$B$38,2,FALSE)</f>
        <v>-0.31324182378279158</v>
      </c>
      <c r="J231">
        <f>($B$1+Table4[[#This Row],[Home Differential]])-Table4[[#This Row],[Away Differential]]</f>
        <v>-8.818841967628932E-2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0.48088553485950469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0.2312508976371119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0.42567513732855267</v>
      </c>
      <c r="H232" t="s">
        <v>23</v>
      </c>
      <c r="I232">
        <f>VLOOKUP(Table4[[#This Row],[Visitor]],'NHL Model'!$A$6:$B$38,2,FALSE)</f>
        <v>-0.4761104357405897</v>
      </c>
      <c r="J232">
        <f>($B$1+Table4[[#This Row],[Home Differential]])-Table4[[#This Row],[Away Differential]]</f>
        <v>0.95168632199230485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0.70283940031160697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8.8304422007165373E-2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-0.81774666423752174</v>
      </c>
      <c r="H233" t="s">
        <v>12</v>
      </c>
      <c r="I233">
        <f>VLOOKUP(Table4[[#This Row],[Visitor]],'NHL Model'!$A$6:$B$38,2,FALSE)</f>
        <v>1.6319036584269762</v>
      </c>
      <c r="J233">
        <f>($B$1+Table4[[#This Row],[Home Differential]])-Table4[[#This Row],[Away Differential]]</f>
        <v>-2.3997495737413352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0.80575362576568399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3.7731653903177946E-2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-0.59288962827382519</v>
      </c>
      <c r="H234" t="s">
        <v>55</v>
      </c>
      <c r="I234">
        <f>VLOOKUP(Table4[[#This Row],[Visitor]],'NHL Model'!$A$6:$B$38,2,FALSE)</f>
        <v>-0.4031232890211825</v>
      </c>
      <c r="J234">
        <f>($B$1+Table4[[#This Row],[Home Differential]])-Table4[[#This Row],[Away Differential]]</f>
        <v>-0.13986559032948026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0.47633137193975128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0.22689157589400569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1.5302507646042616E-3</v>
      </c>
      <c r="H235" t="s">
        <v>14</v>
      </c>
      <c r="I235">
        <f>VLOOKUP(Table4[[#This Row],[Visitor]],'NHL Model'!$A$6:$B$38,2,FALSE)</f>
        <v>-0.14226422156549004</v>
      </c>
      <c r="J235">
        <f>($B$1+Table4[[#This Row],[Home Differential]])-Table4[[#This Row],[Away Differential]]</f>
        <v>0.19369522125325678</v>
      </c>
      <c r="K235" t="str">
        <f>IF(Table4[[#This Row],[HomeIce Differential]]&gt;0,Table4[[#This Row],[Home]],Table4[[#This Row],[Visitor]])</f>
        <v>New Jersey Devils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0.60470632805755864</v>
      </c>
      <c r="M235" t="str">
        <f>IF(OR((NHL2025_26Results[[#This Row],[Winning Team]]="")),"-",IF(Table4[[#This Row],[Predicted Winner]]=NHL2025_26Results[[#This Row],[Winning Team]],"YES","NO"))</f>
        <v>YES</v>
      </c>
      <c r="N235">
        <f>IF(Table4[[#This Row],[Adjusted Correct]]="-", "",IF(Table4[[#This Row],[Adjusted Correct]]="YES",(Table4[[#This Row],[Strength of Win]]-1)^2,(Table4[[#This Row],[Strength of Win]]-0)^2))</f>
        <v>0.15625708707773844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New Jersey Devils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-1.384917283810061</v>
      </c>
      <c r="H236" t="s">
        <v>39</v>
      </c>
      <c r="I236">
        <f>VLOOKUP(Table4[[#This Row],[Visitor]],'NHL Model'!$A$6:$B$38,2,FALSE)</f>
        <v>0.41344250185511977</v>
      </c>
      <c r="J236">
        <f>($B$1+Table4[[#This Row],[Home Differential]])-Table4[[#This Row],[Away Differential]]</f>
        <v>-1.7484590367420183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0.7659561507622451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5.4776523366024947E-2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-0.29003398448394263</v>
      </c>
      <c r="H237" t="s">
        <v>30</v>
      </c>
      <c r="I237">
        <f>VLOOKUP(Table4[[#This Row],[Visitor]],'NHL Model'!$A$6:$B$38,2,FALSE)</f>
        <v>-0.24093199744133265</v>
      </c>
      <c r="J237">
        <f>($B$1+Table4[[#This Row],[Home Differential]])-Table4[[#This Row],[Away Differential]]</f>
        <v>7.9876188055247321E-4</v>
      </c>
      <c r="K237" t="str">
        <f>IF(Table4[[#This Row],[HomeIce Differential]]&gt;0,Table4[[#This Row],[Home]],Table4[[#This Row],[Visitor]])</f>
        <v>New York Rangers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0.46747009813058232</v>
      </c>
      <c r="M237" t="str">
        <f>IF(OR((NHL2025_26Results[[#This Row],[Winning Team]]="")),"-",IF(Table4[[#This Row],[Predicted Winner]]=NHL2025_26Results[[#This Row],[Winning Team]],"YES","NO"))</f>
        <v>NO</v>
      </c>
      <c r="N237">
        <f>IF(Table4[[#This Row],[Adjusted Correct]]="-", "",IF(Table4[[#This Row],[Adjusted Correct]]="YES",(Table4[[#This Row],[Strength of Win]]-1)^2,(Table4[[#This Row],[Strength of Win]]-0)^2))</f>
        <v>0.21852829264621626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Rangers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-0.38023958350631604</v>
      </c>
      <c r="H238" t="s">
        <v>36</v>
      </c>
      <c r="I238">
        <f>VLOOKUP(Table4[[#This Row],[Visitor]],'NHL Model'!$A$6:$B$38,2,FALSE)</f>
        <v>-0.53137605086483863</v>
      </c>
      <c r="J238">
        <f>($B$1+Table4[[#This Row],[Home Differential]])-Table4[[#This Row],[Away Differential]]</f>
        <v>0.20103721628168508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0.5774906825970495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0.33349548848640614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-0.45133099238224339</v>
      </c>
      <c r="H239" t="s">
        <v>11</v>
      </c>
      <c r="I239">
        <f>VLOOKUP(Table4[[#This Row],[Visitor]],'NHL Model'!$A$6:$B$38,2,FALSE)</f>
        <v>-0.39711829106410657</v>
      </c>
      <c r="J239">
        <f>($B$1+Table4[[#This Row],[Home Differential]])-Table4[[#This Row],[Away Differential]]</f>
        <v>-4.3119523949743388E-3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0.45038123469323554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0.20284325656380331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-1.3944783719477225</v>
      </c>
      <c r="H240" t="s">
        <v>32</v>
      </c>
      <c r="I240">
        <f>VLOOKUP(Table4[[#This Row],[Visitor]],'NHL Model'!$A$6:$B$38,2,FALSE)</f>
        <v>-0.64937723527808999</v>
      </c>
      <c r="J240">
        <f>($B$1+Table4[[#This Row],[Home Differential]])-Table4[[#This Row],[Away Differential]]</f>
        <v>-0.69520038774647008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0.5411749056948274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0.21052046716415052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0.51050494674660429</v>
      </c>
      <c r="H241" t="s">
        <v>22</v>
      </c>
      <c r="I241">
        <f>VLOOKUP(Table4[[#This Row],[Visitor]],'NHL Model'!$A$6:$B$38,2,FALSE)</f>
        <v>0.4407072328537569</v>
      </c>
      <c r="J241">
        <f>($B$1+Table4[[#This Row],[Home Differential]])-Table4[[#This Row],[Away Differential]]</f>
        <v>0.11969846281600982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0.54409704408470561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0.20784750521230286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-0.63447859131898054</v>
      </c>
      <c r="H242" t="s">
        <v>21</v>
      </c>
      <c r="I242">
        <f>VLOOKUP(Table4[[#This Row],[Visitor]],'NHL Model'!$A$6:$B$38,2,FALSE)</f>
        <v>-0.21976976044773161</v>
      </c>
      <c r="J242">
        <f>($B$1+Table4[[#This Row],[Home Differential]])-Table4[[#This Row],[Away Differential]]</f>
        <v>-0.3648080819480865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0.50342622083801203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0.24658551815121879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-0.9476777551108041</v>
      </c>
      <c r="H243" t="s">
        <v>28</v>
      </c>
      <c r="I243">
        <f>VLOOKUP(Table4[[#This Row],[Visitor]],'NHL Model'!$A$6:$B$38,2,FALSE)</f>
        <v>-0.59498940435054026</v>
      </c>
      <c r="J243">
        <f>($B$1+Table4[[#This Row],[Home Differential]])-Table4[[#This Row],[Away Differential]]</f>
        <v>-0.30278760183710141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0.49893108028093769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0.24893222287030348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-0.24444083032063643</v>
      </c>
      <c r="H244" t="s">
        <v>31</v>
      </c>
      <c r="I244">
        <f>VLOOKUP(Table4[[#This Row],[Visitor]],'NHL Model'!$A$6:$B$38,2,FALSE)</f>
        <v>0.17870302183926629</v>
      </c>
      <c r="J244">
        <f>($B$1+Table4[[#This Row],[Home Differential]])-Table4[[#This Row],[Away Differential]]</f>
        <v>-0.37324310323674026</v>
      </c>
      <c r="K244" t="str">
        <f>IF(Table4[[#This Row],[HomeIce Differential]]&gt;0,Table4[[#This Row],[Home]],Table4[[#This Row],[Visitor]])</f>
        <v>Anaheim Ducks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0.52435087174716466</v>
      </c>
      <c r="M244" t="str">
        <f>IF(OR((NHL2025_26Results[[#This Row],[Winning Team]]="")),"-",IF(Table4[[#This Row],[Predicted Winner]]=NHL2025_26Results[[#This Row],[Winning Team]],"YES","NO"))</f>
        <v>YES</v>
      </c>
      <c r="N244">
        <f>IF(Table4[[#This Row],[Adjusted Correct]]="-", "",IF(Table4[[#This Row],[Adjusted Correct]]="YES",(Table4[[#This Row],[Strength of Win]]-1)^2,(Table4[[#This Row],[Strength of Win]]-0)^2))</f>
        <v>0.22624209320768221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Anaheim Ducks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0.17870302183926629</v>
      </c>
      <c r="H245" t="s">
        <v>40</v>
      </c>
      <c r="I245">
        <f>VLOOKUP(Table4[[#This Row],[Visitor]],'NHL Model'!$A$6:$B$38,2,FALSE)</f>
        <v>-0.31324182378279158</v>
      </c>
      <c r="J245">
        <f>($B$1+Table4[[#This Row],[Home Differential]])-Table4[[#This Row],[Away Differential]]</f>
        <v>0.5418455945452203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0.66326847023337154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0.11338812313897378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0.41344250185511977</v>
      </c>
      <c r="H246" t="s">
        <v>32</v>
      </c>
      <c r="I246">
        <f>VLOOKUP(Table4[[#This Row],[Visitor]],'NHL Model'!$A$6:$B$38,2,FALSE)</f>
        <v>-0.64937723527808999</v>
      </c>
      <c r="J246">
        <f>($B$1+Table4[[#This Row],[Home Differential]])-Table4[[#This Row],[Away Differential]]</f>
        <v>1.1127204860563722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0.70217260513765822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8.8701157130489247E-2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-0.87533956503230947</v>
      </c>
      <c r="H247" t="s">
        <v>10</v>
      </c>
      <c r="I247">
        <f>VLOOKUP(Table4[[#This Row],[Visitor]],'NHL Model'!$A$6:$B$38,2,FALSE)</f>
        <v>-0.17619625518431364</v>
      </c>
      <c r="J247">
        <f>($B$1+Table4[[#This Row],[Home Differential]])-Table4[[#This Row],[Away Differential]]</f>
        <v>-0.64924256092483335</v>
      </c>
      <c r="K247" t="str">
        <f>IF(Table4[[#This Row],[HomeIce Differential]]&gt;0,Table4[[#This Row],[Home]],Table4[[#This Row],[Visitor]])</f>
        <v>Chicago Blackhawks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0.53580865112428755</v>
      </c>
      <c r="M247" t="str">
        <f>IF(OR((NHL2025_26Results[[#This Row],[Winning Team]]="")),"-",IF(Table4[[#This Row],[Predicted Winner]]=NHL2025_26Results[[#This Row],[Winning Team]],"YES","NO"))</f>
        <v>YES</v>
      </c>
      <c r="N247">
        <f>IF(Table4[[#This Row],[Adjusted Correct]]="-", "",IF(Table4[[#This Row],[Adjusted Correct]]="YES",(Table4[[#This Row],[Strength of Win]]-1)^2,(Table4[[#This Row],[Strength of Win]]-0)^2))</f>
        <v>0.21547360837105339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-5.5124787449478845E-2</v>
      </c>
      <c r="H248" t="s">
        <v>16</v>
      </c>
      <c r="I248">
        <f>VLOOKUP(Table4[[#This Row],[Visitor]],'NHL Model'!$A$6:$B$38,2,FALSE)</f>
        <v>-1.0657812790446208</v>
      </c>
      <c r="J248">
        <f>($B$1+Table4[[#This Row],[Home Differential]])-Table4[[#This Row],[Away Differential]]</f>
        <v>1.0605572405183044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0.66383571053823376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0.11300642950933416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-0.53137605086483863</v>
      </c>
      <c r="H249" t="s">
        <v>55</v>
      </c>
      <c r="I249">
        <f>VLOOKUP(Table4[[#This Row],[Visitor]],'NHL Model'!$A$6:$B$38,2,FALSE)</f>
        <v>-0.4031232890211825</v>
      </c>
      <c r="J249">
        <f>($B$1+Table4[[#This Row],[Home Differential]])-Table4[[#This Row],[Away Differential]]</f>
        <v>-7.8352012920493652E-2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0.46665327469730555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0.21776527878571891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-0.14226422156549004</v>
      </c>
      <c r="H250" t="s">
        <v>13</v>
      </c>
      <c r="I250">
        <f>VLOOKUP(Table4[[#This Row],[Visitor]],'NHL Model'!$A$6:$B$38,2,FALSE)</f>
        <v>-0.33828359867721369</v>
      </c>
      <c r="J250">
        <f>($B$1+Table4[[#This Row],[Home Differential]])-Table4[[#This Row],[Away Differential]]</f>
        <v>0.24592012603488611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0.5023990147629066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0.25240477003473927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-0.63447859131898054</v>
      </c>
      <c r="H251" t="s">
        <v>25</v>
      </c>
      <c r="I251">
        <f>VLOOKUP(Table4[[#This Row],[Visitor]],'NHL Model'!$A$6:$B$38,2,FALSE)</f>
        <v>0.42567513732855267</v>
      </c>
      <c r="J251">
        <f>($B$1+Table4[[#This Row],[Home Differential]])-Table4[[#This Row],[Away Differential]]</f>
        <v>-1.0102529797243709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0.6505851147604973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0.12209076202693485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-0.9476777551108041</v>
      </c>
      <c r="H252" t="s">
        <v>12</v>
      </c>
      <c r="I252">
        <f>VLOOKUP(Table4[[#This Row],[Visitor]],'NHL Model'!$A$6:$B$38,2,FALSE)</f>
        <v>1.6319036584269762</v>
      </c>
      <c r="J252">
        <f>($B$1+Table4[[#This Row],[Home Differential]])-Table4[[#This Row],[Away Differential]]</f>
        <v>-2.5296806646146179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0.82800072212355857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2.9583751590017311E-2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-0.81774666423752174</v>
      </c>
      <c r="H253" t="s">
        <v>28</v>
      </c>
      <c r="I253">
        <f>VLOOKUP(Table4[[#This Row],[Visitor]],'NHL Model'!$A$6:$B$38,2,FALSE)</f>
        <v>-0.59498940435054026</v>
      </c>
      <c r="J253">
        <f>($B$1+Table4[[#This Row],[Home Differential]])-Table4[[#This Row],[Away Differential]]</f>
        <v>-0.17285651096381904</v>
      </c>
      <c r="K253" t="str">
        <f>IF(Table4[[#This Row],[HomeIce Differential]]&gt;0,Table4[[#This Row],[Home]],Table4[[#This Row],[Visitor]])</f>
        <v>Columbus Blue Jackets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0.47670528796548239</v>
      </c>
      <c r="M253" t="str">
        <f>IF(OR((NHL2025_26Results[[#This Row],[Winning Team]]="")),"-",IF(Table4[[#This Row],[Predicted Winner]]=NHL2025_26Results[[#This Row],[Winning Team]],"YES","NO"))</f>
        <v>NO</v>
      </c>
      <c r="N253">
        <f>IF(Table4[[#This Row],[Adjusted Correct]]="-", "",IF(Table4[[#This Row],[Adjusted Correct]]="YES",(Table4[[#This Row],[Strength of Win]]-1)^2,(Table4[[#This Row],[Strength of Win]]-0)^2))</f>
        <v>0.22724793157425349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1.5302507646042616E-3</v>
      </c>
      <c r="H254" t="s">
        <v>30</v>
      </c>
      <c r="I254">
        <f>VLOOKUP(Table4[[#This Row],[Visitor]],'NHL Model'!$A$6:$B$38,2,FALSE)</f>
        <v>-0.24093199744133265</v>
      </c>
      <c r="J254">
        <f>($B$1+Table4[[#This Row],[Home Differential]])-Table4[[#This Row],[Away Differential]]</f>
        <v>0.29236299712909936</v>
      </c>
      <c r="K254" t="str">
        <f>IF(Table4[[#This Row],[HomeIce Differential]]&gt;0,Table4[[#This Row],[Home]],Table4[[#This Row],[Visitor]])</f>
        <v>New Jersey Devils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0.58343346953258379</v>
      </c>
      <c r="M254" t="str">
        <f>IF(OR((NHL2025_26Results[[#This Row],[Winning Team]]="")),"-",IF(Table4[[#This Row],[Predicted Winner]]=NHL2025_26Results[[#This Row],[Winning Team]],"YES","NO"))</f>
        <v>NO</v>
      </c>
      <c r="N254">
        <f>IF(Table4[[#This Row],[Adjusted Correct]]="-", "",IF(Table4[[#This Row],[Adjusted Correct]]="YES",(Table4[[#This Row],[Strength of Win]]-1)^2,(Table4[[#This Row],[Strength of Win]]-0)^2))</f>
        <v>0.34039461337082838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-0.29003398448394263</v>
      </c>
      <c r="H255" t="s">
        <v>29</v>
      </c>
      <c r="I255">
        <f>VLOOKUP(Table4[[#This Row],[Visitor]],'NHL Model'!$A$6:$B$38,2,FALSE)</f>
        <v>-1.384917283810061</v>
      </c>
      <c r="J255">
        <f>($B$1+Table4[[#This Row],[Home Differential]])-Table4[[#This Row],[Away Differential]]</f>
        <v>1.1447840482492808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0.67367043343978616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0.10649098601137703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-0.24444083032063643</v>
      </c>
      <c r="H256" t="s">
        <v>11</v>
      </c>
      <c r="I256">
        <f>VLOOKUP(Table4[[#This Row],[Visitor]],'NHL Model'!$A$6:$B$38,2,FALSE)</f>
        <v>-0.39711829106410657</v>
      </c>
      <c r="J256">
        <f>($B$1+Table4[[#This Row],[Home Differential]])-Table4[[#This Row],[Away Differential]]</f>
        <v>0.20257820966663259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0.56365399581956632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0.31770582700336369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-0.21976976044773161</v>
      </c>
      <c r="H257" t="s">
        <v>19</v>
      </c>
      <c r="I257">
        <f>VLOOKUP(Table4[[#This Row],[Visitor]],'NHL Model'!$A$6:$B$38,2,FALSE)</f>
        <v>-0.63447859131898054</v>
      </c>
      <c r="J257">
        <f>($B$1+Table4[[#This Row],[Home Differential]])-Table4[[#This Row],[Away Differential]]</f>
        <v>0.46460957979441142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0.63715157999313932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0.13165897590147518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0.42567513732855267</v>
      </c>
      <c r="H258" t="s">
        <v>22</v>
      </c>
      <c r="I258">
        <f>VLOOKUP(Table4[[#This Row],[Visitor]],'NHL Model'!$A$6:$B$38,2,FALSE)</f>
        <v>0.4407072328537569</v>
      </c>
      <c r="J258">
        <f>($B$1+Table4[[#This Row],[Home Differential]])-Table4[[#This Row],[Away Differential]]</f>
        <v>3.4868653397958249E-2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0.55407142990880653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0.3069951494411895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1.6319036584269762</v>
      </c>
      <c r="H259" t="s">
        <v>31</v>
      </c>
      <c r="I259">
        <f>VLOOKUP(Table4[[#This Row],[Visitor]],'NHL Model'!$A$6:$B$38,2,FALSE)</f>
        <v>0.17870302183926629</v>
      </c>
      <c r="J259">
        <f>($B$1+Table4[[#This Row],[Home Differential]])-Table4[[#This Row],[Away Differential]]</f>
        <v>1.5031013855108724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0.8005092709515379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3.9796550976286919E-2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-5.5124787449478845E-2</v>
      </c>
      <c r="H260" t="s">
        <v>33</v>
      </c>
      <c r="I260">
        <f>VLOOKUP(Table4[[#This Row],[Visitor]],'NHL Model'!$A$6:$B$38,2,FALSE)</f>
        <v>-0.45133099238224339</v>
      </c>
      <c r="J260">
        <f>($B$1+Table4[[#This Row],[Home Differential]])-Table4[[#This Row],[Away Differential]]</f>
        <v>0.44610695385592702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0.59208957093140724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0.35057006000573793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-0.59288962827382519</v>
      </c>
      <c r="H261" t="s">
        <v>13</v>
      </c>
      <c r="I261">
        <f>VLOOKUP(Table4[[#This Row],[Visitor]],'NHL Model'!$A$6:$B$38,2,FALSE)</f>
        <v>-0.33828359867721369</v>
      </c>
      <c r="J261">
        <f>($B$1+Table4[[#This Row],[Home Differential]])-Table4[[#This Row],[Away Differential]]</f>
        <v>-0.20470528067344906</v>
      </c>
      <c r="K261" t="str">
        <f>IF(Table4[[#This Row],[HomeIce Differential]]&gt;0,Table4[[#This Row],[Home]],Table4[[#This Row],[Visitor]])</f>
        <v>Los Angeles Kings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0.55021815222662374</v>
      </c>
      <c r="M261" t="str">
        <f>IF(OR((NHL2025_26Results[[#This Row],[Winning Team]]="")),"-",IF(Table4[[#This Row],[Predicted Winner]]=NHL2025_26Results[[#This Row],[Winning Team]],"YES","NO"))</f>
        <v>YES</v>
      </c>
      <c r="N261">
        <f>IF(Table4[[#This Row],[Adjusted Correct]]="-", "",IF(Table4[[#This Row],[Adjusted Correct]]="YES",(Table4[[#This Row],[Strength of Win]]-1)^2,(Table4[[#This Row],[Strength of Win]]-0)^2))</f>
        <v>0.20230371058643262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-0.53137605086483863</v>
      </c>
      <c r="H262" t="s">
        <v>39</v>
      </c>
      <c r="I262">
        <f>VLOOKUP(Table4[[#This Row],[Visitor]],'NHL Model'!$A$6:$B$38,2,FALSE)</f>
        <v>0.41344250185511977</v>
      </c>
      <c r="J262">
        <f>($B$1+Table4[[#This Row],[Home Differential]])-Table4[[#This Row],[Away Differential]]</f>
        <v>-0.89491780379679597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0.66381689553569467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0.11301907972725803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-0.64937723527808999</v>
      </c>
      <c r="H263" t="s">
        <v>28</v>
      </c>
      <c r="I263">
        <f>VLOOKUP(Table4[[#This Row],[Visitor]],'NHL Model'!$A$6:$B$38,2,FALSE)</f>
        <v>-0.59498940435054026</v>
      </c>
      <c r="J263">
        <f>($B$1+Table4[[#This Row],[Home Differential]])-Table4[[#This Row],[Away Differential]]</f>
        <v>-4.4870820043872994E-3</v>
      </c>
      <c r="K263" t="str">
        <f>IF(Table4[[#This Row],[HomeIce Differential]]&gt;0,Table4[[#This Row],[Home]],Table4[[#This Row],[Visitor]])</f>
        <v>Columbus Blue Jackets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0.46410009198901336</v>
      </c>
      <c r="M263" t="str">
        <f>IF(OR((NHL2025_26Results[[#This Row],[Winning Team]]="")),"-",IF(Table4[[#This Row],[Predicted Winner]]=NHL2025_26Results[[#This Row],[Winning Team]],"YES","NO"))</f>
        <v>YES</v>
      </c>
      <c r="N263">
        <f>IF(Table4[[#This Row],[Adjusted Correct]]="-", "",IF(Table4[[#This Row],[Adjusted Correct]]="YES",(Table4[[#This Row],[Strength of Win]]-1)^2,(Table4[[#This Row],[Strength of Win]]-0)^2))</f>
        <v>0.28718871140618396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-1.3944783719477225</v>
      </c>
      <c r="H264" t="s">
        <v>16</v>
      </c>
      <c r="I264">
        <f>VLOOKUP(Table4[[#This Row],[Visitor]],'NHL Model'!$A$6:$B$38,2,FALSE)</f>
        <v>-1.0657812790446208</v>
      </c>
      <c r="J264">
        <f>($B$1+Table4[[#This Row],[Home Differential]])-Table4[[#This Row],[Away Differential]]</f>
        <v>-0.27879634397993924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0.49255358790002218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0.24260903695318489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-0.9476777551108041</v>
      </c>
      <c r="H265" t="s">
        <v>40</v>
      </c>
      <c r="I265">
        <f>VLOOKUP(Table4[[#This Row],[Visitor]],'NHL Model'!$A$6:$B$38,2,FALSE)</f>
        <v>-0.31324182378279158</v>
      </c>
      <c r="J265">
        <f>($B$1+Table4[[#This Row],[Home Differential]])-Table4[[#This Row],[Away Differential]]</f>
        <v>-0.58453518240485014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0.54902234043856335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0.20338084942351106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-0.17619625518431364</v>
      </c>
      <c r="H266" t="s">
        <v>24</v>
      </c>
      <c r="I266">
        <f>VLOOKUP(Table4[[#This Row],[Visitor]],'NHL Model'!$A$6:$B$38,2,FALSE)</f>
        <v>1.5302507646042616E-3</v>
      </c>
      <c r="J266">
        <f>($B$1+Table4[[#This Row],[Home Differential]])-Table4[[#This Row],[Away Differential]]</f>
        <v>-0.12782575702575544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0.49569477447551485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0.25432376049130179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-0.38023958350631604</v>
      </c>
      <c r="H267" t="s">
        <v>17</v>
      </c>
      <c r="I267">
        <f>VLOOKUP(Table4[[#This Row],[Visitor]],'NHL Model'!$A$6:$B$38,2,FALSE)</f>
        <v>-0.81774666423752174</v>
      </c>
      <c r="J267">
        <f>($B$1+Table4[[#This Row],[Home Differential]])-Table4[[#This Row],[Away Differential]]</f>
        <v>0.48740782965436819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0.61092867823691233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0.37323384989230074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0.51050494674660429</v>
      </c>
      <c r="H268" t="s">
        <v>15</v>
      </c>
      <c r="I268">
        <f>VLOOKUP(Table4[[#This Row],[Visitor]],'NHL Model'!$A$6:$B$38,2,FALSE)</f>
        <v>-0.29003398448394263</v>
      </c>
      <c r="J268">
        <f>($B$1+Table4[[#This Row],[Home Differential]])-Table4[[#This Row],[Away Differential]]</f>
        <v>0.8504396801537093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0.57162610749903808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0.32675640677450185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-0.4031232890211825</v>
      </c>
      <c r="H269" t="s">
        <v>23</v>
      </c>
      <c r="I269">
        <f>VLOOKUP(Table4[[#This Row],[Visitor]],'NHL Model'!$A$6:$B$38,2,FALSE)</f>
        <v>-0.4761104357405897</v>
      </c>
      <c r="J269">
        <f>($B$1+Table4[[#This Row],[Home Differential]])-Table4[[#This Row],[Away Differential]]</f>
        <v>0.12288789564256969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0.59478015295826725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0.16420312443652529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-0.59498940435054026</v>
      </c>
      <c r="H270" t="s">
        <v>17</v>
      </c>
      <c r="I270">
        <f>VLOOKUP(Table4[[#This Row],[Visitor]],'NHL Model'!$A$6:$B$38,2,FALSE)</f>
        <v>-0.81774666423752174</v>
      </c>
      <c r="J270">
        <f>($B$1+Table4[[#This Row],[Home Differential]])-Table4[[#This Row],[Away Differential]]</f>
        <v>0.2726580088101439</v>
      </c>
      <c r="K270" t="str">
        <f>IF(Table4[[#This Row],[HomeIce Differential]]&gt;0,Table4[[#This Row],[Home]],Table4[[#This Row],[Visitor]])</f>
        <v>Columbus Blue Jackets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0.57183684667358736</v>
      </c>
      <c r="M270" t="str">
        <f>IF(OR((NHL2025_26Results[[#This Row],[Winning Team]]="")),"-",IF(Table4[[#This Row],[Predicted Winner]]=NHL2025_26Results[[#This Row],[Winning Team]],"YES","NO"))</f>
        <v>YES</v>
      </c>
      <c r="N270">
        <f>IF(Table4[[#This Row],[Adjusted Correct]]="-", "",IF(Table4[[#This Row],[Adjusted Correct]]="YES",(Table4[[#This Row],[Strength of Win]]-1)^2,(Table4[[#This Row],[Strength of Win]]-0)^2))</f>
        <v>0.18332368586641715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-1.0657812790446208</v>
      </c>
      <c r="H271" t="s">
        <v>33</v>
      </c>
      <c r="I271">
        <f>VLOOKUP(Table4[[#This Row],[Visitor]],'NHL Model'!$A$6:$B$38,2,FALSE)</f>
        <v>-0.45133099238224339</v>
      </c>
      <c r="J271">
        <f>($B$1+Table4[[#This Row],[Home Differential]])-Table4[[#This Row],[Away Differential]]</f>
        <v>-0.56454953773921501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0.52591949068755661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0.27659131068505893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1.6319036584269762</v>
      </c>
      <c r="H272" t="s">
        <v>23</v>
      </c>
      <c r="I272">
        <f>VLOOKUP(Table4[[#This Row],[Visitor]],'NHL Model'!$A$6:$B$38,2,FALSE)</f>
        <v>-0.4761104357405897</v>
      </c>
      <c r="J272">
        <f>($B$1+Table4[[#This Row],[Home Differential]])-Table4[[#This Row],[Away Differential]]</f>
        <v>2.1579148430907282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0.89629830338808214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1.0754041880190256E-2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-0.87533956503230947</v>
      </c>
      <c r="H273" t="s">
        <v>31</v>
      </c>
      <c r="I273">
        <f>VLOOKUP(Table4[[#This Row],[Visitor]],'NHL Model'!$A$6:$B$38,2,FALSE)</f>
        <v>0.17870302183926629</v>
      </c>
      <c r="J273">
        <f>($B$1+Table4[[#This Row],[Home Differential]])-Table4[[#This Row],[Away Differential]]</f>
        <v>-1.0041418379484133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0.59801761042551338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0.35762506237904107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-0.39711829106410657</v>
      </c>
      <c r="H274" t="s">
        <v>22</v>
      </c>
      <c r="I274">
        <f>VLOOKUP(Table4[[#This Row],[Visitor]],'NHL Model'!$A$6:$B$38,2,FALSE)</f>
        <v>0.4407072328537569</v>
      </c>
      <c r="J274">
        <f>($B$1+Table4[[#This Row],[Home Differential]])-Table4[[#This Row],[Away Differential]]</f>
        <v>-0.78792477499470093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0.58037393944359772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0.33683390958528081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-0.59288962827382519</v>
      </c>
      <c r="H275" t="s">
        <v>39</v>
      </c>
      <c r="I275">
        <f>VLOOKUP(Table4[[#This Row],[Visitor]],'NHL Model'!$A$6:$B$38,2,FALSE)</f>
        <v>0.41344250185511977</v>
      </c>
      <c r="J275">
        <f>($B$1+Table4[[#This Row],[Home Differential]])-Table4[[#This Row],[Away Differential]]</f>
        <v>-0.95643138120578253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0.67347523248448404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0.10661842380106175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-0.53137605086483863</v>
      </c>
      <c r="H276" t="s">
        <v>21</v>
      </c>
      <c r="I276">
        <f>VLOOKUP(Table4[[#This Row],[Visitor]],'NHL Model'!$A$6:$B$38,2,FALSE)</f>
        <v>-0.21976976044773161</v>
      </c>
      <c r="J276">
        <f>($B$1+Table4[[#This Row],[Home Differential]])-Table4[[#This Row],[Away Differential]]</f>
        <v>-0.26170554149394454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0.48889131780087369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0.23901472062107487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-0.64937723527808999</v>
      </c>
      <c r="H277" t="s">
        <v>40</v>
      </c>
      <c r="I277">
        <f>VLOOKUP(Table4[[#This Row],[Visitor]],'NHL Model'!$A$6:$B$38,2,FALSE)</f>
        <v>-0.31324182378279158</v>
      </c>
      <c r="J277">
        <f>($B$1+Table4[[#This Row],[Home Differential]])-Table4[[#This Row],[Away Differential]]</f>
        <v>-0.28623466257213598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0.51419135214663902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0.26439274662238893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-0.63447859131898054</v>
      </c>
      <c r="H278" t="s">
        <v>13</v>
      </c>
      <c r="I278">
        <f>VLOOKUP(Table4[[#This Row],[Visitor]],'NHL Model'!$A$6:$B$38,2,FALSE)</f>
        <v>-0.33828359867721369</v>
      </c>
      <c r="J278">
        <f>($B$1+Table4[[#This Row],[Home Differential]])-Table4[[#This Row],[Away Differential]]</f>
        <v>-0.24629424371860442</v>
      </c>
      <c r="K278" t="str">
        <f>IF(Table4[[#This Row],[HomeIce Differential]]&gt;0,Table4[[#This Row],[Home]],Table4[[#This Row],[Visitor]])</f>
        <v>Los Angeles Kings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0.55507427747143212</v>
      </c>
      <c r="M278" t="str">
        <f>IF(OR((NHL2025_26Results[[#This Row],[Winning Team]]="")),"-",IF(Table4[[#This Row],[Predicted Winner]]=NHL2025_26Results[[#This Row],[Winning Team]],"YES","NO"))</f>
        <v>YES</v>
      </c>
      <c r="N278">
        <f>IF(Table4[[#This Row],[Adjusted Correct]]="-", "",IF(Table4[[#This Row],[Adjusted Correct]]="YES",(Table4[[#This Row],[Strength of Win]]-1)^2,(Table4[[#This Row],[Strength of Win]]-0)^2))</f>
        <v>0.19795889856756818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-0.24444083032063643</v>
      </c>
      <c r="H279" t="s">
        <v>30</v>
      </c>
      <c r="I279">
        <f>VLOOKUP(Table4[[#This Row],[Visitor]],'NHL Model'!$A$6:$B$38,2,FALSE)</f>
        <v>-0.24093199744133265</v>
      </c>
      <c r="J279">
        <f>($B$1+Table4[[#This Row],[Home Differential]])-Table4[[#This Row],[Away Differential]]</f>
        <v>4.6391916043858672E-2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0.47279377178607773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0.22353395063970574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0.42567513732855267</v>
      </c>
      <c r="H280" t="s">
        <v>38</v>
      </c>
      <c r="I280">
        <f>VLOOKUP(Table4[[#This Row],[Visitor]],'NHL Model'!$A$6:$B$38,2,FALSE)</f>
        <v>-0.9476777551108041</v>
      </c>
      <c r="J280">
        <f>($B$1+Table4[[#This Row],[Home Differential]])-Table4[[#This Row],[Away Differential]]</f>
        <v>1.4232536413625192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0.75442116247126945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6.0308965441962639E-2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-1.384917283810061</v>
      </c>
      <c r="H281" t="s">
        <v>14</v>
      </c>
      <c r="I281">
        <f>VLOOKUP(Table4[[#This Row],[Visitor]],'NHL Model'!$A$6:$B$38,2,FALSE)</f>
        <v>-0.14226422156549004</v>
      </c>
      <c r="J281">
        <f>($B$1+Table4[[#This Row],[Home Differential]])-Table4[[#This Row],[Away Differential]]</f>
        <v>-1.1927523133214084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0.63855816958625278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0.40775653594534556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-1.3944783719477225</v>
      </c>
      <c r="H282" t="s">
        <v>27</v>
      </c>
      <c r="I282">
        <f>VLOOKUP(Table4[[#This Row],[Visitor]],'NHL Model'!$A$6:$B$38,2,FALSE)</f>
        <v>-0.38023958350631604</v>
      </c>
      <c r="J282">
        <f>($B$1+Table4[[#This Row],[Home Differential]])-Table4[[#This Row],[Away Differential]]</f>
        <v>-0.96433803951824404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0.61511326154149359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0.14813780144122671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-0.4031232890211825</v>
      </c>
      <c r="H283" t="s">
        <v>30</v>
      </c>
      <c r="I283">
        <f>VLOOKUP(Table4[[#This Row],[Visitor]],'NHL Model'!$A$6:$B$38,2,FALSE)</f>
        <v>-0.24093199744133265</v>
      </c>
      <c r="J283">
        <f>($B$1+Table4[[#This Row],[Home Differential]])-Table4[[#This Row],[Away Differential]]</f>
        <v>-0.11229054265668736</v>
      </c>
      <c r="K283" t="str">
        <f>IF(Table4[[#This Row],[HomeIce Differential]]&gt;0,Table4[[#This Row],[Home]],Table4[[#This Row],[Visitor]])</f>
        <v>New York Islanders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0.50473168987713912</v>
      </c>
      <c r="M283" t="str">
        <f>IF(OR((NHL2025_26Results[[#This Row],[Winning Team]]="")),"-",IF(Table4[[#This Row],[Predicted Winner]]=NHL2025_26Results[[#This Row],[Winning Team]],"YES","NO"))</f>
        <v>YES</v>
      </c>
      <c r="N283">
        <f>IF(Table4[[#This Row],[Adjusted Correct]]="-", "",IF(Table4[[#This Row],[Adjusted Correct]]="YES",(Table4[[#This Row],[Strength of Win]]-1)^2,(Table4[[#This Row],[Strength of Win]]-0)^2))</f>
        <v>0.2452906990119543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0.42567513732855267</v>
      </c>
      <c r="H284" t="s">
        <v>17</v>
      </c>
      <c r="I284">
        <f>VLOOKUP(Table4[[#This Row],[Visitor]],'NHL Model'!$A$6:$B$38,2,FALSE)</f>
        <v>-0.81774666423752174</v>
      </c>
      <c r="J284">
        <f>($B$1+Table4[[#This Row],[Home Differential]])-Table4[[#This Row],[Away Differential]]</f>
        <v>1.2933225504892369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0.74273047217949051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0.55164855430396897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-0.59498940435054026</v>
      </c>
      <c r="H285" t="s">
        <v>15</v>
      </c>
      <c r="I285">
        <f>VLOOKUP(Table4[[#This Row],[Visitor]],'NHL Model'!$A$6:$B$38,2,FALSE)</f>
        <v>-0.29003398448394263</v>
      </c>
      <c r="J285">
        <f>($B$1+Table4[[#This Row],[Home Differential]])-Table4[[#This Row],[Away Differential]]</f>
        <v>-0.2550546709434352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0.5898628635660369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0.16821247068225126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-1.0657812790446208</v>
      </c>
      <c r="H286" t="s">
        <v>40</v>
      </c>
      <c r="I286">
        <f>VLOOKUP(Table4[[#This Row],[Visitor]],'NHL Model'!$A$6:$B$38,2,FALSE)</f>
        <v>-0.31324182378279158</v>
      </c>
      <c r="J286">
        <f>($B$1+Table4[[#This Row],[Home Differential]])-Table4[[#This Row],[Away Differential]]</f>
        <v>-0.70263870633866676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0.56281266994144419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0.19113276156372863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-0.17619625518431364</v>
      </c>
      <c r="H287" t="s">
        <v>19</v>
      </c>
      <c r="I287">
        <f>VLOOKUP(Table4[[#This Row],[Visitor]],'NHL Model'!$A$6:$B$38,2,FALSE)</f>
        <v>-0.63447859131898054</v>
      </c>
      <c r="J287">
        <f>($B$1+Table4[[#This Row],[Home Differential]])-Table4[[#This Row],[Away Differential]]</f>
        <v>0.50818308505782939</v>
      </c>
      <c r="K287" t="str">
        <f>IF(Table4[[#This Row],[HomeIce Differential]]&gt;0,Table4[[#This Row],[Home]],Table4[[#This Row],[Visitor]])</f>
        <v>Chicago Blackhawks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0.59933787542753747</v>
      </c>
      <c r="M287" t="str">
        <f>IF(OR((NHL2025_26Results[[#This Row],[Winning Team]]="")),"-",IF(Table4[[#This Row],[Predicted Winner]]=NHL2025_26Results[[#This Row],[Winning Team]],"YES","NO"))</f>
        <v>YES</v>
      </c>
      <c r="N287">
        <f>IF(Table4[[#This Row],[Adjusted Correct]]="-", "",IF(Table4[[#This Row],[Adjusted Correct]]="YES",(Table4[[#This Row],[Strength of Win]]-1)^2,(Table4[[#This Row],[Strength of Win]]-0)^2))</f>
        <v>0.16053013806691949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0.41344250185511977</v>
      </c>
      <c r="H288" t="s">
        <v>27</v>
      </c>
      <c r="I288">
        <f>VLOOKUP(Table4[[#This Row],[Visitor]],'NHL Model'!$A$6:$B$38,2,FALSE)</f>
        <v>-0.38023958350631604</v>
      </c>
      <c r="J288">
        <f>($B$1+Table4[[#This Row],[Home Differential]])-Table4[[#This Row],[Away Differential]]</f>
        <v>0.84358283428459835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0.62862122822447553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0.13792219212549708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-0.87533956503230947</v>
      </c>
      <c r="H289" t="s">
        <v>23</v>
      </c>
      <c r="I289">
        <f>VLOOKUP(Table4[[#This Row],[Visitor]],'NHL Model'!$A$6:$B$38,2,FALSE)</f>
        <v>-0.4761104357405897</v>
      </c>
      <c r="J289">
        <f>($B$1+Table4[[#This Row],[Home Differential]])-Table4[[#This Row],[Away Differential]]</f>
        <v>-0.34932838036855735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0.5007892441269548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0.24921137877933713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-0.39711829106410657</v>
      </c>
      <c r="H290" t="s">
        <v>37</v>
      </c>
      <c r="I290">
        <f>VLOOKUP(Table4[[#This Row],[Visitor]],'NHL Model'!$A$6:$B$38,2,FALSE)</f>
        <v>0.51050494674660429</v>
      </c>
      <c r="J290">
        <f>($B$1+Table4[[#This Row],[Home Differential]])-Table4[[#This Row],[Away Differential]]</f>
        <v>-0.85772248888754832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0.63861329811960532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0.13060034829598927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-5.5124787449478845E-2</v>
      </c>
      <c r="H291" t="s">
        <v>31</v>
      </c>
      <c r="I291">
        <f>VLOOKUP(Table4[[#This Row],[Visitor]],'NHL Model'!$A$6:$B$38,2,FALSE)</f>
        <v>0.17870302183926629</v>
      </c>
      <c r="J291">
        <f>($B$1+Table4[[#This Row],[Home Differential]])-Table4[[#This Row],[Away Differential]]</f>
        <v>-0.18392706036558265</v>
      </c>
      <c r="K291" t="str">
        <f>IF(Table4[[#This Row],[HomeIce Differential]]&gt;0,Table4[[#This Row],[Home]],Table4[[#This Row],[Visitor]])</f>
        <v>Anaheim Ducks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0.50224542963658214</v>
      </c>
      <c r="M291" t="str">
        <f>IF(OR((NHL2025_26Results[[#This Row],[Winning Team]]="")),"-",IF(Table4[[#This Row],[Predicted Winner]]=NHL2025_26Results[[#This Row],[Winning Team]],"YES","NO"))</f>
        <v>NO</v>
      </c>
      <c r="N291">
        <f>IF(Table4[[#This Row],[Adjusted Correct]]="-", "",IF(Table4[[#This Row],[Adjusted Correct]]="YES",(Table4[[#This Row],[Strength of Win]]-1)^2,(Table4[[#This Row],[Strength of Win]]-0)^2))</f>
        <v>0.25225047159083497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-0.59288962827382519</v>
      </c>
      <c r="H292" t="s">
        <v>21</v>
      </c>
      <c r="I292">
        <f>VLOOKUP(Table4[[#This Row],[Visitor]],'NHL Model'!$A$6:$B$38,2,FALSE)</f>
        <v>-0.21976976044773161</v>
      </c>
      <c r="J292">
        <f>($B$1+Table4[[#This Row],[Home Differential]])-Table4[[#This Row],[Away Differential]]</f>
        <v>-0.32321911890293115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0.49857009559320375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0.25143194903340882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-0.53137605086483863</v>
      </c>
      <c r="H293" t="s">
        <v>13</v>
      </c>
      <c r="I293">
        <f>VLOOKUP(Table4[[#This Row],[Visitor]],'NHL Model'!$A$6:$B$38,2,FALSE)</f>
        <v>-0.33828359867721369</v>
      </c>
      <c r="J293">
        <f>($B$1+Table4[[#This Row],[Home Differential]])-Table4[[#This Row],[Away Differential]]</f>
        <v>-0.14319170326446246</v>
      </c>
      <c r="K293" t="str">
        <f>IF(Table4[[#This Row],[HomeIce Differential]]&gt;0,Table4[[#This Row],[Home]],Table4[[#This Row],[Visitor]])</f>
        <v>Los Angeles Kings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0.54052926852435756</v>
      </c>
      <c r="M293" t="str">
        <f>IF(OR((NHL2025_26Results[[#This Row],[Winning Team]]="")),"-",IF(Table4[[#This Row],[Predicted Winner]]=NHL2025_26Results[[#This Row],[Winning Team]],"YES","NO"))</f>
        <v>YES</v>
      </c>
      <c r="N293">
        <f>IF(Table4[[#This Row],[Adjusted Correct]]="-", "",IF(Table4[[#This Row],[Adjusted Correct]]="YES",(Table4[[#This Row],[Strength of Win]]-1)^2,(Table4[[#This Row],[Strength of Win]]-0)^2))</f>
        <v>0.21111335308276191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-0.64937723527808999</v>
      </c>
      <c r="H294" t="s">
        <v>33</v>
      </c>
      <c r="I294">
        <f>VLOOKUP(Table4[[#This Row],[Visitor]],'NHL Model'!$A$6:$B$38,2,FALSE)</f>
        <v>-0.45133099238224339</v>
      </c>
      <c r="J294">
        <f>($B$1+Table4[[#This Row],[Home Differential]])-Table4[[#This Row],[Away Differential]]</f>
        <v>-0.14814549397268417</v>
      </c>
      <c r="K294" t="str">
        <f>IF(Table4[[#This Row],[HomeIce Differential]]&gt;0,Table4[[#This Row],[Home]],Table4[[#This Row],[Visitor]])</f>
        <v>San Jose Sharks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0.47729817289275145</v>
      </c>
      <c r="M294" t="str">
        <f>IF(OR((NHL2025_26Results[[#This Row],[Winning Team]]="")),"-",IF(Table4[[#This Row],[Predicted Winner]]=NHL2025_26Results[[#This Row],[Winning Team]],"YES","NO"))</f>
        <v>NO</v>
      </c>
      <c r="N294">
        <f>IF(Table4[[#This Row],[Adjusted Correct]]="-", "",IF(Table4[[#This Row],[Adjusted Correct]]="YES",(Table4[[#This Row],[Strength of Win]]-1)^2,(Table4[[#This Row],[Strength of Win]]-0)^2))</f>
        <v>0.22781354584675886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-1.3944783719477225</v>
      </c>
      <c r="H295" t="s">
        <v>20</v>
      </c>
      <c r="I295">
        <f>VLOOKUP(Table4[[#This Row],[Visitor]],'NHL Model'!$A$6:$B$38,2,FALSE)</f>
        <v>-0.24444083032063643</v>
      </c>
      <c r="J295">
        <f>($B$1+Table4[[#This Row],[Home Differential]])-Table4[[#This Row],[Away Differential]]</f>
        <v>-1.1001367927039236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0.58845720740840357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0.16936747013408976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0.4407072328537569</v>
      </c>
      <c r="H296" t="s">
        <v>24</v>
      </c>
      <c r="I296">
        <f>VLOOKUP(Table4[[#This Row],[Visitor]],'NHL Model'!$A$6:$B$38,2,FALSE)</f>
        <v>1.5302507646042616E-3</v>
      </c>
      <c r="J296">
        <f>($B$1+Table4[[#This Row],[Home Differential]])-Table4[[#This Row],[Away Differential]]</f>
        <v>0.48907773101231511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0.6025615888223681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0.3630804683241366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1.6319036584269762</v>
      </c>
      <c r="H297" t="s">
        <v>30</v>
      </c>
      <c r="I297">
        <f>VLOOKUP(Table4[[#This Row],[Visitor]],'NHL Model'!$A$6:$B$38,2,FALSE)</f>
        <v>-0.24093199744133265</v>
      </c>
      <c r="J297">
        <f>($B$1+Table4[[#This Row],[Home Differential]])-Table4[[#This Row],[Away Differential]]</f>
        <v>1.9227364047914712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0.79972909176145879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4.0108436686690195E-2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-5.5124787449478845E-2</v>
      </c>
      <c r="H298" t="s">
        <v>20</v>
      </c>
      <c r="I298">
        <f>VLOOKUP(Table4[[#This Row],[Visitor]],'NHL Model'!$A$6:$B$38,2,FALSE)</f>
        <v>-0.24444083032063643</v>
      </c>
      <c r="J298">
        <f>($B$1+Table4[[#This Row],[Home Differential]])-Table4[[#This Row],[Away Differential]]</f>
        <v>0.23921679179432004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0.56793209102985243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0.18668267796183574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-0.29003398448394263</v>
      </c>
      <c r="H299" t="s">
        <v>26</v>
      </c>
      <c r="I299">
        <f>VLOOKUP(Table4[[#This Row],[Visitor]],'NHL Model'!$A$6:$B$38,2,FALSE)</f>
        <v>-0.87533956503230947</v>
      </c>
      <c r="J299">
        <f>($B$1+Table4[[#This Row],[Home Differential]])-Table4[[#This Row],[Away Differential]]</f>
        <v>0.63520632947152933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0.61416971394212327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0.37720443752374955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-0.14226422156549004</v>
      </c>
      <c r="H300" t="s">
        <v>29</v>
      </c>
      <c r="I300">
        <f>VLOOKUP(Table4[[#This Row],[Visitor]],'NHL Model'!$A$6:$B$38,2,FALSE)</f>
        <v>-1.384917283810061</v>
      </c>
      <c r="J300">
        <f>($B$1+Table4[[#This Row],[Home Differential]])-Table4[[#This Row],[Away Differential]]</f>
        <v>1.2925538111677333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0.69092473418656142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9.5527519937647715E-2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0.51050494674660429</v>
      </c>
      <c r="H301" t="s">
        <v>38</v>
      </c>
      <c r="I301">
        <f>VLOOKUP(Table4[[#This Row],[Visitor]],'NHL Model'!$A$6:$B$38,2,FALSE)</f>
        <v>-0.9476777551108041</v>
      </c>
      <c r="J301">
        <f>($B$1+Table4[[#This Row],[Home Differential]])-Table4[[#This Row],[Away Differential]]</f>
        <v>1.5080834507805707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0.74481137974873002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0.55474399140320696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0.17870302183926629</v>
      </c>
      <c r="H302" t="s">
        <v>55</v>
      </c>
      <c r="I302">
        <f>VLOOKUP(Table4[[#This Row],[Visitor]],'NHL Model'!$A$6:$B$38,2,FALSE)</f>
        <v>-0.4031232890211825</v>
      </c>
      <c r="J302">
        <f>($B$1+Table4[[#This Row],[Home Differential]])-Table4[[#This Row],[Away Differential]]</f>
        <v>0.63172705978361121</v>
      </c>
      <c r="K302" t="str">
        <f>IF(Table4[[#This Row],[HomeIce Differential]]&gt;0,Table4[[#This Row],[Home]],Table4[[#This Row],[Visitor]])</f>
        <v>Anaheim Ducks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0.69359816859950485</v>
      </c>
      <c r="M302" t="str">
        <f>IF(OR((NHL2025_26Results[[#This Row],[Winning Team]]="")),"-",IF(Table4[[#This Row],[Predicted Winner]]=NHL2025_26Results[[#This Row],[Winning Team]],"YES","NO"))</f>
        <v>YES</v>
      </c>
      <c r="N302">
        <f>IF(Table4[[#This Row],[Adjusted Correct]]="-", "",IF(Table4[[#This Row],[Adjusted Correct]]="YES",(Table4[[#This Row],[Strength of Win]]-1)^2,(Table4[[#This Row],[Strength of Win]]-0)^2))</f>
        <v>9.3882082285577456E-2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-0.21976976044773161</v>
      </c>
      <c r="H303" t="s">
        <v>25</v>
      </c>
      <c r="I303">
        <f>VLOOKUP(Table4[[#This Row],[Visitor]],'NHL Model'!$A$6:$B$38,2,FALSE)</f>
        <v>0.42567513732855267</v>
      </c>
      <c r="J303">
        <f>($B$1+Table4[[#This Row],[Home Differential]])-Table4[[#This Row],[Away Differential]]</f>
        <v>-0.59554414885312179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0.55862153841523121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0.19481494635093721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-0.4761104357405897</v>
      </c>
      <c r="H304" t="s">
        <v>17</v>
      </c>
      <c r="I304">
        <f>VLOOKUP(Table4[[#This Row],[Visitor]],'NHL Model'!$A$6:$B$38,2,FALSE)</f>
        <v>-0.81774666423752174</v>
      </c>
      <c r="J304">
        <f>($B$1+Table4[[#This Row],[Home Differential]])-Table4[[#This Row],[Away Differential]]</f>
        <v>0.39153697742009452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0.59583997017590651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0.16334532970741214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-0.59498940435054026</v>
      </c>
      <c r="H305" t="s">
        <v>18</v>
      </c>
      <c r="I305">
        <f>VLOOKUP(Table4[[#This Row],[Visitor]],'NHL Model'!$A$6:$B$38,2,FALSE)</f>
        <v>-0.59288962827382519</v>
      </c>
      <c r="J305">
        <f>($B$1+Table4[[#This Row],[Home Differential]])-Table4[[#This Row],[Away Differential]]</f>
        <v>4.7800972846447354E-2</v>
      </c>
      <c r="K305" t="str">
        <f>IF(Table4[[#This Row],[HomeIce Differential]]&gt;0,Table4[[#This Row],[Home]],Table4[[#This Row],[Visitor]])</f>
        <v>Columbus Blue Jackets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0.48629363524393709</v>
      </c>
      <c r="M305" t="str">
        <f>IF(OR((NHL2025_26Results[[#This Row],[Winning Team]]="")),"-",IF(Table4[[#This Row],[Predicted Winner]]=NHL2025_26Results[[#This Row],[Winning Team]],"YES","NO"))</f>
        <v>YES</v>
      </c>
      <c r="N305">
        <f>IF(Table4[[#This Row],[Adjusted Correct]]="-", "",IF(Table4[[#This Row],[Adjusted Correct]]="YES",(Table4[[#This Row],[Strength of Win]]-1)^2,(Table4[[#This Row],[Strength of Win]]-0)^2))</f>
        <v>0.26389422919088917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-0.39711829106410657</v>
      </c>
      <c r="H306" t="s">
        <v>38</v>
      </c>
      <c r="I306">
        <f>VLOOKUP(Table4[[#This Row],[Visitor]],'NHL Model'!$A$6:$B$38,2,FALSE)</f>
        <v>-0.9476777551108041</v>
      </c>
      <c r="J306">
        <f>($B$1+Table4[[#This Row],[Home Differential]])-Table4[[#This Row],[Away Differential]]</f>
        <v>0.60046021296985996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0.62057130762080426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0.14396613260058636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0.4407072328537569</v>
      </c>
      <c r="H307" t="s">
        <v>13</v>
      </c>
      <c r="I307">
        <f>VLOOKUP(Table4[[#This Row],[Visitor]],'NHL Model'!$A$6:$B$38,2,FALSE)</f>
        <v>-0.33828359867721369</v>
      </c>
      <c r="J307">
        <f>($B$1+Table4[[#This Row],[Home Differential]])-Table4[[#This Row],[Away Differential]]</f>
        <v>0.82889158045413303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0.59678532558462649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0.16258207366389565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-0.17619625518431364</v>
      </c>
      <c r="H308" t="s">
        <v>16</v>
      </c>
      <c r="I308">
        <f>VLOOKUP(Table4[[#This Row],[Visitor]],'NHL Model'!$A$6:$B$38,2,FALSE)</f>
        <v>-1.0657812790446208</v>
      </c>
      <c r="J308">
        <f>($B$1+Table4[[#This Row],[Home Differential]])-Table4[[#This Row],[Away Differential]]</f>
        <v>0.93948577278346967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0.64969882979285987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0.12271090984849176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0.41344250185511977</v>
      </c>
      <c r="H309" t="s">
        <v>30</v>
      </c>
      <c r="I309">
        <f>VLOOKUP(Table4[[#This Row],[Visitor]],'NHL Model'!$A$6:$B$38,2,FALSE)</f>
        <v>-0.24093199744133265</v>
      </c>
      <c r="J309">
        <f>($B$1+Table4[[#This Row],[Home Differential]])-Table4[[#This Row],[Away Differential]]</f>
        <v>0.70427524821961485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0.58223452959044852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0.33899704744741088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-0.87533956503230947</v>
      </c>
      <c r="H310" t="s">
        <v>32</v>
      </c>
      <c r="I310">
        <f>VLOOKUP(Table4[[#This Row],[Visitor]],'NHL Model'!$A$6:$B$38,2,FALSE)</f>
        <v>-0.64937723527808999</v>
      </c>
      <c r="J310">
        <f>($B$1+Table4[[#This Row],[Home Differential]])-Table4[[#This Row],[Away Differential]]</f>
        <v>-0.17606158083105705</v>
      </c>
      <c r="K310" t="str">
        <f>IF(Table4[[#This Row],[HomeIce Differential]]&gt;0,Table4[[#This Row],[Home]],Table4[[#This Row],[Visitor]])</f>
        <v>Seattle Kraken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0.48055778804550281</v>
      </c>
      <c r="M310" t="str">
        <f>IF(OR((NHL2025_26Results[[#This Row],[Winning Team]]="")),"-",IF(Table4[[#This Row],[Predicted Winner]]=NHL2025_26Results[[#This Row],[Winning Team]],"YES","NO"))</f>
        <v>NO</v>
      </c>
      <c r="N310">
        <f>IF(Table4[[#This Row],[Adjusted Correct]]="-", "",IF(Table4[[#This Row],[Adjusted Correct]]="YES",(Table4[[#This Row],[Strength of Win]]-1)^2,(Table4[[#This Row],[Strength of Win]]-0)^2))</f>
        <v>0.23093578765118641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-0.45133099238224339</v>
      </c>
      <c r="H311" t="s">
        <v>55</v>
      </c>
      <c r="I311">
        <f>VLOOKUP(Table4[[#This Row],[Visitor]],'NHL Model'!$A$6:$B$38,2,FALSE)</f>
        <v>-0.4031232890211825</v>
      </c>
      <c r="J311">
        <f>($B$1+Table4[[#This Row],[Home Differential]])-Table4[[#This Row],[Away Differential]]</f>
        <v>1.6930455621015916E-3</v>
      </c>
      <c r="K311" t="str">
        <f>IF(Table4[[#This Row],[HomeIce Differential]]&gt;0,Table4[[#This Row],[Home]],Table4[[#This Row],[Visitor]])</f>
        <v>San Jose Sharks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0.55031993744569752</v>
      </c>
      <c r="M311" t="str">
        <f>IF(OR((NHL2025_26Results[[#This Row],[Winning Team]]="")),"-",IF(Table4[[#This Row],[Predicted Winner]]=NHL2025_26Results[[#This Row],[Winning Team]],"YES","NO"))</f>
        <v>YES</v>
      </c>
      <c r="N311">
        <f>IF(Table4[[#This Row],[Adjusted Correct]]="-", "",IF(Table4[[#This Row],[Adjusted Correct]]="YES",(Table4[[#This Row],[Strength of Win]]-1)^2,(Table4[[#This Row],[Strength of Win]]-0)^2))</f>
        <v>0.2022121586588414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0.51050494674660429</v>
      </c>
      <c r="H312" t="s">
        <v>24</v>
      </c>
      <c r="I312">
        <f>VLOOKUP(Table4[[#This Row],[Visitor]],'NHL Model'!$A$6:$B$38,2,FALSE)</f>
        <v>1.5302507646042616E-3</v>
      </c>
      <c r="J312">
        <f>($B$1+Table4[[#This Row],[Home Differential]])-Table4[[#This Row],[Away Differential]]</f>
        <v>0.5588754449051625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0.61698109453658201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0.14670348194239471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-0.63447859131898054</v>
      </c>
      <c r="H313" t="s">
        <v>35</v>
      </c>
      <c r="I313">
        <f>VLOOKUP(Table4[[#This Row],[Visitor]],'NHL Model'!$A$6:$B$38,2,FALSE)</f>
        <v>-1.3944783719477225</v>
      </c>
      <c r="J313">
        <f>($B$1+Table4[[#This Row],[Home Differential]])-Table4[[#This Row],[Away Differential]]</f>
        <v>0.80990052955190439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0.63456784010388434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0.13354066348634025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-0.24444083032063643</v>
      </c>
      <c r="H314" t="s">
        <v>15</v>
      </c>
      <c r="I314">
        <f>VLOOKUP(Table4[[#This Row],[Visitor]],'NHL Model'!$A$6:$B$38,2,FALSE)</f>
        <v>-0.29003398448394263</v>
      </c>
      <c r="J314">
        <f>($B$1+Table4[[#This Row],[Home Differential]])-Table4[[#This Row],[Away Differential]]</f>
        <v>9.5493903086468657E-2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0.45106885617965331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0.30132540065591412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-0.31324182378279158</v>
      </c>
      <c r="H315" t="s">
        <v>28</v>
      </c>
      <c r="I315">
        <f>VLOOKUP(Table4[[#This Row],[Visitor]],'NHL Model'!$A$6:$B$38,2,FALSE)</f>
        <v>-0.59498940435054026</v>
      </c>
      <c r="J315">
        <f>($B$1+Table4[[#This Row],[Home Differential]])-Table4[[#This Row],[Away Differential]]</f>
        <v>0.33164832949091116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0.57764699293668476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0.17838206257542483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0.17870302183926629</v>
      </c>
      <c r="H316" t="s">
        <v>21</v>
      </c>
      <c r="I316">
        <f>VLOOKUP(Table4[[#This Row],[Visitor]],'NHL Model'!$A$6:$B$38,2,FALSE)</f>
        <v>-0.21976976044773161</v>
      </c>
      <c r="J316">
        <f>($B$1+Table4[[#This Row],[Home Differential]])-Table4[[#This Row],[Away Differential]]</f>
        <v>0.44837353121016033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0.67140184633742717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0.10797674659045182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-0.4761104357405897</v>
      </c>
      <c r="H317" t="s">
        <v>16</v>
      </c>
      <c r="I317">
        <f>VLOOKUP(Table4[[#This Row],[Visitor]],'NHL Model'!$A$6:$B$38,2,FALSE)</f>
        <v>-1.0657812790446208</v>
      </c>
      <c r="J317">
        <f>($B$1+Table4[[#This Row],[Home Differential]])-Table4[[#This Row],[Away Differential]]</f>
        <v>0.63957159222719362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0.62480167218428018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0.39037712956427273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-5.5124787449478845E-2</v>
      </c>
      <c r="H318" t="s">
        <v>25</v>
      </c>
      <c r="I318">
        <f>VLOOKUP(Table4[[#This Row],[Visitor]],'NHL Model'!$A$6:$B$38,2,FALSE)</f>
        <v>0.42567513732855267</v>
      </c>
      <c r="J318">
        <f>($B$1+Table4[[#This Row],[Home Differential]])-Table4[[#This Row],[Away Differential]]</f>
        <v>-0.43089917585486903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0.58293700750685595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0.33981555472104824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0.4407072328537569</v>
      </c>
      <c r="H319" t="s">
        <v>17</v>
      </c>
      <c r="I319">
        <f>VLOOKUP(Table4[[#This Row],[Visitor]],'NHL Model'!$A$6:$B$38,2,FALSE)</f>
        <v>-0.81774666423752174</v>
      </c>
      <c r="J319">
        <f>($B$1+Table4[[#This Row],[Home Differential]])-Table4[[#This Row],[Away Differential]]</f>
        <v>1.3083546460144411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0.71880745070764951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7.9069249777530964E-2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0.17870302183926629</v>
      </c>
      <c r="H320" t="s">
        <v>36</v>
      </c>
      <c r="I320">
        <f>VLOOKUP(Table4[[#This Row],[Visitor]],'NHL Model'!$A$6:$B$38,2,FALSE)</f>
        <v>-0.53137605086483863</v>
      </c>
      <c r="J320">
        <f>($B$1+Table4[[#This Row],[Home Differential]])-Table4[[#This Row],[Away Differential]]</f>
        <v>0.7599798216272674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0.70857357142042021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0.50207650611548937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-0.17619625518431364</v>
      </c>
      <c r="H321" t="s">
        <v>32</v>
      </c>
      <c r="I321">
        <f>VLOOKUP(Table4[[#This Row],[Visitor]],'NHL Model'!$A$6:$B$38,2,FALSE)</f>
        <v>-0.64937723527808999</v>
      </c>
      <c r="J321">
        <f>($B$1+Table4[[#This Row],[Home Differential]])-Table4[[#This Row],[Away Differential]]</f>
        <v>0.52308172901693883</v>
      </c>
      <c r="K321" t="str">
        <f>IF(Table4[[#This Row],[HomeIce Differential]]&gt;0,Table4[[#This Row],[Home]],Table4[[#This Row],[Visitor]])</f>
        <v>Chicago Blackhawks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0.6010775119980547</v>
      </c>
      <c r="M321" t="str">
        <f>IF(OR((NHL2025_26Results[[#This Row],[Winning Team]]="")),"-",IF(Table4[[#This Row],[Predicted Winner]]=NHL2025_26Results[[#This Row],[Winning Team]],"YES","NO"))</f>
        <v>NO</v>
      </c>
      <c r="N321">
        <f>IF(Table4[[#This Row],[Adjusted Correct]]="-", "",IF(Table4[[#This Row],[Adjusted Correct]]="YES",(Table4[[#This Row],[Strength of Win]]-1)^2,(Table4[[#This Row],[Strength of Win]]-0)^2))</f>
        <v>0.3612941754297716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1.6319036584269762</v>
      </c>
      <c r="H322" t="s">
        <v>15</v>
      </c>
      <c r="I322">
        <f>VLOOKUP(Table4[[#This Row],[Visitor]],'NHL Model'!$A$6:$B$38,2,FALSE)</f>
        <v>-0.29003398448394263</v>
      </c>
      <c r="J322">
        <f>($B$1+Table4[[#This Row],[Home Differential]])-Table4[[#This Row],[Away Differential]]</f>
        <v>1.9718383918340812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0.77818643998368908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4.9201255407109568E-2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-0.87533956503230947</v>
      </c>
      <c r="H323" t="s">
        <v>30</v>
      </c>
      <c r="I323">
        <f>VLOOKUP(Table4[[#This Row],[Visitor]],'NHL Model'!$A$6:$B$38,2,FALSE)</f>
        <v>-0.24093199744133265</v>
      </c>
      <c r="J323">
        <f>($B$1+Table4[[#This Row],[Home Differential]])-Table4[[#This Row],[Away Differential]]</f>
        <v>-0.5845068186678144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0.6008729668922711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0.15930238855737813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-0.39711829106410657</v>
      </c>
      <c r="H324" t="s">
        <v>24</v>
      </c>
      <c r="I324">
        <f>VLOOKUP(Table4[[#This Row],[Visitor]],'NHL Model'!$A$6:$B$38,2,FALSE)</f>
        <v>1.5302507646042616E-3</v>
      </c>
      <c r="J324">
        <f>($B$1+Table4[[#This Row],[Home Differential]])-Table4[[#This Row],[Away Differential]]</f>
        <v>-0.34874779290554836</v>
      </c>
      <c r="K324" t="str">
        <f>IF(Table4[[#This Row],[HomeIce Differential]]&gt;0,Table4[[#This Row],[Home]],Table4[[#This Row],[Visitor]])</f>
        <v>New Jersey Devils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0.50738811863845579</v>
      </c>
      <c r="M324" t="str">
        <f>IF(OR((NHL2025_26Results[[#This Row],[Winning Team]]="")),"-",IF(Table4[[#This Row],[Predicted Winner]]=NHL2025_26Results[[#This Row],[Winning Team]],"YES","NO"))</f>
        <v>NO</v>
      </c>
      <c r="N324">
        <f>IF(Table4[[#This Row],[Adjusted Correct]]="-", "",IF(Table4[[#This Row],[Adjusted Correct]]="YES",(Table4[[#This Row],[Strength of Win]]-1)^2,(Table4[[#This Row],[Strength of Win]]-0)^2))</f>
        <v>0.25744270293547167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-0.59288962827382519</v>
      </c>
      <c r="H325" t="s">
        <v>22</v>
      </c>
      <c r="I325">
        <f>VLOOKUP(Table4[[#This Row],[Visitor]],'NHL Model'!$A$6:$B$38,2,FALSE)</f>
        <v>0.4407072328537569</v>
      </c>
      <c r="J325">
        <f>($B$1+Table4[[#This Row],[Home Differential]])-Table4[[#This Row],[Away Differential]]</f>
        <v>-0.98369611220441966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0.61737360223236648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0.14640296026863531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-0.38023958350631604</v>
      </c>
      <c r="H326" t="s">
        <v>35</v>
      </c>
      <c r="I326">
        <f>VLOOKUP(Table4[[#This Row],[Visitor]],'NHL Model'!$A$6:$B$38,2,FALSE)</f>
        <v>-1.3944783719477225</v>
      </c>
      <c r="J326">
        <f>($B$1+Table4[[#This Row],[Home Differential]])-Table4[[#This Row],[Away Differential]]</f>
        <v>1.064139537364569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0.67827061706457803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0.10350979584400739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-0.45133099238224339</v>
      </c>
      <c r="H327" t="s">
        <v>13</v>
      </c>
      <c r="I327">
        <f>VLOOKUP(Table4[[#This Row],[Visitor]],'NHL Model'!$A$6:$B$38,2,FALSE)</f>
        <v>-0.33828359867721369</v>
      </c>
      <c r="J327">
        <f>($B$1+Table4[[#This Row],[Home Differential]])-Table4[[#This Row],[Away Differential]]</f>
        <v>-6.3146644781867212E-2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0.52350233501430832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0.27405469476543309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0.51050494674660429</v>
      </c>
      <c r="H328" t="s">
        <v>17</v>
      </c>
      <c r="I328">
        <f>VLOOKUP(Table4[[#This Row],[Visitor]],'NHL Model'!$A$6:$B$38,2,FALSE)</f>
        <v>-0.81774666423752174</v>
      </c>
      <c r="J328">
        <f>($B$1+Table4[[#This Row],[Home Differential]])-Table4[[#This Row],[Away Differential]]</f>
        <v>1.3781523599072885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0.73316569390461539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7.1200546909405402E-2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-0.63447859131898054</v>
      </c>
      <c r="H329" t="s">
        <v>28</v>
      </c>
      <c r="I329">
        <f>VLOOKUP(Table4[[#This Row],[Visitor]],'NHL Model'!$A$6:$B$38,2,FALSE)</f>
        <v>-0.59498940435054026</v>
      </c>
      <c r="J329">
        <f>($B$1+Table4[[#This Row],[Home Differential]])-Table4[[#This Row],[Away Differential]]</f>
        <v>1.0411561954722148E-2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0.53763954458150376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0.28905627989780674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-0.4031232890211825</v>
      </c>
      <c r="H330" t="s">
        <v>20</v>
      </c>
      <c r="I330">
        <f>VLOOKUP(Table4[[#This Row],[Visitor]],'NHL Model'!$A$6:$B$38,2,FALSE)</f>
        <v>-0.24444083032063643</v>
      </c>
      <c r="J330">
        <f>($B$1+Table4[[#This Row],[Home Differential]])-Table4[[#This Row],[Away Differential]]</f>
        <v>-0.10878170977738358</v>
      </c>
      <c r="K330" t="str">
        <f>IF(Table4[[#This Row],[HomeIce Differential]]&gt;0,Table4[[#This Row],[Home]],Table4[[#This Row],[Visitor]])</f>
        <v>Vegas Golden Knights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0.4322706926738567</v>
      </c>
      <c r="M330" t="str">
        <f>IF(OR((NHL2025_26Results[[#This Row],[Winning Team]]="")),"-",IF(Table4[[#This Row],[Predicted Winner]]=NHL2025_26Results[[#This Row],[Winning Team]],"YES","NO"))</f>
        <v>YES</v>
      </c>
      <c r="N330">
        <f>IF(Table4[[#This Row],[Adjusted Correct]]="-", "",IF(Table4[[#This Row],[Adjusted Correct]]="YES",(Table4[[#This Row],[Strength of Win]]-1)^2,(Table4[[#This Row],[Strength of Win]]-0)^2))</f>
        <v>0.32231656639702255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-0.9476777551108041</v>
      </c>
      <c r="H331" t="s">
        <v>39</v>
      </c>
      <c r="I331">
        <f>VLOOKUP(Table4[[#This Row],[Visitor]],'NHL Model'!$A$6:$B$38,2,FALSE)</f>
        <v>0.41344250185511977</v>
      </c>
      <c r="J331">
        <f>($B$1+Table4[[#This Row],[Home Differential]])-Table4[[#This Row],[Away Differential]]</f>
        <v>-1.3112195080427616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0.71490198259173388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8.1280879530124014E-2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-0.4761104357405897</v>
      </c>
      <c r="H332" t="s">
        <v>10</v>
      </c>
      <c r="I332">
        <f>VLOOKUP(Table4[[#This Row],[Visitor]],'NHL Model'!$A$6:$B$38,2,FALSE)</f>
        <v>-0.17619625518431364</v>
      </c>
      <c r="J332">
        <f>($B$1+Table4[[#This Row],[Home Differential]])-Table4[[#This Row],[Away Differential]]</f>
        <v>-0.25001343163311357</v>
      </c>
      <c r="K332" t="str">
        <f>IF(Table4[[#This Row],[HomeIce Differential]]&gt;0,Table4[[#This Row],[Home]],Table4[[#This Row],[Visitor]])</f>
        <v>Chicago Blackhawks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0.47907050868930978</v>
      </c>
      <c r="M332" t="str">
        <f>IF(OR((NHL2025_26Results[[#This Row],[Winning Team]]="")),"-",IF(Table4[[#This Row],[Predicted Winner]]=NHL2025_26Results[[#This Row],[Winning Team]],"YES","NO"))</f>
        <v>NO</v>
      </c>
      <c r="N332">
        <f>IF(Table4[[#This Row],[Adjusted Correct]]="-", "",IF(Table4[[#This Row],[Adjusted Correct]]="YES",(Table4[[#This Row],[Strength of Win]]-1)^2,(Table4[[#This Row],[Strength of Win]]-0)^2))</f>
        <v>0.22950855229583403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-0.33828359867721369</v>
      </c>
      <c r="H333" t="s">
        <v>21</v>
      </c>
      <c r="I333">
        <f>VLOOKUP(Table4[[#This Row],[Visitor]],'NHL Model'!$A$6:$B$38,2,FALSE)</f>
        <v>-0.21976976044773161</v>
      </c>
      <c r="J333">
        <f>($B$1+Table4[[#This Row],[Home Differential]])-Table4[[#This Row],[Away Differential]]</f>
        <v>-6.8613089306319597E-2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0.46884108392099427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0.28212979413022432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-0.14226422156549004</v>
      </c>
      <c r="H334" t="s">
        <v>34</v>
      </c>
      <c r="I334">
        <f>VLOOKUP(Table4[[#This Row],[Visitor]],'NHL Model'!$A$6:$B$38,2,FALSE)</f>
        <v>-5.5124787449478845E-2</v>
      </c>
      <c r="J334">
        <f>($B$1+Table4[[#This Row],[Home Differential]])-Table4[[#This Row],[Away Differential]]</f>
        <v>-3.7238685192848738E-2</v>
      </c>
      <c r="K334" t="str">
        <f>IF(Table4[[#This Row],[HomeIce Differential]]&gt;0,Table4[[#This Row],[Home]],Table4[[#This Row],[Visitor]])</f>
        <v>Minnesota Wild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0.50686072891410305</v>
      </c>
      <c r="M334" t="str">
        <f>IF(OR((NHL2025_26Results[[#This Row],[Winning Team]]="")),"-",IF(Table4[[#This Row],[Predicted Winner]]=NHL2025_26Results[[#This Row],[Winning Team]],"YES","NO"))</f>
        <v>YES</v>
      </c>
      <c r="N334">
        <f>IF(Table4[[#This Row],[Adjusted Correct]]="-", "",IF(Table4[[#This Row],[Adjusted Correct]]="YES",(Table4[[#This Row],[Strength of Win]]-1)^2,(Table4[[#This Row],[Strength of Win]]-0)^2))</f>
        <v>0.24318634068712974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-0.31324182378279158</v>
      </c>
      <c r="H335" t="s">
        <v>25</v>
      </c>
      <c r="I335">
        <f>VLOOKUP(Table4[[#This Row],[Visitor]],'NHL Model'!$A$6:$B$38,2,FALSE)</f>
        <v>0.42567513732855267</v>
      </c>
      <c r="J335">
        <f>($B$1+Table4[[#This Row],[Home Differential]])-Table4[[#This Row],[Away Differential]]</f>
        <v>-0.68901621218818176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0.61057329385419101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0.15165315945957428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0.17870302183926629</v>
      </c>
      <c r="H336" t="s">
        <v>20</v>
      </c>
      <c r="I336">
        <f>VLOOKUP(Table4[[#This Row],[Visitor]],'NHL Model'!$A$6:$B$38,2,FALSE)</f>
        <v>-0.24444083032063643</v>
      </c>
      <c r="J336">
        <f>($B$1+Table4[[#This Row],[Home Differential]])-Table4[[#This Row],[Away Differential]]</f>
        <v>0.47304460108306517</v>
      </c>
      <c r="K336" t="str">
        <f>IF(Table4[[#This Row],[HomeIce Differential]]&gt;0,Table4[[#This Row],[Home]],Table4[[#This Row],[Visitor]])</f>
        <v>Anaheim Ducks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0.67506964956027538</v>
      </c>
      <c r="M336" t="str">
        <f>IF(OR((NHL2025_26Results[[#This Row],[Winning Team]]="")),"-",IF(Table4[[#This Row],[Predicted Winner]]=NHL2025_26Results[[#This Row],[Winning Team]],"YES","NO"))</f>
        <v>YES</v>
      </c>
      <c r="N336">
        <f>IF(Table4[[#This Row],[Adjusted Correct]]="-", "",IF(Table4[[#This Row],[Adjusted Correct]]="YES",(Table4[[#This Row],[Strength of Win]]-1)^2,(Table4[[#This Row],[Strength of Win]]-0)^2))</f>
        <v>0.10557973263688225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-1.0657812790446208</v>
      </c>
      <c r="H337" t="s">
        <v>39</v>
      </c>
      <c r="I337">
        <f>VLOOKUP(Table4[[#This Row],[Visitor]],'NHL Model'!$A$6:$B$38,2,FALSE)</f>
        <v>0.41344250185511977</v>
      </c>
      <c r="J337">
        <f>($B$1+Table4[[#This Row],[Home Differential]])-Table4[[#This Row],[Away Differential]]</f>
        <v>-1.4293230319765782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0.72869231209461471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0.53099248570579538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-0.87533956503230947</v>
      </c>
      <c r="H338" t="s">
        <v>28</v>
      </c>
      <c r="I338">
        <f>VLOOKUP(Table4[[#This Row],[Visitor]],'NHL Model'!$A$6:$B$38,2,FALSE)</f>
        <v>-0.59498940435054026</v>
      </c>
      <c r="J338">
        <f>($B$1+Table4[[#This Row],[Home Differential]])-Table4[[#This Row],[Away Differential]]</f>
        <v>-0.23044941175860678</v>
      </c>
      <c r="K338" t="str">
        <f>IF(Table4[[#This Row],[HomeIce Differential]]&gt;0,Table4[[#This Row],[Home]],Table4[[#This Row],[Visitor]])</f>
        <v>Columbus Blue Jackets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0.49048452895378603</v>
      </c>
      <c r="M338" t="str">
        <f>IF(OR((NHL2025_26Results[[#This Row],[Winning Team]]="")),"-",IF(Table4[[#This Row],[Predicted Winner]]=NHL2025_26Results[[#This Row],[Winning Team]],"YES","NO"))</f>
        <v>NO</v>
      </c>
      <c r="N338">
        <f>IF(Table4[[#This Row],[Adjusted Correct]]="-", "",IF(Table4[[#This Row],[Adjusted Correct]]="YES",(Table4[[#This Row],[Strength of Win]]-1)^2,(Table4[[#This Row],[Strength of Win]]-0)^2))</f>
        <v>0.24057507314301735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-0.39711829106410657</v>
      </c>
      <c r="H339" t="s">
        <v>17</v>
      </c>
      <c r="I339">
        <f>VLOOKUP(Table4[[#This Row],[Visitor]],'NHL Model'!$A$6:$B$38,2,FALSE)</f>
        <v>-0.81774666423752174</v>
      </c>
      <c r="J339">
        <f>($B$1+Table4[[#This Row],[Home Differential]])-Table4[[#This Row],[Away Differential]]</f>
        <v>0.47052912209657766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0.60895784001759612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0.37082965091889619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-0.59288962827382519</v>
      </c>
      <c r="H340" t="s">
        <v>19</v>
      </c>
      <c r="I340">
        <f>VLOOKUP(Table4[[#This Row],[Visitor]],'NHL Model'!$A$6:$B$38,2,FALSE)</f>
        <v>-0.63447859131898054</v>
      </c>
      <c r="J340">
        <f>($B$1+Table4[[#This Row],[Home Differential]])-Table4[[#This Row],[Away Differential]]</f>
        <v>9.1489711968317788E-2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0.55068277416407818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0.20188596943288878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-1.384917283810061</v>
      </c>
      <c r="H341" t="s">
        <v>12</v>
      </c>
      <c r="I341">
        <f>VLOOKUP(Table4[[#This Row],[Visitor]],'NHL Model'!$A$6:$B$38,2,FALSE)</f>
        <v>1.6319036584269762</v>
      </c>
      <c r="J341">
        <f>($B$1+Table4[[#This Row],[Home Differential]])-Table4[[#This Row],[Away Differential]]</f>
        <v>-2.9669201933138747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0.8790548902940698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1.4627719561779492E-2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-0.24093199744133265</v>
      </c>
      <c r="H342" t="s">
        <v>35</v>
      </c>
      <c r="I342">
        <f>VLOOKUP(Table4[[#This Row],[Visitor]],'NHL Model'!$A$6:$B$38,2,FALSE)</f>
        <v>-1.3944783719477225</v>
      </c>
      <c r="J342">
        <f>($B$1+Table4[[#This Row],[Home Differential]])-Table4[[#This Row],[Away Differential]]</f>
        <v>1.2034471234295523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0.68052021327227918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0.46310776067214837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-0.38023958350631604</v>
      </c>
      <c r="H343" t="s">
        <v>24</v>
      </c>
      <c r="I343">
        <f>VLOOKUP(Table4[[#This Row],[Visitor]],'NHL Model'!$A$6:$B$38,2,FALSE)</f>
        <v>1.5302507646042616E-3</v>
      </c>
      <c r="J343">
        <f>($B$1+Table4[[#This Row],[Home Differential]])-Table4[[#This Row],[Away Differential]]</f>
        <v>-0.33186908534775783</v>
      </c>
      <c r="K343" t="str">
        <f>IF(Table4[[#This Row],[HomeIce Differential]]&gt;0,Table4[[#This Row],[Home]],Table4[[#This Row],[Visitor]])</f>
        <v>New Jersey Devils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0.50541728041913958</v>
      </c>
      <c r="M343" t="str">
        <f>IF(OR((NHL2025_26Results[[#This Row],[Winning Team]]="")),"-",IF(Table4[[#This Row],[Predicted Winner]]=NHL2025_26Results[[#This Row],[Winning Team]],"YES","NO"))</f>
        <v>NO</v>
      </c>
      <c r="N343">
        <f>IF(Table4[[#This Row],[Adjusted Correct]]="-", "",IF(Table4[[#This Row],[Adjusted Correct]]="YES",(Table4[[#This Row],[Strength of Win]]-1)^2,(Table4[[#This Row],[Strength of Win]]-0)^2))</f>
        <v>0.25544662734627915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-0.14226422156549004</v>
      </c>
      <c r="H344" t="s">
        <v>32</v>
      </c>
      <c r="I344">
        <f>VLOOKUP(Table4[[#This Row],[Visitor]],'NHL Model'!$A$6:$B$38,2,FALSE)</f>
        <v>-0.64937723527808999</v>
      </c>
      <c r="J344">
        <f>($B$1+Table4[[#This Row],[Home Differential]])-Table4[[#This Row],[Away Differential]]</f>
        <v>0.55701376263576241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0.60503957772412587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0.36607289061258852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-0.45133099238224339</v>
      </c>
      <c r="H345" t="s">
        <v>36</v>
      </c>
      <c r="I345">
        <f>VLOOKUP(Table4[[#This Row],[Visitor]],'NHL Model'!$A$6:$B$38,2,FALSE)</f>
        <v>-0.53137605086483863</v>
      </c>
      <c r="J345">
        <f>($B$1+Table4[[#This Row],[Home Differential]])-Table4[[#This Row],[Away Differential]]</f>
        <v>0.12994580740575773</v>
      </c>
      <c r="K345" t="str">
        <f>IF(Table4[[#This Row],[HomeIce Differential]]&gt;0,Table4[[#This Row],[Home]],Table4[[#This Row],[Visitor]])</f>
        <v>San Jose Sharks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0.56529534026661288</v>
      </c>
      <c r="M345" t="str">
        <f>IF(OR((NHL2025_26Results[[#This Row],[Winning Team]]="")),"-",IF(Table4[[#This Row],[Predicted Winner]]=NHL2025_26Results[[#This Row],[Winning Team]],"YES","NO"))</f>
        <v>NO</v>
      </c>
      <c r="N345">
        <f>IF(Table4[[#This Row],[Adjusted Correct]]="-", "",IF(Table4[[#This Row],[Adjusted Correct]]="YES",(Table4[[#This Row],[Strength of Win]]-1)^2,(Table4[[#This Row],[Strength of Win]]-0)^2))</f>
        <v>0.31955882172714561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-0.4031232890211825</v>
      </c>
      <c r="H346" t="s">
        <v>15</v>
      </c>
      <c r="I346">
        <f>VLOOKUP(Table4[[#This Row],[Visitor]],'NHL Model'!$A$6:$B$38,2,FALSE)</f>
        <v>-0.29003398448394263</v>
      </c>
      <c r="J346">
        <f>($B$1+Table4[[#This Row],[Home Differential]])-Table4[[#This Row],[Away Differential]]</f>
        <v>-6.318855561407738E-2</v>
      </c>
      <c r="K346" t="str">
        <f>IF(Table4[[#This Row],[HomeIce Differential]]&gt;0,Table4[[#This Row],[Home]],Table4[[#This Row],[Visitor]])</f>
        <v>New York Rangers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0.52669150118549424</v>
      </c>
      <c r="M346" t="str">
        <f>IF(OR((NHL2025_26Results[[#This Row],[Winning Team]]="")),"-",IF(Table4[[#This Row],[Predicted Winner]]=NHL2025_26Results[[#This Row],[Winning Team]],"YES","NO"))</f>
        <v>NO</v>
      </c>
      <c r="N346">
        <f>IF(Table4[[#This Row],[Adjusted Correct]]="-", "",IF(Table4[[#This Row],[Adjusted Correct]]="YES",(Table4[[#This Row],[Strength of Win]]-1)^2,(Table4[[#This Row],[Strength of Win]]-0)^2))</f>
        <v>0.27740393742102948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0.4407072328537569</v>
      </c>
      <c r="H347" t="s">
        <v>37</v>
      </c>
      <c r="I347">
        <f>VLOOKUP(Table4[[#This Row],[Visitor]],'NHL Model'!$A$6:$B$38,2,FALSE)</f>
        <v>0.51050494674660429</v>
      </c>
      <c r="J347">
        <f>($B$1+Table4[[#This Row],[Home Differential]])-Table4[[#This Row],[Away Differential]]</f>
        <v>-1.9896964969684905E-2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0.52863905379213916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0.22218114160996988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-0.4761104357405897</v>
      </c>
      <c r="H348" t="s">
        <v>25</v>
      </c>
      <c r="I348">
        <f>VLOOKUP(Table4[[#This Row],[Visitor]],'NHL Model'!$A$6:$B$38,2,FALSE)</f>
        <v>0.42567513732855267</v>
      </c>
      <c r="J348">
        <f>($B$1+Table4[[#This Row],[Home Differential]])-Table4[[#This Row],[Away Differential]]</f>
        <v>-0.85188482414597988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0.62191910573354303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0.38678337407640989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-0.17619625518431364</v>
      </c>
      <c r="H349" t="s">
        <v>12</v>
      </c>
      <c r="I349">
        <f>VLOOKUP(Table4[[#This Row],[Visitor]],'NHL Model'!$A$6:$B$38,2,FALSE)</f>
        <v>1.6319036584269762</v>
      </c>
      <c r="J349">
        <f>($B$1+Table4[[#This Row],[Home Differential]])-Table4[[#This Row],[Away Differential]]</f>
        <v>-1.7581991646881274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0.73791887075284956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6.8686518307461572E-2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-0.24093199744133265</v>
      </c>
      <c r="H350" t="s">
        <v>32</v>
      </c>
      <c r="I350">
        <f>VLOOKUP(Table4[[#This Row],[Visitor]],'NHL Model'!$A$6:$B$38,2,FALSE)</f>
        <v>-0.64937723527808999</v>
      </c>
      <c r="J350">
        <f>($B$1+Table4[[#This Row],[Home Differential]])-Table4[[#This Row],[Away Differential]]</f>
        <v>0.45834598675991978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0.59351865865818199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0.16522708085904358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-0.45133099238224339</v>
      </c>
      <c r="H351" t="s">
        <v>21</v>
      </c>
      <c r="I351">
        <f>VLOOKUP(Table4[[#This Row],[Visitor]],'NHL Model'!$A$6:$B$38,2,FALSE)</f>
        <v>-0.21976976044773161</v>
      </c>
      <c r="J351">
        <f>($B$1+Table4[[#This Row],[Home Differential]])-Table4[[#This Row],[Away Differential]]</f>
        <v>-0.18166048301134929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0.47191576786106304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0.22270449195589673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-0.9476777551108041</v>
      </c>
      <c r="H352" t="s">
        <v>16</v>
      </c>
      <c r="I352">
        <f>VLOOKUP(Table4[[#This Row],[Visitor]],'NHL Model'!$A$6:$B$38,2,FALSE)</f>
        <v>-1.0657812790446208</v>
      </c>
      <c r="J352">
        <f>($B$1+Table4[[#This Row],[Home Differential]])-Table4[[#This Row],[Away Differential]]</f>
        <v>0.16800427285697916</v>
      </c>
      <c r="K352" t="str">
        <f>IF(Table4[[#This Row],[HomeIce Differential]]&gt;0,Table4[[#This Row],[Home]],Table4[[#This Row],[Visitor]])</f>
        <v>Vancouver Canucks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0.55961697842215075</v>
      </c>
      <c r="M352" t="str">
        <f>IF(OR((NHL2025_26Results[[#This Row],[Winning Team]]="")),"-",IF(Table4[[#This Row],[Predicted Winner]]=NHL2025_26Results[[#This Row],[Winning Team]],"YES","NO"))</f>
        <v>NO</v>
      </c>
      <c r="N352">
        <f>IF(Table4[[#This Row],[Adjusted Correct]]="-", "",IF(Table4[[#This Row],[Adjusted Correct]]="YES",(Table4[[#This Row],[Strength of Win]]-1)^2,(Table4[[#This Row],[Strength of Win]]-0)^2))</f>
        <v>0.31317116253833793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-0.31324182378279158</v>
      </c>
      <c r="H353" t="s">
        <v>34</v>
      </c>
      <c r="I353">
        <f>VLOOKUP(Table4[[#This Row],[Visitor]],'NHL Model'!$A$6:$B$38,2,FALSE)</f>
        <v>-5.5124787449478845E-2</v>
      </c>
      <c r="J353">
        <f>($B$1+Table4[[#This Row],[Home Differential]])-Table4[[#This Row],[Away Differential]]</f>
        <v>-0.20821628741015025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0.52431232460821053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0.22627876451964446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-0.33828359867721369</v>
      </c>
      <c r="H354" t="s">
        <v>36</v>
      </c>
      <c r="I354">
        <f>VLOOKUP(Table4[[#This Row],[Visitor]],'NHL Model'!$A$6:$B$38,2,FALSE)</f>
        <v>-0.53137605086483863</v>
      </c>
      <c r="J354">
        <f>($B$1+Table4[[#This Row],[Home Differential]])-Table4[[#This Row],[Away Differential]]</f>
        <v>0.24299320111078743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0.56837304255337362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0.18630183039463183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1.5302507646042616E-3</v>
      </c>
      <c r="H355" t="s">
        <v>26</v>
      </c>
      <c r="I355">
        <f>VLOOKUP(Table4[[#This Row],[Visitor]],'NHL Model'!$A$6:$B$38,2,FALSE)</f>
        <v>-0.87533956503230947</v>
      </c>
      <c r="J355">
        <f>($B$1+Table4[[#This Row],[Home Differential]])-Table4[[#This Row],[Away Differential]]</f>
        <v>0.92677056472007624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0.72804885233218297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7.395742671784282E-2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-1.384917283810061</v>
      </c>
      <c r="H356" t="s">
        <v>11</v>
      </c>
      <c r="I356">
        <f>VLOOKUP(Table4[[#This Row],[Visitor]],'NHL Model'!$A$6:$B$38,2,FALSE)</f>
        <v>-0.39711829106410657</v>
      </c>
      <c r="J356">
        <f>($B$1+Table4[[#This Row],[Home Differential]])-Table4[[#This Row],[Away Differential]]</f>
        <v>-0.93789824382279197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0.56951346235644551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0.18531865909233547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-0.29003398448394263</v>
      </c>
      <c r="H357" t="s">
        <v>35</v>
      </c>
      <c r="I357">
        <f>VLOOKUP(Table4[[#This Row],[Visitor]],'NHL Model'!$A$6:$B$38,2,FALSE)</f>
        <v>-1.3944783719477225</v>
      </c>
      <c r="J357">
        <f>($B$1+Table4[[#This Row],[Home Differential]])-Table4[[#This Row],[Away Differential]]</f>
        <v>1.1543451363869424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0.67478683159144781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0.10576360490632933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0.51050494674660429</v>
      </c>
      <c r="H358" t="s">
        <v>27</v>
      </c>
      <c r="I358">
        <f>VLOOKUP(Table4[[#This Row],[Visitor]],'NHL Model'!$A$6:$B$38,2,FALSE)</f>
        <v>-0.38023958350631604</v>
      </c>
      <c r="J358">
        <f>($B$1+Table4[[#This Row],[Home Differential]])-Table4[[#This Row],[Away Differential]]</f>
        <v>0.94064527917608276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0.6399547012050012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0.12963261718437996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-0.4031232890211825</v>
      </c>
      <c r="H359" t="s">
        <v>20</v>
      </c>
      <c r="I359">
        <f>VLOOKUP(Table4[[#This Row],[Visitor]],'NHL Model'!$A$6:$B$38,2,FALSE)</f>
        <v>-0.24444083032063643</v>
      </c>
      <c r="J359">
        <f>($B$1+Table4[[#This Row],[Home Differential]])-Table4[[#This Row],[Away Differential]]</f>
        <v>-0.10878170977738358</v>
      </c>
      <c r="K359" t="str">
        <f>IF(Table4[[#This Row],[HomeIce Differential]]&gt;0,Table4[[#This Row],[Home]],Table4[[#This Row],[Visitor]])</f>
        <v>Vegas Golden Knights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0.4322706926738567</v>
      </c>
      <c r="M359" t="str">
        <f>IF(OR((NHL2025_26Results[[#This Row],[Winning Team]]="")),"-",IF(Table4[[#This Row],[Predicted Winner]]=NHL2025_26Results[[#This Row],[Winning Team]],"YES","NO"))</f>
        <v>NO</v>
      </c>
      <c r="N359">
        <f>IF(Table4[[#This Row],[Adjusted Correct]]="-", "",IF(Table4[[#This Row],[Adjusted Correct]]="YES",(Table4[[#This Row],[Strength of Win]]-1)^2,(Table4[[#This Row],[Strength of Win]]-0)^2))</f>
        <v>0.18685795174473588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0.4407072328537569</v>
      </c>
      <c r="H360" t="s">
        <v>28</v>
      </c>
      <c r="I360">
        <f>VLOOKUP(Table4[[#This Row],[Visitor]],'NHL Model'!$A$6:$B$38,2,FALSE)</f>
        <v>-0.59498940435054026</v>
      </c>
      <c r="J360">
        <f>($B$1+Table4[[#This Row],[Home Differential]])-Table4[[#This Row],[Away Differential]]</f>
        <v>1.0855973861274597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0.68925951710427547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9.6559647710268079E-2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-0.81774666423752174</v>
      </c>
      <c r="H361" t="s">
        <v>39</v>
      </c>
      <c r="I361">
        <f>VLOOKUP(Table4[[#This Row],[Visitor]],'NHL Model'!$A$6:$B$38,2,FALSE)</f>
        <v>0.41344250185511977</v>
      </c>
      <c r="J361">
        <f>($B$1+Table4[[#This Row],[Home Differential]])-Table4[[#This Row],[Away Differential]]</f>
        <v>-1.1812884171694791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0.69272737782519755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9.4416464338178893E-2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0.17870302183926629</v>
      </c>
      <c r="H362" t="s">
        <v>38</v>
      </c>
      <c r="I362">
        <f>VLOOKUP(Table4[[#This Row],[Visitor]],'NHL Model'!$A$6:$B$38,2,FALSE)</f>
        <v>-0.9476777551108041</v>
      </c>
      <c r="J362">
        <f>($B$1+Table4[[#This Row],[Home Differential]])-Table4[[#This Row],[Away Differential]]</f>
        <v>1.1762815258732329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0.75378658498635764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0.56819421570539541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0.42567513732855267</v>
      </c>
      <c r="H363" t="s">
        <v>15</v>
      </c>
      <c r="I363">
        <f>VLOOKUP(Table4[[#This Row],[Visitor]],'NHL Model'!$A$6:$B$38,2,FALSE)</f>
        <v>-0.29003398448394263</v>
      </c>
      <c r="J363">
        <f>($B$1+Table4[[#This Row],[Home Differential]])-Table4[[#This Row],[Away Differential]]</f>
        <v>0.76560987073565778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0.58170394431130978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0.33837947882733538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-0.59498940435054026</v>
      </c>
      <c r="H364" t="s">
        <v>19</v>
      </c>
      <c r="I364">
        <f>VLOOKUP(Table4[[#This Row],[Visitor]],'NHL Model'!$A$6:$B$38,2,FALSE)</f>
        <v>-0.63447859131898054</v>
      </c>
      <c r="J364">
        <f>($B$1+Table4[[#This Row],[Home Differential]])-Table4[[#This Row],[Away Differential]]</f>
        <v>8.9389935891602712E-2</v>
      </c>
      <c r="K364" t="str">
        <f>IF(Table4[[#This Row],[HomeIce Differential]]&gt;0,Table4[[#This Row],[Home]],Table4[[#This Row],[Visitor]])</f>
        <v>Columbus Blue Jackets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0.55043759431663863</v>
      </c>
      <c r="M364" t="str">
        <f>IF(OR((NHL2025_26Results[[#This Row],[Winning Team]]="")),"-",IF(Table4[[#This Row],[Predicted Winner]]=NHL2025_26Results[[#This Row],[Winning Team]],"YES","NO"))</f>
        <v>NO</v>
      </c>
      <c r="N364">
        <f>IF(Table4[[#This Row],[Adjusted Correct]]="-", "",IF(Table4[[#This Row],[Adjusted Correct]]="YES",(Table4[[#This Row],[Strength of Win]]-1)^2,(Table4[[#This Row],[Strength of Win]]-0)^2))</f>
        <v>0.30298154523708848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-0.17619625518431364</v>
      </c>
      <c r="H365" t="s">
        <v>34</v>
      </c>
      <c r="I365">
        <f>VLOOKUP(Table4[[#This Row],[Visitor]],'NHL Model'!$A$6:$B$38,2,FALSE)</f>
        <v>-5.5124787449478845E-2</v>
      </c>
      <c r="J365">
        <f>($B$1+Table4[[#This Row],[Home Differential]])-Table4[[#This Row],[Away Differential]]</f>
        <v>-7.1170718811672334E-2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0.51082279464017433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0.23929433824364907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1.6319036584269762</v>
      </c>
      <c r="H366" t="s">
        <v>33</v>
      </c>
      <c r="I366">
        <f>VLOOKUP(Table4[[#This Row],[Visitor]],'NHL Model'!$A$6:$B$38,2,FALSE)</f>
        <v>-0.45133099238224339</v>
      </c>
      <c r="J366">
        <f>($B$1+Table4[[#This Row],[Home Differential]])-Table4[[#This Row],[Away Differential]]</f>
        <v>2.1331353997323821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0.89340493765751294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1.1362507315798702E-2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-0.87533956503230947</v>
      </c>
      <c r="H367" t="s">
        <v>29</v>
      </c>
      <c r="I367">
        <f>VLOOKUP(Table4[[#This Row],[Visitor]],'NHL Model'!$A$6:$B$38,2,FALSE)</f>
        <v>-1.384917283810061</v>
      </c>
      <c r="J367">
        <f>($B$1+Table4[[#This Row],[Home Differential]])-Table4[[#This Row],[Away Differential]]</f>
        <v>0.55947846770091392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0.60532736841693291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0.36642122295456925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-0.39711829106410657</v>
      </c>
      <c r="H368" t="s">
        <v>27</v>
      </c>
      <c r="I368">
        <f>VLOOKUP(Table4[[#This Row],[Visitor]],'NHL Model'!$A$6:$B$38,2,FALSE)</f>
        <v>-0.38023958350631604</v>
      </c>
      <c r="J368">
        <f>($B$1+Table4[[#This Row],[Home Differential]])-Table4[[#This Row],[Away Differential]]</f>
        <v>3.3022041365371957E-2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0.51548371767669787</v>
      </c>
      <c r="M368" t="str">
        <f>IF(OR((NHL2025_26Results[[#This Row],[Winning Team]]="")),"-",IF(Table4[[#This Row],[Predicted Winner]]=NHL2025_26Results[[#This Row],[Winning Team]],"YES","NO"))</f>
        <v>NO</v>
      </c>
      <c r="N368">
        <f>IF(Table4[[#This Row],[Adjusted Correct]]="-", "",IF(Table4[[#This Row],[Adjusted Correct]]="YES",(Table4[[#This Row],[Strength of Win]]-1)^2,(Table4[[#This Row],[Strength of Win]]-0)^2))</f>
        <v>0.26572346318978957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1.5302507646042616E-3</v>
      </c>
      <c r="H369" t="s">
        <v>35</v>
      </c>
      <c r="I369">
        <f>VLOOKUP(Table4[[#This Row],[Visitor]],'NHL Model'!$A$6:$B$38,2,FALSE)</f>
        <v>-1.3944783719477225</v>
      </c>
      <c r="J369">
        <f>($B$1+Table4[[#This Row],[Home Differential]])-Table4[[#This Row],[Away Differential]]</f>
        <v>1.4459093716354892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0.78866596998150751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4.4662072243857084E-2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-0.24093199744133265</v>
      </c>
      <c r="H370" t="s">
        <v>21</v>
      </c>
      <c r="I370">
        <f>VLOOKUP(Table4[[#This Row],[Visitor]],'NHL Model'!$A$6:$B$38,2,FALSE)</f>
        <v>-0.21976976044773161</v>
      </c>
      <c r="J370">
        <f>($B$1+Table4[[#This Row],[Home Differential]])-Table4[[#This Row],[Away Differential]]</f>
        <v>2.8738511929561422E-2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0.54252615233038282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0.29433462596240972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-0.14226422156549004</v>
      </c>
      <c r="H371" t="s">
        <v>23</v>
      </c>
      <c r="I371">
        <f>VLOOKUP(Table4[[#This Row],[Visitor]],'NHL Model'!$A$6:$B$38,2,FALSE)</f>
        <v>-0.4761104357405897</v>
      </c>
      <c r="J371">
        <f>($B$1+Table4[[#This Row],[Home Differential]])-Table4[[#This Row],[Away Differential]]</f>
        <v>0.38374696309826212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0.58480812164267382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0.17238429585388473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-0.64937723527808999</v>
      </c>
      <c r="H372" t="s">
        <v>39</v>
      </c>
      <c r="I372">
        <f>VLOOKUP(Table4[[#This Row],[Visitor]],'NHL Model'!$A$6:$B$38,2,FALSE)</f>
        <v>0.41344250185511977</v>
      </c>
      <c r="J372">
        <f>($B$1+Table4[[#This Row],[Home Differential]])-Table4[[#This Row],[Away Differential]]</f>
        <v>-1.0129189882100473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0.68007099429980955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0.1023545686883125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0.51050494674660429</v>
      </c>
      <c r="H373" t="s">
        <v>16</v>
      </c>
      <c r="I373">
        <f>VLOOKUP(Table4[[#This Row],[Visitor]],'NHL Model'!$A$6:$B$38,2,FALSE)</f>
        <v>-1.0657812790446208</v>
      </c>
      <c r="J373">
        <f>($B$1+Table4[[#This Row],[Home Differential]])-Table4[[#This Row],[Away Differential]]</f>
        <v>1.6261869747143876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0.76212739591298906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5.6583375775135857E-2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-0.4031232890211825</v>
      </c>
      <c r="H374" t="s">
        <v>18</v>
      </c>
      <c r="I374">
        <f>VLOOKUP(Table4[[#This Row],[Visitor]],'NHL Model'!$A$6:$B$38,2,FALSE)</f>
        <v>-0.59288962827382519</v>
      </c>
      <c r="J374">
        <f>($B$1+Table4[[#This Row],[Home Differential]])-Table4[[#This Row],[Away Differential]]</f>
        <v>0.23966708817580518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0.54972380021307365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0.30219625652070331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-0.24444083032063643</v>
      </c>
      <c r="H375" t="s">
        <v>36</v>
      </c>
      <c r="I375">
        <f>VLOOKUP(Table4[[#This Row],[Visitor]],'NHL Model'!$A$6:$B$38,2,FALSE)</f>
        <v>-0.53137605086483863</v>
      </c>
      <c r="J375">
        <f>($B$1+Table4[[#This Row],[Home Differential]])-Table4[[#This Row],[Away Differential]]</f>
        <v>0.33683596946736466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0.57933057077941474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0.33562391023960247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0.4407072328537569</v>
      </c>
      <c r="H376" t="s">
        <v>40</v>
      </c>
      <c r="I376">
        <f>VLOOKUP(Table4[[#This Row],[Visitor]],'NHL Model'!$A$6:$B$38,2,FALSE)</f>
        <v>-0.31324182378279158</v>
      </c>
      <c r="J376">
        <f>($B$1+Table4[[#This Row],[Home Differential]])-Table4[[#This Row],[Away Differential]]</f>
        <v>0.80384980555971097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0.63931587423002867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0.1300930385824485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0.17870302183926629</v>
      </c>
      <c r="H377" t="s">
        <v>13</v>
      </c>
      <c r="I377">
        <f>VLOOKUP(Table4[[#This Row],[Visitor]],'NHL Model'!$A$6:$B$38,2,FALSE)</f>
        <v>-0.33828359867721369</v>
      </c>
      <c r="J377">
        <f>($B$1+Table4[[#This Row],[Home Differential]])-Table4[[#This Row],[Away Differential]]</f>
        <v>0.56688736943964246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0.62174802259807027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0.14307455840846997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-0.21976976044773161</v>
      </c>
      <c r="H378" t="s">
        <v>15</v>
      </c>
      <c r="I378">
        <f>VLOOKUP(Table4[[#This Row],[Visitor]],'NHL Model'!$A$6:$B$38,2,FALSE)</f>
        <v>-0.29003398448394263</v>
      </c>
      <c r="J378">
        <f>($B$1+Table4[[#This Row],[Home Differential]])-Table4[[#This Row],[Away Differential]]</f>
        <v>0.12016497295937348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0.497252510611498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0.24726005930943792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-0.4761104357405897</v>
      </c>
      <c r="H379" t="s">
        <v>24</v>
      </c>
      <c r="I379">
        <f>VLOOKUP(Table4[[#This Row],[Visitor]],'NHL Model'!$A$6:$B$38,2,FALSE)</f>
        <v>1.5302507646042616E-3</v>
      </c>
      <c r="J379">
        <f>($B$1+Table4[[#This Row],[Home Differential]])-Table4[[#This Row],[Away Differential]]</f>
        <v>-0.42773993758203149</v>
      </c>
      <c r="K379" t="str">
        <f>IF(Table4[[#This Row],[HomeIce Differential]]&gt;0,Table4[[#This Row],[Home]],Table4[[#This Row],[Visitor]])</f>
        <v>New Jersey Devils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0.52053318599773446</v>
      </c>
      <c r="M379" t="str">
        <f>IF(OR((NHL2025_26Results[[#This Row],[Winning Team]]="")),"-",IF(Table4[[#This Row],[Predicted Winner]]=NHL2025_26Results[[#This Row],[Winning Team]],"YES","NO"))</f>
        <v>YES</v>
      </c>
      <c r="N379">
        <f>IF(Table4[[#This Row],[Adjusted Correct]]="-", "",IF(Table4[[#This Row],[Adjusted Correct]]="YES",(Table4[[#This Row],[Strength of Win]]-1)^2,(Table4[[#This Row],[Strength of Win]]-0)^2))</f>
        <v>0.22988842572948309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0.42567513732855267</v>
      </c>
      <c r="H380" t="s">
        <v>40</v>
      </c>
      <c r="I380">
        <f>VLOOKUP(Table4[[#This Row],[Visitor]],'NHL Model'!$A$6:$B$38,2,FALSE)</f>
        <v>-0.31324182378279158</v>
      </c>
      <c r="J380">
        <f>($B$1+Table4[[#This Row],[Home Differential]])-Table4[[#This Row],[Away Differential]]</f>
        <v>0.78881771003450674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0.66353468119359138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0.1132089107594982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-0.59498940435054026</v>
      </c>
      <c r="H381" t="s">
        <v>14</v>
      </c>
      <c r="I381">
        <f>VLOOKUP(Table4[[#This Row],[Visitor]],'NHL Model'!$A$6:$B$38,2,FALSE)</f>
        <v>-0.14226422156549004</v>
      </c>
      <c r="J381">
        <f>($B$1+Table4[[#This Row],[Home Differential]])-Table4[[#This Row],[Away Differential]]</f>
        <v>-0.40282443386188782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0.54632243115593127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0.20582333647226472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-0.17619625518431364</v>
      </c>
      <c r="H382" t="s">
        <v>29</v>
      </c>
      <c r="I382">
        <f>VLOOKUP(Table4[[#This Row],[Visitor]],'NHL Model'!$A$6:$B$38,2,FALSE)</f>
        <v>-1.384917283810061</v>
      </c>
      <c r="J382">
        <f>($B$1+Table4[[#This Row],[Home Differential]])-Table4[[#This Row],[Away Differential]]</f>
        <v>1.2586217775489097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0.68696266846049026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0.47191770785835746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0.41344250185511977</v>
      </c>
      <c r="H383" t="s">
        <v>55</v>
      </c>
      <c r="I383">
        <f>VLOOKUP(Table4[[#This Row],[Visitor]],'NHL Model'!$A$6:$B$38,2,FALSE)</f>
        <v>-0.4031232890211825</v>
      </c>
      <c r="J383">
        <f>($B$1+Table4[[#This Row],[Home Differential]])-Table4[[#This Row],[Away Differential]]</f>
        <v>0.86646653979946475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0.67341882246331153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0.10665526552125003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-0.87533956503230947</v>
      </c>
      <c r="H384" t="s">
        <v>37</v>
      </c>
      <c r="I384">
        <f>VLOOKUP(Table4[[#This Row],[Visitor]],'NHL Model'!$A$6:$B$38,2,FALSE)</f>
        <v>0.51050494674660429</v>
      </c>
      <c r="J384">
        <f>($B$1+Table4[[#This Row],[Home Differential]])-Table4[[#This Row],[Away Differential]]</f>
        <v>-1.3359437628557513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0.70847733928142309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8.4985461712438509E-2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-0.39711829106410657</v>
      </c>
      <c r="H385" t="s">
        <v>16</v>
      </c>
      <c r="I385">
        <f>VLOOKUP(Table4[[#This Row],[Visitor]],'NHL Model'!$A$6:$B$38,2,FALSE)</f>
        <v>-1.0657812790446208</v>
      </c>
      <c r="J385">
        <f>($B$1+Table4[[#This Row],[Home Differential]])-Table4[[#This Row],[Away Differential]]</f>
        <v>0.71856373690367681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0.63791954202596979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0.40694134209862304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-5.5124787449478845E-2</v>
      </c>
      <c r="H386" t="s">
        <v>12</v>
      </c>
      <c r="I386">
        <f>VLOOKUP(Table4[[#This Row],[Visitor]],'NHL Model'!$A$6:$B$38,2,FALSE)</f>
        <v>1.6319036584269762</v>
      </c>
      <c r="J386">
        <f>($B$1+Table4[[#This Row],[Home Differential]])-Table4[[#This Row],[Away Differential]]</f>
        <v>-1.6371276969532926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0.72378199000747556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0.52386036905918143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-0.24093199744133265</v>
      </c>
      <c r="H387" t="s">
        <v>27</v>
      </c>
      <c r="I387">
        <f>VLOOKUP(Table4[[#This Row],[Visitor]],'NHL Model'!$A$6:$B$38,2,FALSE)</f>
        <v>-0.38023958350631604</v>
      </c>
      <c r="J387">
        <f>($B$1+Table4[[#This Row],[Home Differential]])-Table4[[#This Row],[Away Differential]]</f>
        <v>0.18920833498814585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0.51958030281151568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0.26996369106970636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-0.45133099238224339</v>
      </c>
      <c r="H388" t="s">
        <v>38</v>
      </c>
      <c r="I388">
        <f>VLOOKUP(Table4[[#This Row],[Visitor]],'NHL Model'!$A$6:$B$38,2,FALSE)</f>
        <v>-0.9476777551108041</v>
      </c>
      <c r="J388">
        <f>($B$1+Table4[[#This Row],[Home Differential]])-Table4[[#This Row],[Away Differential]]</f>
        <v>0.54624751165172314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0.61034116347665668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0.1518340088807256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-1.3944783719477225</v>
      </c>
      <c r="H389" t="s">
        <v>36</v>
      </c>
      <c r="I389">
        <f>VLOOKUP(Table4[[#This Row],[Visitor]],'NHL Model'!$A$6:$B$38,2,FALSE)</f>
        <v>-0.53137605086483863</v>
      </c>
      <c r="J389">
        <f>($B$1+Table4[[#This Row],[Home Differential]])-Table4[[#This Row],[Away Differential]]</f>
        <v>-0.81320157215972144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0.55495328554825873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0.3079731491408072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-0.24444083032063643</v>
      </c>
      <c r="H390" t="s">
        <v>18</v>
      </c>
      <c r="I390">
        <f>VLOOKUP(Table4[[#This Row],[Visitor]],'NHL Model'!$A$6:$B$38,2,FALSE)</f>
        <v>-0.59288962827382519</v>
      </c>
      <c r="J390">
        <f>($B$1+Table4[[#This Row],[Home Differential]])-Table4[[#This Row],[Away Differential]]</f>
        <v>0.39834954687635121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0.5272253549896273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0.2779665749439385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0.4407072328537569</v>
      </c>
      <c r="H391" t="s">
        <v>19</v>
      </c>
      <c r="I391">
        <f>VLOOKUP(Table4[[#This Row],[Visitor]],'NHL Model'!$A$6:$B$38,2,FALSE)</f>
        <v>-0.63447859131898054</v>
      </c>
      <c r="J391">
        <f>($B$1+Table4[[#This Row],[Home Differential]])-Table4[[#This Row],[Away Differential]]</f>
        <v>1.1250865730958999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0.69740819835070078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9.1561798425368837E-2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-0.21976976044773161</v>
      </c>
      <c r="H392" t="s">
        <v>26</v>
      </c>
      <c r="I392">
        <f>VLOOKUP(Table4[[#This Row],[Visitor]],'NHL Model'!$A$6:$B$38,2,FALSE)</f>
        <v>-0.87533956503230947</v>
      </c>
      <c r="J392">
        <f>($B$1+Table4[[#This Row],[Home Differential]])-Table4[[#This Row],[Away Differential]]</f>
        <v>0.70547055350774035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0.66527565352842921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0.11204038812082016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1.6319036584269762</v>
      </c>
      <c r="H393" t="s">
        <v>18</v>
      </c>
      <c r="I393">
        <f>VLOOKUP(Table4[[#This Row],[Visitor]],'NHL Model'!$A$6:$B$38,2,FALSE)</f>
        <v>-0.59288962827382519</v>
      </c>
      <c r="J393">
        <f>($B$1+Table4[[#This Row],[Home Differential]])-Table4[[#This Row],[Away Differential]]</f>
        <v>2.2746940356239636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0.85383939486463922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2.1362922493534851E-2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-0.33828359867721369</v>
      </c>
      <c r="H394" t="s">
        <v>38</v>
      </c>
      <c r="I394">
        <f>VLOOKUP(Table4[[#This Row],[Visitor]],'NHL Model'!$A$6:$B$38,2,FALSE)</f>
        <v>-0.9476777551108041</v>
      </c>
      <c r="J394">
        <f>($B$1+Table4[[#This Row],[Home Differential]])-Table4[[#This Row],[Away Differential]]</f>
        <v>0.65929490535675295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0.61340625175833186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0.14945472617954228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-5.5124787449478845E-2</v>
      </c>
      <c r="H395" t="s">
        <v>23</v>
      </c>
      <c r="I395">
        <f>VLOOKUP(Table4[[#This Row],[Visitor]],'NHL Model'!$A$6:$B$38,2,FALSE)</f>
        <v>-0.4761104357405897</v>
      </c>
      <c r="J395">
        <f>($B$1+Table4[[#This Row],[Home Differential]])-Table4[[#This Row],[Away Differential]]</f>
        <v>0.47088639721427333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0.59498293666197655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0.35400469491890957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1.5302507646042616E-3</v>
      </c>
      <c r="H396" t="s">
        <v>27</v>
      </c>
      <c r="I396">
        <f>VLOOKUP(Table4[[#This Row],[Visitor]],'NHL Model'!$A$6:$B$38,2,FALSE)</f>
        <v>-0.38023958350631604</v>
      </c>
      <c r="J396">
        <f>($B$1+Table4[[#This Row],[Home Differential]])-Table4[[#This Row],[Away Differential]]</f>
        <v>0.43167058319408275</v>
      </c>
      <c r="K396" t="str">
        <f>IF(Table4[[#This Row],[HomeIce Differential]]&gt;0,Table4[[#This Row],[Home]],Table4[[#This Row],[Visitor]])</f>
        <v>New Jersey Devils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0.62935128001206531</v>
      </c>
      <c r="M396" t="str">
        <f>IF(OR((NHL2025_26Results[[#This Row],[Winning Team]]="")),"-",IF(Table4[[#This Row],[Predicted Winner]]=NHL2025_26Results[[#This Row],[Winning Team]],"YES","NO"))</f>
        <v>NO</v>
      </c>
      <c r="N396">
        <f>IF(Table4[[#This Row],[Adjusted Correct]]="-", "",IF(Table4[[#This Row],[Adjusted Correct]]="YES",(Table4[[#This Row],[Strength of Win]]-1)^2,(Table4[[#This Row],[Strength of Win]]-0)^2))</f>
        <v>0.39608303365282505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-1.384917283810061</v>
      </c>
      <c r="H397" t="s">
        <v>40</v>
      </c>
      <c r="I397">
        <f>VLOOKUP(Table4[[#This Row],[Visitor]],'NHL Model'!$A$6:$B$38,2,FALSE)</f>
        <v>-0.31324182378279158</v>
      </c>
      <c r="J397">
        <f>($B$1+Table4[[#This Row],[Home Differential]])-Table4[[#This Row],[Away Differential]]</f>
        <v>-1.0217747111041069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0.60007650860907469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0.1599387989663075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-0.29003398448394263</v>
      </c>
      <c r="H398" t="s">
        <v>37</v>
      </c>
      <c r="I398">
        <f>VLOOKUP(Table4[[#This Row],[Visitor]],'NHL Model'!$A$6:$B$38,2,FALSE)</f>
        <v>0.51050494674660429</v>
      </c>
      <c r="J398">
        <f>($B$1+Table4[[#This Row],[Home Differential]])-Table4[[#This Row],[Away Differential]]</f>
        <v>-0.75063818230738444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0.64013427425856984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0.12950334056340623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-0.14226422156549004</v>
      </c>
      <c r="H399" t="s">
        <v>19</v>
      </c>
      <c r="I399">
        <f>VLOOKUP(Table4[[#This Row],[Visitor]],'NHL Model'!$A$6:$B$38,2,FALSE)</f>
        <v>-0.63447859131898054</v>
      </c>
      <c r="J399">
        <f>($B$1+Table4[[#This Row],[Home Differential]])-Table4[[#This Row],[Away Differential]]</f>
        <v>0.54211511867665296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0.60329994115360863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0.36397081899594763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-0.64937723527808999</v>
      </c>
      <c r="H400" t="s">
        <v>17</v>
      </c>
      <c r="I400">
        <f>VLOOKUP(Table4[[#This Row],[Visitor]],'NHL Model'!$A$6:$B$38,2,FALSE)</f>
        <v>-0.81774666423752174</v>
      </c>
      <c r="J400">
        <f>($B$1+Table4[[#This Row],[Home Differential]])-Table4[[#This Row],[Away Differential]]</f>
        <v>0.21827017788259417</v>
      </c>
      <c r="K400" t="str">
        <f>IF(Table4[[#This Row],[HomeIce Differential]]&gt;0,Table4[[#This Row],[Home]],Table4[[#This Row],[Visitor]])</f>
        <v>Seattle Kraken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0.5654862647057014</v>
      </c>
      <c r="M400" t="str">
        <f>IF(OR((NHL2025_26Results[[#This Row],[Winning Team]]="")),"-",IF(Table4[[#This Row],[Predicted Winner]]=NHL2025_26Results[[#This Row],[Winning Team]],"YES","NO"))</f>
        <v>NO</v>
      </c>
      <c r="N400">
        <f>IF(Table4[[#This Row],[Adjusted Correct]]="-", "",IF(Table4[[#This Row],[Adjusted Correct]]="YES",(Table4[[#This Row],[Strength of Win]]-1)^2,(Table4[[#This Row],[Strength of Win]]-0)^2))</f>
        <v>0.31977471557080661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-1.3944783719477225</v>
      </c>
      <c r="H401" t="s">
        <v>55</v>
      </c>
      <c r="I401">
        <f>VLOOKUP(Table4[[#This Row],[Visitor]],'NHL Model'!$A$6:$B$38,2,FALSE)</f>
        <v>-0.4031232890211825</v>
      </c>
      <c r="J401">
        <f>($B$1+Table4[[#This Row],[Home Differential]])-Table4[[#This Row],[Away Differential]]</f>
        <v>-0.94145433400337764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0.5699286883691741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0.32481870982620714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-0.24444083032063643</v>
      </c>
      <c r="H402" t="s">
        <v>33</v>
      </c>
      <c r="I402">
        <f>VLOOKUP(Table4[[#This Row],[Visitor]],'NHL Model'!$A$6:$B$38,2,FALSE)</f>
        <v>-0.45133099238224339</v>
      </c>
      <c r="J402">
        <f>($B$1+Table4[[#This Row],[Home Differential]])-Table4[[#This Row],[Away Differential]]</f>
        <v>0.25679091098476942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0.56998412882082472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0.18491364946598507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0.42567513732855267</v>
      </c>
      <c r="H403" t="s">
        <v>16</v>
      </c>
      <c r="I403">
        <f>VLOOKUP(Table4[[#This Row],[Visitor]],'NHL Model'!$A$6:$B$38,2,FALSE)</f>
        <v>-1.0657812790446208</v>
      </c>
      <c r="J403">
        <f>($B$1+Table4[[#This Row],[Home Differential]])-Table4[[#This Row],[Away Differential]]</f>
        <v>1.541357165296336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0.77169217418786418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5.2124463327064552E-2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-0.17619625518431364</v>
      </c>
      <c r="H404" t="s">
        <v>31</v>
      </c>
      <c r="I404">
        <f>VLOOKUP(Table4[[#This Row],[Visitor]],'NHL Model'!$A$6:$B$38,2,FALSE)</f>
        <v>0.17870302183926629</v>
      </c>
      <c r="J404">
        <f>($B$1+Table4[[#This Row],[Home Differential]])-Table4[[#This Row],[Away Differential]]</f>
        <v>-0.3049985281004175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0.51638231038195603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0.26665069047540679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0.41344250185511977</v>
      </c>
      <c r="H405" t="s">
        <v>36</v>
      </c>
      <c r="I405">
        <f>VLOOKUP(Table4[[#This Row],[Visitor]],'NHL Model'!$A$6:$B$38,2,FALSE)</f>
        <v>-0.53137605086483863</v>
      </c>
      <c r="J405">
        <f>($B$1+Table4[[#This Row],[Home Differential]])-Table4[[#This Row],[Away Differential]]</f>
        <v>0.99471930164312083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0.68839422528422689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9.7098158836217141E-2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-0.24093199744133265</v>
      </c>
      <c r="H406" t="s">
        <v>22</v>
      </c>
      <c r="I406">
        <f>VLOOKUP(Table4[[#This Row],[Visitor]],'NHL Model'!$A$6:$B$38,2,FALSE)</f>
        <v>0.4407072328537569</v>
      </c>
      <c r="J406">
        <f>($B$1+Table4[[#This Row],[Home Differential]])-Table4[[#This Row],[Away Differential]]</f>
        <v>-0.63173848137192712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0.57627735430877991</v>
      </c>
      <c r="M406" t="str">
        <f>IF(OR((NHL2025_26Results[[#This Row],[Winning Team]]="")),"-",IF(Table4[[#This Row],[Predicted Winner]]=NHL2025_26Results[[#This Row],[Winning Team]],"YES","NO"))</f>
        <v>YES</v>
      </c>
      <c r="N406">
        <f>IF(Table4[[#This Row],[Adjusted Correct]]="-", "",IF(Table4[[#This Row],[Adjusted Correct]]="YES",(Table4[[#This Row],[Strength of Win]]-1)^2,(Table4[[#This Row],[Strength of Win]]-0)^2))</f>
        <v>0.17954088047156724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-0.4761104357405897</v>
      </c>
      <c r="H407" t="s">
        <v>40</v>
      </c>
      <c r="I407">
        <f>VLOOKUP(Table4[[#This Row],[Visitor]],'NHL Model'!$A$6:$B$38,2,FALSE)</f>
        <v>-0.31324182378279158</v>
      </c>
      <c r="J407">
        <f>($B$1+Table4[[#This Row],[Home Differential]])-Table4[[#This Row],[Away Differential]]</f>
        <v>-0.11296786303463563</v>
      </c>
      <c r="K407" t="str">
        <f>IF(Table4[[#This Row],[HomeIce Differential]]&gt;0,Table4[[#This Row],[Home]],Table4[[#This Row],[Visitor]])</f>
        <v>Winnipeg Jets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0.48377890059007395</v>
      </c>
      <c r="M407" t="str">
        <f>IF(OR((NHL2025_26Results[[#This Row],[Winning Team]]="")),"-",IF(Table4[[#This Row],[Predicted Winner]]=NHL2025_26Results[[#This Row],[Winning Team]],"YES","NO"))</f>
        <v>NO</v>
      </c>
      <c r="N407">
        <f>IF(Table4[[#This Row],[Adjusted Correct]]="-", "",IF(Table4[[#This Row],[Adjusted Correct]]="YES",(Table4[[#This Row],[Strength of Win]]-1)^2,(Table4[[#This Row],[Strength of Win]]-0)^2))</f>
        <v>0.23404202465614066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1.5302507646042616E-3</v>
      </c>
      <c r="H408" t="s">
        <v>28</v>
      </c>
      <c r="I408">
        <f>VLOOKUP(Table4[[#This Row],[Visitor]],'NHL Model'!$A$6:$B$38,2,FALSE)</f>
        <v>-0.59498940435054026</v>
      </c>
      <c r="J408">
        <f>($B$1+Table4[[#This Row],[Home Differential]])-Table4[[#This Row],[Away Differential]]</f>
        <v>0.64642040403830703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0.69191747882010612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0.47874979749677199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-0.38023958350631604</v>
      </c>
      <c r="H409" t="s">
        <v>14</v>
      </c>
      <c r="I409">
        <f>VLOOKUP(Table4[[#This Row],[Visitor]],'NHL Model'!$A$6:$B$38,2,FALSE)</f>
        <v>-0.14226422156549004</v>
      </c>
      <c r="J409">
        <f>($B$1+Table4[[#This Row],[Home Differential]])-Table4[[#This Row],[Away Differential]]</f>
        <v>-0.18807461301766351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0.50710900170447515</v>
      </c>
      <c r="M409" t="str">
        <f>IF(OR((NHL2025_26Results[[#This Row],[Winning Team]]="")),"-",IF(Table4[[#This Row],[Predicted Winner]]=NHL2025_26Results[[#This Row],[Winning Team]],"YES","NO"))</f>
        <v>YES</v>
      </c>
      <c r="N409">
        <f>IF(Table4[[#This Row],[Adjusted Correct]]="-", "",IF(Table4[[#This Row],[Adjusted Correct]]="YES",(Table4[[#This Row],[Strength of Win]]-1)^2,(Table4[[#This Row],[Strength of Win]]-0)^2))</f>
        <v>0.24294153620075909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-0.45133099238224339</v>
      </c>
      <c r="H410" t="s">
        <v>55</v>
      </c>
      <c r="I410">
        <f>VLOOKUP(Table4[[#This Row],[Visitor]],'NHL Model'!$A$6:$B$38,2,FALSE)</f>
        <v>-0.4031232890211825</v>
      </c>
      <c r="J410">
        <f>($B$1+Table4[[#This Row],[Home Differential]])-Table4[[#This Row],[Away Differential]]</f>
        <v>1.6930455621015916E-3</v>
      </c>
      <c r="K410" t="str">
        <f>IF(Table4[[#This Row],[HomeIce Differential]]&gt;0,Table4[[#This Row],[Home]],Table4[[#This Row],[Visitor]])</f>
        <v>San Jose Sharks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0.55031993744569752</v>
      </c>
      <c r="M410" t="str">
        <f>IF(OR((NHL2025_26Results[[#This Row],[Winning Team]]="")),"-",IF(Table4[[#This Row],[Predicted Winner]]=NHL2025_26Results[[#This Row],[Winning Team]],"YES","NO"))</f>
        <v>YES</v>
      </c>
      <c r="N410">
        <f>IF(Table4[[#This Row],[Adjusted Correct]]="-", "",IF(Table4[[#This Row],[Adjusted Correct]]="YES",(Table4[[#This Row],[Strength of Win]]-1)^2,(Table4[[#This Row],[Strength of Win]]-0)^2))</f>
        <v>0.2022121586588414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-1.3944783719477225</v>
      </c>
      <c r="H411" t="s">
        <v>31</v>
      </c>
      <c r="I411">
        <f>VLOOKUP(Table4[[#This Row],[Visitor]],'NHL Model'!$A$6:$B$38,2,FALSE)</f>
        <v>0.17870302183926629</v>
      </c>
      <c r="J411">
        <f>($B$1+Table4[[#This Row],[Home Differential]])-Table4[[#This Row],[Away Differential]]</f>
        <v>-1.5232806448638263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0.65863472807483803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0.11653024887653977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1.6319036584269762</v>
      </c>
      <c r="H412" t="s">
        <v>38</v>
      </c>
      <c r="I412">
        <f>VLOOKUP(Table4[[#This Row],[Visitor]],'NHL Model'!$A$6:$B$38,2,FALSE)</f>
        <v>-0.9476777551108041</v>
      </c>
      <c r="J412">
        <f>($B$1+Table4[[#This Row],[Home Differential]])-Table4[[#This Row],[Away Differential]]</f>
        <v>2.6294821624609428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0.94805649187988317</v>
      </c>
      <c r="M412" t="str">
        <f>IF(OR((NHL2025_26Results[[#This Row],[Winning Team]]="")),"-",IF(Table4[[#This Row],[Predicted Winner]]=NHL2025_26Results[[#This Row],[Winning Team]],"YES","NO"))</f>
        <v>-</v>
      </c>
      <c r="N412" t="str">
        <f>IF(Table4[[#This Row],[Adjusted Correct]]="-", "",IF(Table4[[#This Row],[Adjusted Correct]]="YES",(Table4[[#This Row],[Strength of Win]]-1)^2,(Table4[[#This Row],[Strength of Win]]-0)^2))</f>
        <v/>
      </c>
      <c r="O412">
        <v>2.6294821624609428</v>
      </c>
      <c r="P412" s="11">
        <v>0.94805649187988317</v>
      </c>
      <c r="Q412" t="s">
        <v>12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-0.87533956503230947</v>
      </c>
      <c r="H413" t="s">
        <v>21</v>
      </c>
      <c r="I413">
        <f>VLOOKUP(Table4[[#This Row],[Visitor]],'NHL Model'!$A$6:$B$38,2,FALSE)</f>
        <v>-0.21976976044773161</v>
      </c>
      <c r="J413">
        <f>($B$1+Table4[[#This Row],[Home Differential]])-Table4[[#This Row],[Away Differential]]</f>
        <v>-0.60566905566141549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0.53155029437330192</v>
      </c>
      <c r="M413" t="str">
        <f>IF(OR((NHL2025_26Results[[#This Row],[Winning Team]]="")),"-",IF(Table4[[#This Row],[Predicted Winner]]=NHL2025_26Results[[#This Row],[Winning Team]],"YES","NO"))</f>
        <v>-</v>
      </c>
      <c r="N413" t="str">
        <f>IF(Table4[[#This Row],[Adjusted Correct]]="-", "",IF(Table4[[#This Row],[Adjusted Correct]]="YES",(Table4[[#This Row],[Strength of Win]]-1)^2,(Table4[[#This Row],[Strength of Win]]-0)^2))</f>
        <v/>
      </c>
      <c r="O413">
        <v>-0.60566905566141549</v>
      </c>
      <c r="P413" s="11">
        <v>0.53155029437330192</v>
      </c>
      <c r="Q413" t="s">
        <v>21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-0.81774666423752174</v>
      </c>
      <c r="H414" t="s">
        <v>34</v>
      </c>
      <c r="I414">
        <f>VLOOKUP(Table4[[#This Row],[Visitor]],'NHL Model'!$A$6:$B$38,2,FALSE)</f>
        <v>-5.5124787449478845E-2</v>
      </c>
      <c r="J414">
        <f>($B$1+Table4[[#This Row],[Home Differential]])-Table4[[#This Row],[Away Differential]]</f>
        <v>-0.71272112786488051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0.57863355472801747</v>
      </c>
      <c r="M414" t="str">
        <f>IF(OR((NHL2025_26Results[[#This Row],[Winning Team]]="")),"-",IF(Table4[[#This Row],[Predicted Winner]]=NHL2025_26Results[[#This Row],[Winning Team]],"YES","NO"))</f>
        <v>-</v>
      </c>
      <c r="N414" t="str">
        <f>IF(Table4[[#This Row],[Adjusted Correct]]="-", "",IF(Table4[[#This Row],[Adjusted Correct]]="YES",(Table4[[#This Row],[Strength of Win]]-1)^2,(Table4[[#This Row],[Strength of Win]]-0)^2))</f>
        <v/>
      </c>
      <c r="O414">
        <v>-0.71272112786488051</v>
      </c>
      <c r="P414" s="11">
        <v>0.57863355472801747</v>
      </c>
      <c r="Q414" t="s">
        <v>34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-0.39711829106410657</v>
      </c>
      <c r="H415" t="s">
        <v>19</v>
      </c>
      <c r="I415">
        <f>VLOOKUP(Table4[[#This Row],[Visitor]],'NHL Model'!$A$6:$B$38,2,FALSE)</f>
        <v>-0.63447859131898054</v>
      </c>
      <c r="J415">
        <f>($B$1+Table4[[#This Row],[Home Differential]])-Table4[[#This Row],[Away Differential]]</f>
        <v>0.28726104917803646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0.58755858766064739</v>
      </c>
      <c r="M415" t="str">
        <f>IF(OR((NHL2025_26Results[[#This Row],[Winning Team]]="")),"-",IF(Table4[[#This Row],[Predicted Winner]]=NHL2025_26Results[[#This Row],[Winning Team]],"YES","NO"))</f>
        <v>-</v>
      </c>
      <c r="N415" t="str">
        <f>IF(Table4[[#This Row],[Adjusted Correct]]="-", "",IF(Table4[[#This Row],[Adjusted Correct]]="YES",(Table4[[#This Row],[Strength of Win]]-1)^2,(Table4[[#This Row],[Strength of Win]]-0)^2))</f>
        <v/>
      </c>
      <c r="O415">
        <v>0.28726104917803646</v>
      </c>
      <c r="P415" s="11">
        <v>0.58755858766064739</v>
      </c>
      <c r="Q415" t="s">
        <v>11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-0.33828359867721369</v>
      </c>
      <c r="H416" t="s">
        <v>22</v>
      </c>
      <c r="I416">
        <f>VLOOKUP(Table4[[#This Row],[Visitor]],'NHL Model'!$A$6:$B$38,2,FALSE)</f>
        <v>0.4407072328537569</v>
      </c>
      <c r="J416">
        <f>($B$1+Table4[[#This Row],[Home Differential]])-Table4[[#This Row],[Away Differential]]</f>
        <v>-0.72909008260780817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0.58764459056015705</v>
      </c>
      <c r="M416" t="str">
        <f>IF(OR((NHL2025_26Results[[#This Row],[Winning Team]]="")),"-",IF(Table4[[#This Row],[Predicted Winner]]=NHL2025_26Results[[#This Row],[Winning Team]],"YES","NO"))</f>
        <v>-</v>
      </c>
      <c r="N416" t="str">
        <f>IF(Table4[[#This Row],[Adjusted Correct]]="-", "",IF(Table4[[#This Row],[Adjusted Correct]]="YES",(Table4[[#This Row],[Strength of Win]]-1)^2,(Table4[[#This Row],[Strength of Win]]-0)^2))</f>
        <v/>
      </c>
      <c r="O416">
        <v>-0.72909008260780817</v>
      </c>
      <c r="P416" s="11">
        <v>0.58764459056015705</v>
      </c>
      <c r="Q416" t="s">
        <v>22</v>
      </c>
    </row>
    <row r="417" spans="4:17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-0.59288962827382519</v>
      </c>
      <c r="H417" t="s">
        <v>36</v>
      </c>
      <c r="I417">
        <f>VLOOKUP(Table4[[#This Row],[Visitor]],'NHL Model'!$A$6:$B$38,2,FALSE)</f>
        <v>-0.53137605086483863</v>
      </c>
      <c r="J417">
        <f>($B$1+Table4[[#This Row],[Home Differential]])-Table4[[#This Row],[Away Differential]]</f>
        <v>-1.1612828485824123E-2</v>
      </c>
      <c r="K417" t="str">
        <f>IF(Table4[[#This Row],[HomeIce Differential]]&gt;0,Table4[[#This Row],[Home]],Table4[[#This Row],[Visitor]])</f>
        <v>Ottawa Senators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0.46135596911883597</v>
      </c>
      <c r="M417" t="str">
        <f>IF(OR((NHL2025_26Results[[#This Row],[Winning Team]]="")),"-",IF(Table4[[#This Row],[Predicted Winner]]=NHL2025_26Results[[#This Row],[Winning Team]],"YES","NO"))</f>
        <v>-</v>
      </c>
      <c r="N417" t="str">
        <f>IF(Table4[[#This Row],[Adjusted Correct]]="-", "",IF(Table4[[#This Row],[Adjusted Correct]]="YES",(Table4[[#This Row],[Strength of Win]]-1)^2,(Table4[[#This Row],[Strength of Win]]-0)^2))</f>
        <v/>
      </c>
      <c r="O417">
        <v>-1.1612828485824123E-2</v>
      </c>
      <c r="P417" s="11">
        <v>0.46135596911883597</v>
      </c>
      <c r="Q417" t="s">
        <v>36</v>
      </c>
    </row>
    <row r="418" spans="4:17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-1.384917283810061</v>
      </c>
      <c r="H418" t="s">
        <v>16</v>
      </c>
      <c r="I418">
        <f>VLOOKUP(Table4[[#This Row],[Visitor]],'NHL Model'!$A$6:$B$38,2,FALSE)</f>
        <v>-1.0657812790446208</v>
      </c>
      <c r="J418">
        <f>($B$1+Table4[[#This Row],[Home Differential]])-Table4[[#This Row],[Away Differential]]</f>
        <v>-0.2692352558422777</v>
      </c>
      <c r="K418" t="str">
        <f>IF(Table4[[#This Row],[HomeIce Differential]]&gt;0,Table4[[#This Row],[Home]],Table4[[#This Row],[Visitor]])</f>
        <v>Calgary Flames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0.49143718974836059</v>
      </c>
      <c r="M418" t="str">
        <f>IF(OR((NHL2025_26Results[[#This Row],[Winning Team]]="")),"-",IF(Table4[[#This Row],[Predicted Winner]]=NHL2025_26Results[[#This Row],[Winning Team]],"YES","NO"))</f>
        <v>-</v>
      </c>
      <c r="N418" t="str">
        <f>IF(Table4[[#This Row],[Adjusted Correct]]="-", "",IF(Table4[[#This Row],[Adjusted Correct]]="YES",(Table4[[#This Row],[Strength of Win]]-1)^2,(Table4[[#This Row],[Strength of Win]]-0)^2))</f>
        <v/>
      </c>
      <c r="O418">
        <v>-0.2692352558422777</v>
      </c>
      <c r="P418" s="11">
        <v>0.49143718974836059</v>
      </c>
      <c r="Q418" t="s">
        <v>16</v>
      </c>
    </row>
    <row r="419" spans="4:17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-0.24093199744133265</v>
      </c>
      <c r="H419" t="s">
        <v>37</v>
      </c>
      <c r="I419">
        <f>VLOOKUP(Table4[[#This Row],[Visitor]],'NHL Model'!$A$6:$B$38,2,FALSE)</f>
        <v>0.51050494674660429</v>
      </c>
      <c r="J419">
        <f>($B$1+Table4[[#This Row],[Home Differential]])-Table4[[#This Row],[Away Differential]]</f>
        <v>-0.70153619526477451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0.63440089257773835</v>
      </c>
      <c r="M419" t="str">
        <f>IF(OR((NHL2025_26Results[[#This Row],[Winning Team]]="")),"-",IF(Table4[[#This Row],[Predicted Winner]]=NHL2025_26Results[[#This Row],[Winning Team]],"YES","NO"))</f>
        <v>-</v>
      </c>
      <c r="N419" t="str">
        <f>IF(Table4[[#This Row],[Adjusted Correct]]="-", "",IF(Table4[[#This Row],[Adjusted Correct]]="YES",(Table4[[#This Row],[Strength of Win]]-1)^2,(Table4[[#This Row],[Strength of Win]]-0)^2))</f>
        <v/>
      </c>
      <c r="O419">
        <v>-0.70153619526477451</v>
      </c>
      <c r="P419" s="11">
        <v>0.63440089257773835</v>
      </c>
      <c r="Q419" t="s">
        <v>37</v>
      </c>
    </row>
    <row r="420" spans="4:17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-0.29003398448394263</v>
      </c>
      <c r="H420" t="s">
        <v>39</v>
      </c>
      <c r="I420">
        <f>VLOOKUP(Table4[[#This Row],[Visitor]],'NHL Model'!$A$6:$B$38,2,FALSE)</f>
        <v>0.41344250185511977</v>
      </c>
      <c r="J420">
        <f>($B$1+Table4[[#This Row],[Home Differential]])-Table4[[#This Row],[Away Differential]]</f>
        <v>-0.65357573741589992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0.63811236624172885</v>
      </c>
      <c r="M420" t="str">
        <f>IF(OR((NHL2025_26Results[[#This Row],[Winning Team]]="")),"-",IF(Table4[[#This Row],[Predicted Winner]]=NHL2025_26Results[[#This Row],[Winning Team]],"YES","NO"))</f>
        <v>-</v>
      </c>
      <c r="N420" t="str">
        <f>IF(Table4[[#This Row],[Adjusted Correct]]="-", "",IF(Table4[[#This Row],[Adjusted Correct]]="YES",(Table4[[#This Row],[Strength of Win]]-1)^2,(Table4[[#This Row],[Strength of Win]]-0)^2))</f>
        <v/>
      </c>
      <c r="O420">
        <v>-0.65357573741589992</v>
      </c>
      <c r="P420" s="11">
        <v>0.63811236624172885</v>
      </c>
      <c r="Q420" t="s">
        <v>39</v>
      </c>
    </row>
    <row r="421" spans="4:17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-0.24444083032063643</v>
      </c>
      <c r="H421" t="s">
        <v>10</v>
      </c>
      <c r="I421">
        <f>VLOOKUP(Table4[[#This Row],[Visitor]],'NHL Model'!$A$6:$B$38,2,FALSE)</f>
        <v>-0.17619625518431364</v>
      </c>
      <c r="J421">
        <f>($B$1+Table4[[#This Row],[Home Differential]])-Table4[[#This Row],[Away Differential]]</f>
        <v>-1.834382621316033E-2</v>
      </c>
      <c r="K421" t="str">
        <f>IF(Table4[[#This Row],[HomeIce Differential]]&gt;0,Table4[[#This Row],[Home]],Table4[[#This Row],[Visitor]])</f>
        <v>Chicago Blackhawks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0.46214191244593872</v>
      </c>
      <c r="M421" t="str">
        <f>IF(OR((NHL2025_26Results[[#This Row],[Winning Team]]="")),"-",IF(Table4[[#This Row],[Predicted Winner]]=NHL2025_26Results[[#This Row],[Winning Team]],"YES","NO"))</f>
        <v>-</v>
      </c>
      <c r="N421" t="str">
        <f>IF(Table4[[#This Row],[Adjusted Correct]]="-", "",IF(Table4[[#This Row],[Adjusted Correct]]="YES",(Table4[[#This Row],[Strength of Win]]-1)^2,(Table4[[#This Row],[Strength of Win]]-0)^2))</f>
        <v/>
      </c>
      <c r="O421">
        <v>-1.834382621316033E-2</v>
      </c>
      <c r="P421" s="11">
        <v>0.46214191244593872</v>
      </c>
      <c r="Q421" t="s">
        <v>10</v>
      </c>
    </row>
    <row r="422" spans="4:17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0.17870302183926629</v>
      </c>
      <c r="H422" t="s">
        <v>55</v>
      </c>
      <c r="I422">
        <f>VLOOKUP(Table4[[#This Row],[Visitor]],'NHL Model'!$A$6:$B$38,2,FALSE)</f>
        <v>-0.4031232890211825</v>
      </c>
      <c r="J422">
        <f>($B$1+Table4[[#This Row],[Home Differential]])-Table4[[#This Row],[Away Differential]]</f>
        <v>0.63172705978361121</v>
      </c>
      <c r="K422" t="str">
        <f>IF(Table4[[#This Row],[HomeIce Differential]]&gt;0,Table4[[#This Row],[Home]],Table4[[#This Row],[Visitor]])</f>
        <v>Anaheim Ducks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0.69359816859950485</v>
      </c>
      <c r="M422" t="str">
        <f>IF(OR((NHL2025_26Results[[#This Row],[Winning Team]]="")),"-",IF(Table4[[#This Row],[Predicted Winner]]=NHL2025_26Results[[#This Row],[Winning Team]],"YES","NO"))</f>
        <v>-</v>
      </c>
      <c r="N422" t="str">
        <f>IF(Table4[[#This Row],[Adjusted Correct]]="-", "",IF(Table4[[#This Row],[Adjusted Correct]]="YES",(Table4[[#This Row],[Strength of Win]]-1)^2,(Table4[[#This Row],[Strength of Win]]-0)^2))</f>
        <v/>
      </c>
      <c r="P422" s="11"/>
    </row>
    <row r="423" spans="4:17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-0.59288962827382519</v>
      </c>
      <c r="H423" t="s">
        <v>40</v>
      </c>
      <c r="I423">
        <f>VLOOKUP(Table4[[#This Row],[Visitor]],'NHL Model'!$A$6:$B$38,2,FALSE)</f>
        <v>-0.31324182378279158</v>
      </c>
      <c r="J423">
        <f>($B$1+Table4[[#This Row],[Home Differential]])-Table4[[#This Row],[Away Differential]]</f>
        <v>-0.22974705556787117</v>
      </c>
      <c r="K423" t="str">
        <f>IF(Table4[[#This Row],[HomeIce Differential]]&gt;0,Table4[[#This Row],[Home]],Table4[[#This Row],[Visitor]])</f>
        <v>Winnipeg Jets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0.50759559033131352</v>
      </c>
      <c r="M423" t="str">
        <f>IF(OR((NHL2025_26Results[[#This Row],[Winning Team]]="")),"-",IF(Table4[[#This Row],[Predicted Winner]]=NHL2025_26Results[[#This Row],[Winning Team]],"YES","NO"))</f>
        <v>-</v>
      </c>
      <c r="N423" t="str">
        <f>IF(Table4[[#This Row],[Adjusted Correct]]="-", "",IF(Table4[[#This Row],[Adjusted Correct]]="YES",(Table4[[#This Row],[Strength of Win]]-1)^2,(Table4[[#This Row],[Strength of Win]]-0)^2))</f>
        <v/>
      </c>
      <c r="P423" s="11"/>
    </row>
    <row r="424" spans="4:17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1.5302507646042616E-3</v>
      </c>
      <c r="H424" t="s">
        <v>39</v>
      </c>
      <c r="I424">
        <f>VLOOKUP(Table4[[#This Row],[Visitor]],'NHL Model'!$A$6:$B$38,2,FALSE)</f>
        <v>0.41344250185511977</v>
      </c>
      <c r="J424">
        <f>($B$1+Table4[[#This Row],[Home Differential]])-Table4[[#This Row],[Away Differential]]</f>
        <v>-0.36201150216735306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0.5222701857864821</v>
      </c>
      <c r="M424" t="str">
        <f>IF(OR((NHL2025_26Results[[#This Row],[Winning Team]]="")),"-",IF(Table4[[#This Row],[Predicted Winner]]=NHL2025_26Results[[#This Row],[Winning Team]],"YES","NO"))</f>
        <v>-</v>
      </c>
      <c r="N424" t="str">
        <f>IF(Table4[[#This Row],[Adjusted Correct]]="-", "",IF(Table4[[#This Row],[Adjusted Correct]]="YES",(Table4[[#This Row],[Strength of Win]]-1)^2,(Table4[[#This Row],[Strength of Win]]-0)^2))</f>
        <v/>
      </c>
      <c r="P424" s="11"/>
    </row>
    <row r="425" spans="4:17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-0.38023958350631604</v>
      </c>
      <c r="H425" t="s">
        <v>23</v>
      </c>
      <c r="I425">
        <f>VLOOKUP(Table4[[#This Row],[Visitor]],'NHL Model'!$A$6:$B$38,2,FALSE)</f>
        <v>-0.4761104357405897</v>
      </c>
      <c r="J425">
        <f>($B$1+Table4[[#This Row],[Home Differential]])-Table4[[#This Row],[Away Differential]]</f>
        <v>0.14577160115743615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0.57103760636902878</v>
      </c>
      <c r="M425" t="str">
        <f>IF(OR((NHL2025_26Results[[#This Row],[Winning Team]]="")),"-",IF(Table4[[#This Row],[Predicted Winner]]=NHL2025_26Results[[#This Row],[Winning Team]],"YES","NO"))</f>
        <v>-</v>
      </c>
      <c r="N425" t="str">
        <f>IF(Table4[[#This Row],[Adjusted Correct]]="-", "",IF(Table4[[#This Row],[Adjusted Correct]]="YES",(Table4[[#This Row],[Strength of Win]]-1)^2,(Table4[[#This Row],[Strength of Win]]-0)^2))</f>
        <v/>
      </c>
      <c r="P425" s="11"/>
    </row>
    <row r="426" spans="4:17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-0.45133099238224339</v>
      </c>
      <c r="H426" t="s">
        <v>22</v>
      </c>
      <c r="I426">
        <f>VLOOKUP(Table4[[#This Row],[Visitor]],'NHL Model'!$A$6:$B$38,2,FALSE)</f>
        <v>0.4407072328537569</v>
      </c>
      <c r="J426">
        <f>($B$1+Table4[[#This Row],[Home Differential]])-Table4[[#This Row],[Away Differential]]</f>
        <v>-0.84213747631283775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0.59063967172929266</v>
      </c>
      <c r="M426" t="str">
        <f>IF(OR((NHL2025_26Results[[#This Row],[Winning Team]]="")),"-",IF(Table4[[#This Row],[Predicted Winner]]=NHL2025_26Results[[#This Row],[Winning Team]],"YES","NO"))</f>
        <v>-</v>
      </c>
      <c r="N426" t="str">
        <f>IF(Table4[[#This Row],[Adjusted Correct]]="-", "",IF(Table4[[#This Row],[Adjusted Correct]]="YES",(Table4[[#This Row],[Strength of Win]]-1)^2,(Table4[[#This Row],[Strength of Win]]-0)^2))</f>
        <v/>
      </c>
      <c r="P426" s="11"/>
    </row>
    <row r="427" spans="4:17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-0.21976976044773161</v>
      </c>
      <c r="H427" t="s">
        <v>35</v>
      </c>
      <c r="I427">
        <f>VLOOKUP(Table4[[#This Row],[Visitor]],'NHL Model'!$A$6:$B$38,2,FALSE)</f>
        <v>-1.3944783719477225</v>
      </c>
      <c r="J427">
        <f>($B$1+Table4[[#This Row],[Home Differential]])-Table4[[#This Row],[Away Differential]]</f>
        <v>1.2246093604231534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0.72589277117775375</v>
      </c>
      <c r="M427" t="str">
        <f>IF(OR((NHL2025_26Results[[#This Row],[Winning Team]]="")),"-",IF(Table4[[#This Row],[Predicted Winner]]=NHL2025_26Results[[#This Row],[Winning Team]],"YES","NO"))</f>
        <v>-</v>
      </c>
      <c r="N427" t="str">
        <f>IF(Table4[[#This Row],[Adjusted Correct]]="-", "",IF(Table4[[#This Row],[Adjusted Correct]]="YES",(Table4[[#This Row],[Strength of Win]]-1)^2,(Table4[[#This Row],[Strength of Win]]-0)^2))</f>
        <v/>
      </c>
      <c r="P427" s="11"/>
    </row>
    <row r="428" spans="4:17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0.42567513732855267</v>
      </c>
      <c r="H428" t="s">
        <v>19</v>
      </c>
      <c r="I428">
        <f>VLOOKUP(Table4[[#This Row],[Visitor]],'NHL Model'!$A$6:$B$38,2,FALSE)</f>
        <v>-0.63447859131898054</v>
      </c>
      <c r="J428">
        <f>($B$1+Table4[[#This Row],[Home Differential]])-Table4[[#This Row],[Away Differential]]</f>
        <v>1.1100544775706958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0.72133121982254167</v>
      </c>
      <c r="M428" t="str">
        <f>IF(OR((NHL2025_26Results[[#This Row],[Winning Team]]="")),"-",IF(Table4[[#This Row],[Predicted Winner]]=NHL2025_26Results[[#This Row],[Winning Team]],"YES","NO"))</f>
        <v>-</v>
      </c>
      <c r="N428" t="str">
        <f>IF(Table4[[#This Row],[Adjusted Correct]]="-", "",IF(Table4[[#This Row],[Adjusted Correct]]="YES",(Table4[[#This Row],[Strength of Win]]-1)^2,(Table4[[#This Row],[Strength of Win]]-0)^2))</f>
        <v/>
      </c>
      <c r="P428" s="11"/>
    </row>
    <row r="429" spans="4:17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-0.59498940435054026</v>
      </c>
      <c r="H429" t="s">
        <v>26</v>
      </c>
      <c r="I429">
        <f>VLOOKUP(Table4[[#This Row],[Visitor]],'NHL Model'!$A$6:$B$38,2,FALSE)</f>
        <v>-0.87533956503230947</v>
      </c>
      <c r="J429">
        <f>($B$1+Table4[[#This Row],[Home Differential]])-Table4[[#This Row],[Away Differential]]</f>
        <v>0.33025090960493164</v>
      </c>
      <c r="K429" t="str">
        <f>IF(Table4[[#This Row],[HomeIce Differential]]&gt;0,Table4[[#This Row],[Home]],Table4[[#This Row],[Visitor]])</f>
        <v>Columbus Blue Jackets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0.57856166785192853</v>
      </c>
      <c r="M429" t="str">
        <f>IF(OR((NHL2025_26Results[[#This Row],[Winning Team]]="")),"-",IF(Table4[[#This Row],[Predicted Winner]]=NHL2025_26Results[[#This Row],[Winning Team]],"YES","NO"))</f>
        <v>-</v>
      </c>
      <c r="N429" t="str">
        <f>IF(Table4[[#This Row],[Adjusted Correct]]="-", "",IF(Table4[[#This Row],[Adjusted Correct]]="YES",(Table4[[#This Row],[Strength of Win]]-1)^2,(Table4[[#This Row],[Strength of Win]]-0)^2))</f>
        <v/>
      </c>
      <c r="P429" s="11"/>
    </row>
    <row r="430" spans="4:17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-1.0657812790446208</v>
      </c>
      <c r="H430" t="s">
        <v>34</v>
      </c>
      <c r="I430">
        <f>VLOOKUP(Table4[[#This Row],[Visitor]],'NHL Model'!$A$6:$B$38,2,FALSE)</f>
        <v>-5.5124787449478845E-2</v>
      </c>
      <c r="J430">
        <f>($B$1+Table4[[#This Row],[Home Differential]])-Table4[[#This Row],[Away Differential]]</f>
        <v>-0.96075574267197961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0.61469497551376429</v>
      </c>
      <c r="M430" t="str">
        <f>IF(OR((NHL2025_26Results[[#This Row],[Winning Team]]="")),"-",IF(Table4[[#This Row],[Predicted Winner]]=NHL2025_26Results[[#This Row],[Winning Team]],"YES","NO"))</f>
        <v>-</v>
      </c>
      <c r="N430" t="str">
        <f>IF(Table4[[#This Row],[Adjusted Correct]]="-", "",IF(Table4[[#This Row],[Adjusted Correct]]="YES",(Table4[[#This Row],[Strength of Win]]-1)^2,(Table4[[#This Row],[Strength of Win]]-0)^2))</f>
        <v/>
      </c>
      <c r="P430" s="11"/>
    </row>
    <row r="431" spans="4:17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-0.81774666423752174</v>
      </c>
      <c r="H431" t="s">
        <v>32</v>
      </c>
      <c r="I431">
        <f>VLOOKUP(Table4[[#This Row],[Visitor]],'NHL Model'!$A$6:$B$38,2,FALSE)</f>
        <v>-0.64937723527808999</v>
      </c>
      <c r="J431">
        <f>($B$1+Table4[[#This Row],[Home Differential]])-Table4[[#This Row],[Away Differential]]</f>
        <v>-0.11846868003626931</v>
      </c>
      <c r="K431" t="str">
        <f>IF(Table4[[#This Row],[HomeIce Differential]]&gt;0,Table4[[#This Row],[Home]],Table4[[#This Row],[Visitor]])</f>
        <v>Seattle Kraken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0.46678701500720543</v>
      </c>
      <c r="M431" t="str">
        <f>IF(OR((NHL2025_26Results[[#This Row],[Winning Team]]="")),"-",IF(Table4[[#This Row],[Predicted Winner]]=NHL2025_26Results[[#This Row],[Winning Team]],"YES","NO"))</f>
        <v>-</v>
      </c>
      <c r="N431" t="str">
        <f>IF(Table4[[#This Row],[Adjusted Correct]]="-", "",IF(Table4[[#This Row],[Adjusted Correct]]="YES",(Table4[[#This Row],[Strength of Win]]-1)^2,(Table4[[#This Row],[Strength of Win]]-0)^2))</f>
        <v/>
      </c>
      <c r="P431" s="11"/>
    </row>
    <row r="432" spans="4:17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-0.39711829106410657</v>
      </c>
      <c r="H432" t="s">
        <v>29</v>
      </c>
      <c r="I432">
        <f>VLOOKUP(Table4[[#This Row],[Visitor]],'NHL Model'!$A$6:$B$38,2,FALSE)</f>
        <v>-1.384917283810061</v>
      </c>
      <c r="J432">
        <f>($B$1+Table4[[#This Row],[Home Differential]])-Table4[[#This Row],[Away Differential]]</f>
        <v>1.0376997416691169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0.67518338069360018</v>
      </c>
      <c r="M432" t="str">
        <f>IF(OR((NHL2025_26Results[[#This Row],[Winning Team]]="")),"-",IF(Table4[[#This Row],[Predicted Winner]]=NHL2025_26Results[[#This Row],[Winning Team]],"YES","NO"))</f>
        <v>-</v>
      </c>
      <c r="N432" t="str">
        <f>IF(Table4[[#This Row],[Adjusted Correct]]="-", "",IF(Table4[[#This Row],[Adjusted Correct]]="YES",(Table4[[#This Row],[Strength of Win]]-1)^2,(Table4[[#This Row],[Strength of Win]]-0)^2))</f>
        <v/>
      </c>
      <c r="P432" s="11"/>
    </row>
    <row r="433" spans="4:16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-0.33828359867721369</v>
      </c>
      <c r="H433" t="s">
        <v>10</v>
      </c>
      <c r="I433">
        <f>VLOOKUP(Table4[[#This Row],[Visitor]],'NHL Model'!$A$6:$B$38,2,FALSE)</f>
        <v>-0.17619625518431364</v>
      </c>
      <c r="J433">
        <f>($B$1+Table4[[#This Row],[Home Differential]])-Table4[[#This Row],[Away Differential]]</f>
        <v>-0.11218659456973756</v>
      </c>
      <c r="K433" t="str">
        <f>IF(Table4[[#This Row],[HomeIce Differential]]&gt;0,Table4[[#This Row],[Home]],Table4[[#This Row],[Visitor]])</f>
        <v>Chicago Blackhawks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0.4730994406719799</v>
      </c>
      <c r="M433" t="str">
        <f>IF(OR((NHL2025_26Results[[#This Row],[Winning Team]]="")),"-",IF(Table4[[#This Row],[Predicted Winner]]=NHL2025_26Results[[#This Row],[Winning Team]],"YES","NO"))</f>
        <v>-</v>
      </c>
      <c r="N433" t="str">
        <f>IF(Table4[[#This Row],[Adjusted Correct]]="-", "",IF(Table4[[#This Row],[Adjusted Correct]]="YES",(Table4[[#This Row],[Strength of Win]]-1)^2,(Table4[[#This Row],[Strength of Win]]-0)^2))</f>
        <v/>
      </c>
      <c r="P433" s="11"/>
    </row>
    <row r="434" spans="4:16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-0.24093199744133265</v>
      </c>
      <c r="H434" t="s">
        <v>12</v>
      </c>
      <c r="I434">
        <f>VLOOKUP(Table4[[#This Row],[Visitor]],'NHL Model'!$A$6:$B$38,2,FALSE)</f>
        <v>1.6319036584269762</v>
      </c>
      <c r="J434">
        <f>($B$1+Table4[[#This Row],[Home Differential]])-Table4[[#This Row],[Away Differential]]</f>
        <v>-1.8229349069451464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0.74547772409272217</v>
      </c>
      <c r="M434" t="str">
        <f>IF(OR((NHL2025_26Results[[#This Row],[Winning Team]]="")),"-",IF(Table4[[#This Row],[Predicted Winner]]=NHL2025_26Results[[#This Row],[Winning Team]],"YES","NO"))</f>
        <v>-</v>
      </c>
      <c r="N434" t="str">
        <f>IF(Table4[[#This Row],[Adjusted Correct]]="-", "",IF(Table4[[#This Row],[Adjusted Correct]]="YES",(Table4[[#This Row],[Strength of Win]]-1)^2,(Table4[[#This Row],[Strength of Win]]-0)^2))</f>
        <v/>
      </c>
      <c r="P434" s="11"/>
    </row>
    <row r="435" spans="4:16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-0.53137605086483863</v>
      </c>
      <c r="H435" t="s">
        <v>15</v>
      </c>
      <c r="I435">
        <f>VLOOKUP(Table4[[#This Row],[Visitor]],'NHL Model'!$A$6:$B$38,2,FALSE)</f>
        <v>-0.29003398448394263</v>
      </c>
      <c r="J435">
        <f>($B$1+Table4[[#This Row],[Home Differential]])-Table4[[#This Row],[Away Differential]]</f>
        <v>-0.19144131745773352</v>
      </c>
      <c r="K435" t="str">
        <f>IF(Table4[[#This Row],[HomeIce Differential]]&gt;0,Table4[[#This Row],[Home]],Table4[[#This Row],[Visitor]])</f>
        <v>New York Rangers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0.57995728592132423</v>
      </c>
      <c r="M435" t="str">
        <f>IF(OR((NHL2025_26Results[[#This Row],[Winning Team]]="")),"-",IF(Table4[[#This Row],[Predicted Winner]]=NHL2025_26Results[[#This Row],[Winning Team]],"YES","NO"))</f>
        <v>-</v>
      </c>
      <c r="N435" t="str">
        <f>IF(Table4[[#This Row],[Adjusted Correct]]="-", "",IF(Table4[[#This Row],[Adjusted Correct]]="YES",(Table4[[#This Row],[Strength of Win]]-1)^2,(Table4[[#This Row],[Strength of Win]]-0)^2))</f>
        <v/>
      </c>
      <c r="P435" s="11"/>
    </row>
    <row r="436" spans="4:16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0.51050494674660429</v>
      </c>
      <c r="H436" t="s">
        <v>14</v>
      </c>
      <c r="I436">
        <f>VLOOKUP(Table4[[#This Row],[Visitor]],'NHL Model'!$A$6:$B$38,2,FALSE)</f>
        <v>-0.14226422156549004</v>
      </c>
      <c r="J436">
        <f>($B$1+Table4[[#This Row],[Home Differential]])-Table4[[#This Row],[Away Differential]]</f>
        <v>0.70266991723525674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0.61538041683836375</v>
      </c>
      <c r="M436" t="str">
        <f>IF(OR((NHL2025_26Results[[#This Row],[Winning Team]]="")),"-",IF(Table4[[#This Row],[Predicted Winner]]=NHL2025_26Results[[#This Row],[Winning Team]],"YES","NO"))</f>
        <v>-</v>
      </c>
      <c r="N436" t="str">
        <f>IF(Table4[[#This Row],[Adjusted Correct]]="-", "",IF(Table4[[#This Row],[Adjusted Correct]]="YES",(Table4[[#This Row],[Strength of Win]]-1)^2,(Table4[[#This Row],[Strength of Win]]-0)^2))</f>
        <v/>
      </c>
      <c r="P436" s="11"/>
    </row>
    <row r="437" spans="4:16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0.17870302183926629</v>
      </c>
      <c r="H437" t="s">
        <v>22</v>
      </c>
      <c r="I437">
        <f>VLOOKUP(Table4[[#This Row],[Visitor]],'NHL Model'!$A$6:$B$38,2,FALSE)</f>
        <v>0.4407072328537569</v>
      </c>
      <c r="J437">
        <f>($B$1+Table4[[#This Row],[Home Differential]])-Table4[[#This Row],[Away Differential]]</f>
        <v>-0.21210346209132816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0.44581884120178911</v>
      </c>
      <c r="M437" t="str">
        <f>IF(OR((NHL2025_26Results[[#This Row],[Winning Team]]="")),"-",IF(Table4[[#This Row],[Predicted Winner]]=NHL2025_26Results[[#This Row],[Winning Team]],"YES","NO"))</f>
        <v>-</v>
      </c>
      <c r="N437" t="str">
        <f>IF(Table4[[#This Row],[Adjusted Correct]]="-", "",IF(Table4[[#This Row],[Adjusted Correct]]="YES",(Table4[[#This Row],[Strength of Win]]-1)^2,(Table4[[#This Row],[Strength of Win]]-0)^2))</f>
        <v/>
      </c>
      <c r="P437" s="11"/>
    </row>
    <row r="438" spans="4:16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0.41344250185511977</v>
      </c>
      <c r="H438" t="s">
        <v>33</v>
      </c>
      <c r="I438">
        <f>VLOOKUP(Table4[[#This Row],[Visitor]],'NHL Model'!$A$6:$B$38,2,FALSE)</f>
        <v>-0.45133099238224339</v>
      </c>
      <c r="J438">
        <f>($B$1+Table4[[#This Row],[Home Differential]])-Table4[[#This Row],[Away Differential]]</f>
        <v>0.9146742431605257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0.67904778332563698</v>
      </c>
      <c r="M438" t="str">
        <f>IF(OR((NHL2025_26Results[[#This Row],[Winning Team]]="")),"-",IF(Table4[[#This Row],[Predicted Winner]]=NHL2025_26Results[[#This Row],[Winning Team]],"YES","NO"))</f>
        <v>-</v>
      </c>
      <c r="N438" t="str">
        <f>IF(Table4[[#This Row],[Adjusted Correct]]="-", "",IF(Table4[[#This Row],[Adjusted Correct]]="YES",(Table4[[#This Row],[Strength of Win]]-1)^2,(Table4[[#This Row],[Strength of Win]]-0)^2))</f>
        <v/>
      </c>
      <c r="P438" s="11"/>
    </row>
    <row r="439" spans="4:16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1.5302507646042616E-3</v>
      </c>
      <c r="H439" t="s">
        <v>20</v>
      </c>
      <c r="I439">
        <f>VLOOKUP(Table4[[#This Row],[Visitor]],'NHL Model'!$A$6:$B$38,2,FALSE)</f>
        <v>-0.24444083032063643</v>
      </c>
      <c r="J439">
        <f>($B$1+Table4[[#This Row],[Home Differential]])-Table4[[#This Row],[Away Differential]]</f>
        <v>0.29587183000840317</v>
      </c>
      <c r="K439" t="str">
        <f>IF(Table4[[#This Row],[HomeIce Differential]]&gt;0,Table4[[#This Row],[Home]],Table4[[#This Row],[Visitor]])</f>
        <v>New Jersey Devils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0.65438211365383414</v>
      </c>
      <c r="M439" t="str">
        <f>IF(OR((NHL2025_26Results[[#This Row],[Winning Team]]="")),"-",IF(Table4[[#This Row],[Predicted Winner]]=NHL2025_26Results[[#This Row],[Winning Team]],"YES","NO"))</f>
        <v>-</v>
      </c>
      <c r="N439" t="str">
        <f>IF(Table4[[#This Row],[Adjusted Correct]]="-", "",IF(Table4[[#This Row],[Adjusted Correct]]="YES",(Table4[[#This Row],[Strength of Win]]-1)^2,(Table4[[#This Row],[Strength of Win]]-0)^2))</f>
        <v/>
      </c>
      <c r="P439" s="11"/>
    </row>
    <row r="440" spans="4:16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-0.9476777551108041</v>
      </c>
      <c r="H440" t="s">
        <v>55</v>
      </c>
      <c r="I440">
        <f>VLOOKUP(Table4[[#This Row],[Visitor]],'NHL Model'!$A$6:$B$38,2,FALSE)</f>
        <v>-0.4031232890211825</v>
      </c>
      <c r="J440">
        <f>($B$1+Table4[[#This Row],[Home Differential]])-Table4[[#This Row],[Away Differential]]</f>
        <v>-0.49465371716645917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0.51775812204700111</v>
      </c>
      <c r="M440" t="str">
        <f>IF(OR((NHL2025_26Results[[#This Row],[Winning Team]]="")),"-",IF(Table4[[#This Row],[Predicted Winner]]=NHL2025_26Results[[#This Row],[Winning Team]],"YES","NO"))</f>
        <v>-</v>
      </c>
      <c r="N440" t="str">
        <f>IF(Table4[[#This Row],[Adjusted Correct]]="-", "",IF(Table4[[#This Row],[Adjusted Correct]]="YES",(Table4[[#This Row],[Strength of Win]]-1)^2,(Table4[[#This Row],[Strength of Win]]-0)^2))</f>
        <v/>
      </c>
      <c r="P440" s="11"/>
    </row>
    <row r="441" spans="4:16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-0.31324182378279158</v>
      </c>
      <c r="H441" t="s">
        <v>23</v>
      </c>
      <c r="I441">
        <f>VLOOKUP(Table4[[#This Row],[Visitor]],'NHL Model'!$A$6:$B$38,2,FALSE)</f>
        <v>-0.4761104357405897</v>
      </c>
      <c r="J441">
        <f>($B$1+Table4[[#This Row],[Home Differential]])-Table4[[#This Row],[Away Differential]]</f>
        <v>0.2127693608809606</v>
      </c>
      <c r="K441" t="str">
        <f>IF(Table4[[#This Row],[HomeIce Differential]]&gt;0,Table4[[#This Row],[Home]],Table4[[#This Row],[Visitor]])</f>
        <v>Winnipeg Jets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0.56733944233883604</v>
      </c>
      <c r="M441" t="str">
        <f>IF(OR((NHL2025_26Results[[#This Row],[Winning Team]]="")),"-",IF(Table4[[#This Row],[Predicted Winner]]=NHL2025_26Results[[#This Row],[Winning Team]],"YES","NO"))</f>
        <v>-</v>
      </c>
      <c r="N441" t="str">
        <f>IF(Table4[[#This Row],[Adjusted Correct]]="-", "",IF(Table4[[#This Row],[Adjusted Correct]]="YES",(Table4[[#This Row],[Strength of Win]]-1)^2,(Table4[[#This Row],[Strength of Win]]-0)^2))</f>
        <v/>
      </c>
      <c r="P441" s="11"/>
    </row>
    <row r="442" spans="4:16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-0.21976976044773161</v>
      </c>
      <c r="H442" t="s">
        <v>24</v>
      </c>
      <c r="I442">
        <f>VLOOKUP(Table4[[#This Row],[Visitor]],'NHL Model'!$A$6:$B$38,2,FALSE)</f>
        <v>1.5302507646042616E-3</v>
      </c>
      <c r="J442">
        <f>($B$1+Table4[[#This Row],[Home Differential]])-Table4[[#This Row],[Away Differential]]</f>
        <v>-0.1713992622891734</v>
      </c>
      <c r="K442" t="str">
        <f>IF(Table4[[#This Row],[HomeIce Differential]]&gt;0,Table4[[#This Row],[Home]],Table4[[#This Row],[Visitor]])</f>
        <v>New Jersey Devils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0.45751339354482728</v>
      </c>
      <c r="M442" t="str">
        <f>IF(OR((NHL2025_26Results[[#This Row],[Winning Team]]="")),"-",IF(Table4[[#This Row],[Predicted Winner]]=NHL2025_26Results[[#This Row],[Winning Team]],"YES","NO"))</f>
        <v>-</v>
      </c>
      <c r="N442" t="str">
        <f>IF(Table4[[#This Row],[Adjusted Correct]]="-", "",IF(Table4[[#This Row],[Adjusted Correct]]="YES",(Table4[[#This Row],[Strength of Win]]-1)^2,(Table4[[#This Row],[Strength of Win]]-0)^2))</f>
        <v/>
      </c>
      <c r="P442" s="11"/>
    </row>
    <row r="443" spans="4:16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0.42567513732855267</v>
      </c>
      <c r="H443" t="s">
        <v>29</v>
      </c>
      <c r="I443">
        <f>VLOOKUP(Table4[[#This Row],[Visitor]],'NHL Model'!$A$6:$B$38,2,FALSE)</f>
        <v>-1.384917283810061</v>
      </c>
      <c r="J443">
        <f>($B$1+Table4[[#This Row],[Home Differential]])-Table4[[#This Row],[Away Differential]]</f>
        <v>1.8604931700617762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0.80895601285549457</v>
      </c>
      <c r="M443" t="str">
        <f>IF(OR((NHL2025_26Results[[#This Row],[Winning Team]]="")),"-",IF(Table4[[#This Row],[Predicted Winner]]=NHL2025_26Results[[#This Row],[Winning Team]],"YES","NO"))</f>
        <v>-</v>
      </c>
      <c r="N443" t="str">
        <f>IF(Table4[[#This Row],[Adjusted Correct]]="-", "",IF(Table4[[#This Row],[Adjusted Correct]]="YES",(Table4[[#This Row],[Strength of Win]]-1)^2,(Table4[[#This Row],[Strength of Win]]-0)^2))</f>
        <v/>
      </c>
      <c r="P443" s="11"/>
    </row>
    <row r="444" spans="4:16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-1.0657812790446208</v>
      </c>
      <c r="H444" t="s">
        <v>55</v>
      </c>
      <c r="I444">
        <f>VLOOKUP(Table4[[#This Row],[Visitor]],'NHL Model'!$A$6:$B$38,2,FALSE)</f>
        <v>-0.4031232890211825</v>
      </c>
      <c r="J444">
        <f>($B$1+Table4[[#This Row],[Home Differential]])-Table4[[#This Row],[Away Differential]]</f>
        <v>-0.61275724110027596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0.53154845154988206</v>
      </c>
      <c r="M444" t="str">
        <f>IF(OR((NHL2025_26Results[[#This Row],[Winning Team]]="")),"-",IF(Table4[[#This Row],[Predicted Winner]]=NHL2025_26Results[[#This Row],[Winning Team]],"YES","NO"))</f>
        <v>-</v>
      </c>
      <c r="N444" t="str">
        <f>IF(Table4[[#This Row],[Adjusted Correct]]="-", "",IF(Table4[[#This Row],[Adjusted Correct]]="YES",(Table4[[#This Row],[Strength of Win]]-1)^2,(Table4[[#This Row],[Strength of Win]]-0)^2))</f>
        <v/>
      </c>
      <c r="P444" s="11"/>
    </row>
    <row r="445" spans="4:16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-0.81774666423752174</v>
      </c>
      <c r="H445" t="s">
        <v>40</v>
      </c>
      <c r="I445">
        <f>VLOOKUP(Table4[[#This Row],[Visitor]],'NHL Model'!$A$6:$B$38,2,FALSE)</f>
        <v>-0.31324182378279158</v>
      </c>
      <c r="J445">
        <f>($B$1+Table4[[#This Row],[Home Differential]])-Table4[[#This Row],[Away Differential]]</f>
        <v>-0.45460409153156772</v>
      </c>
      <c r="K445" t="str">
        <f>IF(Table4[[#This Row],[HomeIce Differential]]&gt;0,Table4[[#This Row],[Home]],Table4[[#This Row],[Visitor]])</f>
        <v>Winnipeg Jets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0.52676594769015561</v>
      </c>
      <c r="M445" t="str">
        <f>IF(OR((NHL2025_26Results[[#This Row],[Winning Team]]="")),"-",IF(Table4[[#This Row],[Predicted Winner]]=NHL2025_26Results[[#This Row],[Winning Team]],"YES","NO"))</f>
        <v>-</v>
      </c>
      <c r="N445" t="str">
        <f>IF(Table4[[#This Row],[Adjusted Correct]]="-", "",IF(Table4[[#This Row],[Adjusted Correct]]="YES",(Table4[[#This Row],[Strength of Win]]-1)^2,(Table4[[#This Row],[Strength of Win]]-0)^2))</f>
        <v/>
      </c>
      <c r="P445" s="11"/>
    </row>
    <row r="446" spans="4:16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-0.39711829106410657</v>
      </c>
      <c r="H446" t="s">
        <v>28</v>
      </c>
      <c r="I446">
        <f>VLOOKUP(Table4[[#This Row],[Visitor]],'NHL Model'!$A$6:$B$38,2,FALSE)</f>
        <v>-0.59498940435054026</v>
      </c>
      <c r="J446">
        <f>($B$1+Table4[[#This Row],[Home Differential]])-Table4[[#This Row],[Away Differential]]</f>
        <v>0.24777186220959618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0.57938973736099397</v>
      </c>
      <c r="M446" t="str">
        <f>IF(OR((NHL2025_26Results[[#This Row],[Winning Team]]="")),"-",IF(Table4[[#This Row],[Predicted Winner]]=NHL2025_26Results[[#This Row],[Winning Team]],"YES","NO"))</f>
        <v>-</v>
      </c>
      <c r="N446" t="str">
        <f>IF(Table4[[#This Row],[Adjusted Correct]]="-", "",IF(Table4[[#This Row],[Adjusted Correct]]="YES",(Table4[[#This Row],[Strength of Win]]-1)^2,(Table4[[#This Row],[Strength of Win]]-0)^2))</f>
        <v/>
      </c>
      <c r="P446" s="11"/>
    </row>
    <row r="447" spans="4:16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-0.33828359867721369</v>
      </c>
      <c r="H447" t="s">
        <v>10</v>
      </c>
      <c r="I447">
        <f>VLOOKUP(Table4[[#This Row],[Visitor]],'NHL Model'!$A$6:$B$38,2,FALSE)</f>
        <v>-0.17619625518431364</v>
      </c>
      <c r="J447">
        <f>($B$1+Table4[[#This Row],[Home Differential]])-Table4[[#This Row],[Away Differential]]</f>
        <v>-0.11218659456973756</v>
      </c>
      <c r="K447" t="str">
        <f>IF(Table4[[#This Row],[HomeIce Differential]]&gt;0,Table4[[#This Row],[Home]],Table4[[#This Row],[Visitor]])</f>
        <v>Chicago Blackhawks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0.4730994406719799</v>
      </c>
      <c r="M447" t="str">
        <f>IF(OR((NHL2025_26Results[[#This Row],[Winning Team]]="")),"-",IF(Table4[[#This Row],[Predicted Winner]]=NHL2025_26Results[[#This Row],[Winning Team]],"YES","NO"))</f>
        <v>-</v>
      </c>
      <c r="N447" t="str">
        <f>IF(Table4[[#This Row],[Adjusted Correct]]="-", "",IF(Table4[[#This Row],[Adjusted Correct]]="YES",(Table4[[#This Row],[Strength of Win]]-1)^2,(Table4[[#This Row],[Strength of Win]]-0)^2))</f>
        <v/>
      </c>
      <c r="P447" s="11"/>
    </row>
    <row r="448" spans="4:16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-0.29003398448394263</v>
      </c>
      <c r="H448" t="s">
        <v>12</v>
      </c>
      <c r="I448">
        <f>VLOOKUP(Table4[[#This Row],[Visitor]],'NHL Model'!$A$6:$B$38,2,FALSE)</f>
        <v>1.6319036584269762</v>
      </c>
      <c r="J448">
        <f>($B$1+Table4[[#This Row],[Home Differential]])-Table4[[#This Row],[Away Differential]]</f>
        <v>-1.8720368939877563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0.75121110577355354</v>
      </c>
      <c r="M448" t="str">
        <f>IF(OR((NHL2025_26Results[[#This Row],[Winning Team]]="")),"-",IF(Table4[[#This Row],[Predicted Winner]]=NHL2025_26Results[[#This Row],[Winning Team]],"YES","NO"))</f>
        <v>-</v>
      </c>
      <c r="N448" t="str">
        <f>IF(Table4[[#This Row],[Adjusted Correct]]="-", "",IF(Table4[[#This Row],[Adjusted Correct]]="YES",(Table4[[#This Row],[Strength of Win]]-1)^2,(Table4[[#This Row],[Strength of Win]]-0)^2))</f>
        <v/>
      </c>
      <c r="P448" s="11"/>
    </row>
    <row r="449" spans="4:16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-0.53137605086483863</v>
      </c>
      <c r="H449" t="s">
        <v>35</v>
      </c>
      <c r="I449">
        <f>VLOOKUP(Table4[[#This Row],[Visitor]],'NHL Model'!$A$6:$B$38,2,FALSE)</f>
        <v>-1.3944783719477225</v>
      </c>
      <c r="J449">
        <f>($B$1+Table4[[#This Row],[Home Differential]])-Table4[[#This Row],[Away Differential]]</f>
        <v>0.9130030700060463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0.64910206259113834</v>
      </c>
      <c r="M449" t="str">
        <f>IF(OR((NHL2025_26Results[[#This Row],[Winning Team]]="")),"-",IF(Table4[[#This Row],[Predicted Winner]]=NHL2025_26Results[[#This Row],[Winning Team]],"YES","NO"))</f>
        <v>-</v>
      </c>
      <c r="N449" t="str">
        <f>IF(Table4[[#This Row],[Adjusted Correct]]="-", "",IF(Table4[[#This Row],[Adjusted Correct]]="YES",(Table4[[#This Row],[Strength of Win]]-1)^2,(Table4[[#This Row],[Strength of Win]]-0)^2))</f>
        <v/>
      </c>
      <c r="P449" s="11"/>
    </row>
    <row r="450" spans="4:16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-0.64937723527808999</v>
      </c>
      <c r="H450" t="s">
        <v>26</v>
      </c>
      <c r="I450">
        <f>VLOOKUP(Table4[[#This Row],[Visitor]],'NHL Model'!$A$6:$B$38,2,FALSE)</f>
        <v>-0.87533956503230947</v>
      </c>
      <c r="J450">
        <f>($B$1+Table4[[#This Row],[Home Differential]])-Table4[[#This Row],[Away Differential]]</f>
        <v>0.27586307867738191</v>
      </c>
      <c r="K450" t="str">
        <f>IF(Table4[[#This Row],[HomeIce Differential]]&gt;0,Table4[[#This Row],[Home]],Table4[[#This Row],[Visitor]])</f>
        <v>Seattle Kraken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0.57221108588404257</v>
      </c>
      <c r="M450" t="str">
        <f>IF(OR((NHL2025_26Results[[#This Row],[Winning Team]]="")),"-",IF(Table4[[#This Row],[Predicted Winner]]=NHL2025_26Results[[#This Row],[Winning Team]],"YES","NO"))</f>
        <v>-</v>
      </c>
      <c r="N450" t="str">
        <f>IF(Table4[[#This Row],[Adjusted Correct]]="-", "",IF(Table4[[#This Row],[Adjusted Correct]]="YES",(Table4[[#This Row],[Strength of Win]]-1)^2,(Table4[[#This Row],[Strength of Win]]-0)^2))</f>
        <v/>
      </c>
      <c r="P450" s="11"/>
    </row>
    <row r="451" spans="4:16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0.51050494674660429</v>
      </c>
      <c r="H451" t="s">
        <v>30</v>
      </c>
      <c r="I451">
        <f>VLOOKUP(Table4[[#This Row],[Visitor]],'NHL Model'!$A$6:$B$38,2,FALSE)</f>
        <v>-0.24093199744133265</v>
      </c>
      <c r="J451">
        <f>($B$1+Table4[[#This Row],[Home Differential]])-Table4[[#This Row],[Away Differential]]</f>
        <v>0.80133769311109937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0.5935680025709742</v>
      </c>
      <c r="M451" t="str">
        <f>IF(OR((NHL2025_26Results[[#This Row],[Winning Team]]="")),"-",IF(Table4[[#This Row],[Predicted Winner]]=NHL2025_26Results[[#This Row],[Winning Team]],"YES","NO"))</f>
        <v>-</v>
      </c>
      <c r="N451" t="str">
        <f>IF(Table4[[#This Row],[Adjusted Correct]]="-", "",IF(Table4[[#This Row],[Adjusted Correct]]="YES",(Table4[[#This Row],[Strength of Win]]-1)^2,(Table4[[#This Row],[Strength of Win]]-0)^2))</f>
        <v/>
      </c>
      <c r="P451" s="11"/>
    </row>
    <row r="452" spans="4:16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-0.63447859131898054</v>
      </c>
      <c r="H452" t="s">
        <v>18</v>
      </c>
      <c r="I452">
        <f>VLOOKUP(Table4[[#This Row],[Visitor]],'NHL Model'!$A$6:$B$38,2,FALSE)</f>
        <v>-0.59288962827382519</v>
      </c>
      <c r="J452">
        <f>($B$1+Table4[[#This Row],[Home Differential]])-Table4[[#This Row],[Away Differential]]</f>
        <v>8.3117858780070719E-3</v>
      </c>
      <c r="K452" t="str">
        <f>IF(Table4[[#This Row],[HomeIce Differential]]&gt;0,Table4[[#This Row],[Home]],Table4[[#This Row],[Visitor]])</f>
        <v>Toronto Maple Leafs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0.48168268984656837</v>
      </c>
      <c r="M452" t="str">
        <f>IF(OR((NHL2025_26Results[[#This Row],[Winning Team]]="")),"-",IF(Table4[[#This Row],[Predicted Winner]]=NHL2025_26Results[[#This Row],[Winning Team]],"YES","NO"))</f>
        <v>-</v>
      </c>
      <c r="N452" t="str">
        <f>IF(Table4[[#This Row],[Adjusted Correct]]="-", "",IF(Table4[[#This Row],[Adjusted Correct]]="YES",(Table4[[#This Row],[Strength of Win]]-1)^2,(Table4[[#This Row],[Strength of Win]]-0)^2))</f>
        <v/>
      </c>
      <c r="P452" s="11"/>
    </row>
    <row r="453" spans="4:16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-0.9476777551108041</v>
      </c>
      <c r="H453" t="s">
        <v>34</v>
      </c>
      <c r="I453">
        <f>VLOOKUP(Table4[[#This Row],[Visitor]],'NHL Model'!$A$6:$B$38,2,FALSE)</f>
        <v>-5.5124787449478845E-2</v>
      </c>
      <c r="J453">
        <f>($B$1+Table4[[#This Row],[Home Differential]])-Table4[[#This Row],[Away Differential]]</f>
        <v>-0.84265221873816287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0.60090464601088334</v>
      </c>
      <c r="M453" t="str">
        <f>IF(OR((NHL2025_26Results[[#This Row],[Winning Team]]="")),"-",IF(Table4[[#This Row],[Predicted Winner]]=NHL2025_26Results[[#This Row],[Winning Team]],"YES","NO"))</f>
        <v>-</v>
      </c>
      <c r="N453" t="str">
        <f>IF(Table4[[#This Row],[Adjusted Correct]]="-", "",IF(Table4[[#This Row],[Adjusted Correct]]="YES",(Table4[[#This Row],[Strength of Win]]-1)^2,(Table4[[#This Row],[Strength of Win]]-0)^2))</f>
        <v/>
      </c>
      <c r="P453" s="11"/>
    </row>
    <row r="454" spans="4:16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0.17870302183926629</v>
      </c>
      <c r="H454" t="s">
        <v>10</v>
      </c>
      <c r="I454">
        <f>VLOOKUP(Table4[[#This Row],[Visitor]],'NHL Model'!$A$6:$B$38,2,FALSE)</f>
        <v>-0.17619625518431364</v>
      </c>
      <c r="J454">
        <f>($B$1+Table4[[#This Row],[Home Differential]])-Table4[[#This Row],[Away Differential]]</f>
        <v>0.40480002594674236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0.66710108819506675</v>
      </c>
      <c r="M454" t="str">
        <f>IF(OR((NHL2025_26Results[[#This Row],[Winning Team]]="")),"-",IF(Table4[[#This Row],[Predicted Winner]]=NHL2025_26Results[[#This Row],[Winning Team]],"YES","NO"))</f>
        <v>-</v>
      </c>
      <c r="N454" t="str">
        <f>IF(Table4[[#This Row],[Adjusted Correct]]="-", "",IF(Table4[[#This Row],[Adjusted Correct]]="YES",(Table4[[#This Row],[Strength of Win]]-1)^2,(Table4[[#This Row],[Strength of Win]]-0)^2))</f>
        <v/>
      </c>
      <c r="P454" s="11"/>
    </row>
    <row r="455" spans="4:16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0.42567513732855267</v>
      </c>
      <c r="H455" t="s">
        <v>33</v>
      </c>
      <c r="I455">
        <f>VLOOKUP(Table4[[#This Row],[Visitor]],'NHL Model'!$A$6:$B$38,2,FALSE)</f>
        <v>-0.45133099238224339</v>
      </c>
      <c r="J455">
        <f>($B$1+Table4[[#This Row],[Home Differential]])-Table4[[#This Row],[Away Differential]]</f>
        <v>0.92690687863395849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0.69994603458103766</v>
      </c>
      <c r="M455" t="str">
        <f>IF(OR((NHL2025_26Results[[#This Row],[Winning Team]]="")),"-",IF(Table4[[#This Row],[Predicted Winner]]=NHL2025_26Results[[#This Row],[Winning Team]],"YES","NO"))</f>
        <v>-</v>
      </c>
      <c r="N455" t="str">
        <f>IF(Table4[[#This Row],[Adjusted Correct]]="-", "",IF(Table4[[#This Row],[Adjusted Correct]]="YES",(Table4[[#This Row],[Strength of Win]]-1)^2,(Table4[[#This Row],[Strength of Win]]-0)^2))</f>
        <v/>
      </c>
      <c r="P455" s="11"/>
    </row>
    <row r="456" spans="4:16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0.41344250185511977</v>
      </c>
      <c r="H456" t="s">
        <v>14</v>
      </c>
      <c r="I456">
        <f>VLOOKUP(Table4[[#This Row],[Visitor]],'NHL Model'!$A$6:$B$38,2,FALSE)</f>
        <v>-0.14226422156549004</v>
      </c>
      <c r="J456">
        <f>($B$1+Table4[[#This Row],[Home Differential]])-Table4[[#This Row],[Away Differential]]</f>
        <v>0.60560747234377232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0.60404694385783808</v>
      </c>
      <c r="M456" t="str">
        <f>IF(OR((NHL2025_26Results[[#This Row],[Winning Team]]="")),"-",IF(Table4[[#This Row],[Predicted Winner]]=NHL2025_26Results[[#This Row],[Winning Team]],"YES","NO"))</f>
        <v>-</v>
      </c>
      <c r="N456" t="str">
        <f>IF(Table4[[#This Row],[Adjusted Correct]]="-", "",IF(Table4[[#This Row],[Adjusted Correct]]="YES",(Table4[[#This Row],[Strength of Win]]-1)^2,(Table4[[#This Row],[Strength of Win]]-0)^2))</f>
        <v/>
      </c>
      <c r="P456" s="11"/>
    </row>
    <row r="457" spans="4:16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-0.39711829106410657</v>
      </c>
      <c r="H457" t="s">
        <v>30</v>
      </c>
      <c r="I457">
        <f>VLOOKUP(Table4[[#This Row],[Visitor]],'NHL Model'!$A$6:$B$38,2,FALSE)</f>
        <v>-0.24093199744133265</v>
      </c>
      <c r="J457">
        <f>($B$1+Table4[[#This Row],[Home Differential]])-Table4[[#This Row],[Away Differential]]</f>
        <v>-0.10628554469961143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0.53092892452488105</v>
      </c>
      <c r="M457" t="str">
        <f>IF(OR((NHL2025_26Results[[#This Row],[Winning Team]]="")),"-",IF(Table4[[#This Row],[Predicted Winner]]=NHL2025_26Results[[#This Row],[Winning Team]],"YES","NO"))</f>
        <v>-</v>
      </c>
      <c r="N457" t="str">
        <f>IF(Table4[[#This Row],[Adjusted Correct]]="-", "",IF(Table4[[#This Row],[Adjusted Correct]]="YES",(Table4[[#This Row],[Strength of Win]]-1)^2,(Table4[[#This Row],[Strength of Win]]-0)^2))</f>
        <v/>
      </c>
      <c r="P457" s="11"/>
    </row>
    <row r="458" spans="4:16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-0.59288962827382519</v>
      </c>
      <c r="H458" t="s">
        <v>35</v>
      </c>
      <c r="I458">
        <f>VLOOKUP(Table4[[#This Row],[Visitor]],'NHL Model'!$A$6:$B$38,2,FALSE)</f>
        <v>-1.3944783719477225</v>
      </c>
      <c r="J458">
        <f>($B$1+Table4[[#This Row],[Home Differential]])-Table4[[#This Row],[Away Differential]]</f>
        <v>0.85148949259705975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0.63942396534869261</v>
      </c>
      <c r="M458" t="str">
        <f>IF(OR((NHL2025_26Results[[#This Row],[Winning Team]]="")),"-",IF(Table4[[#This Row],[Predicted Winner]]=NHL2025_26Results[[#This Row],[Winning Team]],"YES","NO"))</f>
        <v>-</v>
      </c>
      <c r="N458" t="str">
        <f>IF(Table4[[#This Row],[Adjusted Correct]]="-", "",IF(Table4[[#This Row],[Adjusted Correct]]="YES",(Table4[[#This Row],[Strength of Win]]-1)^2,(Table4[[#This Row],[Strength of Win]]-0)^2))</f>
        <v/>
      </c>
      <c r="P458" s="11"/>
    </row>
    <row r="459" spans="4:16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-0.29003398448394263</v>
      </c>
      <c r="H459" t="s">
        <v>20</v>
      </c>
      <c r="I459">
        <f>VLOOKUP(Table4[[#This Row],[Visitor]],'NHL Model'!$A$6:$B$38,2,FALSE)</f>
        <v>-0.24444083032063643</v>
      </c>
      <c r="J459">
        <f>($B$1+Table4[[#This Row],[Home Differential]])-Table4[[#This Row],[Away Differential]]</f>
        <v>4.3075947598562592E-3</v>
      </c>
      <c r="K459" t="str">
        <f>IF(Table4[[#This Row],[HomeIce Differential]]&gt;0,Table4[[#This Row],[Home]],Table4[[#This Row],[Visitor]])</f>
        <v>New York Rangers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0.54050297526377444</v>
      </c>
      <c r="M459" t="str">
        <f>IF(OR((NHL2025_26Results[[#This Row],[Winning Team]]="")),"-",IF(Table4[[#This Row],[Predicted Winner]]=NHL2025_26Results[[#This Row],[Winning Team]],"YES","NO"))</f>
        <v>-</v>
      </c>
      <c r="N459" t="str">
        <f>IF(Table4[[#This Row],[Adjusted Correct]]="-", "",IF(Table4[[#This Row],[Adjusted Correct]]="YES",(Table4[[#This Row],[Strength of Win]]-1)^2,(Table4[[#This Row],[Strength of Win]]-0)^2))</f>
        <v/>
      </c>
      <c r="P459" s="11"/>
    </row>
    <row r="460" spans="4:16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-0.38023958350631604</v>
      </c>
      <c r="H460" t="s">
        <v>12</v>
      </c>
      <c r="I460">
        <f>VLOOKUP(Table4[[#This Row],[Visitor]],'NHL Model'!$A$6:$B$38,2,FALSE)</f>
        <v>1.6319036584269762</v>
      </c>
      <c r="J460">
        <f>($B$1+Table4[[#This Row],[Home Differential]])-Table4[[#This Row],[Away Differential]]</f>
        <v>-1.9622424930101297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0.74763929020970066</v>
      </c>
      <c r="M460" t="str">
        <f>IF(OR((NHL2025_26Results[[#This Row],[Winning Team]]="")),"-",IF(Table4[[#This Row],[Predicted Winner]]=NHL2025_26Results[[#This Row],[Winning Team]],"YES","NO"))</f>
        <v>-</v>
      </c>
      <c r="N460" t="str">
        <f>IF(Table4[[#This Row],[Adjusted Correct]]="-", "",IF(Table4[[#This Row],[Adjusted Correct]]="YES",(Table4[[#This Row],[Strength of Win]]-1)^2,(Table4[[#This Row],[Strength of Win]]-0)^2))</f>
        <v/>
      </c>
      <c r="P460" s="11"/>
    </row>
    <row r="461" spans="4:16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0.4407072328537569</v>
      </c>
      <c r="H461" t="s">
        <v>28</v>
      </c>
      <c r="I461">
        <f>VLOOKUP(Table4[[#This Row],[Visitor]],'NHL Model'!$A$6:$B$38,2,FALSE)</f>
        <v>-0.59498940435054026</v>
      </c>
      <c r="J461">
        <f>($B$1+Table4[[#This Row],[Home Differential]])-Table4[[#This Row],[Away Differential]]</f>
        <v>1.0855973861274597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0.68925951710427547</v>
      </c>
      <c r="M461" t="str">
        <f>IF(OR((NHL2025_26Results[[#This Row],[Winning Team]]="")),"-",IF(Table4[[#This Row],[Predicted Winner]]=NHL2025_26Results[[#This Row],[Winning Team]],"YES","NO"))</f>
        <v>-</v>
      </c>
      <c r="N461" t="str">
        <f>IF(Table4[[#This Row],[Adjusted Correct]]="-", "",IF(Table4[[#This Row],[Adjusted Correct]]="YES",(Table4[[#This Row],[Strength of Win]]-1)^2,(Table4[[#This Row],[Strength of Win]]-0)^2))</f>
        <v/>
      </c>
      <c r="P461" s="11"/>
    </row>
    <row r="462" spans="4:16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-1.0657812790446208</v>
      </c>
      <c r="H462" t="s">
        <v>23</v>
      </c>
      <c r="I462">
        <f>VLOOKUP(Table4[[#This Row],[Visitor]],'NHL Model'!$A$6:$B$38,2,FALSE)</f>
        <v>-0.4761104357405897</v>
      </c>
      <c r="J462">
        <f>($B$1+Table4[[#This Row],[Home Differential]])-Table4[[#This Row],[Away Differential]]</f>
        <v>-0.53977009438086876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0.52302612495698741</v>
      </c>
      <c r="M462" t="str">
        <f>IF(OR((NHL2025_26Results[[#This Row],[Winning Team]]="")),"-",IF(Table4[[#This Row],[Predicted Winner]]=NHL2025_26Results[[#This Row],[Winning Team]],"YES","NO"))</f>
        <v>-</v>
      </c>
      <c r="N462" t="str">
        <f>IF(Table4[[#This Row],[Adjusted Correct]]="-", "",IF(Table4[[#This Row],[Adjusted Correct]]="YES",(Table4[[#This Row],[Strength of Win]]-1)^2,(Table4[[#This Row],[Strength of Win]]-0)^2))</f>
        <v/>
      </c>
      <c r="P462" s="11"/>
    </row>
    <row r="463" spans="4:16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-0.64937723527808999</v>
      </c>
      <c r="H463" t="s">
        <v>34</v>
      </c>
      <c r="I463">
        <f>VLOOKUP(Table4[[#This Row],[Visitor]],'NHL Model'!$A$6:$B$38,2,FALSE)</f>
        <v>-5.5124787449478845E-2</v>
      </c>
      <c r="J463">
        <f>($B$1+Table4[[#This Row],[Home Differential]])-Table4[[#This Row],[Away Differential]]</f>
        <v>-0.54435169890544877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0.56607365771895912</v>
      </c>
      <c r="M463" t="str">
        <f>IF(OR((NHL2025_26Results[[#This Row],[Winning Team]]="")),"-",IF(Table4[[#This Row],[Predicted Winner]]=NHL2025_26Results[[#This Row],[Winning Team]],"YES","NO"))</f>
        <v>-</v>
      </c>
      <c r="N463" t="str">
        <f>IF(Table4[[#This Row],[Adjusted Correct]]="-", "",IF(Table4[[#This Row],[Adjusted Correct]]="YES",(Table4[[#This Row],[Strength of Win]]-1)^2,(Table4[[#This Row],[Strength of Win]]-0)^2))</f>
        <v/>
      </c>
      <c r="P463" s="11"/>
    </row>
    <row r="464" spans="4:16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-0.63447859131898054</v>
      </c>
      <c r="H464" t="s">
        <v>37</v>
      </c>
      <c r="I464">
        <f>VLOOKUP(Table4[[#This Row],[Visitor]],'NHL Model'!$A$6:$B$38,2,FALSE)</f>
        <v>0.51050494674660429</v>
      </c>
      <c r="J464">
        <f>($B$1+Table4[[#This Row],[Home Differential]])-Table4[[#This Row],[Away Differential]]</f>
        <v>-1.0950827891424224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0.6803532657461332</v>
      </c>
      <c r="M464" t="str">
        <f>IF(OR((NHL2025_26Results[[#This Row],[Winning Team]]="")),"-",IF(Table4[[#This Row],[Predicted Winner]]=NHL2025_26Results[[#This Row],[Winning Team]],"YES","NO"))</f>
        <v>-</v>
      </c>
      <c r="N464" t="str">
        <f>IF(Table4[[#This Row],[Adjusted Correct]]="-", "",IF(Table4[[#This Row],[Adjusted Correct]]="YES",(Table4[[#This Row],[Strength of Win]]-1)^2,(Table4[[#This Row],[Strength of Win]]-0)^2))</f>
        <v/>
      </c>
      <c r="P464" s="11"/>
    </row>
    <row r="465" spans="4:16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-0.4031232890211825</v>
      </c>
      <c r="H465" t="s">
        <v>13</v>
      </c>
      <c r="I465">
        <f>VLOOKUP(Table4[[#This Row],[Visitor]],'NHL Model'!$A$6:$B$38,2,FALSE)</f>
        <v>-0.33828359867721369</v>
      </c>
      <c r="J465">
        <f>($B$1+Table4[[#This Row],[Home Differential]])-Table4[[#This Row],[Away Differential]]</f>
        <v>-1.4938941420806318E-2</v>
      </c>
      <c r="K465" t="str">
        <f>IF(Table4[[#This Row],[HomeIce Differential]]&gt;0,Table4[[#This Row],[Home]],Table4[[#This Row],[Visitor]])</f>
        <v>Los Angeles Kings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0.48703845954097724</v>
      </c>
      <c r="M465" t="str">
        <f>IF(OR((NHL2025_26Results[[#This Row],[Winning Team]]="")),"-",IF(Table4[[#This Row],[Predicted Winner]]=NHL2025_26Results[[#This Row],[Winning Team]],"YES","NO"))</f>
        <v>-</v>
      </c>
      <c r="N465" t="str">
        <f>IF(Table4[[#This Row],[Adjusted Correct]]="-", "",IF(Table4[[#This Row],[Adjusted Correct]]="YES",(Table4[[#This Row],[Strength of Win]]-1)^2,(Table4[[#This Row],[Strength of Win]]-0)^2))</f>
        <v/>
      </c>
      <c r="P465" s="11"/>
    </row>
    <row r="466" spans="4:16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-0.9476777551108041</v>
      </c>
      <c r="H466" t="s">
        <v>26</v>
      </c>
      <c r="I466">
        <f>VLOOKUP(Table4[[#This Row],[Visitor]],'NHL Model'!$A$6:$B$38,2,FALSE)</f>
        <v>-0.87533956503230947</v>
      </c>
      <c r="J466">
        <f>($B$1+Table4[[#This Row],[Home Differential]])-Table4[[#This Row],[Away Differential]]</f>
        <v>-2.2437441155332194E-2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0.46261990240788181</v>
      </c>
      <c r="M466" t="str">
        <f>IF(OR((NHL2025_26Results[[#This Row],[Winning Team]]="")),"-",IF(Table4[[#This Row],[Predicted Winner]]=NHL2025_26Results[[#This Row],[Winning Team]],"YES","NO"))</f>
        <v>-</v>
      </c>
      <c r="N466" t="str">
        <f>IF(Table4[[#This Row],[Adjusted Correct]]="-", "",IF(Table4[[#This Row],[Adjusted Correct]]="YES",(Table4[[#This Row],[Strength of Win]]-1)^2,(Table4[[#This Row],[Strength of Win]]-0)^2))</f>
        <v/>
      </c>
      <c r="P466" s="11"/>
    </row>
    <row r="467" spans="4:16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0.42567513732855267</v>
      </c>
      <c r="H467" t="s">
        <v>28</v>
      </c>
      <c r="I467">
        <f>VLOOKUP(Table4[[#This Row],[Visitor]],'NHL Model'!$A$6:$B$38,2,FALSE)</f>
        <v>-0.59498940435054026</v>
      </c>
      <c r="J467">
        <f>($B$1+Table4[[#This Row],[Home Differential]])-Table4[[#This Row],[Away Differential]]</f>
        <v>1.0705652906022554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0.71323959221145916</v>
      </c>
      <c r="M467" t="str">
        <f>IF(OR((NHL2025_26Results[[#This Row],[Winning Team]]="")),"-",IF(Table4[[#This Row],[Predicted Winner]]=NHL2025_26Results[[#This Row],[Winning Team]],"YES","NO"))</f>
        <v>-</v>
      </c>
      <c r="N467" t="str">
        <f>IF(Table4[[#This Row],[Adjusted Correct]]="-", "",IF(Table4[[#This Row],[Adjusted Correct]]="YES",(Table4[[#This Row],[Strength of Win]]-1)^2,(Table4[[#This Row],[Strength of Win]]-0)^2))</f>
        <v/>
      </c>
      <c r="P467" s="11"/>
    </row>
    <row r="468" spans="4:16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-0.81774666423752174</v>
      </c>
      <c r="H468" t="s">
        <v>23</v>
      </c>
      <c r="I468">
        <f>VLOOKUP(Table4[[#This Row],[Visitor]],'NHL Model'!$A$6:$B$38,2,FALSE)</f>
        <v>-0.4761104357405897</v>
      </c>
      <c r="J468">
        <f>($B$1+Table4[[#This Row],[Home Differential]])-Table4[[#This Row],[Away Differential]]</f>
        <v>-0.29173547957376961</v>
      </c>
      <c r="K468" t="str">
        <f>IF(Table4[[#This Row],[HomeIce Differential]]&gt;0,Table4[[#This Row],[Home]],Table4[[#This Row],[Visitor]])</f>
        <v>Buffalo Sabres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0.48701847108865748</v>
      </c>
      <c r="M468" t="str">
        <f>IF(OR((NHL2025_26Results[[#This Row],[Winning Team]]="")),"-",IF(Table4[[#This Row],[Predicted Winner]]=NHL2025_26Results[[#This Row],[Winning Team]],"YES","NO"))</f>
        <v>-</v>
      </c>
      <c r="N468" t="str">
        <f>IF(Table4[[#This Row],[Adjusted Correct]]="-", "",IF(Table4[[#This Row],[Adjusted Correct]]="YES",(Table4[[#This Row],[Strength of Win]]-1)^2,(Table4[[#This Row],[Strength of Win]]-0)^2))</f>
        <v/>
      </c>
      <c r="P468" s="11"/>
    </row>
    <row r="469" spans="4:16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-0.59288962827382519</v>
      </c>
      <c r="H469" t="s">
        <v>37</v>
      </c>
      <c r="I469">
        <f>VLOOKUP(Table4[[#This Row],[Visitor]],'NHL Model'!$A$6:$B$38,2,FALSE)</f>
        <v>0.51050494674660429</v>
      </c>
      <c r="J469">
        <f>($B$1+Table4[[#This Row],[Home Differential]])-Table4[[#This Row],[Away Differential]]</f>
        <v>-1.053493826097267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0.67549714050132492</v>
      </c>
      <c r="M469" t="str">
        <f>IF(OR((NHL2025_26Results[[#This Row],[Winning Team]]="")),"-",IF(Table4[[#This Row],[Predicted Winner]]=NHL2025_26Results[[#This Row],[Winning Team]],"YES","NO"))</f>
        <v>-</v>
      </c>
      <c r="N469" t="str">
        <f>IF(Table4[[#This Row],[Adjusted Correct]]="-", "",IF(Table4[[#This Row],[Adjusted Correct]]="YES",(Table4[[#This Row],[Strength of Win]]-1)^2,(Table4[[#This Row],[Strength of Win]]-0)^2))</f>
        <v/>
      </c>
      <c r="P469" s="11"/>
    </row>
    <row r="470" spans="4:16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-1.384917283810061</v>
      </c>
      <c r="H470" t="s">
        <v>12</v>
      </c>
      <c r="I470">
        <f>VLOOKUP(Table4[[#This Row],[Visitor]],'NHL Model'!$A$6:$B$38,2,FALSE)</f>
        <v>1.6319036584269762</v>
      </c>
      <c r="J470">
        <f>($B$1+Table4[[#This Row],[Home Differential]])-Table4[[#This Row],[Away Differential]]</f>
        <v>-2.9669201933138747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0.8790548902940698</v>
      </c>
      <c r="M470" t="str">
        <f>IF(OR((NHL2025_26Results[[#This Row],[Winning Team]]="")),"-",IF(Table4[[#This Row],[Predicted Winner]]=NHL2025_26Results[[#This Row],[Winning Team]],"YES","NO"))</f>
        <v>-</v>
      </c>
      <c r="N470" t="str">
        <f>IF(Table4[[#This Row],[Adjusted Correct]]="-", "",IF(Table4[[#This Row],[Adjusted Correct]]="YES",(Table4[[#This Row],[Strength of Win]]-1)^2,(Table4[[#This Row],[Strength of Win]]-0)^2))</f>
        <v/>
      </c>
      <c r="P470" s="11"/>
    </row>
    <row r="471" spans="4:16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-0.24093199744133265</v>
      </c>
      <c r="H471" t="s">
        <v>20</v>
      </c>
      <c r="I471">
        <f>VLOOKUP(Table4[[#This Row],[Visitor]],'NHL Model'!$A$6:$B$38,2,FALSE)</f>
        <v>-0.24444083032063643</v>
      </c>
      <c r="J471">
        <f>($B$1+Table4[[#This Row],[Home Differential]])-Table4[[#This Row],[Away Differential]]</f>
        <v>5.3409581802466244E-2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0.54623635694460582</v>
      </c>
      <c r="M471" t="str">
        <f>IF(OR((NHL2025_26Results[[#This Row],[Winning Team]]="")),"-",IF(Table4[[#This Row],[Predicted Winner]]=NHL2025_26Results[[#This Row],[Winning Team]],"YES","NO"))</f>
        <v>-</v>
      </c>
      <c r="N471" t="str">
        <f>IF(Table4[[#This Row],[Adjusted Correct]]="-", "",IF(Table4[[#This Row],[Adjusted Correct]]="YES",(Table4[[#This Row],[Strength of Win]]-1)^2,(Table4[[#This Row],[Strength of Win]]-0)^2))</f>
        <v/>
      </c>
      <c r="P471" s="11"/>
    </row>
    <row r="472" spans="4:16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-0.53137605086483863</v>
      </c>
      <c r="H472" t="s">
        <v>24</v>
      </c>
      <c r="I472">
        <f>VLOOKUP(Table4[[#This Row],[Visitor]],'NHL Model'!$A$6:$B$38,2,FALSE)</f>
        <v>1.5302507646042616E-3</v>
      </c>
      <c r="J472">
        <f>($B$1+Table4[[#This Row],[Home Differential]])-Table4[[#This Row],[Away Differential]]</f>
        <v>-0.48300555270628043</v>
      </c>
      <c r="K472" t="str">
        <f>IF(Table4[[#This Row],[HomeIce Differential]]&gt;0,Table4[[#This Row],[Home]],Table4[[#This Row],[Visitor]])</f>
        <v>New Jersey Devils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0.53465889649685494</v>
      </c>
      <c r="M472" t="str">
        <f>IF(OR((NHL2025_26Results[[#This Row],[Winning Team]]="")),"-",IF(Table4[[#This Row],[Predicted Winner]]=NHL2025_26Results[[#This Row],[Winning Team]],"YES","NO"))</f>
        <v>-</v>
      </c>
      <c r="N472" t="str">
        <f>IF(Table4[[#This Row],[Adjusted Correct]]="-", "",IF(Table4[[#This Row],[Adjusted Correct]]="YES",(Table4[[#This Row],[Strength of Win]]-1)^2,(Table4[[#This Row],[Strength of Win]]-0)^2))</f>
        <v/>
      </c>
      <c r="P472" s="11"/>
    </row>
    <row r="473" spans="4:16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-0.38023958350631604</v>
      </c>
      <c r="H473" t="s">
        <v>33</v>
      </c>
      <c r="I473">
        <f>VLOOKUP(Table4[[#This Row],[Visitor]],'NHL Model'!$A$6:$B$38,2,FALSE)</f>
        <v>-0.45133099238224339</v>
      </c>
      <c r="J473">
        <f>($B$1+Table4[[#This Row],[Home Differential]])-Table4[[#This Row],[Away Differential]]</f>
        <v>0.12099215779908984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0.56814424063845959</v>
      </c>
      <c r="M473" t="str">
        <f>IF(OR((NHL2025_26Results[[#This Row],[Winning Team]]="")),"-",IF(Table4[[#This Row],[Predicted Winner]]=NHL2025_26Results[[#This Row],[Winning Team]],"YES","NO"))</f>
        <v>-</v>
      </c>
      <c r="N473" t="str">
        <f>IF(Table4[[#This Row],[Adjusted Correct]]="-", "",IF(Table4[[#This Row],[Adjusted Correct]]="YES",(Table4[[#This Row],[Strength of Win]]-1)^2,(Table4[[#This Row],[Strength of Win]]-0)^2))</f>
        <v/>
      </c>
      <c r="P473" s="11"/>
    </row>
    <row r="474" spans="4:16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-0.14226422156549004</v>
      </c>
      <c r="H474" t="s">
        <v>31</v>
      </c>
      <c r="I474">
        <f>VLOOKUP(Table4[[#This Row],[Visitor]],'NHL Model'!$A$6:$B$38,2,FALSE)</f>
        <v>0.17870302183926629</v>
      </c>
      <c r="J474">
        <f>($B$1+Table4[[#This Row],[Home Differential]])-Table4[[#This Row],[Away Differential]]</f>
        <v>-0.27106649448159387</v>
      </c>
      <c r="K474" t="str">
        <f>IF(Table4[[#This Row],[HomeIce Differential]]&gt;0,Table4[[#This Row],[Home]],Table4[[#This Row],[Visitor]])</f>
        <v>Anaheim Ducks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0.51242024465588476</v>
      </c>
      <c r="M474" t="str">
        <f>IF(OR((NHL2025_26Results[[#This Row],[Winning Team]]="")),"-",IF(Table4[[#This Row],[Predicted Winner]]=NHL2025_26Results[[#This Row],[Winning Team]],"YES","NO"))</f>
        <v>-</v>
      </c>
      <c r="N474" t="str">
        <f>IF(Table4[[#This Row],[Adjusted Correct]]="-", "",IF(Table4[[#This Row],[Adjusted Correct]]="YES",(Table4[[#This Row],[Strength of Win]]-1)^2,(Table4[[#This Row],[Strength of Win]]-0)^2))</f>
        <v/>
      </c>
      <c r="P474" s="11"/>
    </row>
    <row r="475" spans="4:16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-1.3944783719477225</v>
      </c>
      <c r="H475" t="s">
        <v>21</v>
      </c>
      <c r="I475">
        <f>VLOOKUP(Table4[[#This Row],[Visitor]],'NHL Model'!$A$6:$B$38,2,FALSE)</f>
        <v>-0.21976976044773161</v>
      </c>
      <c r="J475">
        <f>($B$1+Table4[[#This Row],[Home Differential]])-Table4[[#This Row],[Away Differential]]</f>
        <v>-1.1248078625768285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0.59216741202262646</v>
      </c>
      <c r="M475" t="str">
        <f>IF(OR((NHL2025_26Results[[#This Row],[Winning Team]]="")),"-",IF(Table4[[#This Row],[Predicted Winner]]=NHL2025_26Results[[#This Row],[Winning Team]],"YES","NO"))</f>
        <v>-</v>
      </c>
      <c r="N475" t="str">
        <f>IF(Table4[[#This Row],[Adjusted Correct]]="-", "",IF(Table4[[#This Row],[Adjusted Correct]]="YES",(Table4[[#This Row],[Strength of Win]]-1)^2,(Table4[[#This Row],[Strength of Win]]-0)^2))</f>
        <v/>
      </c>
      <c r="P475" s="11"/>
    </row>
    <row r="476" spans="4:16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-0.31324182378279158</v>
      </c>
      <c r="H476" t="s">
        <v>39</v>
      </c>
      <c r="I476">
        <f>VLOOKUP(Table4[[#This Row],[Visitor]],'NHL Model'!$A$6:$B$38,2,FALSE)</f>
        <v>0.41344250185511977</v>
      </c>
      <c r="J476">
        <f>($B$1+Table4[[#This Row],[Home Differential]])-Table4[[#This Row],[Away Differential]]</f>
        <v>-0.67678357671474887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0.63834650509244772</v>
      </c>
      <c r="M476" t="str">
        <f>IF(OR((NHL2025_26Results[[#This Row],[Winning Team]]="")),"-",IF(Table4[[#This Row],[Predicted Winner]]=NHL2025_26Results[[#This Row],[Winning Team]],"YES","NO"))</f>
        <v>-</v>
      </c>
      <c r="N476" t="str">
        <f>IF(Table4[[#This Row],[Adjusted Correct]]="-", "",IF(Table4[[#This Row],[Adjusted Correct]]="YES",(Table4[[#This Row],[Strength of Win]]-1)^2,(Table4[[#This Row],[Strength of Win]]-0)^2))</f>
        <v/>
      </c>
      <c r="P476" s="11"/>
    </row>
    <row r="477" spans="4:16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-1.0657812790446208</v>
      </c>
      <c r="H477" t="s">
        <v>26</v>
      </c>
      <c r="I477">
        <f>VLOOKUP(Table4[[#This Row],[Visitor]],'NHL Model'!$A$6:$B$38,2,FALSE)</f>
        <v>-0.87533956503230947</v>
      </c>
      <c r="J477">
        <f>($B$1+Table4[[#This Row],[Home Differential]])-Table4[[#This Row],[Away Differential]]</f>
        <v>-0.14054096508914893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0.47641023191076265</v>
      </c>
      <c r="M477" t="str">
        <f>IF(OR((NHL2025_26Results[[#This Row],[Winning Team]]="")),"-",IF(Table4[[#This Row],[Predicted Winner]]=NHL2025_26Results[[#This Row],[Winning Team]],"YES","NO"))</f>
        <v>-</v>
      </c>
      <c r="N477" t="str">
        <f>IF(Table4[[#This Row],[Adjusted Correct]]="-", "",IF(Table4[[#This Row],[Adjusted Correct]]="YES",(Table4[[#This Row],[Strength of Win]]-1)^2,(Table4[[#This Row],[Strength of Win]]-0)^2))</f>
        <v/>
      </c>
      <c r="P477" s="11"/>
    </row>
    <row r="478" spans="4:16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-0.17619625518431364</v>
      </c>
      <c r="H478" t="s">
        <v>15</v>
      </c>
      <c r="I478">
        <f>VLOOKUP(Table4[[#This Row],[Visitor]],'NHL Model'!$A$6:$B$38,2,FALSE)</f>
        <v>-0.29003398448394263</v>
      </c>
      <c r="J478">
        <f>($B$1+Table4[[#This Row],[Home Differential]])-Table4[[#This Row],[Away Differential]]</f>
        <v>0.16373847822279144</v>
      </c>
      <c r="K478" t="str">
        <f>IF(Table4[[#This Row],[HomeIce Differential]]&gt;0,Table4[[#This Row],[Home]],Table4[[#This Row],[Visitor]])</f>
        <v>Chicago Blackhawks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0.45903741754486188</v>
      </c>
      <c r="M478" t="str">
        <f>IF(OR((NHL2025_26Results[[#This Row],[Winning Team]]="")),"-",IF(Table4[[#This Row],[Predicted Winner]]=NHL2025_26Results[[#This Row],[Winning Team]],"YES","NO"))</f>
        <v>-</v>
      </c>
      <c r="N478" t="str">
        <f>IF(Table4[[#This Row],[Adjusted Correct]]="-", "",IF(Table4[[#This Row],[Adjusted Correct]]="YES",(Table4[[#This Row],[Strength of Win]]-1)^2,(Table4[[#This Row],[Strength of Win]]-0)^2))</f>
        <v/>
      </c>
      <c r="P478" s="11"/>
    </row>
    <row r="479" spans="4:16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-0.64937723527808999</v>
      </c>
      <c r="H479" t="s">
        <v>13</v>
      </c>
      <c r="I479">
        <f>VLOOKUP(Table4[[#This Row],[Visitor]],'NHL Model'!$A$6:$B$38,2,FALSE)</f>
        <v>-0.33828359867721369</v>
      </c>
      <c r="J479">
        <f>($B$1+Table4[[#This Row],[Home Differential]])-Table4[[#This Row],[Away Differential]]</f>
        <v>-0.26119288767771387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0.55681391404194935</v>
      </c>
      <c r="M479" t="str">
        <f>IF(OR((NHL2025_26Results[[#This Row],[Winning Team]]="")),"-",IF(Table4[[#This Row],[Predicted Winner]]=NHL2025_26Results[[#This Row],[Winning Team]],"YES","NO"))</f>
        <v>-</v>
      </c>
      <c r="N479" t="str">
        <f>IF(Table4[[#This Row],[Adjusted Correct]]="-", "",IF(Table4[[#This Row],[Adjusted Correct]]="YES",(Table4[[#This Row],[Strength of Win]]-1)^2,(Table4[[#This Row],[Strength of Win]]-0)^2))</f>
        <v/>
      </c>
      <c r="P479" s="11"/>
    </row>
    <row r="480" spans="4:16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-0.4031232890211825</v>
      </c>
      <c r="H480" t="s">
        <v>11</v>
      </c>
      <c r="I480">
        <f>VLOOKUP(Table4[[#This Row],[Visitor]],'NHL Model'!$A$6:$B$38,2,FALSE)</f>
        <v>-0.39711829106410657</v>
      </c>
      <c r="J480">
        <f>($B$1+Table4[[#This Row],[Home Differential]])-Table4[[#This Row],[Away Differential]]</f>
        <v>4.3895750966086555E-2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0.58555665422643954</v>
      </c>
      <c r="M480" t="str">
        <f>IF(OR((NHL2025_26Results[[#This Row],[Winning Team]]="")),"-",IF(Table4[[#This Row],[Predicted Winner]]=NHL2025_26Results[[#This Row],[Winning Team]],"YES","NO"))</f>
        <v>-</v>
      </c>
      <c r="N480" t="str">
        <f>IF(Table4[[#This Row],[Adjusted Correct]]="-", "",IF(Table4[[#This Row],[Adjusted Correct]]="YES",(Table4[[#This Row],[Strength of Win]]-1)^2,(Table4[[#This Row],[Strength of Win]]-0)^2))</f>
        <v/>
      </c>
      <c r="P480" s="11"/>
    </row>
    <row r="481" spans="4:16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-0.59498940435054026</v>
      </c>
      <c r="H481" t="s">
        <v>36</v>
      </c>
      <c r="I481">
        <f>VLOOKUP(Table4[[#This Row],[Visitor]],'NHL Model'!$A$6:$B$38,2,FALSE)</f>
        <v>-0.53137605086483863</v>
      </c>
      <c r="J481">
        <f>($B$1+Table4[[#This Row],[Home Differential]])-Table4[[#This Row],[Away Differential]]</f>
        <v>-1.3712604562539199E-2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0.46160114896627552</v>
      </c>
      <c r="M481" t="str">
        <f>IF(OR((NHL2025_26Results[[#This Row],[Winning Team]]="")),"-",IF(Table4[[#This Row],[Predicted Winner]]=NHL2025_26Results[[#This Row],[Winning Team]],"YES","NO"))</f>
        <v>-</v>
      </c>
      <c r="N481" t="str">
        <f>IF(Table4[[#This Row],[Adjusted Correct]]="-", "",IF(Table4[[#This Row],[Adjusted Correct]]="YES",(Table4[[#This Row],[Strength of Win]]-1)^2,(Table4[[#This Row],[Strength of Win]]-0)^2))</f>
        <v/>
      </c>
      <c r="P481" s="11"/>
    </row>
    <row r="482" spans="4:16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1.6319036584269762</v>
      </c>
      <c r="H482" t="s">
        <v>11</v>
      </c>
      <c r="I482">
        <f>VLOOKUP(Table4[[#This Row],[Visitor]],'NHL Model'!$A$6:$B$38,2,FALSE)</f>
        <v>-0.39711829106410657</v>
      </c>
      <c r="J482">
        <f>($B$1+Table4[[#This Row],[Home Differential]])-Table4[[#This Row],[Away Differential]]</f>
        <v>2.078922698414245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0.88707480465625443</v>
      </c>
      <c r="M482" t="str">
        <f>IF(OR((NHL2025_26Results[[#This Row],[Winning Team]]="")),"-",IF(Table4[[#This Row],[Predicted Winner]]=NHL2025_26Results[[#This Row],[Winning Team]],"YES","NO"))</f>
        <v>-</v>
      </c>
      <c r="N482" t="str">
        <f>IF(Table4[[#This Row],[Adjusted Correct]]="-", "",IF(Table4[[#This Row],[Adjusted Correct]]="YES",(Table4[[#This Row],[Strength of Win]]-1)^2,(Table4[[#This Row],[Strength of Win]]-0)^2))</f>
        <v/>
      </c>
      <c r="P482" s="11"/>
    </row>
    <row r="483" spans="4:16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-0.81774666423752174</v>
      </c>
      <c r="H483" t="s">
        <v>26</v>
      </c>
      <c r="I483">
        <f>VLOOKUP(Table4[[#This Row],[Visitor]],'NHL Model'!$A$6:$B$38,2,FALSE)</f>
        <v>-0.87533956503230947</v>
      </c>
      <c r="J483">
        <f>($B$1+Table4[[#This Row],[Home Differential]])-Table4[[#This Row],[Away Differential]]</f>
        <v>0.10749364971795017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0.55959742195756734</v>
      </c>
      <c r="M483" t="str">
        <f>IF(OR((NHL2025_26Results[[#This Row],[Winning Team]]="")),"-",IF(Table4[[#This Row],[Predicted Winner]]=NHL2025_26Results[[#This Row],[Winning Team]],"YES","NO"))</f>
        <v>-</v>
      </c>
      <c r="N483" t="str">
        <f>IF(Table4[[#This Row],[Adjusted Correct]]="-", "",IF(Table4[[#This Row],[Adjusted Correct]]="YES",(Table4[[#This Row],[Strength of Win]]-1)^2,(Table4[[#This Row],[Strength of Win]]-0)^2))</f>
        <v/>
      </c>
      <c r="P483" s="11"/>
    </row>
    <row r="484" spans="4:16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-5.5124787449478845E-2</v>
      </c>
      <c r="H484" t="s">
        <v>39</v>
      </c>
      <c r="I484">
        <f>VLOOKUP(Table4[[#This Row],[Visitor]],'NHL Model'!$A$6:$B$38,2,FALSE)</f>
        <v>0.41344250185511977</v>
      </c>
      <c r="J484">
        <f>($B$1+Table4[[#This Row],[Home Differential]])-Table4[[#This Row],[Away Differential]]</f>
        <v>-0.41866654038143614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0.61068325047565086</v>
      </c>
      <c r="M484" t="str">
        <f>IF(OR((NHL2025_26Results[[#This Row],[Winning Team]]="")),"-",IF(Table4[[#This Row],[Predicted Winner]]=NHL2025_26Results[[#This Row],[Winning Team]],"YES","NO"))</f>
        <v>-</v>
      </c>
      <c r="N484" t="str">
        <f>IF(Table4[[#This Row],[Adjusted Correct]]="-", "",IF(Table4[[#This Row],[Adjusted Correct]]="YES",(Table4[[#This Row],[Strength of Win]]-1)^2,(Table4[[#This Row],[Strength of Win]]-0)^2))</f>
        <v/>
      </c>
      <c r="P484" s="11"/>
    </row>
    <row r="485" spans="4:16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1.5302507646042616E-3</v>
      </c>
      <c r="H485" t="s">
        <v>37</v>
      </c>
      <c r="I485">
        <f>VLOOKUP(Table4[[#This Row],[Visitor]],'NHL Model'!$A$6:$B$38,2,FALSE)</f>
        <v>0.51050494674660429</v>
      </c>
      <c r="J485">
        <f>($B$1+Table4[[#This Row],[Home Differential]])-Table4[[#This Row],[Away Differential]]</f>
        <v>-0.45907394705883758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0.52419189406112554</v>
      </c>
      <c r="M485" t="str">
        <f>IF(OR((NHL2025_26Results[[#This Row],[Winning Team]]="")),"-",IF(Table4[[#This Row],[Predicted Winner]]=NHL2025_26Results[[#This Row],[Winning Team]],"YES","NO"))</f>
        <v>-</v>
      </c>
      <c r="N485" t="str">
        <f>IF(Table4[[#This Row],[Adjusted Correct]]="-", "",IF(Table4[[#This Row],[Adjusted Correct]]="YES",(Table4[[#This Row],[Strength of Win]]-1)^2,(Table4[[#This Row],[Strength of Win]]-0)^2))</f>
        <v/>
      </c>
      <c r="P485" s="11"/>
    </row>
    <row r="486" spans="4:16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-1.384917283810061</v>
      </c>
      <c r="H486" t="s">
        <v>35</v>
      </c>
      <c r="I486">
        <f>VLOOKUP(Table4[[#This Row],[Visitor]],'NHL Model'!$A$6:$B$38,2,FALSE)</f>
        <v>-1.3944783719477225</v>
      </c>
      <c r="J486">
        <f>($B$1+Table4[[#This Row],[Home Differential]])-Table4[[#This Row],[Away Differential]]</f>
        <v>5.9461837060823974E-2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0.54694304707093155</v>
      </c>
      <c r="M486" t="str">
        <f>IF(OR((NHL2025_26Results[[#This Row],[Winning Team]]="")),"-",IF(Table4[[#This Row],[Predicted Winner]]=NHL2025_26Results[[#This Row],[Winning Team]],"YES","NO"))</f>
        <v>-</v>
      </c>
      <c r="N486" t="str">
        <f>IF(Table4[[#This Row],[Adjusted Correct]]="-", "",IF(Table4[[#This Row],[Adjusted Correct]]="YES",(Table4[[#This Row],[Strength of Win]]-1)^2,(Table4[[#This Row],[Strength of Win]]-0)^2))</f>
        <v/>
      </c>
      <c r="P486" s="11"/>
    </row>
    <row r="487" spans="4:16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-0.24093199744133265</v>
      </c>
      <c r="H487" t="s">
        <v>31</v>
      </c>
      <c r="I487">
        <f>VLOOKUP(Table4[[#This Row],[Visitor]],'NHL Model'!$A$6:$B$38,2,FALSE)</f>
        <v>0.17870302183926629</v>
      </c>
      <c r="J487">
        <f>($B$1+Table4[[#This Row],[Home Differential]])-Table4[[#This Row],[Away Differential]]</f>
        <v>-0.36973427035743645</v>
      </c>
      <c r="K487" t="str">
        <f>IF(Table4[[#This Row],[HomeIce Differential]]&gt;0,Table4[[#This Row],[Home]],Table4[[#This Row],[Visitor]])</f>
        <v>Anaheim Ducks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0.52394116372182864</v>
      </c>
      <c r="M487" t="str">
        <f>IF(OR((NHL2025_26Results[[#This Row],[Winning Team]]="")),"-",IF(Table4[[#This Row],[Predicted Winner]]=NHL2025_26Results[[#This Row],[Winning Team]],"YES","NO"))</f>
        <v>-</v>
      </c>
      <c r="N487" t="str">
        <f>IF(Table4[[#This Row],[Adjusted Correct]]="-", "",IF(Table4[[#This Row],[Adjusted Correct]]="YES",(Table4[[#This Row],[Strength of Win]]-1)^2,(Table4[[#This Row],[Strength of Win]]-0)^2))</f>
        <v/>
      </c>
      <c r="P487" s="11"/>
    </row>
    <row r="488" spans="4:16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-0.38023958350631604</v>
      </c>
      <c r="H488" t="s">
        <v>20</v>
      </c>
      <c r="I488">
        <f>VLOOKUP(Table4[[#This Row],[Visitor]],'NHL Model'!$A$6:$B$38,2,FALSE)</f>
        <v>-0.24444083032063643</v>
      </c>
      <c r="J488">
        <f>($B$1+Table4[[#This Row],[Home Differential]])-Table4[[#This Row],[Away Differential]]</f>
        <v>-8.5898004262517119E-2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0.45601323926309539</v>
      </c>
      <c r="M488" t="str">
        <f>IF(OR((NHL2025_26Results[[#This Row],[Winning Team]]="")),"-",IF(Table4[[#This Row],[Predicted Winner]]=NHL2025_26Results[[#This Row],[Winning Team]],"YES","NO"))</f>
        <v>-</v>
      </c>
      <c r="N488" t="str">
        <f>IF(Table4[[#This Row],[Adjusted Correct]]="-", "",IF(Table4[[#This Row],[Adjusted Correct]]="YES",(Table4[[#This Row],[Strength of Win]]-1)^2,(Table4[[#This Row],[Strength of Win]]-0)^2))</f>
        <v/>
      </c>
      <c r="P488" s="11"/>
    </row>
    <row r="489" spans="4:16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-0.14226422156549004</v>
      </c>
      <c r="H489" t="s">
        <v>18</v>
      </c>
      <c r="I489">
        <f>VLOOKUP(Table4[[#This Row],[Visitor]],'NHL Model'!$A$6:$B$38,2,FALSE)</f>
        <v>-0.59288962827382519</v>
      </c>
      <c r="J489">
        <f>($B$1+Table4[[#This Row],[Home Differential]])-Table4[[#This Row],[Away Differential]]</f>
        <v>0.5005261556314976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0.53915598208090709</v>
      </c>
      <c r="M489" t="str">
        <f>IF(OR((NHL2025_26Results[[#This Row],[Winning Team]]="")),"-",IF(Table4[[#This Row],[Predicted Winner]]=NHL2025_26Results[[#This Row],[Winning Team]],"YES","NO"))</f>
        <v>-</v>
      </c>
      <c r="N489" t="str">
        <f>IF(Table4[[#This Row],[Adjusted Correct]]="-", "",IF(Table4[[#This Row],[Adjusted Correct]]="YES",(Table4[[#This Row],[Strength of Win]]-1)^2,(Table4[[#This Row],[Strength of Win]]-0)^2))</f>
        <v/>
      </c>
      <c r="P489" s="11"/>
    </row>
    <row r="490" spans="4:16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-0.63447859131898054</v>
      </c>
      <c r="H490" t="s">
        <v>33</v>
      </c>
      <c r="I490">
        <f>VLOOKUP(Table4[[#This Row],[Visitor]],'NHL Model'!$A$6:$B$38,2,FALSE)</f>
        <v>-0.45133099238224339</v>
      </c>
      <c r="J490">
        <f>($B$1+Table4[[#This Row],[Home Differential]])-Table4[[#This Row],[Away Differential]]</f>
        <v>-0.13324685001357472</v>
      </c>
      <c r="K490" t="str">
        <f>IF(Table4[[#This Row],[HomeIce Differential]]&gt;0,Table4[[#This Row],[Home]],Table4[[#This Row],[Visitor]])</f>
        <v>San Jose Sharks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0.47555853632223422</v>
      </c>
      <c r="M490" t="str">
        <f>IF(OR((NHL2025_26Results[[#This Row],[Winning Team]]="")),"-",IF(Table4[[#This Row],[Predicted Winner]]=NHL2025_26Results[[#This Row],[Winning Team]],"YES","NO"))</f>
        <v>-</v>
      </c>
      <c r="N490" t="str">
        <f>IF(Table4[[#This Row],[Adjusted Correct]]="-", "",IF(Table4[[#This Row],[Adjusted Correct]]="YES",(Table4[[#This Row],[Strength of Win]]-1)^2,(Table4[[#This Row],[Strength of Win]]-0)^2))</f>
        <v/>
      </c>
      <c r="P490" s="11"/>
    </row>
    <row r="491" spans="4:16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-0.9476777551108041</v>
      </c>
      <c r="H491" t="s">
        <v>23</v>
      </c>
      <c r="I491">
        <f>VLOOKUP(Table4[[#This Row],[Visitor]],'NHL Model'!$A$6:$B$38,2,FALSE)</f>
        <v>-0.4761104357405897</v>
      </c>
      <c r="J491">
        <f>($B$1+Table4[[#This Row],[Home Differential]])-Table4[[#This Row],[Away Differential]]</f>
        <v>-0.42166657044705197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0.50923579545410647</v>
      </c>
      <c r="M491" t="str">
        <f>IF(OR((NHL2025_26Results[[#This Row],[Winning Team]]="")),"-",IF(Table4[[#This Row],[Predicted Winner]]=NHL2025_26Results[[#This Row],[Winning Team]],"YES","NO"))</f>
        <v>-</v>
      </c>
      <c r="N491" t="str">
        <f>IF(Table4[[#This Row],[Adjusted Correct]]="-", "",IF(Table4[[#This Row],[Adjusted Correct]]="YES",(Table4[[#This Row],[Strength of Win]]-1)^2,(Table4[[#This Row],[Strength of Win]]-0)^2))</f>
        <v/>
      </c>
      <c r="P491" s="11"/>
    </row>
    <row r="492" spans="4:16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-0.31324182378279158</v>
      </c>
      <c r="H492" t="s">
        <v>21</v>
      </c>
      <c r="I492">
        <f>VLOOKUP(Table4[[#This Row],[Visitor]],'NHL Model'!$A$6:$B$38,2,FALSE)</f>
        <v>-0.21976976044773161</v>
      </c>
      <c r="J492">
        <f>($B$1+Table4[[#This Row],[Home Differential]])-Table4[[#This Row],[Away Differential]]</f>
        <v>-4.3571314411897488E-2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0.4634209273576268</v>
      </c>
      <c r="M492" t="str">
        <f>IF(OR((NHL2025_26Results[[#This Row],[Winning Team]]="")),"-",IF(Table4[[#This Row],[Predicted Winner]]=NHL2025_26Results[[#This Row],[Winning Team]],"YES","NO"))</f>
        <v>-</v>
      </c>
      <c r="N492" t="str">
        <f>IF(Table4[[#This Row],[Adjusted Correct]]="-", "",IF(Table4[[#This Row],[Adjusted Correct]]="YES",(Table4[[#This Row],[Strength of Win]]-1)^2,(Table4[[#This Row],[Strength of Win]]-0)^2))</f>
        <v/>
      </c>
      <c r="P492" s="11"/>
    </row>
    <row r="493" spans="4:16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0.4407072328537569</v>
      </c>
      <c r="H493" t="s">
        <v>25</v>
      </c>
      <c r="I493">
        <f>VLOOKUP(Table4[[#This Row],[Visitor]],'NHL Model'!$A$6:$B$38,2,FALSE)</f>
        <v>0.42567513732855267</v>
      </c>
      <c r="J493">
        <f>($B$1+Table4[[#This Row],[Home Differential]])-Table4[[#This Row],[Away Differential]]</f>
        <v>6.4932844448366722E-2</v>
      </c>
      <c r="K493" t="str">
        <f>IF(Table4[[#This Row],[HomeIce Differential]]&gt;0,Table4[[#This Row],[Home]],Table4[[#This Row],[Visitor]])</f>
        <v>Washington Capitals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0.50125275400568248</v>
      </c>
      <c r="M493" t="str">
        <f>IF(OR((NHL2025_26Results[[#This Row],[Winning Team]]="")),"-",IF(Table4[[#This Row],[Predicted Winner]]=NHL2025_26Results[[#This Row],[Winning Team]],"YES","NO"))</f>
        <v>-</v>
      </c>
      <c r="N493" t="str">
        <f>IF(Table4[[#This Row],[Adjusted Correct]]="-", "",IF(Table4[[#This Row],[Adjusted Correct]]="YES",(Table4[[#This Row],[Strength of Win]]-1)^2,(Table4[[#This Row],[Strength of Win]]-0)^2))</f>
        <v/>
      </c>
      <c r="P493" s="11"/>
    </row>
    <row r="494" spans="4:16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-1.3944783719477225</v>
      </c>
      <c r="H494" t="s">
        <v>10</v>
      </c>
      <c r="I494">
        <f>VLOOKUP(Table4[[#This Row],[Visitor]],'NHL Model'!$A$6:$B$38,2,FALSE)</f>
        <v>-0.17619625518431364</v>
      </c>
      <c r="J494">
        <f>($B$1+Table4[[#This Row],[Home Differential]])-Table4[[#This Row],[Away Differential]]</f>
        <v>-1.1683813678402464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0.59642576877361209</v>
      </c>
      <c r="M494" t="str">
        <f>IF(OR((NHL2025_26Results[[#This Row],[Winning Team]]="")),"-",IF(Table4[[#This Row],[Predicted Winner]]=NHL2025_26Results[[#This Row],[Winning Team]],"YES","NO"))</f>
        <v>-</v>
      </c>
      <c r="N494" t="str">
        <f>IF(Table4[[#This Row],[Adjusted Correct]]="-", "",IF(Table4[[#This Row],[Adjusted Correct]]="YES",(Table4[[#This Row],[Strength of Win]]-1)^2,(Table4[[#This Row],[Strength of Win]]-0)^2))</f>
        <v/>
      </c>
      <c r="P494" s="11"/>
    </row>
    <row r="495" spans="4:16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-0.4031232890211825</v>
      </c>
      <c r="H495" t="s">
        <v>32</v>
      </c>
      <c r="I495">
        <f>VLOOKUP(Table4[[#This Row],[Visitor]],'NHL Model'!$A$6:$B$38,2,FALSE)</f>
        <v>-0.64937723527808999</v>
      </c>
      <c r="J495">
        <f>($B$1+Table4[[#This Row],[Home Differential]])-Table4[[#This Row],[Away Differential]]</f>
        <v>0.29615469518006998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0.6150116090397193</v>
      </c>
      <c r="M495" t="str">
        <f>IF(OR((NHL2025_26Results[[#This Row],[Winning Team]]="")),"-",IF(Table4[[#This Row],[Predicted Winner]]=NHL2025_26Results[[#This Row],[Winning Team]],"YES","NO"))</f>
        <v>-</v>
      </c>
      <c r="N495" t="str">
        <f>IF(Table4[[#This Row],[Adjusted Correct]]="-", "",IF(Table4[[#This Row],[Adjusted Correct]]="YES",(Table4[[#This Row],[Strength of Win]]-1)^2,(Table4[[#This Row],[Strength of Win]]-0)^2))</f>
        <v/>
      </c>
      <c r="P495" s="11"/>
    </row>
    <row r="496" spans="4:16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-0.59498940435054026</v>
      </c>
      <c r="H496" t="s">
        <v>20</v>
      </c>
      <c r="I496">
        <f>VLOOKUP(Table4[[#This Row],[Visitor]],'NHL Model'!$A$6:$B$38,2,FALSE)</f>
        <v>-0.24444083032063643</v>
      </c>
      <c r="J496">
        <f>($B$1+Table4[[#This Row],[Home Differential]])-Table4[[#This Row],[Away Differential]]</f>
        <v>-0.30064782510674137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0.4951050708264203</v>
      </c>
      <c r="M496" t="str">
        <f>IF(OR((NHL2025_26Results[[#This Row],[Winning Team]]="")),"-",IF(Table4[[#This Row],[Predicted Winner]]=NHL2025_26Results[[#This Row],[Winning Team]],"YES","NO"))</f>
        <v>-</v>
      </c>
      <c r="N496" t="str">
        <f>IF(Table4[[#This Row],[Adjusted Correct]]="-", "",IF(Table4[[#This Row],[Adjusted Correct]]="YES",(Table4[[#This Row],[Strength of Win]]-1)^2,(Table4[[#This Row],[Strength of Win]]-0)^2))</f>
        <v/>
      </c>
      <c r="P496" s="11"/>
    </row>
    <row r="497" spans="4:16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-0.17619625518431364</v>
      </c>
      <c r="H497" t="s">
        <v>26</v>
      </c>
      <c r="I497">
        <f>VLOOKUP(Table4[[#This Row],[Visitor]],'NHL Model'!$A$6:$B$38,2,FALSE)</f>
        <v>-0.87533956503230947</v>
      </c>
      <c r="J497">
        <f>($B$1+Table4[[#This Row],[Home Differential]])-Table4[[#This Row],[Away Differential]]</f>
        <v>0.74904405877115832</v>
      </c>
      <c r="K497" t="str">
        <f>IF(Table4[[#This Row],[HomeIce Differential]]&gt;0,Table4[[#This Row],[Home]],Table4[[#This Row],[Visitor]])</f>
        <v>Chicago Blackhawks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0.62746194896282725</v>
      </c>
      <c r="M497" t="str">
        <f>IF(OR((NHL2025_26Results[[#This Row],[Winning Team]]="")),"-",IF(Table4[[#This Row],[Predicted Winner]]=NHL2025_26Results[[#This Row],[Winning Team]],"YES","NO"))</f>
        <v>-</v>
      </c>
      <c r="N497" t="str">
        <f>IF(Table4[[#This Row],[Adjusted Correct]]="-", "",IF(Table4[[#This Row],[Adjusted Correct]]="YES",(Table4[[#This Row],[Strength of Win]]-1)^2,(Table4[[#This Row],[Strength of Win]]-0)^2))</f>
        <v/>
      </c>
      <c r="P497" s="11"/>
    </row>
    <row r="498" spans="4:16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1.6319036584269762</v>
      </c>
      <c r="H498" t="s">
        <v>29</v>
      </c>
      <c r="I498">
        <f>VLOOKUP(Table4[[#This Row],[Visitor]],'NHL Model'!$A$6:$B$38,2,FALSE)</f>
        <v>-1.384917283810061</v>
      </c>
      <c r="J498">
        <f>($B$1+Table4[[#This Row],[Home Differential]])-Table4[[#This Row],[Away Differential]]</f>
        <v>3.0667216911601995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498" t="str">
        <f>IF(OR((NHL2025_26Results[[#This Row],[Winning Team]]="")),"-",IF(Table4[[#This Row],[Predicted Winner]]=NHL2025_26Results[[#This Row],[Winning Team]],"YES","NO"))</f>
        <v>-</v>
      </c>
      <c r="N498" t="str">
        <f>IF(Table4[[#This Row],[Adjusted Correct]]="-", "",IF(Table4[[#This Row],[Adjusted Correct]]="YES",(Table4[[#This Row],[Strength of Win]]-1)^2,(Table4[[#This Row],[Strength of Win]]-0)^2))</f>
        <v/>
      </c>
      <c r="P498" s="11"/>
    </row>
    <row r="499" spans="4:16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0.41344250185511977</v>
      </c>
      <c r="H499" t="s">
        <v>11</v>
      </c>
      <c r="I499">
        <f>VLOOKUP(Table4[[#This Row],[Visitor]],'NHL Model'!$A$6:$B$38,2,FALSE)</f>
        <v>-0.39711829106410657</v>
      </c>
      <c r="J499">
        <f>($B$1+Table4[[#This Row],[Home Differential]])-Table4[[#This Row],[Away Differential]]</f>
        <v>0.86046154184238888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0.67271765032437847</v>
      </c>
      <c r="M499" t="str">
        <f>IF(OR((NHL2025_26Results[[#This Row],[Winning Team]]="")),"-",IF(Table4[[#This Row],[Predicted Winner]]=NHL2025_26Results[[#This Row],[Winning Team]],"YES","NO"))</f>
        <v>-</v>
      </c>
      <c r="N499" t="str">
        <f>IF(Table4[[#This Row],[Adjusted Correct]]="-", "",IF(Table4[[#This Row],[Adjusted Correct]]="YES",(Table4[[#This Row],[Strength of Win]]-1)^2,(Table4[[#This Row],[Strength of Win]]-0)^2))</f>
        <v/>
      </c>
      <c r="P499" s="11"/>
    </row>
    <row r="500" spans="4:16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-0.33828359867721369</v>
      </c>
      <c r="H500" t="s">
        <v>16</v>
      </c>
      <c r="I500">
        <f>VLOOKUP(Table4[[#This Row],[Visitor]],'NHL Model'!$A$6:$B$38,2,FALSE)</f>
        <v>-1.0657812790446208</v>
      </c>
      <c r="J500">
        <f>($B$1+Table4[[#This Row],[Home Differential]])-Table4[[#This Row],[Away Differential]]</f>
        <v>0.77739842929056957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0.63077274020161012</v>
      </c>
      <c r="M500" t="str">
        <f>IF(OR((NHL2025_26Results[[#This Row],[Winning Team]]="")),"-",IF(Table4[[#This Row],[Predicted Winner]]=NHL2025_26Results[[#This Row],[Winning Team]],"YES","NO"))</f>
        <v>-</v>
      </c>
      <c r="N500" t="str">
        <f>IF(Table4[[#This Row],[Adjusted Correct]]="-", "",IF(Table4[[#This Row],[Adjusted Correct]]="YES",(Table4[[#This Row],[Strength of Win]]-1)^2,(Table4[[#This Row],[Strength of Win]]-0)^2))</f>
        <v/>
      </c>
      <c r="P500" s="11"/>
    </row>
    <row r="501" spans="4:16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-5.5124787449478845E-2</v>
      </c>
      <c r="H501" t="s">
        <v>36</v>
      </c>
      <c r="I501">
        <f>VLOOKUP(Table4[[#This Row],[Visitor]],'NHL Model'!$A$6:$B$38,2,FALSE)</f>
        <v>-0.53137605086483863</v>
      </c>
      <c r="J501">
        <f>($B$1+Table4[[#This Row],[Home Differential]])-Table4[[#This Row],[Away Differential]]</f>
        <v>0.52615201233852227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0.60143601288999726</v>
      </c>
      <c r="M501" t="str">
        <f>IF(OR((NHL2025_26Results[[#This Row],[Winning Team]]="")),"-",IF(Table4[[#This Row],[Predicted Winner]]=NHL2025_26Results[[#This Row],[Winning Team]],"YES","NO"))</f>
        <v>-</v>
      </c>
      <c r="N501" t="str">
        <f>IF(Table4[[#This Row],[Adjusted Correct]]="-", "",IF(Table4[[#This Row],[Adjusted Correct]]="YES",(Table4[[#This Row],[Strength of Win]]-1)^2,(Table4[[#This Row],[Strength of Win]]-0)^2))</f>
        <v/>
      </c>
      <c r="P501" s="11"/>
    </row>
    <row r="502" spans="4:16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1.5302507646042616E-3</v>
      </c>
      <c r="H502" t="s">
        <v>31</v>
      </c>
      <c r="I502">
        <f>VLOOKUP(Table4[[#This Row],[Visitor]],'NHL Model'!$A$6:$B$38,2,FALSE)</f>
        <v>0.17870302183926629</v>
      </c>
      <c r="J502">
        <f>($B$1+Table4[[#This Row],[Home Differential]])-Table4[[#This Row],[Away Differential]]</f>
        <v>-0.12727202215149958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0.41486088698717133</v>
      </c>
      <c r="M502" t="str">
        <f>IF(OR((NHL2025_26Results[[#This Row],[Winning Team]]="")),"-",IF(Table4[[#This Row],[Predicted Winner]]=NHL2025_26Results[[#This Row],[Winning Team]],"YES","NO"))</f>
        <v>-</v>
      </c>
      <c r="N502" t="str">
        <f>IF(Table4[[#This Row],[Adjusted Correct]]="-", "",IF(Table4[[#This Row],[Adjusted Correct]]="YES",(Table4[[#This Row],[Strength of Win]]-1)^2,(Table4[[#This Row],[Strength of Win]]-0)^2))</f>
        <v/>
      </c>
      <c r="P502" s="11"/>
    </row>
    <row r="503" spans="4:16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-0.24093199744133265</v>
      </c>
      <c r="H503" t="s">
        <v>37</v>
      </c>
      <c r="I503">
        <f>VLOOKUP(Table4[[#This Row],[Visitor]],'NHL Model'!$A$6:$B$38,2,FALSE)</f>
        <v>0.51050494674660429</v>
      </c>
      <c r="J503">
        <f>($B$1+Table4[[#This Row],[Home Differential]])-Table4[[#This Row],[Away Differential]]</f>
        <v>-0.70153619526477451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0.63440089257773835</v>
      </c>
      <c r="M503" t="str">
        <f>IF(OR((NHL2025_26Results[[#This Row],[Winning Team]]="")),"-",IF(Table4[[#This Row],[Predicted Winner]]=NHL2025_26Results[[#This Row],[Winning Team]],"YES","NO"))</f>
        <v>-</v>
      </c>
      <c r="N503" t="str">
        <f>IF(Table4[[#This Row],[Adjusted Correct]]="-", "",IF(Table4[[#This Row],[Adjusted Correct]]="YES",(Table4[[#This Row],[Strength of Win]]-1)^2,(Table4[[#This Row],[Strength of Win]]-0)^2))</f>
        <v/>
      </c>
      <c r="P503" s="11"/>
    </row>
    <row r="504" spans="4:16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-0.29003398448394263</v>
      </c>
      <c r="H504" t="s">
        <v>18</v>
      </c>
      <c r="I504">
        <f>VLOOKUP(Table4[[#This Row],[Visitor]],'NHL Model'!$A$6:$B$38,2,FALSE)</f>
        <v>-0.59288962827382519</v>
      </c>
      <c r="J504">
        <f>($B$1+Table4[[#This Row],[Home Differential]])-Table4[[#This Row],[Away Differential]]</f>
        <v>0.35275639271304504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0.52190168133413184</v>
      </c>
      <c r="M504" t="str">
        <f>IF(OR((NHL2025_26Results[[#This Row],[Winning Team]]="")),"-",IF(Table4[[#This Row],[Predicted Winner]]=NHL2025_26Results[[#This Row],[Winning Team]],"YES","NO"))</f>
        <v>-</v>
      </c>
      <c r="N504" t="str">
        <f>IF(Table4[[#This Row],[Adjusted Correct]]="-", "",IF(Table4[[#This Row],[Adjusted Correct]]="YES",(Table4[[#This Row],[Strength of Win]]-1)^2,(Table4[[#This Row],[Strength of Win]]-0)^2))</f>
        <v/>
      </c>
      <c r="P504" s="11"/>
    </row>
    <row r="505" spans="4:16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-0.38023958350631604</v>
      </c>
      <c r="H505" t="s">
        <v>25</v>
      </c>
      <c r="I505">
        <f>VLOOKUP(Table4[[#This Row],[Visitor]],'NHL Model'!$A$6:$B$38,2,FALSE)</f>
        <v>0.42567513732855267</v>
      </c>
      <c r="J505">
        <f>($B$1+Table4[[#This Row],[Home Differential]])-Table4[[#This Row],[Away Differential]]</f>
        <v>-0.75601397191170627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0.60679430770908094</v>
      </c>
      <c r="M505" t="str">
        <f>IF(OR((NHL2025_26Results[[#This Row],[Winning Team]]="")),"-",IF(Table4[[#This Row],[Predicted Winner]]=NHL2025_26Results[[#This Row],[Winning Team]],"YES","NO"))</f>
        <v>-</v>
      </c>
      <c r="N505" t="str">
        <f>IF(Table4[[#This Row],[Adjusted Correct]]="-", "",IF(Table4[[#This Row],[Adjusted Correct]]="YES",(Table4[[#This Row],[Strength of Win]]-1)^2,(Table4[[#This Row],[Strength of Win]]-0)^2))</f>
        <v/>
      </c>
      <c r="P505" s="11"/>
    </row>
    <row r="506" spans="4:16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-0.14226422156549004</v>
      </c>
      <c r="H506" t="s">
        <v>33</v>
      </c>
      <c r="I506">
        <f>VLOOKUP(Table4[[#This Row],[Visitor]],'NHL Model'!$A$6:$B$38,2,FALSE)</f>
        <v>-0.45133099238224339</v>
      </c>
      <c r="J506">
        <f>($B$1+Table4[[#This Row],[Home Differential]])-Table4[[#This Row],[Away Differential]]</f>
        <v>0.35896751973991581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0.58191475591210462</v>
      </c>
      <c r="M506" t="str">
        <f>IF(OR((NHL2025_26Results[[#This Row],[Winning Team]]="")),"-",IF(Table4[[#This Row],[Predicted Winner]]=NHL2025_26Results[[#This Row],[Winning Team]],"YES","NO"))</f>
        <v>-</v>
      </c>
      <c r="N506" t="str">
        <f>IF(Table4[[#This Row],[Adjusted Correct]]="-", "",IF(Table4[[#This Row],[Adjusted Correct]]="YES",(Table4[[#This Row],[Strength of Win]]-1)^2,(Table4[[#This Row],[Strength of Win]]-0)^2))</f>
        <v/>
      </c>
      <c r="P506" s="11"/>
    </row>
    <row r="507" spans="4:16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-0.63447859131898054</v>
      </c>
      <c r="H507" t="s">
        <v>17</v>
      </c>
      <c r="I507">
        <f>VLOOKUP(Table4[[#This Row],[Visitor]],'NHL Model'!$A$6:$B$38,2,FALSE)</f>
        <v>-0.81774666423752174</v>
      </c>
      <c r="J507">
        <f>($B$1+Table4[[#This Row],[Home Differential]])-Table4[[#This Row],[Away Differential]]</f>
        <v>0.23316882184170362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0.56722590127621864</v>
      </c>
      <c r="M507" t="str">
        <f>IF(OR((NHL2025_26Results[[#This Row],[Winning Team]]="")),"-",IF(Table4[[#This Row],[Predicted Winner]]=NHL2025_26Results[[#This Row],[Winning Team]],"YES","NO"))</f>
        <v>-</v>
      </c>
      <c r="N507" t="str">
        <f>IF(Table4[[#This Row],[Adjusted Correct]]="-", "",IF(Table4[[#This Row],[Adjusted Correct]]="YES",(Table4[[#This Row],[Strength of Win]]-1)^2,(Table4[[#This Row],[Strength of Win]]-0)^2))</f>
        <v/>
      </c>
      <c r="P507" s="11"/>
    </row>
    <row r="508" spans="4:16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-0.31324182378279158</v>
      </c>
      <c r="H508" t="s">
        <v>22</v>
      </c>
      <c r="I508">
        <f>VLOOKUP(Table4[[#This Row],[Visitor]],'NHL Model'!$A$6:$B$38,2,FALSE)</f>
        <v>0.4407072328537569</v>
      </c>
      <c r="J508">
        <f>($B$1+Table4[[#This Row],[Home Differential]])-Table4[[#This Row],[Away Differential]]</f>
        <v>-0.704048307713386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0.58220803093694351</v>
      </c>
      <c r="M508" t="str">
        <f>IF(OR((NHL2025_26Results[[#This Row],[Winning Team]]="")),"-",IF(Table4[[#This Row],[Predicted Winner]]=NHL2025_26Results[[#This Row],[Winning Team]],"YES","NO"))</f>
        <v>-</v>
      </c>
      <c r="N508" t="str">
        <f>IF(Table4[[#This Row],[Adjusted Correct]]="-", "",IF(Table4[[#This Row],[Adjusted Correct]]="YES",(Table4[[#This Row],[Strength of Win]]-1)^2,(Table4[[#This Row],[Strength of Win]]-0)^2))</f>
        <v/>
      </c>
      <c r="P508" s="11"/>
    </row>
    <row r="509" spans="4:16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0.42567513732855267</v>
      </c>
      <c r="H509" t="s">
        <v>27</v>
      </c>
      <c r="I509">
        <f>VLOOKUP(Table4[[#This Row],[Visitor]],'NHL Model'!$A$6:$B$38,2,FALSE)</f>
        <v>-0.38023958350631604</v>
      </c>
      <c r="J509">
        <f>($B$1+Table4[[#This Row],[Home Differential]])-Table4[[#This Row],[Away Differential]]</f>
        <v>0.85581546975803113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0.64992908702910213</v>
      </c>
      <c r="M509" t="str">
        <f>IF(OR((NHL2025_26Results[[#This Row],[Winning Team]]="")),"-",IF(Table4[[#This Row],[Predicted Winner]]=NHL2025_26Results[[#This Row],[Winning Team]],"YES","NO"))</f>
        <v>-</v>
      </c>
      <c r="N509" t="str">
        <f>IF(Table4[[#This Row],[Adjusted Correct]]="-", "",IF(Table4[[#This Row],[Adjusted Correct]]="YES",(Table4[[#This Row],[Strength of Win]]-1)^2,(Table4[[#This Row],[Strength of Win]]-0)^2))</f>
        <v/>
      </c>
      <c r="P509" s="11"/>
    </row>
    <row r="510" spans="4:16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-5.5124787449478845E-2</v>
      </c>
      <c r="H510" t="s">
        <v>21</v>
      </c>
      <c r="I510">
        <f>VLOOKUP(Table4[[#This Row],[Visitor]],'NHL Model'!$A$6:$B$38,2,FALSE)</f>
        <v>-0.21976976044773161</v>
      </c>
      <c r="J510">
        <f>($B$1+Table4[[#This Row],[Home Differential]])-Table4[[#This Row],[Away Differential]]</f>
        <v>0.21454572192141524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0.56422188641562931</v>
      </c>
      <c r="M510" t="str">
        <f>IF(OR((NHL2025_26Results[[#This Row],[Winning Team]]="")),"-",IF(Table4[[#This Row],[Predicted Winner]]=NHL2025_26Results[[#This Row],[Winning Team]],"YES","NO"))</f>
        <v>-</v>
      </c>
      <c r="N510" t="str">
        <f>IF(Table4[[#This Row],[Adjusted Correct]]="-", "",IF(Table4[[#This Row],[Adjusted Correct]]="YES",(Table4[[#This Row],[Strength of Win]]-1)^2,(Table4[[#This Row],[Strength of Win]]-0)^2))</f>
        <v/>
      </c>
      <c r="P510" s="11"/>
    </row>
    <row r="511" spans="4:16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-0.59288962827382519</v>
      </c>
      <c r="H511" t="s">
        <v>17</v>
      </c>
      <c r="I511">
        <f>VLOOKUP(Table4[[#This Row],[Visitor]],'NHL Model'!$A$6:$B$38,2,FALSE)</f>
        <v>-0.81774666423752174</v>
      </c>
      <c r="J511">
        <f>($B$1+Table4[[#This Row],[Home Differential]])-Table4[[#This Row],[Away Differential]]</f>
        <v>0.27475778488685898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0.57208202652102691</v>
      </c>
      <c r="M511" t="str">
        <f>IF(OR((NHL2025_26Results[[#This Row],[Winning Team]]="")),"-",IF(Table4[[#This Row],[Predicted Winner]]=NHL2025_26Results[[#This Row],[Winning Team]],"YES","NO"))</f>
        <v>-</v>
      </c>
      <c r="N511" t="str">
        <f>IF(Table4[[#This Row],[Adjusted Correct]]="-", "",IF(Table4[[#This Row],[Adjusted Correct]]="YES",(Table4[[#This Row],[Strength of Win]]-1)^2,(Table4[[#This Row],[Strength of Win]]-0)^2))</f>
        <v/>
      </c>
      <c r="P511" s="11"/>
    </row>
    <row r="512" spans="4:16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1.5302507646042616E-3</v>
      </c>
      <c r="H512" t="s">
        <v>38</v>
      </c>
      <c r="I512">
        <f>VLOOKUP(Table4[[#This Row],[Visitor]],'NHL Model'!$A$6:$B$38,2,FALSE)</f>
        <v>-0.9476777551108041</v>
      </c>
      <c r="J512">
        <f>($B$1+Table4[[#This Row],[Home Differential]])-Table4[[#This Row],[Away Differential]]</f>
        <v>0.99910875479857086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0.73309904907991641</v>
      </c>
      <c r="M512" t="str">
        <f>IF(OR((NHL2025_26Results[[#This Row],[Winning Team]]="")),"-",IF(Table4[[#This Row],[Predicted Winner]]=NHL2025_26Results[[#This Row],[Winning Team]],"YES","NO"))</f>
        <v>-</v>
      </c>
      <c r="N512" t="str">
        <f>IF(Table4[[#This Row],[Adjusted Correct]]="-", "",IF(Table4[[#This Row],[Adjusted Correct]]="YES",(Table4[[#This Row],[Strength of Win]]-1)^2,(Table4[[#This Row],[Strength of Win]]-0)^2))</f>
        <v/>
      </c>
      <c r="P512" s="11"/>
    </row>
    <row r="513" spans="4:16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-0.14226422156549004</v>
      </c>
      <c r="H513" t="s">
        <v>55</v>
      </c>
      <c r="I513">
        <f>VLOOKUP(Table4[[#This Row],[Visitor]],'NHL Model'!$A$6:$B$38,2,FALSE)</f>
        <v>-0.4031232890211825</v>
      </c>
      <c r="J513">
        <f>($B$1+Table4[[#This Row],[Home Differential]])-Table4[[#This Row],[Away Differential]]</f>
        <v>0.31075981637885491</v>
      </c>
      <c r="K513" t="str">
        <f>IF(Table4[[#This Row],[HomeIce Differential]]&gt;0,Table4[[#This Row],[Home]],Table4[[#This Row],[Visitor]])</f>
        <v>Pittsburgh Penguins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0.57628579504977917</v>
      </c>
      <c r="M513" t="str">
        <f>IF(OR((NHL2025_26Results[[#This Row],[Winning Team]]="")),"-",IF(Table4[[#This Row],[Predicted Winner]]=NHL2025_26Results[[#This Row],[Winning Team]],"YES","NO"))</f>
        <v>-</v>
      </c>
      <c r="N513" t="str">
        <f>IF(Table4[[#This Row],[Adjusted Correct]]="-", "",IF(Table4[[#This Row],[Adjusted Correct]]="YES",(Table4[[#This Row],[Strength of Win]]-1)^2,(Table4[[#This Row],[Strength of Win]]-0)^2))</f>
        <v/>
      </c>
      <c r="P513" s="11"/>
    </row>
    <row r="514" spans="4:16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-0.64937723527808999</v>
      </c>
      <c r="H514" t="s">
        <v>23</v>
      </c>
      <c r="I514">
        <f>VLOOKUP(Table4[[#This Row],[Visitor]],'NHL Model'!$A$6:$B$38,2,FALSE)</f>
        <v>-0.4761104357405897</v>
      </c>
      <c r="J514">
        <f>($B$1+Table4[[#This Row],[Home Differential]])-Table4[[#This Row],[Away Differential]]</f>
        <v>-0.12336605061433786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0.4744048071621822</v>
      </c>
      <c r="M514" t="str">
        <f>IF(OR((NHL2025_26Results[[#This Row],[Winning Team]]="")),"-",IF(Table4[[#This Row],[Predicted Winner]]=NHL2025_26Results[[#This Row],[Winning Team]],"YES","NO"))</f>
        <v>-</v>
      </c>
      <c r="N514" t="str">
        <f>IF(Table4[[#This Row],[Adjusted Correct]]="-", "",IF(Table4[[#This Row],[Adjusted Correct]]="YES",(Table4[[#This Row],[Strength of Win]]-1)^2,(Table4[[#This Row],[Strength of Win]]-0)^2))</f>
        <v/>
      </c>
      <c r="P514" s="11"/>
    </row>
    <row r="515" spans="4:16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0.41344250185511977</v>
      </c>
      <c r="H515" t="s">
        <v>13</v>
      </c>
      <c r="I515">
        <f>VLOOKUP(Table4[[#This Row],[Visitor]],'NHL Model'!$A$6:$B$38,2,FALSE)</f>
        <v>-0.33828359867721369</v>
      </c>
      <c r="J515">
        <f>($B$1+Table4[[#This Row],[Home Differential]])-Table4[[#This Row],[Away Differential]]</f>
        <v>0.80162684945549589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0.59993087976587611</v>
      </c>
      <c r="M515" t="str">
        <f>IF(OR((NHL2025_26Results[[#This Row],[Winning Team]]="")),"-",IF(Table4[[#This Row],[Predicted Winner]]=NHL2025_26Results[[#This Row],[Winning Team]],"YES","NO"))</f>
        <v>-</v>
      </c>
      <c r="N515" t="str">
        <f>IF(Table4[[#This Row],[Adjusted Correct]]="-", "",IF(Table4[[#This Row],[Adjusted Correct]]="YES",(Table4[[#This Row],[Strength of Win]]-1)^2,(Table4[[#This Row],[Strength of Win]]-0)^2))</f>
        <v/>
      </c>
      <c r="P515" s="11"/>
    </row>
    <row r="516" spans="4:16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-0.29003398448394263</v>
      </c>
      <c r="H516" t="s">
        <v>31</v>
      </c>
      <c r="I516">
        <f>VLOOKUP(Table4[[#This Row],[Visitor]],'NHL Model'!$A$6:$B$38,2,FALSE)</f>
        <v>0.17870302183926629</v>
      </c>
      <c r="J516">
        <f>($B$1+Table4[[#This Row],[Home Differential]])-Table4[[#This Row],[Away Differential]]</f>
        <v>-0.41883625740004649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0.52967454540266012</v>
      </c>
      <c r="M516" t="str">
        <f>IF(OR((NHL2025_26Results[[#This Row],[Winning Team]]="")),"-",IF(Table4[[#This Row],[Predicted Winner]]=NHL2025_26Results[[#This Row],[Winning Team]],"YES","NO"))</f>
        <v>-</v>
      </c>
      <c r="N516" t="str">
        <f>IF(Table4[[#This Row],[Adjusted Correct]]="-", "",IF(Table4[[#This Row],[Adjusted Correct]]="YES",(Table4[[#This Row],[Strength of Win]]-1)^2,(Table4[[#This Row],[Strength of Win]]-0)^2))</f>
        <v/>
      </c>
      <c r="P516" s="11"/>
    </row>
    <row r="517" spans="4:16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-1.3944783719477225</v>
      </c>
      <c r="H517" t="s">
        <v>29</v>
      </c>
      <c r="I517">
        <f>VLOOKUP(Table4[[#This Row],[Visitor]],'NHL Model'!$A$6:$B$38,2,FALSE)</f>
        <v>-1.384917283810061</v>
      </c>
      <c r="J517">
        <f>($B$1+Table4[[#This Row],[Home Differential]])-Table4[[#This Row],[Away Differential]]</f>
        <v>4.0339660785500886E-2</v>
      </c>
      <c r="K517" t="str">
        <f>IF(Table4[[#This Row],[HomeIce Differential]]&gt;0,Table4[[#This Row],[Home]],Table4[[#This Row],[Visitor]])</f>
        <v>St. Louis Blues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0.54471025076760826</v>
      </c>
      <c r="M517" t="str">
        <f>IF(OR((NHL2025_26Results[[#This Row],[Winning Team]]="")),"-",IF(Table4[[#This Row],[Predicted Winner]]=NHL2025_26Results[[#This Row],[Winning Team]],"YES","NO"))</f>
        <v>-</v>
      </c>
      <c r="N517" t="str">
        <f>IF(Table4[[#This Row],[Adjusted Correct]]="-", "",IF(Table4[[#This Row],[Adjusted Correct]]="YES",(Table4[[#This Row],[Strength of Win]]-1)^2,(Table4[[#This Row],[Strength of Win]]-0)^2))</f>
        <v/>
      </c>
      <c r="P517" s="11"/>
    </row>
    <row r="518" spans="4:16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0.51050494674660429</v>
      </c>
      <c r="H518" t="s">
        <v>11</v>
      </c>
      <c r="I518">
        <f>VLOOKUP(Table4[[#This Row],[Visitor]],'NHL Model'!$A$6:$B$38,2,FALSE)</f>
        <v>-0.39711829106410657</v>
      </c>
      <c r="J518">
        <f>($B$1+Table4[[#This Row],[Home Differential]])-Table4[[#This Row],[Away Differential]]</f>
        <v>0.95752398673387329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0.68405112330490425</v>
      </c>
      <c r="M518" t="str">
        <f>IF(OR((NHL2025_26Results[[#This Row],[Winning Team]]="")),"-",IF(Table4[[#This Row],[Predicted Winner]]=NHL2025_26Results[[#This Row],[Winning Team]],"YES","NO"))</f>
        <v>-</v>
      </c>
      <c r="N518" t="str">
        <f>IF(Table4[[#This Row],[Adjusted Correct]]="-", "",IF(Table4[[#This Row],[Adjusted Correct]]="YES",(Table4[[#This Row],[Strength of Win]]-1)^2,(Table4[[#This Row],[Strength of Win]]-0)^2))</f>
        <v/>
      </c>
      <c r="P518" s="11"/>
    </row>
    <row r="519" spans="4:16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-0.31324182378279158</v>
      </c>
      <c r="H519" t="s">
        <v>36</v>
      </c>
      <c r="I519">
        <f>VLOOKUP(Table4[[#This Row],[Visitor]],'NHL Model'!$A$6:$B$38,2,FALSE)</f>
        <v>-0.53137605086483863</v>
      </c>
      <c r="J519">
        <f>($B$1+Table4[[#This Row],[Home Differential]])-Table4[[#This Row],[Away Differential]]</f>
        <v>0.26803497600520954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0.57379251856685676</v>
      </c>
      <c r="M519" t="str">
        <f>IF(OR((NHL2025_26Results[[#This Row],[Winning Team]]="")),"-",IF(Table4[[#This Row],[Predicted Winner]]=NHL2025_26Results[[#This Row],[Winning Team]],"YES","NO"))</f>
        <v>-</v>
      </c>
      <c r="N519" t="str">
        <f>IF(Table4[[#This Row],[Adjusted Correct]]="-", "",IF(Table4[[#This Row],[Adjusted Correct]]="YES",(Table4[[#This Row],[Strength of Win]]-1)^2,(Table4[[#This Row],[Strength of Win]]-0)^2))</f>
        <v/>
      </c>
      <c r="P519" s="11"/>
    </row>
    <row r="520" spans="4:16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-0.21976976044773161</v>
      </c>
      <c r="H520" t="s">
        <v>55</v>
      </c>
      <c r="I520">
        <f>VLOOKUP(Table4[[#This Row],[Visitor]],'NHL Model'!$A$6:$B$38,2,FALSE)</f>
        <v>-0.4031232890211825</v>
      </c>
      <c r="J520">
        <f>($B$1+Table4[[#This Row],[Home Differential]])-Table4[[#This Row],[Away Differential]]</f>
        <v>0.23325427749661334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0.61013743388930985</v>
      </c>
      <c r="M520" t="str">
        <f>IF(OR((NHL2025_26Results[[#This Row],[Winning Team]]="")),"-",IF(Table4[[#This Row],[Predicted Winner]]=NHL2025_26Results[[#This Row],[Winning Team]],"YES","NO"))</f>
        <v>-</v>
      </c>
      <c r="N520" t="str">
        <f>IF(Table4[[#This Row],[Adjusted Correct]]="-", "",IF(Table4[[#This Row],[Adjusted Correct]]="YES",(Table4[[#This Row],[Strength of Win]]-1)^2,(Table4[[#This Row],[Strength of Win]]-0)^2))</f>
        <v/>
      </c>
      <c r="P520" s="11"/>
    </row>
    <row r="521" spans="4:16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-0.59498940435054026</v>
      </c>
      <c r="H521" t="s">
        <v>31</v>
      </c>
      <c r="I521">
        <f>VLOOKUP(Table4[[#This Row],[Visitor]],'NHL Model'!$A$6:$B$38,2,FALSE)</f>
        <v>0.17870302183926629</v>
      </c>
      <c r="J521">
        <f>($B$1+Table4[[#This Row],[Home Differential]])-Table4[[#This Row],[Away Differential]]</f>
        <v>-0.72379167726664417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0.56528259149285476</v>
      </c>
      <c r="M521" t="str">
        <f>IF(OR((NHL2025_26Results[[#This Row],[Winning Team]]="")),"-",IF(Table4[[#This Row],[Predicted Winner]]=NHL2025_26Results[[#This Row],[Winning Team]],"YES","NO"))</f>
        <v>-</v>
      </c>
      <c r="N521" t="str">
        <f>IF(Table4[[#This Row],[Adjusted Correct]]="-", "",IF(Table4[[#This Row],[Adjusted Correct]]="YES",(Table4[[#This Row],[Strength of Win]]-1)^2,(Table4[[#This Row],[Strength of Win]]-0)^2))</f>
        <v/>
      </c>
      <c r="P521" s="11"/>
    </row>
    <row r="522" spans="4:16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-0.87533956503230947</v>
      </c>
      <c r="H522" t="s">
        <v>30</v>
      </c>
      <c r="I522">
        <f>VLOOKUP(Table4[[#This Row],[Visitor]],'NHL Model'!$A$6:$B$38,2,FALSE)</f>
        <v>-0.24093199744133265</v>
      </c>
      <c r="J522">
        <f>($B$1+Table4[[#This Row],[Home Differential]])-Table4[[#This Row],[Away Differential]]</f>
        <v>-0.5845068186678144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0.6008729668922711</v>
      </c>
      <c r="M522" t="str">
        <f>IF(OR((NHL2025_26Results[[#This Row],[Winning Team]]="")),"-",IF(Table4[[#This Row],[Predicted Winner]]=NHL2025_26Results[[#This Row],[Winning Team]],"YES","NO"))</f>
        <v>-</v>
      </c>
      <c r="N522" t="str">
        <f>IF(Table4[[#This Row],[Adjusted Correct]]="-", "",IF(Table4[[#This Row],[Adjusted Correct]]="YES",(Table4[[#This Row],[Strength of Win]]-1)^2,(Table4[[#This Row],[Strength of Win]]-0)^2))</f>
        <v/>
      </c>
      <c r="P522" s="11"/>
    </row>
    <row r="523" spans="4:16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-5.5124787449478845E-2</v>
      </c>
      <c r="H523" t="s">
        <v>22</v>
      </c>
      <c r="I523">
        <f>VLOOKUP(Table4[[#This Row],[Visitor]],'NHL Model'!$A$6:$B$38,2,FALSE)</f>
        <v>0.4407072328537569</v>
      </c>
      <c r="J523">
        <f>($B$1+Table4[[#This Row],[Home Differential]])-Table4[[#This Row],[Away Differential]]</f>
        <v>-0.44593127138007327</v>
      </c>
      <c r="K523" t="str">
        <f>IF(Table4[[#This Row],[HomeIce Differential]]&gt;0,Table4[[#This Row],[Home]],Table4[[#This Row],[Visitor]])</f>
        <v>Washington Capitals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0.5545816202235333</v>
      </c>
      <c r="M523" t="str">
        <f>IF(OR((NHL2025_26Results[[#This Row],[Winning Team]]="")),"-",IF(Table4[[#This Row],[Predicted Winner]]=NHL2025_26Results[[#This Row],[Winning Team]],"YES","NO"))</f>
        <v>-</v>
      </c>
      <c r="N523" t="str">
        <f>IF(Table4[[#This Row],[Adjusted Correct]]="-", "",IF(Table4[[#This Row],[Adjusted Correct]]="YES",(Table4[[#This Row],[Strength of Win]]-1)^2,(Table4[[#This Row],[Strength of Win]]-0)^2))</f>
        <v/>
      </c>
      <c r="P523" s="11"/>
    </row>
    <row r="524" spans="4:16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-0.59288962827382519</v>
      </c>
      <c r="H524" t="s">
        <v>27</v>
      </c>
      <c r="I524">
        <f>VLOOKUP(Table4[[#This Row],[Visitor]],'NHL Model'!$A$6:$B$38,2,FALSE)</f>
        <v>-0.38023958350631604</v>
      </c>
      <c r="J524">
        <f>($B$1+Table4[[#This Row],[Home Differential]])-Table4[[#This Row],[Away Differential]]</f>
        <v>-0.16274929584434672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0.52151594511207089</v>
      </c>
      <c r="M524" t="str">
        <f>IF(OR((NHL2025_26Results[[#This Row],[Winning Team]]="")),"-",IF(Table4[[#This Row],[Predicted Winner]]=NHL2025_26Results[[#This Row],[Winning Team]],"YES","NO"))</f>
        <v>-</v>
      </c>
      <c r="N524" t="str">
        <f>IF(Table4[[#This Row],[Adjusted Correct]]="-", "",IF(Table4[[#This Row],[Adjusted Correct]]="YES",(Table4[[#This Row],[Strength of Win]]-1)^2,(Table4[[#This Row],[Strength of Win]]-0)^2))</f>
        <v/>
      </c>
      <c r="P524" s="11"/>
    </row>
    <row r="525" spans="4:16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-0.29003398448394263</v>
      </c>
      <c r="H525" t="s">
        <v>38</v>
      </c>
      <c r="I525">
        <f>VLOOKUP(Table4[[#This Row],[Visitor]],'NHL Model'!$A$6:$B$38,2,FALSE)</f>
        <v>-0.9476777551108041</v>
      </c>
      <c r="J525">
        <f>($B$1+Table4[[#This Row],[Home Differential]])-Table4[[#This Row],[Away Differential]]</f>
        <v>0.70754451955002395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0.61904010632887752</v>
      </c>
      <c r="M525" t="str">
        <f>IF(OR((NHL2025_26Results[[#This Row],[Winning Team]]="")),"-",IF(Table4[[#This Row],[Predicted Winner]]=NHL2025_26Results[[#This Row],[Winning Team]],"YES","NO"))</f>
        <v>-</v>
      </c>
      <c r="N525" t="str">
        <f>IF(Table4[[#This Row],[Adjusted Correct]]="-", "",IF(Table4[[#This Row],[Adjusted Correct]]="YES",(Table4[[#This Row],[Strength of Win]]-1)^2,(Table4[[#This Row],[Strength of Win]]-0)^2))</f>
        <v/>
      </c>
      <c r="P525" s="11"/>
    </row>
    <row r="526" spans="4:16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-0.14226422156549004</v>
      </c>
      <c r="H526" t="s">
        <v>17</v>
      </c>
      <c r="I526">
        <f>VLOOKUP(Table4[[#This Row],[Visitor]],'NHL Model'!$A$6:$B$38,2,FALSE)</f>
        <v>-0.81774666423752174</v>
      </c>
      <c r="J526">
        <f>($B$1+Table4[[#This Row],[Home Differential]])-Table4[[#This Row],[Away Differential]]</f>
        <v>0.72538319159519415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0.62469919351055736</v>
      </c>
      <c r="M526" t="str">
        <f>IF(OR((NHL2025_26Results[[#This Row],[Winning Team]]="")),"-",IF(Table4[[#This Row],[Predicted Winner]]=NHL2025_26Results[[#This Row],[Winning Team]],"YES","NO"))</f>
        <v>-</v>
      </c>
      <c r="N526" t="str">
        <f>IF(Table4[[#This Row],[Adjusted Correct]]="-", "",IF(Table4[[#This Row],[Adjusted Correct]]="YES",(Table4[[#This Row],[Strength of Win]]-1)^2,(Table4[[#This Row],[Strength of Win]]-0)^2))</f>
        <v/>
      </c>
      <c r="P526" s="11"/>
    </row>
    <row r="527" spans="4:16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-0.64937723527808999</v>
      </c>
      <c r="H527" t="s">
        <v>12</v>
      </c>
      <c r="I527">
        <f>VLOOKUP(Table4[[#This Row],[Visitor]],'NHL Model'!$A$6:$B$38,2,FALSE)</f>
        <v>1.6319036584269762</v>
      </c>
      <c r="J527">
        <f>($B$1+Table4[[#This Row],[Home Differential]])-Table4[[#This Row],[Away Differential]]</f>
        <v>-2.2313801447819035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0.79316973383163425</v>
      </c>
      <c r="M527" t="str">
        <f>IF(OR((NHL2025_26Results[[#This Row],[Winning Team]]="")),"-",IF(Table4[[#This Row],[Predicted Winner]]=NHL2025_26Results[[#This Row],[Winning Team]],"YES","NO"))</f>
        <v>-</v>
      </c>
      <c r="N527" t="str">
        <f>IF(Table4[[#This Row],[Adjusted Correct]]="-", "",IF(Table4[[#This Row],[Adjusted Correct]]="YES",(Table4[[#This Row],[Strength of Win]]-1)^2,(Table4[[#This Row],[Strength of Win]]-0)^2))</f>
        <v/>
      </c>
      <c r="P527" s="11"/>
    </row>
    <row r="528" spans="4:16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-0.45133099238224339</v>
      </c>
      <c r="H528" t="s">
        <v>16</v>
      </c>
      <c r="I528">
        <f>VLOOKUP(Table4[[#This Row],[Visitor]],'NHL Model'!$A$6:$B$38,2,FALSE)</f>
        <v>-1.0657812790446208</v>
      </c>
      <c r="J528">
        <f>($B$1+Table4[[#This Row],[Home Differential]])-Table4[[#This Row],[Away Differential]]</f>
        <v>0.66435103558553998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0.62769503791484937</v>
      </c>
      <c r="M528" t="str">
        <f>IF(OR((NHL2025_26Results[[#This Row],[Winning Team]]="")),"-",IF(Table4[[#This Row],[Predicted Winner]]=NHL2025_26Results[[#This Row],[Winning Team]],"YES","NO"))</f>
        <v>-</v>
      </c>
      <c r="N528" t="str">
        <f>IF(Table4[[#This Row],[Adjusted Correct]]="-", "",IF(Table4[[#This Row],[Adjusted Correct]]="YES",(Table4[[#This Row],[Strength of Win]]-1)^2,(Table4[[#This Row],[Strength of Win]]-0)^2))</f>
        <v/>
      </c>
      <c r="P528" s="11"/>
    </row>
    <row r="529" spans="4:16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-0.63447859131898054</v>
      </c>
      <c r="H529" t="s">
        <v>10</v>
      </c>
      <c r="I529">
        <f>VLOOKUP(Table4[[#This Row],[Visitor]],'NHL Model'!$A$6:$B$38,2,FALSE)</f>
        <v>-0.17619625518431364</v>
      </c>
      <c r="J529">
        <f>($B$1+Table4[[#This Row],[Home Differential]])-Table4[[#This Row],[Away Differential]]</f>
        <v>-0.40838158721150447</v>
      </c>
      <c r="K529" t="str">
        <f>IF(Table4[[#This Row],[HomeIce Differential]]&gt;0,Table4[[#This Row],[Home]],Table4[[#This Row],[Visitor]])</f>
        <v>Chicago Blackhawks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0.50768457758899765</v>
      </c>
      <c r="M529" t="str">
        <f>IF(OR((NHL2025_26Results[[#This Row],[Winning Team]]="")),"-",IF(Table4[[#This Row],[Predicted Winner]]=NHL2025_26Results[[#This Row],[Winning Team]],"YES","NO"))</f>
        <v>-</v>
      </c>
      <c r="N529" t="str">
        <f>IF(Table4[[#This Row],[Adjusted Correct]]="-", "",IF(Table4[[#This Row],[Adjusted Correct]]="YES",(Table4[[#This Row],[Strength of Win]]-1)^2,(Table4[[#This Row],[Strength of Win]]-0)^2))</f>
        <v/>
      </c>
      <c r="P529" s="11"/>
    </row>
    <row r="530" spans="4:16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-0.87533956503230947</v>
      </c>
      <c r="H530" t="s">
        <v>55</v>
      </c>
      <c r="I530">
        <f>VLOOKUP(Table4[[#This Row],[Visitor]],'NHL Model'!$A$6:$B$38,2,FALSE)</f>
        <v>-0.4031232890211825</v>
      </c>
      <c r="J530">
        <f>($B$1+Table4[[#This Row],[Home Differential]])-Table4[[#This Row],[Away Differential]]</f>
        <v>-0.42231552708796455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0.50931157071984945</v>
      </c>
      <c r="M530" t="str">
        <f>IF(OR((NHL2025_26Results[[#This Row],[Winning Team]]="")),"-",IF(Table4[[#This Row],[Predicted Winner]]=NHL2025_26Results[[#This Row],[Winning Team]],"YES","NO"))</f>
        <v>-</v>
      </c>
      <c r="N530" t="str">
        <f>IF(Table4[[#This Row],[Adjusted Correct]]="-", "",IF(Table4[[#This Row],[Adjusted Correct]]="YES",(Table4[[#This Row],[Strength of Win]]-1)^2,(Table4[[#This Row],[Strength of Win]]-0)^2))</f>
        <v/>
      </c>
      <c r="P530" s="11"/>
    </row>
    <row r="531" spans="4:16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-0.39711829106410657</v>
      </c>
      <c r="H531" t="s">
        <v>13</v>
      </c>
      <c r="I531">
        <f>VLOOKUP(Table4[[#This Row],[Visitor]],'NHL Model'!$A$6:$B$38,2,FALSE)</f>
        <v>-0.33828359867721369</v>
      </c>
      <c r="J531">
        <f>($B$1+Table4[[#This Row],[Home Differential]])-Table4[[#This Row],[Away Differential]]</f>
        <v>-8.9339434637303872E-3</v>
      </c>
      <c r="K531" t="str">
        <f>IF(Table4[[#This Row],[HomeIce Differential]]&gt;0,Table4[[#This Row],[Home]],Table4[[#This Row],[Visitor]])</f>
        <v>Los Angeles Kings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0.51323829170620494</v>
      </c>
      <c r="M531" t="str">
        <f>IF(OR((NHL2025_26Results[[#This Row],[Winning Team]]="")),"-",IF(Table4[[#This Row],[Predicted Winner]]=NHL2025_26Results[[#This Row],[Winning Team]],"YES","NO"))</f>
        <v>-</v>
      </c>
      <c r="N531" t="str">
        <f>IF(Table4[[#This Row],[Adjusted Correct]]="-", "",IF(Table4[[#This Row],[Adjusted Correct]]="YES",(Table4[[#This Row],[Strength of Win]]-1)^2,(Table4[[#This Row],[Strength of Win]]-0)^2))</f>
        <v/>
      </c>
      <c r="P531" s="11"/>
    </row>
    <row r="532" spans="4:16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-1.384917283810061</v>
      </c>
      <c r="H532" t="s">
        <v>25</v>
      </c>
      <c r="I532">
        <f>VLOOKUP(Table4[[#This Row],[Visitor]],'NHL Model'!$A$6:$B$38,2,FALSE)</f>
        <v>0.42567513732855267</v>
      </c>
      <c r="J532">
        <f>($B$1+Table4[[#This Row],[Home Differential]])-Table4[[#This Row],[Away Differential]]</f>
        <v>-1.7606916722154513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0.73820990779345019</v>
      </c>
      <c r="M532" t="str">
        <f>IF(OR((NHL2025_26Results[[#This Row],[Winning Team]]="")),"-",IF(Table4[[#This Row],[Predicted Winner]]=NHL2025_26Results[[#This Row],[Winning Team]],"YES","NO"))</f>
        <v>-</v>
      </c>
      <c r="N532" t="str">
        <f>IF(Table4[[#This Row],[Adjusted Correct]]="-", "",IF(Table4[[#This Row],[Adjusted Correct]]="YES",(Table4[[#This Row],[Strength of Win]]-1)^2,(Table4[[#This Row],[Strength of Win]]-0)^2))</f>
        <v/>
      </c>
      <c r="P532" s="11"/>
    </row>
    <row r="533" spans="4:16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-1.3944783719477225</v>
      </c>
      <c r="H533" t="s">
        <v>40</v>
      </c>
      <c r="I533">
        <f>VLOOKUP(Table4[[#This Row],[Visitor]],'NHL Model'!$A$6:$B$38,2,FALSE)</f>
        <v>-0.31324182378279158</v>
      </c>
      <c r="J533">
        <f>($B$1+Table4[[#This Row],[Home Differential]])-Table4[[#This Row],[Away Differential]]</f>
        <v>-1.0313357992417684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0.60119290676073633</v>
      </c>
      <c r="M533" t="str">
        <f>IF(OR((NHL2025_26Results[[#This Row],[Winning Team]]="")),"-",IF(Table4[[#This Row],[Predicted Winner]]=NHL2025_26Results[[#This Row],[Winning Team]],"YES","NO"))</f>
        <v>-</v>
      </c>
      <c r="N533" t="str">
        <f>IF(Table4[[#This Row],[Adjusted Correct]]="-", "",IF(Table4[[#This Row],[Adjusted Correct]]="YES",(Table4[[#This Row],[Strength of Win]]-1)^2,(Table4[[#This Row],[Strength of Win]]-0)^2))</f>
        <v/>
      </c>
      <c r="P533" s="11"/>
    </row>
    <row r="534" spans="4:16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-0.24444083032063643</v>
      </c>
      <c r="H534" t="s">
        <v>24</v>
      </c>
      <c r="I534">
        <f>VLOOKUP(Table4[[#This Row],[Visitor]],'NHL Model'!$A$6:$B$38,2,FALSE)</f>
        <v>1.5302507646042616E-3</v>
      </c>
      <c r="J534">
        <f>($B$1+Table4[[#This Row],[Home Differential]])-Table4[[#This Row],[Away Differential]]</f>
        <v>-0.19607033216207823</v>
      </c>
      <c r="K534" t="str">
        <f>IF(Table4[[#This Row],[HomeIce Differential]]&gt;0,Table4[[#This Row],[Home]],Table4[[#This Row],[Visitor]])</f>
        <v>New Jersey Devils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0.50366333584072343</v>
      </c>
      <c r="M534" t="str">
        <f>IF(OR((NHL2025_26Results[[#This Row],[Winning Team]]="")),"-",IF(Table4[[#This Row],[Predicted Winner]]=NHL2025_26Results[[#This Row],[Winning Team]],"YES","NO"))</f>
        <v>-</v>
      </c>
      <c r="N534" t="str">
        <f>IF(Table4[[#This Row],[Adjusted Correct]]="-", "",IF(Table4[[#This Row],[Adjusted Correct]]="YES",(Table4[[#This Row],[Strength of Win]]-1)^2,(Table4[[#This Row],[Strength of Win]]-0)^2))</f>
        <v/>
      </c>
      <c r="P534" s="11"/>
    </row>
    <row r="535" spans="4:16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-0.21976976044773161</v>
      </c>
      <c r="H535" t="s">
        <v>17</v>
      </c>
      <c r="I535">
        <f>VLOOKUP(Table4[[#This Row],[Visitor]],'NHL Model'!$A$6:$B$38,2,FALSE)</f>
        <v>-0.81774666423752174</v>
      </c>
      <c r="J535">
        <f>($B$1+Table4[[#This Row],[Home Differential]])-Table4[[#This Row],[Away Differential]]</f>
        <v>0.64787765271295261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0.65855083235008804</v>
      </c>
      <c r="M535" t="str">
        <f>IF(OR((NHL2025_26Results[[#This Row],[Winning Team]]="")),"-",IF(Table4[[#This Row],[Predicted Winner]]=NHL2025_26Results[[#This Row],[Winning Team]],"YES","NO"))</f>
        <v>-</v>
      </c>
      <c r="N535" t="str">
        <f>IF(Table4[[#This Row],[Adjusted Correct]]="-", "",IF(Table4[[#This Row],[Adjusted Correct]]="YES",(Table4[[#This Row],[Strength of Win]]-1)^2,(Table4[[#This Row],[Strength of Win]]-0)^2))</f>
        <v/>
      </c>
      <c r="P535" s="11"/>
    </row>
    <row r="536" spans="4:16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-0.4761104357405897</v>
      </c>
      <c r="H536" t="s">
        <v>27</v>
      </c>
      <c r="I536">
        <f>VLOOKUP(Table4[[#This Row],[Visitor]],'NHL Model'!$A$6:$B$38,2,FALSE)</f>
        <v>-0.38023958350631604</v>
      </c>
      <c r="J536">
        <f>($B$1+Table4[[#This Row],[Home Differential]])-Table4[[#This Row],[Away Differential]]</f>
        <v>-4.5970103311111177E-2</v>
      </c>
      <c r="K536" t="str">
        <f>IF(Table4[[#This Row],[HomeIce Differential]]&gt;0,Table4[[#This Row],[Home]],Table4[[#This Row],[Visitor]])</f>
        <v>Philadelphia Flyers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0.49767538033956632</v>
      </c>
      <c r="M536" t="str">
        <f>IF(OR((NHL2025_26Results[[#This Row],[Winning Team]]="")),"-",IF(Table4[[#This Row],[Predicted Winner]]=NHL2025_26Results[[#This Row],[Winning Team]],"YES","NO"))</f>
        <v>-</v>
      </c>
      <c r="N536" t="str">
        <f>IF(Table4[[#This Row],[Adjusted Correct]]="-", "",IF(Table4[[#This Row],[Adjusted Correct]]="YES",(Table4[[#This Row],[Strength of Win]]-1)^2,(Table4[[#This Row],[Strength of Win]]-0)^2))</f>
        <v/>
      </c>
      <c r="P536" s="11"/>
    </row>
    <row r="537" spans="4:16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-0.59498940435054026</v>
      </c>
      <c r="H537" t="s">
        <v>34</v>
      </c>
      <c r="I537">
        <f>VLOOKUP(Table4[[#This Row],[Visitor]],'NHL Model'!$A$6:$B$38,2,FALSE)</f>
        <v>-5.5124787449478845E-2</v>
      </c>
      <c r="J537">
        <f>($B$1+Table4[[#This Row],[Home Differential]])-Table4[[#This Row],[Away Differential]]</f>
        <v>-0.48996386797789898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0.55972307575107316</v>
      </c>
      <c r="M537" t="str">
        <f>IF(OR((NHL2025_26Results[[#This Row],[Winning Team]]="")),"-",IF(Table4[[#This Row],[Predicted Winner]]=NHL2025_26Results[[#This Row],[Winning Team]],"YES","NO"))</f>
        <v>-</v>
      </c>
      <c r="N537" t="str">
        <f>IF(Table4[[#This Row],[Adjusted Correct]]="-", "",IF(Table4[[#This Row],[Adjusted Correct]]="YES",(Table4[[#This Row],[Strength of Win]]-1)^2,(Table4[[#This Row],[Strength of Win]]-0)^2))</f>
        <v/>
      </c>
      <c r="P537" s="11"/>
    </row>
    <row r="538" spans="4:16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-1.0657812790446208</v>
      </c>
      <c r="H538" t="s">
        <v>32</v>
      </c>
      <c r="I538">
        <f>VLOOKUP(Table4[[#This Row],[Visitor]],'NHL Model'!$A$6:$B$38,2,FALSE)</f>
        <v>-0.64937723527808999</v>
      </c>
      <c r="J538">
        <f>($B$1+Table4[[#This Row],[Home Differential]])-Table4[[#This Row],[Away Differential]]</f>
        <v>-0.36650329484336841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0.50279466887553537</v>
      </c>
      <c r="M538" t="str">
        <f>IF(OR((NHL2025_26Results[[#This Row],[Winning Team]]="")),"-",IF(Table4[[#This Row],[Predicted Winner]]=NHL2025_26Results[[#This Row],[Winning Team]],"YES","NO"))</f>
        <v>-</v>
      </c>
      <c r="N538" t="str">
        <f>IF(Table4[[#This Row],[Adjusted Correct]]="-", "",IF(Table4[[#This Row],[Adjusted Correct]]="YES",(Table4[[#This Row],[Strength of Win]]-1)^2,(Table4[[#This Row],[Strength of Win]]-0)^2))</f>
        <v/>
      </c>
      <c r="P538" s="11"/>
    </row>
    <row r="539" spans="4:16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-0.59288962827382519</v>
      </c>
      <c r="H539" t="s">
        <v>10</v>
      </c>
      <c r="I539">
        <f>VLOOKUP(Table4[[#This Row],[Visitor]],'NHL Model'!$A$6:$B$38,2,FALSE)</f>
        <v>-0.17619625518431364</v>
      </c>
      <c r="J539">
        <f>($B$1+Table4[[#This Row],[Home Differential]])-Table4[[#This Row],[Away Differential]]</f>
        <v>-0.36679262416634911</v>
      </c>
      <c r="K539" t="str">
        <f>IF(Table4[[#This Row],[HomeIce Differential]]&gt;0,Table4[[#This Row],[Home]],Table4[[#This Row],[Visitor]])</f>
        <v>Chicago Blackhawks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0.50282845234418938</v>
      </c>
      <c r="M539" t="str">
        <f>IF(OR((NHL2025_26Results[[#This Row],[Winning Team]]="")),"-",IF(Table4[[#This Row],[Predicted Winner]]=NHL2025_26Results[[#This Row],[Winning Team]],"YES","NO"))</f>
        <v>-</v>
      </c>
      <c r="N539" t="str">
        <f>IF(Table4[[#This Row],[Adjusted Correct]]="-", "",IF(Table4[[#This Row],[Adjusted Correct]]="YES",(Table4[[#This Row],[Strength of Win]]-1)^2,(Table4[[#This Row],[Strength of Win]]-0)^2))</f>
        <v/>
      </c>
      <c r="P539" s="11"/>
    </row>
    <row r="540" spans="4:16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-0.53137605086483863</v>
      </c>
      <c r="H540" t="s">
        <v>14</v>
      </c>
      <c r="I540">
        <f>VLOOKUP(Table4[[#This Row],[Visitor]],'NHL Model'!$A$6:$B$38,2,FALSE)</f>
        <v>-0.14226422156549004</v>
      </c>
      <c r="J540">
        <f>($B$1+Table4[[#This Row],[Home Differential]])-Table4[[#This Row],[Away Differential]]</f>
        <v>-0.33921108037618608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0.5363820935805419</v>
      </c>
      <c r="M540" t="str">
        <f>IF(OR((NHL2025_26Results[[#This Row],[Winning Team]]="")),"-",IF(Table4[[#This Row],[Predicted Winner]]=NHL2025_26Results[[#This Row],[Winning Team]],"YES","NO"))</f>
        <v>-</v>
      </c>
      <c r="N540" t="str">
        <f>IF(Table4[[#This Row],[Adjusted Correct]]="-", "",IF(Table4[[#This Row],[Adjusted Correct]]="YES",(Table4[[#This Row],[Strength of Win]]-1)^2,(Table4[[#This Row],[Strength of Win]]-0)^2))</f>
        <v/>
      </c>
      <c r="P540" s="11"/>
    </row>
    <row r="541" spans="4:16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-0.45133099238224339</v>
      </c>
      <c r="H541" t="s">
        <v>39</v>
      </c>
      <c r="I541">
        <f>VLOOKUP(Table4[[#This Row],[Visitor]],'NHL Model'!$A$6:$B$38,2,FALSE)</f>
        <v>0.41344250185511977</v>
      </c>
      <c r="J541">
        <f>($B$1+Table4[[#This Row],[Home Differential]])-Table4[[#This Row],[Away Differential]]</f>
        <v>-0.81487274531420062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0.64687255760983398</v>
      </c>
      <c r="M541" t="str">
        <f>IF(OR((NHL2025_26Results[[#This Row],[Winning Team]]="")),"-",IF(Table4[[#This Row],[Predicted Winner]]=NHL2025_26Results[[#This Row],[Winning Team]],"YES","NO"))</f>
        <v>-</v>
      </c>
      <c r="N541" t="str">
        <f>IF(Table4[[#This Row],[Adjusted Correct]]="-", "",IF(Table4[[#This Row],[Adjusted Correct]]="YES",(Table4[[#This Row],[Strength of Win]]-1)^2,(Table4[[#This Row],[Strength of Win]]-0)^2))</f>
        <v/>
      </c>
      <c r="P541" s="11"/>
    </row>
    <row r="542" spans="4:16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-1.3944783719477225</v>
      </c>
      <c r="H542" t="s">
        <v>15</v>
      </c>
      <c r="I542">
        <f>VLOOKUP(Table4[[#This Row],[Visitor]],'NHL Model'!$A$6:$B$38,2,FALSE)</f>
        <v>-0.29003398448394263</v>
      </c>
      <c r="J542">
        <f>($B$1+Table4[[#This Row],[Home Differential]])-Table4[[#This Row],[Away Differential]]</f>
        <v>-1.0545436385406175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0.68321500014802006</v>
      </c>
      <c r="M542" t="str">
        <f>IF(OR((NHL2025_26Results[[#This Row],[Winning Team]]="")),"-",IF(Table4[[#This Row],[Predicted Winner]]=NHL2025_26Results[[#This Row],[Winning Team]],"YES","NO"))</f>
        <v>-</v>
      </c>
      <c r="N542" t="str">
        <f>IF(Table4[[#This Row],[Adjusted Correct]]="-", "",IF(Table4[[#This Row],[Adjusted Correct]]="YES",(Table4[[#This Row],[Strength of Win]]-1)^2,(Table4[[#This Row],[Strength of Win]]-0)^2))</f>
        <v/>
      </c>
      <c r="P542" s="11"/>
    </row>
    <row r="543" spans="4:16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0.51050494674660429</v>
      </c>
      <c r="H543" t="s">
        <v>13</v>
      </c>
      <c r="I543">
        <f>VLOOKUP(Table4[[#This Row],[Visitor]],'NHL Model'!$A$6:$B$38,2,FALSE)</f>
        <v>-0.33828359867721369</v>
      </c>
      <c r="J543">
        <f>($B$1+Table4[[#This Row],[Home Differential]])-Table4[[#This Row],[Away Differential]]</f>
        <v>0.89868929434698042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0.6112643527464019</v>
      </c>
      <c r="M543" t="str">
        <f>IF(OR((NHL2025_26Results[[#This Row],[Winning Team]]="")),"-",IF(Table4[[#This Row],[Predicted Winner]]=NHL2025_26Results[[#This Row],[Winning Team]],"YES","NO"))</f>
        <v>-</v>
      </c>
      <c r="N543" t="str">
        <f>IF(Table4[[#This Row],[Adjusted Correct]]="-", "",IF(Table4[[#This Row],[Adjusted Correct]]="YES",(Table4[[#This Row],[Strength of Win]]-1)^2,(Table4[[#This Row],[Strength of Win]]-0)^2))</f>
        <v/>
      </c>
      <c r="P543" s="11"/>
    </row>
    <row r="544" spans="4:16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0.4407072328537569</v>
      </c>
      <c r="H544" t="s">
        <v>19</v>
      </c>
      <c r="I544">
        <f>VLOOKUP(Table4[[#This Row],[Visitor]],'NHL Model'!$A$6:$B$38,2,FALSE)</f>
        <v>-0.63447859131898054</v>
      </c>
      <c r="J544">
        <f>($B$1+Table4[[#This Row],[Home Differential]])-Table4[[#This Row],[Away Differential]]</f>
        <v>1.1250865730958999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0.69740819835070078</v>
      </c>
      <c r="M544" t="str">
        <f>IF(OR((NHL2025_26Results[[#This Row],[Winning Team]]="")),"-",IF(Table4[[#This Row],[Predicted Winner]]=NHL2025_26Results[[#This Row],[Winning Team]],"YES","NO"))</f>
        <v>-</v>
      </c>
      <c r="N544" t="str">
        <f>IF(Table4[[#This Row],[Adjusted Correct]]="-", "",IF(Table4[[#This Row],[Adjusted Correct]]="YES",(Table4[[#This Row],[Strength of Win]]-1)^2,(Table4[[#This Row],[Strength of Win]]-0)^2))</f>
        <v/>
      </c>
      <c r="P544" s="11"/>
    </row>
    <row r="545" spans="4:16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0.17870302183926629</v>
      </c>
      <c r="H545" t="s">
        <v>39</v>
      </c>
      <c r="I545">
        <f>VLOOKUP(Table4[[#This Row],[Visitor]],'NHL Model'!$A$6:$B$38,2,FALSE)</f>
        <v>0.41344250185511977</v>
      </c>
      <c r="J545">
        <f>($B$1+Table4[[#This Row],[Home Differential]])-Table4[[#This Row],[Away Differential]]</f>
        <v>-0.18483873109269103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0.50158264988004087</v>
      </c>
      <c r="M545" t="str">
        <f>IF(OR((NHL2025_26Results[[#This Row],[Winning Team]]="")),"-",IF(Table4[[#This Row],[Predicted Winner]]=NHL2025_26Results[[#This Row],[Winning Team]],"YES","NO"))</f>
        <v>-</v>
      </c>
      <c r="N545" t="str">
        <f>IF(Table4[[#This Row],[Adjusted Correct]]="-", "",IF(Table4[[#This Row],[Adjusted Correct]]="YES",(Table4[[#This Row],[Strength of Win]]-1)^2,(Table4[[#This Row],[Strength of Win]]-0)^2))</f>
        <v/>
      </c>
      <c r="P545" s="11"/>
    </row>
    <row r="546" spans="4:16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1.6319036584269762</v>
      </c>
      <c r="H546" t="s">
        <v>40</v>
      </c>
      <c r="I546">
        <f>VLOOKUP(Table4[[#This Row],[Visitor]],'NHL Model'!$A$6:$B$38,2,FALSE)</f>
        <v>-0.31324182378279158</v>
      </c>
      <c r="J546">
        <f>($B$1+Table4[[#This Row],[Home Differential]])-Table4[[#This Row],[Away Differential]]</f>
        <v>1.9950462311329302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0.85795109226563959</v>
      </c>
      <c r="M546" t="str">
        <f>IF(OR((NHL2025_26Results[[#This Row],[Winning Team]]="")),"-",IF(Table4[[#This Row],[Predicted Winner]]=NHL2025_26Results[[#This Row],[Winning Team]],"YES","NO"))</f>
        <v>-</v>
      </c>
      <c r="N546" t="str">
        <f>IF(Table4[[#This Row],[Adjusted Correct]]="-", "",IF(Table4[[#This Row],[Adjusted Correct]]="YES",(Table4[[#This Row],[Strength of Win]]-1)^2,(Table4[[#This Row],[Strength of Win]]-0)^2))</f>
        <v/>
      </c>
      <c r="P546" s="11"/>
    </row>
    <row r="547" spans="4:16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-0.39711829106410657</v>
      </c>
      <c r="H547" t="s">
        <v>25</v>
      </c>
      <c r="I547">
        <f>VLOOKUP(Table4[[#This Row],[Visitor]],'NHL Model'!$A$6:$B$38,2,FALSE)</f>
        <v>0.42567513732855267</v>
      </c>
      <c r="J547">
        <f>($B$1+Table4[[#This Row],[Home Differential]])-Table4[[#This Row],[Away Differential]]</f>
        <v>-0.7728926794694968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0.60876514592839726</v>
      </c>
      <c r="M547" t="str">
        <f>IF(OR((NHL2025_26Results[[#This Row],[Winning Team]]="")),"-",IF(Table4[[#This Row],[Predicted Winner]]=NHL2025_26Results[[#This Row],[Winning Team]],"YES","NO"))</f>
        <v>-</v>
      </c>
      <c r="N547" t="str">
        <f>IF(Table4[[#This Row],[Adjusted Correct]]="-", "",IF(Table4[[#This Row],[Adjusted Correct]]="YES",(Table4[[#This Row],[Strength of Win]]-1)^2,(Table4[[#This Row],[Strength of Win]]-0)^2))</f>
        <v/>
      </c>
      <c r="P547" s="11"/>
    </row>
    <row r="548" spans="4:16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-0.24093199744133265</v>
      </c>
      <c r="H548" t="s">
        <v>38</v>
      </c>
      <c r="I548">
        <f>VLOOKUP(Table4[[#This Row],[Visitor]],'NHL Model'!$A$6:$B$38,2,FALSE)</f>
        <v>-0.9476777551108041</v>
      </c>
      <c r="J548">
        <f>($B$1+Table4[[#This Row],[Home Differential]])-Table4[[#This Row],[Away Differential]]</f>
        <v>0.75664650659263388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0.62477348800970889</v>
      </c>
      <c r="M548" t="str">
        <f>IF(OR((NHL2025_26Results[[#This Row],[Winning Team]]="")),"-",IF(Table4[[#This Row],[Predicted Winner]]=NHL2025_26Results[[#This Row],[Winning Team]],"YES","NO"))</f>
        <v>-</v>
      </c>
      <c r="N548" t="str">
        <f>IF(Table4[[#This Row],[Adjusted Correct]]="-", "",IF(Table4[[#This Row],[Adjusted Correct]]="YES",(Table4[[#This Row],[Strength of Win]]-1)^2,(Table4[[#This Row],[Strength of Win]]-0)^2))</f>
        <v/>
      </c>
      <c r="P548" s="11"/>
    </row>
    <row r="549" spans="4:16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-0.4031232890211825</v>
      </c>
      <c r="H549" t="s">
        <v>24</v>
      </c>
      <c r="I549">
        <f>VLOOKUP(Table4[[#This Row],[Visitor]],'NHL Model'!$A$6:$B$38,2,FALSE)</f>
        <v>1.5302507646042616E-3</v>
      </c>
      <c r="J549">
        <f>($B$1+Table4[[#This Row],[Home Differential]])-Table4[[#This Row],[Away Differential]]</f>
        <v>-0.35475279086262429</v>
      </c>
      <c r="K549" t="str">
        <f>IF(Table4[[#This Row],[HomeIce Differential]]&gt;0,Table4[[#This Row],[Home]],Table4[[#This Row],[Visitor]])</f>
        <v>New Jersey Devils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0.48142262411072223</v>
      </c>
      <c r="M549" t="str">
        <f>IF(OR((NHL2025_26Results[[#This Row],[Winning Team]]="")),"-",IF(Table4[[#This Row],[Predicted Winner]]=NHL2025_26Results[[#This Row],[Winning Team]],"YES","NO"))</f>
        <v>-</v>
      </c>
      <c r="N549" t="str">
        <f>IF(Table4[[#This Row],[Adjusted Correct]]="-", "",IF(Table4[[#This Row],[Adjusted Correct]]="YES",(Table4[[#This Row],[Strength of Win]]-1)^2,(Table4[[#This Row],[Strength of Win]]-0)^2))</f>
        <v/>
      </c>
      <c r="P549" s="11"/>
    </row>
    <row r="550" spans="4:16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0.17870302183926629</v>
      </c>
      <c r="H550" t="s">
        <v>28</v>
      </c>
      <c r="I550">
        <f>VLOOKUP(Table4[[#This Row],[Visitor]],'NHL Model'!$A$6:$B$38,2,FALSE)</f>
        <v>-0.59498940435054026</v>
      </c>
      <c r="J550">
        <f>($B$1+Table4[[#This Row],[Home Differential]])-Table4[[#This Row],[Away Differential]]</f>
        <v>0.82359317511296903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0.71260501472654725</v>
      </c>
      <c r="M550" t="str">
        <f>IF(OR((NHL2025_26Results[[#This Row],[Winning Team]]="")),"-",IF(Table4[[#This Row],[Predicted Winner]]=NHL2025_26Results[[#This Row],[Winning Team]],"YES","NO"))</f>
        <v>-</v>
      </c>
      <c r="N550" t="str">
        <f>IF(Table4[[#This Row],[Adjusted Correct]]="-", "",IF(Table4[[#This Row],[Adjusted Correct]]="YES",(Table4[[#This Row],[Strength of Win]]-1)^2,(Table4[[#This Row],[Strength of Win]]-0)^2))</f>
        <v/>
      </c>
      <c r="P550" s="11"/>
    </row>
    <row r="551" spans="4:16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-0.21976976044773161</v>
      </c>
      <c r="H551" t="s">
        <v>38</v>
      </c>
      <c r="I551">
        <f>VLOOKUP(Table4[[#This Row],[Visitor]],'NHL Model'!$A$6:$B$38,2,FALSE)</f>
        <v>-0.9476777551108041</v>
      </c>
      <c r="J551">
        <f>($B$1+Table4[[#This Row],[Home Differential]])-Table4[[#This Row],[Away Differential]]</f>
        <v>0.77780874358623497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0.67021979208233717</v>
      </c>
      <c r="M551" t="str">
        <f>IF(OR((NHL2025_26Results[[#This Row],[Winning Team]]="")),"-",IF(Table4[[#This Row],[Predicted Winner]]=NHL2025_26Results[[#This Row],[Winning Team]],"YES","NO"))</f>
        <v>-</v>
      </c>
      <c r="N551" t="str">
        <f>IF(Table4[[#This Row],[Adjusted Correct]]="-", "",IF(Table4[[#This Row],[Adjusted Correct]]="YES",(Table4[[#This Row],[Strength of Win]]-1)^2,(Table4[[#This Row],[Strength of Win]]-0)^2))</f>
        <v/>
      </c>
      <c r="P551" s="11"/>
    </row>
    <row r="552" spans="4:16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-0.4761104357405897</v>
      </c>
      <c r="H552" t="s">
        <v>30</v>
      </c>
      <c r="I552">
        <f>VLOOKUP(Table4[[#This Row],[Visitor]],'NHL Model'!$A$6:$B$38,2,FALSE)</f>
        <v>-0.24093199744133265</v>
      </c>
      <c r="J552">
        <f>($B$1+Table4[[#This Row],[Home Differential]])-Table4[[#This Row],[Away Differential]]</f>
        <v>-0.18527768937609457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0.54408288433002694</v>
      </c>
      <c r="M552" t="str">
        <f>IF(OR((NHL2025_26Results[[#This Row],[Winning Team]]="")),"-",IF(Table4[[#This Row],[Predicted Winner]]=NHL2025_26Results[[#This Row],[Winning Team]],"YES","NO"))</f>
        <v>-</v>
      </c>
      <c r="N552" t="str">
        <f>IF(Table4[[#This Row],[Adjusted Correct]]="-", "",IF(Table4[[#This Row],[Adjusted Correct]]="YES",(Table4[[#This Row],[Strength of Win]]-1)^2,(Table4[[#This Row],[Strength of Win]]-0)^2))</f>
        <v/>
      </c>
      <c r="P552" s="11"/>
    </row>
    <row r="553" spans="4:16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-1.0657812790446208</v>
      </c>
      <c r="H553" t="s">
        <v>20</v>
      </c>
      <c r="I553">
        <f>VLOOKUP(Table4[[#This Row],[Visitor]],'NHL Model'!$A$6:$B$38,2,FALSE)</f>
        <v>-0.24444083032063643</v>
      </c>
      <c r="J553">
        <f>($B$1+Table4[[#This Row],[Home Differential]])-Table4[[#This Row],[Away Differential]]</f>
        <v>-0.77143969980082194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0.55007697058911142</v>
      </c>
      <c r="M553" t="str">
        <f>IF(OR((NHL2025_26Results[[#This Row],[Winning Team]]="")),"-",IF(Table4[[#This Row],[Predicted Winner]]=NHL2025_26Results[[#This Row],[Winning Team]],"YES","NO"))</f>
        <v>-</v>
      </c>
      <c r="N553" t="str">
        <f>IF(Table4[[#This Row],[Adjusted Correct]]="-", "",IF(Table4[[#This Row],[Adjusted Correct]]="YES",(Table4[[#This Row],[Strength of Win]]-1)^2,(Table4[[#This Row],[Strength of Win]]-0)^2))</f>
        <v/>
      </c>
      <c r="P553" s="11"/>
    </row>
    <row r="554" spans="4:16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-0.39711829106410657</v>
      </c>
      <c r="H554" t="s">
        <v>35</v>
      </c>
      <c r="I554">
        <f>VLOOKUP(Table4[[#This Row],[Visitor]],'NHL Model'!$A$6:$B$38,2,FALSE)</f>
        <v>-1.3944783719477225</v>
      </c>
      <c r="J554">
        <f>($B$1+Table4[[#This Row],[Home Differential]])-Table4[[#This Row],[Away Differential]]</f>
        <v>1.0472608298067785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0.67629977884526182</v>
      </c>
      <c r="M554" t="str">
        <f>IF(OR((NHL2025_26Results[[#This Row],[Winning Team]]="")),"-",IF(Table4[[#This Row],[Predicted Winner]]=NHL2025_26Results[[#This Row],[Winning Team]],"YES","NO"))</f>
        <v>-</v>
      </c>
      <c r="N554" t="str">
        <f>IF(Table4[[#This Row],[Adjusted Correct]]="-", "",IF(Table4[[#This Row],[Adjusted Correct]]="YES",(Table4[[#This Row],[Strength of Win]]-1)^2,(Table4[[#This Row],[Strength of Win]]-0)^2))</f>
        <v/>
      </c>
      <c r="P554" s="11"/>
    </row>
    <row r="555" spans="4:16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-5.5124787449478845E-2</v>
      </c>
      <c r="H555" t="s">
        <v>17</v>
      </c>
      <c r="I555">
        <f>VLOOKUP(Table4[[#This Row],[Visitor]],'NHL Model'!$A$6:$B$38,2,FALSE)</f>
        <v>-0.81774666423752174</v>
      </c>
      <c r="J555">
        <f>($B$1+Table4[[#This Row],[Home Differential]])-Table4[[#This Row],[Away Differential]]</f>
        <v>0.81252262571120537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0.63487400852986009</v>
      </c>
      <c r="M555" t="str">
        <f>IF(OR((NHL2025_26Results[[#This Row],[Winning Team]]="")),"-",IF(Table4[[#This Row],[Predicted Winner]]=NHL2025_26Results[[#This Row],[Winning Team]],"YES","NO"))</f>
        <v>-</v>
      </c>
      <c r="N555" t="str">
        <f>IF(Table4[[#This Row],[Adjusted Correct]]="-", "",IF(Table4[[#This Row],[Adjusted Correct]]="YES",(Table4[[#This Row],[Strength of Win]]-1)^2,(Table4[[#This Row],[Strength of Win]]-0)^2))</f>
        <v/>
      </c>
      <c r="P555" s="11"/>
    </row>
    <row r="556" spans="4:16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-0.59288962827382519</v>
      </c>
      <c r="H556" t="s">
        <v>14</v>
      </c>
      <c r="I556">
        <f>VLOOKUP(Table4[[#This Row],[Visitor]],'NHL Model'!$A$6:$B$38,2,FALSE)</f>
        <v>-0.14226422156549004</v>
      </c>
      <c r="J556">
        <f>($B$1+Table4[[#This Row],[Home Differential]])-Table4[[#This Row],[Away Differential]]</f>
        <v>-0.40072465778517274</v>
      </c>
      <c r="K556" t="str">
        <f>IF(Table4[[#This Row],[HomeIce Differential]]&gt;0,Table4[[#This Row],[Home]],Table4[[#This Row],[Visitor]])</f>
        <v>Pittsburgh Penguins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0.54607725130849172</v>
      </c>
      <c r="M556" t="str">
        <f>IF(OR((NHL2025_26Results[[#This Row],[Winning Team]]="")),"-",IF(Table4[[#This Row],[Predicted Winner]]=NHL2025_26Results[[#This Row],[Winning Team]],"YES","NO"))</f>
        <v>-</v>
      </c>
      <c r="N556" t="str">
        <f>IF(Table4[[#This Row],[Adjusted Correct]]="-", "",IF(Table4[[#This Row],[Adjusted Correct]]="YES",(Table4[[#This Row],[Strength of Win]]-1)^2,(Table4[[#This Row],[Strength of Win]]-0)^2))</f>
        <v/>
      </c>
      <c r="P556" s="11"/>
    </row>
    <row r="557" spans="4:16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-1.384917283810061</v>
      </c>
      <c r="H557" t="s">
        <v>19</v>
      </c>
      <c r="I557">
        <f>VLOOKUP(Table4[[#This Row],[Visitor]],'NHL Model'!$A$6:$B$38,2,FALSE)</f>
        <v>-0.63447859131898054</v>
      </c>
      <c r="J557">
        <f>($B$1+Table4[[#This Row],[Home Differential]])-Table4[[#This Row],[Away Differential]]</f>
        <v>-0.70053794356791799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0.54179814411368299</v>
      </c>
      <c r="M557" t="str">
        <f>IF(OR((NHL2025_26Results[[#This Row],[Winning Team]]="")),"-",IF(Table4[[#This Row],[Predicted Winner]]=NHL2025_26Results[[#This Row],[Winning Team]],"YES","NO"))</f>
        <v>-</v>
      </c>
      <c r="N557" t="str">
        <f>IF(Table4[[#This Row],[Adjusted Correct]]="-", "",IF(Table4[[#This Row],[Adjusted Correct]]="YES",(Table4[[#This Row],[Strength of Win]]-1)^2,(Table4[[#This Row],[Strength of Win]]-0)^2))</f>
        <v/>
      </c>
      <c r="P557" s="11"/>
    </row>
    <row r="558" spans="4:16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-0.29003398448394263</v>
      </c>
      <c r="H558" t="s">
        <v>27</v>
      </c>
      <c r="I558">
        <f>VLOOKUP(Table4[[#This Row],[Visitor]],'NHL Model'!$A$6:$B$38,2,FALSE)</f>
        <v>-0.38023958350631604</v>
      </c>
      <c r="J558">
        <f>($B$1+Table4[[#This Row],[Home Differential]])-Table4[[#This Row],[Away Differential]]</f>
        <v>0.14010634794553586</v>
      </c>
      <c r="K558" t="str">
        <f>IF(Table4[[#This Row],[HomeIce Differential]]&gt;0,Table4[[#This Row],[Home]],Table4[[#This Row],[Visitor]])</f>
        <v>New York Rangers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0.51384692113068431</v>
      </c>
      <c r="M558" t="str">
        <f>IF(OR((NHL2025_26Results[[#This Row],[Winning Team]]="")),"-",IF(Table4[[#This Row],[Predicted Winner]]=NHL2025_26Results[[#This Row],[Winning Team]],"YES","NO"))</f>
        <v>-</v>
      </c>
      <c r="N558" t="str">
        <f>IF(Table4[[#This Row],[Adjusted Correct]]="-", "",IF(Table4[[#This Row],[Adjusted Correct]]="YES",(Table4[[#This Row],[Strength of Win]]-1)^2,(Table4[[#This Row],[Strength of Win]]-0)^2))</f>
        <v/>
      </c>
      <c r="P558" s="11"/>
    </row>
    <row r="559" spans="4:16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-0.53137605086483863</v>
      </c>
      <c r="H559" t="s">
        <v>10</v>
      </c>
      <c r="I559">
        <f>VLOOKUP(Table4[[#This Row],[Visitor]],'NHL Model'!$A$6:$B$38,2,FALSE)</f>
        <v>-0.17619625518431364</v>
      </c>
      <c r="J559">
        <f>($B$1+Table4[[#This Row],[Home Differential]])-Table4[[#This Row],[Away Differential]]</f>
        <v>-0.3052790467573625</v>
      </c>
      <c r="K559" t="str">
        <f>IF(Table4[[#This Row],[HomeIce Differential]]&gt;0,Table4[[#This Row],[Home]],Table4[[#This Row],[Visitor]])</f>
        <v>Chicago Blackhawks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0.4931503551017436</v>
      </c>
      <c r="M559" t="str">
        <f>IF(OR((NHL2025_26Results[[#This Row],[Winning Team]]="")),"-",IF(Table4[[#This Row],[Predicted Winner]]=NHL2025_26Results[[#This Row],[Winning Team]],"YES","NO"))</f>
        <v>-</v>
      </c>
      <c r="N559" t="str">
        <f>IF(Table4[[#This Row],[Adjusted Correct]]="-", "",IF(Table4[[#This Row],[Adjusted Correct]]="YES",(Table4[[#This Row],[Strength of Win]]-1)^2,(Table4[[#This Row],[Strength of Win]]-0)^2))</f>
        <v/>
      </c>
      <c r="P559" s="11"/>
    </row>
    <row r="560" spans="4:16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-0.45133099238224339</v>
      </c>
      <c r="H560" t="s">
        <v>32</v>
      </c>
      <c r="I560">
        <f>VLOOKUP(Table4[[#This Row],[Visitor]],'NHL Model'!$A$6:$B$38,2,FALSE)</f>
        <v>-0.64937723527808999</v>
      </c>
      <c r="J560">
        <f>($B$1+Table4[[#This Row],[Home Differential]])-Table4[[#This Row],[Away Differential]]</f>
        <v>0.24794699181900909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0.57907372012004421</v>
      </c>
      <c r="M560" t="str">
        <f>IF(OR((NHL2025_26Results[[#This Row],[Winning Team]]="")),"-",IF(Table4[[#This Row],[Predicted Winner]]=NHL2025_26Results[[#This Row],[Winning Team]],"YES","NO"))</f>
        <v>-</v>
      </c>
      <c r="N560" t="str">
        <f>IF(Table4[[#This Row],[Adjusted Correct]]="-", "",IF(Table4[[#This Row],[Adjusted Correct]]="YES",(Table4[[#This Row],[Strength of Win]]-1)^2,(Table4[[#This Row],[Strength of Win]]-0)^2))</f>
        <v/>
      </c>
      <c r="P560" s="11"/>
    </row>
    <row r="561" spans="4:16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0.51050494674660429</v>
      </c>
      <c r="H561" t="s">
        <v>25</v>
      </c>
      <c r="I561">
        <f>VLOOKUP(Table4[[#This Row],[Visitor]],'NHL Model'!$A$6:$B$38,2,FALSE)</f>
        <v>0.42567513732855267</v>
      </c>
      <c r="J561">
        <f>($B$1+Table4[[#This Row],[Home Differential]])-Table4[[#This Row],[Away Differential]]</f>
        <v>0.13473055834121406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0.5157317811674581</v>
      </c>
      <c r="M561" t="str">
        <f>IF(OR((NHL2025_26Results[[#This Row],[Winning Team]]="")),"-",IF(Table4[[#This Row],[Predicted Winner]]=NHL2025_26Results[[#This Row],[Winning Team]],"YES","NO"))</f>
        <v>-</v>
      </c>
      <c r="N561" t="str">
        <f>IF(Table4[[#This Row],[Adjusted Correct]]="-", "",IF(Table4[[#This Row],[Adjusted Correct]]="YES",(Table4[[#This Row],[Strength of Win]]-1)^2,(Table4[[#This Row],[Strength of Win]]-0)^2))</f>
        <v/>
      </c>
      <c r="P561" s="11"/>
    </row>
    <row r="562" spans="4:16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0.4407072328537569</v>
      </c>
      <c r="H562" t="s">
        <v>26</v>
      </c>
      <c r="I562">
        <f>VLOOKUP(Table4[[#This Row],[Visitor]],'NHL Model'!$A$6:$B$38,2,FALSE)</f>
        <v>-0.87533956503230947</v>
      </c>
      <c r="J562">
        <f>($B$1+Table4[[#This Row],[Home Differential]])-Table4[[#This Row],[Away Differential]]</f>
        <v>1.3659475468092288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0.72553227188599068</v>
      </c>
      <c r="M562" t="str">
        <f>IF(OR((NHL2025_26Results[[#This Row],[Winning Team]]="")),"-",IF(Table4[[#This Row],[Predicted Winner]]=NHL2025_26Results[[#This Row],[Winning Team]],"YES","NO"))</f>
        <v>-</v>
      </c>
      <c r="N562" t="str">
        <f>IF(Table4[[#This Row],[Adjusted Correct]]="-", "",IF(Table4[[#This Row],[Adjusted Correct]]="YES",(Table4[[#This Row],[Strength of Win]]-1)^2,(Table4[[#This Row],[Strength of Win]]-0)^2))</f>
        <v/>
      </c>
      <c r="P562" s="11"/>
    </row>
    <row r="563" spans="4:16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-0.21976976044773161</v>
      </c>
      <c r="H563" t="s">
        <v>36</v>
      </c>
      <c r="I563">
        <f>VLOOKUP(Table4[[#This Row],[Visitor]],'NHL Model'!$A$6:$B$38,2,FALSE)</f>
        <v>-0.53137605086483863</v>
      </c>
      <c r="J563">
        <f>($B$1+Table4[[#This Row],[Home Differential]])-Table4[[#This Row],[Away Differential]]</f>
        <v>0.36150703934026951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0.62511283671022522</v>
      </c>
      <c r="M563" t="str">
        <f>IF(OR((NHL2025_26Results[[#This Row],[Winning Team]]="")),"-",IF(Table4[[#This Row],[Predicted Winner]]=NHL2025_26Results[[#This Row],[Winning Team]],"YES","NO"))</f>
        <v>-</v>
      </c>
      <c r="N563" t="str">
        <f>IF(Table4[[#This Row],[Adjusted Correct]]="-", "",IF(Table4[[#This Row],[Adjusted Correct]]="YES",(Table4[[#This Row],[Strength of Win]]-1)^2,(Table4[[#This Row],[Strength of Win]]-0)^2))</f>
        <v/>
      </c>
      <c r="P563" s="11"/>
    </row>
    <row r="564" spans="4:16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0.41344250185511977</v>
      </c>
      <c r="H564" t="s">
        <v>19</v>
      </c>
      <c r="I564">
        <f>VLOOKUP(Table4[[#This Row],[Visitor]],'NHL Model'!$A$6:$B$38,2,FALSE)</f>
        <v>-0.63447859131898054</v>
      </c>
      <c r="J564">
        <f>($B$1+Table4[[#This Row],[Home Differential]])-Table4[[#This Row],[Away Differential]]</f>
        <v>1.0978218420972627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0.70043296856714099</v>
      </c>
      <c r="M564" t="str">
        <f>IF(OR((NHL2025_26Results[[#This Row],[Winning Team]]="")),"-",IF(Table4[[#This Row],[Predicted Winner]]=NHL2025_26Results[[#This Row],[Winning Team]],"YES","NO"))</f>
        <v>-</v>
      </c>
      <c r="N564" t="str">
        <f>IF(Table4[[#This Row],[Adjusted Correct]]="-", "",IF(Table4[[#This Row],[Adjusted Correct]]="YES",(Table4[[#This Row],[Strength of Win]]-1)^2,(Table4[[#This Row],[Strength of Win]]-0)^2))</f>
        <v/>
      </c>
      <c r="P564" s="11"/>
    </row>
    <row r="565" spans="4:16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-0.87533956503230947</v>
      </c>
      <c r="H565" t="s">
        <v>22</v>
      </c>
      <c r="I565">
        <f>VLOOKUP(Table4[[#This Row],[Visitor]],'NHL Model'!$A$6:$B$38,2,FALSE)</f>
        <v>0.4407072328537569</v>
      </c>
      <c r="J565">
        <f>($B$1+Table4[[#This Row],[Home Differential]])-Table4[[#This Row],[Away Differential]]</f>
        <v>-1.2661460489629039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0.65035380101246465</v>
      </c>
      <c r="M565" t="str">
        <f>IF(OR((NHL2025_26Results[[#This Row],[Winning Team]]="")),"-",IF(Table4[[#This Row],[Predicted Winner]]=NHL2025_26Results[[#This Row],[Winning Team]],"YES","NO"))</f>
        <v>-</v>
      </c>
      <c r="N565" t="str">
        <f>IF(Table4[[#This Row],[Adjusted Correct]]="-", "",IF(Table4[[#This Row],[Adjusted Correct]]="YES",(Table4[[#This Row],[Strength of Win]]-1)^2,(Table4[[#This Row],[Strength of Win]]-0)^2))</f>
        <v/>
      </c>
      <c r="P565" s="11"/>
    </row>
    <row r="566" spans="4:16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-0.81774666423752174</v>
      </c>
      <c r="H566" t="s">
        <v>20</v>
      </c>
      <c r="I566">
        <f>VLOOKUP(Table4[[#This Row],[Visitor]],'NHL Model'!$A$6:$B$38,2,FALSE)</f>
        <v>-0.24444083032063643</v>
      </c>
      <c r="J566">
        <f>($B$1+Table4[[#This Row],[Home Differential]])-Table4[[#This Row],[Away Differential]]</f>
        <v>-0.52340508499372285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0.5140693167207816</v>
      </c>
      <c r="M566" t="str">
        <f>IF(OR((NHL2025_26Results[[#This Row],[Winning Team]]="")),"-",IF(Table4[[#This Row],[Predicted Winner]]=NHL2025_26Results[[#This Row],[Winning Team]],"YES","NO"))</f>
        <v>-</v>
      </c>
      <c r="N566" t="str">
        <f>IF(Table4[[#This Row],[Adjusted Correct]]="-", "",IF(Table4[[#This Row],[Adjusted Correct]]="YES",(Table4[[#This Row],[Strength of Win]]-1)^2,(Table4[[#This Row],[Strength of Win]]-0)^2))</f>
        <v/>
      </c>
      <c r="P566" s="11"/>
    </row>
    <row r="567" spans="4:16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-5.5124787449478845E-2</v>
      </c>
      <c r="H567" t="s">
        <v>12</v>
      </c>
      <c r="I567">
        <f>VLOOKUP(Table4[[#This Row],[Visitor]],'NHL Model'!$A$6:$B$38,2,FALSE)</f>
        <v>1.6319036584269762</v>
      </c>
      <c r="J567">
        <f>($B$1+Table4[[#This Row],[Home Differential]])-Table4[[#This Row],[Away Differential]]</f>
        <v>-1.6371276969532926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0.72378199000747556</v>
      </c>
      <c r="M567" t="str">
        <f>IF(OR((NHL2025_26Results[[#This Row],[Winning Team]]="")),"-",IF(Table4[[#This Row],[Predicted Winner]]=NHL2025_26Results[[#This Row],[Winning Team]],"YES","NO"))</f>
        <v>-</v>
      </c>
      <c r="N567" t="str">
        <f>IF(Table4[[#This Row],[Adjusted Correct]]="-", "",IF(Table4[[#This Row],[Adjusted Correct]]="YES",(Table4[[#This Row],[Strength of Win]]-1)^2,(Table4[[#This Row],[Strength of Win]]-0)^2))</f>
        <v/>
      </c>
      <c r="P567" s="11"/>
    </row>
    <row r="568" spans="4:16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1.5302507646042616E-3</v>
      </c>
      <c r="H568" t="s">
        <v>23</v>
      </c>
      <c r="I568">
        <f>VLOOKUP(Table4[[#This Row],[Visitor]],'NHL Model'!$A$6:$B$38,2,FALSE)</f>
        <v>-0.4761104357405897</v>
      </c>
      <c r="J568">
        <f>($B$1+Table4[[#This Row],[Home Differential]])-Table4[[#This Row],[Away Differential]]</f>
        <v>0.52754143542835641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0.68143295928595826</v>
      </c>
      <c r="M568" t="str">
        <f>IF(OR((NHL2025_26Results[[#This Row],[Winning Team]]="")),"-",IF(Table4[[#This Row],[Predicted Winner]]=NHL2025_26Results[[#This Row],[Winning Team]],"YES","NO"))</f>
        <v>-</v>
      </c>
      <c r="N568" t="str">
        <f>IF(Table4[[#This Row],[Adjusted Correct]]="-", "",IF(Table4[[#This Row],[Adjusted Correct]]="YES",(Table4[[#This Row],[Strength of Win]]-1)^2,(Table4[[#This Row],[Strength of Win]]-0)^2))</f>
        <v/>
      </c>
      <c r="P568" s="11"/>
    </row>
    <row r="569" spans="4:16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-1.384917283810061</v>
      </c>
      <c r="H569" t="s">
        <v>15</v>
      </c>
      <c r="I569">
        <f>VLOOKUP(Table4[[#This Row],[Visitor]],'NHL Model'!$A$6:$B$38,2,FALSE)</f>
        <v>-0.29003398448394263</v>
      </c>
      <c r="J569">
        <f>($B$1+Table4[[#This Row],[Home Differential]])-Table4[[#This Row],[Away Differential]]</f>
        <v>-1.044982550402956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0.68209860199635841</v>
      </c>
      <c r="M569" t="str">
        <f>IF(OR((NHL2025_26Results[[#This Row],[Winning Team]]="")),"-",IF(Table4[[#This Row],[Predicted Winner]]=NHL2025_26Results[[#This Row],[Winning Team]],"YES","NO"))</f>
        <v>-</v>
      </c>
      <c r="N569" t="str">
        <f>IF(Table4[[#This Row],[Adjusted Correct]]="-", "",IF(Table4[[#This Row],[Adjusted Correct]]="YES",(Table4[[#This Row],[Strength of Win]]-1)^2,(Table4[[#This Row],[Strength of Win]]-0)^2))</f>
        <v/>
      </c>
      <c r="P569" s="11"/>
    </row>
    <row r="570" spans="4:16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-0.14226422156549004</v>
      </c>
      <c r="H570" t="s">
        <v>18</v>
      </c>
      <c r="I570">
        <f>VLOOKUP(Table4[[#This Row],[Visitor]],'NHL Model'!$A$6:$B$38,2,FALSE)</f>
        <v>-0.59288962827382519</v>
      </c>
      <c r="J570">
        <f>($B$1+Table4[[#This Row],[Home Differential]])-Table4[[#This Row],[Away Differential]]</f>
        <v>0.5005261556314976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0.53915598208090709</v>
      </c>
      <c r="M570" t="str">
        <f>IF(OR((NHL2025_26Results[[#This Row],[Winning Team]]="")),"-",IF(Table4[[#This Row],[Predicted Winner]]=NHL2025_26Results[[#This Row],[Winning Team]],"YES","NO"))</f>
        <v>-</v>
      </c>
      <c r="N570" t="str">
        <f>IF(Table4[[#This Row],[Adjusted Correct]]="-", "",IF(Table4[[#This Row],[Adjusted Correct]]="YES",(Table4[[#This Row],[Strength of Win]]-1)^2,(Table4[[#This Row],[Strength of Win]]-0)^2))</f>
        <v/>
      </c>
      <c r="P570" s="11"/>
    </row>
    <row r="571" spans="4:16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-0.4031232890211825</v>
      </c>
      <c r="H571" t="s">
        <v>40</v>
      </c>
      <c r="I571">
        <f>VLOOKUP(Table4[[#This Row],[Visitor]],'NHL Model'!$A$6:$B$38,2,FALSE)</f>
        <v>-0.31324182378279158</v>
      </c>
      <c r="J571">
        <f>($B$1+Table4[[#This Row],[Home Differential]])-Table4[[#This Row],[Away Differential]]</f>
        <v>-3.9980716315228426E-2</v>
      </c>
      <c r="K571" t="str">
        <f>IF(Table4[[#This Row],[HomeIce Differential]]&gt;0,Table4[[#This Row],[Home]],Table4[[#This Row],[Visitor]])</f>
        <v>Winnipeg Jets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0.44466833870306172</v>
      </c>
      <c r="M571" t="str">
        <f>IF(OR((NHL2025_26Results[[#This Row],[Winning Team]]="")),"-",IF(Table4[[#This Row],[Predicted Winner]]=NHL2025_26Results[[#This Row],[Winning Team]],"YES","NO"))</f>
        <v>-</v>
      </c>
      <c r="N571" t="str">
        <f>IF(Table4[[#This Row],[Adjusted Correct]]="-", "",IF(Table4[[#This Row],[Adjusted Correct]]="YES",(Table4[[#This Row],[Strength of Win]]-1)^2,(Table4[[#This Row],[Strength of Win]]-0)^2))</f>
        <v/>
      </c>
      <c r="P571" s="11"/>
    </row>
    <row r="572" spans="4:16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0.17870302183926629</v>
      </c>
      <c r="H572" t="s">
        <v>32</v>
      </c>
      <c r="I572">
        <f>VLOOKUP(Table4[[#This Row],[Visitor]],'NHL Model'!$A$6:$B$38,2,FALSE)</f>
        <v>-0.64937723527808999</v>
      </c>
      <c r="J572">
        <f>($B$1+Table4[[#This Row],[Home Differential]])-Table4[[#This Row],[Away Differential]]</f>
        <v>0.87798100604051876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0.72235195127385143</v>
      </c>
      <c r="M572" t="str">
        <f>IF(OR((NHL2025_26Results[[#This Row],[Winning Team]]="")),"-",IF(Table4[[#This Row],[Predicted Winner]]=NHL2025_26Results[[#This Row],[Winning Team]],"YES","NO"))</f>
        <v>-</v>
      </c>
      <c r="N572" t="str">
        <f>IF(Table4[[#This Row],[Adjusted Correct]]="-", "",IF(Table4[[#This Row],[Adjusted Correct]]="YES",(Table4[[#This Row],[Strength of Win]]-1)^2,(Table4[[#This Row],[Strength of Win]]-0)^2))</f>
        <v/>
      </c>
      <c r="P572" s="11"/>
    </row>
    <row r="573" spans="4:16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-0.33828359867721369</v>
      </c>
      <c r="H573" t="s">
        <v>28</v>
      </c>
      <c r="I573">
        <f>VLOOKUP(Table4[[#This Row],[Visitor]],'NHL Model'!$A$6:$B$38,2,FALSE)</f>
        <v>-0.59498940435054026</v>
      </c>
      <c r="J573">
        <f>($B$1+Table4[[#This Row],[Home Differential]])-Table4[[#This Row],[Away Differential]]</f>
        <v>0.30660655459648906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0.57222468149852157</v>
      </c>
      <c r="M573" t="str">
        <f>IF(OR((NHL2025_26Results[[#This Row],[Winning Team]]="")),"-",IF(Table4[[#This Row],[Predicted Winner]]=NHL2025_26Results[[#This Row],[Winning Team]],"YES","NO"))</f>
        <v>-</v>
      </c>
      <c r="N573" t="str">
        <f>IF(Table4[[#This Row],[Adjusted Correct]]="-", "",IF(Table4[[#This Row],[Adjusted Correct]]="YES",(Table4[[#This Row],[Strength of Win]]-1)^2,(Table4[[#This Row],[Strength of Win]]-0)^2))</f>
        <v/>
      </c>
      <c r="P573" s="11"/>
    </row>
    <row r="574" spans="4:16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-0.38023958350631604</v>
      </c>
      <c r="H574" t="s">
        <v>38</v>
      </c>
      <c r="I574">
        <f>VLOOKUP(Table4[[#This Row],[Visitor]],'NHL Model'!$A$6:$B$38,2,FALSE)</f>
        <v>-0.9476777551108041</v>
      </c>
      <c r="J574">
        <f>($B$1+Table4[[#This Row],[Home Differential]])-Table4[[#This Row],[Away Differential]]</f>
        <v>0.61733892052765049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0.62254214584012046</v>
      </c>
      <c r="M574" t="str">
        <f>IF(OR((NHL2025_26Results[[#This Row],[Winning Team]]="")),"-",IF(Table4[[#This Row],[Predicted Winner]]=NHL2025_26Results[[#This Row],[Winning Team]],"YES","NO"))</f>
        <v>-</v>
      </c>
      <c r="N574" t="str">
        <f>IF(Table4[[#This Row],[Adjusted Correct]]="-", "",IF(Table4[[#This Row],[Adjusted Correct]]="YES",(Table4[[#This Row],[Strength of Win]]-1)^2,(Table4[[#This Row],[Strength of Win]]-0)^2))</f>
        <v/>
      </c>
      <c r="P574" s="11"/>
    </row>
    <row r="575" spans="4:16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0.51050494674660429</v>
      </c>
      <c r="H575" t="s">
        <v>35</v>
      </c>
      <c r="I575">
        <f>VLOOKUP(Table4[[#This Row],[Visitor]],'NHL Model'!$A$6:$B$38,2,FALSE)</f>
        <v>-1.3944783719477225</v>
      </c>
      <c r="J575">
        <f>($B$1+Table4[[#This Row],[Home Differential]])-Table4[[#This Row],[Away Differential]]</f>
        <v>1.9548840676174892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0.8005076327322812</v>
      </c>
      <c r="M575" t="str">
        <f>IF(OR((NHL2025_26Results[[#This Row],[Winning Team]]="")),"-",IF(Table4[[#This Row],[Predicted Winner]]=NHL2025_26Results[[#This Row],[Winning Team]],"YES","NO"))</f>
        <v>-</v>
      </c>
      <c r="N575" t="str">
        <f>IF(Table4[[#This Row],[Adjusted Correct]]="-", "",IF(Table4[[#This Row],[Adjusted Correct]]="YES",(Table4[[#This Row],[Strength of Win]]-1)^2,(Table4[[#This Row],[Strength of Win]]-0)^2))</f>
        <v/>
      </c>
      <c r="P575" s="11"/>
    </row>
    <row r="576" spans="4:16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-0.21976976044773161</v>
      </c>
      <c r="H576" t="s">
        <v>18</v>
      </c>
      <c r="I576">
        <f>VLOOKUP(Table4[[#This Row],[Visitor]],'NHL Model'!$A$6:$B$38,2,FALSE)</f>
        <v>-0.59288962827382519</v>
      </c>
      <c r="J576">
        <f>($B$1+Table4[[#This Row],[Home Differential]])-Table4[[#This Row],[Away Differential]]</f>
        <v>0.42302061674925606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0.57366574500438006</v>
      </c>
      <c r="M576" t="str">
        <f>IF(OR((NHL2025_26Results[[#This Row],[Winning Team]]="")),"-",IF(Table4[[#This Row],[Predicted Winner]]=NHL2025_26Results[[#This Row],[Winning Team]],"YES","NO"))</f>
        <v>-</v>
      </c>
      <c r="N576" t="str">
        <f>IF(Table4[[#This Row],[Adjusted Correct]]="-", "",IF(Table4[[#This Row],[Adjusted Correct]]="YES",(Table4[[#This Row],[Strength of Win]]-1)^2,(Table4[[#This Row],[Strength of Win]]-0)^2))</f>
        <v/>
      </c>
      <c r="P576" s="11"/>
    </row>
    <row r="577" spans="4:16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0.42567513732855267</v>
      </c>
      <c r="H577" t="s">
        <v>11</v>
      </c>
      <c r="I577">
        <f>VLOOKUP(Table4[[#This Row],[Visitor]],'NHL Model'!$A$6:$B$38,2,FALSE)</f>
        <v>-0.39711829106410657</v>
      </c>
      <c r="J577">
        <f>($B$1+Table4[[#This Row],[Home Differential]])-Table4[[#This Row],[Away Differential]]</f>
        <v>0.87269417731582166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0.69361590157977926</v>
      </c>
      <c r="M577" t="str">
        <f>IF(OR((NHL2025_26Results[[#This Row],[Winning Team]]="")),"-",IF(Table4[[#This Row],[Predicted Winner]]=NHL2025_26Results[[#This Row],[Winning Team]],"YES","NO"))</f>
        <v>-</v>
      </c>
      <c r="N577" t="str">
        <f>IF(Table4[[#This Row],[Adjusted Correct]]="-", "",IF(Table4[[#This Row],[Adjusted Correct]]="YES",(Table4[[#This Row],[Strength of Win]]-1)^2,(Table4[[#This Row],[Strength of Win]]-0)^2))</f>
        <v/>
      </c>
      <c r="P577" s="11"/>
    </row>
    <row r="578" spans="4:16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-0.17619625518431364</v>
      </c>
      <c r="H578" t="s">
        <v>27</v>
      </c>
      <c r="I578">
        <f>VLOOKUP(Table4[[#This Row],[Visitor]],'NHL Model'!$A$6:$B$38,2,FALSE)</f>
        <v>-0.38023958350631604</v>
      </c>
      <c r="J578">
        <f>($B$1+Table4[[#This Row],[Home Differential]])-Table4[[#This Row],[Away Differential]]</f>
        <v>0.25394407724516488</v>
      </c>
      <c r="K578" t="str">
        <f>IF(Table4[[#This Row],[HomeIce Differential]]&gt;0,Table4[[#This Row],[Home]],Table4[[#This Row],[Visitor]])</f>
        <v>Chicago Blackhawks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0.52713915615138829</v>
      </c>
      <c r="M578" t="str">
        <f>IF(OR((NHL2025_26Results[[#This Row],[Winning Team]]="")),"-",IF(Table4[[#This Row],[Predicted Winner]]=NHL2025_26Results[[#This Row],[Winning Team]],"YES","NO"))</f>
        <v>-</v>
      </c>
      <c r="N578" t="str">
        <f>IF(Table4[[#This Row],[Adjusted Correct]]="-", "",IF(Table4[[#This Row],[Adjusted Correct]]="YES",(Table4[[#This Row],[Strength of Win]]-1)^2,(Table4[[#This Row],[Strength of Win]]-0)^2))</f>
        <v/>
      </c>
      <c r="P578" s="11"/>
    </row>
    <row r="579" spans="4:16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1.6319036584269762</v>
      </c>
      <c r="H579" t="s">
        <v>55</v>
      </c>
      <c r="I579">
        <f>VLOOKUP(Table4[[#This Row],[Visitor]],'NHL Model'!$A$6:$B$38,2,FALSE)</f>
        <v>-0.4031232890211825</v>
      </c>
      <c r="J579">
        <f>($B$1+Table4[[#This Row],[Home Differential]])-Table4[[#This Row],[Away Differential]]</f>
        <v>2.084927696371321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0.88777597679518749</v>
      </c>
      <c r="M579" t="str">
        <f>IF(OR((NHL2025_26Results[[#This Row],[Winning Team]]="")),"-",IF(Table4[[#This Row],[Predicted Winner]]=NHL2025_26Results[[#This Row],[Winning Team]],"YES","NO"))</f>
        <v>-</v>
      </c>
      <c r="N579" t="str">
        <f>IF(Table4[[#This Row],[Adjusted Correct]]="-", "",IF(Table4[[#This Row],[Adjusted Correct]]="YES",(Table4[[#This Row],[Strength of Win]]-1)^2,(Table4[[#This Row],[Strength of Win]]-0)^2))</f>
        <v/>
      </c>
      <c r="P579" s="11"/>
    </row>
    <row r="580" spans="4:16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-0.87533956503230947</v>
      </c>
      <c r="H580" t="s">
        <v>39</v>
      </c>
      <c r="I580">
        <f>VLOOKUP(Table4[[#This Row],[Visitor]],'NHL Model'!$A$6:$B$38,2,FALSE)</f>
        <v>0.41344250185511977</v>
      </c>
      <c r="J580">
        <f>($B$1+Table4[[#This Row],[Home Differential]])-Table4[[#This Row],[Away Differential]]</f>
        <v>-1.2388813179642668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0.70645543126458221</v>
      </c>
      <c r="M580" t="str">
        <f>IF(OR((NHL2025_26Results[[#This Row],[Winning Team]]="")),"-",IF(Table4[[#This Row],[Predicted Winner]]=NHL2025_26Results[[#This Row],[Winning Team]],"YES","NO"))</f>
        <v>-</v>
      </c>
      <c r="N580" t="str">
        <f>IF(Table4[[#This Row],[Adjusted Correct]]="-", "",IF(Table4[[#This Row],[Adjusted Correct]]="YES",(Table4[[#This Row],[Strength of Win]]-1)^2,(Table4[[#This Row],[Strength of Win]]-0)^2))</f>
        <v/>
      </c>
      <c r="P580" s="11"/>
    </row>
    <row r="581" spans="4:16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-0.81774666423752174</v>
      </c>
      <c r="H581" t="s">
        <v>16</v>
      </c>
      <c r="I581">
        <f>VLOOKUP(Table4[[#This Row],[Visitor]],'NHL Model'!$A$6:$B$38,2,FALSE)</f>
        <v>-1.0657812790446208</v>
      </c>
      <c r="J581">
        <f>($B$1+Table4[[#This Row],[Home Differential]])-Table4[[#This Row],[Away Differential]]</f>
        <v>0.29793536373026153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0.58183430278759984</v>
      </c>
      <c r="M581" t="str">
        <f>IF(OR((NHL2025_26Results[[#This Row],[Winning Team]]="")),"-",IF(Table4[[#This Row],[Predicted Winner]]=NHL2025_26Results[[#This Row],[Winning Team]],"YES","NO"))</f>
        <v>-</v>
      </c>
      <c r="N581" t="str">
        <f>IF(Table4[[#This Row],[Adjusted Correct]]="-", "",IF(Table4[[#This Row],[Adjusted Correct]]="YES",(Table4[[#This Row],[Strength of Win]]-1)^2,(Table4[[#This Row],[Strength of Win]]-0)^2))</f>
        <v/>
      </c>
      <c r="P581" s="11"/>
    </row>
    <row r="582" spans="4:16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-0.33828359867721369</v>
      </c>
      <c r="H582" t="s">
        <v>32</v>
      </c>
      <c r="I582">
        <f>VLOOKUP(Table4[[#This Row],[Visitor]],'NHL Model'!$A$6:$B$38,2,FALSE)</f>
        <v>-0.64937723527808999</v>
      </c>
      <c r="J582">
        <f>($B$1+Table4[[#This Row],[Home Differential]])-Table4[[#This Row],[Away Differential]]</f>
        <v>0.36099438552403879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0.58215142240680495</v>
      </c>
      <c r="M582" t="str">
        <f>IF(OR((NHL2025_26Results[[#This Row],[Winning Team]]="")),"-",IF(Table4[[#This Row],[Predicted Winner]]=NHL2025_26Results[[#This Row],[Winning Team]],"YES","NO"))</f>
        <v>-</v>
      </c>
      <c r="N582" t="str">
        <f>IF(Table4[[#This Row],[Adjusted Correct]]="-", "",IF(Table4[[#This Row],[Adjusted Correct]]="YES",(Table4[[#This Row],[Strength of Win]]-1)^2,(Table4[[#This Row],[Strength of Win]]-0)^2))</f>
        <v/>
      </c>
      <c r="P582" s="11"/>
    </row>
    <row r="583" spans="4:16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-5.5124787449478845E-2</v>
      </c>
      <c r="H583" t="s">
        <v>29</v>
      </c>
      <c r="I583">
        <f>VLOOKUP(Table4[[#This Row],[Visitor]],'NHL Model'!$A$6:$B$38,2,FALSE)</f>
        <v>-1.384917283810061</v>
      </c>
      <c r="J583">
        <f>($B$1+Table4[[#This Row],[Home Differential]])-Table4[[#This Row],[Away Differential]]</f>
        <v>1.3796932452837445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0.70109954920586415</v>
      </c>
      <c r="M583" t="str">
        <f>IF(OR((NHL2025_26Results[[#This Row],[Winning Team]]="")),"-",IF(Table4[[#This Row],[Predicted Winner]]=NHL2025_26Results[[#This Row],[Winning Team]],"YES","NO"))</f>
        <v>-</v>
      </c>
      <c r="N583" t="str">
        <f>IF(Table4[[#This Row],[Adjusted Correct]]="-", "",IF(Table4[[#This Row],[Adjusted Correct]]="YES",(Table4[[#This Row],[Strength of Win]]-1)^2,(Table4[[#This Row],[Strength of Win]]-0)^2))</f>
        <v/>
      </c>
      <c r="P583" s="11"/>
    </row>
    <row r="584" spans="4:16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-0.24093199744133265</v>
      </c>
      <c r="H584" t="s">
        <v>24</v>
      </c>
      <c r="I584">
        <f>VLOOKUP(Table4[[#This Row],[Visitor]],'NHL Model'!$A$6:$B$38,2,FALSE)</f>
        <v>1.5302507646042616E-3</v>
      </c>
      <c r="J584">
        <f>($B$1+Table4[[#This Row],[Home Differential]])-Table4[[#This Row],[Away Differential]]</f>
        <v>-0.19256149928277444</v>
      </c>
      <c r="K584" t="str">
        <f>IF(Table4[[#This Row],[HomeIce Differential]]&gt;0,Table4[[#This Row],[Home]],Table4[[#This Row],[Visitor]])</f>
        <v>New Jersey Devils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0.50325362781538752</v>
      </c>
      <c r="M584" t="str">
        <f>IF(OR((NHL2025_26Results[[#This Row],[Winning Team]]="")),"-",IF(Table4[[#This Row],[Predicted Winner]]=NHL2025_26Results[[#This Row],[Winning Team]],"YES","NO"))</f>
        <v>-</v>
      </c>
      <c r="N584" t="str">
        <f>IF(Table4[[#This Row],[Adjusted Correct]]="-", "",IF(Table4[[#This Row],[Adjusted Correct]]="YES",(Table4[[#This Row],[Strength of Win]]-1)^2,(Table4[[#This Row],[Strength of Win]]-0)^2))</f>
        <v/>
      </c>
      <c r="P584" s="11"/>
    </row>
    <row r="585" spans="4:16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-0.53137605086483863</v>
      </c>
      <c r="H585" t="s">
        <v>23</v>
      </c>
      <c r="I585">
        <f>VLOOKUP(Table4[[#This Row],[Visitor]],'NHL Model'!$A$6:$B$38,2,FALSE)</f>
        <v>-0.4761104357405897</v>
      </c>
      <c r="J585">
        <f>($B$1+Table4[[#This Row],[Home Differential]])-Table4[[#This Row],[Away Differential]]</f>
        <v>-5.364866201086449E-3</v>
      </c>
      <c r="K585" t="str">
        <f>IF(Table4[[#This Row],[HomeIce Differential]]&gt;0,Table4[[#This Row],[Home]],Table4[[#This Row],[Visitor]])</f>
        <v>Buffalo Sabres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0.45813094810441091</v>
      </c>
      <c r="M585" t="str">
        <f>IF(OR((NHL2025_26Results[[#This Row],[Winning Team]]="")),"-",IF(Table4[[#This Row],[Predicted Winner]]=NHL2025_26Results[[#This Row],[Winning Team]],"YES","NO"))</f>
        <v>-</v>
      </c>
      <c r="N585" t="str">
        <f>IF(Table4[[#This Row],[Adjusted Correct]]="-", "",IF(Table4[[#This Row],[Adjusted Correct]]="YES",(Table4[[#This Row],[Strength of Win]]-1)^2,(Table4[[#This Row],[Strength of Win]]-0)^2))</f>
        <v/>
      </c>
      <c r="P585" s="11"/>
    </row>
    <row r="586" spans="4:16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-0.63447859131898054</v>
      </c>
      <c r="H586" t="s">
        <v>14</v>
      </c>
      <c r="I586">
        <f>VLOOKUP(Table4[[#This Row],[Visitor]],'NHL Model'!$A$6:$B$38,2,FALSE)</f>
        <v>-0.14226422156549004</v>
      </c>
      <c r="J586">
        <f>($B$1+Table4[[#This Row],[Home Differential]])-Table4[[#This Row],[Away Differential]]</f>
        <v>-0.4423136208303281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0.55093337655329999</v>
      </c>
      <c r="M586" t="str">
        <f>IF(OR((NHL2025_26Results[[#This Row],[Winning Team]]="")),"-",IF(Table4[[#This Row],[Predicted Winner]]=NHL2025_26Results[[#This Row],[Winning Team]],"YES","NO"))</f>
        <v>-</v>
      </c>
      <c r="N586" t="str">
        <f>IF(Table4[[#This Row],[Adjusted Correct]]="-", "",IF(Table4[[#This Row],[Adjusted Correct]]="YES",(Table4[[#This Row],[Strength of Win]]-1)^2,(Table4[[#This Row],[Strength of Win]]-0)^2))</f>
        <v/>
      </c>
      <c r="P586" s="11"/>
    </row>
    <row r="587" spans="4:16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-0.24444083032063643</v>
      </c>
      <c r="H587" t="s">
        <v>33</v>
      </c>
      <c r="I587">
        <f>VLOOKUP(Table4[[#This Row],[Visitor]],'NHL Model'!$A$6:$B$38,2,FALSE)</f>
        <v>-0.45133099238224339</v>
      </c>
      <c r="J587">
        <f>($B$1+Table4[[#This Row],[Home Differential]])-Table4[[#This Row],[Away Differential]]</f>
        <v>0.25679091098476942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0.56998412882082472</v>
      </c>
      <c r="M587" t="str">
        <f>IF(OR((NHL2025_26Results[[#This Row],[Winning Team]]="")),"-",IF(Table4[[#This Row],[Predicted Winner]]=NHL2025_26Results[[#This Row],[Winning Team]],"YES","NO"))</f>
        <v>-</v>
      </c>
      <c r="N587" t="str">
        <f>IF(Table4[[#This Row],[Adjusted Correct]]="-", "",IF(Table4[[#This Row],[Adjusted Correct]]="YES",(Table4[[#This Row],[Strength of Win]]-1)^2,(Table4[[#This Row],[Strength of Win]]-0)^2))</f>
        <v/>
      </c>
      <c r="P587" s="11"/>
    </row>
    <row r="588" spans="4:16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0.4407072328537569</v>
      </c>
      <c r="H588" t="s">
        <v>15</v>
      </c>
      <c r="I588">
        <f>VLOOKUP(Table4[[#This Row],[Visitor]],'NHL Model'!$A$6:$B$38,2,FALSE)</f>
        <v>-0.29003398448394263</v>
      </c>
      <c r="J588">
        <f>($B$1+Table4[[#This Row],[Home Differential]])-Table4[[#This Row],[Away Differential]]</f>
        <v>0.78064196626086202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0.55717088848980889</v>
      </c>
      <c r="M588" t="str">
        <f>IF(OR((NHL2025_26Results[[#This Row],[Winning Team]]="")),"-",IF(Table4[[#This Row],[Predicted Winner]]=NHL2025_26Results[[#This Row],[Winning Team]],"YES","NO"))</f>
        <v>-</v>
      </c>
      <c r="N588" t="str">
        <f>IF(Table4[[#This Row],[Adjusted Correct]]="-", "",IF(Table4[[#This Row],[Adjusted Correct]]="YES",(Table4[[#This Row],[Strength of Win]]-1)^2,(Table4[[#This Row],[Strength of Win]]-0)^2))</f>
        <v/>
      </c>
      <c r="P588" s="11"/>
    </row>
    <row r="589" spans="4:16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-0.4761104357405897</v>
      </c>
      <c r="H589" t="s">
        <v>21</v>
      </c>
      <c r="I589">
        <f>VLOOKUP(Table4[[#This Row],[Visitor]],'NHL Model'!$A$6:$B$38,2,FALSE)</f>
        <v>-0.21976976044773161</v>
      </c>
      <c r="J589">
        <f>($B$1+Table4[[#This Row],[Home Differential]])-Table4[[#This Row],[Away Differential]]</f>
        <v>-0.2064399263696956</v>
      </c>
      <c r="K589" t="str">
        <f>IF(Table4[[#This Row],[HomeIce Differential]]&gt;0,Table4[[#This Row],[Home]],Table4[[#This Row],[Visitor]])</f>
        <v>Boston Bruins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0.47480913359163229</v>
      </c>
      <c r="M589" t="str">
        <f>IF(OR((NHL2025_26Results[[#This Row],[Winning Team]]="")),"-",IF(Table4[[#This Row],[Predicted Winner]]=NHL2025_26Results[[#This Row],[Winning Team]],"YES","NO"))</f>
        <v>-</v>
      </c>
      <c r="N589" t="str">
        <f>IF(Table4[[#This Row],[Adjusted Correct]]="-", "",IF(Table4[[#This Row],[Adjusted Correct]]="YES",(Table4[[#This Row],[Strength of Win]]-1)^2,(Table4[[#This Row],[Strength of Win]]-0)^2))</f>
        <v/>
      </c>
      <c r="P589" s="11"/>
    </row>
    <row r="590" spans="4:16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0.42567513732855267</v>
      </c>
      <c r="H590" t="s">
        <v>26</v>
      </c>
      <c r="I590">
        <f>VLOOKUP(Table4[[#This Row],[Visitor]],'NHL Model'!$A$6:$B$38,2,FALSE)</f>
        <v>-0.87533956503230947</v>
      </c>
      <c r="J590">
        <f>($B$1+Table4[[#This Row],[Home Differential]])-Table4[[#This Row],[Away Differential]]</f>
        <v>1.3509154512840247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0.74945529335783156</v>
      </c>
      <c r="M590" t="str">
        <f>IF(OR((NHL2025_26Results[[#This Row],[Winning Team]]="")),"-",IF(Table4[[#This Row],[Predicted Winner]]=NHL2025_26Results[[#This Row],[Winning Team]],"YES","NO"))</f>
        <v>-</v>
      </c>
      <c r="N590" t="str">
        <f>IF(Table4[[#This Row],[Adjusted Correct]]="-", "",IF(Table4[[#This Row],[Adjusted Correct]]="YES",(Table4[[#This Row],[Strength of Win]]-1)^2,(Table4[[#This Row],[Strength of Win]]-0)^2))</f>
        <v/>
      </c>
      <c r="P590" s="11"/>
    </row>
    <row r="591" spans="4:16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-1.0657812790446208</v>
      </c>
      <c r="H591" t="s">
        <v>17</v>
      </c>
      <c r="I591">
        <f>VLOOKUP(Table4[[#This Row],[Visitor]],'NHL Model'!$A$6:$B$38,2,FALSE)</f>
        <v>-0.81774666423752174</v>
      </c>
      <c r="J591">
        <f>($B$1+Table4[[#This Row],[Home Differential]])-Table4[[#This Row],[Away Differential]]</f>
        <v>-0.19813386588393667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0.48313505308910382</v>
      </c>
      <c r="M591" t="str">
        <f>IF(OR((NHL2025_26Results[[#This Row],[Winning Team]]="")),"-",IF(Table4[[#This Row],[Predicted Winner]]=NHL2025_26Results[[#This Row],[Winning Team]],"YES","NO"))</f>
        <v>-</v>
      </c>
      <c r="N591" t="str">
        <f>IF(Table4[[#This Row],[Adjusted Correct]]="-", "",IF(Table4[[#This Row],[Adjusted Correct]]="YES",(Table4[[#This Row],[Strength of Win]]-1)^2,(Table4[[#This Row],[Strength of Win]]-0)^2))</f>
        <v/>
      </c>
      <c r="P591" s="11"/>
    </row>
    <row r="592" spans="4:16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0.41344250185511977</v>
      </c>
      <c r="H592" t="s">
        <v>10</v>
      </c>
      <c r="I592">
        <f>VLOOKUP(Table4[[#This Row],[Visitor]],'NHL Model'!$A$6:$B$38,2,FALSE)</f>
        <v>-0.17619625518431364</v>
      </c>
      <c r="J592">
        <f>($B$1+Table4[[#This Row],[Home Differential]])-Table4[[#This Row],[Away Differential]]</f>
        <v>0.6395395059625959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0.64692174205887343</v>
      </c>
      <c r="M592" t="str">
        <f>IF(OR((NHL2025_26Results[[#This Row],[Winning Team]]="")),"-",IF(Table4[[#This Row],[Predicted Winner]]=NHL2025_26Results[[#This Row],[Winning Team]],"YES","NO"))</f>
        <v>-</v>
      </c>
      <c r="N592" t="str">
        <f>IF(Table4[[#This Row],[Adjusted Correct]]="-", "",IF(Table4[[#This Row],[Adjusted Correct]]="YES",(Table4[[#This Row],[Strength of Win]]-1)^2,(Table4[[#This Row],[Strength of Win]]-0)^2))</f>
        <v/>
      </c>
      <c r="P592" s="11"/>
    </row>
    <row r="593" spans="4:16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-0.39711829106410657</v>
      </c>
      <c r="H593" t="s">
        <v>37</v>
      </c>
      <c r="I593">
        <f>VLOOKUP(Table4[[#This Row],[Visitor]],'NHL Model'!$A$6:$B$38,2,FALSE)</f>
        <v>0.51050494674660429</v>
      </c>
      <c r="J593">
        <f>($B$1+Table4[[#This Row],[Home Differential]])-Table4[[#This Row],[Away Differential]]</f>
        <v>-0.85772248888754832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0.63861329811960532</v>
      </c>
      <c r="M593" t="str">
        <f>IF(OR((NHL2025_26Results[[#This Row],[Winning Team]]="")),"-",IF(Table4[[#This Row],[Predicted Winner]]=NHL2025_26Results[[#This Row],[Winning Team]],"YES","NO"))</f>
        <v>-</v>
      </c>
      <c r="N593" t="str">
        <f>IF(Table4[[#This Row],[Adjusted Correct]]="-", "",IF(Table4[[#This Row],[Adjusted Correct]]="YES",(Table4[[#This Row],[Strength of Win]]-1)^2,(Table4[[#This Row],[Strength of Win]]-0)^2))</f>
        <v/>
      </c>
      <c r="P593" s="11"/>
    </row>
    <row r="594" spans="4:16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-0.33828359867721369</v>
      </c>
      <c r="H594" t="s">
        <v>31</v>
      </c>
      <c r="I594">
        <f>VLOOKUP(Table4[[#This Row],[Visitor]],'NHL Model'!$A$6:$B$38,2,FALSE)</f>
        <v>0.17870302183926629</v>
      </c>
      <c r="J594">
        <f>($B$1+Table4[[#This Row],[Home Differential]])-Table4[[#This Row],[Away Differential]]</f>
        <v>-0.46708587159331749</v>
      </c>
      <c r="K594" t="str">
        <f>IF(Table4[[#This Row],[HomeIce Differential]]&gt;0,Table4[[#This Row],[Home]],Table4[[#This Row],[Visitor]])</f>
        <v>Anaheim Ducks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0.53530839997320578</v>
      </c>
      <c r="M594" t="str">
        <f>IF(OR((NHL2025_26Results[[#This Row],[Winning Team]]="")),"-",IF(Table4[[#This Row],[Predicted Winner]]=NHL2025_26Results[[#This Row],[Winning Team]],"YES","NO"))</f>
        <v>-</v>
      </c>
      <c r="N594" t="str">
        <f>IF(Table4[[#This Row],[Adjusted Correct]]="-", "",IF(Table4[[#This Row],[Adjusted Correct]]="YES",(Table4[[#This Row],[Strength of Win]]-1)^2,(Table4[[#This Row],[Strength of Win]]-0)^2))</f>
        <v/>
      </c>
      <c r="P594" s="11"/>
    </row>
    <row r="595" spans="4:16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1.5302507646042616E-3</v>
      </c>
      <c r="H595" t="s">
        <v>22</v>
      </c>
      <c r="I595">
        <f>VLOOKUP(Table4[[#This Row],[Visitor]],'NHL Model'!$A$6:$B$38,2,FALSE)</f>
        <v>0.4407072328537569</v>
      </c>
      <c r="J595">
        <f>($B$1+Table4[[#This Row],[Home Differential]])-Table4[[#This Row],[Away Differential]]</f>
        <v>-0.38927623316599019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0.46650637710823029</v>
      </c>
      <c r="M595" t="str">
        <f>IF(OR((NHL2025_26Results[[#This Row],[Winning Team]]="")),"-",IF(Table4[[#This Row],[Predicted Winner]]=NHL2025_26Results[[#This Row],[Winning Team]],"YES","NO"))</f>
        <v>-</v>
      </c>
      <c r="N595" t="str">
        <f>IF(Table4[[#This Row],[Adjusted Correct]]="-", "",IF(Table4[[#This Row],[Adjusted Correct]]="YES",(Table4[[#This Row],[Strength of Win]]-1)^2,(Table4[[#This Row],[Strength of Win]]-0)^2))</f>
        <v/>
      </c>
      <c r="P595" s="11"/>
    </row>
    <row r="596" spans="4:16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-0.24093199744133265</v>
      </c>
      <c r="H596" t="s">
        <v>15</v>
      </c>
      <c r="I596">
        <f>VLOOKUP(Table4[[#This Row],[Visitor]],'NHL Model'!$A$6:$B$38,2,FALSE)</f>
        <v>-0.29003398448394263</v>
      </c>
      <c r="J596">
        <f>($B$1+Table4[[#This Row],[Home Differential]])-Table4[[#This Row],[Away Differential]]</f>
        <v>9.9002735965772443E-2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0.45147856420498927</v>
      </c>
      <c r="M596" t="str">
        <f>IF(OR((NHL2025_26Results[[#This Row],[Winning Team]]="")),"-",IF(Table4[[#This Row],[Predicted Winner]]=NHL2025_26Results[[#This Row],[Winning Team]],"YES","NO"))</f>
        <v>-</v>
      </c>
      <c r="N596" t="str">
        <f>IF(Table4[[#This Row],[Adjusted Correct]]="-", "",IF(Table4[[#This Row],[Adjusted Correct]]="YES",(Table4[[#This Row],[Strength of Win]]-1)^2,(Table4[[#This Row],[Strength of Win]]-0)^2))</f>
        <v/>
      </c>
      <c r="P596" s="11"/>
    </row>
    <row r="597" spans="4:16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-1.3944783719477225</v>
      </c>
      <c r="H597" t="s">
        <v>29</v>
      </c>
      <c r="I597">
        <f>VLOOKUP(Table4[[#This Row],[Visitor]],'NHL Model'!$A$6:$B$38,2,FALSE)</f>
        <v>-1.384917283810061</v>
      </c>
      <c r="J597">
        <f>($B$1+Table4[[#This Row],[Home Differential]])-Table4[[#This Row],[Away Differential]]</f>
        <v>4.0339660785500886E-2</v>
      </c>
      <c r="K597" t="str">
        <f>IF(Table4[[#This Row],[HomeIce Differential]]&gt;0,Table4[[#This Row],[Home]],Table4[[#This Row],[Visitor]])</f>
        <v>St. Louis Blues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0.54471025076760826</v>
      </c>
      <c r="M597" t="str">
        <f>IF(OR((NHL2025_26Results[[#This Row],[Winning Team]]="")),"-",IF(Table4[[#This Row],[Predicted Winner]]=NHL2025_26Results[[#This Row],[Winning Team]],"YES","NO"))</f>
        <v>-</v>
      </c>
      <c r="N597" t="str">
        <f>IF(Table4[[#This Row],[Adjusted Correct]]="-", "",IF(Table4[[#This Row],[Adjusted Correct]]="YES",(Table4[[#This Row],[Strength of Win]]-1)^2,(Table4[[#This Row],[Strength of Win]]-0)^2))</f>
        <v/>
      </c>
      <c r="P597" s="11"/>
    </row>
    <row r="598" spans="4:16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-0.63447859131898054</v>
      </c>
      <c r="H598" t="s">
        <v>36</v>
      </c>
      <c r="I598">
        <f>VLOOKUP(Table4[[#This Row],[Visitor]],'NHL Model'!$A$6:$B$38,2,FALSE)</f>
        <v>-0.53137605086483863</v>
      </c>
      <c r="J598">
        <f>($B$1+Table4[[#This Row],[Home Differential]])-Table4[[#This Row],[Away Differential]]</f>
        <v>-5.3201791530979481E-2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0.46621209436364425</v>
      </c>
      <c r="M598" t="str">
        <f>IF(OR((NHL2025_26Results[[#This Row],[Winning Team]]="")),"-",IF(Table4[[#This Row],[Predicted Winner]]=NHL2025_26Results[[#This Row],[Winning Team]],"YES","NO"))</f>
        <v>-</v>
      </c>
      <c r="N598" t="str">
        <f>IF(Table4[[#This Row],[Adjusted Correct]]="-", "",IF(Table4[[#This Row],[Adjusted Correct]]="YES",(Table4[[#This Row],[Strength of Win]]-1)^2,(Table4[[#This Row],[Strength of Win]]-0)^2))</f>
        <v/>
      </c>
      <c r="P598" s="11"/>
    </row>
    <row r="599" spans="4:16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-0.9476777551108041</v>
      </c>
      <c r="H599" t="s">
        <v>33</v>
      </c>
      <c r="I599">
        <f>VLOOKUP(Table4[[#This Row],[Visitor]],'NHL Model'!$A$6:$B$38,2,FALSE)</f>
        <v>-0.45133099238224339</v>
      </c>
      <c r="J599">
        <f>($B$1+Table4[[#This Row],[Home Differential]])-Table4[[#This Row],[Away Differential]]</f>
        <v>-0.44644601380539828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0.51212916118467577</v>
      </c>
      <c r="M599" t="str">
        <f>IF(OR((NHL2025_26Results[[#This Row],[Winning Team]]="")),"-",IF(Table4[[#This Row],[Predicted Winner]]=NHL2025_26Results[[#This Row],[Winning Team]],"YES","NO"))</f>
        <v>-</v>
      </c>
      <c r="N599" t="str">
        <f>IF(Table4[[#This Row],[Adjusted Correct]]="-", "",IF(Table4[[#This Row],[Adjusted Correct]]="YES",(Table4[[#This Row],[Strength of Win]]-1)^2,(Table4[[#This Row],[Strength of Win]]-0)^2))</f>
        <v/>
      </c>
      <c r="P599" s="11"/>
    </row>
    <row r="600" spans="4:16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-0.24444083032063643</v>
      </c>
      <c r="H600" t="s">
        <v>12</v>
      </c>
      <c r="I600">
        <f>VLOOKUP(Table4[[#This Row],[Visitor]],'NHL Model'!$A$6:$B$38,2,FALSE)</f>
        <v>1.6319036584269762</v>
      </c>
      <c r="J600">
        <f>($B$1+Table4[[#This Row],[Home Differential]])-Table4[[#This Row],[Away Differential]]</f>
        <v>-1.8264437398244502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0.74588743211805819</v>
      </c>
      <c r="M600" t="str">
        <f>IF(OR((NHL2025_26Results[[#This Row],[Winning Team]]="")),"-",IF(Table4[[#This Row],[Predicted Winner]]=NHL2025_26Results[[#This Row],[Winning Team]],"YES","NO"))</f>
        <v>-</v>
      </c>
      <c r="N600" t="str">
        <f>IF(Table4[[#This Row],[Adjusted Correct]]="-", "",IF(Table4[[#This Row],[Adjusted Correct]]="YES",(Table4[[#This Row],[Strength of Win]]-1)^2,(Table4[[#This Row],[Strength of Win]]-0)^2))</f>
        <v/>
      </c>
      <c r="P600" s="11"/>
    </row>
    <row r="601" spans="4:16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-0.31324182378279158</v>
      </c>
      <c r="H601" t="s">
        <v>34</v>
      </c>
      <c r="I601">
        <f>VLOOKUP(Table4[[#This Row],[Visitor]],'NHL Model'!$A$6:$B$38,2,FALSE)</f>
        <v>-5.5124787449478845E-2</v>
      </c>
      <c r="J601">
        <f>($B$1+Table4[[#This Row],[Home Differential]])-Table4[[#This Row],[Away Differential]]</f>
        <v>-0.20821628741015025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0.52431232460821053</v>
      </c>
      <c r="M601" t="str">
        <f>IF(OR((NHL2025_26Results[[#This Row],[Winning Team]]="")),"-",IF(Table4[[#This Row],[Predicted Winner]]=NHL2025_26Results[[#This Row],[Winning Team]],"YES","NO"))</f>
        <v>-</v>
      </c>
      <c r="N601" t="str">
        <f>IF(Table4[[#This Row],[Adjusted Correct]]="-", "",IF(Table4[[#This Row],[Adjusted Correct]]="YES",(Table4[[#This Row],[Strength of Win]]-1)^2,(Table4[[#This Row],[Strength of Win]]-0)^2))</f>
        <v/>
      </c>
      <c r="P601" s="11"/>
    </row>
    <row r="602" spans="4:16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-0.59498940435054026</v>
      </c>
      <c r="H602" t="s">
        <v>30</v>
      </c>
      <c r="I602">
        <f>VLOOKUP(Table4[[#This Row],[Visitor]],'NHL Model'!$A$6:$B$38,2,FALSE)</f>
        <v>-0.24093199744133265</v>
      </c>
      <c r="J602">
        <f>($B$1+Table4[[#This Row],[Home Differential]])-Table4[[#This Row],[Away Differential]]</f>
        <v>-0.30415665798604519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0.56813794795961248</v>
      </c>
      <c r="M602" t="str">
        <f>IF(OR((NHL2025_26Results[[#This Row],[Winning Team]]="")),"-",IF(Table4[[#This Row],[Predicted Winner]]=NHL2025_26Results[[#This Row],[Winning Team]],"YES","NO"))</f>
        <v>-</v>
      </c>
      <c r="N602" t="str">
        <f>IF(Table4[[#This Row],[Adjusted Correct]]="-", "",IF(Table4[[#This Row],[Adjusted Correct]]="YES",(Table4[[#This Row],[Strength of Win]]-1)^2,(Table4[[#This Row],[Strength of Win]]-0)^2))</f>
        <v/>
      </c>
      <c r="P602" s="11"/>
    </row>
    <row r="603" spans="4:16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-0.17619625518431364</v>
      </c>
      <c r="H603" t="s">
        <v>14</v>
      </c>
      <c r="I603">
        <f>VLOOKUP(Table4[[#This Row],[Visitor]],'NHL Model'!$A$6:$B$38,2,FALSE)</f>
        <v>-0.14226422156549004</v>
      </c>
      <c r="J603">
        <f>($B$1+Table4[[#This Row],[Home Differential]])-Table4[[#This Row],[Away Differential]]</f>
        <v>1.5968715304338854E-2</v>
      </c>
      <c r="K603" t="str">
        <f>IF(Table4[[#This Row],[HomeIce Differential]]&gt;0,Table4[[#This Row],[Home]],Table4[[#This Row],[Visitor]])</f>
        <v>Chicago Blackhawks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0.50257784995496757</v>
      </c>
      <c r="M603" t="str">
        <f>IF(OR((NHL2025_26Results[[#This Row],[Winning Team]]="")),"-",IF(Table4[[#This Row],[Predicted Winner]]=NHL2025_26Results[[#This Row],[Winning Team]],"YES","NO"))</f>
        <v>-</v>
      </c>
      <c r="N603" t="str">
        <f>IF(Table4[[#This Row],[Adjusted Correct]]="-", "",IF(Table4[[#This Row],[Adjusted Correct]]="YES",(Table4[[#This Row],[Strength of Win]]-1)^2,(Table4[[#This Row],[Strength of Win]]-0)^2))</f>
        <v/>
      </c>
      <c r="P603" s="11"/>
    </row>
    <row r="604" spans="4:16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-0.87533956503230947</v>
      </c>
      <c r="H604" t="s">
        <v>19</v>
      </c>
      <c r="I604">
        <f>VLOOKUP(Table4[[#This Row],[Visitor]],'NHL Model'!$A$6:$B$38,2,FALSE)</f>
        <v>-0.63447859131898054</v>
      </c>
      <c r="J604">
        <f>($B$1+Table4[[#This Row],[Home Differential]])-Table4[[#This Row],[Away Differential]]</f>
        <v>-0.1909602247901665</v>
      </c>
      <c r="K604" t="str">
        <f>IF(Table4[[#This Row],[HomeIce Differential]]&gt;0,Table4[[#This Row],[Home]],Table4[[#This Row],[Visitor]])</f>
        <v>Toronto Maple Leafs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0.48229742461602004</v>
      </c>
      <c r="M604" t="str">
        <f>IF(OR((NHL2025_26Results[[#This Row],[Winning Team]]="")),"-",IF(Table4[[#This Row],[Predicted Winner]]=NHL2025_26Results[[#This Row],[Winning Team]],"YES","NO"))</f>
        <v>-</v>
      </c>
      <c r="N604" t="str">
        <f>IF(Table4[[#This Row],[Adjusted Correct]]="-", "",IF(Table4[[#This Row],[Adjusted Correct]]="YES",(Table4[[#This Row],[Strength of Win]]-1)^2,(Table4[[#This Row],[Strength of Win]]-0)^2))</f>
        <v/>
      </c>
      <c r="P604" s="11"/>
    </row>
    <row r="605" spans="4:16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-0.64937723527808999</v>
      </c>
      <c r="H605" t="s">
        <v>27</v>
      </c>
      <c r="I605">
        <f>VLOOKUP(Table4[[#This Row],[Visitor]],'NHL Model'!$A$6:$B$38,2,FALSE)</f>
        <v>-0.38023958350631604</v>
      </c>
      <c r="J605">
        <f>($B$1+Table4[[#This Row],[Home Differential]])-Table4[[#This Row],[Away Differential]]</f>
        <v>-0.21923690284861153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0.5281117069273964</v>
      </c>
      <c r="M605" t="str">
        <f>IF(OR((NHL2025_26Results[[#This Row],[Winning Team]]="")),"-",IF(Table4[[#This Row],[Predicted Winner]]=NHL2025_26Results[[#This Row],[Winning Team]],"YES","NO"))</f>
        <v>-</v>
      </c>
      <c r="N605" t="str">
        <f>IF(Table4[[#This Row],[Adjusted Correct]]="-", "",IF(Table4[[#This Row],[Adjusted Correct]]="YES",(Table4[[#This Row],[Strength of Win]]-1)^2,(Table4[[#This Row],[Strength of Win]]-0)^2))</f>
        <v/>
      </c>
      <c r="P605" s="11"/>
    </row>
    <row r="606" spans="4:16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0.51050494674660429</v>
      </c>
      <c r="H606" t="s">
        <v>18</v>
      </c>
      <c r="I606">
        <f>VLOOKUP(Table4[[#This Row],[Visitor]],'NHL Model'!$A$6:$B$38,2,FALSE)</f>
        <v>-0.59288962827382519</v>
      </c>
      <c r="J606">
        <f>($B$1+Table4[[#This Row],[Home Differential]])-Table4[[#This Row],[Away Differential]]</f>
        <v>1.1532953239435919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0.64803323445177996</v>
      </c>
      <c r="M606" t="str">
        <f>IF(OR((NHL2025_26Results[[#This Row],[Winning Team]]="")),"-",IF(Table4[[#This Row],[Predicted Winner]]=NHL2025_26Results[[#This Row],[Winning Team]],"YES","NO"))</f>
        <v>-</v>
      </c>
      <c r="N606" t="str">
        <f>IF(Table4[[#This Row],[Adjusted Correct]]="-", "",IF(Table4[[#This Row],[Adjusted Correct]]="YES",(Table4[[#This Row],[Strength of Win]]-1)^2,(Table4[[#This Row],[Strength of Win]]-0)^2))</f>
        <v/>
      </c>
      <c r="P606" s="11"/>
    </row>
    <row r="607" spans="4:16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0.17870302183926629</v>
      </c>
      <c r="H607" t="s">
        <v>33</v>
      </c>
      <c r="I607">
        <f>VLOOKUP(Table4[[#This Row],[Visitor]],'NHL Model'!$A$6:$B$38,2,FALSE)</f>
        <v>-0.45133099238224339</v>
      </c>
      <c r="J607">
        <f>($B$1+Table4[[#This Row],[Home Differential]])-Table4[[#This Row],[Away Differential]]</f>
        <v>0.67993476314467216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0.69922712946183019</v>
      </c>
      <c r="M607" t="str">
        <f>IF(OR((NHL2025_26Results[[#This Row],[Winning Team]]="")),"-",IF(Table4[[#This Row],[Predicted Winner]]=NHL2025_26Results[[#This Row],[Winning Team]],"YES","NO"))</f>
        <v>-</v>
      </c>
      <c r="N607" t="str">
        <f>IF(Table4[[#This Row],[Adjusted Correct]]="-", "",IF(Table4[[#This Row],[Adjusted Correct]]="YES",(Table4[[#This Row],[Strength of Win]]-1)^2,(Table4[[#This Row],[Strength of Win]]-0)^2))</f>
        <v/>
      </c>
      <c r="P607" s="11"/>
    </row>
    <row r="608" spans="4:16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0.42567513732855267</v>
      </c>
      <c r="H608" t="s">
        <v>15</v>
      </c>
      <c r="I608">
        <f>VLOOKUP(Table4[[#This Row],[Visitor]],'NHL Model'!$A$6:$B$38,2,FALSE)</f>
        <v>-0.29003398448394263</v>
      </c>
      <c r="J608">
        <f>($B$1+Table4[[#This Row],[Home Differential]])-Table4[[#This Row],[Away Differential]]</f>
        <v>0.76560987073565778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0.58170394431130978</v>
      </c>
      <c r="M608" t="str">
        <f>IF(OR((NHL2025_26Results[[#This Row],[Winning Team]]="")),"-",IF(Table4[[#This Row],[Predicted Winner]]=NHL2025_26Results[[#This Row],[Winning Team]],"YES","NO"))</f>
        <v>-</v>
      </c>
      <c r="N608" t="str">
        <f>IF(Table4[[#This Row],[Adjusted Correct]]="-", "",IF(Table4[[#This Row],[Adjusted Correct]]="YES",(Table4[[#This Row],[Strength of Win]]-1)^2,(Table4[[#This Row],[Strength of Win]]-0)^2))</f>
        <v/>
      </c>
      <c r="P608" s="11"/>
    </row>
    <row r="609" spans="4:16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-1.0657812790446208</v>
      </c>
      <c r="H609" t="s">
        <v>21</v>
      </c>
      <c r="I609">
        <f>VLOOKUP(Table4[[#This Row],[Visitor]],'NHL Model'!$A$6:$B$38,2,FALSE)</f>
        <v>-0.21976976044773161</v>
      </c>
      <c r="J609">
        <f>($B$1+Table4[[#This Row],[Home Differential]])-Table4[[#This Row],[Away Differential]]</f>
        <v>-0.79611076967372685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0.55378717520333443</v>
      </c>
      <c r="M609" t="str">
        <f>IF(OR((NHL2025_26Results[[#This Row],[Winning Team]]="")),"-",IF(Table4[[#This Row],[Predicted Winner]]=NHL2025_26Results[[#This Row],[Winning Team]],"YES","NO"))</f>
        <v>-</v>
      </c>
      <c r="N609" t="str">
        <f>IF(Table4[[#This Row],[Adjusted Correct]]="-", "",IF(Table4[[#This Row],[Adjusted Correct]]="YES",(Table4[[#This Row],[Strength of Win]]-1)^2,(Table4[[#This Row],[Strength of Win]]-0)^2))</f>
        <v/>
      </c>
      <c r="P609" s="11"/>
    </row>
    <row r="610" spans="4:16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1.6319036584269762</v>
      </c>
      <c r="H610" t="s">
        <v>13</v>
      </c>
      <c r="I610">
        <f>VLOOKUP(Table4[[#This Row],[Visitor]],'NHL Model'!$A$6:$B$38,2,FALSE)</f>
        <v>-0.33828359867721369</v>
      </c>
      <c r="J610">
        <f>($B$1+Table4[[#This Row],[Home Differential]])-Table4[[#This Row],[Away Differential]]</f>
        <v>2.0200880060273523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0.81727043791199216</v>
      </c>
      <c r="M610" t="str">
        <f>IF(OR((NHL2025_26Results[[#This Row],[Winning Team]]="")),"-",IF(Table4[[#This Row],[Predicted Winner]]=NHL2025_26Results[[#This Row],[Winning Team]],"YES","NO"))</f>
        <v>-</v>
      </c>
      <c r="N610" t="str">
        <f>IF(Table4[[#This Row],[Adjusted Correct]]="-", "",IF(Table4[[#This Row],[Adjusted Correct]]="YES",(Table4[[#This Row],[Strength of Win]]-1)^2,(Table4[[#This Row],[Strength of Win]]-0)^2))</f>
        <v/>
      </c>
      <c r="P610" s="11"/>
    </row>
    <row r="611" spans="4:16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-0.39711829106410657</v>
      </c>
      <c r="H611" t="s">
        <v>22</v>
      </c>
      <c r="I611">
        <f>VLOOKUP(Table4[[#This Row],[Visitor]],'NHL Model'!$A$6:$B$38,2,FALSE)</f>
        <v>0.4407072328537569</v>
      </c>
      <c r="J611">
        <f>($B$1+Table4[[#This Row],[Home Differential]])-Table4[[#This Row],[Away Differential]]</f>
        <v>-0.78792477499470093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0.58037393944359772</v>
      </c>
      <c r="M611" t="str">
        <f>IF(OR((NHL2025_26Results[[#This Row],[Winning Team]]="")),"-",IF(Table4[[#This Row],[Predicted Winner]]=NHL2025_26Results[[#This Row],[Winning Team]],"YES","NO"))</f>
        <v>-</v>
      </c>
      <c r="N611" t="str">
        <f>IF(Table4[[#This Row],[Adjusted Correct]]="-", "",IF(Table4[[#This Row],[Adjusted Correct]]="YES",(Table4[[#This Row],[Strength of Win]]-1)^2,(Table4[[#This Row],[Strength of Win]]-0)^2))</f>
        <v/>
      </c>
      <c r="P611" s="11"/>
    </row>
    <row r="612" spans="4:16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-0.53137605086483863</v>
      </c>
      <c r="H612" t="s">
        <v>28</v>
      </c>
      <c r="I612">
        <f>VLOOKUP(Table4[[#This Row],[Visitor]],'NHL Model'!$A$6:$B$38,2,FALSE)</f>
        <v>-0.59498940435054026</v>
      </c>
      <c r="J612">
        <f>($B$1+Table4[[#This Row],[Home Differential]])-Table4[[#This Row],[Away Differential]]</f>
        <v>0.11351410240886411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0.55217660249343792</v>
      </c>
      <c r="M612" t="str">
        <f>IF(OR((NHL2025_26Results[[#This Row],[Winning Team]]="")),"-",IF(Table4[[#This Row],[Predicted Winner]]=NHL2025_26Results[[#This Row],[Winning Team]],"YES","NO"))</f>
        <v>-</v>
      </c>
      <c r="N612" t="str">
        <f>IF(Table4[[#This Row],[Adjusted Correct]]="-", "",IF(Table4[[#This Row],[Adjusted Correct]]="YES",(Table4[[#This Row],[Strength of Win]]-1)^2,(Table4[[#This Row],[Strength of Win]]-0)^2))</f>
        <v/>
      </c>
      <c r="P612" s="11"/>
    </row>
    <row r="613" spans="4:16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-0.64937723527808999</v>
      </c>
      <c r="H613" t="s">
        <v>38</v>
      </c>
      <c r="I613">
        <f>VLOOKUP(Table4[[#This Row],[Visitor]],'NHL Model'!$A$6:$B$38,2,FALSE)</f>
        <v>-0.9476777551108041</v>
      </c>
      <c r="J613">
        <f>($B$1+Table4[[#This Row],[Home Differential]])-Table4[[#This Row],[Away Differential]]</f>
        <v>0.34820126875587654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0.57708147827079681</v>
      </c>
      <c r="M613" t="str">
        <f>IF(OR((NHL2025_26Results[[#This Row],[Winning Team]]="")),"-",IF(Table4[[#This Row],[Predicted Winner]]=NHL2025_26Results[[#This Row],[Winning Team]],"YES","NO"))</f>
        <v>-</v>
      </c>
      <c r="N613" t="str">
        <f>IF(Table4[[#This Row],[Adjusted Correct]]="-", "",IF(Table4[[#This Row],[Adjusted Correct]]="YES",(Table4[[#This Row],[Strength of Win]]-1)^2,(Table4[[#This Row],[Strength of Win]]-0)^2))</f>
        <v/>
      </c>
      <c r="P613" s="11"/>
    </row>
    <row r="614" spans="4:16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-1.3944783719477225</v>
      </c>
      <c r="H614" t="s">
        <v>23</v>
      </c>
      <c r="I614">
        <f>VLOOKUP(Table4[[#This Row],[Visitor]],'NHL Model'!$A$6:$B$38,2,FALSE)</f>
        <v>-0.4761104357405897</v>
      </c>
      <c r="J614">
        <f>($B$1+Table4[[#This Row],[Home Differential]])-Table4[[#This Row],[Away Differential]]</f>
        <v>-0.86846718728397043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0.56140636177627945</v>
      </c>
      <c r="M614" t="str">
        <f>IF(OR((NHL2025_26Results[[#This Row],[Winning Team]]="")),"-",IF(Table4[[#This Row],[Predicted Winner]]=NHL2025_26Results[[#This Row],[Winning Team]],"YES","NO"))</f>
        <v>-</v>
      </c>
      <c r="N614" t="str">
        <f>IF(Table4[[#This Row],[Adjusted Correct]]="-", "",IF(Table4[[#This Row],[Adjusted Correct]]="YES",(Table4[[#This Row],[Strength of Win]]-1)^2,(Table4[[#This Row],[Strength of Win]]-0)^2))</f>
        <v/>
      </c>
      <c r="P614" s="11"/>
    </row>
    <row r="615" spans="4:16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-0.4031232890211825</v>
      </c>
      <c r="H615" t="s">
        <v>29</v>
      </c>
      <c r="I615">
        <f>VLOOKUP(Table4[[#This Row],[Visitor]],'NHL Model'!$A$6:$B$38,2,FALSE)</f>
        <v>-1.384917283810061</v>
      </c>
      <c r="J615">
        <f>($B$1+Table4[[#This Row],[Home Differential]])-Table4[[#This Row],[Away Differential]]</f>
        <v>1.031694743712041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0.70089676550215485</v>
      </c>
      <c r="M615" t="str">
        <f>IF(OR((NHL2025_26Results[[#This Row],[Winning Team]]="")),"-",IF(Table4[[#This Row],[Predicted Winner]]=NHL2025_26Results[[#This Row],[Winning Team]],"YES","NO"))</f>
        <v>-</v>
      </c>
      <c r="N615" t="str">
        <f>IF(Table4[[#This Row],[Adjusted Correct]]="-", "",IF(Table4[[#This Row],[Adjusted Correct]]="YES",(Table4[[#This Row],[Strength of Win]]-1)^2,(Table4[[#This Row],[Strength of Win]]-0)^2))</f>
        <v/>
      </c>
      <c r="P615" s="11"/>
    </row>
    <row r="616" spans="4:16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-0.24444083032063643</v>
      </c>
      <c r="H616" t="s">
        <v>34</v>
      </c>
      <c r="I616">
        <f>VLOOKUP(Table4[[#This Row],[Visitor]],'NHL Model'!$A$6:$B$38,2,FALSE)</f>
        <v>-5.5124787449478845E-2</v>
      </c>
      <c r="J616">
        <f>($B$1+Table4[[#This Row],[Home Differential]])-Table4[[#This Row],[Away Differential]]</f>
        <v>-0.13941529394799512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0.51879135600538295</v>
      </c>
      <c r="M616" t="str">
        <f>IF(OR((NHL2025_26Results[[#This Row],[Winning Team]]="")),"-",IF(Table4[[#This Row],[Predicted Winner]]=NHL2025_26Results[[#This Row],[Winning Team]],"YES","NO"))</f>
        <v>-</v>
      </c>
      <c r="N616" t="str">
        <f>IF(Table4[[#This Row],[Adjusted Correct]]="-", "",IF(Table4[[#This Row],[Adjusted Correct]]="YES",(Table4[[#This Row],[Strength of Win]]-1)^2,(Table4[[#This Row],[Strength of Win]]-0)^2))</f>
        <v/>
      </c>
      <c r="P616" s="11"/>
    </row>
    <row r="617" spans="4:16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-0.31324182378279158</v>
      </c>
      <c r="H617" t="s">
        <v>17</v>
      </c>
      <c r="I617">
        <f>VLOOKUP(Table4[[#This Row],[Visitor]],'NHL Model'!$A$6:$B$38,2,FALSE)</f>
        <v>-0.81774666423752174</v>
      </c>
      <c r="J617">
        <f>($B$1+Table4[[#This Row],[Home Differential]])-Table4[[#This Row],[Away Differential]]</f>
        <v>0.55440558937789264</v>
      </c>
      <c r="K617" t="str">
        <f>IF(Table4[[#This Row],[HomeIce Differential]]&gt;0,Table4[[#This Row],[Home]],Table4[[#This Row],[Visitor]])</f>
        <v>Winnipeg Jets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0.60723051420671958</v>
      </c>
      <c r="M617" t="str">
        <f>IF(OR((NHL2025_26Results[[#This Row],[Winning Team]]="")),"-",IF(Table4[[#This Row],[Predicted Winner]]=NHL2025_26Results[[#This Row],[Winning Team]],"YES","NO"))</f>
        <v>-</v>
      </c>
      <c r="N617" t="str">
        <f>IF(Table4[[#This Row],[Adjusted Correct]]="-", "",IF(Table4[[#This Row],[Adjusted Correct]]="YES",(Table4[[#This Row],[Strength of Win]]-1)^2,(Table4[[#This Row],[Strength of Win]]-0)^2))</f>
        <v/>
      </c>
      <c r="P617" s="11"/>
    </row>
    <row r="618" spans="4:16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-0.17619625518431364</v>
      </c>
      <c r="H618" t="s">
        <v>30</v>
      </c>
      <c r="I618">
        <f>VLOOKUP(Table4[[#This Row],[Visitor]],'NHL Model'!$A$6:$B$38,2,FALSE)</f>
        <v>-0.24093199744133265</v>
      </c>
      <c r="J618">
        <f>($B$1+Table4[[#This Row],[Home Differential]])-Table4[[#This Row],[Away Differential]]</f>
        <v>0.11463649118018146</v>
      </c>
      <c r="K618" t="str">
        <f>IF(Table4[[#This Row],[HomeIce Differential]]&gt;0,Table4[[#This Row],[Home]],Table4[[#This Row],[Visitor]])</f>
        <v>Chicago Blackhawks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0.48076233315128636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6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-0.39711829106410657</v>
      </c>
      <c r="H619" t="s">
        <v>18</v>
      </c>
      <c r="I619">
        <f>VLOOKUP(Table4[[#This Row],[Visitor]],'NHL Model'!$A$6:$B$38,2,FALSE)</f>
        <v>-0.59288962827382519</v>
      </c>
      <c r="J619">
        <f>($B$1+Table4[[#This Row],[Home Differential]])-Table4[[#This Row],[Away Differential]]</f>
        <v>0.24567208613288111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0.52353120274196641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6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-0.14226422156549004</v>
      </c>
      <c r="H620" t="s">
        <v>25</v>
      </c>
      <c r="I620">
        <f>VLOOKUP(Table4[[#This Row],[Visitor]],'NHL Model'!$A$6:$B$38,2,FALSE)</f>
        <v>0.42567513732855267</v>
      </c>
      <c r="J620">
        <f>($B$1+Table4[[#This Row],[Home Differential]])-Table4[[#This Row],[Away Differential]]</f>
        <v>-0.51803860997088025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0.59311182252615857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6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-0.63447859131898054</v>
      </c>
      <c r="H621" t="s">
        <v>24</v>
      </c>
      <c r="I621">
        <f>VLOOKUP(Table4[[#This Row],[Visitor]],'NHL Model'!$A$6:$B$38,2,FALSE)</f>
        <v>1.5302507646042616E-3</v>
      </c>
      <c r="J621">
        <f>($B$1+Table4[[#This Row],[Home Differential]])-Table4[[#This Row],[Away Differential]]</f>
        <v>-0.58610809316042234</v>
      </c>
      <c r="K621" t="str">
        <f>IF(Table4[[#This Row],[HomeIce Differential]]&gt;0,Table4[[#This Row],[Home]],Table4[[#This Row],[Visitor]])</f>
        <v>New Jersey Devils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0.54920600098378236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6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-0.9476777551108041</v>
      </c>
      <c r="H622" t="s">
        <v>27</v>
      </c>
      <c r="I622">
        <f>VLOOKUP(Table4[[#This Row],[Visitor]],'NHL Model'!$A$6:$B$38,2,FALSE)</f>
        <v>-0.38023958350631604</v>
      </c>
      <c r="J622">
        <f>($B$1+Table4[[#This Row],[Home Differential]])-Table4[[#This Row],[Away Differential]]</f>
        <v>-0.51753742268132563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0.56294269521932072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6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0.17870302183926629</v>
      </c>
      <c r="H623" t="s">
        <v>37</v>
      </c>
      <c r="I623">
        <f>VLOOKUP(Table4[[#This Row],[Visitor]],'NHL Model'!$A$6:$B$38,2,FALSE)</f>
        <v>0.51050494674660429</v>
      </c>
      <c r="J623">
        <f>($B$1+Table4[[#This Row],[Home Differential]])-Table4[[#This Row],[Away Differential]]</f>
        <v>-0.28190117598417552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0.50350435815468431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6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-0.59498940435054026</v>
      </c>
      <c r="H624" t="s">
        <v>24</v>
      </c>
      <c r="I624">
        <f>VLOOKUP(Table4[[#This Row],[Visitor]],'NHL Model'!$A$6:$B$38,2,FALSE)</f>
        <v>1.5302507646042616E-3</v>
      </c>
      <c r="J624">
        <f>($B$1+Table4[[#This Row],[Home Differential]])-Table4[[#This Row],[Away Differential]]</f>
        <v>-0.54661890619198206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0.54459505558641363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-1.0657812790446208</v>
      </c>
      <c r="H625" t="s">
        <v>27</v>
      </c>
      <c r="I625">
        <f>VLOOKUP(Table4[[#This Row],[Visitor]],'NHL Model'!$A$6:$B$38,2,FALSE)</f>
        <v>-0.38023958350631604</v>
      </c>
      <c r="J625">
        <f>($B$1+Table4[[#This Row],[Home Differential]])-Table4[[#This Row],[Away Differential]]</f>
        <v>-0.63564094661514237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0.57673302472220156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1.6319036584269762</v>
      </c>
      <c r="H626" t="s">
        <v>35</v>
      </c>
      <c r="I626">
        <f>VLOOKUP(Table4[[#This Row],[Visitor]],'NHL Model'!$A$6:$B$38,2,FALSE)</f>
        <v>-1.3944783719477225</v>
      </c>
      <c r="J626">
        <f>($B$1+Table4[[#This Row],[Home Differential]])-Table4[[#This Row],[Away Differential]]</f>
        <v>3.0762827792978609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0.41344250185511977</v>
      </c>
      <c r="H627" t="s">
        <v>23</v>
      </c>
      <c r="I627">
        <f>VLOOKUP(Table4[[#This Row],[Visitor]],'NHL Model'!$A$6:$B$38,2,FALSE)</f>
        <v>-0.4761104357405897</v>
      </c>
      <c r="J627">
        <f>($B$1+Table4[[#This Row],[Home Differential]])-Table4[[#This Row],[Away Differential]]</f>
        <v>0.93945368651887196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0.68194114905620618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-0.87533956503230947</v>
      </c>
      <c r="H628" t="s">
        <v>40</v>
      </c>
      <c r="I628">
        <f>VLOOKUP(Table4[[#This Row],[Visitor]],'NHL Model'!$A$6:$B$38,2,FALSE)</f>
        <v>-0.31324182378279158</v>
      </c>
      <c r="J628">
        <f>($B$1+Table4[[#This Row],[Home Differential]])-Table4[[#This Row],[Away Differential]]</f>
        <v>-0.5121969923263554</v>
      </c>
      <c r="K628" t="str">
        <f>IF(Table4[[#This Row],[HomeIce Differential]]&gt;0,Table4[[#This Row],[Home]],Table4[[#This Row],[Visitor]])</f>
        <v>Winnipeg Jets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0.54057578911141169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-0.81774666423752174</v>
      </c>
      <c r="H629" t="s">
        <v>21</v>
      </c>
      <c r="I629">
        <f>VLOOKUP(Table4[[#This Row],[Visitor]],'NHL Model'!$A$6:$B$38,2,FALSE)</f>
        <v>-0.21976976044773161</v>
      </c>
      <c r="J629">
        <f>($B$1+Table4[[#This Row],[Home Differential]])-Table4[[#This Row],[Away Differential]]</f>
        <v>-0.54807615486662775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0.51777749271244533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-0.45133099238224339</v>
      </c>
      <c r="H630" t="s">
        <v>34</v>
      </c>
      <c r="I630">
        <f>VLOOKUP(Table4[[#This Row],[Visitor]],'NHL Model'!$A$6:$B$38,2,FALSE)</f>
        <v>-5.5124787449478845E-2</v>
      </c>
      <c r="J630">
        <f>($B$1+Table4[[#This Row],[Home Differential]])-Table4[[#This Row],[Away Differential]]</f>
        <v>-0.34630545600960205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0.53274396540055979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-0.24444083032063643</v>
      </c>
      <c r="H631" t="s">
        <v>29</v>
      </c>
      <c r="I631">
        <f>VLOOKUP(Table4[[#This Row],[Visitor]],'NHL Model'!$A$6:$B$38,2,FALSE)</f>
        <v>-1.384917283810061</v>
      </c>
      <c r="J631">
        <f>($B$1+Table4[[#This Row],[Home Differential]])-Table4[[#This Row],[Away Differential]]</f>
        <v>1.1903772024125869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0.67899410709528163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0.4407072328537569</v>
      </c>
      <c r="H632" t="s">
        <v>15</v>
      </c>
      <c r="I632">
        <f>VLOOKUP(Table4[[#This Row],[Visitor]],'NHL Model'!$A$6:$B$38,2,FALSE)</f>
        <v>-0.29003398448394263</v>
      </c>
      <c r="J632">
        <f>($B$1+Table4[[#This Row],[Home Differential]])-Table4[[#This Row],[Away Differential]]</f>
        <v>0.78064196626086202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0.55717088848980889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0.42567513732855267</v>
      </c>
      <c r="H633" t="s">
        <v>18</v>
      </c>
      <c r="I633">
        <f>VLOOKUP(Table4[[#This Row],[Visitor]],'NHL Model'!$A$6:$B$38,2,FALSE)</f>
        <v>-0.59288962827382519</v>
      </c>
      <c r="J633">
        <f>($B$1+Table4[[#This Row],[Home Differential]])-Table4[[#This Row],[Away Differential]]</f>
        <v>1.0684655145255404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0.65809245157970586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-0.17619625518431364</v>
      </c>
      <c r="H634" t="s">
        <v>39</v>
      </c>
      <c r="I634">
        <f>VLOOKUP(Table4[[#This Row],[Visitor]],'NHL Model'!$A$6:$B$38,2,FALSE)</f>
        <v>0.41344250185511977</v>
      </c>
      <c r="J634">
        <f>($B$1+Table4[[#This Row],[Home Differential]])-Table4[[#This Row],[Away Differential]]</f>
        <v>-0.53973800811627093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0.62482013122102475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-0.33828359867721369</v>
      </c>
      <c r="H635" t="s">
        <v>37</v>
      </c>
      <c r="I635">
        <f>VLOOKUP(Table4[[#This Row],[Visitor]],'NHL Model'!$A$6:$B$38,2,FALSE)</f>
        <v>0.51050494674660429</v>
      </c>
      <c r="J635">
        <f>($B$1+Table4[[#This Row],[Home Differential]])-Table4[[#This Row],[Away Differential]]</f>
        <v>-0.79888779650065556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0.6457681288291155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-0.24093199744133265</v>
      </c>
      <c r="H636" t="s">
        <v>55</v>
      </c>
      <c r="I636">
        <f>VLOOKUP(Table4[[#This Row],[Visitor]],'NHL Model'!$A$6:$B$38,2,FALSE)</f>
        <v>-0.4031232890211825</v>
      </c>
      <c r="J636">
        <f>($B$1+Table4[[#This Row],[Home Differential]])-Table4[[#This Row],[Away Differential]]</f>
        <v>0.21209204050301231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0.56476487598383529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-0.53137605086483863</v>
      </c>
      <c r="H637" t="s">
        <v>22</v>
      </c>
      <c r="I637">
        <f>VLOOKUP(Table4[[#This Row],[Visitor]],'NHL Model'!$A$6:$B$38,2,FALSE)</f>
        <v>0.4407072328537569</v>
      </c>
      <c r="J637">
        <f>($B$1+Table4[[#This Row],[Home Differential]])-Table4[[#This Row],[Away Differential]]</f>
        <v>-0.92218253479543311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0.60767842138019035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-0.14226422156549004</v>
      </c>
      <c r="H638" t="s">
        <v>26</v>
      </c>
      <c r="I638">
        <f>VLOOKUP(Table4[[#This Row],[Visitor]],'NHL Model'!$A$6:$B$38,2,FALSE)</f>
        <v>-0.87533956503230947</v>
      </c>
      <c r="J638">
        <f>($B$1+Table4[[#This Row],[Home Differential]])-Table4[[#This Row],[Away Differential]]</f>
        <v>0.78297609238998189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0.63142401468889853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-0.64937723527808999</v>
      </c>
      <c r="H639" t="s">
        <v>29</v>
      </c>
      <c r="I639">
        <f>VLOOKUP(Table4[[#This Row],[Visitor]],'NHL Model'!$A$6:$B$38,2,FALSE)</f>
        <v>-1.384917283810061</v>
      </c>
      <c r="J639">
        <f>($B$1+Table4[[#This Row],[Home Differential]])-Table4[[#This Row],[Away Differential]]</f>
        <v>0.7854407974551334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0.63171180538170546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-0.63447859131898054</v>
      </c>
      <c r="H640" t="s">
        <v>40</v>
      </c>
      <c r="I640">
        <f>VLOOKUP(Table4[[#This Row],[Visitor]],'NHL Model'!$A$6:$B$38,2,FALSE)</f>
        <v>-0.31324182378279158</v>
      </c>
      <c r="J640">
        <f>($B$1+Table4[[#This Row],[Home Differential]])-Table4[[#This Row],[Away Differential]]</f>
        <v>-0.27133601861302653</v>
      </c>
      <c r="K640" t="str">
        <f>IF(Table4[[#This Row],[HomeIce Differential]]&gt;0,Table4[[#This Row],[Home]],Table4[[#This Row],[Visitor]])</f>
        <v>Winnipeg Jets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0.51245171557612179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0.17870302183926629</v>
      </c>
      <c r="H641" t="s">
        <v>34</v>
      </c>
      <c r="I641">
        <f>VLOOKUP(Table4[[#This Row],[Visitor]],'NHL Model'!$A$6:$B$38,2,FALSE)</f>
        <v>-5.5124787449478845E-2</v>
      </c>
      <c r="J641">
        <f>($B$1+Table4[[#This Row],[Home Differential]])-Table4[[#This Row],[Away Differential]]</f>
        <v>0.28372855821190757</v>
      </c>
      <c r="K641" t="str">
        <f>IF(Table4[[#This Row],[HomeIce Differential]]&gt;0,Table4[[#This Row],[Home]],Table4[[#This Row],[Visitor]])</f>
        <v>Anaheim Ducks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0.61207686512694381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-0.39711829106410657</v>
      </c>
      <c r="H642" t="s">
        <v>15</v>
      </c>
      <c r="I642">
        <f>VLOOKUP(Table4[[#This Row],[Visitor]],'NHL Model'!$A$6:$B$38,2,FALSE)</f>
        <v>-0.29003398448394263</v>
      </c>
      <c r="J642">
        <f>($B$1+Table4[[#This Row],[Home Differential]])-Table4[[#This Row],[Away Differential]]</f>
        <v>-5.7183557657001449E-2</v>
      </c>
      <c r="K642" t="str">
        <f>IF(Table4[[#This Row],[HomeIce Differential]]&gt;0,Table4[[#This Row],[Home]],Table4[[#This Row],[Visitor]])</f>
        <v>New York Rangers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0.55277631510567293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-1.3944783719477225</v>
      </c>
      <c r="H643" t="s">
        <v>20</v>
      </c>
      <c r="I643">
        <f>VLOOKUP(Table4[[#This Row],[Visitor]],'NHL Model'!$A$6:$B$38,2,FALSE)</f>
        <v>-0.24444083032063643</v>
      </c>
      <c r="J643">
        <f>($B$1+Table4[[#This Row],[Home Differential]])-Table4[[#This Row],[Away Differential]]</f>
        <v>-1.1001367927039236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0.58845720740840357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-0.9476777551108041</v>
      </c>
      <c r="H644" t="s">
        <v>32</v>
      </c>
      <c r="I644">
        <f>VLOOKUP(Table4[[#This Row],[Visitor]],'NHL Model'!$A$6:$B$38,2,FALSE)</f>
        <v>-0.64937723527808999</v>
      </c>
      <c r="J644">
        <f>($B$1+Table4[[#This Row],[Home Differential]])-Table4[[#This Row],[Away Differential]]</f>
        <v>-0.24839977090955168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0.48900433937265447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0.42567513732855267</v>
      </c>
      <c r="H645" t="s">
        <v>12</v>
      </c>
      <c r="I645">
        <f>VLOOKUP(Table4[[#This Row],[Visitor]],'NHL Model'!$A$6:$B$38,2,FALSE)</f>
        <v>1.6319036584269762</v>
      </c>
      <c r="J645">
        <f>($B$1+Table4[[#This Row],[Home Differential]])-Table4[[#This Row],[Away Differential]]</f>
        <v>-1.1563277721752609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0.61501833358134994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-0.59498940435054026</v>
      </c>
      <c r="H646" t="s">
        <v>23</v>
      </c>
      <c r="I646">
        <f>VLOOKUP(Table4[[#This Row],[Visitor]],'NHL Model'!$A$6:$B$38,2,FALSE)</f>
        <v>-0.4761104357405897</v>
      </c>
      <c r="J646">
        <f>($B$1+Table4[[#This Row],[Home Differential]])-Table4[[#This Row],[Away Differential]]</f>
        <v>-6.8978219686788134E-2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0.46805422519429624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-1.0657812790446208</v>
      </c>
      <c r="H647" t="s">
        <v>29</v>
      </c>
      <c r="I647">
        <f>VLOOKUP(Table4[[#This Row],[Visitor]],'NHL Model'!$A$6:$B$38,2,FALSE)</f>
        <v>-1.384917283810061</v>
      </c>
      <c r="J647">
        <f>($B$1+Table4[[#This Row],[Home Differential]])-Table4[[#This Row],[Away Differential]]</f>
        <v>0.36903675368860256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0.5830904875869003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-0.87533956503230947</v>
      </c>
      <c r="H648" t="s">
        <v>14</v>
      </c>
      <c r="I648">
        <f>VLOOKUP(Table4[[#This Row],[Visitor]],'NHL Model'!$A$6:$B$38,2,FALSE)</f>
        <v>-0.14226422156549004</v>
      </c>
      <c r="J648">
        <f>($B$1+Table4[[#This Row],[Home Differential]])-Table4[[#This Row],[Away Differential]]</f>
        <v>-0.68317459454365703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0.57905745008858989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-0.81774666423752174</v>
      </c>
      <c r="H649" t="s">
        <v>27</v>
      </c>
      <c r="I649">
        <f>VLOOKUP(Table4[[#This Row],[Visitor]],'NHL Model'!$A$6:$B$38,2,FALSE)</f>
        <v>-0.38023958350631604</v>
      </c>
      <c r="J649">
        <f>($B$1+Table4[[#This Row],[Home Differential]])-Table4[[#This Row],[Away Differential]]</f>
        <v>-0.38760633180804327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0.54067160393645486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-0.33828359867721369</v>
      </c>
      <c r="H650" t="s">
        <v>34</v>
      </c>
      <c r="I650">
        <f>VLOOKUP(Table4[[#This Row],[Visitor]],'NHL Model'!$A$6:$B$38,2,FALSE)</f>
        <v>-5.5124787449478845E-2</v>
      </c>
      <c r="J650">
        <f>($B$1+Table4[[#This Row],[Home Differential]])-Table4[[#This Row],[Away Differential]]</f>
        <v>-0.23325806230457236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0.52974888423142408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1.5302507646042616E-3</v>
      </c>
      <c r="H651" t="s">
        <v>55</v>
      </c>
      <c r="I651">
        <f>VLOOKUP(Table4[[#This Row],[Visitor]],'NHL Model'!$A$6:$B$38,2,FALSE)</f>
        <v>-0.4031232890211825</v>
      </c>
      <c r="J651">
        <f>($B$1+Table4[[#This Row],[Home Differential]])-Table4[[#This Row],[Away Differential]]</f>
        <v>0.45455428870894921</v>
      </c>
      <c r="K651" t="str">
        <f>IF(Table4[[#This Row],[HomeIce Differential]]&gt;0,Table4[[#This Row],[Home]],Table4[[#This Row],[Visitor]])</f>
        <v>New Jersey Devils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0.67291063269306362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-0.24093199744133265</v>
      </c>
      <c r="H652" t="s">
        <v>19</v>
      </c>
      <c r="I652">
        <f>VLOOKUP(Table4[[#This Row],[Visitor]],'NHL Model'!$A$6:$B$38,2,FALSE)</f>
        <v>-0.63447859131898054</v>
      </c>
      <c r="J652">
        <f>($B$1+Table4[[#This Row],[Home Differential]])-Table4[[#This Row],[Away Differential]]</f>
        <v>0.44344734280081033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0.59177902208766475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-0.53137605086483863</v>
      </c>
      <c r="H653" t="s">
        <v>40</v>
      </c>
      <c r="I653">
        <f>VLOOKUP(Table4[[#This Row],[Visitor]],'NHL Model'!$A$6:$B$38,2,FALSE)</f>
        <v>-0.31324182378279158</v>
      </c>
      <c r="J653">
        <f>($B$1+Table4[[#This Row],[Home Differential]])-Table4[[#This Row],[Away Differential]]</f>
        <v>-0.16823347815888456</v>
      </c>
      <c r="K653" t="str">
        <f>IF(Table4[[#This Row],[HomeIce Differential]]&gt;0,Table4[[#This Row],[Home]],Table4[[#This Row],[Visitor]])</f>
        <v>Winnipeg Jets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0.49790461108919443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-0.45133099238224339</v>
      </c>
      <c r="H654" t="s">
        <v>37</v>
      </c>
      <c r="I654">
        <f>VLOOKUP(Table4[[#This Row],[Visitor]],'NHL Model'!$A$6:$B$38,2,FALSE)</f>
        <v>0.51050494674660429</v>
      </c>
      <c r="J654">
        <f>($B$1+Table4[[#This Row],[Home Differential]])-Table4[[#This Row],[Away Differential]]</f>
        <v>-0.91193519020568514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0.64885477401525748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-1.3944783719477225</v>
      </c>
      <c r="H655" t="s">
        <v>18</v>
      </c>
      <c r="I655">
        <f>VLOOKUP(Table4[[#This Row],[Visitor]],'NHL Model'!$A$6:$B$38,2,FALSE)</f>
        <v>-0.59288962827382519</v>
      </c>
      <c r="J655">
        <f>($B$1+Table4[[#This Row],[Home Differential]])-Table4[[#This Row],[Away Differential]]</f>
        <v>-0.75168799475073489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0.60705850133804595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-0.9476777551108041</v>
      </c>
      <c r="H656" t="s">
        <v>21</v>
      </c>
      <c r="I656">
        <f>VLOOKUP(Table4[[#This Row],[Visitor]],'NHL Model'!$A$6:$B$38,2,FALSE)</f>
        <v>-0.21976976044773161</v>
      </c>
      <c r="J656">
        <f>($B$1+Table4[[#This Row],[Home Differential]])-Table4[[#This Row],[Away Differential]]</f>
        <v>-0.67800724573991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0.53999684570045359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0.4407072328537569</v>
      </c>
      <c r="H657" t="s">
        <v>10</v>
      </c>
      <c r="I657">
        <f>VLOOKUP(Table4[[#This Row],[Visitor]],'NHL Model'!$A$6:$B$38,2,FALSE)</f>
        <v>-0.17619625518431364</v>
      </c>
      <c r="J657">
        <f>($B$1+Table4[[#This Row],[Home Differential]])-Table4[[#This Row],[Away Differential]]</f>
        <v>0.66680423696123303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0.64389697184243333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-0.59498940435054026</v>
      </c>
      <c r="H658" t="s">
        <v>14</v>
      </c>
      <c r="I658">
        <f>VLOOKUP(Table4[[#This Row],[Visitor]],'NHL Model'!$A$6:$B$38,2,FALSE)</f>
        <v>-0.14226422156549004</v>
      </c>
      <c r="J658">
        <f>($B$1+Table4[[#This Row],[Home Differential]])-Table4[[#This Row],[Away Differential]]</f>
        <v>-0.40282443386188782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0.54632243115593127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-0.17619625518431364</v>
      </c>
      <c r="H659" t="s">
        <v>20</v>
      </c>
      <c r="I659">
        <f>VLOOKUP(Table4[[#This Row],[Visitor]],'NHL Model'!$A$6:$B$38,2,FALSE)</f>
        <v>-0.24444083032063643</v>
      </c>
      <c r="J659">
        <f>($B$1+Table4[[#This Row],[Home Differential]])-Table4[[#This Row],[Away Differential]]</f>
        <v>0.11814532405948525</v>
      </c>
      <c r="K659" t="str">
        <f>IF(Table4[[#This Row],[HomeIce Differential]]&gt;0,Table4[[#This Row],[Home]],Table4[[#This Row],[Visitor]])</f>
        <v>Chicago Blackhawks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0.55379521028447853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0.41344250185511977</v>
      </c>
      <c r="H660" t="s">
        <v>18</v>
      </c>
      <c r="I660">
        <f>VLOOKUP(Table4[[#This Row],[Visitor]],'NHL Model'!$A$6:$B$38,2,FALSE)</f>
        <v>-0.59288962827382519</v>
      </c>
      <c r="J660">
        <f>($B$1+Table4[[#This Row],[Home Differential]])-Table4[[#This Row],[Away Differential]]</f>
        <v>1.0562328790521074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0.63669976147125429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-0.39711829106410657</v>
      </c>
      <c r="H661" t="s">
        <v>12</v>
      </c>
      <c r="I661">
        <f>VLOOKUP(Table4[[#This Row],[Visitor]],'NHL Model'!$A$6:$B$38,2,FALSE)</f>
        <v>1.6319036584269762</v>
      </c>
      <c r="J661">
        <f>($B$1+Table4[[#This Row],[Home Differential]])-Table4[[#This Row],[Away Differential]]</f>
        <v>-1.9791212005679202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0.74961012842901686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1.5302507646042616E-3</v>
      </c>
      <c r="H662" t="s">
        <v>25</v>
      </c>
      <c r="I662">
        <f>VLOOKUP(Table4[[#This Row],[Visitor]],'NHL Model'!$A$6:$B$38,2,FALSE)</f>
        <v>0.42567513732855267</v>
      </c>
      <c r="J662">
        <f>($B$1+Table4[[#This Row],[Home Differential]])-Table4[[#This Row],[Away Differential]]</f>
        <v>-0.37424413764078596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0.4944027518709323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-1.0657812790446208</v>
      </c>
      <c r="H663" t="s">
        <v>32</v>
      </c>
      <c r="I663">
        <f>VLOOKUP(Table4[[#This Row],[Visitor]],'NHL Model'!$A$6:$B$38,2,FALSE)</f>
        <v>-0.64937723527808999</v>
      </c>
      <c r="J663">
        <f>($B$1+Table4[[#This Row],[Home Differential]])-Table4[[#This Row],[Away Differential]]</f>
        <v>-0.36650329484336841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0.50279466887553537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-0.33828359867721369</v>
      </c>
      <c r="H664" t="s">
        <v>34</v>
      </c>
      <c r="I664">
        <f>VLOOKUP(Table4[[#This Row],[Visitor]],'NHL Model'!$A$6:$B$38,2,FALSE)</f>
        <v>-5.5124787449478845E-2</v>
      </c>
      <c r="J664">
        <f>($B$1+Table4[[#This Row],[Home Differential]])-Table4[[#This Row],[Away Differential]]</f>
        <v>-0.23325806230457236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0.52974888423142408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-0.29003398448394263</v>
      </c>
      <c r="H665" t="s">
        <v>55</v>
      </c>
      <c r="I665">
        <f>VLOOKUP(Table4[[#This Row],[Visitor]],'NHL Model'!$A$6:$B$38,2,FALSE)</f>
        <v>-0.4031232890211825</v>
      </c>
      <c r="J665">
        <f>($B$1+Table4[[#This Row],[Home Differential]])-Table4[[#This Row],[Away Differential]]</f>
        <v>0.16299005346040232</v>
      </c>
      <c r="K665" t="str">
        <f>IF(Table4[[#This Row],[HomeIce Differential]]&gt;0,Table4[[#This Row],[Home]],Table4[[#This Row],[Visitor]])</f>
        <v>New York Rangers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0.55903149430300392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-0.53137605086483863</v>
      </c>
      <c r="H666" t="s">
        <v>26</v>
      </c>
      <c r="I666">
        <f>VLOOKUP(Table4[[#This Row],[Visitor]],'NHL Model'!$A$6:$B$38,2,FALSE)</f>
        <v>-0.87533956503230947</v>
      </c>
      <c r="J666">
        <f>($B$1+Table4[[#This Row],[Home Differential]])-Table4[[#This Row],[Away Differential]]</f>
        <v>0.39386426309063333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0.5884849449418138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0.4407072328537569</v>
      </c>
      <c r="H667" t="s">
        <v>31</v>
      </c>
      <c r="I667">
        <f>VLOOKUP(Table4[[#This Row],[Visitor]],'NHL Model'!$A$6:$B$38,2,FALSE)</f>
        <v>0.17870302183926629</v>
      </c>
      <c r="J667">
        <f>($B$1+Table4[[#This Row],[Home Differential]])-Table4[[#This Row],[Away Differential]]</f>
        <v>0.3119049599376531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0.58187405291592698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-0.4761104357405897</v>
      </c>
      <c r="H668" t="s">
        <v>38</v>
      </c>
      <c r="I668">
        <f>VLOOKUP(Table4[[#This Row],[Visitor]],'NHL Model'!$A$6:$B$38,2,FALSE)</f>
        <v>-0.9476777551108041</v>
      </c>
      <c r="J668">
        <f>($B$1+Table4[[#This Row],[Home Differential]])-Table4[[#This Row],[Away Differential]]</f>
        <v>0.52146806829337689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0.60744779774608748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0.42567513732855267</v>
      </c>
      <c r="H669" t="s">
        <v>39</v>
      </c>
      <c r="I669">
        <f>VLOOKUP(Table4[[#This Row],[Visitor]],'NHL Model'!$A$6:$B$38,2,FALSE)</f>
        <v>0.41344250185511977</v>
      </c>
      <c r="J669">
        <f>($B$1+Table4[[#This Row],[Home Differential]])-Table4[[#This Row],[Away Differential]]</f>
        <v>6.2133384396595381E-2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0.49782102738745637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-0.81774666423752174</v>
      </c>
      <c r="H670" t="s">
        <v>29</v>
      </c>
      <c r="I670">
        <f>VLOOKUP(Table4[[#This Row],[Visitor]],'NHL Model'!$A$6:$B$38,2,FALSE)</f>
        <v>-1.384917283810061</v>
      </c>
      <c r="J670">
        <f>($B$1+Table4[[#This Row],[Home Differential]])-Table4[[#This Row],[Away Differential]]</f>
        <v>0.61707136849570166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0.61909814145523023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-0.24093199744133265</v>
      </c>
      <c r="H671" t="s">
        <v>24</v>
      </c>
      <c r="I671">
        <f>VLOOKUP(Table4[[#This Row],[Visitor]],'NHL Model'!$A$6:$B$38,2,FALSE)</f>
        <v>1.5302507646042616E-3</v>
      </c>
      <c r="J671">
        <f>($B$1+Table4[[#This Row],[Home Differential]])-Table4[[#This Row],[Away Differential]]</f>
        <v>-0.19256149928277444</v>
      </c>
      <c r="K671" t="str">
        <f>IF(Table4[[#This Row],[HomeIce Differential]]&gt;0,Table4[[#This Row],[Home]],Table4[[#This Row],[Visitor]])</f>
        <v>New Jersey Devils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0.50325362781538752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-0.38023958350631604</v>
      </c>
      <c r="H672" t="s">
        <v>31</v>
      </c>
      <c r="I672">
        <f>VLOOKUP(Table4[[#This Row],[Visitor]],'NHL Model'!$A$6:$B$38,2,FALSE)</f>
        <v>0.17870302183926629</v>
      </c>
      <c r="J672">
        <f>($B$1+Table4[[#This Row],[Home Differential]])-Table4[[#This Row],[Away Differential]]</f>
        <v>-0.50904185642241984</v>
      </c>
      <c r="K672" t="str">
        <f>IF(Table4[[#This Row],[HomeIce Differential]]&gt;0,Table4[[#This Row],[Home]],Table4[[#This Row],[Visitor]])</f>
        <v>Anaheim Ducks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0.5261048163255807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-0.64937723527808999</v>
      </c>
      <c r="H673" t="s">
        <v>21</v>
      </c>
      <c r="I673">
        <f>VLOOKUP(Table4[[#This Row],[Visitor]],'NHL Model'!$A$6:$B$38,2,FALSE)</f>
        <v>-0.21976976044773161</v>
      </c>
      <c r="J673">
        <f>($B$1+Table4[[#This Row],[Home Differential]])-Table4[[#This Row],[Away Differential]]</f>
        <v>-0.37970672590719595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0.50516585740852926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-0.45133099238224339</v>
      </c>
      <c r="H674" t="s">
        <v>28</v>
      </c>
      <c r="I674">
        <f>VLOOKUP(Table4[[#This Row],[Visitor]],'NHL Model'!$A$6:$B$38,2,FALSE)</f>
        <v>-0.59498940435054026</v>
      </c>
      <c r="J674">
        <f>($B$1+Table4[[#This Row],[Home Differential]])-Table4[[#This Row],[Away Differential]]</f>
        <v>0.19355916089145936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0.56915959321684639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0.51050494674660429</v>
      </c>
      <c r="H675" t="s">
        <v>12</v>
      </c>
      <c r="I675">
        <f>VLOOKUP(Table4[[#This Row],[Visitor]],'NHL Model'!$A$6:$B$38,2,FALSE)</f>
        <v>1.6319036584269762</v>
      </c>
      <c r="J675">
        <f>($B$1+Table4[[#This Row],[Home Differential]])-Table4[[#This Row],[Away Differential]]</f>
        <v>-1.0714979627572094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0.62511320133316162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-0.63447859131898054</v>
      </c>
      <c r="H676" t="s">
        <v>11</v>
      </c>
      <c r="I676">
        <f>VLOOKUP(Table4[[#This Row],[Visitor]],'NHL Model'!$A$6:$B$38,2,FALSE)</f>
        <v>-0.39711829106410657</v>
      </c>
      <c r="J676">
        <f>($B$1+Table4[[#This Row],[Home Differential]])-Table4[[#This Row],[Away Differential]]</f>
        <v>-0.18745955133171155</v>
      </c>
      <c r="K676" t="str">
        <f>IF(Table4[[#This Row],[HomeIce Differential]]&gt;0,Table4[[#This Row],[Home]],Table4[[#This Row],[Visitor]])</f>
        <v>Florida Panthers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0.48188866932349261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-0.31324182378279158</v>
      </c>
      <c r="H677" t="s">
        <v>20</v>
      </c>
      <c r="I677">
        <f>VLOOKUP(Table4[[#This Row],[Visitor]],'NHL Model'!$A$6:$B$38,2,FALSE)</f>
        <v>-0.24444083032063643</v>
      </c>
      <c r="J677">
        <f>($B$1+Table4[[#This Row],[Home Differential]])-Table4[[#This Row],[Away Differential]]</f>
        <v>-1.8900244538992667E-2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0.45971140329328808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-0.17619625518431364</v>
      </c>
      <c r="H678" t="s">
        <v>35</v>
      </c>
      <c r="I678">
        <f>VLOOKUP(Table4[[#This Row],[Visitor]],'NHL Model'!$A$6:$B$38,2,FALSE)</f>
        <v>-1.3944783719477225</v>
      </c>
      <c r="J678">
        <f>($B$1+Table4[[#This Row],[Home Differential]])-Table4[[#This Row],[Away Differential]]</f>
        <v>1.2681828656865712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0.6880790666121519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-0.33828359867721369</v>
      </c>
      <c r="H679" t="s">
        <v>33</v>
      </c>
      <c r="I679">
        <f>VLOOKUP(Table4[[#This Row],[Visitor]],'NHL Model'!$A$6:$B$38,2,FALSE)</f>
        <v>-0.45133099238224339</v>
      </c>
      <c r="J679">
        <f>($B$1+Table4[[#This Row],[Home Differential]])-Table4[[#This Row],[Away Differential]]</f>
        <v>0.16294814262819218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0.5590266005947836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-0.59288962827382519</v>
      </c>
      <c r="H680" t="s">
        <v>16</v>
      </c>
      <c r="I680">
        <f>VLOOKUP(Table4[[#This Row],[Visitor]],'NHL Model'!$A$6:$B$38,2,FALSE)</f>
        <v>-1.0657812790446208</v>
      </c>
      <c r="J680">
        <f>($B$1+Table4[[#This Row],[Home Differential]])-Table4[[#This Row],[Away Differential]]</f>
        <v>0.52279239969395808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0.60104372852940058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-0.4031232890211825</v>
      </c>
      <c r="H681" t="s">
        <v>36</v>
      </c>
      <c r="I681">
        <f>VLOOKUP(Table4[[#This Row],[Visitor]],'NHL Model'!$A$6:$B$38,2,FALSE)</f>
        <v>-0.53137605086483863</v>
      </c>
      <c r="J681">
        <f>($B$1+Table4[[#This Row],[Home Differential]])-Table4[[#This Row],[Away Differential]]</f>
        <v>0.17815351076681862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0.60123322918628797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0.4407072328537569</v>
      </c>
      <c r="H682" t="s">
        <v>39</v>
      </c>
      <c r="I682">
        <f>VLOOKUP(Table4[[#This Row],[Visitor]],'NHL Model'!$A$6:$B$38,2,FALSE)</f>
        <v>0.41344250185511977</v>
      </c>
      <c r="J682">
        <f>($B$1+Table4[[#This Row],[Home Differential]])-Table4[[#This Row],[Away Differential]]</f>
        <v>7.7165479921799618E-2</v>
      </c>
      <c r="K682" t="str">
        <f>IF(Table4[[#This Row],[HomeIce Differential]]&gt;0,Table4[[#This Row],[Home]],Table4[[#This Row],[Visitor]])</f>
        <v>Washington Capitals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0.47329592294778505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-0.21976976044773161</v>
      </c>
      <c r="H683" t="s">
        <v>16</v>
      </c>
      <c r="I683">
        <f>VLOOKUP(Table4[[#This Row],[Visitor]],'NHL Model'!$A$6:$B$38,2,FALSE)</f>
        <v>-1.0657812790446208</v>
      </c>
      <c r="J683">
        <f>($B$1+Table4[[#This Row],[Home Differential]])-Table4[[#This Row],[Away Differential]]</f>
        <v>0.89591226752005171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0.68751253435846171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0.42567513732855267</v>
      </c>
      <c r="H684" t="s">
        <v>31</v>
      </c>
      <c r="I684">
        <f>VLOOKUP(Table4[[#This Row],[Visitor]],'NHL Model'!$A$6:$B$38,2,FALSE)</f>
        <v>0.17870302183926629</v>
      </c>
      <c r="J684">
        <f>($B$1+Table4[[#This Row],[Home Differential]])-Table4[[#This Row],[Away Differential]]</f>
        <v>0.29687286441244887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0.60609285987948969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1.6319036584269762</v>
      </c>
      <c r="H685" t="s">
        <v>36</v>
      </c>
      <c r="I685">
        <f>VLOOKUP(Table4[[#This Row],[Visitor]],'NHL Model'!$A$6:$B$38,2,FALSE)</f>
        <v>-0.53137605086483863</v>
      </c>
      <c r="J685">
        <f>($B$1+Table4[[#This Row],[Home Differential]])-Table4[[#This Row],[Away Differential]]</f>
        <v>2.2131804582149774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0.90275137961610286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-0.87533956503230947</v>
      </c>
      <c r="H686" t="s">
        <v>38</v>
      </c>
      <c r="I686">
        <f>VLOOKUP(Table4[[#This Row],[Visitor]],'NHL Model'!$A$6:$B$38,2,FALSE)</f>
        <v>-0.9476777551108041</v>
      </c>
      <c r="J686">
        <f>($B$1+Table4[[#This Row],[Home Differential]])-Table4[[#This Row],[Away Differential]]</f>
        <v>0.12223893900165705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0.55069704130602415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-0.59288962827382519</v>
      </c>
      <c r="H687" t="s">
        <v>11</v>
      </c>
      <c r="I687">
        <f>VLOOKUP(Table4[[#This Row],[Visitor]],'NHL Model'!$A$6:$B$38,2,FALSE)</f>
        <v>-0.39711829106410657</v>
      </c>
      <c r="J687">
        <f>($B$1+Table4[[#This Row],[Home Differential]])-Table4[[#This Row],[Away Differential]]</f>
        <v>-0.14587058828655619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0.47703254407868434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-1.384917283810061</v>
      </c>
      <c r="H688" t="s">
        <v>30</v>
      </c>
      <c r="I688">
        <f>VLOOKUP(Table4[[#This Row],[Visitor]],'NHL Model'!$A$6:$B$38,2,FALSE)</f>
        <v>-0.24093199744133265</v>
      </c>
      <c r="J688">
        <f>($B$1+Table4[[#This Row],[Home Differential]])-Table4[[#This Row],[Away Differential]]</f>
        <v>-1.0940845374455659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0.6603736863899341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-0.29003398448394263</v>
      </c>
      <c r="H689" t="s">
        <v>23</v>
      </c>
      <c r="I689">
        <f>VLOOKUP(Table4[[#This Row],[Visitor]],'NHL Model'!$A$6:$B$38,2,FALSE)</f>
        <v>-0.4761104357405897</v>
      </c>
      <c r="J689">
        <f>($B$1+Table4[[#This Row],[Home Differential]])-Table4[[#This Row],[Away Differential]]</f>
        <v>0.23597720017980953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0.56755382089589856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-0.38023958350631604</v>
      </c>
      <c r="H690" t="s">
        <v>19</v>
      </c>
      <c r="I690">
        <f>VLOOKUP(Table4[[#This Row],[Visitor]],'NHL Model'!$A$6:$B$38,2,FALSE)</f>
        <v>-0.63447859131898054</v>
      </c>
      <c r="J690">
        <f>($B$1+Table4[[#This Row],[Home Differential]])-Table4[[#This Row],[Away Differential]]</f>
        <v>0.30413975673582699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0.5895294258799636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-0.14226422156549004</v>
      </c>
      <c r="H691" t="s">
        <v>24</v>
      </c>
      <c r="I691">
        <f>VLOOKUP(Table4[[#This Row],[Visitor]],'NHL Model'!$A$6:$B$38,2,FALSE)</f>
        <v>1.5302507646042616E-3</v>
      </c>
      <c r="J691">
        <f>($B$1+Table4[[#This Row],[Home Differential]])-Table4[[#This Row],[Away Differential]]</f>
        <v>-9.3893723406931848E-2</v>
      </c>
      <c r="K691" t="str">
        <f>IF(Table4[[#This Row],[HomeIce Differential]]&gt;0,Table4[[#This Row],[Home]],Table4[[#This Row],[Visitor]])</f>
        <v>New Jersey Devils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0.49173270874944364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-0.64937723527808999</v>
      </c>
      <c r="H692" t="s">
        <v>34</v>
      </c>
      <c r="I692">
        <f>VLOOKUP(Table4[[#This Row],[Visitor]],'NHL Model'!$A$6:$B$38,2,FALSE)</f>
        <v>-5.5124787449478845E-2</v>
      </c>
      <c r="J692">
        <f>($B$1+Table4[[#This Row],[Home Differential]])-Table4[[#This Row],[Away Differential]]</f>
        <v>-0.54435169890544877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0.56607365771895912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-0.24444083032063643</v>
      </c>
      <c r="H693" t="s">
        <v>28</v>
      </c>
      <c r="I693">
        <f>VLOOKUP(Table4[[#This Row],[Visitor]],'NHL Model'!$A$6:$B$38,2,FALSE)</f>
        <v>-0.59498940435054026</v>
      </c>
      <c r="J693">
        <f>($B$1+Table4[[#This Row],[Home Differential]])-Table4[[#This Row],[Away Differential]]</f>
        <v>0.40044932295306629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0.58318220972456269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-0.31324182378279158</v>
      </c>
      <c r="H694" t="s">
        <v>17</v>
      </c>
      <c r="I694">
        <f>VLOOKUP(Table4[[#This Row],[Visitor]],'NHL Model'!$A$6:$B$38,2,FALSE)</f>
        <v>-0.81774666423752174</v>
      </c>
      <c r="J694">
        <f>($B$1+Table4[[#This Row],[Home Differential]])-Table4[[#This Row],[Away Differential]]</f>
        <v>0.55440558937789264</v>
      </c>
      <c r="K694" t="str">
        <f>IF(Table4[[#This Row],[HomeIce Differential]]&gt;0,Table4[[#This Row],[Home]],Table4[[#This Row],[Visitor]])</f>
        <v>Winnipeg Jets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0.60723051420671958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-0.17619625518431364</v>
      </c>
      <c r="H695" t="s">
        <v>22</v>
      </c>
      <c r="I695">
        <f>VLOOKUP(Table4[[#This Row],[Visitor]],'NHL Model'!$A$6:$B$38,2,FALSE)</f>
        <v>0.4407072328537569</v>
      </c>
      <c r="J695">
        <f>($B$1+Table4[[#This Row],[Home Differential]])-Table4[[#This Row],[Away Differential]]</f>
        <v>-0.56700273911490806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0.5687185009689073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-0.4031232890211825</v>
      </c>
      <c r="H696" t="s">
        <v>35</v>
      </c>
      <c r="I696">
        <f>VLOOKUP(Table4[[#This Row],[Visitor]],'NHL Model'!$A$6:$B$38,2,FALSE)</f>
        <v>-1.3944783719477225</v>
      </c>
      <c r="J696">
        <f>($B$1+Table4[[#This Row],[Home Differential]])-Table4[[#This Row],[Away Differential]]</f>
        <v>1.0412558318497025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0.7020131636538165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-0.31324182378279158</v>
      </c>
      <c r="H697" t="s">
        <v>13</v>
      </c>
      <c r="I697">
        <f>VLOOKUP(Table4[[#This Row],[Visitor]],'NHL Model'!$A$6:$B$38,2,FALSE)</f>
        <v>-0.33828359867721369</v>
      </c>
      <c r="J697">
        <f>($B$1+Table4[[#This Row],[Home Differential]])-Table4[[#This Row],[Away Differential]]</f>
        <v>7.4942523817584594E-2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0.48494112191888922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-0.21976976044773161</v>
      </c>
      <c r="H698" t="s">
        <v>15</v>
      </c>
      <c r="I698">
        <f>VLOOKUP(Table4[[#This Row],[Visitor]],'NHL Model'!$A$6:$B$38,2,FALSE)</f>
        <v>-0.29003398448394263</v>
      </c>
      <c r="J698">
        <f>($B$1+Table4[[#This Row],[Home Differential]])-Table4[[#This Row],[Away Differential]]</f>
        <v>0.12016497295937348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0.497252510611498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-0.4761104357405897</v>
      </c>
      <c r="H699" t="s">
        <v>31</v>
      </c>
      <c r="I699">
        <f>VLOOKUP(Table4[[#This Row],[Visitor]],'NHL Model'!$A$6:$B$38,2,FALSE)</f>
        <v>0.17870302183926629</v>
      </c>
      <c r="J699">
        <f>($B$1+Table4[[#This Row],[Home Differential]])-Table4[[#This Row],[Away Differential]]</f>
        <v>-0.60491270865669344</v>
      </c>
      <c r="K699" t="str">
        <f>IF(Table4[[#This Row],[HomeIce Differential]]&gt;0,Table4[[#This Row],[Home]],Table4[[#This Row],[Visitor]])</f>
        <v>Anaheim Ducks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0.54122072190417558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0.42567513732855267</v>
      </c>
      <c r="H700" t="s">
        <v>32</v>
      </c>
      <c r="I700">
        <f>VLOOKUP(Table4[[#This Row],[Visitor]],'NHL Model'!$A$6:$B$38,2,FALSE)</f>
        <v>-0.64937723527808999</v>
      </c>
      <c r="J700">
        <f>($B$1+Table4[[#This Row],[Home Differential]])-Table4[[#This Row],[Away Differential]]</f>
        <v>1.1249531215298052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0.72307085639305901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1.6319036584269762</v>
      </c>
      <c r="H701" t="s">
        <v>28</v>
      </c>
      <c r="I701">
        <f>VLOOKUP(Table4[[#This Row],[Visitor]],'NHL Model'!$A$6:$B$38,2,FALSE)</f>
        <v>-0.59498940435054026</v>
      </c>
      <c r="J701">
        <f>($B$1+Table4[[#This Row],[Home Differential]])-Table4[[#This Row],[Away Differential]]</f>
        <v>2.2767938117006787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0.90687492162007288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-0.81774666423752174</v>
      </c>
      <c r="H702" t="s">
        <v>13</v>
      </c>
      <c r="I702">
        <f>VLOOKUP(Table4[[#This Row],[Visitor]],'NHL Model'!$A$6:$B$38,2,FALSE)</f>
        <v>-0.33828359867721369</v>
      </c>
      <c r="J702">
        <f>($B$1+Table4[[#This Row],[Home Differential]])-Table4[[#This Row],[Away Differential]]</f>
        <v>-0.42956231663714561</v>
      </c>
      <c r="K702" t="str">
        <f>IF(Table4[[#This Row],[HomeIce Differential]]&gt;0,Table4[[#This Row],[Home]],Table4[[#This Row],[Visitor]])</f>
        <v>Los Angeles Kings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0.56938850958546594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-5.5124787449478845E-2</v>
      </c>
      <c r="H703" t="s">
        <v>30</v>
      </c>
      <c r="I703">
        <f>VLOOKUP(Table4[[#This Row],[Visitor]],'NHL Model'!$A$6:$B$38,2,FALSE)</f>
        <v>-0.24093199744133265</v>
      </c>
      <c r="J703">
        <f>($B$1+Table4[[#This Row],[Home Differential]])-Table4[[#This Row],[Away Differential]]</f>
        <v>0.23570795891501628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0.49489921389666025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-0.59288962827382519</v>
      </c>
      <c r="H704" t="s">
        <v>26</v>
      </c>
      <c r="I704">
        <f>VLOOKUP(Table4[[#This Row],[Visitor]],'NHL Model'!$A$6:$B$38,2,FALSE)</f>
        <v>-0.87533956503230947</v>
      </c>
      <c r="J704">
        <f>($B$1+Table4[[#This Row],[Home Differential]])-Table4[[#This Row],[Away Differential]]</f>
        <v>0.33235068568164672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0.57880684769936808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-1.384917283810061</v>
      </c>
      <c r="H705" t="s">
        <v>10</v>
      </c>
      <c r="I705">
        <f>VLOOKUP(Table4[[#This Row],[Visitor]],'NHL Model'!$A$6:$B$38,2,FALSE)</f>
        <v>-0.17619625518431364</v>
      </c>
      <c r="J705">
        <f>($B$1+Table4[[#This Row],[Home Differential]])-Table4[[#This Row],[Away Differential]]</f>
        <v>-1.1588202797025848</v>
      </c>
      <c r="K705" t="str">
        <f>IF(Table4[[#This Row],[HomeIce Differential]]&gt;0,Table4[[#This Row],[Home]],Table4[[#This Row],[Visitor]])</f>
        <v>Chicago Blackhawks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0.59530937062195044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-0.53137605086483863</v>
      </c>
      <c r="H706" t="s">
        <v>11</v>
      </c>
      <c r="I706">
        <f>VLOOKUP(Table4[[#This Row],[Visitor]],'NHL Model'!$A$6:$B$38,2,FALSE)</f>
        <v>-0.39711829106410657</v>
      </c>
      <c r="J706">
        <f>($B$1+Table4[[#This Row],[Home Differential]])-Table4[[#This Row],[Away Differential]]</f>
        <v>-8.4357010877569583E-2</v>
      </c>
      <c r="K706" t="str">
        <f>IF(Table4[[#This Row],[HomeIce Differential]]&gt;0,Table4[[#This Row],[Home]],Table4[[#This Row],[Visitor]])</f>
        <v>Florida Panthers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0.46735444683623856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-0.38023958350631604</v>
      </c>
      <c r="H707" t="s">
        <v>37</v>
      </c>
      <c r="I707">
        <f>VLOOKUP(Table4[[#This Row],[Visitor]],'NHL Model'!$A$6:$B$38,2,FALSE)</f>
        <v>0.51050494674660429</v>
      </c>
      <c r="J707">
        <f>($B$1+Table4[[#This Row],[Home Differential]])-Table4[[#This Row],[Away Differential]]</f>
        <v>-0.84084378132975779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0.636642459900289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-0.14226422156549004</v>
      </c>
      <c r="H708" t="s">
        <v>16</v>
      </c>
      <c r="I708">
        <f>VLOOKUP(Table4[[#This Row],[Visitor]],'NHL Model'!$A$6:$B$38,2,FALSE)</f>
        <v>-1.0657812790446208</v>
      </c>
      <c r="J708">
        <f>($B$1+Table4[[#This Row],[Home Differential]])-Table4[[#This Row],[Away Differential]]</f>
        <v>0.97341780640229325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0.65366089551893103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-0.45133099238224339</v>
      </c>
      <c r="H709" t="s">
        <v>39</v>
      </c>
      <c r="I709">
        <f>VLOOKUP(Table4[[#This Row],[Visitor]],'NHL Model'!$A$6:$B$38,2,FALSE)</f>
        <v>0.41344250185511977</v>
      </c>
      <c r="J709">
        <f>($B$1+Table4[[#This Row],[Home Differential]])-Table4[[#This Row],[Away Differential]]</f>
        <v>-0.81487274531420062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0.64687255760983398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-0.63447859131898054</v>
      </c>
      <c r="H710" t="s">
        <v>38</v>
      </c>
      <c r="I710">
        <f>VLOOKUP(Table4[[#This Row],[Visitor]],'NHL Model'!$A$6:$B$38,2,FALSE)</f>
        <v>-0.9476777551108041</v>
      </c>
      <c r="J710">
        <f>($B$1+Table4[[#This Row],[Home Differential]])-Table4[[#This Row],[Away Differential]]</f>
        <v>0.36309991271498598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0.57882111484131404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-0.24444083032063643</v>
      </c>
      <c r="H711" t="s">
        <v>35</v>
      </c>
      <c r="I711">
        <f>VLOOKUP(Table4[[#This Row],[Visitor]],'NHL Model'!$A$6:$B$38,2,FALSE)</f>
        <v>-1.3944783719477225</v>
      </c>
      <c r="J711">
        <f>($B$1+Table4[[#This Row],[Home Differential]])-Table4[[#This Row],[Away Differential]]</f>
        <v>1.1999382905502485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0.68011050524694328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-0.21976976044773161</v>
      </c>
      <c r="H712" t="s">
        <v>14</v>
      </c>
      <c r="I712">
        <f>VLOOKUP(Table4[[#This Row],[Visitor]],'NHL Model'!$A$6:$B$38,2,FALSE)</f>
        <v>-0.14226422156549004</v>
      </c>
      <c r="J712">
        <f>($B$1+Table4[[#This Row],[Home Differential]])-Table4[[#This Row],[Away Differential]]</f>
        <v>-2.7604789959079112E-2</v>
      </c>
      <c r="K712" t="str">
        <f>IF(Table4[[#This Row],[HomeIce Differential]]&gt;0,Table4[[#This Row],[Home]],Table4[[#This Row],[Visitor]])</f>
        <v>Pittsburgh Penguins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0.45903722013371656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-1.384917283810061</v>
      </c>
      <c r="H713" t="s">
        <v>22</v>
      </c>
      <c r="I713">
        <f>VLOOKUP(Table4[[#This Row],[Visitor]],'NHL Model'!$A$6:$B$38,2,FALSE)</f>
        <v>0.4407072328537569</v>
      </c>
      <c r="J713">
        <f>($B$1+Table4[[#This Row],[Home Differential]])-Table4[[#This Row],[Away Differential]]</f>
        <v>-1.7757237677406554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0.70985452051012765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-0.45133099238224339</v>
      </c>
      <c r="H714" t="s">
        <v>20</v>
      </c>
      <c r="I714">
        <f>VLOOKUP(Table4[[#This Row],[Visitor]],'NHL Model'!$A$6:$B$38,2,FALSE)</f>
        <v>-0.24444083032063643</v>
      </c>
      <c r="J714">
        <f>($B$1+Table4[[#This Row],[Home Differential]])-Table4[[#This Row],[Away Differential]]</f>
        <v>-0.15698941313844447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0.46820858159353196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-0.4031232890211825</v>
      </c>
      <c r="H715" t="s">
        <v>28</v>
      </c>
      <c r="I715">
        <f>VLOOKUP(Table4[[#This Row],[Visitor]],'NHL Model'!$A$6:$B$38,2,FALSE)</f>
        <v>-0.59498940435054026</v>
      </c>
      <c r="J715">
        <f>($B$1+Table4[[#This Row],[Home Differential]])-Table4[[#This Row],[Away Differential]]</f>
        <v>0.24176686425252025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0.60515292654880748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-0.31324182378279158</v>
      </c>
      <c r="H716" t="s">
        <v>24</v>
      </c>
      <c r="I716">
        <f>VLOOKUP(Table4[[#This Row],[Visitor]],'NHL Model'!$A$6:$B$38,2,FALSE)</f>
        <v>1.5302507646042616E-3</v>
      </c>
      <c r="J716">
        <f>($B$1+Table4[[#This Row],[Home Differential]])-Table4[[#This Row],[Away Differential]]</f>
        <v>-0.26487132562423338</v>
      </c>
      <c r="K716" t="str">
        <f>IF(Table4[[#This Row],[HomeIce Differential]]&gt;0,Table4[[#This Row],[Home]],Table4[[#This Row],[Visitor]])</f>
        <v>New Jersey Devils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0.5091885060536081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-0.4761104357405897</v>
      </c>
      <c r="H717" t="s">
        <v>11</v>
      </c>
      <c r="I717">
        <f>VLOOKUP(Table4[[#This Row],[Visitor]],'NHL Model'!$A$6:$B$38,2,FALSE)</f>
        <v>-0.39711829106410657</v>
      </c>
      <c r="J717">
        <f>($B$1+Table4[[#This Row],[Home Differential]])-Table4[[#This Row],[Away Differential]]</f>
        <v>-2.9091395753320648E-2</v>
      </c>
      <c r="K717" t="str">
        <f>IF(Table4[[#This Row],[HomeIce Differential]]&gt;0,Table4[[#This Row],[Home]],Table4[[#This Row],[Visitor]])</f>
        <v>Florida Panthers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0.45327460042380474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-0.17619625518431364</v>
      </c>
      <c r="H718" t="s">
        <v>17</v>
      </c>
      <c r="I718">
        <f>VLOOKUP(Table4[[#This Row],[Visitor]],'NHL Model'!$A$6:$B$38,2,FALSE)</f>
        <v>-0.81774666423752174</v>
      </c>
      <c r="J718">
        <f>($B$1+Table4[[#This Row],[Home Differential]])-Table4[[#This Row],[Away Differential]]</f>
        <v>0.69145115797637058</v>
      </c>
      <c r="K718" t="str">
        <f>IF(Table4[[#This Row],[HomeIce Differential]]&gt;0,Table4[[#This Row],[Home]],Table4[[#This Row],[Visitor]])</f>
        <v>Chicago Blackhawks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0.6207371277844862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1.6319036584269762</v>
      </c>
      <c r="H719" t="s">
        <v>19</v>
      </c>
      <c r="I719">
        <f>VLOOKUP(Table4[[#This Row],[Visitor]],'NHL Model'!$A$6:$B$38,2,FALSE)</f>
        <v>-0.63447859131898054</v>
      </c>
      <c r="J719">
        <f>($B$1+Table4[[#This Row],[Home Differential]])-Table4[[#This Row],[Away Differential]]</f>
        <v>2.3162829986691191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0.91479012289901696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-0.87533956503230947</v>
      </c>
      <c r="H720" t="s">
        <v>25</v>
      </c>
      <c r="I720">
        <f>VLOOKUP(Table4[[#This Row],[Visitor]],'NHL Model'!$A$6:$B$38,2,FALSE)</f>
        <v>0.42567513732855267</v>
      </c>
      <c r="J720">
        <f>($B$1+Table4[[#This Row],[Home Differential]])-Table4[[#This Row],[Away Differential]]</f>
        <v>-1.2511139534376996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0.67870918829578719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-0.33828359867721369</v>
      </c>
      <c r="H721" t="s">
        <v>39</v>
      </c>
      <c r="I721">
        <f>VLOOKUP(Table4[[#This Row],[Visitor]],'NHL Model'!$A$6:$B$38,2,FALSE)</f>
        <v>0.41344250185511977</v>
      </c>
      <c r="J721">
        <f>($B$1+Table4[[#This Row],[Home Differential]])-Table4[[#This Row],[Away Differential]]</f>
        <v>-0.70182535160917103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0.64374622081227451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-5.5124787449478845E-2</v>
      </c>
      <c r="H722" t="s">
        <v>24</v>
      </c>
      <c r="I722">
        <f>VLOOKUP(Table4[[#This Row],[Visitor]],'NHL Model'!$A$6:$B$38,2,FALSE)</f>
        <v>1.5302507646042616E-3</v>
      </c>
      <c r="J722">
        <f>($B$1+Table4[[#This Row],[Home Differential]])-Table4[[#This Row],[Away Differential]]</f>
        <v>-6.754289290920641E-3</v>
      </c>
      <c r="K722" t="str">
        <f>IF(Table4[[#This Row],[HomeIce Differential]]&gt;0,Table4[[#This Row],[Home]],Table4[[#This Row],[Visitor]])</f>
        <v>New Jersey Devils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0.48155789373014096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-0.59288962827382519</v>
      </c>
      <c r="H723" t="s">
        <v>38</v>
      </c>
      <c r="I723">
        <f>VLOOKUP(Table4[[#This Row],[Visitor]],'NHL Model'!$A$6:$B$38,2,FALSE)</f>
        <v>-0.9476777551108041</v>
      </c>
      <c r="J723">
        <f>($B$1+Table4[[#This Row],[Home Differential]])-Table4[[#This Row],[Away Differential]]</f>
        <v>0.40468887576014134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0.58367724008612232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-0.29003398448394263</v>
      </c>
      <c r="H724" t="s">
        <v>32</v>
      </c>
      <c r="I724">
        <f>VLOOKUP(Table4[[#This Row],[Visitor]],'NHL Model'!$A$6:$B$38,2,FALSE)</f>
        <v>-0.64937723527808999</v>
      </c>
      <c r="J724">
        <f>($B$1+Table4[[#This Row],[Home Differential]])-Table4[[#This Row],[Away Differential]]</f>
        <v>0.40924399971730985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0.58778527697735061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-0.38023958350631604</v>
      </c>
      <c r="H725" t="s">
        <v>37</v>
      </c>
      <c r="I725">
        <f>VLOOKUP(Table4[[#This Row],[Visitor]],'NHL Model'!$A$6:$B$38,2,FALSE)</f>
        <v>0.51050494674660429</v>
      </c>
      <c r="J725">
        <f>($B$1+Table4[[#This Row],[Home Differential]])-Table4[[#This Row],[Away Differential]]</f>
        <v>-0.84084378132975779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0.636642459900289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0.17870302183926629</v>
      </c>
      <c r="H726" t="s">
        <v>39</v>
      </c>
      <c r="I726">
        <f>VLOOKUP(Table4[[#This Row],[Visitor]],'NHL Model'!$A$6:$B$38,2,FALSE)</f>
        <v>0.41344250185511977</v>
      </c>
      <c r="J726">
        <f>($B$1+Table4[[#This Row],[Home Differential]])-Table4[[#This Row],[Away Differential]]</f>
        <v>-0.18483873109269103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0.50158264988004087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-0.21976976044773161</v>
      </c>
      <c r="H727" t="s">
        <v>26</v>
      </c>
      <c r="I727">
        <f>VLOOKUP(Table4[[#This Row],[Visitor]],'NHL Model'!$A$6:$B$38,2,FALSE)</f>
        <v>-0.87533956503230947</v>
      </c>
      <c r="J727">
        <f>($B$1+Table4[[#This Row],[Home Differential]])-Table4[[#This Row],[Away Differential]]</f>
        <v>0.70547055350774035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0.66527565352842921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-0.59498940435054026</v>
      </c>
      <c r="H728" t="s">
        <v>16</v>
      </c>
      <c r="I728">
        <f>VLOOKUP(Table4[[#This Row],[Visitor]],'NHL Model'!$A$6:$B$38,2,FALSE)</f>
        <v>-1.0657812790446208</v>
      </c>
      <c r="J728">
        <f>($B$1+Table4[[#This Row],[Home Differential]])-Table4[[#This Row],[Away Differential]]</f>
        <v>0.520692623617243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0.60079854868196103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-1.384917283810061</v>
      </c>
      <c r="H729" t="s">
        <v>17</v>
      </c>
      <c r="I729">
        <f>VLOOKUP(Table4[[#This Row],[Visitor]],'NHL Model'!$A$6:$B$38,2,FALSE)</f>
        <v>-0.81774666423752174</v>
      </c>
      <c r="J729">
        <f>($B$1+Table4[[#This Row],[Home Differential]])-Table4[[#This Row],[Away Differential]]</f>
        <v>-0.5172698706493768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0.52039889175673426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-0.53137605086483863</v>
      </c>
      <c r="H730" t="s">
        <v>38</v>
      </c>
      <c r="I730">
        <f>VLOOKUP(Table4[[#This Row],[Visitor]],'NHL Model'!$A$6:$B$38,2,FALSE)</f>
        <v>-0.9476777551108041</v>
      </c>
      <c r="J730">
        <f>($B$1+Table4[[#This Row],[Home Differential]])-Table4[[#This Row],[Away Differential]]</f>
        <v>0.46620245316912795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0.5933581727532482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-0.14226422156549004</v>
      </c>
      <c r="H731" t="s">
        <v>37</v>
      </c>
      <c r="I731">
        <f>VLOOKUP(Table4[[#This Row],[Visitor]],'NHL Model'!$A$6:$B$38,2,FALSE)</f>
        <v>0.51050494674660429</v>
      </c>
      <c r="J731">
        <f>($B$1+Table4[[#This Row],[Home Differential]])-Table4[[#This Row],[Away Differential]]</f>
        <v>-0.60286841938893188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0.62287997351179447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-1.3944783719477225</v>
      </c>
      <c r="H732" t="s">
        <v>25</v>
      </c>
      <c r="I732">
        <f>VLOOKUP(Table4[[#This Row],[Visitor]],'NHL Model'!$A$6:$B$38,2,FALSE)</f>
        <v>0.42567513732855267</v>
      </c>
      <c r="J732">
        <f>($B$1+Table4[[#This Row],[Home Differential]])-Table4[[#This Row],[Away Differential]]</f>
        <v>-1.7702527603531126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0.73932630594511184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-0.4031232890211825</v>
      </c>
      <c r="H733" t="s">
        <v>19</v>
      </c>
      <c r="I733">
        <f>VLOOKUP(Table4[[#This Row],[Visitor]],'NHL Model'!$A$6:$B$38,2,FALSE)</f>
        <v>-0.63447859131898054</v>
      </c>
      <c r="J733">
        <f>($B$1+Table4[[#This Row],[Home Differential]])-Table4[[#This Row],[Away Differential]]</f>
        <v>0.28125605122096053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0.61327197246920206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-0.31324182378279158</v>
      </c>
      <c r="H734" t="s">
        <v>30</v>
      </c>
      <c r="I734">
        <f>VLOOKUP(Table4[[#This Row],[Visitor]],'NHL Model'!$A$6:$B$38,2,FALSE)</f>
        <v>-0.24093199744133265</v>
      </c>
      <c r="J734">
        <f>($B$1+Table4[[#This Row],[Home Differential]])-Table4[[#This Row],[Away Differential]]</f>
        <v>-2.2409077418296452E-2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0.53273707245067492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0.4407072328537569</v>
      </c>
      <c r="H735" t="s">
        <v>18</v>
      </c>
      <c r="I735">
        <f>VLOOKUP(Table4[[#This Row],[Visitor]],'NHL Model'!$A$6:$B$38,2,FALSE)</f>
        <v>-0.59288962827382519</v>
      </c>
      <c r="J735">
        <f>($B$1+Table4[[#This Row],[Home Differential]])-Table4[[#This Row],[Away Differential]]</f>
        <v>1.0834976100507445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0.63355659077796267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-0.4761104357405897</v>
      </c>
      <c r="H736" t="s">
        <v>27</v>
      </c>
      <c r="I736">
        <f>VLOOKUP(Table4[[#This Row],[Visitor]],'NHL Model'!$A$6:$B$38,2,FALSE)</f>
        <v>-0.38023958350631604</v>
      </c>
      <c r="J736">
        <f>($B$1+Table4[[#This Row],[Home Differential]])-Table4[[#This Row],[Away Differential]]</f>
        <v>-4.5970103311111177E-2</v>
      </c>
      <c r="K736" t="str">
        <f>IF(Table4[[#This Row],[HomeIce Differential]]&gt;0,Table4[[#This Row],[Home]],Table4[[#This Row],[Visitor]])</f>
        <v>Philadelphia Flyers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0.49767538033956632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-0.33828359867721369</v>
      </c>
      <c r="H737" t="s">
        <v>20</v>
      </c>
      <c r="I737">
        <f>VLOOKUP(Table4[[#This Row],[Visitor]],'NHL Model'!$A$6:$B$38,2,FALSE)</f>
        <v>-0.24444083032063643</v>
      </c>
      <c r="J737">
        <f>($B$1+Table4[[#This Row],[Home Differential]])-Table4[[#This Row],[Away Differential]]</f>
        <v>-4.3942019433414775E-2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0.46513087930677127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1.5302507646042616E-3</v>
      </c>
      <c r="H738" t="s">
        <v>32</v>
      </c>
      <c r="I738">
        <f>VLOOKUP(Table4[[#This Row],[Visitor]],'NHL Model'!$A$6:$B$38,2,FALSE)</f>
        <v>-0.64937723527808999</v>
      </c>
      <c r="J738">
        <f>($B$1+Table4[[#This Row],[Home Differential]])-Table4[[#This Row],[Away Differential]]</f>
        <v>0.70080823496585676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0.70166441536741031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-0.29003398448394263</v>
      </c>
      <c r="H739" t="s">
        <v>36</v>
      </c>
      <c r="I739">
        <f>VLOOKUP(Table4[[#This Row],[Visitor]],'NHL Model'!$A$6:$B$38,2,FALSE)</f>
        <v>-0.53137605086483863</v>
      </c>
      <c r="J739">
        <f>($B$1+Table4[[#This Row],[Home Differential]])-Table4[[#This Row],[Away Differential]]</f>
        <v>0.29124281530405849</v>
      </c>
      <c r="K739" t="str">
        <f>IF(Table4[[#This Row],[HomeIce Differential]]&gt;0,Table4[[#This Row],[Home]],Table4[[#This Row],[Visitor]])</f>
        <v>New York Rangers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0.57400689712391928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-0.21976976044773161</v>
      </c>
      <c r="H740" t="s">
        <v>32</v>
      </c>
      <c r="I740">
        <f>VLOOKUP(Table4[[#This Row],[Visitor]],'NHL Model'!$A$6:$B$38,2,FALSE)</f>
        <v>-0.64937723527808999</v>
      </c>
      <c r="J740">
        <f>($B$1+Table4[[#This Row],[Home Differential]])-Table4[[#This Row],[Away Differential]]</f>
        <v>0.47950822375352087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0.63889121656365655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-0.4761104357405897</v>
      </c>
      <c r="H741" t="s">
        <v>18</v>
      </c>
      <c r="I741">
        <f>VLOOKUP(Table4[[#This Row],[Visitor]],'NHL Model'!$A$6:$B$38,2,FALSE)</f>
        <v>-0.59288962827382519</v>
      </c>
      <c r="J741">
        <f>($B$1+Table4[[#This Row],[Home Differential]])-Table4[[#This Row],[Away Differential]]</f>
        <v>0.16667994145639797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0.51037143409448726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-0.59498940435054026</v>
      </c>
      <c r="H742" t="s">
        <v>38</v>
      </c>
      <c r="I742">
        <f>VLOOKUP(Table4[[#This Row],[Visitor]],'NHL Model'!$A$6:$B$38,2,FALSE)</f>
        <v>-0.9476777551108041</v>
      </c>
      <c r="J742">
        <f>($B$1+Table4[[#This Row],[Home Differential]])-Table4[[#This Row],[Away Differential]]</f>
        <v>0.40258909968342627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0.58343206023868277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-0.17619625518431364</v>
      </c>
      <c r="H743" t="s">
        <v>16</v>
      </c>
      <c r="I743">
        <f>VLOOKUP(Table4[[#This Row],[Visitor]],'NHL Model'!$A$6:$B$38,2,FALSE)</f>
        <v>-1.0657812790446208</v>
      </c>
      <c r="J743">
        <f>($B$1+Table4[[#This Row],[Home Differential]])-Table4[[#This Row],[Away Differential]]</f>
        <v>0.93948577278346967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0.64969882979285987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-0.81774666423752174</v>
      </c>
      <c r="H744" t="s">
        <v>30</v>
      </c>
      <c r="I744">
        <f>VLOOKUP(Table4[[#This Row],[Visitor]],'NHL Model'!$A$6:$B$38,2,FALSE)</f>
        <v>-0.24093199744133265</v>
      </c>
      <c r="J744">
        <f>($B$1+Table4[[#This Row],[Home Differential]])-Table4[[#This Row],[Away Differential]]</f>
        <v>-0.52691391787302666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0.58707242186154818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-5.5124787449478845E-2</v>
      </c>
      <c r="H745" t="s">
        <v>40</v>
      </c>
      <c r="I745">
        <f>VLOOKUP(Table4[[#This Row],[Visitor]],'NHL Model'!$A$6:$B$38,2,FALSE)</f>
        <v>-0.31324182378279158</v>
      </c>
      <c r="J745">
        <f>($B$1+Table4[[#This Row],[Home Differential]])-Table4[[#This Row],[Away Differential]]</f>
        <v>0.30801778525647522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0.55519639167751955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-0.14226422156549004</v>
      </c>
      <c r="H746" t="s">
        <v>27</v>
      </c>
      <c r="I746">
        <f>VLOOKUP(Table4[[#This Row],[Visitor]],'NHL Model'!$A$6:$B$38,2,FALSE)</f>
        <v>-0.38023958350631604</v>
      </c>
      <c r="J746">
        <f>($B$1+Table4[[#This Row],[Home Differential]])-Table4[[#This Row],[Away Differential]]</f>
        <v>0.28787611086398845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0.53110122187745956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-0.4031232890211825</v>
      </c>
      <c r="H747" t="s">
        <v>39</v>
      </c>
      <c r="I747">
        <f>VLOOKUP(Table4[[#This Row],[Visitor]],'NHL Model'!$A$6:$B$38,2,FALSE)</f>
        <v>0.41344250185511977</v>
      </c>
      <c r="J747">
        <f>($B$1+Table4[[#This Row],[Home Differential]])-Table4[[#This Row],[Away Differential]]</f>
        <v>-0.76666504195313978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0.61057209039542149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-0.24444083032063643</v>
      </c>
      <c r="H748" t="s">
        <v>19</v>
      </c>
      <c r="I748">
        <f>VLOOKUP(Table4[[#This Row],[Visitor]],'NHL Model'!$A$6:$B$38,2,FALSE)</f>
        <v>-0.63447859131898054</v>
      </c>
      <c r="J748">
        <f>($B$1+Table4[[#This Row],[Home Differential]])-Table4[[#This Row],[Away Differential]]</f>
        <v>0.43993850992150657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0.59136931406232884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0.4407072328537569</v>
      </c>
      <c r="H749" t="s">
        <v>33</v>
      </c>
      <c r="I749">
        <f>VLOOKUP(Table4[[#This Row],[Visitor]],'NHL Model'!$A$6:$B$38,2,FALSE)</f>
        <v>-0.45133099238224339</v>
      </c>
      <c r="J749">
        <f>($B$1+Table4[[#This Row],[Home Differential]])-Table4[[#This Row],[Away Differential]]</f>
        <v>0.94193897415916283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0.67602301310919677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0.42567513732855267</v>
      </c>
      <c r="H750" t="s">
        <v>11</v>
      </c>
      <c r="I750">
        <f>VLOOKUP(Table4[[#This Row],[Visitor]],'NHL Model'!$A$6:$B$38,2,FALSE)</f>
        <v>-0.39711829106410657</v>
      </c>
      <c r="J750">
        <f>($B$1+Table4[[#This Row],[Home Differential]])-Table4[[#This Row],[Away Differential]]</f>
        <v>0.87269417731582166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0.69361590157977926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1.6319036584269762</v>
      </c>
      <c r="H751" t="s">
        <v>29</v>
      </c>
      <c r="I751">
        <f>VLOOKUP(Table4[[#This Row],[Visitor]],'NHL Model'!$A$6:$B$38,2,FALSE)</f>
        <v>-1.384917283810061</v>
      </c>
      <c r="J751">
        <f>($B$1+Table4[[#This Row],[Home Differential]])-Table4[[#This Row],[Away Differential]]</f>
        <v>3.0667216911601995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-0.87533956503230947</v>
      </c>
      <c r="H752" t="s">
        <v>33</v>
      </c>
      <c r="I752">
        <f>VLOOKUP(Table4[[#This Row],[Visitor]],'NHL Model'!$A$6:$B$38,2,FALSE)</f>
        <v>-0.45133099238224339</v>
      </c>
      <c r="J752">
        <f>($B$1+Table4[[#This Row],[Home Differential]])-Table4[[#This Row],[Away Differential]]</f>
        <v>-0.37410782372690365</v>
      </c>
      <c r="K752" t="str">
        <f>IF(Table4[[#This Row],[HomeIce Differential]]&gt;0,Table4[[#This Row],[Home]],Table4[[#This Row],[Visitor]])</f>
        <v>San Jose Sharks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0.50368260985752411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-0.33828359867721369</v>
      </c>
      <c r="H753" t="s">
        <v>31</v>
      </c>
      <c r="I753">
        <f>VLOOKUP(Table4[[#This Row],[Visitor]],'NHL Model'!$A$6:$B$38,2,FALSE)</f>
        <v>0.17870302183926629</v>
      </c>
      <c r="J753">
        <f>($B$1+Table4[[#This Row],[Home Differential]])-Table4[[#This Row],[Away Differential]]</f>
        <v>-0.46708587159331749</v>
      </c>
      <c r="K753" t="str">
        <f>IF(Table4[[#This Row],[HomeIce Differential]]&gt;0,Table4[[#This Row],[Home]],Table4[[#This Row],[Visitor]])</f>
        <v>Anaheim Ducks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0.53530839997320578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-1.3944783719477225</v>
      </c>
      <c r="H754" t="s">
        <v>37</v>
      </c>
      <c r="I754">
        <f>VLOOKUP(Table4[[#This Row],[Visitor]],'NHL Model'!$A$6:$B$38,2,FALSE)</f>
        <v>0.51050494674660429</v>
      </c>
      <c r="J754">
        <f>($B$1+Table4[[#This Row],[Home Differential]])-Table4[[#This Row],[Away Differential]]</f>
        <v>-1.8550825697711644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0.76909445693074763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0.17870302183926629</v>
      </c>
      <c r="H755" t="s">
        <v>13</v>
      </c>
      <c r="I755">
        <f>VLOOKUP(Table4[[#This Row],[Visitor]],'NHL Model'!$A$6:$B$38,2,FALSE)</f>
        <v>-0.33828359867721369</v>
      </c>
      <c r="J755">
        <f>($B$1+Table4[[#This Row],[Home Differential]])-Table4[[#This Row],[Away Differential]]</f>
        <v>0.56688736943964246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0.62174802259807027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-0.4761104357405897</v>
      </c>
      <c r="H756" t="s">
        <v>34</v>
      </c>
      <c r="I756">
        <f>VLOOKUP(Table4[[#This Row],[Visitor]],'NHL Model'!$A$6:$B$38,2,FALSE)</f>
        <v>-5.5124787449478845E-2</v>
      </c>
      <c r="J756">
        <f>($B$1+Table4[[#This Row],[Home Differential]])-Table4[[#This Row],[Away Differential]]</f>
        <v>-0.37108489936794836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0.53563733113112899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-1.0657812790446208</v>
      </c>
      <c r="H757" t="s">
        <v>30</v>
      </c>
      <c r="I757">
        <f>VLOOKUP(Table4[[#This Row],[Visitor]],'NHL Model'!$A$6:$B$38,2,FALSE)</f>
        <v>-0.24093199744133265</v>
      </c>
      <c r="J757">
        <f>($B$1+Table4[[#This Row],[Home Differential]])-Table4[[#This Row],[Away Differential]]</f>
        <v>-0.77494853268012576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0.6231098477223036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-0.17619625518431364</v>
      </c>
      <c r="H758" t="s">
        <v>21</v>
      </c>
      <c r="I758">
        <f>VLOOKUP(Table4[[#This Row],[Visitor]],'NHL Model'!$A$6:$B$38,2,FALSE)</f>
        <v>-0.21976976044773161</v>
      </c>
      <c r="J758">
        <f>($B$1+Table4[[#This Row],[Home Differential]])-Table4[[#This Row],[Away Differential]]</f>
        <v>9.3474254186580424E-2</v>
      </c>
      <c r="K758" t="str">
        <f>IF(Table4[[#This Row],[HomeIce Differential]]&gt;0,Table4[[#This Row],[Home]],Table4[[#This Row],[Visitor]])</f>
        <v>Chicago Blackhawks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0.55008500567025542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1.5302507646042616E-3</v>
      </c>
      <c r="H759" t="s">
        <v>25</v>
      </c>
      <c r="I759">
        <f>VLOOKUP(Table4[[#This Row],[Visitor]],'NHL Model'!$A$6:$B$38,2,FALSE)</f>
        <v>0.42567513732855267</v>
      </c>
      <c r="J759">
        <f>($B$1+Table4[[#This Row],[Home Differential]])-Table4[[#This Row],[Away Differential]]</f>
        <v>-0.37424413764078596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0.4944027518709323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-0.53137605086483863</v>
      </c>
      <c r="H760" t="s">
        <v>18</v>
      </c>
      <c r="I760">
        <f>VLOOKUP(Table4[[#This Row],[Visitor]],'NHL Model'!$A$6:$B$38,2,FALSE)</f>
        <v>-0.59288962827382519</v>
      </c>
      <c r="J760">
        <f>($B$1+Table4[[#This Row],[Home Differential]])-Table4[[#This Row],[Away Differential]]</f>
        <v>0.11141432633214904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0.49623074346744273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-0.38023958350631604</v>
      </c>
      <c r="H761" t="s">
        <v>15</v>
      </c>
      <c r="I761">
        <f>VLOOKUP(Table4[[#This Row],[Visitor]],'NHL Model'!$A$6:$B$38,2,FALSE)</f>
        <v>-0.29003398448394263</v>
      </c>
      <c r="J761">
        <f>($B$1+Table4[[#This Row],[Home Differential]])-Table4[[#This Row],[Away Differential]]</f>
        <v>-4.030485009921092E-2</v>
      </c>
      <c r="K761" t="str">
        <f>IF(Table4[[#This Row],[HomeIce Differential]]&gt;0,Table4[[#This Row],[Home]],Table4[[#This Row],[Visitor]])</f>
        <v>New York Rangers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0.55080547688635673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-0.14226422156549004</v>
      </c>
      <c r="H762" t="s">
        <v>28</v>
      </c>
      <c r="I762">
        <f>VLOOKUP(Table4[[#This Row],[Visitor]],'NHL Model'!$A$6:$B$38,2,FALSE)</f>
        <v>-0.59498940435054026</v>
      </c>
      <c r="J762">
        <f>($B$1+Table4[[#This Row],[Home Differential]])-Table4[[#This Row],[Away Differential]]</f>
        <v>0.50262593170821268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0.59511283681584248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-0.4031232890211825</v>
      </c>
      <c r="H763" t="s">
        <v>32</v>
      </c>
      <c r="I763">
        <f>VLOOKUP(Table4[[#This Row],[Visitor]],'NHL Model'!$A$6:$B$38,2,FALSE)</f>
        <v>-0.64937723527808999</v>
      </c>
      <c r="J763">
        <f>($B$1+Table4[[#This Row],[Home Differential]])-Table4[[#This Row],[Away Differential]]</f>
        <v>0.29615469518006998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0.6150116090397193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-0.9476777551108041</v>
      </c>
      <c r="H764" t="s">
        <v>17</v>
      </c>
      <c r="I764">
        <f>VLOOKUP(Table4[[#This Row],[Visitor]],'NHL Model'!$A$6:$B$38,2,FALSE)</f>
        <v>-0.81774666423752174</v>
      </c>
      <c r="J764">
        <f>($B$1+Table4[[#This Row],[Home Differential]])-Table4[[#This Row],[Away Differential]]</f>
        <v>-8.0030341950119932E-2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0.46934472358622298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-0.24444083032063643</v>
      </c>
      <c r="H765" t="s">
        <v>29</v>
      </c>
      <c r="I765">
        <f>VLOOKUP(Table4[[#This Row],[Visitor]],'NHL Model'!$A$6:$B$38,2,FALSE)</f>
        <v>-1.384917283810061</v>
      </c>
      <c r="J765">
        <f>($B$1+Table4[[#This Row],[Home Differential]])-Table4[[#This Row],[Away Differential]]</f>
        <v>1.1903772024125869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0.67899410709528163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-0.31324182378279158</v>
      </c>
      <c r="H766" t="s">
        <v>19</v>
      </c>
      <c r="I766">
        <f>VLOOKUP(Table4[[#This Row],[Visitor]],'NHL Model'!$A$6:$B$38,2,FALSE)</f>
        <v>-0.63447859131898054</v>
      </c>
      <c r="J766">
        <f>($B$1+Table4[[#This Row],[Home Differential]])-Table4[[#This Row],[Away Differential]]</f>
        <v>0.37113751645935145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0.58583126184977086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0.4407072328537569</v>
      </c>
      <c r="H767" t="s">
        <v>11</v>
      </c>
      <c r="I767">
        <f>VLOOKUP(Table4[[#This Row],[Visitor]],'NHL Model'!$A$6:$B$38,2,FALSE)</f>
        <v>-0.39711829106410657</v>
      </c>
      <c r="J767">
        <f>($B$1+Table4[[#This Row],[Home Differential]])-Table4[[#This Row],[Away Differential]]</f>
        <v>0.88772627284102601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0.66969288010793826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0.41344250185511977</v>
      </c>
      <c r="H768" t="s">
        <v>37</v>
      </c>
      <c r="I768">
        <f>VLOOKUP(Table4[[#This Row],[Visitor]],'NHL Model'!$A$6:$B$38,2,FALSE)</f>
        <v>0.51050494674660429</v>
      </c>
      <c r="J768">
        <f>($B$1+Table4[[#This Row],[Home Differential]])-Table4[[#This Row],[Away Differential]]</f>
        <v>-4.7161695968322037E-2</v>
      </c>
      <c r="K768" t="str">
        <f>IF(Table4[[#This Row],[HomeIce Differential]]&gt;0,Table4[[#This Row],[Home]],Table4[[#This Row],[Visitor]])</f>
        <v>Tampa Bay Lightning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0.52550682406125582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-0.87533956503230947</v>
      </c>
      <c r="H769" t="s">
        <v>36</v>
      </c>
      <c r="I769">
        <f>VLOOKUP(Table4[[#This Row],[Visitor]],'NHL Model'!$A$6:$B$38,2,FALSE)</f>
        <v>-0.53137605086483863</v>
      </c>
      <c r="J769">
        <f>($B$1+Table4[[#This Row],[Home Differential]])-Table4[[#This Row],[Away Differential]]</f>
        <v>-0.29406276524430841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0.49433616789893414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-0.81774666423752174</v>
      </c>
      <c r="H770" t="s">
        <v>35</v>
      </c>
      <c r="I770">
        <f>VLOOKUP(Table4[[#This Row],[Visitor]],'NHL Model'!$A$6:$B$38,2,FALSE)</f>
        <v>-1.3944783719477225</v>
      </c>
      <c r="J770">
        <f>($B$1+Table4[[#This Row],[Home Differential]])-Table4[[#This Row],[Away Differential]]</f>
        <v>0.6266324566333632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0.62021453960689188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0.17870302183926629</v>
      </c>
      <c r="H771" t="s">
        <v>15</v>
      </c>
      <c r="I771">
        <f>VLOOKUP(Table4[[#This Row],[Visitor]],'NHL Model'!$A$6:$B$38,2,FALSE)</f>
        <v>-0.29003398448394263</v>
      </c>
      <c r="J771">
        <f>($B$1+Table4[[#This Row],[Home Differential]])-Table4[[#This Row],[Away Differential]]</f>
        <v>0.51863775524637135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0.58229774290675174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0.42567513732855267</v>
      </c>
      <c r="H772" t="s">
        <v>23</v>
      </c>
      <c r="I772">
        <f>VLOOKUP(Table4[[#This Row],[Visitor]],'NHL Model'!$A$6:$B$38,2,FALSE)</f>
        <v>-0.4761104357405897</v>
      </c>
      <c r="J772">
        <f>($B$1+Table4[[#This Row],[Home Differential]])-Table4[[#This Row],[Away Differential]]</f>
        <v>0.95168632199230485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0.70283940031160697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-1.0657812790446208</v>
      </c>
      <c r="H773" t="s">
        <v>24</v>
      </c>
      <c r="I773">
        <f>VLOOKUP(Table4[[#This Row],[Visitor]],'NHL Model'!$A$6:$B$38,2,FALSE)</f>
        <v>1.5302507646042616E-3</v>
      </c>
      <c r="J773">
        <f>($B$1+Table4[[#This Row],[Home Differential]])-Table4[[#This Row],[Away Differential]]</f>
        <v>-1.0174107808860626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0.59956695534910476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-0.17619625518431364</v>
      </c>
      <c r="H774" t="s">
        <v>40</v>
      </c>
      <c r="I774">
        <f>VLOOKUP(Table4[[#This Row],[Visitor]],'NHL Model'!$A$6:$B$38,2,FALSE)</f>
        <v>-0.31324182378279158</v>
      </c>
      <c r="J774">
        <f>($B$1+Table4[[#This Row],[Home Differential]])-Table4[[#This Row],[Away Differential]]</f>
        <v>0.1869463175216404</v>
      </c>
      <c r="K774" t="str">
        <f>IF(Table4[[#This Row],[HomeIce Differential]]&gt;0,Table4[[#This Row],[Home]],Table4[[#This Row],[Visitor]])</f>
        <v>Chicago Blackhawks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0.54105951093214566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1.6319036584269762</v>
      </c>
      <c r="H775" t="s">
        <v>22</v>
      </c>
      <c r="I775">
        <f>VLOOKUP(Table4[[#This Row],[Visitor]],'NHL Model'!$A$6:$B$38,2,FALSE)</f>
        <v>0.4407072328537569</v>
      </c>
      <c r="J775">
        <f>($B$1+Table4[[#This Row],[Home Differential]])-Table4[[#This Row],[Away Differential]]</f>
        <v>1.2410971744963817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0.74931201680503057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-0.39711829106410657</v>
      </c>
      <c r="H776" t="s">
        <v>33</v>
      </c>
      <c r="I776">
        <f>VLOOKUP(Table4[[#This Row],[Visitor]],'NHL Model'!$A$6:$B$38,2,FALSE)</f>
        <v>-0.45133099238224339</v>
      </c>
      <c r="J776">
        <f>($B$1+Table4[[#This Row],[Home Differential]])-Table4[[#This Row],[Away Differential]]</f>
        <v>0.10411345024129931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0.56617340241914338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-0.64937723527808999</v>
      </c>
      <c r="H777" t="s">
        <v>14</v>
      </c>
      <c r="I777">
        <f>VLOOKUP(Table4[[#This Row],[Visitor]],'NHL Model'!$A$6:$B$38,2,FALSE)</f>
        <v>-0.14226422156549004</v>
      </c>
      <c r="J777">
        <f>($B$1+Table4[[#This Row],[Home Differential]])-Table4[[#This Row],[Away Differential]]</f>
        <v>-0.45721226478943755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0.55267301312381723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-0.63447859131898054</v>
      </c>
      <c r="H778" t="s">
        <v>34</v>
      </c>
      <c r="I778">
        <f>VLOOKUP(Table4[[#This Row],[Visitor]],'NHL Model'!$A$6:$B$38,2,FALSE)</f>
        <v>-5.5124787449478845E-2</v>
      </c>
      <c r="J778">
        <f>($B$1+Table4[[#This Row],[Home Differential]])-Table4[[#This Row],[Away Differential]]</f>
        <v>-0.52945305494633932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0.56433402114844189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-0.9476777551108041</v>
      </c>
      <c r="H779" t="s">
        <v>30</v>
      </c>
      <c r="I779">
        <f>VLOOKUP(Table4[[#This Row],[Visitor]],'NHL Model'!$A$6:$B$38,2,FALSE)</f>
        <v>-0.24093199744133265</v>
      </c>
      <c r="J779">
        <f>($B$1+Table4[[#This Row],[Home Differential]])-Table4[[#This Row],[Away Differential]]</f>
        <v>-0.65684500874630902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0.60931951821942276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-0.24444083032063643</v>
      </c>
      <c r="H780" t="s">
        <v>27</v>
      </c>
      <c r="I780">
        <f>VLOOKUP(Table4[[#This Row],[Visitor]],'NHL Model'!$A$6:$B$38,2,FALSE)</f>
        <v>-0.38023958350631604</v>
      </c>
      <c r="J780">
        <f>($B$1+Table4[[#This Row],[Home Differential]])-Table4[[#This Row],[Away Differential]]</f>
        <v>0.18569950210884206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0.51917059478617977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-0.59498940435054026</v>
      </c>
      <c r="H781" t="s">
        <v>36</v>
      </c>
      <c r="I781">
        <f>VLOOKUP(Table4[[#This Row],[Visitor]],'NHL Model'!$A$6:$B$38,2,FALSE)</f>
        <v>-0.53137605086483863</v>
      </c>
      <c r="J781">
        <f>($B$1+Table4[[#This Row],[Home Differential]])-Table4[[#This Row],[Away Differential]]</f>
        <v>-1.3712604562539199E-2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0.46160114896627552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0.41344250185511977</v>
      </c>
      <c r="H782" t="s">
        <v>21</v>
      </c>
      <c r="I782">
        <f>VLOOKUP(Table4[[#This Row],[Visitor]],'NHL Model'!$A$6:$B$38,2,FALSE)</f>
        <v>-0.21976976044773161</v>
      </c>
      <c r="J782">
        <f>($B$1+Table4[[#This Row],[Home Differential]])-Table4[[#This Row],[Away Differential]]</f>
        <v>0.68311301122601387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0.65119209751769036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-0.81774666423752174</v>
      </c>
      <c r="H783" t="s">
        <v>24</v>
      </c>
      <c r="I783">
        <f>VLOOKUP(Table4[[#This Row],[Visitor]],'NHL Model'!$A$6:$B$38,2,FALSE)</f>
        <v>1.5302507646042616E-3</v>
      </c>
      <c r="J783">
        <f>($B$1+Table4[[#This Row],[Home Differential]])-Table4[[#This Row],[Away Differential]]</f>
        <v>-0.76937616607896353</v>
      </c>
      <c r="K783" t="str">
        <f>IF(Table4[[#This Row],[HomeIce Differential]]&gt;0,Table4[[#This Row],[Home]],Table4[[#This Row],[Visitor]])</f>
        <v>New Jersey Devils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0.56352023309781618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-0.33828359867721369</v>
      </c>
      <c r="H784" t="s">
        <v>15</v>
      </c>
      <c r="I784">
        <f>VLOOKUP(Table4[[#This Row],[Visitor]],'NHL Model'!$A$6:$B$38,2,FALSE)</f>
        <v>-0.29003398448394263</v>
      </c>
      <c r="J784">
        <f>($B$1+Table4[[#This Row],[Home Differential]])-Table4[[#This Row],[Away Differential]]</f>
        <v>1.6511347298914236E-3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0.44011132795361219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-0.59288962827382519</v>
      </c>
      <c r="H785" t="s">
        <v>34</v>
      </c>
      <c r="I785">
        <f>VLOOKUP(Table4[[#This Row],[Visitor]],'NHL Model'!$A$6:$B$38,2,FALSE)</f>
        <v>-5.5124787449478845E-2</v>
      </c>
      <c r="J785">
        <f>($B$1+Table4[[#This Row],[Home Differential]])-Table4[[#This Row],[Away Differential]]</f>
        <v>-0.4878640919011839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0.5594778959036335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-1.384917283810061</v>
      </c>
      <c r="H786" t="s">
        <v>23</v>
      </c>
      <c r="I786">
        <f>VLOOKUP(Table4[[#This Row],[Visitor]],'NHL Model'!$A$6:$B$38,2,FALSE)</f>
        <v>-0.4761104357405897</v>
      </c>
      <c r="J786">
        <f>($B$1+Table4[[#This Row],[Home Differential]])-Table4[[#This Row],[Away Differential]]</f>
        <v>-0.85890609914630889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0.5602899636246178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0.51050494674660429</v>
      </c>
      <c r="H787" t="s">
        <v>33</v>
      </c>
      <c r="I787">
        <f>VLOOKUP(Table4[[#This Row],[Visitor]],'NHL Model'!$A$6:$B$38,2,FALSE)</f>
        <v>-0.45133099238224339</v>
      </c>
      <c r="J787">
        <f>($B$1+Table4[[#This Row],[Home Differential]])-Table4[[#This Row],[Away Differential]]</f>
        <v>1.01173668805201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0.69038125630616265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-0.31324182378279158</v>
      </c>
      <c r="H788" t="s">
        <v>35</v>
      </c>
      <c r="I788">
        <f>VLOOKUP(Table4[[#This Row],[Visitor]],'NHL Model'!$A$6:$B$38,2,FALSE)</f>
        <v>-1.3944783719477225</v>
      </c>
      <c r="J788">
        <f>($B$1+Table4[[#This Row],[Home Differential]])-Table4[[#This Row],[Away Differential]]</f>
        <v>1.1311372970880935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0.67457245303438529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-1.0657812790446208</v>
      </c>
      <c r="H789" t="s">
        <v>14</v>
      </c>
      <c r="I789">
        <f>VLOOKUP(Table4[[#This Row],[Visitor]],'NHL Model'!$A$6:$B$38,2,FALSE)</f>
        <v>-0.14226422156549004</v>
      </c>
      <c r="J789">
        <f>($B$1+Table4[[#This Row],[Home Differential]])-Table4[[#This Row],[Away Differential]]</f>
        <v>-0.87361630855596839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0.60129433091862239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1.6319036584269762</v>
      </c>
      <c r="H790" t="s">
        <v>31</v>
      </c>
      <c r="I790">
        <f>VLOOKUP(Table4[[#This Row],[Visitor]],'NHL Model'!$A$6:$B$38,2,FALSE)</f>
        <v>0.17870302183926629</v>
      </c>
      <c r="J790">
        <f>($B$1+Table4[[#This Row],[Home Differential]])-Table4[[#This Row],[Away Differential]]</f>
        <v>1.5031013855108724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0.8005092709515379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-0.64937723527808999</v>
      </c>
      <c r="H791" t="s">
        <v>30</v>
      </c>
      <c r="I791">
        <f>VLOOKUP(Table4[[#This Row],[Visitor]],'NHL Model'!$A$6:$B$38,2,FALSE)</f>
        <v>-0.24093199744133265</v>
      </c>
      <c r="J791">
        <f>($B$1+Table4[[#This Row],[Home Differential]])-Table4[[#This Row],[Away Differential]]</f>
        <v>-0.35854448891359492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0.57448852992749844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-0.63447859131898054</v>
      </c>
      <c r="H792" t="s">
        <v>26</v>
      </c>
      <c r="I792">
        <f>VLOOKUP(Table4[[#This Row],[Visitor]],'NHL Model'!$A$6:$B$38,2,FALSE)</f>
        <v>-0.87533956503230947</v>
      </c>
      <c r="J792">
        <f>($B$1+Table4[[#This Row],[Home Differential]])-Table4[[#This Row],[Away Differential]]</f>
        <v>0.29076172263649136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0.5739507224545598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-0.4031232890211825</v>
      </c>
      <c r="H793" t="s">
        <v>27</v>
      </c>
      <c r="I793">
        <f>VLOOKUP(Table4[[#This Row],[Visitor]],'NHL Model'!$A$6:$B$38,2,FALSE)</f>
        <v>-0.38023958350631604</v>
      </c>
      <c r="J793">
        <f>($B$1+Table4[[#This Row],[Home Differential]])-Table4[[#This Row],[Away Differential]]</f>
        <v>2.7017043408296026E-2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0.54161617702255915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-0.9476777551108041</v>
      </c>
      <c r="H794" t="s">
        <v>22</v>
      </c>
      <c r="I794">
        <f>VLOOKUP(Table4[[#This Row],[Visitor]],'NHL Model'!$A$6:$B$38,2,FALSE)</f>
        <v>0.4407072328537569</v>
      </c>
      <c r="J794">
        <f>($B$1+Table4[[#This Row],[Home Differential]])-Table4[[#This Row],[Away Differential]]</f>
        <v>-1.3384842390413985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0.65880035233961631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-0.21976976044773161</v>
      </c>
      <c r="H795" t="s">
        <v>20</v>
      </c>
      <c r="I795">
        <f>VLOOKUP(Table4[[#This Row],[Visitor]],'NHL Model'!$A$6:$B$38,2,FALSE)</f>
        <v>-0.24444083032063643</v>
      </c>
      <c r="J795">
        <f>($B$1+Table4[[#This Row],[Home Differential]])-Table4[[#This Row],[Away Differential]]</f>
        <v>7.457181879606728E-2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0.59160891485008038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0.42567513732855267</v>
      </c>
      <c r="H796" t="s">
        <v>10</v>
      </c>
      <c r="I796">
        <f>VLOOKUP(Table4[[#This Row],[Visitor]],'NHL Model'!$A$6:$B$38,2,FALSE)</f>
        <v>-0.17619625518431364</v>
      </c>
      <c r="J796">
        <f>($B$1+Table4[[#This Row],[Home Differential]])-Table4[[#This Row],[Away Differential]]</f>
        <v>0.6517721414360288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0.66781999331427422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-0.59498940435054026</v>
      </c>
      <c r="H797" t="s">
        <v>39</v>
      </c>
      <c r="I797">
        <f>VLOOKUP(Table4[[#This Row],[Visitor]],'NHL Model'!$A$6:$B$38,2,FALSE)</f>
        <v>0.41344250185511977</v>
      </c>
      <c r="J797">
        <f>($B$1+Table4[[#This Row],[Home Differential]])-Table4[[#This Row],[Away Differential]]</f>
        <v>-0.9585311572824976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0.67372041233192359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-0.81774666423752174</v>
      </c>
      <c r="H798" t="s">
        <v>14</v>
      </c>
      <c r="I798">
        <f>VLOOKUP(Table4[[#This Row],[Visitor]],'NHL Model'!$A$6:$B$38,2,FALSE)</f>
        <v>-0.14226422156549004</v>
      </c>
      <c r="J798">
        <f>($B$1+Table4[[#This Row],[Home Differential]])-Table4[[#This Row],[Away Differential]]</f>
        <v>-0.62558169374886929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0.56523339567201758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-5.5124787449478845E-2</v>
      </c>
      <c r="H799" t="s">
        <v>26</v>
      </c>
      <c r="I799">
        <f>VLOOKUP(Table4[[#This Row],[Visitor]],'NHL Model'!$A$6:$B$38,2,FALSE)</f>
        <v>-0.87533956503230947</v>
      </c>
      <c r="J799">
        <f>($B$1+Table4[[#This Row],[Home Differential]])-Table4[[#This Row],[Away Differential]]</f>
        <v>0.87011552650599311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0.64159882970820126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-0.59288962827382519</v>
      </c>
      <c r="H800" t="s">
        <v>23</v>
      </c>
      <c r="I800">
        <f>VLOOKUP(Table4[[#This Row],[Visitor]],'NHL Model'!$A$6:$B$38,2,FALSE)</f>
        <v>-0.4761104357405897</v>
      </c>
      <c r="J800">
        <f>($B$1+Table4[[#This Row],[Home Differential]])-Table4[[#This Row],[Away Differential]]</f>
        <v>-6.6878443610073057E-2</v>
      </c>
      <c r="K800" t="str">
        <f>IF(Table4[[#This Row],[HomeIce Differential]]&gt;0,Table4[[#This Row],[Home]],Table4[[#This Row],[Visitor]])</f>
        <v>Buffalo Sabres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0.46780904534685669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-1.384917283810061</v>
      </c>
      <c r="H801" t="s">
        <v>36</v>
      </c>
      <c r="I801">
        <f>VLOOKUP(Table4[[#This Row],[Visitor]],'NHL Model'!$A$6:$B$38,2,FALSE)</f>
        <v>-0.53137605086483863</v>
      </c>
      <c r="J801">
        <f>($B$1+Table4[[#This Row],[Home Differential]])-Table4[[#This Row],[Away Differential]]</f>
        <v>-0.8036404840220599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0.55383688739659709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-0.31324182378279158</v>
      </c>
      <c r="H802" t="s">
        <v>11</v>
      </c>
      <c r="I802">
        <f>VLOOKUP(Table4[[#This Row],[Visitor]],'NHL Model'!$A$6:$B$38,2,FALSE)</f>
        <v>-0.39711829106410657</v>
      </c>
      <c r="J802">
        <f>($B$1+Table4[[#This Row],[Home Differential]])-Table4[[#This Row],[Away Differential]]</f>
        <v>0.13377721620447747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0.55811594360700834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-1.0657812790446208</v>
      </c>
      <c r="H803" t="s">
        <v>22</v>
      </c>
      <c r="I803">
        <f>VLOOKUP(Table4[[#This Row],[Visitor]],'NHL Model'!$A$6:$B$38,2,FALSE)</f>
        <v>0.4407072328537569</v>
      </c>
      <c r="J803">
        <f>($B$1+Table4[[#This Row],[Home Differential]])-Table4[[#This Row],[Away Differential]]</f>
        <v>-1.4565877629752153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0.67259068184249715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-0.17619625518431364</v>
      </c>
      <c r="H804" t="s">
        <v>37</v>
      </c>
      <c r="I804">
        <f>VLOOKUP(Table4[[#This Row],[Visitor]],'NHL Model'!$A$6:$B$38,2,FALSE)</f>
        <v>0.51050494674660429</v>
      </c>
      <c r="J804">
        <f>($B$1+Table4[[#This Row],[Home Differential]])-Table4[[#This Row],[Away Differential]]</f>
        <v>-0.63680045300775545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0.62684203923786574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1.6319036584269762</v>
      </c>
      <c r="H805" t="s">
        <v>27</v>
      </c>
      <c r="I805">
        <f>VLOOKUP(Table4[[#This Row],[Visitor]],'NHL Model'!$A$6:$B$38,2,FALSE)</f>
        <v>-0.38023958350631604</v>
      </c>
      <c r="J805">
        <f>($B$1+Table4[[#This Row],[Home Differential]])-Table4[[#This Row],[Away Differential]]</f>
        <v>2.0620439908564547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0.84516967392532616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0.41344250185511977</v>
      </c>
      <c r="H806" t="s">
        <v>35</v>
      </c>
      <c r="I806">
        <f>VLOOKUP(Table4[[#This Row],[Visitor]],'NHL Model'!$A$6:$B$38,2,FALSE)</f>
        <v>-1.3944783719477225</v>
      </c>
      <c r="J806">
        <f>($B$1+Table4[[#This Row],[Home Differential]])-Table4[[#This Row],[Away Differential]]</f>
        <v>1.8578216227260047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0.78917415975175542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-0.64937723527808999</v>
      </c>
      <c r="H807" t="s">
        <v>31</v>
      </c>
      <c r="I807">
        <f>VLOOKUP(Table4[[#This Row],[Visitor]],'NHL Model'!$A$6:$B$38,2,FALSE)</f>
        <v>0.17870302183926629</v>
      </c>
      <c r="J807">
        <f>($B$1+Table4[[#This Row],[Home Differential]])-Table4[[#This Row],[Away Differential]]</f>
        <v>-0.77817950819419379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0.57163317346074072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-0.45133099238224339</v>
      </c>
      <c r="H808" t="s">
        <v>15</v>
      </c>
      <c r="I808">
        <f>VLOOKUP(Table4[[#This Row],[Visitor]],'NHL Model'!$A$6:$B$38,2,FALSE)</f>
        <v>-0.29003398448394263</v>
      </c>
      <c r="J808">
        <f>($B$1+Table4[[#This Row],[Home Differential]])-Table4[[#This Row],[Away Differential]]</f>
        <v>-0.11139625897513827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0.56300715732678952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-0.63447859131898054</v>
      </c>
      <c r="H809" t="s">
        <v>20</v>
      </c>
      <c r="I809">
        <f>VLOOKUP(Table4[[#This Row],[Visitor]],'NHL Model'!$A$6:$B$38,2,FALSE)</f>
        <v>-0.24444083032063643</v>
      </c>
      <c r="J809">
        <f>($B$1+Table4[[#This Row],[Home Differential]])-Table4[[#This Row],[Away Differential]]</f>
        <v>-0.34013701207518166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0.49971601622378903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-0.9476777551108041</v>
      </c>
      <c r="H810" t="s">
        <v>24</v>
      </c>
      <c r="I810">
        <f>VLOOKUP(Table4[[#This Row],[Visitor]],'NHL Model'!$A$6:$B$38,2,FALSE)</f>
        <v>1.5302507646042616E-3</v>
      </c>
      <c r="J810">
        <f>($B$1+Table4[[#This Row],[Home Differential]])-Table4[[#This Row],[Away Differential]]</f>
        <v>-0.89930725695224589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0.58577662584622392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-0.21976976044773161</v>
      </c>
      <c r="H811" t="s">
        <v>18</v>
      </c>
      <c r="I811">
        <f>VLOOKUP(Table4[[#This Row],[Visitor]],'NHL Model'!$A$6:$B$38,2,FALSE)</f>
        <v>-0.59288962827382519</v>
      </c>
      <c r="J811">
        <f>($B$1+Table4[[#This Row],[Home Differential]])-Table4[[#This Row],[Away Differential]]</f>
        <v>0.42302061674925606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0.57366574500438006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-0.59498940435054026</v>
      </c>
      <c r="H812" t="s">
        <v>37</v>
      </c>
      <c r="I812">
        <f>VLOOKUP(Table4[[#This Row],[Visitor]],'NHL Model'!$A$6:$B$38,2,FALSE)</f>
        <v>0.51050494674660429</v>
      </c>
      <c r="J812">
        <f>($B$1+Table4[[#This Row],[Home Differential]])-Table4[[#This Row],[Away Differential]]</f>
        <v>-1.0555936021739822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0.67574232034876447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-0.81774666423752174</v>
      </c>
      <c r="H813" t="s">
        <v>22</v>
      </c>
      <c r="I813">
        <f>VLOOKUP(Table4[[#This Row],[Visitor]],'NHL Model'!$A$6:$B$38,2,FALSE)</f>
        <v>0.4407072328537569</v>
      </c>
      <c r="J813">
        <f>($B$1+Table4[[#This Row],[Home Differential]])-Table4[[#This Row],[Away Differential]]</f>
        <v>-1.2085531481681162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0.63652926105675034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-5.5124787449478845E-2</v>
      </c>
      <c r="H814" t="s">
        <v>11</v>
      </c>
      <c r="I814">
        <f>VLOOKUP(Table4[[#This Row],[Visitor]],'NHL Model'!$A$6:$B$38,2,FALSE)</f>
        <v>-0.39711829106410657</v>
      </c>
      <c r="J814">
        <f>($B$1+Table4[[#This Row],[Home Differential]])-Table4[[#This Row],[Away Differential]]</f>
        <v>0.3918942525377902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0.58575943793014884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-1.384917283810061</v>
      </c>
      <c r="H815" t="s">
        <v>55</v>
      </c>
      <c r="I815">
        <f>VLOOKUP(Table4[[#This Row],[Visitor]],'NHL Model'!$A$6:$B$38,2,FALSE)</f>
        <v>-0.4031232890211825</v>
      </c>
      <c r="J815">
        <f>($B$1+Table4[[#This Row],[Home Differential]])-Table4[[#This Row],[Away Differential]]</f>
        <v>-0.93189324586571609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0.56881229021751245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-0.24093199744133265</v>
      </c>
      <c r="H816" t="s">
        <v>23</v>
      </c>
      <c r="I816">
        <f>VLOOKUP(Table4[[#This Row],[Visitor]],'NHL Model'!$A$6:$B$38,2,FALSE)</f>
        <v>-0.4761104357405897</v>
      </c>
      <c r="J816">
        <f>($B$1+Table4[[#This Row],[Home Differential]])-Table4[[#This Row],[Away Differential]]</f>
        <v>0.28507918722241954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0.57328720257672994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-0.53137605086483863</v>
      </c>
      <c r="H817" t="s">
        <v>25</v>
      </c>
      <c r="I817">
        <f>VLOOKUP(Table4[[#This Row],[Visitor]],'NHL Model'!$A$6:$B$38,2,FALSE)</f>
        <v>0.42567513732855267</v>
      </c>
      <c r="J817">
        <f>($B$1+Table4[[#This Row],[Home Differential]])-Table4[[#This Row],[Away Differential]]</f>
        <v>-0.90715043927022876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0.63604368429743785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-1.3944783719477225</v>
      </c>
      <c r="H818" t="s">
        <v>13</v>
      </c>
      <c r="I818">
        <f>VLOOKUP(Table4[[#This Row],[Visitor]],'NHL Model'!$A$6:$B$38,2,FALSE)</f>
        <v>-0.33828359867721369</v>
      </c>
      <c r="J818">
        <f>($B$1+Table4[[#This Row],[Home Differential]])-Table4[[#This Row],[Away Differential]]</f>
        <v>-1.0062940243473464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0.64381546865604655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-0.31324182378279158</v>
      </c>
      <c r="H819" t="s">
        <v>26</v>
      </c>
      <c r="I819">
        <f>VLOOKUP(Table4[[#This Row],[Visitor]],'NHL Model'!$A$6:$B$38,2,FALSE)</f>
        <v>-0.87533956503230947</v>
      </c>
      <c r="J819">
        <f>($B$1+Table4[[#This Row],[Home Differential]])-Table4[[#This Row],[Away Differential]]</f>
        <v>0.61199849017268038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0.61395533538506064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-1.0657812790446208</v>
      </c>
      <c r="H820" t="s">
        <v>31</v>
      </c>
      <c r="I820">
        <f>VLOOKUP(Table4[[#This Row],[Visitor]],'NHL Model'!$A$6:$B$38,2,FALSE)</f>
        <v>0.17870302183926629</v>
      </c>
      <c r="J820">
        <f>($B$1+Table4[[#This Row],[Home Differential]])-Table4[[#This Row],[Away Differential]]</f>
        <v>-1.1945835519607246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0.62025449125554588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-0.17619625518431364</v>
      </c>
      <c r="H821" t="s">
        <v>11</v>
      </c>
      <c r="I821">
        <f>VLOOKUP(Table4[[#This Row],[Visitor]],'NHL Model'!$A$6:$B$38,2,FALSE)</f>
        <v>-0.39711829106410657</v>
      </c>
      <c r="J821">
        <f>($B$1+Table4[[#This Row],[Home Differential]])-Table4[[#This Row],[Away Differential]]</f>
        <v>0.27082278480295541</v>
      </c>
      <c r="K821" t="str">
        <f>IF(Table4[[#This Row],[HomeIce Differential]]&gt;0,Table4[[#This Row],[Home]],Table4[[#This Row],[Visitor]])</f>
        <v>Chicago Blackhawks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0.57162255718477495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-0.53137605086483863</v>
      </c>
      <c r="H822" t="s">
        <v>20</v>
      </c>
      <c r="I822">
        <f>VLOOKUP(Table4[[#This Row],[Visitor]],'NHL Model'!$A$6:$B$38,2,FALSE)</f>
        <v>-0.24444083032063643</v>
      </c>
      <c r="J822">
        <f>($B$1+Table4[[#This Row],[Home Differential]])-Table4[[#This Row],[Away Differential]]</f>
        <v>-0.23703447162103972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0.48518179373653497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-0.64937723527808999</v>
      </c>
      <c r="H823" t="s">
        <v>24</v>
      </c>
      <c r="I823">
        <f>VLOOKUP(Table4[[#This Row],[Visitor]],'NHL Model'!$A$6:$B$38,2,FALSE)</f>
        <v>1.5302507646042616E-3</v>
      </c>
      <c r="J823">
        <f>($B$1+Table4[[#This Row],[Home Differential]])-Table4[[#This Row],[Away Differential]]</f>
        <v>-0.60100673711953179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0.55094563755429959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-0.63447859131898054</v>
      </c>
      <c r="H824" t="s">
        <v>12</v>
      </c>
      <c r="I824">
        <f>VLOOKUP(Table4[[#This Row],[Visitor]],'NHL Model'!$A$6:$B$38,2,FALSE)</f>
        <v>1.6319036584269762</v>
      </c>
      <c r="J824">
        <f>($B$1+Table4[[#This Row],[Home Differential]])-Table4[[#This Row],[Away Differential]]</f>
        <v>-2.2164815008227943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0.79143009726111702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-0.9476777551108041</v>
      </c>
      <c r="H825" t="s">
        <v>14</v>
      </c>
      <c r="I825">
        <f>VLOOKUP(Table4[[#This Row],[Visitor]],'NHL Model'!$A$6:$B$38,2,FALSE)</f>
        <v>-0.14226422156549004</v>
      </c>
      <c r="J825">
        <f>($B$1+Table4[[#This Row],[Home Differential]])-Table4[[#This Row],[Away Differential]]</f>
        <v>-0.75551278462215166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0.58750400141574155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-0.59498940435054026</v>
      </c>
      <c r="H826" t="s">
        <v>13</v>
      </c>
      <c r="I826">
        <f>VLOOKUP(Table4[[#This Row],[Visitor]],'NHL Model'!$A$6:$B$38,2,FALSE)</f>
        <v>-0.33828359867721369</v>
      </c>
      <c r="J826">
        <f>($B$1+Table4[[#This Row],[Home Differential]])-Table4[[#This Row],[Away Differential]]</f>
        <v>-0.20680505675016414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0.55046333207406328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-0.81774666423752174</v>
      </c>
      <c r="H827" t="s">
        <v>31</v>
      </c>
      <c r="I827">
        <f>VLOOKUP(Table4[[#This Row],[Visitor]],'NHL Model'!$A$6:$B$38,2,FALSE)</f>
        <v>0.17870302183926629</v>
      </c>
      <c r="J827">
        <f>($B$1+Table4[[#This Row],[Home Differential]])-Table4[[#This Row],[Away Differential]]</f>
        <v>-0.94654893715362554</v>
      </c>
      <c r="K827" t="str">
        <f>IF(Table4[[#This Row],[HomeIce Differential]]&gt;0,Table4[[#This Row],[Home]],Table4[[#This Row],[Visitor]])</f>
        <v>Anaheim Ducks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0.5842077690042573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-0.29003398448394263</v>
      </c>
      <c r="H828" t="s">
        <v>21</v>
      </c>
      <c r="I828">
        <f>VLOOKUP(Table4[[#This Row],[Visitor]],'NHL Model'!$A$6:$B$38,2,FALSE)</f>
        <v>-0.21976976044773161</v>
      </c>
      <c r="J828">
        <f>($B$1+Table4[[#This Row],[Home Differential]])-Table4[[#This Row],[Away Differential]]</f>
        <v>-2.0363475113048563E-2</v>
      </c>
      <c r="K828" t="str">
        <f>IF(Table4[[#This Row],[HomeIce Differential]]&gt;0,Table4[[#This Row],[Home]],Table4[[#This Row],[Visitor]])</f>
        <v>Boston Bruins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0.46320722935044856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-0.38023958350631604</v>
      </c>
      <c r="H829" t="s">
        <v>30</v>
      </c>
      <c r="I829">
        <f>VLOOKUP(Table4[[#This Row],[Visitor]],'NHL Model'!$A$6:$B$38,2,FALSE)</f>
        <v>-0.24093199744133265</v>
      </c>
      <c r="J829">
        <f>($B$1+Table4[[#This Row],[Home Differential]])-Table4[[#This Row],[Away Differential]]</f>
        <v>-8.9406837141820905E-2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0.52895808630556485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0.51050494674660429</v>
      </c>
      <c r="H830" t="s">
        <v>55</v>
      </c>
      <c r="I830">
        <f>VLOOKUP(Table4[[#This Row],[Visitor]],'NHL Model'!$A$6:$B$38,2,FALSE)</f>
        <v>-0.4031232890211825</v>
      </c>
      <c r="J830">
        <f>($B$1+Table4[[#This Row],[Home Differential]])-Table4[[#This Row],[Away Differential]]</f>
        <v>0.96352898469094916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0.6847522954438372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-0.21976976044773161</v>
      </c>
      <c r="H831" t="s">
        <v>29</v>
      </c>
      <c r="I831">
        <f>VLOOKUP(Table4[[#This Row],[Visitor]],'NHL Model'!$A$6:$B$38,2,FALSE)</f>
        <v>-1.384917283810061</v>
      </c>
      <c r="J831">
        <f>($B$1+Table4[[#This Row],[Home Differential]])-Table4[[#This Row],[Away Differential]]</f>
        <v>1.2150482722854918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0.7247763730260921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-0.87533956503230947</v>
      </c>
      <c r="H832" t="s">
        <v>13</v>
      </c>
      <c r="I832">
        <f>VLOOKUP(Table4[[#This Row],[Visitor]],'NHL Model'!$A$6:$B$38,2,FALSE)</f>
        <v>-0.33828359867721369</v>
      </c>
      <c r="J832">
        <f>($B$1+Table4[[#This Row],[Home Differential]])-Table4[[#This Row],[Away Differential]]</f>
        <v>-0.48715521743193335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0.5831983510067219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-0.39711829106410657</v>
      </c>
      <c r="H833" t="s">
        <v>55</v>
      </c>
      <c r="I833">
        <f>VLOOKUP(Table4[[#This Row],[Visitor]],'NHL Model'!$A$6:$B$38,2,FALSE)</f>
        <v>-0.4031232890211825</v>
      </c>
      <c r="J833">
        <f>($B$1+Table4[[#This Row],[Home Differential]])-Table4[[#This Row],[Away Differential]]</f>
        <v>5.5905746880238416E-2</v>
      </c>
      <c r="K833" t="str">
        <f>IF(Table4[[#This Row],[HomeIce Differential]]&gt;0,Table4[[#This Row],[Home]],Table4[[#This Row],[Visitor]])</f>
        <v>Florida Panthers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0.56054444155681793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-5.5124787449478845E-2</v>
      </c>
      <c r="H834" t="s">
        <v>10</v>
      </c>
      <c r="I834">
        <f>VLOOKUP(Table4[[#This Row],[Visitor]],'NHL Model'!$A$6:$B$38,2,FALSE)</f>
        <v>-0.17619625518431364</v>
      </c>
      <c r="J834">
        <f>($B$1+Table4[[#This Row],[Home Differential]])-Table4[[#This Row],[Away Differential]]</f>
        <v>0.17097221665799728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0.5599635296646438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-0.59288962827382519</v>
      </c>
      <c r="H835" t="s">
        <v>20</v>
      </c>
      <c r="I835">
        <f>VLOOKUP(Table4[[#This Row],[Visitor]],'NHL Model'!$A$6:$B$38,2,FALSE)</f>
        <v>-0.24444083032063643</v>
      </c>
      <c r="J835">
        <f>($B$1+Table4[[#This Row],[Home Differential]])-Table4[[#This Row],[Away Differential]]</f>
        <v>-0.2985480490300263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0.49485989097898075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1.5302507646042616E-3</v>
      </c>
      <c r="H836" t="s">
        <v>40</v>
      </c>
      <c r="I836">
        <f>VLOOKUP(Table4[[#This Row],[Visitor]],'NHL Model'!$A$6:$B$38,2,FALSE)</f>
        <v>-0.31324182378279158</v>
      </c>
      <c r="J836">
        <f>($B$1+Table4[[#This Row],[Home Differential]])-Table4[[#This Row],[Away Differential]]</f>
        <v>0.36467282347055829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0.64258093432693042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-0.64937723527808999</v>
      </c>
      <c r="H837" t="s">
        <v>22</v>
      </c>
      <c r="I837">
        <f>VLOOKUP(Table4[[#This Row],[Visitor]],'NHL Model'!$A$6:$B$38,2,FALSE)</f>
        <v>0.4407072328537569</v>
      </c>
      <c r="J837">
        <f>($B$1+Table4[[#This Row],[Home Differential]])-Table4[[#This Row],[Away Differential]]</f>
        <v>-1.0401837192086845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0.62396936404769199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-1.3944783719477225</v>
      </c>
      <c r="H838" t="s">
        <v>39</v>
      </c>
      <c r="I838">
        <f>VLOOKUP(Table4[[#This Row],[Visitor]],'NHL Model'!$A$6:$B$38,2,FALSE)</f>
        <v>0.41344250185511977</v>
      </c>
      <c r="J838">
        <f>($B$1+Table4[[#This Row],[Home Differential]])-Table4[[#This Row],[Away Differential]]</f>
        <v>-1.7580201248796798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0.76707254891390675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-0.63447859131898054</v>
      </c>
      <c r="H839" t="s">
        <v>23</v>
      </c>
      <c r="I839">
        <f>VLOOKUP(Table4[[#This Row],[Visitor]],'NHL Model'!$A$6:$B$38,2,FALSE)</f>
        <v>-0.4761104357405897</v>
      </c>
      <c r="J839">
        <f>($B$1+Table4[[#This Row],[Home Differential]])-Table4[[#This Row],[Away Differential]]</f>
        <v>-0.10846740665522842</v>
      </c>
      <c r="K839" t="str">
        <f>IF(Table4[[#This Row],[HomeIce Differential]]&gt;0,Table4[[#This Row],[Home]],Table4[[#This Row],[Visitor]])</f>
        <v>Buffalo Sabres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0.47266517059166496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-0.9476777551108041</v>
      </c>
      <c r="H840" t="s">
        <v>33</v>
      </c>
      <c r="I840">
        <f>VLOOKUP(Table4[[#This Row],[Visitor]],'NHL Model'!$A$6:$B$38,2,FALSE)</f>
        <v>-0.45133099238224339</v>
      </c>
      <c r="J840">
        <f>($B$1+Table4[[#This Row],[Home Differential]])-Table4[[#This Row],[Away Differential]]</f>
        <v>-0.44644601380539828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0.51212916118467577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-0.59498940435054026</v>
      </c>
      <c r="H841" t="s">
        <v>27</v>
      </c>
      <c r="I841">
        <f>VLOOKUP(Table4[[#This Row],[Visitor]],'NHL Model'!$A$6:$B$38,2,FALSE)</f>
        <v>-0.38023958350631604</v>
      </c>
      <c r="J841">
        <f>($B$1+Table4[[#This Row],[Home Differential]])-Table4[[#This Row],[Away Differential]]</f>
        <v>-0.1648490719210618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0.52176112495951044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-0.24093199744133265</v>
      </c>
      <c r="H842" t="s">
        <v>15</v>
      </c>
      <c r="I842">
        <f>VLOOKUP(Table4[[#This Row],[Visitor]],'NHL Model'!$A$6:$B$38,2,FALSE)</f>
        <v>-0.29003398448394263</v>
      </c>
      <c r="J842">
        <f>($B$1+Table4[[#This Row],[Home Differential]])-Table4[[#This Row],[Away Differential]]</f>
        <v>9.9002735965772443E-2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0.45147856420498927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-0.53137605086483863</v>
      </c>
      <c r="H843" t="s">
        <v>12</v>
      </c>
      <c r="I843">
        <f>VLOOKUP(Table4[[#This Row],[Visitor]],'NHL Model'!$A$6:$B$38,2,FALSE)</f>
        <v>1.6319036584269762</v>
      </c>
      <c r="J843">
        <f>($B$1+Table4[[#This Row],[Home Differential]])-Table4[[#This Row],[Away Differential]]</f>
        <v>-2.1133789603686521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0.77688866679805757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-0.21976976044773161</v>
      </c>
      <c r="H844" t="s">
        <v>27</v>
      </c>
      <c r="I844">
        <f>VLOOKUP(Table4[[#This Row],[Visitor]],'NHL Model'!$A$6:$B$38,2,FALSE)</f>
        <v>-0.38023958350631604</v>
      </c>
      <c r="J844">
        <f>($B$1+Table4[[#This Row],[Home Differential]])-Table4[[#This Row],[Away Differential]]</f>
        <v>0.21037057198174688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0.56554747568429253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-0.4761104357405897</v>
      </c>
      <c r="H845" t="s">
        <v>13</v>
      </c>
      <c r="I845">
        <f>VLOOKUP(Table4[[#This Row],[Visitor]],'NHL Model'!$A$6:$B$38,2,FALSE)</f>
        <v>-0.33828359867721369</v>
      </c>
      <c r="J845">
        <f>($B$1+Table4[[#This Row],[Home Differential]])-Table4[[#This Row],[Away Differential]]</f>
        <v>-8.7926088140213521E-2</v>
      </c>
      <c r="K845" t="str">
        <f>IF(Table4[[#This Row],[HomeIce Differential]]&gt;0,Table4[[#This Row],[Home]],Table4[[#This Row],[Visitor]])</f>
        <v>Los Angeles Kings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0.52639570074487763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0.42567513732855267</v>
      </c>
      <c r="H846" t="s">
        <v>55</v>
      </c>
      <c r="I846">
        <f>VLOOKUP(Table4[[#This Row],[Visitor]],'NHL Model'!$A$6:$B$38,2,FALSE)</f>
        <v>-0.4031232890211825</v>
      </c>
      <c r="J846">
        <f>($B$1+Table4[[#This Row],[Home Differential]])-Table4[[#This Row],[Away Differential]]</f>
        <v>0.87869917527289765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0.69431707371871232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-0.87533956503230947</v>
      </c>
      <c r="H847" t="s">
        <v>22</v>
      </c>
      <c r="I847">
        <f>VLOOKUP(Table4[[#This Row],[Visitor]],'NHL Model'!$A$6:$B$38,2,FALSE)</f>
        <v>0.4407072328537569</v>
      </c>
      <c r="J847">
        <f>($B$1+Table4[[#This Row],[Home Differential]])-Table4[[#This Row],[Away Differential]]</f>
        <v>-1.2661460489629039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0.65035380101246465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-0.81774666423752174</v>
      </c>
      <c r="H848" t="s">
        <v>33</v>
      </c>
      <c r="I848">
        <f>VLOOKUP(Table4[[#This Row],[Visitor]],'NHL Model'!$A$6:$B$38,2,FALSE)</f>
        <v>-0.45133099238224339</v>
      </c>
      <c r="J848">
        <f>($B$1+Table4[[#This Row],[Home Differential]])-Table4[[#This Row],[Away Differential]]</f>
        <v>-0.31651492293211592</v>
      </c>
      <c r="K848" t="str">
        <f>IF(Table4[[#This Row],[HomeIce Differential]]&gt;0,Table4[[#This Row],[Home]],Table4[[#This Row],[Visitor]])</f>
        <v>San Jose Sharks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0.48991183681922673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-5.5124787449478845E-2</v>
      </c>
      <c r="H849" t="s">
        <v>16</v>
      </c>
      <c r="I849">
        <f>VLOOKUP(Table4[[#This Row],[Visitor]],'NHL Model'!$A$6:$B$38,2,FALSE)</f>
        <v>-1.0657812790446208</v>
      </c>
      <c r="J849">
        <f>($B$1+Table4[[#This Row],[Home Differential]])-Table4[[#This Row],[Away Differential]]</f>
        <v>1.0605572405183044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0.66383571053823376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-0.59288962827382519</v>
      </c>
      <c r="H850" t="s">
        <v>12</v>
      </c>
      <c r="I850">
        <f>VLOOKUP(Table4[[#This Row],[Visitor]],'NHL Model'!$A$6:$B$38,2,FALSE)</f>
        <v>1.6319036584269762</v>
      </c>
      <c r="J850">
        <f>($B$1+Table4[[#This Row],[Home Differential]])-Table4[[#This Row],[Away Differential]]</f>
        <v>-2.1748925377776391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0.78657397201630874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1.5302507646042616E-3</v>
      </c>
      <c r="H851" t="s">
        <v>29</v>
      </c>
      <c r="I851">
        <f>VLOOKUP(Table4[[#This Row],[Visitor]],'NHL Model'!$A$6:$B$38,2,FALSE)</f>
        <v>-1.384917283810061</v>
      </c>
      <c r="J851">
        <f>($B$1+Table4[[#This Row],[Home Differential]])-Table4[[#This Row],[Away Differential]]</f>
        <v>1.4363482834978276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0.78754957182984597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-0.29003398448394263</v>
      </c>
      <c r="H852" t="s">
        <v>30</v>
      </c>
      <c r="I852">
        <f>VLOOKUP(Table4[[#This Row],[Visitor]],'NHL Model'!$A$6:$B$38,2,FALSE)</f>
        <v>-0.24093199744133265</v>
      </c>
      <c r="J852">
        <f>($B$1+Table4[[#This Row],[Home Differential]])-Table4[[#This Row],[Away Differential]]</f>
        <v>7.9876188055247321E-4</v>
      </c>
      <c r="K852" t="str">
        <f>IF(Table4[[#This Row],[HomeIce Differential]]&gt;0,Table4[[#This Row],[Home]],Table4[[#This Row],[Visitor]])</f>
        <v>New York Rangers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0.46747009813058232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-0.14226422156549004</v>
      </c>
      <c r="H853" t="s">
        <v>10</v>
      </c>
      <c r="I853">
        <f>VLOOKUP(Table4[[#This Row],[Visitor]],'NHL Model'!$A$6:$B$38,2,FALSE)</f>
        <v>-0.17619625518431364</v>
      </c>
      <c r="J853">
        <f>($B$1+Table4[[#This Row],[Home Differential]])-Table4[[#This Row],[Away Differential]]</f>
        <v>8.3832782541986062E-2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0.54978871464534118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-0.64937723527808999</v>
      </c>
      <c r="H854" t="s">
        <v>19</v>
      </c>
      <c r="I854">
        <f>VLOOKUP(Table4[[#This Row],[Visitor]],'NHL Model'!$A$6:$B$38,2,FALSE)</f>
        <v>-0.63447859131898054</v>
      </c>
      <c r="J854">
        <f>($B$1+Table4[[#This Row],[Home Differential]])-Table4[[#This Row],[Away Differential]]</f>
        <v>3.5002104964052982E-2</v>
      </c>
      <c r="K854" t="str">
        <f>IF(Table4[[#This Row],[HomeIce Differential]]&gt;0,Table4[[#This Row],[Home]],Table4[[#This Row],[Visitor]])</f>
        <v>Seattle Kraken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0.54408701234875267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-1.3944783719477225</v>
      </c>
      <c r="H855" t="s">
        <v>11</v>
      </c>
      <c r="I855">
        <f>VLOOKUP(Table4[[#This Row],[Visitor]],'NHL Model'!$A$6:$B$38,2,FALSE)</f>
        <v>-0.39711829106410657</v>
      </c>
      <c r="J855">
        <f>($B$1+Table4[[#This Row],[Home Differential]])-Table4[[#This Row],[Away Differential]]</f>
        <v>-0.94745933196045351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0.57062986050810705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0.51050494674660429</v>
      </c>
      <c r="H856" t="s">
        <v>40</v>
      </c>
      <c r="I856">
        <f>VLOOKUP(Table4[[#This Row],[Visitor]],'NHL Model'!$A$6:$B$38,2,FALSE)</f>
        <v>-0.31324182378279158</v>
      </c>
      <c r="J856">
        <f>($B$1+Table4[[#This Row],[Home Differential]])-Table4[[#This Row],[Away Differential]]</f>
        <v>0.87364751945255836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0.65373537994424258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-0.9476777551108041</v>
      </c>
      <c r="H857" t="s">
        <v>31</v>
      </c>
      <c r="I857">
        <f>VLOOKUP(Table4[[#This Row],[Visitor]],'NHL Model'!$A$6:$B$38,2,FALSE)</f>
        <v>0.17870302183926629</v>
      </c>
      <c r="J857">
        <f>($B$1+Table4[[#This Row],[Home Differential]])-Table4[[#This Row],[Away Differential]]</f>
        <v>-1.076480028026908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0.60646416175266515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-0.24444083032063643</v>
      </c>
      <c r="H858" t="s">
        <v>39</v>
      </c>
      <c r="I858">
        <f>VLOOKUP(Table4[[#This Row],[Visitor]],'NHL Model'!$A$6:$B$38,2,FALSE)</f>
        <v>0.41344250185511977</v>
      </c>
      <c r="J858">
        <f>($B$1+Table4[[#This Row],[Home Differential]])-Table4[[#This Row],[Away Differential]]</f>
        <v>-0.6079825832525938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0.63278869258623338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-0.17619625518431364</v>
      </c>
      <c r="H859" t="s">
        <v>28</v>
      </c>
      <c r="I859">
        <f>VLOOKUP(Table4[[#This Row],[Visitor]],'NHL Model'!$A$6:$B$38,2,FALSE)</f>
        <v>-0.59498940435054026</v>
      </c>
      <c r="J859">
        <f>($B$1+Table4[[#This Row],[Home Differential]])-Table4[[#This Row],[Away Differential]]</f>
        <v>0.4686938980893891</v>
      </c>
      <c r="K859" t="str">
        <f>IF(Table4[[#This Row],[HomeIce Differential]]&gt;0,Table4[[#This Row],[Home]],Table4[[#This Row],[Visitor]])</f>
        <v>Chicago Blackhawks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0.59115077108977121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-0.4761104357405897</v>
      </c>
      <c r="H860" t="s">
        <v>18</v>
      </c>
      <c r="I860">
        <f>VLOOKUP(Table4[[#This Row],[Visitor]],'NHL Model'!$A$6:$B$38,2,FALSE)</f>
        <v>-0.59288962827382519</v>
      </c>
      <c r="J860">
        <f>($B$1+Table4[[#This Row],[Home Differential]])-Table4[[#This Row],[Away Differential]]</f>
        <v>0.16667994145639797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0.51037143409448726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-1.0657812790446208</v>
      </c>
      <c r="H861" t="s">
        <v>33</v>
      </c>
      <c r="I861">
        <f>VLOOKUP(Table4[[#This Row],[Visitor]],'NHL Model'!$A$6:$B$38,2,FALSE)</f>
        <v>-0.45133099238224339</v>
      </c>
      <c r="J861">
        <f>($B$1+Table4[[#This Row],[Home Differential]])-Table4[[#This Row],[Away Differential]]</f>
        <v>-0.56454953773921501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0.52591949068755661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-0.87533956503230947</v>
      </c>
      <c r="H862" t="s">
        <v>12</v>
      </c>
      <c r="I862">
        <f>VLOOKUP(Table4[[#This Row],[Visitor]],'NHL Model'!$A$6:$B$38,2,FALSE)</f>
        <v>1.6319036584269762</v>
      </c>
      <c r="J862">
        <f>($B$1+Table4[[#This Row],[Home Differential]])-Table4[[#This Row],[Away Differential]]</f>
        <v>-2.457342474536123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0.81955417079640691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-0.81774666423752174</v>
      </c>
      <c r="H863" t="s">
        <v>34</v>
      </c>
      <c r="I863">
        <f>VLOOKUP(Table4[[#This Row],[Visitor]],'NHL Model'!$A$6:$B$38,2,FALSE)</f>
        <v>-5.5124787449478845E-2</v>
      </c>
      <c r="J863">
        <f>($B$1+Table4[[#This Row],[Home Differential]])-Table4[[#This Row],[Away Differential]]</f>
        <v>-0.71272112786488051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0.57863355472801747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-0.39711829106410657</v>
      </c>
      <c r="H864" t="s">
        <v>40</v>
      </c>
      <c r="I864">
        <f>VLOOKUP(Table4[[#This Row],[Visitor]],'NHL Model'!$A$6:$B$38,2,FALSE)</f>
        <v>-0.31324182378279158</v>
      </c>
      <c r="J864">
        <f>($B$1+Table4[[#This Row],[Home Differential]])-Table4[[#This Row],[Away Differential]]</f>
        <v>-3.3975718358152496E-2</v>
      </c>
      <c r="K864" t="str">
        <f>IF(Table4[[#This Row],[HomeIce Differential]]&gt;0,Table4[[#This Row],[Home]],Table4[[#This Row],[Visitor]])</f>
        <v>Winnipeg Jets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0.47063383323079527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-0.24093199744133265</v>
      </c>
      <c r="H865" t="s">
        <v>29</v>
      </c>
      <c r="I865">
        <f>VLOOKUP(Table4[[#This Row],[Visitor]],'NHL Model'!$A$6:$B$38,2,FALSE)</f>
        <v>-1.384917283810061</v>
      </c>
      <c r="J865">
        <f>($B$1+Table4[[#This Row],[Home Differential]])-Table4[[#This Row],[Away Differential]]</f>
        <v>1.1938860352918907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0.67940381512061765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-0.53137605086483863</v>
      </c>
      <c r="H866" t="s">
        <v>24</v>
      </c>
      <c r="I866">
        <f>VLOOKUP(Table4[[#This Row],[Visitor]],'NHL Model'!$A$6:$B$38,2,FALSE)</f>
        <v>1.5302507646042616E-3</v>
      </c>
      <c r="J866">
        <f>($B$1+Table4[[#This Row],[Home Differential]])-Table4[[#This Row],[Away Differential]]</f>
        <v>-0.48300555270628043</v>
      </c>
      <c r="K866" t="str">
        <f>IF(Table4[[#This Row],[HomeIce Differential]]&gt;0,Table4[[#This Row],[Home]],Table4[[#This Row],[Visitor]])</f>
        <v>New Jersey Devils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0.53465889649685494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-0.38023958350631604</v>
      </c>
      <c r="H867" t="s">
        <v>13</v>
      </c>
      <c r="I867">
        <f>VLOOKUP(Table4[[#This Row],[Visitor]],'NHL Model'!$A$6:$B$38,2,FALSE)</f>
        <v>-0.33828359867721369</v>
      </c>
      <c r="J867">
        <f>($B$1+Table4[[#This Row],[Home Differential]])-Table4[[#This Row],[Away Differential]]</f>
        <v>7.9447640940601416E-3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0.48873254651311138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-0.14226422156549004</v>
      </c>
      <c r="H868" t="s">
        <v>15</v>
      </c>
      <c r="I868">
        <f>VLOOKUP(Table4[[#This Row],[Visitor]],'NHL Model'!$A$6:$B$38,2,FALSE)</f>
        <v>-0.29003398448394263</v>
      </c>
      <c r="J868">
        <f>($B$1+Table4[[#This Row],[Home Differential]])-Table4[[#This Row],[Away Differential]]</f>
        <v>0.19767051184161505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0.46299948327093315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-1.3944783719477225</v>
      </c>
      <c r="H869" t="s">
        <v>28</v>
      </c>
      <c r="I869">
        <f>VLOOKUP(Table4[[#This Row],[Visitor]],'NHL Model'!$A$6:$B$38,2,FALSE)</f>
        <v>-0.59498940435054026</v>
      </c>
      <c r="J869">
        <f>($B$1+Table4[[#This Row],[Home Differential]])-Table4[[#This Row],[Away Differential]]</f>
        <v>-0.74958821867401981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0.55110164660311056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-0.4031232890211825</v>
      </c>
      <c r="H870" t="s">
        <v>39</v>
      </c>
      <c r="I870">
        <f>VLOOKUP(Table4[[#This Row],[Visitor]],'NHL Model'!$A$6:$B$38,2,FALSE)</f>
        <v>0.41344250185511977</v>
      </c>
      <c r="J870">
        <f>($B$1+Table4[[#This Row],[Home Differential]])-Table4[[#This Row],[Away Differential]]</f>
        <v>-0.76666504195313978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0.61057209039542149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-0.9476777551108041</v>
      </c>
      <c r="H871" t="s">
        <v>19</v>
      </c>
      <c r="I871">
        <f>VLOOKUP(Table4[[#This Row],[Visitor]],'NHL Model'!$A$6:$B$38,2,FALSE)</f>
        <v>-0.63447859131898054</v>
      </c>
      <c r="J871">
        <f>($B$1+Table4[[#This Row],[Home Differential]])-Table4[[#This Row],[Away Differential]]</f>
        <v>-0.26329841486866112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0.49074397594317171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-0.24444083032063643</v>
      </c>
      <c r="H872" t="s">
        <v>32</v>
      </c>
      <c r="I872">
        <f>VLOOKUP(Table4[[#This Row],[Visitor]],'NHL Model'!$A$6:$B$38,2,FALSE)</f>
        <v>-0.64937723527808999</v>
      </c>
      <c r="J872">
        <f>($B$1+Table4[[#This Row],[Home Differential]])-Table4[[#This Row],[Away Differential]]</f>
        <v>0.45483715388061602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0.59310895063284608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0.4407072328537569</v>
      </c>
      <c r="H873" t="s">
        <v>25</v>
      </c>
      <c r="I873">
        <f>VLOOKUP(Table4[[#This Row],[Visitor]],'NHL Model'!$A$6:$B$38,2,FALSE)</f>
        <v>0.42567513732855267</v>
      </c>
      <c r="J873">
        <f>($B$1+Table4[[#This Row],[Home Differential]])-Table4[[#This Row],[Away Differential]]</f>
        <v>6.4932844448366722E-2</v>
      </c>
      <c r="K873" t="str">
        <f>IF(Table4[[#This Row],[HomeIce Differential]]&gt;0,Table4[[#This Row],[Home]],Table4[[#This Row],[Visitor]])</f>
        <v>Washington Capitals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0.50125275400568248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0.17870302183926629</v>
      </c>
      <c r="H874" t="s">
        <v>20</v>
      </c>
      <c r="I874">
        <f>VLOOKUP(Table4[[#This Row],[Visitor]],'NHL Model'!$A$6:$B$38,2,FALSE)</f>
        <v>-0.24444083032063643</v>
      </c>
      <c r="J874">
        <f>($B$1+Table4[[#This Row],[Home Differential]])-Table4[[#This Row],[Away Differential]]</f>
        <v>0.47304460108306517</v>
      </c>
      <c r="K874" t="str">
        <f>IF(Table4[[#This Row],[HomeIce Differential]]&gt;0,Table4[[#This Row],[Home]],Table4[[#This Row],[Visitor]])</f>
        <v>Anaheim Ducks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0.67506964956027538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0.42567513732855267</v>
      </c>
      <c r="H875" t="s">
        <v>13</v>
      </c>
      <c r="I875">
        <f>VLOOKUP(Table4[[#This Row],[Visitor]],'NHL Model'!$A$6:$B$38,2,FALSE)</f>
        <v>-0.33828359867721369</v>
      </c>
      <c r="J875">
        <f>($B$1+Table4[[#This Row],[Home Differential]])-Table4[[#This Row],[Away Differential]]</f>
        <v>0.8138594849289289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0.62134589604784729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0.51050494674660429</v>
      </c>
      <c r="H876" t="s">
        <v>21</v>
      </c>
      <c r="I876">
        <f>VLOOKUP(Table4[[#This Row],[Visitor]],'NHL Model'!$A$6:$B$38,2,FALSE)</f>
        <v>-0.21976976044773161</v>
      </c>
      <c r="J876">
        <f>($B$1+Table4[[#This Row],[Home Differential]])-Table4[[#This Row],[Away Differential]]</f>
        <v>0.78017545611749828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0.66252557049821614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-1.0657812790446208</v>
      </c>
      <c r="H877" t="s">
        <v>19</v>
      </c>
      <c r="I877">
        <f>VLOOKUP(Table4[[#This Row],[Visitor]],'NHL Model'!$A$6:$B$38,2,FALSE)</f>
        <v>-0.63447859131898054</v>
      </c>
      <c r="J877">
        <f>($B$1+Table4[[#This Row],[Home Differential]])-Table4[[#This Row],[Away Differential]]</f>
        <v>-0.38140193880247786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0.5045343054460526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-0.17619625518431364</v>
      </c>
      <c r="H878" t="s">
        <v>33</v>
      </c>
      <c r="I878">
        <f>VLOOKUP(Table4[[#This Row],[Visitor]],'NHL Model'!$A$6:$B$38,2,FALSE)</f>
        <v>-0.45133099238224339</v>
      </c>
      <c r="J878">
        <f>($B$1+Table4[[#This Row],[Home Differential]])-Table4[[#This Row],[Away Differential]]</f>
        <v>0.32503548612109223</v>
      </c>
      <c r="K878" t="str">
        <f>IF(Table4[[#This Row],[HomeIce Differential]]&gt;0,Table4[[#This Row],[Home]],Table4[[#This Row],[Visitor]])</f>
        <v>Chicago Blackhawks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0.57795269018603335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1.6319036584269762</v>
      </c>
      <c r="H879" t="s">
        <v>26</v>
      </c>
      <c r="I879">
        <f>VLOOKUP(Table4[[#This Row],[Visitor]],'NHL Model'!$A$6:$B$38,2,FALSE)</f>
        <v>-0.87533956503230947</v>
      </c>
      <c r="J879">
        <f>($B$1+Table4[[#This Row],[Home Differential]])-Table4[[#This Row],[Away Differential]]</f>
        <v>2.5571439723824483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0.94291419643430685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0.41344250185511977</v>
      </c>
      <c r="H880" t="s">
        <v>40</v>
      </c>
      <c r="I880">
        <f>VLOOKUP(Table4[[#This Row],[Visitor]],'NHL Model'!$A$6:$B$38,2,FALSE)</f>
        <v>-0.31324182378279158</v>
      </c>
      <c r="J880">
        <f>($B$1+Table4[[#This Row],[Home Differential]])-Table4[[#This Row],[Away Differential]]</f>
        <v>0.77658507456107384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0.6424019069637168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-0.39711829106410657</v>
      </c>
      <c r="H881" t="s">
        <v>23</v>
      </c>
      <c r="I881">
        <f>VLOOKUP(Table4[[#This Row],[Visitor]],'NHL Model'!$A$6:$B$38,2,FALSE)</f>
        <v>-0.4761104357405897</v>
      </c>
      <c r="J881">
        <f>($B$1+Table4[[#This Row],[Home Differential]])-Table4[[#This Row],[Away Differential]]</f>
        <v>0.12889289359964562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0.56906676814971258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-5.5124787449478845E-2</v>
      </c>
      <c r="H882" t="s">
        <v>18</v>
      </c>
      <c r="I882">
        <f>VLOOKUP(Table4[[#This Row],[Visitor]],'NHL Model'!$A$6:$B$38,2,FALSE)</f>
        <v>-0.59288962827382519</v>
      </c>
      <c r="J882">
        <f>($B$1+Table4[[#This Row],[Home Differential]])-Table4[[#This Row],[Away Differential]]</f>
        <v>0.58766558974750882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0.54933079710020971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-1.384917283810061</v>
      </c>
      <c r="H883" t="s">
        <v>35</v>
      </c>
      <c r="I883">
        <f>VLOOKUP(Table4[[#This Row],[Visitor]],'NHL Model'!$A$6:$B$38,2,FALSE)</f>
        <v>-1.3944783719477225</v>
      </c>
      <c r="J883">
        <f>($B$1+Table4[[#This Row],[Home Differential]])-Table4[[#This Row],[Away Differential]]</f>
        <v>5.9461837060823974E-2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0.54694304707093155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-0.14226422156549004</v>
      </c>
      <c r="H884" t="s">
        <v>36</v>
      </c>
      <c r="I884">
        <f>VLOOKUP(Table4[[#This Row],[Visitor]],'NHL Model'!$A$6:$B$38,2,FALSE)</f>
        <v>-0.53137605086483863</v>
      </c>
      <c r="J884">
        <f>($B$1+Table4[[#This Row],[Home Differential]])-Table4[[#This Row],[Away Differential]]</f>
        <v>0.43901257822251105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0.59126119787069453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-0.4031232890211825</v>
      </c>
      <c r="H885" t="s">
        <v>38</v>
      </c>
      <c r="I885">
        <f>VLOOKUP(Table4[[#This Row],[Visitor]],'NHL Model'!$A$6:$B$38,2,FALSE)</f>
        <v>-0.9476777551108041</v>
      </c>
      <c r="J885">
        <f>($B$1+Table4[[#This Row],[Home Differential]])-Table4[[#This Row],[Away Differential]]</f>
        <v>0.59445521501278409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0.64633449680861776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0.4407072328537569</v>
      </c>
      <c r="H886" t="s">
        <v>30</v>
      </c>
      <c r="I886">
        <f>VLOOKUP(Table4[[#This Row],[Visitor]],'NHL Model'!$A$6:$B$38,2,FALSE)</f>
        <v>-0.24093199744133265</v>
      </c>
      <c r="J886">
        <f>($B$1+Table4[[#This Row],[Home Differential]])-Table4[[#This Row],[Away Differential]]</f>
        <v>0.73153997921825198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0.57908897540919857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0.17870302183926629</v>
      </c>
      <c r="H887" t="s">
        <v>32</v>
      </c>
      <c r="I887">
        <f>VLOOKUP(Table4[[#This Row],[Visitor]],'NHL Model'!$A$6:$B$38,2,FALSE)</f>
        <v>-0.64937723527808999</v>
      </c>
      <c r="J887">
        <f>($B$1+Table4[[#This Row],[Home Differential]])-Table4[[#This Row],[Away Differential]]</f>
        <v>0.87798100604051876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0.72235195127385143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0.42567513732855267</v>
      </c>
      <c r="H888" t="s">
        <v>36</v>
      </c>
      <c r="I888">
        <f>VLOOKUP(Table4[[#This Row],[Visitor]],'NHL Model'!$A$6:$B$38,2,FALSE)</f>
        <v>-0.53137605086483863</v>
      </c>
      <c r="J888">
        <f>($B$1+Table4[[#This Row],[Home Differential]])-Table4[[#This Row],[Away Differential]]</f>
        <v>1.0069519371165538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0.70929247653962768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-0.81774666423752174</v>
      </c>
      <c r="H889" t="s">
        <v>19</v>
      </c>
      <c r="I889">
        <f>VLOOKUP(Table4[[#This Row],[Visitor]],'NHL Model'!$A$6:$B$38,2,FALSE)</f>
        <v>-0.63447859131898054</v>
      </c>
      <c r="J889">
        <f>($B$1+Table4[[#This Row],[Home Differential]])-Table4[[#This Row],[Away Differential]]</f>
        <v>-0.13336732399537876</v>
      </c>
      <c r="K889" t="str">
        <f>IF(Table4[[#This Row],[HomeIce Differential]]&gt;0,Table4[[#This Row],[Home]],Table4[[#This Row],[Visitor]])</f>
        <v>Toronto Maple Leafs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0.46852665157772266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1.5302507646042616E-3</v>
      </c>
      <c r="H890" t="s">
        <v>28</v>
      </c>
      <c r="I890">
        <f>VLOOKUP(Table4[[#This Row],[Visitor]],'NHL Model'!$A$6:$B$38,2,FALSE)</f>
        <v>-0.59498940435054026</v>
      </c>
      <c r="J890">
        <f>($B$1+Table4[[#This Row],[Home Differential]])-Table4[[#This Row],[Away Differential]]</f>
        <v>0.64642040403830703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0.69191747882010612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-0.24093199744133265</v>
      </c>
      <c r="H891" t="s">
        <v>14</v>
      </c>
      <c r="I891">
        <f>VLOOKUP(Table4[[#This Row],[Visitor]],'NHL Model'!$A$6:$B$38,2,FALSE)</f>
        <v>-0.14226422156549004</v>
      </c>
      <c r="J891">
        <f>($B$1+Table4[[#This Row],[Home Differential]])-Table4[[#This Row],[Away Differential]]</f>
        <v>-4.8767026952680148E-2</v>
      </c>
      <c r="K891" t="str">
        <f>IF(Table4[[#This Row],[HomeIce Differential]]&gt;0,Table4[[#This Row],[Home]],Table4[[#This Row],[Visitor]])</f>
        <v>Pittsburgh Penguins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0.50498100338490515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-0.38023958350631604</v>
      </c>
      <c r="H892" t="s">
        <v>22</v>
      </c>
      <c r="I892">
        <f>VLOOKUP(Table4[[#This Row],[Visitor]],'NHL Model'!$A$6:$B$38,2,FALSE)</f>
        <v>0.4407072328537569</v>
      </c>
      <c r="J892">
        <f>($B$1+Table4[[#This Row],[Home Differential]])-Table4[[#This Row],[Away Differential]]</f>
        <v>-0.7710460674369104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0.57840310122428151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0.51050494674660429</v>
      </c>
      <c r="H893" t="s">
        <v>23</v>
      </c>
      <c r="I893">
        <f>VLOOKUP(Table4[[#This Row],[Visitor]],'NHL Model'!$A$6:$B$38,2,FALSE)</f>
        <v>-0.4761104357405897</v>
      </c>
      <c r="J893">
        <f>($B$1+Table4[[#This Row],[Home Differential]])-Table4[[#This Row],[Away Differential]]</f>
        <v>1.0365161314103564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0.69327462203673185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-0.59498940435054026</v>
      </c>
      <c r="H894" t="s">
        <v>10</v>
      </c>
      <c r="I894">
        <f>VLOOKUP(Table4[[#This Row],[Visitor]],'NHL Model'!$A$6:$B$38,2,FALSE)</f>
        <v>-0.17619625518431364</v>
      </c>
      <c r="J894">
        <f>($B$1+Table4[[#This Row],[Home Differential]])-Table4[[#This Row],[Away Differential]]</f>
        <v>-0.36889240024306419</v>
      </c>
      <c r="K894" t="str">
        <f>IF(Table4[[#This Row],[HomeIce Differential]]&gt;0,Table4[[#This Row],[Home]],Table4[[#This Row],[Visitor]])</f>
        <v>Chicago Blackhawks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0.50307363219162893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-1.0657812790446208</v>
      </c>
      <c r="H895" t="s">
        <v>17</v>
      </c>
      <c r="I895">
        <f>VLOOKUP(Table4[[#This Row],[Visitor]],'NHL Model'!$A$6:$B$38,2,FALSE)</f>
        <v>-0.81774666423752174</v>
      </c>
      <c r="J895">
        <f>($B$1+Table4[[#This Row],[Home Differential]])-Table4[[#This Row],[Away Differential]]</f>
        <v>-0.19813386588393667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0.48313505308910382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1.6319036584269762</v>
      </c>
      <c r="H896" t="s">
        <v>33</v>
      </c>
      <c r="I896">
        <f>VLOOKUP(Table4[[#This Row],[Visitor]],'NHL Model'!$A$6:$B$38,2,FALSE)</f>
        <v>-0.45133099238224339</v>
      </c>
      <c r="J896">
        <f>($B$1+Table4[[#This Row],[Home Differential]])-Table4[[#This Row],[Away Differential]]</f>
        <v>2.1331353997323821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0.89340493765751294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0.41344250185511977</v>
      </c>
      <c r="H897" t="s">
        <v>35</v>
      </c>
      <c r="I897">
        <f>VLOOKUP(Table4[[#This Row],[Visitor]],'NHL Model'!$A$6:$B$38,2,FALSE)</f>
        <v>-1.3944783719477225</v>
      </c>
      <c r="J897">
        <f>($B$1+Table4[[#This Row],[Home Differential]])-Table4[[#This Row],[Away Differential]]</f>
        <v>1.8578216227260047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0.78917415975175542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-0.39711829106410657</v>
      </c>
      <c r="H898" t="s">
        <v>21</v>
      </c>
      <c r="I898">
        <f>VLOOKUP(Table4[[#This Row],[Visitor]],'NHL Model'!$A$6:$B$38,2,FALSE)</f>
        <v>-0.21976976044773161</v>
      </c>
      <c r="J898">
        <f>($B$1+Table4[[#This Row],[Home Differential]])-Table4[[#This Row],[Away Differential]]</f>
        <v>-0.12744778169321247</v>
      </c>
      <c r="K898" t="str">
        <f>IF(Table4[[#This Row],[HomeIce Differential]]&gt;0,Table4[[#This Row],[Home]],Table4[[#This Row],[Visitor]])</f>
        <v>Boston Bruins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0.46168992014598992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-0.33828359867721369</v>
      </c>
      <c r="H899" t="s">
        <v>32</v>
      </c>
      <c r="I899">
        <f>VLOOKUP(Table4[[#This Row],[Visitor]],'NHL Model'!$A$6:$B$38,2,FALSE)</f>
        <v>-0.64937723527808999</v>
      </c>
      <c r="J899">
        <f>($B$1+Table4[[#This Row],[Home Differential]])-Table4[[#This Row],[Away Differential]]</f>
        <v>0.36099438552403879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0.58215142240680495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-1.384917283810061</v>
      </c>
      <c r="H900" t="s">
        <v>34</v>
      </c>
      <c r="I900">
        <f>VLOOKUP(Table4[[#This Row],[Visitor]],'NHL Model'!$A$6:$B$38,2,FALSE)</f>
        <v>-5.5124787449478845E-2</v>
      </c>
      <c r="J900">
        <f>($B$1+Table4[[#This Row],[Home Differential]])-Table4[[#This Row],[Away Differential]]</f>
        <v>-1.2798917474374196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0.65195881418139467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-0.4031232890211825</v>
      </c>
      <c r="H901" t="s">
        <v>26</v>
      </c>
      <c r="I901">
        <f>VLOOKUP(Table4[[#This Row],[Visitor]],'NHL Model'!$A$6:$B$38,2,FALSE)</f>
        <v>-0.87533956503230947</v>
      </c>
      <c r="J901">
        <f>($B$1+Table4[[#This Row],[Home Differential]])-Table4[[#This Row],[Away Differential]]</f>
        <v>0.52211702493428946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0.64139604600449196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-0.24444083032063643</v>
      </c>
      <c r="H902" t="s">
        <v>38</v>
      </c>
      <c r="I902">
        <f>VLOOKUP(Table4[[#This Row],[Visitor]],'NHL Model'!$A$6:$B$38,2,FALSE)</f>
        <v>-0.9476777551108041</v>
      </c>
      <c r="J902">
        <f>($B$1+Table4[[#This Row],[Home Differential]])-Table4[[#This Row],[Away Differential]]</f>
        <v>0.75313767371333018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0.62436377998437298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-0.31324182378279158</v>
      </c>
      <c r="H903" t="s">
        <v>18</v>
      </c>
      <c r="I903">
        <f>VLOOKUP(Table4[[#This Row],[Visitor]],'NHL Model'!$A$6:$B$38,2,FALSE)</f>
        <v>-0.59288962827382519</v>
      </c>
      <c r="J903">
        <f>($B$1+Table4[[#This Row],[Home Differential]])-Table4[[#This Row],[Away Differential]]</f>
        <v>0.32954855341419609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0.52170113391068962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-0.4761104357405897</v>
      </c>
      <c r="H904" t="s">
        <v>14</v>
      </c>
      <c r="I904">
        <f>VLOOKUP(Table4[[#This Row],[Visitor]],'NHL Model'!$A$6:$B$38,2,FALSE)</f>
        <v>-0.14226422156549004</v>
      </c>
      <c r="J904">
        <f>($B$1+Table4[[#This Row],[Home Differential]])-Table4[[#This Row],[Away Differential]]</f>
        <v>-0.2839454652519372</v>
      </c>
      <c r="K904" t="str">
        <f>IF(Table4[[#This Row],[HomeIce Differential]]&gt;0,Table4[[#This Row],[Home]],Table4[[#This Row],[Visitor]])</f>
        <v>Pittsburgh Penguins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0.52223779323644848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1.5302507646042616E-3</v>
      </c>
      <c r="H905" t="s">
        <v>30</v>
      </c>
      <c r="I905">
        <f>VLOOKUP(Table4[[#This Row],[Visitor]],'NHL Model'!$A$6:$B$38,2,FALSE)</f>
        <v>-0.24093199744133265</v>
      </c>
      <c r="J905">
        <f>($B$1+Table4[[#This Row],[Home Differential]])-Table4[[#This Row],[Away Differential]]</f>
        <v>0.29236299712909936</v>
      </c>
      <c r="K905" t="str">
        <f>IF(Table4[[#This Row],[HomeIce Differential]]&gt;0,Table4[[#This Row],[Home]],Table4[[#This Row],[Visitor]])</f>
        <v>New Jersey Devils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0.58343346953258379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-0.29003398448394263</v>
      </c>
      <c r="H906" t="s">
        <v>25</v>
      </c>
      <c r="I906">
        <f>VLOOKUP(Table4[[#This Row],[Visitor]],'NHL Model'!$A$6:$B$38,2,FALSE)</f>
        <v>0.42567513732855267</v>
      </c>
      <c r="J906">
        <f>($B$1+Table4[[#This Row],[Home Differential]])-Table4[[#This Row],[Away Differential]]</f>
        <v>-0.66580837288933281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0.61036612327293382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-0.38023958350631604</v>
      </c>
      <c r="H907" t="s">
        <v>36</v>
      </c>
      <c r="I907">
        <f>VLOOKUP(Table4[[#This Row],[Visitor]],'NHL Model'!$A$6:$B$38,2,FALSE)</f>
        <v>-0.53137605086483863</v>
      </c>
      <c r="J907">
        <f>($B$1+Table4[[#This Row],[Home Differential]])-Table4[[#This Row],[Away Differential]]</f>
        <v>0.20103721628168508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0.5774906825970495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0.51050494674660429</v>
      </c>
      <c r="H908" t="s">
        <v>11</v>
      </c>
      <c r="I908">
        <f>VLOOKUP(Table4[[#This Row],[Visitor]],'NHL Model'!$A$6:$B$38,2,FALSE)</f>
        <v>-0.39711829106410657</v>
      </c>
      <c r="J908">
        <f>($B$1+Table4[[#This Row],[Home Differential]])-Table4[[#This Row],[Away Differential]]</f>
        <v>0.95752398673387329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0.68405112330490425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-0.24444083032063643</v>
      </c>
      <c r="H909" t="s">
        <v>13</v>
      </c>
      <c r="I909">
        <f>VLOOKUP(Table4[[#This Row],[Visitor]],'NHL Model'!$A$6:$B$38,2,FALSE)</f>
        <v>-0.33828359867721369</v>
      </c>
      <c r="J909">
        <f>($B$1+Table4[[#This Row],[Home Differential]])-Table4[[#This Row],[Away Differential]]</f>
        <v>0.14374351727973972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0.49046838767162676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0.4407072328537569</v>
      </c>
      <c r="H910" t="s">
        <v>29</v>
      </c>
      <c r="I910">
        <f>VLOOKUP(Table4[[#This Row],[Visitor]],'NHL Model'!$A$6:$B$38,2,FALSE)</f>
        <v>-1.384917283810061</v>
      </c>
      <c r="J910">
        <f>($B$1+Table4[[#This Row],[Home Differential]])-Table4[[#This Row],[Away Differential]]</f>
        <v>1.8755252655869803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0.78503299138365357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0.17870302183926629</v>
      </c>
      <c r="H911" t="s">
        <v>17</v>
      </c>
      <c r="I911">
        <f>VLOOKUP(Table4[[#This Row],[Visitor]],'NHL Model'!$A$6:$B$38,2,FALSE)</f>
        <v>-0.81774666423752174</v>
      </c>
      <c r="J911">
        <f>($B$1+Table4[[#This Row],[Home Differential]])-Table4[[#This Row],[Away Differential]]</f>
        <v>1.0463504349999504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0.74201156706028293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0.41344250185511977</v>
      </c>
      <c r="H912" t="s">
        <v>32</v>
      </c>
      <c r="I912">
        <f>VLOOKUP(Table4[[#This Row],[Visitor]],'NHL Model'!$A$6:$B$38,2,FALSE)</f>
        <v>-0.64937723527808999</v>
      </c>
      <c r="J912">
        <f>($B$1+Table4[[#This Row],[Home Differential]])-Table4[[#This Row],[Away Differential]]</f>
        <v>1.1127204860563722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0.70217260513765822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-0.33828359867721369</v>
      </c>
      <c r="H913" t="s">
        <v>20</v>
      </c>
      <c r="I913">
        <f>VLOOKUP(Table4[[#This Row],[Visitor]],'NHL Model'!$A$6:$B$38,2,FALSE)</f>
        <v>-0.24444083032063643</v>
      </c>
      <c r="J913">
        <f>($B$1+Table4[[#This Row],[Home Differential]])-Table4[[#This Row],[Away Differential]]</f>
        <v>-4.3942019433414775E-2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0.46513087930677127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1.5302507646042616E-3</v>
      </c>
      <c r="H914" t="s">
        <v>23</v>
      </c>
      <c r="I914">
        <f>VLOOKUP(Table4[[#This Row],[Visitor]],'NHL Model'!$A$6:$B$38,2,FALSE)</f>
        <v>-0.4761104357405897</v>
      </c>
      <c r="J914">
        <f>($B$1+Table4[[#This Row],[Home Differential]])-Table4[[#This Row],[Away Differential]]</f>
        <v>0.52754143542835641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0.68143295928595826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0.51050494674660429</v>
      </c>
      <c r="H915" t="s">
        <v>19</v>
      </c>
      <c r="I915">
        <f>VLOOKUP(Table4[[#This Row],[Visitor]],'NHL Model'!$A$6:$B$38,2,FALSE)</f>
        <v>-0.63447859131898054</v>
      </c>
      <c r="J915">
        <f>($B$1+Table4[[#This Row],[Home Differential]])-Table4[[#This Row],[Away Differential]]</f>
        <v>1.1948842869887473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0.71176644154766677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-0.4031232890211825</v>
      </c>
      <c r="H916" t="s">
        <v>12</v>
      </c>
      <c r="I916">
        <f>VLOOKUP(Table4[[#This Row],[Visitor]],'NHL Model'!$A$6:$B$38,2,FALSE)</f>
        <v>1.6319036584269762</v>
      </c>
      <c r="J916">
        <f>($B$1+Table4[[#This Row],[Home Differential]])-Table4[[#This Row],[Away Differential]]</f>
        <v>-1.9851261985249962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0.72341289378127493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-0.9476777551108041</v>
      </c>
      <c r="H917" t="s">
        <v>40</v>
      </c>
      <c r="I917">
        <f>VLOOKUP(Table4[[#This Row],[Visitor]],'NHL Model'!$A$6:$B$38,2,FALSE)</f>
        <v>-0.31324182378279158</v>
      </c>
      <c r="J917">
        <f>($B$1+Table4[[#This Row],[Home Differential]])-Table4[[#This Row],[Away Differential]]</f>
        <v>-0.58453518240485014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0.54902234043856335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0.4407072328537569</v>
      </c>
      <c r="H918" t="s">
        <v>27</v>
      </c>
      <c r="I918">
        <f>VLOOKUP(Table4[[#This Row],[Visitor]],'NHL Model'!$A$6:$B$38,2,FALSE)</f>
        <v>-0.38023958350631604</v>
      </c>
      <c r="J918">
        <f>($B$1+Table4[[#This Row],[Home Differential]])-Table4[[#This Row],[Away Differential]]</f>
        <v>0.87084756528323548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0.62549382984908919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-0.21976976044773161</v>
      </c>
      <c r="H919" t="s">
        <v>28</v>
      </c>
      <c r="I919">
        <f>VLOOKUP(Table4[[#This Row],[Visitor]],'NHL Model'!$A$6:$B$38,2,FALSE)</f>
        <v>-0.59498940435054026</v>
      </c>
      <c r="J919">
        <f>($B$1+Table4[[#This Row],[Home Differential]])-Table4[[#This Row],[Away Differential]]</f>
        <v>0.42512039282597114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0.62903822182252678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0.42567513732855267</v>
      </c>
      <c r="H920" t="s">
        <v>37</v>
      </c>
      <c r="I920">
        <f>VLOOKUP(Table4[[#This Row],[Visitor]],'NHL Model'!$A$6:$B$38,2,FALSE)</f>
        <v>0.51050494674660429</v>
      </c>
      <c r="J920">
        <f>($B$1+Table4[[#This Row],[Home Differential]])-Table4[[#This Row],[Away Differential]]</f>
        <v>-3.4929060494889141E-2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0.50407848332891836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1.6319036584269762</v>
      </c>
      <c r="H921" t="s">
        <v>34</v>
      </c>
      <c r="I921">
        <f>VLOOKUP(Table4[[#This Row],[Visitor]],'NHL Model'!$A$6:$B$38,2,FALSE)</f>
        <v>-5.5124787449478845E-2</v>
      </c>
      <c r="J921">
        <f>($B$1+Table4[[#This Row],[Home Differential]])-Table4[[#This Row],[Away Differential]]</f>
        <v>1.7369291947996175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0.80720772313376354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-0.39711829106410657</v>
      </c>
      <c r="H922" t="s">
        <v>19</v>
      </c>
      <c r="I922">
        <f>VLOOKUP(Table4[[#This Row],[Visitor]],'NHL Model'!$A$6:$B$38,2,FALSE)</f>
        <v>-0.63447859131898054</v>
      </c>
      <c r="J922">
        <f>($B$1+Table4[[#This Row],[Home Differential]])-Table4[[#This Row],[Away Differential]]</f>
        <v>0.28726104917803646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0.58755858766064739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-0.33828359867721369</v>
      </c>
      <c r="H923" t="s">
        <v>17</v>
      </c>
      <c r="I923">
        <f>VLOOKUP(Table4[[#This Row],[Visitor]],'NHL Model'!$A$6:$B$38,2,FALSE)</f>
        <v>-0.81774666423752174</v>
      </c>
      <c r="J923">
        <f>($B$1+Table4[[#This Row],[Home Differential]])-Table4[[#This Row],[Away Differential]]</f>
        <v>0.52936381448347047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0.60181103819323645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-0.59288962827382519</v>
      </c>
      <c r="H924" t="s">
        <v>30</v>
      </c>
      <c r="I924">
        <f>VLOOKUP(Table4[[#This Row],[Visitor]],'NHL Model'!$A$6:$B$38,2,FALSE)</f>
        <v>-0.24093199744133265</v>
      </c>
      <c r="J924">
        <f>($B$1+Table4[[#This Row],[Home Differential]])-Table4[[#This Row],[Away Differential]]</f>
        <v>-0.30205688190933011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0.56789276811217293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-1.384917283810061</v>
      </c>
      <c r="H925" t="s">
        <v>10</v>
      </c>
      <c r="I925">
        <f>VLOOKUP(Table4[[#This Row],[Visitor]],'NHL Model'!$A$6:$B$38,2,FALSE)</f>
        <v>-0.17619625518431364</v>
      </c>
      <c r="J925">
        <f>($B$1+Table4[[#This Row],[Home Differential]])-Table4[[#This Row],[Away Differential]]</f>
        <v>-1.1588202797025848</v>
      </c>
      <c r="K925" t="str">
        <f>IF(Table4[[#This Row],[HomeIce Differential]]&gt;0,Table4[[#This Row],[Home]],Table4[[#This Row],[Visitor]])</f>
        <v>Chicago Blackhawks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0.59530937062195044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-0.29003398448394263</v>
      </c>
      <c r="H926" t="s">
        <v>27</v>
      </c>
      <c r="I926">
        <f>VLOOKUP(Table4[[#This Row],[Visitor]],'NHL Model'!$A$6:$B$38,2,FALSE)</f>
        <v>-0.38023958350631604</v>
      </c>
      <c r="J926">
        <f>($B$1+Table4[[#This Row],[Home Differential]])-Table4[[#This Row],[Away Differential]]</f>
        <v>0.14010634794553586</v>
      </c>
      <c r="K926" t="str">
        <f>IF(Table4[[#This Row],[HomeIce Differential]]&gt;0,Table4[[#This Row],[Home]],Table4[[#This Row],[Visitor]])</f>
        <v>New York Rangers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0.51384692113068431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-0.53137605086483863</v>
      </c>
      <c r="H927" t="s">
        <v>26</v>
      </c>
      <c r="I927">
        <f>VLOOKUP(Table4[[#This Row],[Visitor]],'NHL Model'!$A$6:$B$38,2,FALSE)</f>
        <v>-0.87533956503230947</v>
      </c>
      <c r="J927">
        <f>($B$1+Table4[[#This Row],[Home Differential]])-Table4[[#This Row],[Away Differential]]</f>
        <v>0.39386426309063333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0.5884849449418138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-0.14226422156549004</v>
      </c>
      <c r="H928" t="s">
        <v>24</v>
      </c>
      <c r="I928">
        <f>VLOOKUP(Table4[[#This Row],[Visitor]],'NHL Model'!$A$6:$B$38,2,FALSE)</f>
        <v>1.5302507646042616E-3</v>
      </c>
      <c r="J928">
        <f>($B$1+Table4[[#This Row],[Home Differential]])-Table4[[#This Row],[Away Differential]]</f>
        <v>-9.3893723406931848E-2</v>
      </c>
      <c r="K928" t="str">
        <f>IF(Table4[[#This Row],[HomeIce Differential]]&gt;0,Table4[[#This Row],[Home]],Table4[[#This Row],[Visitor]])</f>
        <v>New Jersey Devils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0.49173270874944364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-0.45133099238224339</v>
      </c>
      <c r="H929" t="s">
        <v>16</v>
      </c>
      <c r="I929">
        <f>VLOOKUP(Table4[[#This Row],[Visitor]],'NHL Model'!$A$6:$B$38,2,FALSE)</f>
        <v>-1.0657812790446208</v>
      </c>
      <c r="J929">
        <f>($B$1+Table4[[#This Row],[Home Differential]])-Table4[[#This Row],[Away Differential]]</f>
        <v>0.66435103558553998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0.62769503791484937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-1.3944783719477225</v>
      </c>
      <c r="H930" t="s">
        <v>32</v>
      </c>
      <c r="I930">
        <f>VLOOKUP(Table4[[#This Row],[Visitor]],'NHL Model'!$A$6:$B$38,2,FALSE)</f>
        <v>-0.64937723527808999</v>
      </c>
      <c r="J930">
        <f>($B$1+Table4[[#This Row],[Home Differential]])-Table4[[#This Row],[Away Differential]]</f>
        <v>-0.69520038774647008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0.5411749056948274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0.17870302183926629</v>
      </c>
      <c r="H931" t="s">
        <v>40</v>
      </c>
      <c r="I931">
        <f>VLOOKUP(Table4[[#This Row],[Visitor]],'NHL Model'!$A$6:$B$38,2,FALSE)</f>
        <v>-0.31324182378279158</v>
      </c>
      <c r="J931">
        <f>($B$1+Table4[[#This Row],[Home Differential]])-Table4[[#This Row],[Away Differential]]</f>
        <v>0.5418455945452203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0.66326847023337154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-0.39711829106410657</v>
      </c>
      <c r="H932" t="s">
        <v>23</v>
      </c>
      <c r="I932">
        <f>VLOOKUP(Table4[[#This Row],[Visitor]],'NHL Model'!$A$6:$B$38,2,FALSE)</f>
        <v>-0.4761104357405897</v>
      </c>
      <c r="J932">
        <f>($B$1+Table4[[#This Row],[Home Differential]])-Table4[[#This Row],[Away Differential]]</f>
        <v>0.12889289359964562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0.56906676814971258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-0.4031232890211825</v>
      </c>
      <c r="H933" t="s">
        <v>34</v>
      </c>
      <c r="I933">
        <f>VLOOKUP(Table4[[#This Row],[Visitor]],'NHL Model'!$A$6:$B$38,2,FALSE)</f>
        <v>-5.5124787449478845E-2</v>
      </c>
      <c r="J933">
        <f>($B$1+Table4[[#This Row],[Home Differential]])-Table4[[#This Row],[Away Differential]]</f>
        <v>-0.29809775264854116</v>
      </c>
      <c r="K933" t="str">
        <f>IF(Table4[[#This Row],[HomeIce Differential]]&gt;0,Table4[[#This Row],[Home]],Table4[[#This Row],[Visitor]])</f>
        <v>Minnesota Wild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0.49634577376900363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0.4407072328537569</v>
      </c>
      <c r="H934" t="s">
        <v>20</v>
      </c>
      <c r="I934">
        <f>VLOOKUP(Table4[[#This Row],[Visitor]],'NHL Model'!$A$6:$B$38,2,FALSE)</f>
        <v>-0.24444083032063643</v>
      </c>
      <c r="J934">
        <f>($B$1+Table4[[#This Row],[Home Differential]])-Table4[[#This Row],[Away Differential]]</f>
        <v>0.73504881209755579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0.65186553320764185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0.42567513732855267</v>
      </c>
      <c r="H935" t="s">
        <v>26</v>
      </c>
      <c r="I935">
        <f>VLOOKUP(Table4[[#This Row],[Visitor]],'NHL Model'!$A$6:$B$38,2,FALSE)</f>
        <v>-0.87533956503230947</v>
      </c>
      <c r="J935">
        <f>($B$1+Table4[[#This Row],[Home Differential]])-Table4[[#This Row],[Away Differential]]</f>
        <v>1.3509154512840247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0.74945529335783156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-0.59498940435054026</v>
      </c>
      <c r="H936" t="s">
        <v>30</v>
      </c>
      <c r="I936">
        <f>VLOOKUP(Table4[[#This Row],[Visitor]],'NHL Model'!$A$6:$B$38,2,FALSE)</f>
        <v>-0.24093199744133265</v>
      </c>
      <c r="J936">
        <f>($B$1+Table4[[#This Row],[Home Differential]])-Table4[[#This Row],[Away Differential]]</f>
        <v>-0.30415665798604519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0.56813794795961248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1.6319036584269762</v>
      </c>
      <c r="H937" t="s">
        <v>10</v>
      </c>
      <c r="I937">
        <f>VLOOKUP(Table4[[#This Row],[Visitor]],'NHL Model'!$A$6:$B$38,2,FALSE)</f>
        <v>-0.17619625518431364</v>
      </c>
      <c r="J937">
        <f>($B$1+Table4[[#This Row],[Home Differential]])-Table4[[#This Row],[Away Differential]]</f>
        <v>1.8580006625344523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0.8612788963907495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0.41344250185511977</v>
      </c>
      <c r="H938" t="s">
        <v>29</v>
      </c>
      <c r="I938">
        <f>VLOOKUP(Table4[[#This Row],[Visitor]],'NHL Model'!$A$6:$B$38,2,FALSE)</f>
        <v>-1.384917283810061</v>
      </c>
      <c r="J938">
        <f>($B$1+Table4[[#This Row],[Home Differential]])-Table4[[#This Row],[Away Differential]]</f>
        <v>1.8482605345883432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0.78805776160009378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-0.33828359867721369</v>
      </c>
      <c r="H939" t="s">
        <v>16</v>
      </c>
      <c r="I939">
        <f>VLOOKUP(Table4[[#This Row],[Visitor]],'NHL Model'!$A$6:$B$38,2,FALSE)</f>
        <v>-1.0657812790446208</v>
      </c>
      <c r="J939">
        <f>($B$1+Table4[[#This Row],[Home Differential]])-Table4[[#This Row],[Away Differential]]</f>
        <v>0.77739842929056957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0.63077274020161012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-0.59288962827382519</v>
      </c>
      <c r="H940" t="s">
        <v>22</v>
      </c>
      <c r="I940">
        <f>VLOOKUP(Table4[[#This Row],[Visitor]],'NHL Model'!$A$6:$B$38,2,FALSE)</f>
        <v>0.4407072328537569</v>
      </c>
      <c r="J940">
        <f>($B$1+Table4[[#This Row],[Home Differential]])-Table4[[#This Row],[Away Differential]]</f>
        <v>-0.98369611220441966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0.61737360223236648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-0.29003398448394263</v>
      </c>
      <c r="H941" t="s">
        <v>14</v>
      </c>
      <c r="I941">
        <f>VLOOKUP(Table4[[#This Row],[Visitor]],'NHL Model'!$A$6:$B$38,2,FALSE)</f>
        <v>-0.14226422156549004</v>
      </c>
      <c r="J941">
        <f>($B$1+Table4[[#This Row],[Home Differential]])-Table4[[#This Row],[Away Differential]]</f>
        <v>-9.7869013995290133E-2</v>
      </c>
      <c r="K941" t="str">
        <f>IF(Table4[[#This Row],[HomeIce Differential]]&gt;0,Table4[[#This Row],[Home]],Table4[[#This Row],[Visitor]])</f>
        <v>Pittsburgh Penguins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0.51071438506573652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-0.38023958350631604</v>
      </c>
      <c r="H942" t="s">
        <v>21</v>
      </c>
      <c r="I942">
        <f>VLOOKUP(Table4[[#This Row],[Visitor]],'NHL Model'!$A$6:$B$38,2,FALSE)</f>
        <v>-0.21976976044773161</v>
      </c>
      <c r="J942">
        <f>($B$1+Table4[[#This Row],[Home Differential]])-Table4[[#This Row],[Away Differential]]</f>
        <v>-0.11056907413542194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0.45971908192667371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-0.64937723527808999</v>
      </c>
      <c r="H943" t="s">
        <v>38</v>
      </c>
      <c r="I943">
        <f>VLOOKUP(Table4[[#This Row],[Visitor]],'NHL Model'!$A$6:$B$38,2,FALSE)</f>
        <v>-0.9476777551108041</v>
      </c>
      <c r="J943">
        <f>($B$1+Table4[[#This Row],[Home Differential]])-Table4[[#This Row],[Away Differential]]</f>
        <v>0.34820126875587654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0.57708147827079681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-0.45133099238224339</v>
      </c>
      <c r="H944" t="s">
        <v>17</v>
      </c>
      <c r="I944">
        <f>VLOOKUP(Table4[[#This Row],[Visitor]],'NHL Model'!$A$6:$B$38,2,FALSE)</f>
        <v>-0.81774666423752174</v>
      </c>
      <c r="J944">
        <f>($B$1+Table4[[#This Row],[Home Differential]])-Table4[[#This Row],[Away Differential]]</f>
        <v>0.41631642077844083</v>
      </c>
      <c r="K944" t="str">
        <f>IF(Table4[[#This Row],[HomeIce Differential]]&gt;0,Table4[[#This Row],[Home]],Table4[[#This Row],[Visitor]])</f>
        <v>San Jose Sharks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0.59873333590647571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-1.3944783719477225</v>
      </c>
      <c r="H945" t="s">
        <v>24</v>
      </c>
      <c r="I945">
        <f>VLOOKUP(Table4[[#This Row],[Visitor]],'NHL Model'!$A$6:$B$38,2,FALSE)</f>
        <v>1.5302507646042616E-3</v>
      </c>
      <c r="J945">
        <f>($B$1+Table4[[#This Row],[Home Differential]])-Table4[[#This Row],[Away Differential]]</f>
        <v>-1.3461078737891643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0.63794719216839679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0.51050494674660429</v>
      </c>
      <c r="H946" t="s">
        <v>23</v>
      </c>
      <c r="I946">
        <f>VLOOKUP(Table4[[#This Row],[Visitor]],'NHL Model'!$A$6:$B$38,2,FALSE)</f>
        <v>-0.4761104357405897</v>
      </c>
      <c r="J946">
        <f>($B$1+Table4[[#This Row],[Home Differential]])-Table4[[#This Row],[Away Differential]]</f>
        <v>1.0365161314103564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0.69327462203673185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-0.63447859131898054</v>
      </c>
      <c r="H947" t="s">
        <v>36</v>
      </c>
      <c r="I947">
        <f>VLOOKUP(Table4[[#This Row],[Visitor]],'NHL Model'!$A$6:$B$38,2,FALSE)</f>
        <v>-0.53137605086483863</v>
      </c>
      <c r="J947">
        <f>($B$1+Table4[[#This Row],[Home Differential]])-Table4[[#This Row],[Away Differential]]</f>
        <v>-5.3201791530979481E-2</v>
      </c>
      <c r="K947" t="str">
        <f>IF(Table4[[#This Row],[HomeIce Differential]]&gt;0,Table4[[#This Row],[Home]],Table4[[#This Row],[Visitor]])</f>
        <v>Ottawa Senators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0.46621209436364425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0.17870302183926629</v>
      </c>
      <c r="H948" t="s">
        <v>16</v>
      </c>
      <c r="I948">
        <f>VLOOKUP(Table4[[#This Row],[Visitor]],'NHL Model'!$A$6:$B$38,2,FALSE)</f>
        <v>-1.0657812790446208</v>
      </c>
      <c r="J948">
        <f>($B$1+Table4[[#This Row],[Home Differential]])-Table4[[#This Row],[Away Differential]]</f>
        <v>1.2943850498070495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0.7709732690686566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-5.5124787449478845E-2</v>
      </c>
      <c r="H949" t="s">
        <v>35</v>
      </c>
      <c r="I949">
        <f>VLOOKUP(Table4[[#This Row],[Visitor]],'NHL Model'!$A$6:$B$38,2,FALSE)</f>
        <v>-1.3944783719477225</v>
      </c>
      <c r="J949">
        <f>($B$1+Table4[[#This Row],[Home Differential]])-Table4[[#This Row],[Away Differential]]</f>
        <v>1.389254333421406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0.70221594735752579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-0.24093199744133265</v>
      </c>
      <c r="H950" t="s">
        <v>11</v>
      </c>
      <c r="I950">
        <f>VLOOKUP(Table4[[#This Row],[Visitor]],'NHL Model'!$A$6:$B$38,2,FALSE)</f>
        <v>-0.39711829106410657</v>
      </c>
      <c r="J950">
        <f>($B$1+Table4[[#This Row],[Home Differential]])-Table4[[#This Row],[Away Differential]]</f>
        <v>0.20608704254593638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0.56406370384490223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-0.14226422156549004</v>
      </c>
      <c r="H951" t="s">
        <v>20</v>
      </c>
      <c r="I951">
        <f>VLOOKUP(Table4[[#This Row],[Visitor]],'NHL Model'!$A$6:$B$38,2,FALSE)</f>
        <v>-0.24444083032063643</v>
      </c>
      <c r="J951">
        <f>($B$1+Table4[[#This Row],[Home Differential]])-Table4[[#This Row],[Away Differential]]</f>
        <v>0.15207735767830885</v>
      </c>
      <c r="K951" t="str">
        <f>IF(Table4[[#This Row],[HomeIce Differential]]&gt;0,Table4[[#This Row],[Home]],Table4[[#This Row],[Visitor]])</f>
        <v>Pittsburgh Penguins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0.5577572760105497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-0.45133099238224339</v>
      </c>
      <c r="H952" t="s">
        <v>40</v>
      </c>
      <c r="I952">
        <f>VLOOKUP(Table4[[#This Row],[Visitor]],'NHL Model'!$A$6:$B$38,2,FALSE)</f>
        <v>-0.31324182378279158</v>
      </c>
      <c r="J952">
        <f>($B$1+Table4[[#This Row],[Home Differential]])-Table4[[#This Row],[Away Differential]]</f>
        <v>-8.818841967628932E-2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0.48088553485950469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-0.4031232890211825</v>
      </c>
      <c r="H953" t="s">
        <v>10</v>
      </c>
      <c r="I953">
        <f>VLOOKUP(Table4[[#This Row],[Visitor]],'NHL Model'!$A$6:$B$38,2,FALSE)</f>
        <v>-0.17619625518431364</v>
      </c>
      <c r="J953">
        <f>($B$1+Table4[[#This Row],[Home Differential]])-Table4[[#This Row],[Away Differential]]</f>
        <v>-0.17702628491370637</v>
      </c>
      <c r="K953" t="str">
        <f>IF(Table4[[#This Row],[HomeIce Differential]]&gt;0,Table4[[#This Row],[Home]],Table4[[#This Row],[Visitor]])</f>
        <v>Chicago Blackhawks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0.44023925403906533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-0.33828359867721369</v>
      </c>
      <c r="H954" t="s">
        <v>12</v>
      </c>
      <c r="I954">
        <f>VLOOKUP(Table4[[#This Row],[Visitor]],'NHL Model'!$A$6:$B$38,2,FALSE)</f>
        <v>1.6319036584269762</v>
      </c>
      <c r="J954">
        <f>($B$1+Table4[[#This Row],[Home Differential]])-Table4[[#This Row],[Away Differential]]</f>
        <v>-1.9202865081810274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0.7568449603440992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-1.384917283810061</v>
      </c>
      <c r="H955" t="s">
        <v>26</v>
      </c>
      <c r="I955">
        <f>VLOOKUP(Table4[[#This Row],[Visitor]],'NHL Model'!$A$6:$B$38,2,FALSE)</f>
        <v>-0.87533956503230947</v>
      </c>
      <c r="J955">
        <f>($B$1+Table4[[#This Row],[Home Differential]])-Table4[[#This Row],[Away Differential]]</f>
        <v>-0.45967696985458906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0.51367407057839309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-0.29003398448394263</v>
      </c>
      <c r="H956" t="s">
        <v>28</v>
      </c>
      <c r="I956">
        <f>VLOOKUP(Table4[[#This Row],[Visitor]],'NHL Model'!$A$6:$B$38,2,FALSE)</f>
        <v>-0.59498940435054026</v>
      </c>
      <c r="J956">
        <f>($B$1+Table4[[#This Row],[Home Differential]])-Table4[[#This Row],[Away Differential]]</f>
        <v>0.35485616878976012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0.57785853606906723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-0.64937723527808999</v>
      </c>
      <c r="H957" t="s">
        <v>25</v>
      </c>
      <c r="I957">
        <f>VLOOKUP(Table4[[#This Row],[Visitor]],'NHL Model'!$A$6:$B$38,2,FALSE)</f>
        <v>0.42567513732855267</v>
      </c>
      <c r="J957">
        <f>($B$1+Table4[[#This Row],[Home Differential]])-Table4[[#This Row],[Away Differential]]</f>
        <v>-1.0251516236834801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0.65232475133101453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-0.63447859131898054</v>
      </c>
      <c r="H958" t="s">
        <v>27</v>
      </c>
      <c r="I958">
        <f>VLOOKUP(Table4[[#This Row],[Visitor]],'NHL Model'!$A$6:$B$38,2,FALSE)</f>
        <v>-0.38023958350631604</v>
      </c>
      <c r="J958">
        <f>($B$1+Table4[[#This Row],[Home Differential]])-Table4[[#This Row],[Away Differential]]</f>
        <v>-0.20433825888950208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0.52637207035687916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-0.9476777551108041</v>
      </c>
      <c r="H959" t="s">
        <v>39</v>
      </c>
      <c r="I959">
        <f>VLOOKUP(Table4[[#This Row],[Visitor]],'NHL Model'!$A$6:$B$38,2,FALSE)</f>
        <v>0.41344250185511977</v>
      </c>
      <c r="J959">
        <f>($B$1+Table4[[#This Row],[Home Differential]])-Table4[[#This Row],[Away Differential]]</f>
        <v>-1.3112195080427616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0.71490198259173388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0.17870302183926629</v>
      </c>
      <c r="H960" t="s">
        <v>12</v>
      </c>
      <c r="I960">
        <f>VLOOKUP(Table4[[#This Row],[Visitor]],'NHL Model'!$A$6:$B$38,2,FALSE)</f>
        <v>1.6319036584269762</v>
      </c>
      <c r="J960">
        <f>($B$1+Table4[[#This Row],[Home Differential]])-Table4[[#This Row],[Away Differential]]</f>
        <v>-1.4032998876645475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0.61456019846511079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-0.21976976044773161</v>
      </c>
      <c r="H961" t="s">
        <v>14</v>
      </c>
      <c r="I961">
        <f>VLOOKUP(Table4[[#This Row],[Visitor]],'NHL Model'!$A$6:$B$38,2,FALSE)</f>
        <v>-0.14226422156549004</v>
      </c>
      <c r="J961">
        <f>($B$1+Table4[[#This Row],[Home Differential]])-Table4[[#This Row],[Away Differential]]</f>
        <v>-2.7604789959079112E-2</v>
      </c>
      <c r="K961" t="str">
        <f>IF(Table4[[#This Row],[HomeIce Differential]]&gt;0,Table4[[#This Row],[Home]],Table4[[#This Row],[Visitor]])</f>
        <v>Pittsburgh Penguins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0.45903722013371656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-0.4761104357405897</v>
      </c>
      <c r="H962" t="s">
        <v>20</v>
      </c>
      <c r="I962">
        <f>VLOOKUP(Table4[[#This Row],[Visitor]],'NHL Model'!$A$6:$B$38,2,FALSE)</f>
        <v>-0.24444083032063643</v>
      </c>
      <c r="J962">
        <f>($B$1+Table4[[#This Row],[Home Differential]])-Table4[[#This Row],[Away Differential]]</f>
        <v>-0.18176885649679078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0.47110194732410116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-0.59498940435054026</v>
      </c>
      <c r="H963" t="s">
        <v>29</v>
      </c>
      <c r="I963">
        <f>VLOOKUP(Table4[[#This Row],[Visitor]],'NHL Model'!$A$6:$B$38,2,FALSE)</f>
        <v>-1.384917283810061</v>
      </c>
      <c r="J963">
        <f>($B$1+Table4[[#This Row],[Home Differential]])-Table4[[#This Row],[Away Differential]]</f>
        <v>0.83982862838268313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0.63806238734959142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-1.0657812790446208</v>
      </c>
      <c r="H964" t="s">
        <v>39</v>
      </c>
      <c r="I964">
        <f>VLOOKUP(Table4[[#This Row],[Visitor]],'NHL Model'!$A$6:$B$38,2,FALSE)</f>
        <v>0.41344250185511977</v>
      </c>
      <c r="J964">
        <f>($B$1+Table4[[#This Row],[Home Differential]])-Table4[[#This Row],[Away Differential]]</f>
        <v>-1.4293230319765782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0.72869231209461471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-0.81774666423752174</v>
      </c>
      <c r="H965" t="s">
        <v>36</v>
      </c>
      <c r="I965">
        <f>VLOOKUP(Table4[[#This Row],[Visitor]],'NHL Model'!$A$6:$B$38,2,FALSE)</f>
        <v>-0.53137605086483863</v>
      </c>
      <c r="J965">
        <f>($B$1+Table4[[#This Row],[Home Differential]])-Table4[[#This Row],[Away Differential]]</f>
        <v>-0.23646986444952067</v>
      </c>
      <c r="K965" t="str">
        <f>IF(Table4[[#This Row],[HomeIce Differential]]&gt;0,Table4[[#This Row],[Home]],Table4[[#This Row],[Visitor]])</f>
        <v>Ottawa Senators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0.48056539486063676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-5.5124787449478845E-2</v>
      </c>
      <c r="H966" t="s">
        <v>37</v>
      </c>
      <c r="I966">
        <f>VLOOKUP(Table4[[#This Row],[Visitor]],'NHL Model'!$A$6:$B$38,2,FALSE)</f>
        <v>0.51050494674660429</v>
      </c>
      <c r="J966">
        <f>($B$1+Table4[[#This Row],[Home Differential]])-Table4[[#This Row],[Away Differential]]</f>
        <v>-0.51572898527292066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0.61270515849249185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1.5302507646042616E-3</v>
      </c>
      <c r="H967" t="s">
        <v>11</v>
      </c>
      <c r="I967">
        <f>VLOOKUP(Table4[[#This Row],[Visitor]],'NHL Model'!$A$6:$B$38,2,FALSE)</f>
        <v>-0.39711829106410657</v>
      </c>
      <c r="J967">
        <f>($B$1+Table4[[#This Row],[Home Differential]])-Table4[[#This Row],[Away Differential]]</f>
        <v>0.44854929075187328</v>
      </c>
      <c r="K967" t="str">
        <f>IF(Table4[[#This Row],[HomeIce Differential]]&gt;0,Table4[[#This Row],[Home]],Table4[[#This Row],[Visitor]])</f>
        <v>New Jersey Devils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0.67220946055413056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-0.45133099238224339</v>
      </c>
      <c r="H968" t="s">
        <v>18</v>
      </c>
      <c r="I968">
        <f>VLOOKUP(Table4[[#This Row],[Visitor]],'NHL Model'!$A$6:$B$38,2,FALSE)</f>
        <v>-0.59288962827382519</v>
      </c>
      <c r="J968">
        <f>($B$1+Table4[[#This Row],[Home Differential]])-Table4[[#This Row],[Away Differential]]</f>
        <v>0.19145938481474428</v>
      </c>
      <c r="K968" t="str">
        <f>IF(Table4[[#This Row],[HomeIce Differential]]&gt;0,Table4[[#This Row],[Home]],Table4[[#This Row],[Visitor]])</f>
        <v>San Jose Sharks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0.51326479982505646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-0.31324182378279158</v>
      </c>
      <c r="H969" t="s">
        <v>10</v>
      </c>
      <c r="I969">
        <f>VLOOKUP(Table4[[#This Row],[Visitor]],'NHL Model'!$A$6:$B$38,2,FALSE)</f>
        <v>-0.17619625518431364</v>
      </c>
      <c r="J969">
        <f>($B$1+Table4[[#This Row],[Home Differential]])-Table4[[#This Row],[Away Differential]]</f>
        <v>-8.7144819675315455E-2</v>
      </c>
      <c r="K969" t="str">
        <f>IF(Table4[[#This Row],[HomeIce Differential]]&gt;0,Table4[[#This Row],[Home]],Table4[[#This Row],[Visitor]])</f>
        <v>Chicago Blackhawks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0.46767996465849671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0.4407072328537569</v>
      </c>
      <c r="H970" t="s">
        <v>55</v>
      </c>
      <c r="I970">
        <f>VLOOKUP(Table4[[#This Row],[Visitor]],'NHL Model'!$A$6:$B$38,2,FALSE)</f>
        <v>-0.4031232890211825</v>
      </c>
      <c r="J970">
        <f>($B$1+Table4[[#This Row],[Home Differential]])-Table4[[#This Row],[Away Differential]]</f>
        <v>0.89373127079810188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0.67039405224687132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0.17870302183926629</v>
      </c>
      <c r="H971" t="s">
        <v>30</v>
      </c>
      <c r="I971">
        <f>VLOOKUP(Table4[[#This Row],[Visitor]],'NHL Model'!$A$6:$B$38,2,FALSE)</f>
        <v>-0.24093199744133265</v>
      </c>
      <c r="J971">
        <f>($B$1+Table4[[#This Row],[Home Differential]])-Table4[[#This Row],[Away Differential]]</f>
        <v>0.46953576820376142</v>
      </c>
      <c r="K971" t="str">
        <f>IF(Table4[[#This Row],[HomeIce Differential]]&gt;0,Table4[[#This Row],[Home]],Table4[[#This Row],[Visitor]])</f>
        <v>Anaheim Ducks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0.60412100543902492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-0.87533956503230947</v>
      </c>
      <c r="H972" t="s">
        <v>20</v>
      </c>
      <c r="I972">
        <f>VLOOKUP(Table4[[#This Row],[Visitor]],'NHL Model'!$A$6:$B$38,2,FALSE)</f>
        <v>-0.24444083032063643</v>
      </c>
      <c r="J972">
        <f>($B$1+Table4[[#This Row],[Home Differential]])-Table4[[#This Row],[Away Differential]]</f>
        <v>-0.58099798578851058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0.52784008975907892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1.5302507646042616E-3</v>
      </c>
      <c r="H973" t="s">
        <v>19</v>
      </c>
      <c r="I973">
        <f>VLOOKUP(Table4[[#This Row],[Visitor]],'NHL Model'!$A$6:$B$38,2,FALSE)</f>
        <v>-0.63447859131898054</v>
      </c>
      <c r="J973">
        <f>($B$1+Table4[[#This Row],[Home Differential]])-Table4[[#This Row],[Away Differential]]</f>
        <v>0.68590959100674731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0.69992477879689308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-0.64937723527808999</v>
      </c>
      <c r="H974" t="s">
        <v>35</v>
      </c>
      <c r="I974">
        <f>VLOOKUP(Table4[[#This Row],[Visitor]],'NHL Model'!$A$6:$B$38,2,FALSE)</f>
        <v>-1.3944783719477225</v>
      </c>
      <c r="J974">
        <f>($B$1+Table4[[#This Row],[Home Differential]])-Table4[[#This Row],[Away Differential]]</f>
        <v>0.79500188559279494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0.63282820353336711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-0.9476777551108041</v>
      </c>
      <c r="H975" t="s">
        <v>25</v>
      </c>
      <c r="I975">
        <f>VLOOKUP(Table4[[#This Row],[Visitor]],'NHL Model'!$A$6:$B$38,2,FALSE)</f>
        <v>0.42567513732855267</v>
      </c>
      <c r="J975">
        <f>($B$1+Table4[[#This Row],[Home Differential]])-Table4[[#This Row],[Away Differential]]</f>
        <v>-1.3234521435161943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0.68715573962293885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-0.59498940435054026</v>
      </c>
      <c r="H976" t="s">
        <v>11</v>
      </c>
      <c r="I976">
        <f>VLOOKUP(Table4[[#This Row],[Visitor]],'NHL Model'!$A$6:$B$38,2,FALSE)</f>
        <v>-0.39711829106410657</v>
      </c>
      <c r="J976">
        <f>($B$1+Table4[[#This Row],[Home Differential]])-Table4[[#This Row],[Away Differential]]</f>
        <v>-0.14797036436327127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0.47727772392612389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-1.0657812790446208</v>
      </c>
      <c r="H977" t="s">
        <v>36</v>
      </c>
      <c r="I977">
        <f>VLOOKUP(Table4[[#This Row],[Visitor]],'NHL Model'!$A$6:$B$38,2,FALSE)</f>
        <v>-0.53137605086483863</v>
      </c>
      <c r="J977">
        <f>($B$1+Table4[[#This Row],[Home Differential]])-Table4[[#This Row],[Away Differential]]</f>
        <v>-0.48450447925661977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0.5165730487289667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-0.33828359867721369</v>
      </c>
      <c r="H978" t="s">
        <v>30</v>
      </c>
      <c r="I978">
        <f>VLOOKUP(Table4[[#This Row],[Visitor]],'NHL Model'!$A$6:$B$38,2,FALSE)</f>
        <v>-0.24093199744133265</v>
      </c>
      <c r="J978">
        <f>($B$1+Table4[[#This Row],[Home Differential]])-Table4[[#This Row],[Away Differential]]</f>
        <v>-4.7450852312718561E-2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0.53816375643996339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-1.384917283810061</v>
      </c>
      <c r="H979" t="s">
        <v>21</v>
      </c>
      <c r="I979">
        <f>VLOOKUP(Table4[[#This Row],[Visitor]],'NHL Model'!$A$6:$B$38,2,FALSE)</f>
        <v>-0.21976976044773161</v>
      </c>
      <c r="J979">
        <f>($B$1+Table4[[#This Row],[Home Differential]])-Table4[[#This Row],[Away Differential]]</f>
        <v>-1.115246774439167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0.59105101387096481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-0.29003398448394263</v>
      </c>
      <c r="H980" t="s">
        <v>19</v>
      </c>
      <c r="I980">
        <f>VLOOKUP(Table4[[#This Row],[Visitor]],'NHL Model'!$A$6:$B$38,2,FALSE)</f>
        <v>-0.63447859131898054</v>
      </c>
      <c r="J980">
        <f>($B$1+Table4[[#This Row],[Home Differential]])-Table4[[#This Row],[Away Differential]]</f>
        <v>0.3943453557582004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0.58604564040683338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-0.38023958350631604</v>
      </c>
      <c r="H981" t="s">
        <v>55</v>
      </c>
      <c r="I981">
        <f>VLOOKUP(Table4[[#This Row],[Visitor]],'NHL Model'!$A$6:$B$38,2,FALSE)</f>
        <v>-0.4031232890211825</v>
      </c>
      <c r="J981">
        <f>($B$1+Table4[[#This Row],[Home Differential]])-Table4[[#This Row],[Away Differential]]</f>
        <v>7.2784454438028945E-2</v>
      </c>
      <c r="K981" t="str">
        <f>IF(Table4[[#This Row],[HomeIce Differential]]&gt;0,Table4[[#This Row],[Home]],Table4[[#This Row],[Visitor]])</f>
        <v>Philadelphia Flyers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0.56251527977613414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-0.14226422156549004</v>
      </c>
      <c r="H982" t="s">
        <v>23</v>
      </c>
      <c r="I982">
        <f>VLOOKUP(Table4[[#This Row],[Visitor]],'NHL Model'!$A$6:$B$38,2,FALSE)</f>
        <v>-0.4761104357405897</v>
      </c>
      <c r="J982">
        <f>($B$1+Table4[[#This Row],[Home Differential]])-Table4[[#This Row],[Away Differential]]</f>
        <v>0.38374696309826212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0.58480812164267382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-0.31324182378279158</v>
      </c>
      <c r="H983" t="s">
        <v>37</v>
      </c>
      <c r="I983">
        <f>VLOOKUP(Table4[[#This Row],[Visitor]],'NHL Model'!$A$6:$B$38,2,FALSE)</f>
        <v>0.51050494674660429</v>
      </c>
      <c r="J983">
        <f>($B$1+Table4[[#This Row],[Home Differential]])-Table4[[#This Row],[Away Differential]]</f>
        <v>-0.77384602160623339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0.6403579441746684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0.17870302183926629</v>
      </c>
      <c r="H984" t="s">
        <v>18</v>
      </c>
      <c r="I984">
        <f>VLOOKUP(Table4[[#This Row],[Visitor]],'NHL Model'!$A$6:$B$38,2,FALSE)</f>
        <v>-0.59288962827382519</v>
      </c>
      <c r="J984">
        <f>($B$1+Table4[[#This Row],[Home Differential]])-Table4[[#This Row],[Away Differential]]</f>
        <v>0.82149339903625396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0.65842147871472412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-0.17619625518431364</v>
      </c>
      <c r="H985" t="s">
        <v>38</v>
      </c>
      <c r="I985">
        <f>VLOOKUP(Table4[[#This Row],[Visitor]],'NHL Model'!$A$6:$B$38,2,FALSE)</f>
        <v>-0.9476777551108041</v>
      </c>
      <c r="J985">
        <f>($B$1+Table4[[#This Row],[Home Differential]])-Table4[[#This Row],[Away Differential]]</f>
        <v>0.82138224884965294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0.63233234134958161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0.41344250185511977</v>
      </c>
      <c r="H986" t="s">
        <v>12</v>
      </c>
      <c r="I986">
        <f>VLOOKUP(Table4[[#This Row],[Visitor]],'NHL Model'!$A$6:$B$38,2,FALSE)</f>
        <v>1.6319036584269762</v>
      </c>
      <c r="J986">
        <f>($B$1+Table4[[#This Row],[Home Differential]])-Table4[[#This Row],[Away Differential]]</f>
        <v>-1.168560407648694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0.63644667431368729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-0.87533956503230947</v>
      </c>
      <c r="H987" t="s">
        <v>11</v>
      </c>
      <c r="I987">
        <f>VLOOKUP(Table4[[#This Row],[Visitor]],'NHL Model'!$A$6:$B$38,2,FALSE)</f>
        <v>-0.39711829106410657</v>
      </c>
      <c r="J987">
        <f>($B$1+Table4[[#This Row],[Home Differential]])-Table4[[#This Row],[Away Differential]]</f>
        <v>-0.42832052504504048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0.51001274285878251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-0.81774666423752174</v>
      </c>
      <c r="H988" t="s">
        <v>25</v>
      </c>
      <c r="I988">
        <f>VLOOKUP(Table4[[#This Row],[Visitor]],'NHL Model'!$A$6:$B$38,2,FALSE)</f>
        <v>0.42567513732855267</v>
      </c>
      <c r="J988">
        <f>($B$1+Table4[[#This Row],[Home Differential]])-Table4[[#This Row],[Away Differential]]</f>
        <v>-1.1935210526429119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0.66490864326506427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-0.45133099238224339</v>
      </c>
      <c r="H989" t="s">
        <v>35</v>
      </c>
      <c r="I989">
        <f>VLOOKUP(Table4[[#This Row],[Visitor]],'NHL Model'!$A$6:$B$38,2,FALSE)</f>
        <v>-1.3944783719477225</v>
      </c>
      <c r="J989">
        <f>($B$1+Table4[[#This Row],[Home Differential]])-Table4[[#This Row],[Away Differential]]</f>
        <v>0.99304812848864166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0.66607527473414152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-0.24444083032063643</v>
      </c>
      <c r="H990" t="s">
        <v>34</v>
      </c>
      <c r="I990">
        <f>VLOOKUP(Table4[[#This Row],[Visitor]],'NHL Model'!$A$6:$B$38,2,FALSE)</f>
        <v>-5.5124787449478845E-2</v>
      </c>
      <c r="J990">
        <f>($B$1+Table4[[#This Row],[Home Differential]])-Table4[[#This Row],[Away Differential]]</f>
        <v>-0.13941529394799512</v>
      </c>
      <c r="K990" t="str">
        <f>IF(Table4[[#This Row],[HomeIce Differential]]&gt;0,Table4[[#This Row],[Home]],Table4[[#This Row],[Visitor]])</f>
        <v>Minnesota Wild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0.51879135600538295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-0.21976976044773161</v>
      </c>
      <c r="H991" t="s">
        <v>22</v>
      </c>
      <c r="I991">
        <f>VLOOKUP(Table4[[#This Row],[Visitor]],'NHL Model'!$A$6:$B$38,2,FALSE)</f>
        <v>0.4407072328537569</v>
      </c>
      <c r="J991">
        <f>($B$1+Table4[[#This Row],[Home Differential]])-Table4[[#This Row],[Away Differential]]</f>
        <v>-0.61057624437832603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0.53031018143600306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-0.4761104357405897</v>
      </c>
      <c r="H992" t="s">
        <v>29</v>
      </c>
      <c r="I992">
        <f>VLOOKUP(Table4[[#This Row],[Visitor]],'NHL Model'!$A$6:$B$38,2,FALSE)</f>
        <v>-1.384917283810061</v>
      </c>
      <c r="J992">
        <f>($B$1+Table4[[#This Row],[Home Differential]])-Table4[[#This Row],[Away Differential]]</f>
        <v>0.95870759699263375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0.66206551085191068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-0.59498940435054026</v>
      </c>
      <c r="H993" t="s">
        <v>55</v>
      </c>
      <c r="I993">
        <f>VLOOKUP(Table4[[#This Row],[Visitor]],'NHL Model'!$A$6:$B$38,2,FALSE)</f>
        <v>-0.4031232890211825</v>
      </c>
      <c r="J993">
        <f>($B$1+Table4[[#This Row],[Home Differential]])-Table4[[#This Row],[Away Differential]]</f>
        <v>-0.14196536640619534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0.47657655178719088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-1.0657812790446208</v>
      </c>
      <c r="H994" t="s">
        <v>25</v>
      </c>
      <c r="I994">
        <f>VLOOKUP(Table4[[#This Row],[Visitor]],'NHL Model'!$A$6:$B$38,2,FALSE)</f>
        <v>0.42567513732855267</v>
      </c>
      <c r="J994">
        <f>($B$1+Table4[[#This Row],[Home Differential]])-Table4[[#This Row],[Away Differential]]</f>
        <v>-1.441555667450011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0.70094606912581969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-0.33828359867721369</v>
      </c>
      <c r="H995" t="s">
        <v>18</v>
      </c>
      <c r="I995">
        <f>VLOOKUP(Table4[[#This Row],[Visitor]],'NHL Model'!$A$6:$B$38,2,FALSE)</f>
        <v>-0.59288962827382519</v>
      </c>
      <c r="J995">
        <f>($B$1+Table4[[#This Row],[Home Differential]])-Table4[[#This Row],[Away Differential]]</f>
        <v>0.30450677851977398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0.51626782676358607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1.5302507646042616E-3</v>
      </c>
      <c r="H996" t="s">
        <v>15</v>
      </c>
      <c r="I996">
        <f>VLOOKUP(Table4[[#This Row],[Visitor]],'NHL Model'!$A$6:$B$38,2,FALSE)</f>
        <v>-0.29003398448394263</v>
      </c>
      <c r="J996">
        <f>($B$1+Table4[[#This Row],[Home Differential]])-Table4[[#This Row],[Away Differential]]</f>
        <v>0.34146498417170934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0.5616102070003105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-0.14226422156549004</v>
      </c>
      <c r="H997" t="s">
        <v>27</v>
      </c>
      <c r="I997">
        <f>VLOOKUP(Table4[[#This Row],[Visitor]],'NHL Model'!$A$6:$B$38,2,FALSE)</f>
        <v>-0.38023958350631604</v>
      </c>
      <c r="J997">
        <f>($B$1+Table4[[#This Row],[Home Differential]])-Table4[[#This Row],[Away Differential]]</f>
        <v>0.28787611086398845</v>
      </c>
      <c r="K997" t="str">
        <f>IF(Table4[[#This Row],[HomeIce Differential]]&gt;0,Table4[[#This Row],[Home]],Table4[[#This Row],[Visitor]])</f>
        <v>Pittsburgh Penguins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0.53110122187745956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-0.64937723527808999</v>
      </c>
      <c r="H998" t="s">
        <v>36</v>
      </c>
      <c r="I998">
        <f>VLOOKUP(Table4[[#This Row],[Visitor]],'NHL Model'!$A$6:$B$38,2,FALSE)</f>
        <v>-0.53137605086483863</v>
      </c>
      <c r="J998">
        <f>($B$1+Table4[[#This Row],[Home Differential]])-Table4[[#This Row],[Away Differential]]</f>
        <v>-6.8100435490088929E-2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0.46795173093416148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-0.45133099238224339</v>
      </c>
      <c r="H999" t="s">
        <v>30</v>
      </c>
      <c r="I999">
        <f>VLOOKUP(Table4[[#This Row],[Visitor]],'NHL Model'!$A$6:$B$38,2,FALSE)</f>
        <v>-0.24093199744133265</v>
      </c>
      <c r="J999">
        <f>($B$1+Table4[[#This Row],[Home Differential]])-Table4[[#This Row],[Away Differential]]</f>
        <v>-0.16049824601774826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0.54118951859945774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-0.63447859131898054</v>
      </c>
      <c r="H1000" t="s">
        <v>37</v>
      </c>
      <c r="I1000">
        <f>VLOOKUP(Table4[[#This Row],[Visitor]],'NHL Model'!$A$6:$B$38,2,FALSE)</f>
        <v>0.51050494674660429</v>
      </c>
      <c r="J1000">
        <f>($B$1+Table4[[#This Row],[Home Differential]])-Table4[[#This Row],[Away Differential]]</f>
        <v>-1.0950827891424224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0.6803532657461332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-0.31324182378279158</v>
      </c>
      <c r="H1001" t="s">
        <v>38</v>
      </c>
      <c r="I1001">
        <f>VLOOKUP(Table4[[#This Row],[Visitor]],'NHL Model'!$A$6:$B$38,2,FALSE)</f>
        <v>-0.9476777551108041</v>
      </c>
      <c r="J1001">
        <f>($B$1+Table4[[#This Row],[Home Differential]])-Table4[[#This Row],[Away Differential]]</f>
        <v>0.684336680251175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0.61882856319649504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0.17870302183926629</v>
      </c>
      <c r="H1002" t="s">
        <v>35</v>
      </c>
      <c r="I1002">
        <f>VLOOKUP(Table4[[#This Row],[Visitor]],'NHL Model'!$A$6:$B$38,2,FALSE)</f>
        <v>-1.3944783719477225</v>
      </c>
      <c r="J1002">
        <f>($B$1+Table4[[#This Row],[Home Differential]])-Table4[[#This Row],[Away Differential]]</f>
        <v>1.6230821427101512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0.80935350588794874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-0.4761104357405897</v>
      </c>
      <c r="H1003" t="s">
        <v>37</v>
      </c>
      <c r="I1003">
        <f>VLOOKUP(Table4[[#This Row],[Visitor]],'NHL Model'!$A$6:$B$38,2,FALSE)</f>
        <v>0.51050494674660429</v>
      </c>
      <c r="J1003">
        <f>($B$1+Table4[[#This Row],[Home Differential]])-Table4[[#This Row],[Away Differential]]</f>
        <v>-0.93671463356403151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0.65174813974582668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1.6319036584269762</v>
      </c>
      <c r="H1004" t="s">
        <v>34</v>
      </c>
      <c r="I1004">
        <f>VLOOKUP(Table4[[#This Row],[Visitor]],'NHL Model'!$A$6:$B$38,2,FALSE)</f>
        <v>-5.5124787449478845E-2</v>
      </c>
      <c r="J1004">
        <f>($B$1+Table4[[#This Row],[Home Differential]])-Table4[[#This Row],[Away Differential]]</f>
        <v>1.7369291947996175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0.80720772313376354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0.41344250185511977</v>
      </c>
      <c r="H1005" t="s">
        <v>10</v>
      </c>
      <c r="I1005">
        <f>VLOOKUP(Table4[[#This Row],[Visitor]],'NHL Model'!$A$6:$B$38,2,FALSE)</f>
        <v>-0.17619625518431364</v>
      </c>
      <c r="J1005">
        <f>($B$1+Table4[[#This Row],[Home Differential]])-Table4[[#This Row],[Away Differential]]</f>
        <v>0.6395395059625959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0.64692174205887343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1.5302507646042616E-3</v>
      </c>
      <c r="H1006" t="s">
        <v>26</v>
      </c>
      <c r="I1006">
        <f>VLOOKUP(Table4[[#This Row],[Visitor]],'NHL Model'!$A$6:$B$38,2,FALSE)</f>
        <v>-0.87533956503230947</v>
      </c>
      <c r="J1006">
        <f>($B$1+Table4[[#This Row],[Home Differential]])-Table4[[#This Row],[Away Differential]]</f>
        <v>0.92677056472007624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0.72804885233218297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-0.14226422156549004</v>
      </c>
      <c r="H1007" t="s">
        <v>21</v>
      </c>
      <c r="I1007">
        <f>VLOOKUP(Table4[[#This Row],[Visitor]],'NHL Model'!$A$6:$B$38,2,FALSE)</f>
        <v>-0.21976976044773161</v>
      </c>
      <c r="J1007">
        <f>($B$1+Table4[[#This Row],[Home Differential]])-Table4[[#This Row],[Away Differential]]</f>
        <v>0.12740628780540403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0.5540470713963267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-0.24444083032063643</v>
      </c>
      <c r="H1008" t="s">
        <v>17</v>
      </c>
      <c r="I1008">
        <f>VLOOKUP(Table4[[#This Row],[Visitor]],'NHL Model'!$A$6:$B$38,2,FALSE)</f>
        <v>-0.81774666423752174</v>
      </c>
      <c r="J1008">
        <f>($B$1+Table4[[#This Row],[Home Differential]])-Table4[[#This Row],[Away Differential]]</f>
        <v>0.62320658284004771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0.61276856641927757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-0.17619625518431364</v>
      </c>
      <c r="H1009" t="s">
        <v>55</v>
      </c>
      <c r="I1009">
        <f>VLOOKUP(Table4[[#This Row],[Visitor]],'NHL Model'!$A$6:$B$38,2,FALSE)</f>
        <v>-0.4031232890211825</v>
      </c>
      <c r="J1009">
        <f>($B$1+Table4[[#This Row],[Home Differential]])-Table4[[#This Row],[Away Differential]]</f>
        <v>0.27682778276003128</v>
      </c>
      <c r="K1009" t="str">
        <f>IF(Table4[[#This Row],[HomeIce Differential]]&gt;0,Table4[[#This Row],[Home]],Table4[[#This Row],[Visitor]])</f>
        <v>Chicago Blackhawks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0.57232372932370801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-0.38023958350631604</v>
      </c>
      <c r="H1010" t="s">
        <v>15</v>
      </c>
      <c r="I1010">
        <f>VLOOKUP(Table4[[#This Row],[Visitor]],'NHL Model'!$A$6:$B$38,2,FALSE)</f>
        <v>-0.29003398448394263</v>
      </c>
      <c r="J1010">
        <f>($B$1+Table4[[#This Row],[Home Differential]])-Table4[[#This Row],[Away Differential]]</f>
        <v>-4.030485009921092E-2</v>
      </c>
      <c r="K1010" t="str">
        <f>IF(Table4[[#This Row],[HomeIce Differential]]&gt;0,Table4[[#This Row],[Home]],Table4[[#This Row],[Visitor]])</f>
        <v>New York Rangers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0.55080547688635673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-0.9476777551108041</v>
      </c>
      <c r="H1011" t="s">
        <v>36</v>
      </c>
      <c r="I1011">
        <f>VLOOKUP(Table4[[#This Row],[Visitor]],'NHL Model'!$A$6:$B$38,2,FALSE)</f>
        <v>-0.53137605086483863</v>
      </c>
      <c r="J1011">
        <f>($B$1+Table4[[#This Row],[Home Differential]])-Table4[[#This Row],[Away Differential]]</f>
        <v>-0.36640095532280303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0.50278271922608575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0.4407072328537569</v>
      </c>
      <c r="H1012" t="s">
        <v>16</v>
      </c>
      <c r="I1012">
        <f>VLOOKUP(Table4[[#This Row],[Visitor]],'NHL Model'!$A$6:$B$38,2,FALSE)</f>
        <v>-1.0657812790446208</v>
      </c>
      <c r="J1012">
        <f>($B$1+Table4[[#This Row],[Home Differential]])-Table4[[#This Row],[Away Differential]]</f>
        <v>1.5563892608215402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0.74776915271602318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-0.21976976044773161</v>
      </c>
      <c r="H1013" t="s">
        <v>13</v>
      </c>
      <c r="I1013">
        <f>VLOOKUP(Table4[[#This Row],[Visitor]],'NHL Model'!$A$6:$B$38,2,FALSE)</f>
        <v>-0.33828359867721369</v>
      </c>
      <c r="J1013">
        <f>($B$1+Table4[[#This Row],[Home Differential]])-Table4[[#This Row],[Away Differential]]</f>
        <v>0.16841458715264454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0.53690626798232133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-0.4761104357405897</v>
      </c>
      <c r="H1014" t="s">
        <v>33</v>
      </c>
      <c r="I1014">
        <f>VLOOKUP(Table4[[#This Row],[Visitor]],'NHL Model'!$A$6:$B$38,2,FALSE)</f>
        <v>-0.45133099238224339</v>
      </c>
      <c r="J1014">
        <f>($B$1+Table4[[#This Row],[Home Differential]])-Table4[[#This Row],[Away Differential]]</f>
        <v>2.5121305564816176E-2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0.55305553257745377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0.42567513732855267</v>
      </c>
      <c r="H1015" t="s">
        <v>14</v>
      </c>
      <c r="I1015">
        <f>VLOOKUP(Table4[[#This Row],[Visitor]],'NHL Model'!$A$6:$B$38,2,FALSE)</f>
        <v>-0.14226422156549004</v>
      </c>
      <c r="J1015">
        <f>($B$1+Table4[[#This Row],[Home Differential]])-Table4[[#This Row],[Away Differential]]</f>
        <v>0.61784010781720522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0.62533344061854423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1.6319036584269762</v>
      </c>
      <c r="H1016" t="s">
        <v>17</v>
      </c>
      <c r="I1016">
        <f>VLOOKUP(Table4[[#This Row],[Visitor]],'NHL Model'!$A$6:$B$38,2,FALSE)</f>
        <v>-0.81774666423752174</v>
      </c>
      <c r="J1016">
        <f>($B$1+Table4[[#This Row],[Home Differential]])-Table4[[#This Row],[Away Differential]]</f>
        <v>2.4995510715876605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0.93618937525596579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0.41344250185511977</v>
      </c>
      <c r="H1017" t="s">
        <v>20</v>
      </c>
      <c r="I1017">
        <f>VLOOKUP(Table4[[#This Row],[Visitor]],'NHL Model'!$A$6:$B$38,2,FALSE)</f>
        <v>-0.24444083032063643</v>
      </c>
      <c r="J1017">
        <f>($B$1+Table4[[#This Row],[Home Differential]])-Table4[[#This Row],[Away Differential]]</f>
        <v>0.70778408109891866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0.65489030342408205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-0.39711829106410657</v>
      </c>
      <c r="H1018" t="s">
        <v>26</v>
      </c>
      <c r="I1018">
        <f>VLOOKUP(Table4[[#This Row],[Visitor]],'NHL Model'!$A$6:$B$38,2,FALSE)</f>
        <v>-0.87533956503230947</v>
      </c>
      <c r="J1018">
        <f>($B$1+Table4[[#This Row],[Home Differential]])-Table4[[#This Row],[Away Differential]]</f>
        <v>0.52812202289136545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0.61568266119593729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-5.5124787449478845E-2</v>
      </c>
      <c r="H1019" t="s">
        <v>55</v>
      </c>
      <c r="I1019">
        <f>VLOOKUP(Table4[[#This Row],[Visitor]],'NHL Model'!$A$6:$B$38,2,FALSE)</f>
        <v>-0.4031232890211825</v>
      </c>
      <c r="J1019">
        <f>($B$1+Table4[[#This Row],[Home Differential]])-Table4[[#This Row],[Away Differential]]</f>
        <v>0.39789925049486613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0.5864606100690819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-0.59288962827382519</v>
      </c>
      <c r="H1020" t="s">
        <v>19</v>
      </c>
      <c r="I1020">
        <f>VLOOKUP(Table4[[#This Row],[Visitor]],'NHL Model'!$A$6:$B$38,2,FALSE)</f>
        <v>-0.63447859131898054</v>
      </c>
      <c r="J1020">
        <f>($B$1+Table4[[#This Row],[Home Differential]])-Table4[[#This Row],[Away Differential]]</f>
        <v>9.1489711968317788E-2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0.55068277416407818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-0.29003398448394263</v>
      </c>
      <c r="H1021" t="s">
        <v>16</v>
      </c>
      <c r="I1021">
        <f>VLOOKUP(Table4[[#This Row],[Visitor]],'NHL Model'!$A$6:$B$38,2,FALSE)</f>
        <v>-1.0657812790446208</v>
      </c>
      <c r="J1021">
        <f>($B$1+Table4[[#This Row],[Home Differential]])-Table4[[#This Row],[Away Differential]]</f>
        <v>0.82564804348384069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0.63640659477215578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-0.64937723527808999</v>
      </c>
      <c r="H1022" t="s">
        <v>29</v>
      </c>
      <c r="I1022">
        <f>VLOOKUP(Table4[[#This Row],[Visitor]],'NHL Model'!$A$6:$B$38,2,FALSE)</f>
        <v>-1.384917283810061</v>
      </c>
      <c r="J1022">
        <f>($B$1+Table4[[#This Row],[Home Differential]])-Table4[[#This Row],[Away Differential]]</f>
        <v>0.7854407974551334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0.63171180538170546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-1.3944783719477225</v>
      </c>
      <c r="H1023" t="s">
        <v>30</v>
      </c>
      <c r="I1023">
        <f>VLOOKUP(Table4[[#This Row],[Visitor]],'NHL Model'!$A$6:$B$38,2,FALSE)</f>
        <v>-0.24093199744133265</v>
      </c>
      <c r="J1023">
        <f>($B$1+Table4[[#This Row],[Home Differential]])-Table4[[#This Row],[Away Differential]]</f>
        <v>-1.1036456255832274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0.66149008454159564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0.51050494674660429</v>
      </c>
      <c r="H1024" t="s">
        <v>28</v>
      </c>
      <c r="I1024">
        <f>VLOOKUP(Table4[[#This Row],[Visitor]],'NHL Model'!$A$6:$B$38,2,FALSE)</f>
        <v>-0.59498940435054026</v>
      </c>
      <c r="J1024">
        <f>($B$1+Table4[[#This Row],[Home Differential]])-Table4[[#This Row],[Away Differential]]</f>
        <v>1.1553951000203071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0.70362980948891973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-0.31324182378279158</v>
      </c>
      <c r="H1025" t="s">
        <v>31</v>
      </c>
      <c r="I1025">
        <f>VLOOKUP(Table4[[#This Row],[Visitor]],'NHL Model'!$A$6:$B$38,2,FALSE)</f>
        <v>0.17870302183926629</v>
      </c>
      <c r="J1025">
        <f>($B$1+Table4[[#This Row],[Home Differential]])-Table4[[#This Row],[Away Differential]]</f>
        <v>-0.44204409669889538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0.52987604196004923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-0.53137605086483863</v>
      </c>
      <c r="H1026" t="s">
        <v>18</v>
      </c>
      <c r="I1026">
        <f>VLOOKUP(Table4[[#This Row],[Visitor]],'NHL Model'!$A$6:$B$38,2,FALSE)</f>
        <v>-0.59288962827382519</v>
      </c>
      <c r="J1026">
        <f>($B$1+Table4[[#This Row],[Home Differential]])-Table4[[#This Row],[Away Differential]]</f>
        <v>0.11141432633214904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0.49623074346744273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-0.38023958350631604</v>
      </c>
      <c r="H1027" t="s">
        <v>22</v>
      </c>
      <c r="I1027">
        <f>VLOOKUP(Table4[[#This Row],[Visitor]],'NHL Model'!$A$6:$B$38,2,FALSE)</f>
        <v>0.4407072328537569</v>
      </c>
      <c r="J1027">
        <f>($B$1+Table4[[#This Row],[Home Differential]])-Table4[[#This Row],[Away Differential]]</f>
        <v>-0.7710460674369104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0.57840310122428151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-0.21976976044773161</v>
      </c>
      <c r="H1028" t="s">
        <v>33</v>
      </c>
      <c r="I1028">
        <f>VLOOKUP(Table4[[#This Row],[Visitor]],'NHL Model'!$A$6:$B$38,2,FALSE)</f>
        <v>-0.45133099238224339</v>
      </c>
      <c r="J1028">
        <f>($B$1+Table4[[#This Row],[Home Differential]])-Table4[[#This Row],[Away Differential]]</f>
        <v>0.28146198085767427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0.61576639475163519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-0.4761104357405897</v>
      </c>
      <c r="H1029" t="s">
        <v>22</v>
      </c>
      <c r="I1029">
        <f>VLOOKUP(Table4[[#This Row],[Visitor]],'NHL Model'!$A$6:$B$38,2,FALSE)</f>
        <v>0.4407072328537569</v>
      </c>
      <c r="J1029">
        <f>($B$1+Table4[[#This Row],[Home Differential]])-Table4[[#This Row],[Away Differential]]</f>
        <v>-0.86691691967118412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0.59353303745986197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0.42567513732855267</v>
      </c>
      <c r="H1030" t="s">
        <v>35</v>
      </c>
      <c r="I1030">
        <f>VLOOKUP(Table4[[#This Row],[Visitor]],'NHL Model'!$A$6:$B$38,2,FALSE)</f>
        <v>-1.3944783719477225</v>
      </c>
      <c r="J1030">
        <f>($B$1+Table4[[#This Row],[Home Differential]])-Table4[[#This Row],[Away Differential]]</f>
        <v>1.8700542581994377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0.81007241100715621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0.41344250185511977</v>
      </c>
      <c r="H1031" t="s">
        <v>17</v>
      </c>
      <c r="I1031">
        <f>VLOOKUP(Table4[[#This Row],[Visitor]],'NHL Model'!$A$6:$B$38,2,FALSE)</f>
        <v>-0.81774666423752174</v>
      </c>
      <c r="J1031">
        <f>($B$1+Table4[[#This Row],[Home Differential]])-Table4[[#This Row],[Away Differential]]</f>
        <v>1.2810899150158039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0.72183222092408972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-0.39711829106410657</v>
      </c>
      <c r="H1032" t="s">
        <v>28</v>
      </c>
      <c r="I1032">
        <f>VLOOKUP(Table4[[#This Row],[Visitor]],'NHL Model'!$A$6:$B$38,2,FALSE)</f>
        <v>-0.59498940435054026</v>
      </c>
      <c r="J1032">
        <f>($B$1+Table4[[#This Row],[Home Differential]])-Table4[[#This Row],[Away Differential]]</f>
        <v>0.24777186220959618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0.57938973736099397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-5.5124787449478845E-2</v>
      </c>
      <c r="H1033" t="s">
        <v>27</v>
      </c>
      <c r="I1033">
        <f>VLOOKUP(Table4[[#This Row],[Visitor]],'NHL Model'!$A$6:$B$38,2,FALSE)</f>
        <v>-0.38023958350631604</v>
      </c>
      <c r="J1033">
        <f>($B$1+Table4[[#This Row],[Home Differential]])-Table4[[#This Row],[Away Differential]]</f>
        <v>0.37501554497999967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0.54127603689676229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1.5302507646042616E-3</v>
      </c>
      <c r="H1034" t="s">
        <v>16</v>
      </c>
      <c r="I1034">
        <f>VLOOKUP(Table4[[#This Row],[Visitor]],'NHL Model'!$A$6:$B$38,2,FALSE)</f>
        <v>-1.0657812790446208</v>
      </c>
      <c r="J1034">
        <f>($B$1+Table4[[#This Row],[Home Differential]])-Table4[[#This Row],[Away Differential]]</f>
        <v>1.1172122787323875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0.75028573316221547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-0.64937723527808999</v>
      </c>
      <c r="H1035" t="s">
        <v>12</v>
      </c>
      <c r="I1035">
        <f>VLOOKUP(Table4[[#This Row],[Visitor]],'NHL Model'!$A$6:$B$38,2,FALSE)</f>
        <v>1.6319036584269762</v>
      </c>
      <c r="J1035">
        <f>($B$1+Table4[[#This Row],[Home Differential]])-Table4[[#This Row],[Away Differential]]</f>
        <v>-2.2313801447819035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0.79316973383163425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0.51050494674660429</v>
      </c>
      <c r="H1036" t="s">
        <v>26</v>
      </c>
      <c r="I1036">
        <f>VLOOKUP(Table4[[#This Row],[Visitor]],'NHL Model'!$A$6:$B$38,2,FALSE)</f>
        <v>-0.87533956503230947</v>
      </c>
      <c r="J1036">
        <f>($B$1+Table4[[#This Row],[Home Differential]])-Table4[[#This Row],[Away Differential]]</f>
        <v>1.4357452607020762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0.73989051508295656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-0.63447859131898054</v>
      </c>
      <c r="H1037" t="s">
        <v>31</v>
      </c>
      <c r="I1037">
        <f>VLOOKUP(Table4[[#This Row],[Visitor]],'NHL Model'!$A$6:$B$38,2,FALSE)</f>
        <v>0.17870302183926629</v>
      </c>
      <c r="J1037">
        <f>($B$1+Table4[[#This Row],[Home Differential]])-Table4[[#This Row],[Away Differential]]</f>
        <v>-0.76328086423508434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0.56989353689022348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-0.4031232890211825</v>
      </c>
      <c r="H1038" t="s">
        <v>10</v>
      </c>
      <c r="I1038">
        <f>VLOOKUP(Table4[[#This Row],[Visitor]],'NHL Model'!$A$6:$B$38,2,FALSE)</f>
        <v>-0.17619625518431364</v>
      </c>
      <c r="J1038">
        <f>($B$1+Table4[[#This Row],[Home Differential]])-Table4[[#This Row],[Away Differential]]</f>
        <v>-0.17702628491370637</v>
      </c>
      <c r="K1038" t="str">
        <f>IF(Table4[[#This Row],[HomeIce Differential]]&gt;0,Table4[[#This Row],[Home]],Table4[[#This Row],[Visitor]])</f>
        <v>Chicago Blackhawks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0.44023925403906533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-0.9476777551108041</v>
      </c>
      <c r="H1039" t="s">
        <v>29</v>
      </c>
      <c r="I1039">
        <f>VLOOKUP(Table4[[#This Row],[Visitor]],'NHL Model'!$A$6:$B$38,2,FALSE)</f>
        <v>-1.384917283810061</v>
      </c>
      <c r="J1039">
        <f>($B$1+Table4[[#This Row],[Home Differential]])-Table4[[#This Row],[Away Differential]]</f>
        <v>0.48714027762241929</v>
      </c>
      <c r="K1039" t="str">
        <f>IF(Table4[[#This Row],[HomeIce Differential]]&gt;0,Table4[[#This Row],[Home]],Table4[[#This Row],[Visitor]])</f>
        <v>Vancouver Canucks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0.59688081708978125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-0.24444083032063643</v>
      </c>
      <c r="H1040" t="s">
        <v>14</v>
      </c>
      <c r="I1040">
        <f>VLOOKUP(Table4[[#This Row],[Visitor]],'NHL Model'!$A$6:$B$38,2,FALSE)</f>
        <v>-0.14226422156549004</v>
      </c>
      <c r="J1040">
        <f>($B$1+Table4[[#This Row],[Home Differential]])-Table4[[#This Row],[Away Differential]]</f>
        <v>-5.2275859831983934E-2</v>
      </c>
      <c r="K1040" t="str">
        <f>IF(Table4[[#This Row],[HomeIce Differential]]&gt;0,Table4[[#This Row],[Home]],Table4[[#This Row],[Visitor]])</f>
        <v>Pittsburgh Penguins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0.50539071141024106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-0.31324182378279158</v>
      </c>
      <c r="H1041" t="s">
        <v>15</v>
      </c>
      <c r="I1041">
        <f>VLOOKUP(Table4[[#This Row],[Visitor]],'NHL Model'!$A$6:$B$38,2,FALSE)</f>
        <v>-0.29003398448394263</v>
      </c>
      <c r="J1041">
        <f>($B$1+Table4[[#This Row],[Home Differential]])-Table4[[#This Row],[Away Differential]]</f>
        <v>2.6692909624313532E-2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0.44551310452192266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-0.24093199744133265</v>
      </c>
      <c r="H1042" t="s">
        <v>13</v>
      </c>
      <c r="I1042">
        <f>VLOOKUP(Table4[[#This Row],[Visitor]],'NHL Model'!$A$6:$B$38,2,FALSE)</f>
        <v>-0.33828359867721369</v>
      </c>
      <c r="J1042">
        <f>($B$1+Table4[[#This Row],[Home Differential]])-Table4[[#This Row],[Away Differential]]</f>
        <v>0.1472523501590435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0.49087809569696272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-1.3944783719477225</v>
      </c>
      <c r="H1043" t="s">
        <v>17</v>
      </c>
      <c r="I1043">
        <f>VLOOKUP(Table4[[#This Row],[Visitor]],'NHL Model'!$A$6:$B$38,2,FALSE)</f>
        <v>-0.81774666423752174</v>
      </c>
      <c r="J1043">
        <f>($B$1+Table4[[#This Row],[Home Differential]])-Table4[[#This Row],[Away Differential]]</f>
        <v>-0.52683095878703834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0.52151528990839591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-0.4761104357405897</v>
      </c>
      <c r="H1044" t="s">
        <v>19</v>
      </c>
      <c r="I1044">
        <f>VLOOKUP(Table4[[#This Row],[Visitor]],'NHL Model'!$A$6:$B$38,2,FALSE)</f>
        <v>-0.63447859131898054</v>
      </c>
      <c r="J1044">
        <f>($B$1+Table4[[#This Row],[Home Differential]])-Table4[[#This Row],[Away Differential]]</f>
        <v>0.20826890450155333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0.57444071781895778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0.41344250185511977</v>
      </c>
      <c r="H1045" t="s">
        <v>26</v>
      </c>
      <c r="I1045">
        <f>VLOOKUP(Table4[[#This Row],[Visitor]],'NHL Model'!$A$6:$B$38,2,FALSE)</f>
        <v>-0.87533956503230947</v>
      </c>
      <c r="J1045">
        <f>($B$1+Table4[[#This Row],[Home Differential]])-Table4[[#This Row],[Away Differential]]</f>
        <v>1.3386828158105917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0.72855704210243089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-5.5124787449478845E-2</v>
      </c>
      <c r="H1046" t="s">
        <v>15</v>
      </c>
      <c r="I1046">
        <f>VLOOKUP(Table4[[#This Row],[Visitor]],'NHL Model'!$A$6:$B$38,2,FALSE)</f>
        <v>-0.29003398448394263</v>
      </c>
      <c r="J1046">
        <f>($B$1+Table4[[#This Row],[Home Differential]])-Table4[[#This Row],[Away Differential]]</f>
        <v>0.28480994595762626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0.47317429829023583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-0.59288962827382519</v>
      </c>
      <c r="H1047" t="s">
        <v>33</v>
      </c>
      <c r="I1047">
        <f>VLOOKUP(Table4[[#This Row],[Visitor]],'NHL Model'!$A$6:$B$38,2,FALSE)</f>
        <v>-0.45133099238224339</v>
      </c>
      <c r="J1047">
        <f>($B$1+Table4[[#This Row],[Home Differential]])-Table4[[#This Row],[Away Differential]]</f>
        <v>-9.1657886968419366E-2</v>
      </c>
      <c r="K1047" t="str">
        <f>IF(Table4[[#This Row],[HomeIce Differential]]&gt;0,Table4[[#This Row],[Home]],Table4[[#This Row],[Visitor]])</f>
        <v>San Jose Sharks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0.47070241107742589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1.5302507646042616E-3</v>
      </c>
      <c r="H1048" t="s">
        <v>13</v>
      </c>
      <c r="I1048">
        <f>VLOOKUP(Table4[[#This Row],[Visitor]],'NHL Model'!$A$6:$B$38,2,FALSE)</f>
        <v>-0.33828359867721369</v>
      </c>
      <c r="J1048">
        <f>($B$1+Table4[[#This Row],[Home Differential]])-Table4[[#This Row],[Away Differential]]</f>
        <v>0.3897145983649804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0.60106048669162915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-0.24093199744133265</v>
      </c>
      <c r="H1049" t="s">
        <v>16</v>
      </c>
      <c r="I1049">
        <f>VLOOKUP(Table4[[#This Row],[Visitor]],'NHL Model'!$A$6:$B$38,2,FALSE)</f>
        <v>-1.0657812790446208</v>
      </c>
      <c r="J1049">
        <f>($B$1+Table4[[#This Row],[Home Differential]])-Table4[[#This Row],[Away Differential]]</f>
        <v>0.87475003052645062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0.64213997645298715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-0.53137605086483863</v>
      </c>
      <c r="H1050" t="s">
        <v>31</v>
      </c>
      <c r="I1050">
        <f>VLOOKUP(Table4[[#This Row],[Visitor]],'NHL Model'!$A$6:$B$38,2,FALSE)</f>
        <v>0.17870302183926629</v>
      </c>
      <c r="J1050">
        <f>($B$1+Table4[[#This Row],[Home Differential]])-Table4[[#This Row],[Away Differential]]</f>
        <v>-0.66017832378094243</v>
      </c>
      <c r="K1050" t="str">
        <f>IF(Table4[[#This Row],[HomeIce Differential]]&gt;0,Table4[[#This Row],[Home]],Table4[[#This Row],[Visitor]])</f>
        <v>Anaheim Ducks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0.55534643240329606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-0.38023958350631604</v>
      </c>
      <c r="H1051" t="s">
        <v>28</v>
      </c>
      <c r="I1051">
        <f>VLOOKUP(Table4[[#This Row],[Visitor]],'NHL Model'!$A$6:$B$38,2,FALSE)</f>
        <v>-0.59498940435054026</v>
      </c>
      <c r="J1051">
        <f>($B$1+Table4[[#This Row],[Home Differential]])-Table4[[#This Row],[Away Differential]]</f>
        <v>0.26465056976738671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0.58136057558031018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0.51050494674660429</v>
      </c>
      <c r="H1052" t="s">
        <v>25</v>
      </c>
      <c r="I1052">
        <f>VLOOKUP(Table4[[#This Row],[Visitor]],'NHL Model'!$A$6:$B$38,2,FALSE)</f>
        <v>0.42567513732855267</v>
      </c>
      <c r="J1052">
        <f>($B$1+Table4[[#This Row],[Home Differential]])-Table4[[#This Row],[Away Differential]]</f>
        <v>0.13473055834121406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0.5157317811674581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-0.4031232890211825</v>
      </c>
      <c r="H1053" t="s">
        <v>14</v>
      </c>
      <c r="I1053">
        <f>VLOOKUP(Table4[[#This Row],[Visitor]],'NHL Model'!$A$6:$B$38,2,FALSE)</f>
        <v>-0.14226422156549004</v>
      </c>
      <c r="J1053">
        <f>($B$1+Table4[[#This Row],[Home Differential]])-Table4[[#This Row],[Away Differential]]</f>
        <v>-0.21095831853252997</v>
      </c>
      <c r="K1053" t="str">
        <f>IF(Table4[[#This Row],[HomeIce Differential]]&gt;0,Table4[[#This Row],[Home]],Table4[[#This Row],[Visitor]])</f>
        <v>Pittsburgh Penguins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0.48296583054457271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-0.9476777551108041</v>
      </c>
      <c r="H1054" t="s">
        <v>32</v>
      </c>
      <c r="I1054">
        <f>VLOOKUP(Table4[[#This Row],[Visitor]],'NHL Model'!$A$6:$B$38,2,FALSE)</f>
        <v>-0.64937723527808999</v>
      </c>
      <c r="J1054">
        <f>($B$1+Table4[[#This Row],[Home Differential]])-Table4[[#This Row],[Away Differential]]</f>
        <v>-0.24839977090955168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0.48900433937265447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-0.24444083032063643</v>
      </c>
      <c r="H1055" t="s">
        <v>10</v>
      </c>
      <c r="I1055">
        <f>VLOOKUP(Table4[[#This Row],[Visitor]],'NHL Model'!$A$6:$B$38,2,FALSE)</f>
        <v>-0.17619625518431364</v>
      </c>
      <c r="J1055">
        <f>($B$1+Table4[[#This Row],[Home Differential]])-Table4[[#This Row],[Away Differential]]</f>
        <v>-1.834382621316033E-2</v>
      </c>
      <c r="K1055" t="str">
        <f>IF(Table4[[#This Row],[HomeIce Differential]]&gt;0,Table4[[#This Row],[Home]],Table4[[#This Row],[Visitor]])</f>
        <v>Chicago Blackhawks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0.46214191244593872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-0.31324182378279158</v>
      </c>
      <c r="H1056" t="s">
        <v>12</v>
      </c>
      <c r="I1056">
        <f>VLOOKUP(Table4[[#This Row],[Visitor]],'NHL Model'!$A$6:$B$38,2,FALSE)</f>
        <v>1.6319036584269762</v>
      </c>
      <c r="J1056">
        <f>($B$1+Table4[[#This Row],[Home Differential]])-Table4[[#This Row],[Away Differential]]</f>
        <v>-1.8952447332866051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0.75141827635481073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0.4407072328537569</v>
      </c>
      <c r="H1057" t="s">
        <v>21</v>
      </c>
      <c r="I1057">
        <f>VLOOKUP(Table4[[#This Row],[Visitor]],'NHL Model'!$A$6:$B$38,2,FALSE)</f>
        <v>-0.21976976044773161</v>
      </c>
      <c r="J1057">
        <f>($B$1+Table4[[#This Row],[Home Differential]])-Table4[[#This Row],[Away Differential]]</f>
        <v>0.710377742224651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0.64816447713626768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-0.81774666423752174</v>
      </c>
      <c r="H1058" t="s">
        <v>29</v>
      </c>
      <c r="I1058">
        <f>VLOOKUP(Table4[[#This Row],[Visitor]],'NHL Model'!$A$6:$B$38,2,FALSE)</f>
        <v>-1.384917283810061</v>
      </c>
      <c r="J1058">
        <f>($B$1+Table4[[#This Row],[Home Differential]])-Table4[[#This Row],[Away Differential]]</f>
        <v>0.61707136849570166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0.61909814145523023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-5.5124787449478845E-2</v>
      </c>
      <c r="H1059" t="s">
        <v>19</v>
      </c>
      <c r="I1059">
        <f>VLOOKUP(Table4[[#This Row],[Visitor]],'NHL Model'!$A$6:$B$38,2,FALSE)</f>
        <v>-0.63447859131898054</v>
      </c>
      <c r="J1059">
        <f>($B$1+Table4[[#This Row],[Home Differential]])-Table4[[#This Row],[Away Differential]]</f>
        <v>0.62925455279266418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0.61347475617291136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-0.59288962827382519</v>
      </c>
      <c r="H1060" t="s">
        <v>31</v>
      </c>
      <c r="I1060">
        <f>VLOOKUP(Table4[[#This Row],[Visitor]],'NHL Model'!$A$6:$B$38,2,FALSE)</f>
        <v>0.17870302183926629</v>
      </c>
      <c r="J1060">
        <f>($B$1+Table4[[#This Row],[Home Differential]])-Table4[[#This Row],[Away Differential]]</f>
        <v>-0.72169190118992899</v>
      </c>
      <c r="K1060" t="str">
        <f>IF(Table4[[#This Row],[HomeIce Differential]]&gt;0,Table4[[#This Row],[Home]],Table4[[#This Row],[Visitor]])</f>
        <v>Anaheim Ducks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0.56503741164541521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-0.53137605086483863</v>
      </c>
      <c r="H1061" t="s">
        <v>33</v>
      </c>
      <c r="I1061">
        <f>VLOOKUP(Table4[[#This Row],[Visitor]],'NHL Model'!$A$6:$B$38,2,FALSE)</f>
        <v>-0.45133099238224339</v>
      </c>
      <c r="J1061">
        <f>($B$1+Table4[[#This Row],[Home Differential]])-Table4[[#This Row],[Away Differential]]</f>
        <v>-3.0144309559432758E-2</v>
      </c>
      <c r="K1061" t="str">
        <f>IF(Table4[[#This Row],[HomeIce Differential]]&gt;0,Table4[[#This Row],[Home]],Table4[[#This Row],[Visitor]])</f>
        <v>San Jose Sharks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0.4610243138349801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-0.64937723527808999</v>
      </c>
      <c r="H1062" t="s">
        <v>11</v>
      </c>
      <c r="I1062">
        <f>VLOOKUP(Table4[[#This Row],[Visitor]],'NHL Model'!$A$6:$B$38,2,FALSE)</f>
        <v>-0.39711829106410657</v>
      </c>
      <c r="J1062">
        <f>($B$1+Table4[[#This Row],[Home Differential]])-Table4[[#This Row],[Away Differential]]</f>
        <v>-0.202358195290821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0.48362830589400985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-0.31324182378279158</v>
      </c>
      <c r="H1063" t="s">
        <v>35</v>
      </c>
      <c r="I1063">
        <f>VLOOKUP(Table4[[#This Row],[Visitor]],'NHL Model'!$A$6:$B$38,2,FALSE)</f>
        <v>-1.3944783719477225</v>
      </c>
      <c r="J1063">
        <f>($B$1+Table4[[#This Row],[Home Differential]])-Table4[[#This Row],[Away Differential]]</f>
        <v>1.1311372970880935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0.67457245303438529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1.6319036584269762</v>
      </c>
      <c r="H1064" t="s">
        <v>14</v>
      </c>
      <c r="I1064">
        <f>VLOOKUP(Table4[[#This Row],[Visitor]],'NHL Model'!$A$6:$B$38,2,FALSE)</f>
        <v>-0.14226422156549004</v>
      </c>
      <c r="J1064">
        <f>($B$1+Table4[[#This Row],[Home Differential]])-Table4[[#This Row],[Away Differential]]</f>
        <v>1.8240686289156287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0.82046356927148056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0.41344250185511977</v>
      </c>
      <c r="H1065" t="s">
        <v>55</v>
      </c>
      <c r="I1065">
        <f>VLOOKUP(Table4[[#This Row],[Visitor]],'NHL Model'!$A$6:$B$38,2,FALSE)</f>
        <v>-0.4031232890211825</v>
      </c>
      <c r="J1065">
        <f>($B$1+Table4[[#This Row],[Home Differential]])-Table4[[#This Row],[Away Differential]]</f>
        <v>0.86646653979946475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0.67341882246331153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-0.87533956503230947</v>
      </c>
      <c r="H1066" t="s">
        <v>16</v>
      </c>
      <c r="I1066">
        <f>VLOOKUP(Table4[[#This Row],[Visitor]],'NHL Model'!$A$6:$B$38,2,FALSE)</f>
        <v>-1.0657812790446208</v>
      </c>
      <c r="J1066">
        <f>($B$1+Table4[[#This Row],[Home Differential]])-Table4[[#This Row],[Away Differential]]</f>
        <v>0.24034246293547379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0.56806352974930241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1.5302507646042616E-3</v>
      </c>
      <c r="H1067" t="s">
        <v>21</v>
      </c>
      <c r="I1067">
        <f>VLOOKUP(Table4[[#This Row],[Visitor]],'NHL Model'!$A$6:$B$38,2,FALSE)</f>
        <v>-0.21976976044773161</v>
      </c>
      <c r="J1067">
        <f>($B$1+Table4[[#This Row],[Home Differential]])-Table4[[#This Row],[Away Differential]]</f>
        <v>0.27120076013549832</v>
      </c>
      <c r="K1067" t="str">
        <f>IF(Table4[[#This Row],[HomeIce Differential]]&gt;0,Table4[[#This Row],[Home]],Table4[[#This Row],[Visitor]])</f>
        <v>New Jersey Devils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0.65071431043098604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-0.29003398448394263</v>
      </c>
      <c r="H1068" t="s">
        <v>13</v>
      </c>
      <c r="I1068">
        <f>VLOOKUP(Table4[[#This Row],[Visitor]],'NHL Model'!$A$6:$B$38,2,FALSE)</f>
        <v>-0.33828359867721369</v>
      </c>
      <c r="J1068">
        <f>($B$1+Table4[[#This Row],[Home Differential]])-Table4[[#This Row],[Away Differential]]</f>
        <v>9.815036311643352E-2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0.48514471401613135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-0.59498940435054026</v>
      </c>
      <c r="H1069" t="s">
        <v>25</v>
      </c>
      <c r="I1069">
        <f>VLOOKUP(Table4[[#This Row],[Visitor]],'NHL Model'!$A$6:$B$38,2,FALSE)</f>
        <v>0.42567513732855267</v>
      </c>
      <c r="J1069">
        <f>($B$1+Table4[[#This Row],[Home Differential]])-Table4[[#This Row],[Away Differential]]</f>
        <v>-0.9707637927559305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0.64597416936312857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-0.17619625518431364</v>
      </c>
      <c r="H1070" t="s">
        <v>34</v>
      </c>
      <c r="I1070">
        <f>VLOOKUP(Table4[[#This Row],[Visitor]],'NHL Model'!$A$6:$B$38,2,FALSE)</f>
        <v>-5.5124787449478845E-2</v>
      </c>
      <c r="J1070">
        <f>($B$1+Table4[[#This Row],[Home Differential]])-Table4[[#This Row],[Away Differential]]</f>
        <v>-7.1170718811672334E-2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0.51082279464017433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-0.81774666423752174</v>
      </c>
      <c r="H1071" t="s">
        <v>33</v>
      </c>
      <c r="I1071">
        <f>VLOOKUP(Table4[[#This Row],[Visitor]],'NHL Model'!$A$6:$B$38,2,FALSE)</f>
        <v>-0.45133099238224339</v>
      </c>
      <c r="J1071">
        <f>($B$1+Table4[[#This Row],[Home Differential]])-Table4[[#This Row],[Away Differential]]</f>
        <v>-0.31651492293211592</v>
      </c>
      <c r="K1071" t="str">
        <f>IF(Table4[[#This Row],[HomeIce Differential]]&gt;0,Table4[[#This Row],[Home]],Table4[[#This Row],[Visitor]])</f>
        <v>San Jose Sharks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0.48991183681922673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-0.59288962827382519</v>
      </c>
      <c r="H1072" t="s">
        <v>21</v>
      </c>
      <c r="I1072">
        <f>VLOOKUP(Table4[[#This Row],[Visitor]],'NHL Model'!$A$6:$B$38,2,FALSE)</f>
        <v>-0.21976976044773161</v>
      </c>
      <c r="J1072">
        <f>($B$1+Table4[[#This Row],[Home Differential]])-Table4[[#This Row],[Away Differential]]</f>
        <v>-0.32321911890293115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0.49857009559320375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-0.64937723527808999</v>
      </c>
      <c r="H1073" t="s">
        <v>37</v>
      </c>
      <c r="I1073">
        <f>VLOOKUP(Table4[[#This Row],[Visitor]],'NHL Model'!$A$6:$B$38,2,FALSE)</f>
        <v>0.51050494674660429</v>
      </c>
      <c r="J1073">
        <f>($B$1+Table4[[#This Row],[Home Differential]])-Table4[[#This Row],[Away Differential]]</f>
        <v>-1.1099814331015319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0.68209290231665043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-0.63447859131898054</v>
      </c>
      <c r="H1074" t="s">
        <v>30</v>
      </c>
      <c r="I1074">
        <f>VLOOKUP(Table4[[#This Row],[Visitor]],'NHL Model'!$A$6:$B$38,2,FALSE)</f>
        <v>-0.24093199744133265</v>
      </c>
      <c r="J1074">
        <f>($B$1+Table4[[#This Row],[Home Differential]])-Table4[[#This Row],[Away Differential]]</f>
        <v>-0.34364584495448547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0.5727488933569812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-0.9476777551108041</v>
      </c>
      <c r="H1075" t="s">
        <v>11</v>
      </c>
      <c r="I1075">
        <f>VLOOKUP(Table4[[#This Row],[Visitor]],'NHL Model'!$A$6:$B$38,2,FALSE)</f>
        <v>-0.39711829106410657</v>
      </c>
      <c r="J1075">
        <f>($B$1+Table4[[#This Row],[Home Differential]])-Table4[[#This Row],[Away Differential]]</f>
        <v>-0.5006587151235351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0.51845929418593417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-0.24444083032063643</v>
      </c>
      <c r="H1076" t="s">
        <v>23</v>
      </c>
      <c r="I1076">
        <f>VLOOKUP(Table4[[#This Row],[Visitor]],'NHL Model'!$A$6:$B$38,2,FALSE)</f>
        <v>-0.4761104357405897</v>
      </c>
      <c r="J1076">
        <f>($B$1+Table4[[#This Row],[Home Differential]])-Table4[[#This Row],[Away Differential]]</f>
        <v>0.28157035434311573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0.57287749455139403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-0.31324182378279158</v>
      </c>
      <c r="H1077" t="s">
        <v>29</v>
      </c>
      <c r="I1077">
        <f>VLOOKUP(Table4[[#This Row],[Visitor]],'NHL Model'!$A$6:$B$38,2,FALSE)</f>
        <v>-1.384917283810061</v>
      </c>
      <c r="J1077">
        <f>($B$1+Table4[[#This Row],[Home Differential]])-Table4[[#This Row],[Away Differential]]</f>
        <v>1.1215762089504318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0.67345605488272364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0.17870302183926629</v>
      </c>
      <c r="H1078" t="s">
        <v>27</v>
      </c>
      <c r="I1078">
        <f>VLOOKUP(Table4[[#This Row],[Visitor]],'NHL Model'!$A$6:$B$38,2,FALSE)</f>
        <v>-0.38023958350631604</v>
      </c>
      <c r="J1078">
        <f>($B$1+Table4[[#This Row],[Home Differential]])-Table4[[#This Row],[Away Differential]]</f>
        <v>0.60884335426874481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0.65003881591850643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0.42567513732855267</v>
      </c>
      <c r="H1079" t="s">
        <v>14</v>
      </c>
      <c r="I1079">
        <f>VLOOKUP(Table4[[#This Row],[Visitor]],'NHL Model'!$A$6:$B$38,2,FALSE)</f>
        <v>-0.14226422156549004</v>
      </c>
      <c r="J1079">
        <f>($B$1+Table4[[#This Row],[Home Differential]])-Table4[[#This Row],[Away Differential]]</f>
        <v>0.61784010781720522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0.62533344061854423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-1.0657812790446208</v>
      </c>
      <c r="H1080" t="s">
        <v>35</v>
      </c>
      <c r="I1080">
        <f>VLOOKUP(Table4[[#This Row],[Visitor]],'NHL Model'!$A$6:$B$38,2,FALSE)</f>
        <v>-1.3944783719477225</v>
      </c>
      <c r="J1080">
        <f>($B$1+Table4[[#This Row],[Home Differential]])-Table4[[#This Row],[Away Differential]]</f>
        <v>0.3785978418262641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0.58420688573856194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1.6319036584269762</v>
      </c>
      <c r="H1081" t="s">
        <v>39</v>
      </c>
      <c r="I1081">
        <f>VLOOKUP(Table4[[#This Row],[Visitor]],'NHL Model'!$A$6:$B$38,2,FALSE)</f>
        <v>0.41344250185511977</v>
      </c>
      <c r="J1081">
        <f>($B$1+Table4[[#This Row],[Home Differential]])-Table4[[#This Row],[Away Differential]]</f>
        <v>1.2683619054950188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0.69431845954718507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-0.29003398448394263</v>
      </c>
      <c r="H1082" t="s">
        <v>24</v>
      </c>
      <c r="I1082">
        <f>VLOOKUP(Table4[[#This Row],[Visitor]],'NHL Model'!$A$6:$B$38,2,FALSE)</f>
        <v>1.5302507646042616E-3</v>
      </c>
      <c r="J1082">
        <f>($B$1+Table4[[#This Row],[Home Differential]])-Table4[[#This Row],[Away Differential]]</f>
        <v>-0.24166348632538442</v>
      </c>
      <c r="K1082" t="str">
        <f>IF(Table4[[#This Row],[HomeIce Differential]]&gt;0,Table4[[#This Row],[Home]],Table4[[#This Row],[Visitor]])</f>
        <v>New Jersey Devils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0.50898700949621889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0.4407072328537569</v>
      </c>
      <c r="H1083" t="s">
        <v>36</v>
      </c>
      <c r="I1083">
        <f>VLOOKUP(Table4[[#This Row],[Visitor]],'NHL Model'!$A$6:$B$38,2,FALSE)</f>
        <v>-0.53137605086483863</v>
      </c>
      <c r="J1083">
        <f>($B$1+Table4[[#This Row],[Home Differential]])-Table4[[#This Row],[Away Differential]]</f>
        <v>1.021984032641758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0.68536945506778668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-0.21976976044773161</v>
      </c>
      <c r="H1084" t="s">
        <v>40</v>
      </c>
      <c r="I1084">
        <f>VLOOKUP(Table4[[#This Row],[Visitor]],'NHL Model'!$A$6:$B$38,2,FALSE)</f>
        <v>-0.31324182378279158</v>
      </c>
      <c r="J1084">
        <f>($B$1+Table4[[#This Row],[Home Differential]])-Table4[[#This Row],[Away Differential]]</f>
        <v>0.14337281225822243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0.57924089186283334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-0.59498940435054026</v>
      </c>
      <c r="H1085" t="s">
        <v>15</v>
      </c>
      <c r="I1085">
        <f>VLOOKUP(Table4[[#This Row],[Visitor]],'NHL Model'!$A$6:$B$38,2,FALSE)</f>
        <v>-0.29003398448394263</v>
      </c>
      <c r="J1085">
        <f>($B$1+Table4[[#This Row],[Home Differential]])-Table4[[#This Row],[Away Differential]]</f>
        <v>-0.2550546709434352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0.5898628635660369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-0.87533956503230947</v>
      </c>
      <c r="H1086" t="s">
        <v>18</v>
      </c>
      <c r="I1086">
        <f>VLOOKUP(Table4[[#This Row],[Visitor]],'NHL Model'!$A$6:$B$38,2,FALSE)</f>
        <v>-0.59288962827382519</v>
      </c>
      <c r="J1086">
        <f>($B$1+Table4[[#This Row],[Home Differential]])-Table4[[#This Row],[Away Differential]]</f>
        <v>-0.23254918783532186</v>
      </c>
      <c r="K1086" t="str">
        <f>IF(Table4[[#This Row],[HomeIce Differential]]&gt;0,Table4[[#This Row],[Home]],Table4[[#This Row],[Visitor]])</f>
        <v>Montreal Canadiens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0.54644138368872142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-0.81774666423752174</v>
      </c>
      <c r="H1087" t="s">
        <v>11</v>
      </c>
      <c r="I1087">
        <f>VLOOKUP(Table4[[#This Row],[Visitor]],'NHL Model'!$A$6:$B$38,2,FALSE)</f>
        <v>-0.39711829106410657</v>
      </c>
      <c r="J1087">
        <f>($B$1+Table4[[#This Row],[Home Differential]])-Table4[[#This Row],[Away Differential]]</f>
        <v>-0.37072762425025274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0.49624196982048518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-0.33828359867721369</v>
      </c>
      <c r="H1088" t="s">
        <v>27</v>
      </c>
      <c r="I1088">
        <f>VLOOKUP(Table4[[#This Row],[Visitor]],'NHL Model'!$A$6:$B$38,2,FALSE)</f>
        <v>-0.38023958350631604</v>
      </c>
      <c r="J1088">
        <f>($B$1+Table4[[#This Row],[Home Differential]])-Table4[[#This Row],[Away Differential]]</f>
        <v>9.185673375226483E-2</v>
      </c>
      <c r="K1088" t="str">
        <f>IF(Table4[[#This Row],[HomeIce Differential]]&gt;0,Table4[[#This Row],[Home]],Table4[[#This Row],[Visitor]])</f>
        <v>Los Angeles Kings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0.50821306656013865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-5.5124787449478845E-2</v>
      </c>
      <c r="H1089" t="s">
        <v>10</v>
      </c>
      <c r="I1089">
        <f>VLOOKUP(Table4[[#This Row],[Visitor]],'NHL Model'!$A$6:$B$38,2,FALSE)</f>
        <v>-0.17619625518431364</v>
      </c>
      <c r="J1089">
        <f>($B$1+Table4[[#This Row],[Home Differential]])-Table4[[#This Row],[Away Differential]]</f>
        <v>0.17097221665799728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0.5599635296646438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-1.384917283810061</v>
      </c>
      <c r="H1090" t="s">
        <v>32</v>
      </c>
      <c r="I1090">
        <f>VLOOKUP(Table4[[#This Row],[Visitor]],'NHL Model'!$A$6:$B$38,2,FALSE)</f>
        <v>-0.64937723527808999</v>
      </c>
      <c r="J1090">
        <f>($B$1+Table4[[#This Row],[Home Differential]])-Table4[[#This Row],[Away Differential]]</f>
        <v>-0.68563929960880854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0.54005850754316576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-0.53137605086483863</v>
      </c>
      <c r="H1091" t="s">
        <v>30</v>
      </c>
      <c r="I1091">
        <f>VLOOKUP(Table4[[#This Row],[Visitor]],'NHL Model'!$A$6:$B$38,2,FALSE)</f>
        <v>-0.24093199744133265</v>
      </c>
      <c r="J1091">
        <f>($B$1+Table4[[#This Row],[Home Differential]])-Table4[[#This Row],[Away Differential]]</f>
        <v>-0.2405433045003435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0.55820746289392176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-0.45133099238224339</v>
      </c>
      <c r="H1092" t="s">
        <v>23</v>
      </c>
      <c r="I1092">
        <f>VLOOKUP(Table4[[#This Row],[Visitor]],'NHL Model'!$A$6:$B$38,2,FALSE)</f>
        <v>-0.4761104357405897</v>
      </c>
      <c r="J1092">
        <f>($B$1+Table4[[#This Row],[Home Differential]])-Table4[[#This Row],[Away Differential]]</f>
        <v>7.4680192281508795E-2</v>
      </c>
      <c r="K1092" t="str">
        <f>IF(Table4[[#This Row],[HomeIce Differential]]&gt;0,Table4[[#This Row],[Home]],Table4[[#This Row],[Visitor]])</f>
        <v>San Jose Sharks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0.55884226403859216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-0.9476777551108041</v>
      </c>
      <c r="H1093" t="s">
        <v>37</v>
      </c>
      <c r="I1093">
        <f>VLOOKUP(Table4[[#This Row],[Visitor]],'NHL Model'!$A$6:$B$38,2,FALSE)</f>
        <v>0.51050494674660429</v>
      </c>
      <c r="J1093">
        <f>($B$1+Table4[[#This Row],[Home Differential]])-Table4[[#This Row],[Away Differential]]</f>
        <v>-1.4082819529342459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0.71692389060857475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-0.24444083032063643</v>
      </c>
      <c r="H1094" t="s">
        <v>55</v>
      </c>
      <c r="I1094">
        <f>VLOOKUP(Table4[[#This Row],[Visitor]],'NHL Model'!$A$6:$B$38,2,FALSE)</f>
        <v>-0.4031232890211825</v>
      </c>
      <c r="J1094">
        <f>($B$1+Table4[[#This Row],[Home Differential]])-Table4[[#This Row],[Away Differential]]</f>
        <v>0.20858320762370852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0.56435516795849938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-1.0657812790446208</v>
      </c>
      <c r="H1095" t="s">
        <v>11</v>
      </c>
      <c r="I1095">
        <f>VLOOKUP(Table4[[#This Row],[Visitor]],'NHL Model'!$A$6:$B$38,2,FALSE)</f>
        <v>-0.39711829106410657</v>
      </c>
      <c r="J1095">
        <f>($B$1+Table4[[#This Row],[Home Differential]])-Table4[[#This Row],[Away Differential]]</f>
        <v>-0.61876223905735184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0.53224962368881501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-0.17619625518431364</v>
      </c>
      <c r="H1096" t="s">
        <v>12</v>
      </c>
      <c r="I1096">
        <f>VLOOKUP(Table4[[#This Row],[Visitor]],'NHL Model'!$A$6:$B$38,2,FALSE)</f>
        <v>1.6319036584269762</v>
      </c>
      <c r="J1096">
        <f>($B$1+Table4[[#This Row],[Home Differential]])-Table4[[#This Row],[Away Differential]]</f>
        <v>-1.7581991646881274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0.73791887075284956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-0.63447859131898054</v>
      </c>
      <c r="H1097" t="s">
        <v>25</v>
      </c>
      <c r="I1097">
        <f>VLOOKUP(Table4[[#This Row],[Visitor]],'NHL Model'!$A$6:$B$38,2,FALSE)</f>
        <v>0.42567513732855267</v>
      </c>
      <c r="J1097">
        <f>($B$1+Table4[[#This Row],[Home Differential]])-Table4[[#This Row],[Away Differential]]</f>
        <v>-1.0102529797243709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0.6505851147604973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-0.4031232890211825</v>
      </c>
      <c r="H1098" t="s">
        <v>31</v>
      </c>
      <c r="I1098">
        <f>VLOOKUP(Table4[[#This Row],[Visitor]],'NHL Model'!$A$6:$B$38,2,FALSE)</f>
        <v>0.17870302183926629</v>
      </c>
      <c r="J1098">
        <f>($B$1+Table4[[#This Row],[Home Differential]])-Table4[[#This Row],[Away Differential]]</f>
        <v>-0.53192556193728624</v>
      </c>
      <c r="K1098" t="str">
        <f>IF(Table4[[#This Row],[HomeIce Differential]]&gt;0,Table4[[#This Row],[Home]],Table4[[#This Row],[Visitor]])</f>
        <v>Anaheim Ducks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0.50211016001716335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0.4407072328537569</v>
      </c>
      <c r="H1099" t="s">
        <v>24</v>
      </c>
      <c r="I1099">
        <f>VLOOKUP(Table4[[#This Row],[Visitor]],'NHL Model'!$A$6:$B$38,2,FALSE)</f>
        <v>1.5302507646042616E-3</v>
      </c>
      <c r="J1099">
        <f>($B$1+Table4[[#This Row],[Home Differential]])-Table4[[#This Row],[Away Differential]]</f>
        <v>0.48907773101231511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0.6025615888223681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-0.59498940435054026</v>
      </c>
      <c r="H1100" t="s">
        <v>32</v>
      </c>
      <c r="I1100">
        <f>VLOOKUP(Table4[[#This Row],[Visitor]],'NHL Model'!$A$6:$B$38,2,FALSE)</f>
        <v>-0.64937723527808999</v>
      </c>
      <c r="J1100">
        <f>($B$1+Table4[[#This Row],[Home Differential]])-Table4[[#This Row],[Away Differential]]</f>
        <v>0.10428857985071216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0.55217723088715587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-0.87533956503230947</v>
      </c>
      <c r="H1101" t="s">
        <v>21</v>
      </c>
      <c r="I1101">
        <f>VLOOKUP(Table4[[#This Row],[Visitor]],'NHL Model'!$A$6:$B$38,2,FALSE)</f>
        <v>-0.21976976044773161</v>
      </c>
      <c r="J1101">
        <f>($B$1+Table4[[#This Row],[Home Differential]])-Table4[[#This Row],[Away Differential]]</f>
        <v>-0.60566905566141549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0.53155029437330192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-0.81774666423752174</v>
      </c>
      <c r="H1102" t="s">
        <v>37</v>
      </c>
      <c r="I1102">
        <f>VLOOKUP(Table4[[#This Row],[Visitor]],'NHL Model'!$A$6:$B$38,2,FALSE)</f>
        <v>0.51050494674660429</v>
      </c>
      <c r="J1102">
        <f>($B$1+Table4[[#This Row],[Home Differential]])-Table4[[#This Row],[Away Differential]]</f>
        <v>-1.2783508620609636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0.69472087571232355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-0.33828359867721369</v>
      </c>
      <c r="H1103" t="s">
        <v>23</v>
      </c>
      <c r="I1103">
        <f>VLOOKUP(Table4[[#This Row],[Visitor]],'NHL Model'!$A$6:$B$38,2,FALSE)</f>
        <v>-0.4761104357405897</v>
      </c>
      <c r="J1103">
        <f>($B$1+Table4[[#This Row],[Home Differential]])-Table4[[#This Row],[Away Differential]]</f>
        <v>0.18772758598653849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0.5619199663253529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-5.5124787449478845E-2</v>
      </c>
      <c r="H1104" t="s">
        <v>39</v>
      </c>
      <c r="I1104">
        <f>VLOOKUP(Table4[[#This Row],[Visitor]],'NHL Model'!$A$6:$B$38,2,FALSE)</f>
        <v>0.41344250185511977</v>
      </c>
      <c r="J1104">
        <f>($B$1+Table4[[#This Row],[Home Differential]])-Table4[[#This Row],[Away Differential]]</f>
        <v>-0.41866654038143614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0.61068325047565086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-0.59288962827382519</v>
      </c>
      <c r="H1105" t="s">
        <v>30</v>
      </c>
      <c r="I1105">
        <f>VLOOKUP(Table4[[#This Row],[Visitor]],'NHL Model'!$A$6:$B$38,2,FALSE)</f>
        <v>-0.24093199744133265</v>
      </c>
      <c r="J1105">
        <f>($B$1+Table4[[#This Row],[Home Differential]])-Table4[[#This Row],[Away Differential]]</f>
        <v>-0.30205688190933011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0.56789276811217293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-1.384917283810061</v>
      </c>
      <c r="H1106" t="s">
        <v>20</v>
      </c>
      <c r="I1106">
        <f>VLOOKUP(Table4[[#This Row],[Visitor]],'NHL Model'!$A$6:$B$38,2,FALSE)</f>
        <v>-0.24444083032063643</v>
      </c>
      <c r="J1106">
        <f>($B$1+Table4[[#This Row],[Home Differential]])-Table4[[#This Row],[Away Differential]]</f>
        <v>-1.0905757045662621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0.58734080925674181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-0.53137605086483863</v>
      </c>
      <c r="H1107" t="s">
        <v>19</v>
      </c>
      <c r="I1107">
        <f>VLOOKUP(Table4[[#This Row],[Visitor]],'NHL Model'!$A$6:$B$38,2,FALSE)</f>
        <v>-0.63447859131898054</v>
      </c>
      <c r="J1107">
        <f>($B$1+Table4[[#This Row],[Home Differential]])-Table4[[#This Row],[Away Differential]]</f>
        <v>0.1530032893773044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0.56036087140652391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-0.14226422156549004</v>
      </c>
      <c r="H1108" t="s">
        <v>40</v>
      </c>
      <c r="I1108">
        <f>VLOOKUP(Table4[[#This Row],[Visitor]],'NHL Model'!$A$6:$B$38,2,FALSE)</f>
        <v>-0.31324182378279158</v>
      </c>
      <c r="J1108">
        <f>($B$1+Table4[[#This Row],[Home Differential]])-Table4[[#This Row],[Away Differential]]</f>
        <v>0.220878351140464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0.54502157665821693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-0.45133099238224339</v>
      </c>
      <c r="H1109" t="s">
        <v>27</v>
      </c>
      <c r="I1109">
        <f>VLOOKUP(Table4[[#This Row],[Visitor]],'NHL Model'!$A$6:$B$38,2,FALSE)</f>
        <v>-0.38023958350631604</v>
      </c>
      <c r="J1109">
        <f>($B$1+Table4[[#This Row],[Home Differential]])-Table4[[#This Row],[Away Differential]]</f>
        <v>-2.1190659952764868E-2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0.49478201460899707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-0.9476777551108041</v>
      </c>
      <c r="H1110" t="s">
        <v>35</v>
      </c>
      <c r="I1110">
        <f>VLOOKUP(Table4[[#This Row],[Visitor]],'NHL Model'!$A$6:$B$38,2,FALSE)</f>
        <v>-1.3944783719477225</v>
      </c>
      <c r="J1110">
        <f>($B$1+Table4[[#This Row],[Home Differential]])-Table4[[#This Row],[Away Differential]]</f>
        <v>0.49670136576008084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0.59799721524144278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0.17870302183926629</v>
      </c>
      <c r="H1111" t="s">
        <v>23</v>
      </c>
      <c r="I1111">
        <f>VLOOKUP(Table4[[#This Row],[Visitor]],'NHL Model'!$A$6:$B$38,2,FALSE)</f>
        <v>-0.4761104357405897</v>
      </c>
      <c r="J1111">
        <f>($B$1+Table4[[#This Row],[Home Differential]])-Table4[[#This Row],[Away Differential]]</f>
        <v>0.70471420650301841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0.70212049519239939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-1.0657812790446208</v>
      </c>
      <c r="H1112" t="s">
        <v>37</v>
      </c>
      <c r="I1112">
        <f>VLOOKUP(Table4[[#This Row],[Visitor]],'NHL Model'!$A$6:$B$38,2,FALSE)</f>
        <v>0.51050494674660429</v>
      </c>
      <c r="J1112">
        <f>($B$1+Table4[[#This Row],[Home Differential]])-Table4[[#This Row],[Away Differential]]</f>
        <v>-1.5263854768680627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0.73071422011145559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-0.17619625518431364</v>
      </c>
      <c r="H1113" t="s">
        <v>29</v>
      </c>
      <c r="I1113">
        <f>VLOOKUP(Table4[[#This Row],[Visitor]],'NHL Model'!$A$6:$B$38,2,FALSE)</f>
        <v>-1.384917283810061</v>
      </c>
      <c r="J1113">
        <f>($B$1+Table4[[#This Row],[Home Differential]])-Table4[[#This Row],[Away Differential]]</f>
        <v>1.2586217775489097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0.68696266846049026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0.41344250185511977</v>
      </c>
      <c r="H1114" t="s">
        <v>20</v>
      </c>
      <c r="I1114">
        <f>VLOOKUP(Table4[[#This Row],[Visitor]],'NHL Model'!$A$6:$B$38,2,FALSE)</f>
        <v>-0.24444083032063643</v>
      </c>
      <c r="J1114">
        <f>($B$1+Table4[[#This Row],[Home Differential]])-Table4[[#This Row],[Away Differential]]</f>
        <v>0.70778408109891866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0.65489030342408205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-0.24093199744133265</v>
      </c>
      <c r="H1115" t="s">
        <v>28</v>
      </c>
      <c r="I1115">
        <f>VLOOKUP(Table4[[#This Row],[Visitor]],'NHL Model'!$A$6:$B$38,2,FALSE)</f>
        <v>-0.59498940435054026</v>
      </c>
      <c r="J1115">
        <f>($B$1+Table4[[#This Row],[Home Differential]])-Table4[[#This Row],[Away Differential]]</f>
        <v>0.40395815583237005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0.5835919177498986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-0.29003398448394263</v>
      </c>
      <c r="H1116" t="s">
        <v>40</v>
      </c>
      <c r="I1116">
        <f>VLOOKUP(Table4[[#This Row],[Visitor]],'NHL Model'!$A$6:$B$38,2,FALSE)</f>
        <v>-0.31324182378279158</v>
      </c>
      <c r="J1116">
        <f>($B$1+Table4[[#This Row],[Home Differential]])-Table4[[#This Row],[Away Differential]]</f>
        <v>7.3108588222011411E-2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0.52776727591144157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-0.14226422156549004</v>
      </c>
      <c r="H1117" t="s">
        <v>25</v>
      </c>
      <c r="I1117">
        <f>VLOOKUP(Table4[[#This Row],[Visitor]],'NHL Model'!$A$6:$B$38,2,FALSE)</f>
        <v>0.42567513732855267</v>
      </c>
      <c r="J1117">
        <f>($B$1+Table4[[#This Row],[Home Differential]])-Table4[[#This Row],[Away Differential]]</f>
        <v>-0.51803860997088025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0.59311182252615857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-0.4031232890211825</v>
      </c>
      <c r="H1118" t="s">
        <v>13</v>
      </c>
      <c r="I1118">
        <f>VLOOKUP(Table4[[#This Row],[Visitor]],'NHL Model'!$A$6:$B$38,2,FALSE)</f>
        <v>-0.33828359867721369</v>
      </c>
      <c r="J1118">
        <f>($B$1+Table4[[#This Row],[Home Differential]])-Table4[[#This Row],[Away Differential]]</f>
        <v>-1.4938941420806318E-2</v>
      </c>
      <c r="K1118" t="str">
        <f>IF(Table4[[#This Row],[HomeIce Differential]]&gt;0,Table4[[#This Row],[Home]],Table4[[#This Row],[Visitor]])</f>
        <v>Los Angeles Kings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0.48703845954097724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0.4407072328537569</v>
      </c>
      <c r="H1119" t="s">
        <v>12</v>
      </c>
      <c r="I1119">
        <f>VLOOKUP(Table4[[#This Row],[Visitor]],'NHL Model'!$A$6:$B$38,2,FALSE)</f>
        <v>1.6319036584269762</v>
      </c>
      <c r="J1119">
        <f>($B$1+Table4[[#This Row],[Home Differential]])-Table4[[#This Row],[Away Differential]]</f>
        <v>-1.1412956766500568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0.63959222849493702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-0.29003398448394263</v>
      </c>
      <c r="H1120" t="s">
        <v>36</v>
      </c>
      <c r="I1120">
        <f>VLOOKUP(Table4[[#This Row],[Visitor]],'NHL Model'!$A$6:$B$38,2,FALSE)</f>
        <v>-0.53137605086483863</v>
      </c>
      <c r="J1120">
        <f>($B$1+Table4[[#This Row],[Home Differential]])-Table4[[#This Row],[Away Differential]]</f>
        <v>0.29124281530405849</v>
      </c>
      <c r="K1120" t="str">
        <f>IF(Table4[[#This Row],[HomeIce Differential]]&gt;0,Table4[[#This Row],[Home]],Table4[[#This Row],[Visitor]])</f>
        <v>New York Rangers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0.57400689712391928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-0.21976976044773161</v>
      </c>
      <c r="H1121" t="s">
        <v>19</v>
      </c>
      <c r="I1121">
        <f>VLOOKUP(Table4[[#This Row],[Visitor]],'NHL Model'!$A$6:$B$38,2,FALSE)</f>
        <v>-0.63447859131898054</v>
      </c>
      <c r="J1121">
        <f>($B$1+Table4[[#This Row],[Home Differential]])-Table4[[#This Row],[Away Differential]]</f>
        <v>0.46460957979441142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0.63715157999313932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-1.0657812790446208</v>
      </c>
      <c r="H1122" t="s">
        <v>13</v>
      </c>
      <c r="I1122">
        <f>VLOOKUP(Table4[[#This Row],[Visitor]],'NHL Model'!$A$6:$B$38,2,FALSE)</f>
        <v>-0.33828359867721369</v>
      </c>
      <c r="J1122">
        <f>($B$1+Table4[[#This Row],[Home Differential]])-Table4[[#This Row],[Away Differential]]</f>
        <v>-0.67759693144424471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0.60543523183675452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0.41344250185511977</v>
      </c>
      <c r="H1123" t="s">
        <v>24</v>
      </c>
      <c r="I1123">
        <f>VLOOKUP(Table4[[#This Row],[Visitor]],'NHL Model'!$A$6:$B$38,2,FALSE)</f>
        <v>1.5302507646042616E-3</v>
      </c>
      <c r="J1123">
        <f>($B$1+Table4[[#This Row],[Home Differential]])-Table4[[#This Row],[Away Differential]]</f>
        <v>0.46181300001367798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0.60564762155605634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-0.87533956503230947</v>
      </c>
      <c r="H1124" t="s">
        <v>36</v>
      </c>
      <c r="I1124">
        <f>VLOOKUP(Table4[[#This Row],[Visitor]],'NHL Model'!$A$6:$B$38,2,FALSE)</f>
        <v>-0.53137605086483863</v>
      </c>
      <c r="J1124">
        <f>($B$1+Table4[[#This Row],[Home Differential]])-Table4[[#This Row],[Away Differential]]</f>
        <v>-0.29406276524430841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0.49433616789893414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-0.39711829106410657</v>
      </c>
      <c r="H1125" t="s">
        <v>32</v>
      </c>
      <c r="I1125">
        <f>VLOOKUP(Table4[[#This Row],[Visitor]],'NHL Model'!$A$6:$B$38,2,FALSE)</f>
        <v>-0.64937723527808999</v>
      </c>
      <c r="J1125">
        <f>($B$1+Table4[[#This Row],[Home Differential]])-Table4[[#This Row],[Away Differential]]</f>
        <v>0.30215969313714591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0.58929822423116462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-0.59288962827382519</v>
      </c>
      <c r="H1126" t="s">
        <v>25</v>
      </c>
      <c r="I1126">
        <f>VLOOKUP(Table4[[#This Row],[Visitor]],'NHL Model'!$A$6:$B$38,2,FALSE)</f>
        <v>0.42567513732855267</v>
      </c>
      <c r="J1126">
        <f>($B$1+Table4[[#This Row],[Home Differential]])-Table4[[#This Row],[Away Differential]]</f>
        <v>-0.96866401667921542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0.64572898951568902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-1.384917283810061</v>
      </c>
      <c r="H1127" t="s">
        <v>33</v>
      </c>
      <c r="I1127">
        <f>VLOOKUP(Table4[[#This Row],[Visitor]],'NHL Model'!$A$6:$B$38,2,FALSE)</f>
        <v>-0.45133099238224339</v>
      </c>
      <c r="J1127">
        <f>($B$1+Table4[[#This Row],[Home Differential]])-Table4[[#This Row],[Away Differential]]</f>
        <v>-0.88368554250465514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0.563183329355187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-0.24093199744133265</v>
      </c>
      <c r="H1128" t="s">
        <v>10</v>
      </c>
      <c r="I1128">
        <f>VLOOKUP(Table4[[#This Row],[Visitor]],'NHL Model'!$A$6:$B$38,2,FALSE)</f>
        <v>-0.17619625518431364</v>
      </c>
      <c r="J1128">
        <f>($B$1+Table4[[#This Row],[Home Differential]])-Table4[[#This Row],[Away Differential]]</f>
        <v>-1.4834993333856544E-2</v>
      </c>
      <c r="K1128" t="str">
        <f>IF(Table4[[#This Row],[HomeIce Differential]]&gt;0,Table4[[#This Row],[Home]],Table4[[#This Row],[Visitor]])</f>
        <v>Chicago Blackhawks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0.46173220442060281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-0.38023958350631604</v>
      </c>
      <c r="H1129" t="s">
        <v>28</v>
      </c>
      <c r="I1129">
        <f>VLOOKUP(Table4[[#This Row],[Visitor]],'NHL Model'!$A$6:$B$38,2,FALSE)</f>
        <v>-0.59498940435054026</v>
      </c>
      <c r="J1129">
        <f>($B$1+Table4[[#This Row],[Home Differential]])-Table4[[#This Row],[Away Differential]]</f>
        <v>0.26465056976738671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0.58136057558031018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-0.14226422156549004</v>
      </c>
      <c r="H1130" t="s">
        <v>12</v>
      </c>
      <c r="I1130">
        <f>VLOOKUP(Table4[[#This Row],[Visitor]],'NHL Model'!$A$6:$B$38,2,FALSE)</f>
        <v>1.6319036584269762</v>
      </c>
      <c r="J1130">
        <f>($B$1+Table4[[#This Row],[Home Differential]])-Table4[[#This Row],[Away Differential]]</f>
        <v>-1.7242671310693036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0.73395680502677829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-1.3944783719477225</v>
      </c>
      <c r="H1131" t="s">
        <v>22</v>
      </c>
      <c r="I1131">
        <f>VLOOKUP(Table4[[#This Row],[Visitor]],'NHL Model'!$A$6:$B$38,2,FALSE)</f>
        <v>0.4407072328537569</v>
      </c>
      <c r="J1131">
        <f>($B$1+Table4[[#This Row],[Home Differential]])-Table4[[#This Row],[Away Differential]]</f>
        <v>-1.785284855878317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0.71097091866178919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0.51050494674660429</v>
      </c>
      <c r="H1132" t="s">
        <v>34</v>
      </c>
      <c r="I1132">
        <f>VLOOKUP(Table4[[#This Row],[Visitor]],'NHL Model'!$A$6:$B$38,2,FALSE)</f>
        <v>-5.5124787449478845E-2</v>
      </c>
      <c r="J1132">
        <f>($B$1+Table4[[#This Row],[Home Differential]])-Table4[[#This Row],[Away Differential]]</f>
        <v>0.61553048311924552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0.60199275041343858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-0.4031232890211825</v>
      </c>
      <c r="H1133" t="s">
        <v>17</v>
      </c>
      <c r="I1133">
        <f>VLOOKUP(Table4[[#This Row],[Visitor]],'NHL Model'!$A$6:$B$38,2,FALSE)</f>
        <v>-0.81774666423752174</v>
      </c>
      <c r="J1133">
        <f>($B$1+Table4[[#This Row],[Home Differential]])-Table4[[#This Row],[Away Differential]]</f>
        <v>0.46452412413950173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0.63467122482615079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-0.9476777551108041</v>
      </c>
      <c r="H1134" t="s">
        <v>31</v>
      </c>
      <c r="I1134">
        <f>VLOOKUP(Table4[[#This Row],[Visitor]],'NHL Model'!$A$6:$B$38,2,FALSE)</f>
        <v>0.17870302183926629</v>
      </c>
      <c r="J1134">
        <f>($B$1+Table4[[#This Row],[Home Differential]])-Table4[[#This Row],[Away Differential]]</f>
        <v>-1.076480028026908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0.60646416175266515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-0.31324182378279158</v>
      </c>
      <c r="H1135" t="s">
        <v>20</v>
      </c>
      <c r="I1135">
        <f>VLOOKUP(Table4[[#This Row],[Visitor]],'NHL Model'!$A$6:$B$38,2,FALSE)</f>
        <v>-0.24444083032063643</v>
      </c>
      <c r="J1135">
        <f>($B$1+Table4[[#This Row],[Home Differential]])-Table4[[#This Row],[Away Differential]]</f>
        <v>-1.8900244538992667E-2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0.45971140329328808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-0.4761104357405897</v>
      </c>
      <c r="H1136" t="s">
        <v>21</v>
      </c>
      <c r="I1136">
        <f>VLOOKUP(Table4[[#This Row],[Visitor]],'NHL Model'!$A$6:$B$38,2,FALSE)</f>
        <v>-0.21976976044773161</v>
      </c>
      <c r="J1136">
        <f>($B$1+Table4[[#This Row],[Home Differential]])-Table4[[#This Row],[Away Differential]]</f>
        <v>-0.2064399263696956</v>
      </c>
      <c r="K1136" t="str">
        <f>IF(Table4[[#This Row],[HomeIce Differential]]&gt;0,Table4[[#This Row],[Home]],Table4[[#This Row],[Visitor]])</f>
        <v>Boston Bruins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0.47480913359163229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-0.63447859131898054</v>
      </c>
      <c r="H1137" t="s">
        <v>15</v>
      </c>
      <c r="I1137">
        <f>VLOOKUP(Table4[[#This Row],[Visitor]],'NHL Model'!$A$6:$B$38,2,FALSE)</f>
        <v>-0.29003398448394263</v>
      </c>
      <c r="J1137">
        <f>($B$1+Table4[[#This Row],[Home Differential]])-Table4[[#This Row],[Away Differential]]</f>
        <v>-0.29454385791187548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0.59447380896340563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-1.0657812790446208</v>
      </c>
      <c r="H1138" t="s">
        <v>31</v>
      </c>
      <c r="I1138">
        <f>VLOOKUP(Table4[[#This Row],[Visitor]],'NHL Model'!$A$6:$B$38,2,FALSE)</f>
        <v>0.17870302183926629</v>
      </c>
      <c r="J1138">
        <f>($B$1+Table4[[#This Row],[Home Differential]])-Table4[[#This Row],[Away Differential]]</f>
        <v>-1.1945835519607246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0.62025449125554588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-0.39711829106410657</v>
      </c>
      <c r="H1139" t="s">
        <v>34</v>
      </c>
      <c r="I1139">
        <f>VLOOKUP(Table4[[#This Row],[Visitor]],'NHL Model'!$A$6:$B$38,2,FALSE)</f>
        <v>-5.5124787449478845E-2</v>
      </c>
      <c r="J1139">
        <f>($B$1+Table4[[#This Row],[Home Differential]])-Table4[[#This Row],[Away Differential]]</f>
        <v>-0.29209275469146523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0.52247823311486485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-0.59288962827382519</v>
      </c>
      <c r="H1140" t="s">
        <v>28</v>
      </c>
      <c r="I1140">
        <f>VLOOKUP(Table4[[#This Row],[Visitor]],'NHL Model'!$A$6:$B$38,2,FALSE)</f>
        <v>-0.59498940435054026</v>
      </c>
      <c r="J1140">
        <f>($B$1+Table4[[#This Row],[Home Differential]])-Table4[[#This Row],[Away Differential]]</f>
        <v>5.2000524999877507E-2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0.54249566982631203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-1.384917283810061</v>
      </c>
      <c r="H1141" t="s">
        <v>24</v>
      </c>
      <c r="I1141">
        <f>VLOOKUP(Table4[[#This Row],[Visitor]],'NHL Model'!$A$6:$B$38,2,FALSE)</f>
        <v>1.5302507646042616E-3</v>
      </c>
      <c r="J1141">
        <f>($B$1+Table4[[#This Row],[Home Differential]])-Table4[[#This Row],[Away Differential]]</f>
        <v>-1.3365467856515028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0.63683079401673515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-0.24093199744133265</v>
      </c>
      <c r="H1142" t="s">
        <v>39</v>
      </c>
      <c r="I1142">
        <f>VLOOKUP(Table4[[#This Row],[Visitor]],'NHL Model'!$A$6:$B$38,2,FALSE)</f>
        <v>0.41344250185511977</v>
      </c>
      <c r="J1142">
        <f>($B$1+Table4[[#This Row],[Home Differential]])-Table4[[#This Row],[Away Differential]]</f>
        <v>-0.60447375037328999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0.63237898456089747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-0.53137605086483863</v>
      </c>
      <c r="H1143" t="s">
        <v>14</v>
      </c>
      <c r="I1143">
        <f>VLOOKUP(Table4[[#This Row],[Visitor]],'NHL Model'!$A$6:$B$38,2,FALSE)</f>
        <v>-0.14226422156549004</v>
      </c>
      <c r="J1143">
        <f>($B$1+Table4[[#This Row],[Home Differential]])-Table4[[#This Row],[Away Differential]]</f>
        <v>-0.33921108037618608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0.5363820935805419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-0.38023958350631604</v>
      </c>
      <c r="H1144" t="s">
        <v>10</v>
      </c>
      <c r="I1144">
        <f>VLOOKUP(Table4[[#This Row],[Visitor]],'NHL Model'!$A$6:$B$38,2,FALSE)</f>
        <v>-0.17619625518431364</v>
      </c>
      <c r="J1144">
        <f>($B$1+Table4[[#This Row],[Home Differential]])-Table4[[#This Row],[Away Differential]]</f>
        <v>-0.15414257939883991</v>
      </c>
      <c r="K1144" t="str">
        <f>IF(Table4[[#This Row],[HomeIce Differential]]&gt;0,Table4[[#This Row],[Home]],Table4[[#This Row],[Visitor]])</f>
        <v>Chicago Blackhawks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0.46398180062830402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-1.3944783719477225</v>
      </c>
      <c r="H1145" t="s">
        <v>33</v>
      </c>
      <c r="I1145">
        <f>VLOOKUP(Table4[[#This Row],[Visitor]],'NHL Model'!$A$6:$B$38,2,FALSE)</f>
        <v>-0.45133099238224339</v>
      </c>
      <c r="J1145">
        <f>($B$1+Table4[[#This Row],[Home Differential]])-Table4[[#This Row],[Away Differential]]</f>
        <v>-0.89324663064231669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0.56429972750684865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0.51050494674660429</v>
      </c>
      <c r="H1146" t="s">
        <v>32</v>
      </c>
      <c r="I1146">
        <f>VLOOKUP(Table4[[#This Row],[Visitor]],'NHL Model'!$A$6:$B$38,2,FALSE)</f>
        <v>-0.64937723527808999</v>
      </c>
      <c r="J1146">
        <f>($B$1+Table4[[#This Row],[Home Differential]])-Table4[[#This Row],[Away Differential]]</f>
        <v>1.2097829309478567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0.7135060781181839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-0.4031232890211825</v>
      </c>
      <c r="H1147" t="s">
        <v>22</v>
      </c>
      <c r="I1147">
        <f>VLOOKUP(Table4[[#This Row],[Visitor]],'NHL Model'!$A$6:$B$38,2,FALSE)</f>
        <v>0.4407072328537569</v>
      </c>
      <c r="J1147">
        <f>($B$1+Table4[[#This Row],[Home Differential]])-Table4[[#This Row],[Away Differential]]</f>
        <v>-0.79392977295177691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0.55424148009773655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-0.9476777551108041</v>
      </c>
      <c r="H1148" t="s">
        <v>13</v>
      </c>
      <c r="I1148">
        <f>VLOOKUP(Table4[[#This Row],[Visitor]],'NHL Model'!$A$6:$B$38,2,FALSE)</f>
        <v>-0.33828359867721369</v>
      </c>
      <c r="J1148">
        <f>($B$1+Table4[[#This Row],[Home Differential]])-Table4[[#This Row],[Away Differential]]</f>
        <v>-0.55949340751042798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0.59164490233387368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-0.24444083032063643</v>
      </c>
      <c r="H1149" t="s">
        <v>17</v>
      </c>
      <c r="I1149">
        <f>VLOOKUP(Table4[[#This Row],[Visitor]],'NHL Model'!$A$6:$B$38,2,FALSE)</f>
        <v>-0.81774666423752174</v>
      </c>
      <c r="J1149">
        <f>($B$1+Table4[[#This Row],[Home Differential]])-Table4[[#This Row],[Away Differential]]</f>
        <v>0.62320658284004771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0.61276856641927757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-0.31324182378279158</v>
      </c>
      <c r="H1150" t="s">
        <v>12</v>
      </c>
      <c r="I1150">
        <f>VLOOKUP(Table4[[#This Row],[Visitor]],'NHL Model'!$A$6:$B$38,2,FALSE)</f>
        <v>1.6319036584269762</v>
      </c>
      <c r="J1150">
        <f>($B$1+Table4[[#This Row],[Home Differential]])-Table4[[#This Row],[Away Differential]]</f>
        <v>-1.8952447332866051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0.75141827635481073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-0.4761104357405897</v>
      </c>
      <c r="H1151" t="s">
        <v>26</v>
      </c>
      <c r="I1151">
        <f>VLOOKUP(Table4[[#This Row],[Visitor]],'NHL Model'!$A$6:$B$38,2,FALSE)</f>
        <v>-0.87533956503230947</v>
      </c>
      <c r="J1151">
        <f>($B$1+Table4[[#This Row],[Home Differential]])-Table4[[#This Row],[Away Differential]]</f>
        <v>0.44912987821488226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0.60256479135424768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-0.29003398448394263</v>
      </c>
      <c r="H1152" t="s">
        <v>10</v>
      </c>
      <c r="I1152">
        <f>VLOOKUP(Table4[[#This Row],[Visitor]],'NHL Model'!$A$6:$B$38,2,FALSE)</f>
        <v>-0.17619625518431364</v>
      </c>
      <c r="J1152">
        <f>($B$1+Table4[[#This Row],[Home Differential]])-Table4[[#This Row],[Away Differential]]</f>
        <v>-6.3936980376466529E-2</v>
      </c>
      <c r="K1152" t="str">
        <f>IF(Table4[[#This Row],[HomeIce Differential]]&gt;0,Table4[[#This Row],[Home]],Table4[[#This Row],[Visitor]])</f>
        <v>Chicago Blackhawks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0.46746558610143418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-0.21976976044773161</v>
      </c>
      <c r="H1153" t="s">
        <v>34</v>
      </c>
      <c r="I1153">
        <f>VLOOKUP(Table4[[#This Row],[Visitor]],'NHL Model'!$A$6:$B$38,2,FALSE)</f>
        <v>-5.5124787449478845E-2</v>
      </c>
      <c r="J1153">
        <f>($B$1+Table4[[#This Row],[Home Differential]])-Table4[[#This Row],[Away Differential]]</f>
        <v>-0.1147442240750903</v>
      </c>
      <c r="K1153" t="str">
        <f>IF(Table4[[#This Row],[HomeIce Differential]]&gt;0,Table4[[#This Row],[Home]],Table4[[#This Row],[Visitor]])</f>
        <v>Minnesota Wild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0.47241447510727014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-0.4761104357405897</v>
      </c>
      <c r="H1154" t="s">
        <v>32</v>
      </c>
      <c r="I1154">
        <f>VLOOKUP(Table4[[#This Row],[Visitor]],'NHL Model'!$A$6:$B$38,2,FALSE)</f>
        <v>-0.64937723527808999</v>
      </c>
      <c r="J1154">
        <f>($B$1+Table4[[#This Row],[Home Differential]])-Table4[[#This Row],[Away Differential]]</f>
        <v>0.22316754846066278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0.57618035438947501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0.42567513732855267</v>
      </c>
      <c r="H1155" t="s">
        <v>24</v>
      </c>
      <c r="I1155">
        <f>VLOOKUP(Table4[[#This Row],[Visitor]],'NHL Model'!$A$6:$B$38,2,FALSE)</f>
        <v>1.5302507646042616E-3</v>
      </c>
      <c r="J1155">
        <f>($B$1+Table4[[#This Row],[Home Differential]])-Table4[[#This Row],[Away Differential]]</f>
        <v>0.47404563548711087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0.62678039578593081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-0.59498940435054026</v>
      </c>
      <c r="H1156" t="s">
        <v>33</v>
      </c>
      <c r="I1156">
        <f>VLOOKUP(Table4[[#This Row],[Visitor]],'NHL Model'!$A$6:$B$38,2,FALSE)</f>
        <v>-0.45133099238224339</v>
      </c>
      <c r="J1156">
        <f>($B$1+Table4[[#This Row],[Home Differential]])-Table4[[#This Row],[Away Differential]]</f>
        <v>-9.3757663045134443E-2</v>
      </c>
      <c r="K1156" t="str">
        <f>IF(Table4[[#This Row],[HomeIce Differential]]&gt;0,Table4[[#This Row],[Home]],Table4[[#This Row],[Visitor]])</f>
        <v>San Jose Sharks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0.47094759092486543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-1.0657812790446208</v>
      </c>
      <c r="H1157" t="s">
        <v>38</v>
      </c>
      <c r="I1157">
        <f>VLOOKUP(Table4[[#This Row],[Visitor]],'NHL Model'!$A$6:$B$38,2,FALSE)</f>
        <v>-0.9476777551108041</v>
      </c>
      <c r="J1157">
        <f>($B$1+Table4[[#This Row],[Home Differential]])-Table4[[#This Row],[Away Differential]]</f>
        <v>-6.8202775010654304E-2</v>
      </c>
      <c r="K1157" t="str">
        <f>IF(Table4[[#This Row],[HomeIce Differential]]&gt;0,Table4[[#This Row],[Home]],Table4[[#This Row],[Visitor]])</f>
        <v>Vancouver Canucks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0.47153983952400824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1.6319036584269762</v>
      </c>
      <c r="H1158" t="s">
        <v>40</v>
      </c>
      <c r="I1158">
        <f>VLOOKUP(Table4[[#This Row],[Visitor]],'NHL Model'!$A$6:$B$38,2,FALSE)</f>
        <v>-0.31324182378279158</v>
      </c>
      <c r="J1158">
        <f>($B$1+Table4[[#This Row],[Home Differential]])-Table4[[#This Row],[Away Differential]]</f>
        <v>1.9950462311329302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0.85795109226563959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-0.87533956503230947</v>
      </c>
      <c r="H1159" t="s">
        <v>27</v>
      </c>
      <c r="I1159">
        <f>VLOOKUP(Table4[[#This Row],[Visitor]],'NHL Model'!$A$6:$B$38,2,FALSE)</f>
        <v>-0.38023958350631604</v>
      </c>
      <c r="J1159">
        <f>($B$1+Table4[[#This Row],[Home Differential]])-Table4[[#This Row],[Away Differential]]</f>
        <v>-0.44519923260283101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0.55449614389216906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-0.81774666423752174</v>
      </c>
      <c r="H1160" t="s">
        <v>31</v>
      </c>
      <c r="I1160">
        <f>VLOOKUP(Table4[[#This Row],[Visitor]],'NHL Model'!$A$6:$B$38,2,FALSE)</f>
        <v>0.17870302183926629</v>
      </c>
      <c r="J1160">
        <f>($B$1+Table4[[#This Row],[Home Differential]])-Table4[[#This Row],[Away Differential]]</f>
        <v>-0.94654893715362554</v>
      </c>
      <c r="K1160" t="str">
        <f>IF(Table4[[#This Row],[HomeIce Differential]]&gt;0,Table4[[#This Row],[Home]],Table4[[#This Row],[Visitor]])</f>
        <v>Anaheim Ducks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0.5842077690042573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-0.33828359867721369</v>
      </c>
      <c r="H1161" t="s">
        <v>55</v>
      </c>
      <c r="I1161">
        <f>VLOOKUP(Table4[[#This Row],[Visitor]],'NHL Model'!$A$6:$B$38,2,FALSE)</f>
        <v>-0.4031232890211825</v>
      </c>
      <c r="J1161">
        <f>($B$1+Table4[[#This Row],[Home Differential]])-Table4[[#This Row],[Away Differential]]</f>
        <v>0.11474043926713129</v>
      </c>
      <c r="K1161" t="str">
        <f>IF(Table4[[#This Row],[HomeIce Differential]]&gt;0,Table4[[#This Row],[Home]],Table4[[#This Row],[Visitor]])</f>
        <v>Los Angeles Kings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0.55339763973245826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-1.384917283810061</v>
      </c>
      <c r="H1162" t="s">
        <v>18</v>
      </c>
      <c r="I1162">
        <f>VLOOKUP(Table4[[#This Row],[Visitor]],'NHL Model'!$A$6:$B$38,2,FALSE)</f>
        <v>-0.59288962827382519</v>
      </c>
      <c r="J1162">
        <f>($B$1+Table4[[#This Row],[Home Differential]])-Table4[[#This Row],[Away Differential]]</f>
        <v>-0.74212690661307334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0.60594210318638431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-0.24093199744133265</v>
      </c>
      <c r="H1163" t="s">
        <v>11</v>
      </c>
      <c r="I1163">
        <f>VLOOKUP(Table4[[#This Row],[Visitor]],'NHL Model'!$A$6:$B$38,2,FALSE)</f>
        <v>-0.39711829106410657</v>
      </c>
      <c r="J1163">
        <f>($B$1+Table4[[#This Row],[Home Differential]])-Table4[[#This Row],[Away Differential]]</f>
        <v>0.20608704254593638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0.56406370384490223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-0.14226422156549004</v>
      </c>
      <c r="H1164" t="s">
        <v>39</v>
      </c>
      <c r="I1164">
        <f>VLOOKUP(Table4[[#This Row],[Visitor]],'NHL Model'!$A$6:$B$38,2,FALSE)</f>
        <v>0.41344250185511977</v>
      </c>
      <c r="J1164">
        <f>($B$1+Table4[[#This Row],[Home Differential]])-Table4[[#This Row],[Away Differential]]</f>
        <v>-0.50580597449744735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0.62085806549495359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-1.3944783719477225</v>
      </c>
      <c r="H1165" t="s">
        <v>19</v>
      </c>
      <c r="I1165">
        <f>VLOOKUP(Table4[[#This Row],[Visitor]],'NHL Model'!$A$6:$B$38,2,FALSE)</f>
        <v>-0.63447859131898054</v>
      </c>
      <c r="J1165">
        <f>($B$1+Table4[[#This Row],[Home Differential]])-Table4[[#This Row],[Away Differential]]</f>
        <v>-0.71009903170557953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0.54291454226534464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0.51050494674660429</v>
      </c>
      <c r="H1166" t="s">
        <v>36</v>
      </c>
      <c r="I1166">
        <f>VLOOKUP(Table4[[#This Row],[Visitor]],'NHL Model'!$A$6:$B$38,2,FALSE)</f>
        <v>-0.53137605086483863</v>
      </c>
      <c r="J1166">
        <f>($B$1+Table4[[#This Row],[Home Differential]])-Table4[[#This Row],[Away Differential]]</f>
        <v>1.0917817465346054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0.69972769826475267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-0.24444083032063643</v>
      </c>
      <c r="H1167" t="s">
        <v>22</v>
      </c>
      <c r="I1167">
        <f>VLOOKUP(Table4[[#This Row],[Visitor]],'NHL Model'!$A$6:$B$38,2,FALSE)</f>
        <v>0.4407072328537569</v>
      </c>
      <c r="J1167">
        <f>($B$1+Table4[[#This Row],[Home Differential]])-Table4[[#This Row],[Away Differential]]</f>
        <v>-0.63524731425123093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0.57668706233411582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0.42567513732855267</v>
      </c>
      <c r="H1168" t="s">
        <v>18</v>
      </c>
      <c r="I1168">
        <f>VLOOKUP(Table4[[#This Row],[Visitor]],'NHL Model'!$A$6:$B$38,2,FALSE)</f>
        <v>-0.59288962827382519</v>
      </c>
      <c r="J1168">
        <f>($B$1+Table4[[#This Row],[Home Differential]])-Table4[[#This Row],[Away Differential]]</f>
        <v>1.0684655145255404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0.65809245157970586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-0.59498940435054026</v>
      </c>
      <c r="H1169" t="s">
        <v>21</v>
      </c>
      <c r="I1169">
        <f>VLOOKUP(Table4[[#This Row],[Visitor]],'NHL Model'!$A$6:$B$38,2,FALSE)</f>
        <v>-0.21976976044773161</v>
      </c>
      <c r="J1169">
        <f>($B$1+Table4[[#This Row],[Home Differential]])-Table4[[#This Row],[Away Differential]]</f>
        <v>-0.32531889497964622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0.4988152754406433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1.5302507646042616E-3</v>
      </c>
      <c r="H1170" t="s">
        <v>10</v>
      </c>
      <c r="I1170">
        <f>VLOOKUP(Table4[[#This Row],[Visitor]],'NHL Model'!$A$6:$B$38,2,FALSE)</f>
        <v>-0.17619625518431364</v>
      </c>
      <c r="J1170">
        <f>($B$1+Table4[[#This Row],[Home Differential]])-Table4[[#This Row],[Away Differential]]</f>
        <v>0.22762725487208035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0.64641355228862563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-0.29003398448394263</v>
      </c>
      <c r="H1171" t="s">
        <v>11</v>
      </c>
      <c r="I1171">
        <f>VLOOKUP(Table4[[#This Row],[Visitor]],'NHL Model'!$A$6:$B$38,2,FALSE)</f>
        <v>-0.39711829106410657</v>
      </c>
      <c r="J1171">
        <f>($B$1+Table4[[#This Row],[Home Differential]])-Table4[[#This Row],[Away Differential]]</f>
        <v>0.15698505550332639</v>
      </c>
      <c r="K1171" t="str">
        <f>IF(Table4[[#This Row],[HomeIce Differential]]&gt;0,Table4[[#This Row],[Home]],Table4[[#This Row],[Visitor]])</f>
        <v>New York Rangers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0.55833032216407086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-0.38023958350631604</v>
      </c>
      <c r="H1172" t="s">
        <v>39</v>
      </c>
      <c r="I1172">
        <f>VLOOKUP(Table4[[#This Row],[Visitor]],'NHL Model'!$A$6:$B$38,2,FALSE)</f>
        <v>0.41344250185511977</v>
      </c>
      <c r="J1172">
        <f>($B$1+Table4[[#This Row],[Home Differential]])-Table4[[#This Row],[Away Differential]]</f>
        <v>-0.74378133643827327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0.63467353541474658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0.51050494674660429</v>
      </c>
      <c r="H1173" t="s">
        <v>29</v>
      </c>
      <c r="I1173">
        <f>VLOOKUP(Table4[[#This Row],[Visitor]],'NHL Model'!$A$6:$B$38,2,FALSE)</f>
        <v>-1.384917283810061</v>
      </c>
      <c r="J1173">
        <f>($B$1+Table4[[#This Row],[Home Differential]])-Table4[[#This Row],[Away Differential]]</f>
        <v>1.9453229794798277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0.79939123458061956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0.17870302183926629</v>
      </c>
      <c r="H1174" t="s">
        <v>19</v>
      </c>
      <c r="I1174">
        <f>VLOOKUP(Table4[[#This Row],[Visitor]],'NHL Model'!$A$6:$B$38,2,FALSE)</f>
        <v>-0.63447859131898054</v>
      </c>
      <c r="J1174">
        <f>($B$1+Table4[[#This Row],[Home Differential]])-Table4[[#This Row],[Away Differential]]</f>
        <v>0.86308236208140932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0.72061231470333431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1.6319036584269762</v>
      </c>
      <c r="H1175" t="s">
        <v>16</v>
      </c>
      <c r="I1175">
        <f>VLOOKUP(Table4[[#This Row],[Visitor]],'NHL Model'!$A$6:$B$38,2,FALSE)</f>
        <v>-1.0657812790446208</v>
      </c>
      <c r="J1175">
        <f>($B$1+Table4[[#This Row],[Home Differential]])-Table4[[#This Row],[Away Differential]]</f>
        <v>2.7475856863947596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0.96515107726433946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-0.24093199744133265</v>
      </c>
      <c r="H1176" t="s">
        <v>14</v>
      </c>
      <c r="I1176">
        <f>VLOOKUP(Table4[[#This Row],[Visitor]],'NHL Model'!$A$6:$B$38,2,FALSE)</f>
        <v>-0.14226422156549004</v>
      </c>
      <c r="J1176">
        <f>($B$1+Table4[[#This Row],[Home Differential]])-Table4[[#This Row],[Away Differential]]</f>
        <v>-4.8767026952680148E-2</v>
      </c>
      <c r="K1176" t="str">
        <f>IF(Table4[[#This Row],[HomeIce Differential]]&gt;0,Table4[[#This Row],[Home]],Table4[[#This Row],[Visitor]])</f>
        <v>Pittsburgh Penguins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0.50498100338490515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-0.45133099238224339</v>
      </c>
      <c r="H1177" t="s">
        <v>35</v>
      </c>
      <c r="I1177">
        <f>VLOOKUP(Table4[[#This Row],[Visitor]],'NHL Model'!$A$6:$B$38,2,FALSE)</f>
        <v>-1.3944783719477225</v>
      </c>
      <c r="J1177">
        <f>($B$1+Table4[[#This Row],[Home Differential]])-Table4[[#This Row],[Away Differential]]</f>
        <v>0.99304812848864166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0.66607527473414152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-0.24444083032063643</v>
      </c>
      <c r="H1178" t="s">
        <v>38</v>
      </c>
      <c r="I1178">
        <f>VLOOKUP(Table4[[#This Row],[Visitor]],'NHL Model'!$A$6:$B$38,2,FALSE)</f>
        <v>-0.9476777551108041</v>
      </c>
      <c r="J1178">
        <f>($B$1+Table4[[#This Row],[Home Differential]])-Table4[[#This Row],[Away Differential]]</f>
        <v>0.75313767371333018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0.62436377998437298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-0.21976976044773161</v>
      </c>
      <c r="H1179" t="s">
        <v>39</v>
      </c>
      <c r="I1179">
        <f>VLOOKUP(Table4[[#This Row],[Visitor]],'NHL Model'!$A$6:$B$38,2,FALSE)</f>
        <v>0.41344250185511977</v>
      </c>
      <c r="J1179">
        <f>($B$1+Table4[[#This Row],[Home Differential]])-Table4[[#This Row],[Away Differential]]</f>
        <v>-0.5833115133796889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0.58662874676909771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-0.4761104357405897</v>
      </c>
      <c r="H1180" t="s">
        <v>30</v>
      </c>
      <c r="I1180">
        <f>VLOOKUP(Table4[[#This Row],[Visitor]],'NHL Model'!$A$6:$B$38,2,FALSE)</f>
        <v>-0.24093199744133265</v>
      </c>
      <c r="J1180">
        <f>($B$1+Table4[[#This Row],[Home Differential]])-Table4[[#This Row],[Away Differential]]</f>
        <v>-0.18527768937609457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0.54408288433002694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-0.59498940435054026</v>
      </c>
      <c r="H1181" t="s">
        <v>25</v>
      </c>
      <c r="I1181">
        <f>VLOOKUP(Table4[[#This Row],[Visitor]],'NHL Model'!$A$6:$B$38,2,FALSE)</f>
        <v>0.42567513732855267</v>
      </c>
      <c r="J1181">
        <f>($B$1+Table4[[#This Row],[Home Differential]])-Table4[[#This Row],[Away Differential]]</f>
        <v>-0.9707637927559305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0.64597416936312857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-0.17619625518431364</v>
      </c>
      <c r="H1182" t="s">
        <v>40</v>
      </c>
      <c r="I1182">
        <f>VLOOKUP(Table4[[#This Row],[Visitor]],'NHL Model'!$A$6:$B$38,2,FALSE)</f>
        <v>-0.31324182378279158</v>
      </c>
      <c r="J1182">
        <f>($B$1+Table4[[#This Row],[Home Differential]])-Table4[[#This Row],[Away Differential]]</f>
        <v>0.1869463175216404</v>
      </c>
      <c r="K1182" t="str">
        <f>IF(Table4[[#This Row],[HomeIce Differential]]&gt;0,Table4[[#This Row],[Home]],Table4[[#This Row],[Visitor]])</f>
        <v>Chicago Blackhawks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0.54105951093214566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-0.81774666423752174</v>
      </c>
      <c r="H1183" t="s">
        <v>32</v>
      </c>
      <c r="I1183">
        <f>VLOOKUP(Table4[[#This Row],[Visitor]],'NHL Model'!$A$6:$B$38,2,FALSE)</f>
        <v>-0.64937723527808999</v>
      </c>
      <c r="J1183">
        <f>($B$1+Table4[[#This Row],[Home Differential]])-Table4[[#This Row],[Away Differential]]</f>
        <v>-0.11846868003626931</v>
      </c>
      <c r="K1183" t="str">
        <f>IF(Table4[[#This Row],[HomeIce Differential]]&gt;0,Table4[[#This Row],[Home]],Table4[[#This Row],[Visitor]])</f>
        <v>Seattle Kraken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0.46678701500720543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-0.39711829106410657</v>
      </c>
      <c r="H1184" t="s">
        <v>36</v>
      </c>
      <c r="I1184">
        <f>VLOOKUP(Table4[[#This Row],[Visitor]],'NHL Model'!$A$6:$B$38,2,FALSE)</f>
        <v>-0.53137605086483863</v>
      </c>
      <c r="J1184">
        <f>($B$1+Table4[[#This Row],[Home Differential]])-Table4[[#This Row],[Away Differential]]</f>
        <v>0.18415850872389455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0.57551984437773329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-0.29003398448394263</v>
      </c>
      <c r="H1185" t="s">
        <v>24</v>
      </c>
      <c r="I1185">
        <f>VLOOKUP(Table4[[#This Row],[Visitor]],'NHL Model'!$A$6:$B$38,2,FALSE)</f>
        <v>1.5302507646042616E-3</v>
      </c>
      <c r="J1185">
        <f>($B$1+Table4[[#This Row],[Home Differential]])-Table4[[#This Row],[Away Differential]]</f>
        <v>-0.24166348632538442</v>
      </c>
      <c r="K1185" t="str">
        <f>IF(Table4[[#This Row],[HomeIce Differential]]&gt;0,Table4[[#This Row],[Home]],Table4[[#This Row],[Visitor]])</f>
        <v>New Jersey Devils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0.50898700949621889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-0.14226422156549004</v>
      </c>
      <c r="H1186" t="s">
        <v>26</v>
      </c>
      <c r="I1186">
        <f>VLOOKUP(Table4[[#This Row],[Visitor]],'NHL Model'!$A$6:$B$38,2,FALSE)</f>
        <v>-0.87533956503230947</v>
      </c>
      <c r="J1186">
        <f>($B$1+Table4[[#This Row],[Home Differential]])-Table4[[#This Row],[Away Differential]]</f>
        <v>0.78297609238998189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0.63142401468889853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0.51050494674660429</v>
      </c>
      <c r="H1187" t="s">
        <v>18</v>
      </c>
      <c r="I1187">
        <f>VLOOKUP(Table4[[#This Row],[Visitor]],'NHL Model'!$A$6:$B$38,2,FALSE)</f>
        <v>-0.59288962827382519</v>
      </c>
      <c r="J1187">
        <f>($B$1+Table4[[#This Row],[Home Differential]])-Table4[[#This Row],[Away Differential]]</f>
        <v>1.1532953239435919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0.64803323445177996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0.4407072328537569</v>
      </c>
      <c r="H1188" t="s">
        <v>27</v>
      </c>
      <c r="I1188">
        <f>VLOOKUP(Table4[[#This Row],[Visitor]],'NHL Model'!$A$6:$B$38,2,FALSE)</f>
        <v>-0.38023958350631604</v>
      </c>
      <c r="J1188">
        <f>($B$1+Table4[[#This Row],[Home Differential]])-Table4[[#This Row],[Away Differential]]</f>
        <v>0.87084756528323548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0.62549382984908919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1.6319036584269762</v>
      </c>
      <c r="H1189" t="s">
        <v>38</v>
      </c>
      <c r="I1189">
        <f>VLOOKUP(Table4[[#This Row],[Visitor]],'NHL Model'!$A$6:$B$38,2,FALSE)</f>
        <v>-0.9476777551108041</v>
      </c>
      <c r="J1189">
        <f>($B$1+Table4[[#This Row],[Home Differential]])-Table4[[#This Row],[Away Differential]]</f>
        <v>2.6294821624609428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0.94805649187988317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-0.33828359867721369</v>
      </c>
      <c r="H1190" t="s">
        <v>35</v>
      </c>
      <c r="I1190">
        <f>VLOOKUP(Table4[[#This Row],[Visitor]],'NHL Model'!$A$6:$B$38,2,FALSE)</f>
        <v>-1.3944783719477225</v>
      </c>
      <c r="J1190">
        <f>($B$1+Table4[[#This Row],[Home Differential]])-Table4[[#This Row],[Away Differential]]</f>
        <v>1.1060955221936712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0.66915297702090215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-0.45133099238224339</v>
      </c>
      <c r="H1191" t="s">
        <v>31</v>
      </c>
      <c r="I1191">
        <f>VLOOKUP(Table4[[#This Row],[Visitor]],'NHL Model'!$A$6:$B$38,2,FALSE)</f>
        <v>0.17870302183926629</v>
      </c>
      <c r="J1191">
        <f>($B$1+Table4[[#This Row],[Home Differential]])-Table4[[#This Row],[Away Differential]]</f>
        <v>-0.58013326529834719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0.53832735617360639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0.42567513732855267</v>
      </c>
      <c r="H1192" t="s">
        <v>28</v>
      </c>
      <c r="I1192">
        <f>VLOOKUP(Table4[[#This Row],[Visitor]],'NHL Model'!$A$6:$B$38,2,FALSE)</f>
        <v>-0.59498940435054026</v>
      </c>
      <c r="J1192">
        <f>($B$1+Table4[[#This Row],[Home Differential]])-Table4[[#This Row],[Away Differential]]</f>
        <v>1.0705652906022554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0.71323959221145916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0.41344250185511977</v>
      </c>
      <c r="H1193" t="s">
        <v>40</v>
      </c>
      <c r="I1193">
        <f>VLOOKUP(Table4[[#This Row],[Visitor]],'NHL Model'!$A$6:$B$38,2,FALSE)</f>
        <v>-0.31324182378279158</v>
      </c>
      <c r="J1193">
        <f>($B$1+Table4[[#This Row],[Home Differential]])-Table4[[#This Row],[Away Differential]]</f>
        <v>0.77658507456107384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0.6424019069637168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-0.81774666423752174</v>
      </c>
      <c r="H1194" t="s">
        <v>10</v>
      </c>
      <c r="I1194">
        <f>VLOOKUP(Table4[[#This Row],[Visitor]],'NHL Model'!$A$6:$B$38,2,FALSE)</f>
        <v>-0.17619625518431364</v>
      </c>
      <c r="J1194">
        <f>($B$1+Table4[[#This Row],[Home Differential]])-Table4[[#This Row],[Away Differential]]</f>
        <v>-0.59164966013004561</v>
      </c>
      <c r="K1194" t="str">
        <f>IF(Table4[[#This Row],[HomeIce Differential]]&gt;0,Table4[[#This Row],[Home]],Table4[[#This Row],[Visitor]])</f>
        <v>Chicago Blackhawks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0.52203787808599023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-0.39711829106410657</v>
      </c>
      <c r="H1195" t="s">
        <v>21</v>
      </c>
      <c r="I1195">
        <f>VLOOKUP(Table4[[#This Row],[Visitor]],'NHL Model'!$A$6:$B$38,2,FALSE)</f>
        <v>-0.21976976044773161</v>
      </c>
      <c r="J1195">
        <f>($B$1+Table4[[#This Row],[Home Differential]])-Table4[[#This Row],[Away Differential]]</f>
        <v>-0.12744778169321247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0.46168992014598992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-0.33828359867721369</v>
      </c>
      <c r="H1196" t="s">
        <v>29</v>
      </c>
      <c r="I1196">
        <f>VLOOKUP(Table4[[#This Row],[Visitor]],'NHL Model'!$A$6:$B$38,2,FALSE)</f>
        <v>-1.384917283810061</v>
      </c>
      <c r="J1196">
        <f>($B$1+Table4[[#This Row],[Home Differential]])-Table4[[#This Row],[Away Differential]]</f>
        <v>1.0965344340560097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0.6680365788692405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-5.5124787449478845E-2</v>
      </c>
      <c r="H1197" t="s">
        <v>38</v>
      </c>
      <c r="I1197">
        <f>VLOOKUP(Table4[[#This Row],[Visitor]],'NHL Model'!$A$6:$B$38,2,FALSE)</f>
        <v>-0.9476777551108041</v>
      </c>
      <c r="J1197">
        <f>($B$1+Table4[[#This Row],[Home Differential]])-Table4[[#This Row],[Away Differential]]</f>
        <v>0.94245371658448773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0.6464692220949555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1.5302507646042616E-3</v>
      </c>
      <c r="H1198" t="s">
        <v>22</v>
      </c>
      <c r="I1198">
        <f>VLOOKUP(Table4[[#This Row],[Visitor]],'NHL Model'!$A$6:$B$38,2,FALSE)</f>
        <v>0.4407072328537569</v>
      </c>
      <c r="J1198">
        <f>($B$1+Table4[[#This Row],[Home Differential]])-Table4[[#This Row],[Away Differential]]</f>
        <v>-0.38927623316599019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0.46650637710823029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-0.29003398448394263</v>
      </c>
      <c r="H1199" t="s">
        <v>18</v>
      </c>
      <c r="I1199">
        <f>VLOOKUP(Table4[[#This Row],[Visitor]],'NHL Model'!$A$6:$B$38,2,FALSE)</f>
        <v>-0.59288962827382519</v>
      </c>
      <c r="J1199">
        <f>($B$1+Table4[[#This Row],[Home Differential]])-Table4[[#This Row],[Away Differential]]</f>
        <v>0.35275639271304504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0.52190168133413184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-0.53137605086483863</v>
      </c>
      <c r="H1200" t="s">
        <v>23</v>
      </c>
      <c r="I1200">
        <f>VLOOKUP(Table4[[#This Row],[Visitor]],'NHL Model'!$A$6:$B$38,2,FALSE)</f>
        <v>-0.4761104357405897</v>
      </c>
      <c r="J1200">
        <f>($B$1+Table4[[#This Row],[Home Differential]])-Table4[[#This Row],[Away Differential]]</f>
        <v>-5.364866201086449E-3</v>
      </c>
      <c r="K1200" t="str">
        <f>IF(Table4[[#This Row],[HomeIce Differential]]&gt;0,Table4[[#This Row],[Home]],Table4[[#This Row],[Visitor]])</f>
        <v>Buffalo Sabres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0.45813094810441091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-0.38023958350631604</v>
      </c>
      <c r="H1201" t="s">
        <v>26</v>
      </c>
      <c r="I1201">
        <f>VLOOKUP(Table4[[#This Row],[Visitor]],'NHL Model'!$A$6:$B$38,2,FALSE)</f>
        <v>-0.87533956503230947</v>
      </c>
      <c r="J1201">
        <f>($B$1+Table4[[#This Row],[Home Differential]])-Table4[[#This Row],[Away Differential]]</f>
        <v>0.54500073044915598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0.61765349941525349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-0.64937723527808999</v>
      </c>
      <c r="H1202" t="s">
        <v>55</v>
      </c>
      <c r="I1202">
        <f>VLOOKUP(Table4[[#This Row],[Visitor]],'NHL Model'!$A$6:$B$38,2,FALSE)</f>
        <v>-0.4031232890211825</v>
      </c>
      <c r="J1202">
        <f>($B$1+Table4[[#This Row],[Home Differential]])-Table4[[#This Row],[Away Differential]]</f>
        <v>-0.19635319733374507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0.48292713375507684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-0.45133099238224339</v>
      </c>
      <c r="H1203" t="s">
        <v>19</v>
      </c>
      <c r="I1203">
        <f>VLOOKUP(Table4[[#This Row],[Visitor]],'NHL Model'!$A$6:$B$38,2,FALSE)</f>
        <v>-0.63447859131898054</v>
      </c>
      <c r="J1203">
        <f>($B$1+Table4[[#This Row],[Home Differential]])-Table4[[#This Row],[Away Differential]]</f>
        <v>0.23304834785989964</v>
      </c>
      <c r="K1203" t="str">
        <f>IF(Table4[[#This Row],[HomeIce Differential]]&gt;0,Table4[[#This Row],[Home]],Table4[[#This Row],[Visitor]])</f>
        <v>San Jose Sharks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0.57733408354952698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0.51050494674660429</v>
      </c>
      <c r="H1204" t="s">
        <v>14</v>
      </c>
      <c r="I1204">
        <f>VLOOKUP(Table4[[#This Row],[Visitor]],'NHL Model'!$A$6:$B$38,2,FALSE)</f>
        <v>-0.14226422156549004</v>
      </c>
      <c r="J1204">
        <f>($B$1+Table4[[#This Row],[Home Differential]])-Table4[[#This Row],[Away Differential]]</f>
        <v>0.70266991723525674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0.61538041683836375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-0.24444083032063643</v>
      </c>
      <c r="H1205" t="s">
        <v>16</v>
      </c>
      <c r="I1205">
        <f>VLOOKUP(Table4[[#This Row],[Visitor]],'NHL Model'!$A$6:$B$38,2,FALSE)</f>
        <v>-1.0657812790446208</v>
      </c>
      <c r="J1205">
        <f>($B$1+Table4[[#This Row],[Home Differential]])-Table4[[#This Row],[Away Differential]]</f>
        <v>0.8712411976471468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0.64173026842765124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0.17870302183926629</v>
      </c>
      <c r="H1206" t="s">
        <v>35</v>
      </c>
      <c r="I1206">
        <f>VLOOKUP(Table4[[#This Row],[Visitor]],'NHL Model'!$A$6:$B$38,2,FALSE)</f>
        <v>-1.3944783719477225</v>
      </c>
      <c r="J1206">
        <f>($B$1+Table4[[#This Row],[Home Differential]])-Table4[[#This Row],[Away Differential]]</f>
        <v>1.6230821427101512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0.80935350588794874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-0.24093199744133265</v>
      </c>
      <c r="H1207" t="s">
        <v>27</v>
      </c>
      <c r="I1207">
        <f>VLOOKUP(Table4[[#This Row],[Visitor]],'NHL Model'!$A$6:$B$38,2,FALSE)</f>
        <v>-0.38023958350631604</v>
      </c>
      <c r="J1207">
        <f>($B$1+Table4[[#This Row],[Home Differential]])-Table4[[#This Row],[Away Differential]]</f>
        <v>0.18920833498814585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0.51958030281151568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0.17870302183926629</v>
      </c>
      <c r="H1208" t="s">
        <v>16</v>
      </c>
      <c r="I1208">
        <f>VLOOKUP(Table4[[#This Row],[Visitor]],'NHL Model'!$A$6:$B$38,2,FALSE)</f>
        <v>-1.0657812790446208</v>
      </c>
      <c r="J1208">
        <f>($B$1+Table4[[#This Row],[Home Differential]])-Table4[[#This Row],[Away Differential]]</f>
        <v>1.2943850498070495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0.7709732690686566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0.42567513732855267</v>
      </c>
      <c r="H1209" t="s">
        <v>30</v>
      </c>
      <c r="I1209">
        <f>VLOOKUP(Table4[[#This Row],[Visitor]],'NHL Model'!$A$6:$B$38,2,FALSE)</f>
        <v>-0.24093199744133265</v>
      </c>
      <c r="J1209">
        <f>($B$1+Table4[[#This Row],[Home Differential]])-Table4[[#This Row],[Away Differential]]</f>
        <v>0.71650788369304785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0.60366287032278598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-0.59498940435054026</v>
      </c>
      <c r="H1210" t="s">
        <v>40</v>
      </c>
      <c r="I1210">
        <f>VLOOKUP(Table4[[#This Row],[Visitor]],'NHL Model'!$A$6:$B$38,2,FALSE)</f>
        <v>-0.31324182378279158</v>
      </c>
      <c r="J1210">
        <f>($B$1+Table4[[#This Row],[Home Differential]])-Table4[[#This Row],[Away Differential]]</f>
        <v>-0.23184683164458625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0.50784077017875306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0.41344250185511977</v>
      </c>
      <c r="H1211" t="s">
        <v>12</v>
      </c>
      <c r="I1211">
        <f>VLOOKUP(Table4[[#This Row],[Visitor]],'NHL Model'!$A$6:$B$38,2,FALSE)</f>
        <v>1.6319036584269762</v>
      </c>
      <c r="J1211">
        <f>($B$1+Table4[[#This Row],[Home Differential]])-Table4[[#This Row],[Away Differential]]</f>
        <v>-1.168560407648694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0.63644667431368729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-0.81774666423752174</v>
      </c>
      <c r="H1212" t="s">
        <v>20</v>
      </c>
      <c r="I1212">
        <f>VLOOKUP(Table4[[#This Row],[Visitor]],'NHL Model'!$A$6:$B$38,2,FALSE)</f>
        <v>-0.24444083032063643</v>
      </c>
      <c r="J1212">
        <f>($B$1+Table4[[#This Row],[Home Differential]])-Table4[[#This Row],[Away Differential]]</f>
        <v>-0.52340508499372285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0.5140693167207816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-0.33828359867721369</v>
      </c>
      <c r="H1213" t="s">
        <v>19</v>
      </c>
      <c r="I1213">
        <f>VLOOKUP(Table4[[#This Row],[Visitor]],'NHL Model'!$A$6:$B$38,2,FALSE)</f>
        <v>-0.63447859131898054</v>
      </c>
      <c r="J1213">
        <f>($B$1+Table4[[#This Row],[Home Differential]])-Table4[[#This Row],[Away Differential]]</f>
        <v>0.34609574156492934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0.58041178583628772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1.5302507646042616E-3</v>
      </c>
      <c r="H1214" t="s">
        <v>18</v>
      </c>
      <c r="I1214">
        <f>VLOOKUP(Table4[[#This Row],[Visitor]],'NHL Model'!$A$6:$B$38,2,FALSE)</f>
        <v>-0.59288962827382519</v>
      </c>
      <c r="J1214">
        <f>($B$1+Table4[[#This Row],[Home Differential]])-Table4[[#This Row],[Away Differential]]</f>
        <v>0.64432062796159195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0.63773394280828299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-0.29003398448394263</v>
      </c>
      <c r="H1215" t="s">
        <v>26</v>
      </c>
      <c r="I1215">
        <f>VLOOKUP(Table4[[#This Row],[Visitor]],'NHL Model'!$A$6:$B$38,2,FALSE)</f>
        <v>-0.87533956503230947</v>
      </c>
      <c r="J1215">
        <f>($B$1+Table4[[#This Row],[Home Differential]])-Table4[[#This Row],[Away Differential]]</f>
        <v>0.63520632947152933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0.61416971394212327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-0.53137605086483863</v>
      </c>
      <c r="H1216" t="s">
        <v>34</v>
      </c>
      <c r="I1216">
        <f>VLOOKUP(Table4[[#This Row],[Visitor]],'NHL Model'!$A$6:$B$38,2,FALSE)</f>
        <v>-5.5124787449478845E-2</v>
      </c>
      <c r="J1216">
        <f>($B$1+Table4[[#This Row],[Home Differential]])-Table4[[#This Row],[Away Differential]]</f>
        <v>-0.4263505144921973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0.54978271505145748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-0.14226422156549004</v>
      </c>
      <c r="H1217" t="s">
        <v>11</v>
      </c>
      <c r="I1217">
        <f>VLOOKUP(Table4[[#This Row],[Visitor]],'NHL Model'!$A$6:$B$38,2,FALSE)</f>
        <v>-0.39711829106410657</v>
      </c>
      <c r="J1217">
        <f>($B$1+Table4[[#This Row],[Home Differential]])-Table4[[#This Row],[Away Differential]]</f>
        <v>0.30475481842177898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0.57558462291084611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-0.64937723527808999</v>
      </c>
      <c r="H1218" t="s">
        <v>10</v>
      </c>
      <c r="I1218">
        <f>VLOOKUP(Table4[[#This Row],[Visitor]],'NHL Model'!$A$6:$B$38,2,FALSE)</f>
        <v>-0.17619625518431364</v>
      </c>
      <c r="J1218">
        <f>($B$1+Table4[[#This Row],[Home Differential]])-Table4[[#This Row],[Away Differential]]</f>
        <v>-0.42328023117061392</v>
      </c>
      <c r="K1218" t="str">
        <f>IF(Table4[[#This Row],[HomeIce Differential]]&gt;0,Table4[[#This Row],[Home]],Table4[[#This Row],[Visitor]])</f>
        <v>Chicago Blackhawks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0.50942421415951489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-0.45133099238224339</v>
      </c>
      <c r="H1219" t="s">
        <v>29</v>
      </c>
      <c r="I1219">
        <f>VLOOKUP(Table4[[#This Row],[Visitor]],'NHL Model'!$A$6:$B$38,2,FALSE)</f>
        <v>-1.384917283810061</v>
      </c>
      <c r="J1219">
        <f>($B$1+Table4[[#This Row],[Home Differential]])-Table4[[#This Row],[Away Differential]]</f>
        <v>0.98348704035098011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0.66495887658247987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0.51050494674660429</v>
      </c>
      <c r="H1220" t="s">
        <v>21</v>
      </c>
      <c r="I1220">
        <f>VLOOKUP(Table4[[#This Row],[Visitor]],'NHL Model'!$A$6:$B$38,2,FALSE)</f>
        <v>-0.21976976044773161</v>
      </c>
      <c r="J1220">
        <f>($B$1+Table4[[#This Row],[Home Differential]])-Table4[[#This Row],[Away Differential]]</f>
        <v>0.78017545611749828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0.66252557049821614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-0.9476777551108041</v>
      </c>
      <c r="H1221" t="s">
        <v>55</v>
      </c>
      <c r="I1221">
        <f>VLOOKUP(Table4[[#This Row],[Visitor]],'NHL Model'!$A$6:$B$38,2,FALSE)</f>
        <v>-0.4031232890211825</v>
      </c>
      <c r="J1221">
        <f>($B$1+Table4[[#This Row],[Home Differential]])-Table4[[#This Row],[Away Differential]]</f>
        <v>-0.49465371716645917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0.51775812204700111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0.4407072328537569</v>
      </c>
      <c r="H1222" t="s">
        <v>23</v>
      </c>
      <c r="I1222">
        <f>VLOOKUP(Table4[[#This Row],[Visitor]],'NHL Model'!$A$6:$B$38,2,FALSE)</f>
        <v>-0.4761104357405897</v>
      </c>
      <c r="J1222">
        <f>($B$1+Table4[[#This Row],[Home Differential]])-Table4[[#This Row],[Away Differential]]</f>
        <v>0.96671841751750909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0.67891637883976597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1.6319036584269762</v>
      </c>
      <c r="H1223" t="s">
        <v>35</v>
      </c>
      <c r="I1223">
        <f>VLOOKUP(Table4[[#This Row],[Visitor]],'NHL Model'!$A$6:$B$38,2,FALSE)</f>
        <v>-1.3944783719477225</v>
      </c>
      <c r="J1223">
        <f>($B$1+Table4[[#This Row],[Home Differential]])-Table4[[#This Row],[Away Differential]]</f>
        <v>3.0762827792978609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-0.87533956503230947</v>
      </c>
      <c r="H1224" t="s">
        <v>34</v>
      </c>
      <c r="I1224">
        <f>VLOOKUP(Table4[[#This Row],[Visitor]],'NHL Model'!$A$6:$B$38,2,FALSE)</f>
        <v>-5.5124787449478845E-2</v>
      </c>
      <c r="J1224">
        <f>($B$1+Table4[[#This Row],[Home Differential]])-Table4[[#This Row],[Away Differential]]</f>
        <v>-0.77031402865966825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0.59245809468373167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-0.59288962827382519</v>
      </c>
      <c r="H1225" t="s">
        <v>24</v>
      </c>
      <c r="I1225">
        <f>VLOOKUP(Table4[[#This Row],[Visitor]],'NHL Model'!$A$6:$B$38,2,FALSE)</f>
        <v>1.5302507646042616E-3</v>
      </c>
      <c r="J1225">
        <f>($B$1+Table4[[#This Row],[Home Differential]])-Table4[[#This Row],[Away Differential]]</f>
        <v>-0.54451913011526698</v>
      </c>
      <c r="K1225" t="str">
        <f>IF(Table4[[#This Row],[HomeIce Differential]]&gt;0,Table4[[#This Row],[Home]],Table4[[#This Row],[Visitor]])</f>
        <v>New Jersey Devils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0.54434987573897409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-0.29003398448394263</v>
      </c>
      <c r="H1226" t="s">
        <v>22</v>
      </c>
      <c r="I1226">
        <f>VLOOKUP(Table4[[#This Row],[Visitor]],'NHL Model'!$A$6:$B$38,2,FALSE)</f>
        <v>0.4407072328537569</v>
      </c>
      <c r="J1226">
        <f>($B$1+Table4[[#This Row],[Home Differential]])-Table4[[#This Row],[Away Differential]]</f>
        <v>-0.68084046841453705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0.58201073598961128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-0.53137605086483863</v>
      </c>
      <c r="H1227" t="s">
        <v>25</v>
      </c>
      <c r="I1227">
        <f>VLOOKUP(Table4[[#This Row],[Visitor]],'NHL Model'!$A$6:$B$38,2,FALSE)</f>
        <v>0.42567513732855267</v>
      </c>
      <c r="J1227">
        <f>($B$1+Table4[[#This Row],[Home Differential]])-Table4[[#This Row],[Away Differential]]</f>
        <v>-0.90715043927022876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0.63604368429743785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-0.38023958350631604</v>
      </c>
      <c r="H1228" t="s">
        <v>21</v>
      </c>
      <c r="I1228">
        <f>VLOOKUP(Table4[[#This Row],[Visitor]],'NHL Model'!$A$6:$B$38,2,FALSE)</f>
        <v>-0.21976976044773161</v>
      </c>
      <c r="J1228">
        <f>($B$1+Table4[[#This Row],[Home Differential]])-Table4[[#This Row],[Away Differential]]</f>
        <v>-0.11056907413542194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0.45971908192667371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-0.14226422156549004</v>
      </c>
      <c r="H1229" t="s">
        <v>11</v>
      </c>
      <c r="I1229">
        <f>VLOOKUP(Table4[[#This Row],[Visitor]],'NHL Model'!$A$6:$B$38,2,FALSE)</f>
        <v>-0.39711829106410657</v>
      </c>
      <c r="J1229">
        <f>($B$1+Table4[[#This Row],[Home Differential]])-Table4[[#This Row],[Away Differential]]</f>
        <v>0.30475481842177898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0.57558462291084611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-0.4761104357405897</v>
      </c>
      <c r="H1230" t="s">
        <v>37</v>
      </c>
      <c r="I1230">
        <f>VLOOKUP(Table4[[#This Row],[Visitor]],'NHL Model'!$A$6:$B$38,2,FALSE)</f>
        <v>0.51050494674660429</v>
      </c>
      <c r="J1230">
        <f>($B$1+Table4[[#This Row],[Home Differential]])-Table4[[#This Row],[Away Differential]]</f>
        <v>-0.93671463356403151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0.65174813974582668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-0.33828359867721369</v>
      </c>
      <c r="H1231" t="s">
        <v>29</v>
      </c>
      <c r="I1231">
        <f>VLOOKUP(Table4[[#This Row],[Visitor]],'NHL Model'!$A$6:$B$38,2,FALSE)</f>
        <v>-1.384917283810061</v>
      </c>
      <c r="J1231">
        <f>($B$1+Table4[[#This Row],[Home Differential]])-Table4[[#This Row],[Away Differential]]</f>
        <v>1.0965344340560097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0.6680365788692405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-0.45133099238224339</v>
      </c>
      <c r="H1232" t="s">
        <v>10</v>
      </c>
      <c r="I1232">
        <f>VLOOKUP(Table4[[#This Row],[Visitor]],'NHL Model'!$A$6:$B$38,2,FALSE)</f>
        <v>-0.17619625518431364</v>
      </c>
      <c r="J1232">
        <f>($B$1+Table4[[#This Row],[Home Differential]])-Table4[[#This Row],[Away Differential]]</f>
        <v>-0.22523398827476726</v>
      </c>
      <c r="K1232" t="str">
        <f>IF(Table4[[#This Row],[HomeIce Differential]]&gt;0,Table4[[#This Row],[Home]],Table4[[#This Row],[Visitor]])</f>
        <v>Chicago Blackhawks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0.47617714295874053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-0.31324182378279158</v>
      </c>
      <c r="H1233" t="s">
        <v>32</v>
      </c>
      <c r="I1233">
        <f>VLOOKUP(Table4[[#This Row],[Visitor]],'NHL Model'!$A$6:$B$38,2,FALSE)</f>
        <v>-0.64937723527808999</v>
      </c>
      <c r="J1233">
        <f>($B$1+Table4[[#This Row],[Home Differential]])-Table4[[#This Row],[Away Differential]]</f>
        <v>0.38603616041846089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0.58757089842028809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0.17870302183926629</v>
      </c>
      <c r="H1234" t="s">
        <v>29</v>
      </c>
      <c r="I1234">
        <f>VLOOKUP(Table4[[#This Row],[Visitor]],'NHL Model'!$A$6:$B$38,2,FALSE)</f>
        <v>-1.384917283810061</v>
      </c>
      <c r="J1234">
        <f>($B$1+Table4[[#This Row],[Home Differential]])-Table4[[#This Row],[Away Differential]]</f>
        <v>1.6135210545724896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0.8082371077362871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0.42567513732855267</v>
      </c>
      <c r="H1235" t="s">
        <v>21</v>
      </c>
      <c r="I1235">
        <f>VLOOKUP(Table4[[#This Row],[Visitor]],'NHL Model'!$A$6:$B$38,2,FALSE)</f>
        <v>-0.21976976044773161</v>
      </c>
      <c r="J1235">
        <f>($B$1+Table4[[#This Row],[Home Differential]])-Table4[[#This Row],[Away Differential]]</f>
        <v>0.69534564669944676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0.67210095773054734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0.41344250185511977</v>
      </c>
      <c r="H1236" t="s">
        <v>16</v>
      </c>
      <c r="I1236">
        <f>VLOOKUP(Table4[[#This Row],[Visitor]],'NHL Model'!$A$6:$B$38,2,FALSE)</f>
        <v>-1.0657812790446208</v>
      </c>
      <c r="J1236">
        <f>($B$1+Table4[[#This Row],[Home Differential]])-Table4[[#This Row],[Away Differential]]</f>
        <v>1.529124529822903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0.75079392293246339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-0.87533956503230947</v>
      </c>
      <c r="H1237" t="s">
        <v>28</v>
      </c>
      <c r="I1237">
        <f>VLOOKUP(Table4[[#This Row],[Visitor]],'NHL Model'!$A$6:$B$38,2,FALSE)</f>
        <v>-0.59498940435054026</v>
      </c>
      <c r="J1237">
        <f>($B$1+Table4[[#This Row],[Home Differential]])-Table4[[#This Row],[Away Differential]]</f>
        <v>-0.23044941175860678</v>
      </c>
      <c r="K1237" t="str">
        <f>IF(Table4[[#This Row],[HomeIce Differential]]&gt;0,Table4[[#This Row],[Home]],Table4[[#This Row],[Visitor]])</f>
        <v>Columbus Blue Jackets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0.49048452895378603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-5.5124787449478845E-2</v>
      </c>
      <c r="H1238" t="s">
        <v>32</v>
      </c>
      <c r="I1238">
        <f>VLOOKUP(Table4[[#This Row],[Visitor]],'NHL Model'!$A$6:$B$38,2,FALSE)</f>
        <v>-0.64937723527808999</v>
      </c>
      <c r="J1238">
        <f>($B$1+Table4[[#This Row],[Home Differential]])-Table4[[#This Row],[Away Differential]]</f>
        <v>0.64415319675177363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0.6152143927434286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-0.59288962827382519</v>
      </c>
      <c r="H1239" t="s">
        <v>11</v>
      </c>
      <c r="I1239">
        <f>VLOOKUP(Table4[[#This Row],[Visitor]],'NHL Model'!$A$6:$B$38,2,FALSE)</f>
        <v>-0.39711829106410657</v>
      </c>
      <c r="J1239">
        <f>($B$1+Table4[[#This Row],[Home Differential]])-Table4[[#This Row],[Away Differential]]</f>
        <v>-0.14587058828655619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0.47703254407868434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1.5302507646042616E-3</v>
      </c>
      <c r="H1240" t="s">
        <v>27</v>
      </c>
      <c r="I1240">
        <f>VLOOKUP(Table4[[#This Row],[Visitor]],'NHL Model'!$A$6:$B$38,2,FALSE)</f>
        <v>-0.38023958350631604</v>
      </c>
      <c r="J1240">
        <f>($B$1+Table4[[#This Row],[Home Differential]])-Table4[[#This Row],[Away Differential]]</f>
        <v>0.43167058319408275</v>
      </c>
      <c r="K1240" t="str">
        <f>IF(Table4[[#This Row],[HomeIce Differential]]&gt;0,Table4[[#This Row],[Home]],Table4[[#This Row],[Visitor]])</f>
        <v>New Jersey Devils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0.62935128001206531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-0.53137605086483863</v>
      </c>
      <c r="H1241" t="s">
        <v>37</v>
      </c>
      <c r="I1241">
        <f>VLOOKUP(Table4[[#This Row],[Visitor]],'NHL Model'!$A$6:$B$38,2,FALSE)</f>
        <v>0.51050494674660429</v>
      </c>
      <c r="J1241">
        <f>($B$1+Table4[[#This Row],[Home Differential]])-Table4[[#This Row],[Away Differential]]</f>
        <v>-0.9919802486882805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0.66582833461791524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-1.3944783719477225</v>
      </c>
      <c r="H1242" t="s">
        <v>12</v>
      </c>
      <c r="I1242">
        <f>VLOOKUP(Table4[[#This Row],[Visitor]],'NHL Model'!$A$6:$B$38,2,FALSE)</f>
        <v>1.6319036584269762</v>
      </c>
      <c r="J1242">
        <f>($B$1+Table4[[#This Row],[Home Differential]])-Table4[[#This Row],[Away Differential]]</f>
        <v>-2.9764812814515365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0.88017128844573156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-0.4031232890211825</v>
      </c>
      <c r="H1243" t="s">
        <v>17</v>
      </c>
      <c r="I1243">
        <f>VLOOKUP(Table4[[#This Row],[Visitor]],'NHL Model'!$A$6:$B$38,2,FALSE)</f>
        <v>-0.81774666423752174</v>
      </c>
      <c r="J1243">
        <f>($B$1+Table4[[#This Row],[Home Differential]])-Table4[[#This Row],[Away Differential]]</f>
        <v>0.46452412413950173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0.63467122482615079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-0.9476777551108041</v>
      </c>
      <c r="H1244" t="s">
        <v>20</v>
      </c>
      <c r="I1244">
        <f>VLOOKUP(Table4[[#This Row],[Visitor]],'NHL Model'!$A$6:$B$38,2,FALSE)</f>
        <v>-0.24444083032063643</v>
      </c>
      <c r="J1244">
        <f>($B$1+Table4[[#This Row],[Home Differential]])-Table4[[#This Row],[Away Differential]]</f>
        <v>-0.65333617586700521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0.53628664108623059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-0.29003398448394263</v>
      </c>
      <c r="H1245" t="s">
        <v>23</v>
      </c>
      <c r="I1245">
        <f>VLOOKUP(Table4[[#This Row],[Visitor]],'NHL Model'!$A$6:$B$38,2,FALSE)</f>
        <v>-0.4761104357405897</v>
      </c>
      <c r="J1245">
        <f>($B$1+Table4[[#This Row],[Home Differential]])-Table4[[#This Row],[Away Differential]]</f>
        <v>0.23597720017980953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0.56755382089589856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-0.45133099238224339</v>
      </c>
      <c r="H1246" t="s">
        <v>17</v>
      </c>
      <c r="I1246">
        <f>VLOOKUP(Table4[[#This Row],[Visitor]],'NHL Model'!$A$6:$B$38,2,FALSE)</f>
        <v>-0.81774666423752174</v>
      </c>
      <c r="J1246">
        <f>($B$1+Table4[[#This Row],[Home Differential]])-Table4[[#This Row],[Away Differential]]</f>
        <v>0.41631642077844083</v>
      </c>
      <c r="K1246" t="str">
        <f>IF(Table4[[#This Row],[HomeIce Differential]]&gt;0,Table4[[#This Row],[Home]],Table4[[#This Row],[Visitor]])</f>
        <v>San Jose Sharks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0.59873333590647571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-0.63447859131898054</v>
      </c>
      <c r="H1247" t="s">
        <v>22</v>
      </c>
      <c r="I1247">
        <f>VLOOKUP(Table4[[#This Row],[Visitor]],'NHL Model'!$A$6:$B$38,2,FALSE)</f>
        <v>0.4407072328537569</v>
      </c>
      <c r="J1247">
        <f>($B$1+Table4[[#This Row],[Home Differential]])-Table4[[#This Row],[Away Differential]]</f>
        <v>-1.025285075249575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0.62222972747717475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0.17870302183926629</v>
      </c>
      <c r="H1248" t="s">
        <v>33</v>
      </c>
      <c r="I1248">
        <f>VLOOKUP(Table4[[#This Row],[Visitor]],'NHL Model'!$A$6:$B$38,2,FALSE)</f>
        <v>-0.45133099238224339</v>
      </c>
      <c r="J1248">
        <f>($B$1+Table4[[#This Row],[Home Differential]])-Table4[[#This Row],[Away Differential]]</f>
        <v>0.67993476314467216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0.69922712946183019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-0.4761104357405897</v>
      </c>
      <c r="H1249" t="s">
        <v>28</v>
      </c>
      <c r="I1249">
        <f>VLOOKUP(Table4[[#This Row],[Visitor]],'NHL Model'!$A$6:$B$38,2,FALSE)</f>
        <v>-0.59498940435054026</v>
      </c>
      <c r="J1249">
        <f>($B$1+Table4[[#This Row],[Home Differential]])-Table4[[#This Row],[Away Differential]]</f>
        <v>0.16877971753311305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0.5662662274862772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-0.17619625518431364</v>
      </c>
      <c r="H1250" t="s">
        <v>25</v>
      </c>
      <c r="I1250">
        <f>VLOOKUP(Table4[[#This Row],[Visitor]],'NHL Model'!$A$6:$B$38,2,FALSE)</f>
        <v>0.42567513732855267</v>
      </c>
      <c r="J1250">
        <f>($B$1+Table4[[#This Row],[Home Differential]])-Table4[[#This Row],[Away Differential]]</f>
        <v>-0.55197064358970382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0.59707388825222985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1.6319036584269762</v>
      </c>
      <c r="H1251" t="s">
        <v>16</v>
      </c>
      <c r="I1251">
        <f>VLOOKUP(Table4[[#This Row],[Visitor]],'NHL Model'!$A$6:$B$38,2,FALSE)</f>
        <v>-1.0657812790446208</v>
      </c>
      <c r="J1251">
        <f>($B$1+Table4[[#This Row],[Home Differential]])-Table4[[#This Row],[Away Differential]]</f>
        <v>2.7475856863947596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0.96515107726433946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0.41344250185511977</v>
      </c>
      <c r="H1252" t="s">
        <v>34</v>
      </c>
      <c r="I1252">
        <f>VLOOKUP(Table4[[#This Row],[Visitor]],'NHL Model'!$A$6:$B$38,2,FALSE)</f>
        <v>-5.5124787449478845E-2</v>
      </c>
      <c r="J1252">
        <f>($B$1+Table4[[#This Row],[Home Differential]])-Table4[[#This Row],[Away Differential]]</f>
        <v>0.51846803822776111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0.5906592774329128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-0.87533956503230947</v>
      </c>
      <c r="H1253" t="s">
        <v>27</v>
      </c>
      <c r="I1253">
        <f>VLOOKUP(Table4[[#This Row],[Visitor]],'NHL Model'!$A$6:$B$38,2,FALSE)</f>
        <v>-0.38023958350631604</v>
      </c>
      <c r="J1253">
        <f>($B$1+Table4[[#This Row],[Home Differential]])-Table4[[#This Row],[Away Differential]]</f>
        <v>-0.44519923260283101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0.55449614389216906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-0.33828359867721369</v>
      </c>
      <c r="H1254" t="s">
        <v>38</v>
      </c>
      <c r="I1254">
        <f>VLOOKUP(Table4[[#This Row],[Visitor]],'NHL Model'!$A$6:$B$38,2,FALSE)</f>
        <v>-0.9476777551108041</v>
      </c>
      <c r="J1254">
        <f>($B$1+Table4[[#This Row],[Home Differential]])-Table4[[#This Row],[Away Differential]]</f>
        <v>0.65929490535675295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0.61340625175833186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-0.59288962827382519</v>
      </c>
      <c r="H1255" t="s">
        <v>37</v>
      </c>
      <c r="I1255">
        <f>VLOOKUP(Table4[[#This Row],[Visitor]],'NHL Model'!$A$6:$B$38,2,FALSE)</f>
        <v>0.51050494674660429</v>
      </c>
      <c r="J1255">
        <f>($B$1+Table4[[#This Row],[Home Differential]])-Table4[[#This Row],[Away Differential]]</f>
        <v>-1.053493826097267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0.67549714050132492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1.5302507646042616E-3</v>
      </c>
      <c r="H1256" t="s">
        <v>14</v>
      </c>
      <c r="I1256">
        <f>VLOOKUP(Table4[[#This Row],[Visitor]],'NHL Model'!$A$6:$B$38,2,FALSE)</f>
        <v>-0.14226422156549004</v>
      </c>
      <c r="J1256">
        <f>($B$1+Table4[[#This Row],[Home Differential]])-Table4[[#This Row],[Away Differential]]</f>
        <v>0.19369522125325678</v>
      </c>
      <c r="K1256" t="str">
        <f>IF(Table4[[#This Row],[HomeIce Differential]]&gt;0,Table4[[#This Row],[Home]],Table4[[#This Row],[Visitor]])</f>
        <v>New Jersey Devils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0.60470632805755864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-0.24093199744133265</v>
      </c>
      <c r="H1257" t="s">
        <v>19</v>
      </c>
      <c r="I1257">
        <f>VLOOKUP(Table4[[#This Row],[Visitor]],'NHL Model'!$A$6:$B$38,2,FALSE)</f>
        <v>-0.63447859131898054</v>
      </c>
      <c r="J1257">
        <f>($B$1+Table4[[#This Row],[Home Differential]])-Table4[[#This Row],[Away Differential]]</f>
        <v>0.44344734280081033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0.59177902208766475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-0.53137605086483863</v>
      </c>
      <c r="H1258" t="s">
        <v>11</v>
      </c>
      <c r="I1258">
        <f>VLOOKUP(Table4[[#This Row],[Visitor]],'NHL Model'!$A$6:$B$38,2,FALSE)</f>
        <v>-0.39711829106410657</v>
      </c>
      <c r="J1258">
        <f>($B$1+Table4[[#This Row],[Home Differential]])-Table4[[#This Row],[Away Differential]]</f>
        <v>-8.4357010877569583E-2</v>
      </c>
      <c r="K1258" t="str">
        <f>IF(Table4[[#This Row],[HomeIce Differential]]&gt;0,Table4[[#This Row],[Home]],Table4[[#This Row],[Visitor]])</f>
        <v>Florida Panthers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0.46735444683623856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-0.64937723527808999</v>
      </c>
      <c r="H1259" t="s">
        <v>20</v>
      </c>
      <c r="I1259">
        <f>VLOOKUP(Table4[[#This Row],[Visitor]],'NHL Model'!$A$6:$B$38,2,FALSE)</f>
        <v>-0.24444083032063643</v>
      </c>
      <c r="J1259">
        <f>($B$1+Table4[[#This Row],[Home Differential]])-Table4[[#This Row],[Away Differential]]</f>
        <v>-0.3550356560342911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0.50145565279430626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-1.3944783719477225</v>
      </c>
      <c r="H1260" t="s">
        <v>40</v>
      </c>
      <c r="I1260">
        <f>VLOOKUP(Table4[[#This Row],[Visitor]],'NHL Model'!$A$6:$B$38,2,FALSE)</f>
        <v>-0.31324182378279158</v>
      </c>
      <c r="J1260">
        <f>($B$1+Table4[[#This Row],[Home Differential]])-Table4[[#This Row],[Away Differential]]</f>
        <v>-1.0313357992417684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0.60119290676073633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-0.4031232890211825</v>
      </c>
      <c r="H1261" t="s">
        <v>29</v>
      </c>
      <c r="I1261">
        <f>VLOOKUP(Table4[[#This Row],[Visitor]],'NHL Model'!$A$6:$B$38,2,FALSE)</f>
        <v>-1.384917283810061</v>
      </c>
      <c r="J1261">
        <f>($B$1+Table4[[#This Row],[Home Differential]])-Table4[[#This Row],[Away Differential]]</f>
        <v>1.031694743712041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0.70089676550215485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-0.21976976044773161</v>
      </c>
      <c r="H1262" t="s">
        <v>37</v>
      </c>
      <c r="I1262">
        <f>VLOOKUP(Table4[[#This Row],[Visitor]],'NHL Model'!$A$6:$B$38,2,FALSE)</f>
        <v>0.51050494674660429</v>
      </c>
      <c r="J1262">
        <f>($B$1+Table4[[#This Row],[Home Differential]])-Table4[[#This Row],[Away Differential]]</f>
        <v>-0.68037395827117342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0.58853461032201404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-0.17619625518431364</v>
      </c>
      <c r="H1263" t="s">
        <v>35</v>
      </c>
      <c r="I1263">
        <f>VLOOKUP(Table4[[#This Row],[Visitor]],'NHL Model'!$A$6:$B$38,2,FALSE)</f>
        <v>-1.3944783719477225</v>
      </c>
      <c r="J1263">
        <f>($B$1+Table4[[#This Row],[Home Differential]])-Table4[[#This Row],[Away Differential]]</f>
        <v>1.2681828656865712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0.6880790666121519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1.6319036584269762</v>
      </c>
      <c r="H1264" t="s">
        <v>20</v>
      </c>
      <c r="I1264">
        <f>VLOOKUP(Table4[[#This Row],[Visitor]],'NHL Model'!$A$6:$B$38,2,FALSE)</f>
        <v>-0.24444083032063643</v>
      </c>
      <c r="J1264">
        <f>($B$1+Table4[[#This Row],[Home Differential]])-Table4[[#This Row],[Away Differential]]</f>
        <v>1.926245237670775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0.86924745775595813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0.41344250185511977</v>
      </c>
      <c r="H1265" t="s">
        <v>15</v>
      </c>
      <c r="I1265">
        <f>VLOOKUP(Table4[[#This Row],[Visitor]],'NHL Model'!$A$6:$B$38,2,FALSE)</f>
        <v>-0.29003398448394263</v>
      </c>
      <c r="J1265">
        <f>($B$1+Table4[[#This Row],[Home Differential]])-Table4[[#This Row],[Away Differential]]</f>
        <v>0.75337723526222489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0.56029263451851241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-0.87533956503230947</v>
      </c>
      <c r="H1266" t="s">
        <v>24</v>
      </c>
      <c r="I1266">
        <f>VLOOKUP(Table4[[#This Row],[Visitor]],'NHL Model'!$A$6:$B$38,2,FALSE)</f>
        <v>1.5302507646042616E-3</v>
      </c>
      <c r="J1266">
        <f>($B$1+Table4[[#This Row],[Home Differential]])-Table4[[#This Row],[Away Differential]]</f>
        <v>-0.82696906687375127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0.57733007451907226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-0.33828359867721369</v>
      </c>
      <c r="H1267" t="s">
        <v>17</v>
      </c>
      <c r="I1267">
        <f>VLOOKUP(Table4[[#This Row],[Visitor]],'NHL Model'!$A$6:$B$38,2,FALSE)</f>
        <v>-0.81774666423752174</v>
      </c>
      <c r="J1267">
        <f>($B$1+Table4[[#This Row],[Home Differential]])-Table4[[#This Row],[Away Differential]]</f>
        <v>0.52936381448347047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0.60181103819323645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-0.59288962827382519</v>
      </c>
      <c r="H1268" t="s">
        <v>28</v>
      </c>
      <c r="I1268">
        <f>VLOOKUP(Table4[[#This Row],[Visitor]],'NHL Model'!$A$6:$B$38,2,FALSE)</f>
        <v>-0.59498940435054026</v>
      </c>
      <c r="J1268">
        <f>($B$1+Table4[[#This Row],[Home Differential]])-Table4[[#This Row],[Away Differential]]</f>
        <v>5.2000524999877507E-2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0.54249566982631203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-1.384917283810061</v>
      </c>
      <c r="H1269" t="s">
        <v>34</v>
      </c>
      <c r="I1269">
        <f>VLOOKUP(Table4[[#This Row],[Visitor]],'NHL Model'!$A$6:$B$38,2,FALSE)</f>
        <v>-5.5124787449478845E-2</v>
      </c>
      <c r="J1269">
        <f>($B$1+Table4[[#This Row],[Home Differential]])-Table4[[#This Row],[Away Differential]]</f>
        <v>-1.2798917474374196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0.65195881418139467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-0.24093199744133265</v>
      </c>
      <c r="H1270" t="s">
        <v>36</v>
      </c>
      <c r="I1270">
        <f>VLOOKUP(Table4[[#This Row],[Visitor]],'NHL Model'!$A$6:$B$38,2,FALSE)</f>
        <v>-0.53137605086483863</v>
      </c>
      <c r="J1270">
        <f>($B$1+Table4[[#This Row],[Home Differential]])-Table4[[#This Row],[Away Differential]]</f>
        <v>0.34034480234666842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0.57974027880475065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-0.14226422156549004</v>
      </c>
      <c r="H1271" t="s">
        <v>22</v>
      </c>
      <c r="I1271">
        <f>VLOOKUP(Table4[[#This Row],[Visitor]],'NHL Model'!$A$6:$B$38,2,FALSE)</f>
        <v>0.4407072328537569</v>
      </c>
      <c r="J1271">
        <f>($B$1+Table4[[#This Row],[Home Differential]])-Table4[[#This Row],[Away Differential]]</f>
        <v>-0.53307070549608448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0.56475643524283603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-0.64937723527808999</v>
      </c>
      <c r="H1272" t="s">
        <v>16</v>
      </c>
      <c r="I1272">
        <f>VLOOKUP(Table4[[#This Row],[Visitor]],'NHL Model'!$A$6:$B$38,2,FALSE)</f>
        <v>-1.0657812790446208</v>
      </c>
      <c r="J1272">
        <f>($B$1+Table4[[#This Row],[Home Differential]])-Table4[[#This Row],[Away Differential]]</f>
        <v>0.46630479268969327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0.59444796671407507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-0.45133099238224339</v>
      </c>
      <c r="H1273" t="s">
        <v>38</v>
      </c>
      <c r="I1273">
        <f>VLOOKUP(Table4[[#This Row],[Visitor]],'NHL Model'!$A$6:$B$38,2,FALSE)</f>
        <v>-0.9476777551108041</v>
      </c>
      <c r="J1273">
        <f>($B$1+Table4[[#This Row],[Home Differential]])-Table4[[#This Row],[Away Differential]]</f>
        <v>0.54624751165172314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0.61034116347665668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-0.63447859131898054</v>
      </c>
      <c r="H1274" t="s">
        <v>11</v>
      </c>
      <c r="I1274">
        <f>VLOOKUP(Table4[[#This Row],[Visitor]],'NHL Model'!$A$6:$B$38,2,FALSE)</f>
        <v>-0.39711829106410657</v>
      </c>
      <c r="J1274">
        <f>($B$1+Table4[[#This Row],[Home Differential]])-Table4[[#This Row],[Away Differential]]</f>
        <v>-0.18745955133171155</v>
      </c>
      <c r="K1274" t="str">
        <f>IF(Table4[[#This Row],[HomeIce Differential]]&gt;0,Table4[[#This Row],[Home]],Table4[[#This Row],[Visitor]])</f>
        <v>Florida Panthers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0.48188866932349261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-0.4031232890211825</v>
      </c>
      <c r="H1275" t="s">
        <v>25</v>
      </c>
      <c r="I1275">
        <f>VLOOKUP(Table4[[#This Row],[Visitor]],'NHL Model'!$A$6:$B$38,2,FALSE)</f>
        <v>0.42567513732855267</v>
      </c>
      <c r="J1275">
        <f>($B$1+Table4[[#This Row],[Home Differential]])-Table4[[#This Row],[Away Differential]]</f>
        <v>-0.77889767742657268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0.58256791128065522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-0.31324182378279158</v>
      </c>
      <c r="H1276" t="s">
        <v>27</v>
      </c>
      <c r="I1276">
        <f>VLOOKUP(Table4[[#This Row],[Visitor]],'NHL Model'!$A$6:$B$38,2,FALSE)</f>
        <v>-0.38023958350631604</v>
      </c>
      <c r="J1276">
        <f>($B$1+Table4[[#This Row],[Home Differential]])-Table4[[#This Row],[Away Differential]]</f>
        <v>0.11689850864668694</v>
      </c>
      <c r="K1276" t="str">
        <f>IF(Table4[[#This Row],[HomeIce Differential]]&gt;0,Table4[[#This Row],[Home]],Table4[[#This Row],[Visitor]])</f>
        <v>Winnipeg Jets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0.51364962618335208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0.17870302183926629</v>
      </c>
      <c r="H1277" t="s">
        <v>38</v>
      </c>
      <c r="I1277">
        <f>VLOOKUP(Table4[[#This Row],[Visitor]],'NHL Model'!$A$6:$B$38,2,FALSE)</f>
        <v>-0.9476777551108041</v>
      </c>
      <c r="J1277">
        <f>($B$1+Table4[[#This Row],[Home Differential]])-Table4[[#This Row],[Away Differential]]</f>
        <v>1.1762815258732329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0.75378658498635764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-0.59498940435054026</v>
      </c>
      <c r="H1278" t="s">
        <v>21</v>
      </c>
      <c r="I1278">
        <f>VLOOKUP(Table4[[#This Row],[Visitor]],'NHL Model'!$A$6:$B$38,2,FALSE)</f>
        <v>-0.21976976044773161</v>
      </c>
      <c r="J1278">
        <f>($B$1+Table4[[#This Row],[Home Differential]])-Table4[[#This Row],[Away Differential]]</f>
        <v>-0.32531889497964622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0.4988152754406433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-1.0657812790446208</v>
      </c>
      <c r="H1279" t="s">
        <v>55</v>
      </c>
      <c r="I1279">
        <f>VLOOKUP(Table4[[#This Row],[Visitor]],'NHL Model'!$A$6:$B$38,2,FALSE)</f>
        <v>-0.4031232890211825</v>
      </c>
      <c r="J1279">
        <f>($B$1+Table4[[#This Row],[Home Differential]])-Table4[[#This Row],[Away Differential]]</f>
        <v>-0.61275724110027596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0.53154845154988206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1.5302507646042616E-3</v>
      </c>
      <c r="H1280" t="s">
        <v>36</v>
      </c>
      <c r="I1280">
        <f>VLOOKUP(Table4[[#This Row],[Visitor]],'NHL Model'!$A$6:$B$38,2,FALSE)</f>
        <v>-0.53137605086483863</v>
      </c>
      <c r="J1280">
        <f>($B$1+Table4[[#This Row],[Home Differential]])-Table4[[#This Row],[Away Differential]]</f>
        <v>0.5828070505526054</v>
      </c>
      <c r="K1280" t="str">
        <f>IF(Table4[[#This Row],[HomeIce Differential]]&gt;0,Table4[[#This Row],[Home]],Table4[[#This Row],[Visitor]])</f>
        <v>New Jersey Devils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0.68788603551397898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-0.24093199744133265</v>
      </c>
      <c r="H1281" t="s">
        <v>18</v>
      </c>
      <c r="I1281">
        <f>VLOOKUP(Table4[[#This Row],[Visitor]],'NHL Model'!$A$6:$B$38,2,FALSE)</f>
        <v>-0.59288962827382519</v>
      </c>
      <c r="J1281">
        <f>($B$1+Table4[[#This Row],[Home Differential]])-Table4[[#This Row],[Away Differential]]</f>
        <v>0.40185837975565497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0.52763506301496321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0.4407072328537569</v>
      </c>
      <c r="H1282" t="s">
        <v>14</v>
      </c>
      <c r="I1282">
        <f>VLOOKUP(Table4[[#This Row],[Visitor]],'NHL Model'!$A$6:$B$38,2,FALSE)</f>
        <v>-0.14226422156549004</v>
      </c>
      <c r="J1282">
        <f>($B$1+Table4[[#This Row],[Home Differential]])-Table4[[#This Row],[Away Differential]]</f>
        <v>0.63287220334240946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0.60092419729433255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-0.17619625518431364</v>
      </c>
      <c r="H1283" t="s">
        <v>23</v>
      </c>
      <c r="I1283">
        <f>VLOOKUP(Table4[[#This Row],[Visitor]],'NHL Model'!$A$6:$B$38,2,FALSE)</f>
        <v>-0.4761104357405897</v>
      </c>
      <c r="J1283">
        <f>($B$1+Table4[[#This Row],[Home Differential]])-Table4[[#This Row],[Away Differential]]</f>
        <v>0.34981492947943849</v>
      </c>
      <c r="K1283" t="str">
        <f>IF(Table4[[#This Row],[HomeIce Differential]]&gt;0,Table4[[#This Row],[Home]],Table4[[#This Row],[Visitor]])</f>
        <v>Chicago Blackhawks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0.58084605591660265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-0.81774666423752174</v>
      </c>
      <c r="H1284" t="s">
        <v>12</v>
      </c>
      <c r="I1284">
        <f>VLOOKUP(Table4[[#This Row],[Visitor]],'NHL Model'!$A$6:$B$38,2,FALSE)</f>
        <v>1.6319036584269762</v>
      </c>
      <c r="J1284">
        <f>($B$1+Table4[[#This Row],[Home Differential]])-Table4[[#This Row],[Away Differential]]</f>
        <v>-2.3997495737413352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0.80575362576568399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-0.39711829106410657</v>
      </c>
      <c r="H1285" t="s">
        <v>15</v>
      </c>
      <c r="I1285">
        <f>VLOOKUP(Table4[[#This Row],[Visitor]],'NHL Model'!$A$6:$B$38,2,FALSE)</f>
        <v>-0.29003398448394263</v>
      </c>
      <c r="J1285">
        <f>($B$1+Table4[[#This Row],[Home Differential]])-Table4[[#This Row],[Away Differential]]</f>
        <v>-5.7183557657001449E-2</v>
      </c>
      <c r="K1285" t="str">
        <f>IF(Table4[[#This Row],[HomeIce Differential]]&gt;0,Table4[[#This Row],[Home]],Table4[[#This Row],[Visitor]])</f>
        <v>New York Rangers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0.55277631510567293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-1.384917283810061</v>
      </c>
      <c r="H1286" t="s">
        <v>33</v>
      </c>
      <c r="I1286">
        <f>VLOOKUP(Table4[[#This Row],[Visitor]],'NHL Model'!$A$6:$B$38,2,FALSE)</f>
        <v>-0.45133099238224339</v>
      </c>
      <c r="J1286">
        <f>($B$1+Table4[[#This Row],[Home Differential]])-Table4[[#This Row],[Away Differential]]</f>
        <v>-0.88368554250465514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0.563183329355187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-0.38023958350631604</v>
      </c>
      <c r="H1287" t="s">
        <v>25</v>
      </c>
      <c r="I1287">
        <f>VLOOKUP(Table4[[#This Row],[Visitor]],'NHL Model'!$A$6:$B$38,2,FALSE)</f>
        <v>0.42567513732855267</v>
      </c>
      <c r="J1287">
        <f>($B$1+Table4[[#This Row],[Home Differential]])-Table4[[#This Row],[Away Differential]]</f>
        <v>-0.75601397191170627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0.60679430770908094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-0.64937723527808999</v>
      </c>
      <c r="H1288" t="s">
        <v>13</v>
      </c>
      <c r="I1288">
        <f>VLOOKUP(Table4[[#This Row],[Visitor]],'NHL Model'!$A$6:$B$38,2,FALSE)</f>
        <v>-0.33828359867721369</v>
      </c>
      <c r="J1288">
        <f>($B$1+Table4[[#This Row],[Home Differential]])-Table4[[#This Row],[Away Differential]]</f>
        <v>-0.26119288767771387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0.55681391404194935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-1.3944783719477225</v>
      </c>
      <c r="H1289" t="s">
        <v>34</v>
      </c>
      <c r="I1289">
        <f>VLOOKUP(Table4[[#This Row],[Visitor]],'NHL Model'!$A$6:$B$38,2,FALSE)</f>
        <v>-5.5124787449478845E-2</v>
      </c>
      <c r="J1289">
        <f>($B$1+Table4[[#This Row],[Home Differential]])-Table4[[#This Row],[Away Differential]]</f>
        <v>-1.2894528355750812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0.65307521233305632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0.51050494674660429</v>
      </c>
      <c r="H1290" t="s">
        <v>26</v>
      </c>
      <c r="I1290">
        <f>VLOOKUP(Table4[[#This Row],[Visitor]],'NHL Model'!$A$6:$B$38,2,FALSE)</f>
        <v>-0.87533956503230947</v>
      </c>
      <c r="J1290">
        <f>($B$1+Table4[[#This Row],[Home Differential]])-Table4[[#This Row],[Away Differential]]</f>
        <v>1.4357452607020762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0.73989051508295656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-0.63447859131898054</v>
      </c>
      <c r="H1291" t="s">
        <v>39</v>
      </c>
      <c r="I1291">
        <f>VLOOKUP(Table4[[#This Row],[Visitor]],'NHL Model'!$A$6:$B$38,2,FALSE)</f>
        <v>0.41344250185511977</v>
      </c>
      <c r="J1291">
        <f>($B$1+Table4[[#This Row],[Home Differential]])-Table4[[#This Row],[Away Differential]]</f>
        <v>-0.99802034425093789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0.67833135772929232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-0.24444083032063643</v>
      </c>
      <c r="H1292" t="s">
        <v>40</v>
      </c>
      <c r="I1292">
        <f>VLOOKUP(Table4[[#This Row],[Visitor]],'NHL Model'!$A$6:$B$38,2,FALSE)</f>
        <v>-0.31324182378279158</v>
      </c>
      <c r="J1292">
        <f>($B$1+Table4[[#This Row],[Home Differential]])-Table4[[#This Row],[Away Differential]]</f>
        <v>0.11870174238531761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0.53309094956693703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-0.21976976044773161</v>
      </c>
      <c r="H1293" t="s">
        <v>24</v>
      </c>
      <c r="I1293">
        <f>VLOOKUP(Table4[[#This Row],[Visitor]],'NHL Model'!$A$6:$B$38,2,FALSE)</f>
        <v>1.5302507646042616E-3</v>
      </c>
      <c r="J1293">
        <f>($B$1+Table4[[#This Row],[Home Differential]])-Table4[[#This Row],[Away Differential]]</f>
        <v>-0.1713992622891734</v>
      </c>
      <c r="K1293" t="str">
        <f>IF(Table4[[#This Row],[HomeIce Differential]]&gt;0,Table4[[#This Row],[Home]],Table4[[#This Row],[Visitor]])</f>
        <v>New Jersey Devils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0.45751339354482728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-0.59498940435054026</v>
      </c>
      <c r="H1294" t="s">
        <v>22</v>
      </c>
      <c r="I1294">
        <f>VLOOKUP(Table4[[#This Row],[Visitor]],'NHL Model'!$A$6:$B$38,2,FALSE)</f>
        <v>0.4407072328537569</v>
      </c>
      <c r="J1294">
        <f>($B$1+Table4[[#This Row],[Home Differential]])-Table4[[#This Row],[Away Differential]]</f>
        <v>-0.98579588828113474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0.61761878207980603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-1.0657812790446208</v>
      </c>
      <c r="H1295" t="s">
        <v>12</v>
      </c>
      <c r="I1295">
        <f>VLOOKUP(Table4[[#This Row],[Visitor]],'NHL Model'!$A$6:$B$38,2,FALSE)</f>
        <v>1.6319036584269762</v>
      </c>
      <c r="J1295">
        <f>($B$1+Table4[[#This Row],[Home Differential]])-Table4[[#This Row],[Away Differential]]</f>
        <v>-2.6477841885484343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0.84179105162643941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-5.5124787449478845E-2</v>
      </c>
      <c r="H1296" t="s">
        <v>31</v>
      </c>
      <c r="I1296">
        <f>VLOOKUP(Table4[[#This Row],[Visitor]],'NHL Model'!$A$6:$B$38,2,FALSE)</f>
        <v>0.17870302183926629</v>
      </c>
      <c r="J1296">
        <f>($B$1+Table4[[#This Row],[Home Differential]])-Table4[[#This Row],[Away Differential]]</f>
        <v>-0.18392706036558265</v>
      </c>
      <c r="K1296" t="str">
        <f>IF(Table4[[#This Row],[HomeIce Differential]]&gt;0,Table4[[#This Row],[Home]],Table4[[#This Row],[Visitor]])</f>
        <v>Anaheim Ducks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0.50224542963658214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-0.24093199744133265</v>
      </c>
      <c r="H1297" t="s">
        <v>25</v>
      </c>
      <c r="I1297">
        <f>VLOOKUP(Table4[[#This Row],[Visitor]],'NHL Model'!$A$6:$B$38,2,FALSE)</f>
        <v>0.42567513732855267</v>
      </c>
      <c r="J1297">
        <f>($B$1+Table4[[#This Row],[Home Differential]])-Table4[[#This Row],[Away Differential]]</f>
        <v>-0.61670638584672288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0.60463274159210245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-0.38023958350631604</v>
      </c>
      <c r="H1298" t="s">
        <v>18</v>
      </c>
      <c r="I1298">
        <f>VLOOKUP(Table4[[#This Row],[Visitor]],'NHL Model'!$A$6:$B$38,2,FALSE)</f>
        <v>-0.59288962827382519</v>
      </c>
      <c r="J1298">
        <f>($B$1+Table4[[#This Row],[Home Differential]])-Table4[[#This Row],[Away Differential]]</f>
        <v>0.26255079369067164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0.52550204096128261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-1.3944783719477225</v>
      </c>
      <c r="H1299" t="s">
        <v>14</v>
      </c>
      <c r="I1299">
        <f>VLOOKUP(Table4[[#This Row],[Visitor]],'NHL Model'!$A$6:$B$38,2,FALSE)</f>
        <v>-0.14226422156549004</v>
      </c>
      <c r="J1299">
        <f>($B$1+Table4[[#This Row],[Home Differential]])-Table4[[#This Row],[Away Differential]]</f>
        <v>-1.20231340145907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0.63967456773791442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-0.4031232890211825</v>
      </c>
      <c r="H1300" t="s">
        <v>40</v>
      </c>
      <c r="I1300">
        <f>VLOOKUP(Table4[[#This Row],[Visitor]],'NHL Model'!$A$6:$B$38,2,FALSE)</f>
        <v>-0.31324182378279158</v>
      </c>
      <c r="J1300">
        <f>($B$1+Table4[[#This Row],[Home Differential]])-Table4[[#This Row],[Away Differential]]</f>
        <v>-3.9980716315228426E-2</v>
      </c>
      <c r="K1300" t="str">
        <f>IF(Table4[[#This Row],[HomeIce Differential]]&gt;0,Table4[[#This Row],[Home]],Table4[[#This Row],[Visitor]])</f>
        <v>Winnipeg Jets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0.44466833870306172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-0.9476777551108041</v>
      </c>
      <c r="H1301" t="s">
        <v>13</v>
      </c>
      <c r="I1301">
        <f>VLOOKUP(Table4[[#This Row],[Visitor]],'NHL Model'!$A$6:$B$38,2,FALSE)</f>
        <v>-0.33828359867721369</v>
      </c>
      <c r="J1301">
        <f>($B$1+Table4[[#This Row],[Home Differential]])-Table4[[#This Row],[Away Differential]]</f>
        <v>-0.55949340751042798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0.59164490233387368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-0.4761104357405897</v>
      </c>
      <c r="H1302" t="s">
        <v>39</v>
      </c>
      <c r="I1302">
        <f>VLOOKUP(Table4[[#This Row],[Visitor]],'NHL Model'!$A$6:$B$38,2,FALSE)</f>
        <v>0.41344250185511977</v>
      </c>
      <c r="J1302">
        <f>($B$1+Table4[[#This Row],[Home Differential]])-Table4[[#This Row],[Away Differential]]</f>
        <v>-0.83965218867254698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0.64976592334040328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-0.17619625518431364</v>
      </c>
      <c r="H1303" t="s">
        <v>33</v>
      </c>
      <c r="I1303">
        <f>VLOOKUP(Table4[[#This Row],[Visitor]],'NHL Model'!$A$6:$B$38,2,FALSE)</f>
        <v>-0.45133099238224339</v>
      </c>
      <c r="J1303">
        <f>($B$1+Table4[[#This Row],[Home Differential]])-Table4[[#This Row],[Away Differential]]</f>
        <v>0.32503548612109223</v>
      </c>
      <c r="K1303" t="str">
        <f>IF(Table4[[#This Row],[HomeIce Differential]]&gt;0,Table4[[#This Row],[Home]],Table4[[#This Row],[Visitor]])</f>
        <v>Chicago Blackhawks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0.57795269018603335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-0.39711829106410657</v>
      </c>
      <c r="H1304" t="s">
        <v>26</v>
      </c>
      <c r="I1304">
        <f>VLOOKUP(Table4[[#This Row],[Visitor]],'NHL Model'!$A$6:$B$38,2,FALSE)</f>
        <v>-0.87533956503230947</v>
      </c>
      <c r="J1304">
        <f>($B$1+Table4[[#This Row],[Home Differential]])-Table4[[#This Row],[Away Differential]]</f>
        <v>0.52812202289136545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0.61568266119593729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-0.53137605086483863</v>
      </c>
      <c r="H1305" t="s">
        <v>19</v>
      </c>
      <c r="I1305">
        <f>VLOOKUP(Table4[[#This Row],[Visitor]],'NHL Model'!$A$6:$B$38,2,FALSE)</f>
        <v>-0.63447859131898054</v>
      </c>
      <c r="J1305">
        <f>($B$1+Table4[[#This Row],[Home Differential]])-Table4[[#This Row],[Away Differential]]</f>
        <v>0.1530032893773044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0.56036087140652391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0.51050494674660429</v>
      </c>
      <c r="H1306" t="s">
        <v>15</v>
      </c>
      <c r="I1306">
        <f>VLOOKUP(Table4[[#This Row],[Visitor]],'NHL Model'!$A$6:$B$38,2,FALSE)</f>
        <v>-0.29003398448394263</v>
      </c>
      <c r="J1306">
        <f>($B$1+Table4[[#This Row],[Home Differential]])-Table4[[#This Row],[Away Differential]]</f>
        <v>0.8504396801537093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0.57162610749903808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-0.24444083032063643</v>
      </c>
      <c r="H1307" t="s">
        <v>32</v>
      </c>
      <c r="I1307">
        <f>VLOOKUP(Table4[[#This Row],[Visitor]],'NHL Model'!$A$6:$B$38,2,FALSE)</f>
        <v>-0.64937723527808999</v>
      </c>
      <c r="J1307">
        <f>($B$1+Table4[[#This Row],[Home Differential]])-Table4[[#This Row],[Away Differential]]</f>
        <v>0.45483715388061602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0.59310895063284608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-1.0657812790446208</v>
      </c>
      <c r="H1308" t="s">
        <v>13</v>
      </c>
      <c r="I1308">
        <f>VLOOKUP(Table4[[#This Row],[Visitor]],'NHL Model'!$A$6:$B$38,2,FALSE)</f>
        <v>-0.33828359867721369</v>
      </c>
      <c r="J1308">
        <f>($B$1+Table4[[#This Row],[Home Differential]])-Table4[[#This Row],[Away Differential]]</f>
        <v>-0.67759693144424471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0.60543523183675452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1.6319036584269762</v>
      </c>
      <c r="H1309" t="s">
        <v>32</v>
      </c>
      <c r="I1309">
        <f>VLOOKUP(Table4[[#This Row],[Visitor]],'NHL Model'!$A$6:$B$38,2,FALSE)</f>
        <v>-0.64937723527808999</v>
      </c>
      <c r="J1309">
        <f>($B$1+Table4[[#This Row],[Home Differential]])-Table4[[#This Row],[Away Differential]]</f>
        <v>2.3311816426282288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0.9165297594695343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-0.81774666423752174</v>
      </c>
      <c r="H1310" t="s">
        <v>38</v>
      </c>
      <c r="I1310">
        <f>VLOOKUP(Table4[[#This Row],[Visitor]],'NHL Model'!$A$6:$B$38,2,FALSE)</f>
        <v>-0.9476777551108041</v>
      </c>
      <c r="J1310">
        <f>($B$1+Table4[[#This Row],[Home Differential]])-Table4[[#This Row],[Away Differential]]</f>
        <v>0.17983183979644479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0.564476282294328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-1.384917283810061</v>
      </c>
      <c r="H1311" t="s">
        <v>31</v>
      </c>
      <c r="I1311">
        <f>VLOOKUP(Table4[[#This Row],[Visitor]],'NHL Model'!$A$6:$B$38,2,FALSE)</f>
        <v>0.17870302183926629</v>
      </c>
      <c r="J1311">
        <f>($B$1+Table4[[#This Row],[Home Differential]])-Table4[[#This Row],[Away Differential]]</f>
        <v>-1.5137195567261648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0.65751832992317638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-0.4031232890211825</v>
      </c>
      <c r="H1312" t="s">
        <v>35</v>
      </c>
      <c r="I1312">
        <f>VLOOKUP(Table4[[#This Row],[Visitor]],'NHL Model'!$A$6:$B$38,2,FALSE)</f>
        <v>-1.3944783719477225</v>
      </c>
      <c r="J1312">
        <f>($B$1+Table4[[#This Row],[Home Differential]])-Table4[[#This Row],[Away Differential]]</f>
        <v>1.0412558318497025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0.7020131636538165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-0.31324182378279158</v>
      </c>
      <c r="H1313" t="s">
        <v>33</v>
      </c>
      <c r="I1313">
        <f>VLOOKUP(Table4[[#This Row],[Visitor]],'NHL Model'!$A$6:$B$38,2,FALSE)</f>
        <v>-0.45133099238224339</v>
      </c>
      <c r="J1313">
        <f>($B$1+Table4[[#This Row],[Home Differential]])-Table4[[#This Row],[Away Differential]]</f>
        <v>0.18798991752261429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0.56444607660826673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31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30" priority="9" operator="containsText" text="NO">
      <formula>NOT(ISERROR(SEARCH("NO",M2)))</formula>
    </cfRule>
    <cfRule type="containsText" dxfId="29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1313">
    <cfRule type="containsText" dxfId="28" priority="3" operator="containsText" text="YES">
      <formula>NOT(ISERROR(SEARCH("YES",R1)))</formula>
    </cfRule>
    <cfRule type="containsText" dxfId="27" priority="4" operator="containsText" text="NO">
      <formula>NOT(ISERROR(SEARCH("NO",R1)))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workbookViewId="0">
      <selection activeCell="M35" sqref="M35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26</v>
      </c>
      <c r="C2">
        <f>COUNTIF(NHL2025_26Results[Winning Team],Standings!A2)</f>
        <v>16</v>
      </c>
      <c r="D2">
        <f>COUNTIFS('NHL2025-26Results'!$H:$H,A2,'NHL2025-26Results'!$F:$F,"")</f>
        <v>9</v>
      </c>
      <c r="E2" s="10">
        <f>COUNTIFS('NHL2025-26Results'!$F:$F,"OT",'NHL2025-26Results'!$H:$H,A2) + COUNTIFS('NHL2025-26Results'!$F:$F,"SO",'NHL2025-26Results'!$H:$H,A2)</f>
        <v>1</v>
      </c>
      <c r="F2" s="3">
        <f>(Table1[[#This Row],[W]]*2)+Table1[[#This Row],[OTL]]</f>
        <v>33</v>
      </c>
      <c r="G2">
        <f>COUNTIFS('NHL2025-26Results'!$D:$D,A2,'NHL2025-26Results'!$G:$G,A2)</f>
        <v>9</v>
      </c>
      <c r="H2">
        <f>COUNTIFS('NHL2025-26Results'!$D:$D,A2,'NHL2025-26Results'!$H:$H,A2,'NHL2025-26Results'!$F:$F,"")</f>
        <v>3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7</v>
      </c>
      <c r="K2">
        <f>COUNTIFS('NHL2025-26Results'!$B:$B,A2,'NHL2025-26Results'!$H:$H,A2,'NHL2025-26Results'!$F:$F,"")</f>
        <v>6</v>
      </c>
      <c r="L2">
        <f>COUNTIFS('NHL2025-26Results'!$B:$B,A2,'NHL2025-26Results'!$H:$H,A2,'NHL2025-26Results'!$F:$F,"OT") + COUNTIFS('NHL2025-26Results'!$B:$B,A2,'NHL2025-26Results'!$H:$H,A2,'NHL2025-26Results'!$F:$F,"SO")</f>
        <v>1</v>
      </c>
      <c r="M2" s="11">
        <f>Table1[[#This Row],[HomeWins]]/SUM(Table1[[#This Row],[HomeWins]:[HomeOTL]])</f>
        <v>0.75</v>
      </c>
      <c r="N2" s="11">
        <f>Table1[[#This Row],[AwayWins]]/SUM(Table1[[#This Row],[AwayWins]:[AwayOTL]])</f>
        <v>0.5</v>
      </c>
      <c r="O2" s="14">
        <f>SUMIFS('NHL2025-26Results'!$E:$E,'NHL2025-26Results'!$D:$D,A2,'NHL2025-26Results'!$E:$E,"&gt;0")/COUNTIFS('NHL2025-26Results'!$D:$D,A2,'NHL2025-26Results'!$E:$E,"&gt;0")</f>
        <v>3.9166666666666665</v>
      </c>
      <c r="P2" s="15">
        <f>SUMIFS('NHL2025-26Results'!$C:$C,'NHL2025-26Results'!$B:$B,A2,'NHL2025-26Results'!$C:$C,"&gt;0")/COUNTIFS('NHL2025-26Results'!$B:$B,A2,'NHL2025-26Results'!$C:$C,"&gt;0")</f>
        <v>3.7692307692307692</v>
      </c>
      <c r="Q2" s="14">
        <f>SUMIFS('NHL2025-26Results'!$C:$C,'NHL2025-26Results'!$D:$D,A2,'NHL2025-26Results'!$C:$C,"&gt;0")/COUNTIFS('NHL2025-26Results'!$D:$D,A2,'NHL2025-26Results'!$C:$C,"&gt;0")</f>
        <v>2.8333333333333335</v>
      </c>
      <c r="R2" s="14">
        <f>SUMIFS('NHL2025-26Results'!$E:$E,'NHL2025-26Results'!$B:$B,A2,'NHL2025-26Results'!$E:$E,"&gt;0")/COUNTIFS('NHL2025-26Results'!$B:$B,A2,'NHL2025-26Results'!$E:$E,"&gt;0")</f>
        <v>3.5714285714285716</v>
      </c>
    </row>
    <row r="3" spans="1:18" x14ac:dyDescent="0.2">
      <c r="A3" s="4" t="s">
        <v>21</v>
      </c>
      <c r="B3">
        <f>SUM(Table1[[#This Row],[W]:[OTL]])</f>
        <v>27</v>
      </c>
      <c r="C3">
        <f>COUNTIF(NHL2025_26Results[Winning Team],Standings!A3)</f>
        <v>15</v>
      </c>
      <c r="D3">
        <f>COUNTIFS('NHL2025-26Results'!$H:$H,A3,'NHL2025-26Results'!$F:$F,"")</f>
        <v>12</v>
      </c>
      <c r="E3">
        <f>COUNTIFS('NHL2025-26Results'!$F:$F,"OT",'NHL2025-26Results'!$H:$H,A3) + COUNTIFS('NHL2025-26Results'!$F:$F,"SO",'NHL2025-26Results'!$H:$H,A3)</f>
        <v>0</v>
      </c>
      <c r="F3" s="3">
        <f>(Table1[[#This Row],[W]]*2)+Table1[[#This Row],[OTL]]</f>
        <v>30</v>
      </c>
      <c r="G3">
        <f>COUNTIFS('NHL2025-26Results'!$D:$D,A3,'NHL2025-26Results'!$G:$G,A3)</f>
        <v>9</v>
      </c>
      <c r="H3">
        <f>COUNTIFS('NHL2025-26Results'!$D:$D,A3,'NHL2025-26Results'!$H:$H,A3,'NHL2025-26Results'!$F:$F,"")</f>
        <v>5</v>
      </c>
      <c r="I3">
        <f>COUNTIFS('NHL2025-26Results'!$D:$D,A3,'NHL2025-26Results'!$H:$H,A3,'NHL2025-26Results'!$F:$F,"OT") + COUNTIFS('NHL2025-26Results'!$D:$D,A3,'NHL2025-26Results'!$H:$H,A3,'NHL2025-26Results'!$F:$F,"SO")</f>
        <v>0</v>
      </c>
      <c r="J3">
        <f>COUNTIFS('NHL2025-26Results'!$B:$B,A3,'NHL2025-26Results'!$G:$G,A3)</f>
        <v>6</v>
      </c>
      <c r="K3">
        <f>COUNTIFS('NHL2025-26Results'!$B:$B,A3,'NHL2025-26Results'!$H:$H,A3,'NHL2025-26Results'!$F:$F,"")</f>
        <v>7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0.6428571428571429</v>
      </c>
      <c r="N3" s="11">
        <f>Table1[[#This Row],[AwayWins]]/SUM(Table1[[#This Row],[AwayWins]:[AwayOTL]])</f>
        <v>0.46153846153846156</v>
      </c>
      <c r="O3" s="14">
        <f>SUMIFS('NHL2025-26Results'!$E:$E,'NHL2025-26Results'!$D:$D,A3,'NHL2025-26Results'!$E:$E,"&gt;0")/COUNTIFS('NHL2025-26Results'!$D:$D,A3,'NHL2025-26Results'!$E:$E,"&gt;0")</f>
        <v>3.2857142857142856</v>
      </c>
      <c r="P3" s="14">
        <f>SUMIFS('NHL2025-26Results'!$C:$C,'NHL2025-26Results'!$B:$B,A3,'NHL2025-26Results'!$C:$C,"&gt;0")/COUNTIFS('NHL2025-26Results'!$B:$B,A3,'NHL2025-26Results'!$C:$C,"&gt;0")</f>
        <v>2.8461538461538463</v>
      </c>
      <c r="Q3" s="14">
        <f>SUMIFS('NHL2025-26Results'!$C:$C,'NHL2025-26Results'!$D:$D,A3,'NHL2025-26Results'!$C:$C,"&gt;0")/COUNTIFS('NHL2025-26Results'!$D:$D,A3,'NHL2025-26Results'!$C:$C,"&gt;0")</f>
        <v>3.0714285714285716</v>
      </c>
      <c r="R3" s="14">
        <f>SUMIFS('NHL2025-26Results'!$E:$E,'NHL2025-26Results'!$B:$B,A3,'NHL2025-26Results'!$E:$E,"&gt;0")/COUNTIFS('NHL2025-26Results'!$B:$B,A3,'NHL2025-26Results'!$E:$E,"&gt;0")</f>
        <v>3.3076923076923075</v>
      </c>
    </row>
    <row r="4" spans="1:18" x14ac:dyDescent="0.2">
      <c r="A4" s="4" t="s">
        <v>23</v>
      </c>
      <c r="B4">
        <f>SUM(Table1[[#This Row],[W]:[OTL]])</f>
        <v>26</v>
      </c>
      <c r="C4">
        <f>COUNTIF(NHL2025_26Results[Winning Team],Standings!A4)</f>
        <v>11</v>
      </c>
      <c r="D4">
        <f>COUNTIFS('NHL2025-26Results'!$H:$H,A4,'NHL2025-26Results'!$F:$F,"")</f>
        <v>11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26</v>
      </c>
      <c r="G4">
        <f>COUNTIFS('NHL2025-26Results'!$D:$D,A4,'NHL2025-26Results'!$G:$G,A4)</f>
        <v>9</v>
      </c>
      <c r="H4">
        <f>COUNTIFS('NHL2025-26Results'!$D:$D,A4,'NHL2025-26Results'!$H:$H,A4,'NHL2025-26Results'!$F:$F,"")</f>
        <v>5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2</v>
      </c>
      <c r="K4">
        <f>COUNTIFS('NHL2025-26Results'!$B:$B,A4,'NHL2025-26Results'!$H:$H,A4,'NHL2025-26Results'!$F:$F,"")</f>
        <v>6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0.5625</v>
      </c>
      <c r="N4" s="11">
        <f>Table1[[#This Row],[AwayWins]]/SUM(Table1[[#This Row],[AwayWins]:[AwayOTL]])</f>
        <v>0.2</v>
      </c>
      <c r="O4" s="14">
        <f>SUMIFS('NHL2025-26Results'!$E:$E,'NHL2025-26Results'!$D:$D,A4,'NHL2025-26Results'!$E:$E,"&gt;0")/COUNTIFS('NHL2025-26Results'!$D:$D,A4,'NHL2025-26Results'!$E:$E,"&gt;0")</f>
        <v>4.1538461538461542</v>
      </c>
      <c r="P4" s="14">
        <f>SUMIFS('NHL2025-26Results'!$C:$C,'NHL2025-26Results'!$B:$B,A4,'NHL2025-26Results'!$C:$C,"&gt;0")/COUNTIFS('NHL2025-26Results'!$B:$B,A4,'NHL2025-26Results'!$C:$C,"&gt;0")</f>
        <v>2.7</v>
      </c>
      <c r="Q4" s="14">
        <f>SUMIFS('NHL2025-26Results'!$C:$C,'NHL2025-26Results'!$D:$D,A4,'NHL2025-26Results'!$C:$C,"&gt;0")/COUNTIFS('NHL2025-26Results'!$D:$D,A4,'NHL2025-26Results'!$C:$C,"&gt;0")</f>
        <v>3</v>
      </c>
      <c r="R4" s="14">
        <f>SUMIFS('NHL2025-26Results'!$E:$E,'NHL2025-26Results'!$B:$B,A4,'NHL2025-26Results'!$E:$E,"&gt;0")/COUNTIFS('NHL2025-26Results'!$B:$B,A4,'NHL2025-26Results'!$E:$E,"&gt;0")</f>
        <v>4.2</v>
      </c>
    </row>
    <row r="5" spans="1:18" x14ac:dyDescent="0.2">
      <c r="A5" s="4" t="s">
        <v>16</v>
      </c>
      <c r="B5">
        <f>SUM(Table1[[#This Row],[W]:[OTL]])</f>
        <v>27</v>
      </c>
      <c r="C5">
        <f>COUNTIF(NHL2025_26Results[Winning Team],Standings!A5)</f>
        <v>9</v>
      </c>
      <c r="D5">
        <f>COUNTIFS('NHL2025-26Results'!$H:$H,A5,'NHL2025-26Results'!$F:$F,"")</f>
        <v>14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22</v>
      </c>
      <c r="G5">
        <f>COUNTIFS('NHL2025-26Results'!$D:$D,A5,'NHL2025-26Results'!$G:$G,A5)</f>
        <v>4</v>
      </c>
      <c r="H5">
        <f>COUNTIFS('NHL2025-26Results'!$D:$D,A5,'NHL2025-26Results'!$H:$H,A5,'NHL2025-26Results'!$F:$F,"")</f>
        <v>4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5</v>
      </c>
      <c r="K5">
        <f>COUNTIFS('NHL2025-26Results'!$B:$B,A5,'NHL2025-26Results'!$H:$H,A5,'NHL2025-26Results'!$F:$F,"")</f>
        <v>10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0.4</v>
      </c>
      <c r="N5" s="11">
        <f>Table1[[#This Row],[AwayWins]]/SUM(Table1[[#This Row],[AwayWins]:[AwayOTL]])</f>
        <v>0.29411764705882354</v>
      </c>
      <c r="O5" s="14">
        <f>SUMIFS('NHL2025-26Results'!$E:$E,'NHL2025-26Results'!$D:$D,A5,'NHL2025-26Results'!$E:$E,"&gt;0")/COUNTIFS('NHL2025-26Results'!$D:$D,A5,'NHL2025-26Results'!$E:$E,"&gt;0")</f>
        <v>2.6666666666666665</v>
      </c>
      <c r="P5" s="14">
        <f>SUMIFS('NHL2025-26Results'!$C:$C,'NHL2025-26Results'!$B:$B,A5,'NHL2025-26Results'!$C:$C,"&gt;0")/COUNTIFS('NHL2025-26Results'!$B:$B,A5,'NHL2025-26Results'!$C:$C,"&gt;0")</f>
        <v>2.7333333333333334</v>
      </c>
      <c r="Q5" s="14">
        <f>SUMIFS('NHL2025-26Results'!$C:$C,'NHL2025-26Results'!$D:$D,A5,'NHL2025-26Results'!$C:$C,"&gt;0")/COUNTIFS('NHL2025-26Results'!$D:$D,A5,'NHL2025-26Results'!$C:$C,"&gt;0")</f>
        <v>2.6666666666666665</v>
      </c>
      <c r="R5" s="14">
        <f>SUMIFS('NHL2025-26Results'!$E:$E,'NHL2025-26Results'!$B:$B,A5,'NHL2025-26Results'!$E:$E,"&gt;0")/COUNTIFS('NHL2025-26Results'!$B:$B,A5,'NHL2025-26Results'!$E:$E,"&gt;0")</f>
        <v>3.4117647058823528</v>
      </c>
    </row>
    <row r="6" spans="1:18" x14ac:dyDescent="0.2">
      <c r="A6" s="4" t="s">
        <v>25</v>
      </c>
      <c r="B6">
        <f>SUM(Table1[[#This Row],[W]:[OTL]])</f>
        <v>25</v>
      </c>
      <c r="C6">
        <f>COUNTIF(NHL2025_26Results[Winning Team],Standings!A6)</f>
        <v>16</v>
      </c>
      <c r="D6">
        <f>COUNTIFS('NHL2025-26Results'!$H:$H,A6,'NHL2025-26Results'!$F:$F,"")</f>
        <v>7</v>
      </c>
      <c r="E6">
        <f>COUNTIFS('NHL2025-26Results'!$F:$F,"OT",'NHL2025-26Results'!$H:$H,A6) + COUNTIFS('NHL2025-26Results'!$F:$F,"SO",'NHL2025-26Results'!$H:$H,A6)</f>
        <v>2</v>
      </c>
      <c r="F6" s="3">
        <f>(Table1[[#This Row],[W]]*2)+Table1[[#This Row],[OTL]]</f>
        <v>34</v>
      </c>
      <c r="G6">
        <f>COUNTIFS('NHL2025-26Results'!$D:$D,A6,'NHL2025-26Results'!$G:$G,A6)</f>
        <v>8</v>
      </c>
      <c r="H6">
        <f>COUNTIFS('NHL2025-26Results'!$D:$D,A6,'NHL2025-26Results'!$H:$H,A6,'NHL2025-26Results'!$F:$F,"")</f>
        <v>3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8</v>
      </c>
      <c r="K6">
        <f>COUNTIFS('NHL2025-26Results'!$B:$B,A6,'NHL2025-26Results'!$H:$H,A6,'NHL2025-26Results'!$F:$F,"")</f>
        <v>4</v>
      </c>
      <c r="L6">
        <f>COUNTIFS('NHL2025-26Results'!$B:$B,A6,'NHL2025-26Results'!$H:$H,A6,'NHL2025-26Results'!$F:$F,"OT") + COUNTIFS('NHL2025-26Results'!$B:$B,A6,'NHL2025-26Results'!$H:$H,A6,'NHL2025-26Results'!$F:$F,"SO")</f>
        <v>1</v>
      </c>
      <c r="M6" s="11">
        <f>Table1[[#This Row],[HomeWins]]/SUM(Table1[[#This Row],[HomeWins]:[HomeOTL]])</f>
        <v>0.66666666666666663</v>
      </c>
      <c r="N6" s="11">
        <f>Table1[[#This Row],[AwayWins]]/SUM(Table1[[#This Row],[AwayWins]:[AwayOTL]])</f>
        <v>0.61538461538461542</v>
      </c>
      <c r="O6" s="14">
        <f>SUMIFS('NHL2025-26Results'!$E:$E,'NHL2025-26Results'!$D:$D,A6,'NHL2025-26Results'!$E:$E,"&gt;0")/COUNTIFS('NHL2025-26Results'!$D:$D,A6,'NHL2025-26Results'!$E:$E,"&gt;0")</f>
        <v>3.75</v>
      </c>
      <c r="P6" s="14">
        <f>SUMIFS('NHL2025-26Results'!$C:$C,'NHL2025-26Results'!$B:$B,A6,'NHL2025-26Results'!$C:$C,"&gt;0")/COUNTIFS('NHL2025-26Results'!$B:$B,A6,'NHL2025-26Results'!$C:$C,"&gt;0")</f>
        <v>3.1538461538461537</v>
      </c>
      <c r="Q6" s="14">
        <f>SUMIFS('NHL2025-26Results'!$C:$C,'NHL2025-26Results'!$D:$D,A6,'NHL2025-26Results'!$C:$C,"&gt;0")/COUNTIFS('NHL2025-26Results'!$D:$D,A6,'NHL2025-26Results'!$C:$C,"&gt;0")</f>
        <v>3.2727272727272729</v>
      </c>
      <c r="R6" s="14">
        <f>SUMIFS('NHL2025-26Results'!$E:$E,'NHL2025-26Results'!$B:$B,A6,'NHL2025-26Results'!$E:$E,"&gt;0")/COUNTIFS('NHL2025-26Results'!$B:$B,A6,'NHL2025-26Results'!$E:$E,"&gt;0")</f>
        <v>2.8333333333333335</v>
      </c>
    </row>
    <row r="7" spans="1:18" x14ac:dyDescent="0.2">
      <c r="A7" s="4" t="s">
        <v>10</v>
      </c>
      <c r="B7">
        <f>SUM(Table1[[#This Row],[W]:[OTL]])</f>
        <v>25</v>
      </c>
      <c r="C7">
        <f>COUNTIF(NHL2025_26Results[Winning Team],Standings!A7)</f>
        <v>11</v>
      </c>
      <c r="D7">
        <f>COUNTIFS('NHL2025-26Results'!$H:$H,A7,'NHL2025-26Results'!$F:$F,"")</f>
        <v>9</v>
      </c>
      <c r="E7">
        <f>COUNTIFS('NHL2025-26Results'!$F:$F,"OT",'NHL2025-26Results'!$H:$H,A7) + COUNTIFS('NHL2025-26Results'!$F:$F,"SO",'NHL2025-26Results'!$H:$H,A7)</f>
        <v>5</v>
      </c>
      <c r="F7" s="3">
        <f>(Table1[[#This Row],[W]]*2)+Table1[[#This Row],[OTL]]</f>
        <v>27</v>
      </c>
      <c r="G7">
        <f>COUNTIFS('NHL2025-26Results'!$D:$D,A7,'NHL2025-26Results'!$G:$G,A7)</f>
        <v>6</v>
      </c>
      <c r="H7">
        <f>COUNTIFS('NHL2025-26Results'!$D:$D,A7,'NHL2025-26Results'!$H:$H,A7,'NHL2025-26Results'!$F:$F,"")</f>
        <v>5</v>
      </c>
      <c r="I7">
        <f>COUNTIFS('NHL2025-26Results'!$D:$D,A7,'NHL2025-26Results'!$H:$H,A7,'NHL2025-26Results'!$F:$F,"OT") + COUNTIFS('NHL2025-26Results'!$D:$D,A7,'NHL2025-26Results'!$H:$H,A7,'NHL2025-26Results'!$F:$F,"SO")</f>
        <v>3</v>
      </c>
      <c r="J7">
        <f>COUNTIFS('NHL2025-26Results'!$B:$B,A7,'NHL2025-26Results'!$G:$G,A7)</f>
        <v>5</v>
      </c>
      <c r="K7">
        <f>COUNTIFS('NHL2025-26Results'!$B:$B,A7,'NHL2025-26Results'!$H:$H,A7,'NHL2025-26Results'!$F:$F,"")</f>
        <v>4</v>
      </c>
      <c r="L7">
        <f>COUNTIFS('NHL2025-26Results'!$B:$B,A7,'NHL2025-26Results'!$H:$H,A7,'NHL2025-26Results'!$F:$F,"OT") + COUNTIFS('NHL2025-26Results'!$B:$B,A7,'NHL2025-26Results'!$H:$H,A7,'NHL2025-26Results'!$F:$F,"SO")</f>
        <v>2</v>
      </c>
      <c r="M7" s="11">
        <f>Table1[[#This Row],[HomeWins]]/SUM(Table1[[#This Row],[HomeWins]:[HomeOTL]])</f>
        <v>0.42857142857142855</v>
      </c>
      <c r="N7" s="11">
        <f>Table1[[#This Row],[AwayWins]]/SUM(Table1[[#This Row],[AwayWins]:[AwayOTL]])</f>
        <v>0.45454545454545453</v>
      </c>
      <c r="O7" s="14">
        <f>SUMIFS('NHL2025-26Results'!$E:$E,'NHL2025-26Results'!$D:$D,A7,'NHL2025-26Results'!$E:$E,"&gt;0")/COUNTIFS('NHL2025-26Results'!$D:$D,A7,'NHL2025-26Results'!$E:$E,"&gt;0")</f>
        <v>3.1538461538461537</v>
      </c>
      <c r="P7" s="14">
        <f>SUMIFS('NHL2025-26Results'!$C:$C,'NHL2025-26Results'!$B:$B,A7,'NHL2025-26Results'!$C:$C,"&gt;0")/COUNTIFS('NHL2025-26Results'!$B:$B,A7,'NHL2025-26Results'!$C:$C,"&gt;0")</f>
        <v>3.5454545454545454</v>
      </c>
      <c r="Q7" s="14">
        <f>SUMIFS('NHL2025-26Results'!$C:$C,'NHL2025-26Results'!$D:$D,A7,'NHL2025-26Results'!$C:$C,"&gt;0")/COUNTIFS('NHL2025-26Results'!$D:$D,A7,'NHL2025-26Results'!$C:$C,"&gt;0")</f>
        <v>2.6428571428571428</v>
      </c>
      <c r="R7" s="14">
        <f>SUMIFS('NHL2025-26Results'!$E:$E,'NHL2025-26Results'!$B:$B,A7,'NHL2025-26Results'!$E:$E,"&gt;0")/COUNTIFS('NHL2025-26Results'!$B:$B,A7,'NHL2025-26Results'!$E:$E,"&gt;0")</f>
        <v>3.6</v>
      </c>
    </row>
    <row r="8" spans="1:18" x14ac:dyDescent="0.2">
      <c r="A8" s="4" t="s">
        <v>12</v>
      </c>
      <c r="B8">
        <f>SUM(Table1[[#This Row],[W]:[OTL]])</f>
        <v>25</v>
      </c>
      <c r="C8">
        <f>COUNTIF(NHL2025_26Results[Winning Team],Standings!A8)</f>
        <v>18</v>
      </c>
      <c r="D8">
        <f>COUNTIFS('NHL2025-26Results'!$H:$H,A8,'NHL2025-26Results'!$F:$F,"")</f>
        <v>1</v>
      </c>
      <c r="E8">
        <f>COUNTIFS('NHL2025-26Results'!$F:$F,"OT",'NHL2025-26Results'!$H:$H,A8) + COUNTIFS('NHL2025-26Results'!$F:$F,"SO",'NHL2025-26Results'!$H:$H,A8)</f>
        <v>6</v>
      </c>
      <c r="F8" s="3">
        <f>(Table1[[#This Row],[W]]*2)+Table1[[#This Row],[OTL]]</f>
        <v>42</v>
      </c>
      <c r="G8">
        <f>COUNTIFS('NHL2025-26Results'!$D:$D,A8,'NHL2025-26Results'!$G:$G,A8)</f>
        <v>10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8</v>
      </c>
      <c r="K8">
        <f>COUNTIFS('NHL2025-26Results'!$B:$B,A8,'NHL2025-26Results'!$H:$H,A8,'NHL2025-26Results'!$F:$F,"")</f>
        <v>1</v>
      </c>
      <c r="L8">
        <f>COUNTIFS('NHL2025-26Results'!$B:$B,A8,'NHL2025-26Results'!$H:$H,A8,'NHL2025-26Results'!$F:$F,"OT") + COUNTIFS('NHL2025-26Results'!$B:$B,A8,'NHL2025-26Results'!$H:$H,A8,'NHL2025-26Results'!$F:$F,"SO")</f>
        <v>4</v>
      </c>
      <c r="M8" s="11">
        <f>Table1[[#This Row],[HomeWins]]/SUM(Table1[[#This Row],[HomeWins]:[HomeOTL]])</f>
        <v>0.83333333333333337</v>
      </c>
      <c r="N8" s="11">
        <f>Table1[[#This Row],[AwayWins]]/SUM(Table1[[#This Row],[AwayWins]:[AwayOTL]])</f>
        <v>0.61538461538461542</v>
      </c>
      <c r="O8" s="14">
        <f>SUMIFS('NHL2025-26Results'!$E:$E,'NHL2025-26Results'!$D:$D,A8,'NHL2025-26Results'!$E:$E,"&gt;0")/COUNTIFS('NHL2025-26Results'!$D:$D,A8,'NHL2025-26Results'!$E:$E,"&gt;0")</f>
        <v>4.833333333333333</v>
      </c>
      <c r="P8" s="14">
        <f>SUMIFS('NHL2025-26Results'!$C:$C,'NHL2025-26Results'!$B:$B,A8,'NHL2025-26Results'!$C:$C,"&gt;0")/COUNTIFS('NHL2025-26Results'!$B:$B,A8,'NHL2025-26Results'!$C:$C,"&gt;0")</f>
        <v>3.4615384615384617</v>
      </c>
      <c r="Q8" s="14">
        <f>SUMIFS('NHL2025-26Results'!$C:$C,'NHL2025-26Results'!$D:$D,A8,'NHL2025-26Results'!$C:$C,"&gt;0")/COUNTIFS('NHL2025-26Results'!$D:$D,A8,'NHL2025-26Results'!$C:$C,"&gt;0")</f>
        <v>2.5454545454545454</v>
      </c>
      <c r="R8" s="14">
        <f>SUMIFS('NHL2025-26Results'!$E:$E,'NHL2025-26Results'!$B:$B,A8,'NHL2025-26Results'!$E:$E,"&gt;0")/COUNTIFS('NHL2025-26Results'!$B:$B,A8,'NHL2025-26Results'!$E:$E,"&gt;0")</f>
        <v>2.4545454545454546</v>
      </c>
    </row>
    <row r="9" spans="1:18" x14ac:dyDescent="0.2">
      <c r="A9" s="4" t="s">
        <v>28</v>
      </c>
      <c r="B9">
        <f>SUM(Table1[[#This Row],[W]:[OTL]])</f>
        <v>26</v>
      </c>
      <c r="C9">
        <f>COUNTIF(NHL2025_26Results[Winning Team],Standings!A9)</f>
        <v>12</v>
      </c>
      <c r="D9">
        <f>COUNTIFS('NHL2025-26Results'!$H:$H,A9,'NHL2025-26Results'!$F:$F,"")</f>
        <v>9</v>
      </c>
      <c r="E9">
        <f>COUNTIFS('NHL2025-26Results'!$F:$F,"OT",'NHL2025-26Results'!$H:$H,A9) + COUNTIFS('NHL2025-26Results'!$F:$F,"SO",'NHL2025-26Results'!$H:$H,A9)</f>
        <v>5</v>
      </c>
      <c r="F9" s="3">
        <f>(Table1[[#This Row],[W]]*2)+Table1[[#This Row],[OTL]]</f>
        <v>29</v>
      </c>
      <c r="G9">
        <f>COUNTIFS('NHL2025-26Results'!$D:$D,A9,'NHL2025-26Results'!$G:$G,A9)</f>
        <v>5</v>
      </c>
      <c r="H9">
        <f>COUNTIFS('NHL2025-26Results'!$D:$D,A9,'NHL2025-26Results'!$H:$H,A9,'NHL2025-26Results'!$F:$F,"")</f>
        <v>3</v>
      </c>
      <c r="I9">
        <f>COUNTIFS('NHL2025-26Results'!$D:$D,A9,'NHL2025-26Results'!$H:$H,A9,'NHL2025-26Results'!$F:$F,"OT") + COUNTIFS('NHL2025-26Results'!$D:$D,A9,'NHL2025-26Results'!$H:$H,A9,'NHL2025-26Results'!$F:$F,"SO")</f>
        <v>3</v>
      </c>
      <c r="J9">
        <f>COUNTIFS('NHL2025-26Results'!$B:$B,A9,'NHL2025-26Results'!$G:$G,A9)</f>
        <v>7</v>
      </c>
      <c r="K9">
        <f>COUNTIFS('NHL2025-26Results'!$B:$B,A9,'NHL2025-26Results'!$H:$H,A9,'NHL2025-26Results'!$F:$F,"")</f>
        <v>6</v>
      </c>
      <c r="L9">
        <f>COUNTIFS('NHL2025-26Results'!$B:$B,A9,'NHL2025-26Results'!$H:$H,A9,'NHL2025-26Results'!$F:$F,"OT") + COUNTIFS('NHL2025-26Results'!$B:$B,A9,'NHL2025-26Results'!$H:$H,A9,'NHL2025-26Results'!$F:$F,"SO")</f>
        <v>2</v>
      </c>
      <c r="M9" s="11">
        <f>Table1[[#This Row],[HomeWins]]/SUM(Table1[[#This Row],[HomeWins]:[HomeOTL]])</f>
        <v>0.45454545454545453</v>
      </c>
      <c r="N9" s="11">
        <f>Table1[[#This Row],[AwayWins]]/SUM(Table1[[#This Row],[AwayWins]:[AwayOTL]])</f>
        <v>0.46666666666666667</v>
      </c>
      <c r="O9" s="14">
        <f>SUMIFS('NHL2025-26Results'!$E:$E,'NHL2025-26Results'!$D:$D,A9,'NHL2025-26Results'!$E:$E,"&gt;0")/COUNTIFS('NHL2025-26Results'!$D:$D,A9,'NHL2025-26Results'!$E:$E,"&gt;0")</f>
        <v>2.7272727272727271</v>
      </c>
      <c r="P9" s="14">
        <f>SUMIFS('NHL2025-26Results'!$C:$C,'NHL2025-26Results'!$B:$B,A9,'NHL2025-26Results'!$C:$C,"&gt;0")/COUNTIFS('NHL2025-26Results'!$B:$B,A9,'NHL2025-26Results'!$C:$C,"&gt;0")</f>
        <v>3.2</v>
      </c>
      <c r="Q9" s="14">
        <f>SUMIFS('NHL2025-26Results'!$C:$C,'NHL2025-26Results'!$D:$D,A9,'NHL2025-26Results'!$C:$C,"&gt;0")/COUNTIFS('NHL2025-26Results'!$D:$D,A9,'NHL2025-26Results'!$C:$C,"&gt;0")</f>
        <v>3.0909090909090908</v>
      </c>
      <c r="R9" s="14">
        <f>SUMIFS('NHL2025-26Results'!$E:$E,'NHL2025-26Results'!$B:$B,A9,'NHL2025-26Results'!$E:$E,"&gt;0")/COUNTIFS('NHL2025-26Results'!$B:$B,A9,'NHL2025-26Results'!$E:$E,"&gt;0")</f>
        <v>3.4</v>
      </c>
    </row>
    <row r="10" spans="1:18" x14ac:dyDescent="0.2">
      <c r="A10" s="4" t="s">
        <v>39</v>
      </c>
      <c r="B10">
        <f>SUM(Table1[[#This Row],[W]:[OTL]])</f>
        <v>26</v>
      </c>
      <c r="C10">
        <f>COUNTIF(NHL2025_26Results[Winning Team],Standings!A10)</f>
        <v>17</v>
      </c>
      <c r="D10">
        <f>COUNTIFS('NHL2025-26Results'!$H:$H,A10,'NHL2025-26Results'!$F:$F,"")</f>
        <v>5</v>
      </c>
      <c r="E10">
        <f>COUNTIFS('NHL2025-26Results'!$F:$F,"OT",'NHL2025-26Results'!$H:$H,A10) + COUNTIFS('NHL2025-26Results'!$F:$F,"SO",'NHL2025-26Results'!$H:$H,A10)</f>
        <v>4</v>
      </c>
      <c r="F10" s="3">
        <f>(Table1[[#This Row],[W]]*2)+Table1[[#This Row],[OTL]]</f>
        <v>38</v>
      </c>
      <c r="G10">
        <f>COUNTIFS('NHL2025-26Results'!$D:$D,A10,'NHL2025-26Results'!$G:$G,A10)</f>
        <v>8</v>
      </c>
      <c r="H10">
        <f>COUNTIFS('NHL2025-26Results'!$D:$D,A10,'NHL2025-26Results'!$H:$H,A10,'NHL2025-26Results'!$F:$F,"")</f>
        <v>4</v>
      </c>
      <c r="I10">
        <f>COUNTIFS('NHL2025-26Results'!$D:$D,A10,'NHL2025-26Results'!$H:$H,A10,'NHL2025-26Results'!$F:$F,"OT") + COUNTIFS('NHL2025-26Results'!$D:$D,A10,'NHL2025-26Results'!$H:$H,A10,'NHL2025-26Results'!$F:$F,"SO")</f>
        <v>1</v>
      </c>
      <c r="J10">
        <f>COUNTIFS('NHL2025-26Results'!$B:$B,A10,'NHL2025-26Results'!$G:$G,A10)</f>
        <v>9</v>
      </c>
      <c r="K10">
        <f>COUNTIFS('NHL2025-26Results'!$B:$B,A10,'NHL2025-26Results'!$H:$H,A10,'NHL2025-26Results'!$F:$F,"")</f>
        <v>1</v>
      </c>
      <c r="L10">
        <f>COUNTIFS('NHL2025-26Results'!$B:$B,A10,'NHL2025-26Results'!$H:$H,A10,'NHL2025-26Results'!$F:$F,"OT") + COUNTIFS('NHL2025-26Results'!$B:$B,A10,'NHL2025-26Results'!$H:$H,A10,'NHL2025-26Results'!$F:$F,"SO")</f>
        <v>3</v>
      </c>
      <c r="M10" s="11">
        <f>Table1[[#This Row],[HomeWins]]/SUM(Table1[[#This Row],[HomeWins]:[HomeOTL]])</f>
        <v>0.61538461538461542</v>
      </c>
      <c r="N10" s="11">
        <f>Table1[[#This Row],[AwayWins]]/SUM(Table1[[#This Row],[AwayWins]:[AwayOTL]])</f>
        <v>0.69230769230769229</v>
      </c>
      <c r="O10" s="14">
        <f>SUMIFS('NHL2025-26Results'!$E:$E,'NHL2025-26Results'!$D:$D,A10,'NHL2025-26Results'!$E:$E,"&gt;0")/COUNTIFS('NHL2025-26Results'!$D:$D,A10,'NHL2025-26Results'!$E:$E,"&gt;0")</f>
        <v>3.3076923076923075</v>
      </c>
      <c r="P10" s="14">
        <f>SUMIFS('NHL2025-26Results'!$C:$C,'NHL2025-26Results'!$B:$B,A10,'NHL2025-26Results'!$C:$C,"&gt;0")/COUNTIFS('NHL2025-26Results'!$B:$B,A10,'NHL2025-26Results'!$C:$C,"&gt;0")</f>
        <v>3.8461538461538463</v>
      </c>
      <c r="Q10" s="14">
        <f>SUMIFS('NHL2025-26Results'!$C:$C,'NHL2025-26Results'!$D:$D,A10,'NHL2025-26Results'!$C:$C,"&gt;0")/COUNTIFS('NHL2025-26Results'!$D:$D,A10,'NHL2025-26Results'!$C:$C,"&gt;0")</f>
        <v>3</v>
      </c>
      <c r="R10" s="14">
        <f>SUMIFS('NHL2025-26Results'!$E:$E,'NHL2025-26Results'!$B:$B,A10,'NHL2025-26Results'!$E:$E,"&gt;0")/COUNTIFS('NHL2025-26Results'!$B:$B,A10,'NHL2025-26Results'!$E:$E,"&gt;0")</f>
        <v>2.9166666666666665</v>
      </c>
    </row>
    <row r="11" spans="1:18" x14ac:dyDescent="0.2">
      <c r="A11" s="4" t="s">
        <v>26</v>
      </c>
      <c r="B11">
        <f>SUM(Table1[[#This Row],[W]:[OTL]])</f>
        <v>26</v>
      </c>
      <c r="C11">
        <f>COUNTIF(NHL2025_26Results[Winning Team],Standings!A11)</f>
        <v>13</v>
      </c>
      <c r="D11">
        <f>COUNTIFS('NHL2025-26Results'!$H:$H,A11,'NHL2025-26Results'!$F:$F,"")</f>
        <v>11</v>
      </c>
      <c r="E11">
        <f>COUNTIFS('NHL2025-26Results'!$F:$F,"OT",'NHL2025-26Results'!$H:$H,A11) + COUNTIFS('NHL2025-26Results'!$F:$F,"SO",'NHL2025-26Results'!$H:$H,A11)</f>
        <v>2</v>
      </c>
      <c r="F11" s="3">
        <f>(Table1[[#This Row],[W]]*2)+Table1[[#This Row],[OTL]]</f>
        <v>28</v>
      </c>
      <c r="G11">
        <f>COUNTIFS('NHL2025-26Results'!$D:$D,A11,'NHL2025-26Results'!$G:$G,A11)</f>
        <v>8</v>
      </c>
      <c r="H11">
        <f>COUNTIFS('NHL2025-26Results'!$D:$D,A11,'NHL2025-26Results'!$H:$H,A11,'NHL2025-26Results'!$F:$F,"")</f>
        <v>6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5</v>
      </c>
      <c r="K11">
        <f>COUNTIFS('NHL2025-26Results'!$B:$B,A11,'NHL2025-26Results'!$H:$H,A11,'NHL2025-26Results'!$F:$F,"")</f>
        <v>5</v>
      </c>
      <c r="L11">
        <f>COUNTIFS('NHL2025-26Results'!$B:$B,A11,'NHL2025-26Results'!$H:$H,A11,'NHL2025-26Results'!$F:$F,"OT") + COUNTIFS('NHL2025-26Results'!$B:$B,A11,'NHL2025-26Results'!$H:$H,A11,'NHL2025-26Results'!$F:$F,"SO")</f>
        <v>1</v>
      </c>
      <c r="M11" s="11">
        <f>Table1[[#This Row],[HomeWins]]/SUM(Table1[[#This Row],[HomeWins]:[HomeOTL]])</f>
        <v>0.53333333333333333</v>
      </c>
      <c r="N11" s="11">
        <f>Table1[[#This Row],[AwayWins]]/SUM(Table1[[#This Row],[AwayWins]:[AwayOTL]])</f>
        <v>0.45454545454545453</v>
      </c>
      <c r="O11" s="14">
        <f>SUMIFS('NHL2025-26Results'!$E:$E,'NHL2025-26Results'!$D:$D,A11,'NHL2025-26Results'!$E:$E,"&gt;0")/COUNTIFS('NHL2025-26Results'!$D:$D,A11,'NHL2025-26Results'!$E:$E,"&gt;0")</f>
        <v>3.5</v>
      </c>
      <c r="P11" s="14">
        <f>SUMIFS('NHL2025-26Results'!$C:$C,'NHL2025-26Results'!$B:$B,A11,'NHL2025-26Results'!$C:$C,"&gt;0")/COUNTIFS('NHL2025-26Results'!$B:$B,A11,'NHL2025-26Results'!$C:$C,"&gt;0")</f>
        <v>2.8</v>
      </c>
      <c r="Q11" s="14">
        <f>SUMIFS('NHL2025-26Results'!$C:$C,'NHL2025-26Results'!$D:$D,A11,'NHL2025-26Results'!$C:$C,"&gt;0")/COUNTIFS('NHL2025-26Results'!$D:$D,A11,'NHL2025-26Results'!$C:$C,"&gt;0")</f>
        <v>3.6666666666666665</v>
      </c>
      <c r="R11" s="14">
        <f>SUMIFS('NHL2025-26Results'!$E:$E,'NHL2025-26Results'!$B:$B,A11,'NHL2025-26Results'!$E:$E,"&gt;0")/COUNTIFS('NHL2025-26Results'!$B:$B,A11,'NHL2025-26Results'!$E:$E,"&gt;0")</f>
        <v>3.0909090909090908</v>
      </c>
    </row>
    <row r="12" spans="1:18" x14ac:dyDescent="0.2">
      <c r="A12" s="4" t="s">
        <v>17</v>
      </c>
      <c r="B12">
        <f>SUM(Table1[[#This Row],[W]:[OTL]])</f>
        <v>26</v>
      </c>
      <c r="C12">
        <f>COUNTIF(NHL2025_26Results[Winning Team],Standings!A12)</f>
        <v>11</v>
      </c>
      <c r="D12">
        <f>COUNTIFS('NHL2025-26Results'!$H:$H,A12,'NHL2025-26Results'!$F:$F,"")</f>
        <v>10</v>
      </c>
      <c r="E12">
        <f>COUNTIFS('NHL2025-26Results'!$F:$F,"OT",'NHL2025-26Results'!$H:$H,A12) + COUNTIFS('NHL2025-26Results'!$F:$F,"SO",'NHL2025-26Results'!$H:$H,A12)</f>
        <v>5</v>
      </c>
      <c r="F12" s="3">
        <f>(Table1[[#This Row],[W]]*2)+Table1[[#This Row],[OTL]]</f>
        <v>27</v>
      </c>
      <c r="G12">
        <f>COUNTIFS('NHL2025-26Results'!$D:$D,A12,'NHL2025-26Results'!$G:$G,A12)</f>
        <v>5</v>
      </c>
      <c r="H12">
        <f>COUNTIFS('NHL2025-26Results'!$D:$D,A12,'NHL2025-26Results'!$H:$H,A12,'NHL2025-26Results'!$F:$F,"")</f>
        <v>2</v>
      </c>
      <c r="I12">
        <f>COUNTIFS('NHL2025-26Results'!$D:$D,A12,'NHL2025-26Results'!$H:$H,A12,'NHL2025-26Results'!$F:$F,"OT") + COUNTIFS('NHL2025-26Results'!$D:$D,A12,'NHL2025-26Results'!$H:$H,A12,'NHL2025-26Results'!$F:$F,"SO")</f>
        <v>2</v>
      </c>
      <c r="J12">
        <f>COUNTIFS('NHL2025-26Results'!$B:$B,A12,'NHL2025-26Results'!$G:$G,A12)</f>
        <v>6</v>
      </c>
      <c r="K12">
        <f>COUNTIFS('NHL2025-26Results'!$B:$B,A12,'NHL2025-26Results'!$H:$H,A12,'NHL2025-26Results'!$F:$F,"")</f>
        <v>8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0.55555555555555558</v>
      </c>
      <c r="N12" s="11">
        <f>Table1[[#This Row],[AwayWins]]/SUM(Table1[[#This Row],[AwayWins]:[AwayOTL]])</f>
        <v>0.35294117647058826</v>
      </c>
      <c r="O12" s="14">
        <f>SUMIFS('NHL2025-26Results'!$E:$E,'NHL2025-26Results'!$D:$D,A12,'NHL2025-26Results'!$E:$E,"&gt;0")/COUNTIFS('NHL2025-26Results'!$D:$D,A12,'NHL2025-26Results'!$E:$E,"&gt;0")</f>
        <v>3.6666666666666665</v>
      </c>
      <c r="P12" s="14">
        <f>SUMIFS('NHL2025-26Results'!$C:$C,'NHL2025-26Results'!$B:$B,A12,'NHL2025-26Results'!$C:$C,"&gt;0")/COUNTIFS('NHL2025-26Results'!$B:$B,A12,'NHL2025-26Results'!$C:$C,"&gt;0")</f>
        <v>2.8235294117647061</v>
      </c>
      <c r="Q12" s="14">
        <f>SUMIFS('NHL2025-26Results'!$C:$C,'NHL2025-26Results'!$D:$D,A12,'NHL2025-26Results'!$C:$C,"&gt;0")/COUNTIFS('NHL2025-26Results'!$D:$D,A12,'NHL2025-26Results'!$C:$C,"&gt;0")</f>
        <v>4.4444444444444446</v>
      </c>
      <c r="R12" s="14">
        <f>SUMIFS('NHL2025-26Results'!$E:$E,'NHL2025-26Results'!$B:$B,A12,'NHL2025-26Results'!$E:$E,"&gt;0")/COUNTIFS('NHL2025-26Results'!$B:$B,A12,'NHL2025-26Results'!$E:$E,"&gt;0")</f>
        <v>3.6666666666666665</v>
      </c>
    </row>
    <row r="13" spans="1:18" x14ac:dyDescent="0.2">
      <c r="A13" s="4" t="s">
        <v>11</v>
      </c>
      <c r="B13">
        <f>SUM(Table1[[#This Row],[W]:[OTL]])</f>
        <v>24</v>
      </c>
      <c r="C13">
        <f>COUNTIF(NHL2025_26Results[Winning Team],Standings!A13)</f>
        <v>12</v>
      </c>
      <c r="D13">
        <f>COUNTIFS('NHL2025-26Results'!$H:$H,A13,'NHL2025-26Results'!$F:$F,"")</f>
        <v>11</v>
      </c>
      <c r="E13">
        <f>COUNTIFS('NHL2025-26Results'!$F:$F,"OT",'NHL2025-26Results'!$H:$H,A13) + COUNTIFS('NHL2025-26Results'!$F:$F,"SO",'NHL2025-26Results'!$H:$H,A13)</f>
        <v>1</v>
      </c>
      <c r="F13" s="3">
        <f>(Table1[[#This Row],[W]]*2)+Table1[[#This Row],[OTL]]</f>
        <v>25</v>
      </c>
      <c r="G13">
        <f>COUNTIFS('NHL2025-26Results'!$D:$D,A13,'NHL2025-26Results'!$G:$G,A13)</f>
        <v>8</v>
      </c>
      <c r="H13">
        <f>COUNTIFS('NHL2025-26Results'!$D:$D,A13,'NHL2025-26Results'!$H:$H,A13,'NHL2025-26Results'!$F:$F,"")</f>
        <v>5</v>
      </c>
      <c r="I13">
        <f>COUNTIFS('NHL2025-26Results'!$D:$D,A13,'NHL2025-26Results'!$H:$H,A13,'NHL2025-26Results'!$F:$F,"OT") + COUNTIFS('NHL2025-26Results'!$D:$D,A13,'NHL2025-26Results'!$H:$H,A13,'NHL2025-26Results'!$F:$F,"SO")</f>
        <v>1</v>
      </c>
      <c r="J13">
        <f>COUNTIFS('NHL2025-26Results'!$B:$B,A13,'NHL2025-26Results'!$G:$G,A13)</f>
        <v>4</v>
      </c>
      <c r="K13">
        <f>COUNTIFS('NHL2025-26Results'!$B:$B,A13,'NHL2025-26Results'!$H:$H,A13,'NHL2025-26Results'!$F:$F,"")</f>
        <v>6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0.5714285714285714</v>
      </c>
      <c r="N13" s="11">
        <f>Table1[[#This Row],[AwayWins]]/SUM(Table1[[#This Row],[AwayWins]:[AwayOTL]])</f>
        <v>0.4</v>
      </c>
      <c r="O13" s="14">
        <f>SUMIFS('NHL2025-26Results'!$E:$E,'NHL2025-26Results'!$D:$D,A13,'NHL2025-26Results'!$E:$E,"&gt;0")/COUNTIFS('NHL2025-26Results'!$D:$D,A13,'NHL2025-26Results'!$E:$E,"&gt;0")</f>
        <v>3.3571428571428572</v>
      </c>
      <c r="P13" s="14">
        <f>SUMIFS('NHL2025-26Results'!$C:$C,'NHL2025-26Results'!$B:$B,A13,'NHL2025-26Results'!$C:$C,"&gt;0")/COUNTIFS('NHL2025-26Results'!$B:$B,A13,'NHL2025-26Results'!$C:$C,"&gt;0")</f>
        <v>3.1111111111111112</v>
      </c>
      <c r="Q13" s="14">
        <f>SUMIFS('NHL2025-26Results'!$C:$C,'NHL2025-26Results'!$D:$D,A13,'NHL2025-26Results'!$C:$C,"&gt;0")/COUNTIFS('NHL2025-26Results'!$D:$D,A13,'NHL2025-26Results'!$C:$C,"&gt;0")</f>
        <v>3.5</v>
      </c>
      <c r="R13" s="14">
        <f>SUMIFS('NHL2025-26Results'!$E:$E,'NHL2025-26Results'!$B:$B,A13,'NHL2025-26Results'!$E:$E,"&gt;0")/COUNTIFS('NHL2025-26Results'!$B:$B,A13,'NHL2025-26Results'!$E:$E,"&gt;0")</f>
        <v>3.5</v>
      </c>
    </row>
    <row r="14" spans="1:18" x14ac:dyDescent="0.2">
      <c r="A14" s="4" t="s">
        <v>13</v>
      </c>
      <c r="B14">
        <f>SUM(Table1[[#This Row],[W]:[OTL]])</f>
        <v>25</v>
      </c>
      <c r="C14">
        <f>COUNTIF(NHL2025_26Results[Winning Team],Standings!A14)</f>
        <v>12</v>
      </c>
      <c r="D14">
        <f>COUNTIFS('NHL2025-26Results'!$H:$H,A14,'NHL2025-26Results'!$F:$F,"")</f>
        <v>6</v>
      </c>
      <c r="E14">
        <f>COUNTIFS('NHL2025-26Results'!$F:$F,"OT",'NHL2025-26Results'!$H:$H,A14) + COUNTIFS('NHL2025-26Results'!$F:$F,"SO",'NHL2025-26Results'!$H:$H,A14)</f>
        <v>7</v>
      </c>
      <c r="F14" s="3">
        <f>(Table1[[#This Row],[W]]*2)+Table1[[#This Row],[OTL]]</f>
        <v>31</v>
      </c>
      <c r="G14">
        <f>COUNTIFS('NHL2025-26Results'!$D:$D,A14,'NHL2025-26Results'!$G:$G,A14)</f>
        <v>3</v>
      </c>
      <c r="H14">
        <f>COUNTIFS('NHL2025-26Results'!$D:$D,A14,'NHL2025-26Results'!$H:$H,A14,'NHL2025-26Results'!$F:$F,"")</f>
        <v>4</v>
      </c>
      <c r="I14">
        <f>COUNTIFS('NHL2025-26Results'!$D:$D,A14,'NHL2025-26Results'!$H:$H,A14,'NHL2025-26Results'!$F:$F,"OT") + COUNTIFS('NHL2025-26Results'!$D:$D,A14,'NHL2025-26Results'!$H:$H,A14,'NHL2025-26Results'!$F:$F,"SO")</f>
        <v>3</v>
      </c>
      <c r="J14">
        <f>COUNTIFS('NHL2025-26Results'!$B:$B,A14,'NHL2025-26Results'!$G:$G,A14)</f>
        <v>9</v>
      </c>
      <c r="K14">
        <f>COUNTIFS('NHL2025-26Results'!$B:$B,A14,'NHL2025-26Results'!$H:$H,A14,'NHL2025-26Results'!$F:$F,"")</f>
        <v>2</v>
      </c>
      <c r="L14">
        <f>COUNTIFS('NHL2025-26Results'!$B:$B,A14,'NHL2025-26Results'!$H:$H,A14,'NHL2025-26Results'!$F:$F,"OT") + COUNTIFS('NHL2025-26Results'!$B:$B,A14,'NHL2025-26Results'!$H:$H,A14,'NHL2025-26Results'!$F:$F,"SO")</f>
        <v>4</v>
      </c>
      <c r="M14" s="11">
        <f>Table1[[#This Row],[HomeWins]]/SUM(Table1[[#This Row],[HomeWins]:[HomeOTL]])</f>
        <v>0.3</v>
      </c>
      <c r="N14" s="11">
        <f>Table1[[#This Row],[AwayWins]]/SUM(Table1[[#This Row],[AwayWins]:[AwayOTL]])</f>
        <v>0.6</v>
      </c>
      <c r="O14" s="14">
        <f>SUMIFS('NHL2025-26Results'!$E:$E,'NHL2025-26Results'!$D:$D,A14,'NHL2025-26Results'!$E:$E,"&gt;0")/COUNTIFS('NHL2025-26Results'!$D:$D,A14,'NHL2025-26Results'!$E:$E,"&gt;0")</f>
        <v>2</v>
      </c>
      <c r="P14" s="14">
        <f>SUMIFS('NHL2025-26Results'!$C:$C,'NHL2025-26Results'!$B:$B,A14,'NHL2025-26Results'!$C:$C,"&gt;0")/COUNTIFS('NHL2025-26Results'!$B:$B,A14,'NHL2025-26Results'!$C:$C,"&gt;0")</f>
        <v>3.2</v>
      </c>
      <c r="Q14" s="14">
        <f>SUMIFS('NHL2025-26Results'!$C:$C,'NHL2025-26Results'!$D:$D,A14,'NHL2025-26Results'!$C:$C,"&gt;0")/COUNTIFS('NHL2025-26Results'!$D:$D,A14,'NHL2025-26Results'!$C:$C,"&gt;0")</f>
        <v>3.2222222222222223</v>
      </c>
      <c r="R14" s="14">
        <f>SUMIFS('NHL2025-26Results'!$E:$E,'NHL2025-26Results'!$B:$B,A14,'NHL2025-26Results'!$E:$E,"&gt;0")/COUNTIFS('NHL2025-26Results'!$B:$B,A14,'NHL2025-26Results'!$E:$E,"&gt;0")</f>
        <v>2.9285714285714284</v>
      </c>
    </row>
    <row r="15" spans="1:18" x14ac:dyDescent="0.2">
      <c r="A15" s="4" t="s">
        <v>34</v>
      </c>
      <c r="B15">
        <f>SUM(Table1[[#This Row],[W]:[OTL]])</f>
        <v>26</v>
      </c>
      <c r="C15">
        <f>COUNTIF(NHL2025_26Results[Winning Team],Standings!A15)</f>
        <v>14</v>
      </c>
      <c r="D15">
        <f>COUNTIFS('NHL2025-26Results'!$H:$H,A15,'NHL2025-26Results'!$F:$F,"")</f>
        <v>7</v>
      </c>
      <c r="E15">
        <f>COUNTIFS('NHL2025-26Results'!$F:$F,"OT",'NHL2025-26Results'!$H:$H,A15) + COUNTIFS('NHL2025-26Results'!$F:$F,"SO",'NHL2025-26Results'!$H:$H,A15)</f>
        <v>5</v>
      </c>
      <c r="F15" s="3">
        <f>(Table1[[#This Row],[W]]*2)+Table1[[#This Row],[OTL]]</f>
        <v>33</v>
      </c>
      <c r="G15">
        <f>COUNTIFS('NHL2025-26Results'!$D:$D,A15,'NHL2025-26Results'!$G:$G,A15)</f>
        <v>8</v>
      </c>
      <c r="H15">
        <f>COUNTIFS('NHL2025-26Results'!$D:$D,A15,'NHL2025-26Results'!$H:$H,A15,'NHL2025-26Results'!$F:$F,"")</f>
        <v>3</v>
      </c>
      <c r="I15">
        <f>COUNTIFS('NHL2025-26Results'!$D:$D,A15,'NHL2025-26Results'!$H:$H,A15,'NHL2025-26Results'!$F:$F,"OT") + COUNTIFS('NHL2025-26Results'!$D:$D,A15,'NHL2025-26Results'!$H:$H,A15,'NHL2025-26Results'!$F:$F,"SO")</f>
        <v>4</v>
      </c>
      <c r="J15">
        <f>COUNTIFS('NHL2025-26Results'!$B:$B,A15,'NHL2025-26Results'!$G:$G,A15)</f>
        <v>6</v>
      </c>
      <c r="K15">
        <f>COUNTIFS('NHL2025-26Results'!$B:$B,A15,'NHL2025-26Results'!$H:$H,A15,'NHL2025-26Results'!$F:$F,"")</f>
        <v>4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0.53333333333333333</v>
      </c>
      <c r="N15" s="11">
        <f>Table1[[#This Row],[AwayWins]]/SUM(Table1[[#This Row],[AwayWins]:[AwayOTL]])</f>
        <v>0.54545454545454541</v>
      </c>
      <c r="O15" s="14">
        <f>SUMIFS('NHL2025-26Results'!$E:$E,'NHL2025-26Results'!$D:$D,A15,'NHL2025-26Results'!$E:$E,"&gt;0")/COUNTIFS('NHL2025-26Results'!$D:$D,A15,'NHL2025-26Results'!$E:$E,"&gt;0")</f>
        <v>2.9333333333333331</v>
      </c>
      <c r="P15" s="14">
        <f>SUMIFS('NHL2025-26Results'!$C:$C,'NHL2025-26Results'!$B:$B,A15,'NHL2025-26Results'!$C:$C,"&gt;0")/COUNTIFS('NHL2025-26Results'!$B:$B,A15,'NHL2025-26Results'!$C:$C,"&gt;0")</f>
        <v>3</v>
      </c>
      <c r="Q15" s="14">
        <f>SUMIFS('NHL2025-26Results'!$C:$C,'NHL2025-26Results'!$D:$D,A15,'NHL2025-26Results'!$C:$C,"&gt;0")/COUNTIFS('NHL2025-26Results'!$D:$D,A15,'NHL2025-26Results'!$C:$C,"&gt;0")</f>
        <v>3.5384615384615383</v>
      </c>
      <c r="R15" s="14">
        <f>SUMIFS('NHL2025-26Results'!$E:$E,'NHL2025-26Results'!$B:$B,A15,'NHL2025-26Results'!$E:$E,"&gt;0")/COUNTIFS('NHL2025-26Results'!$B:$B,A15,'NHL2025-26Results'!$E:$E,"&gt;0")</f>
        <v>3.25</v>
      </c>
    </row>
    <row r="16" spans="1:18" x14ac:dyDescent="0.2">
      <c r="A16" s="4" t="s">
        <v>18</v>
      </c>
      <c r="B16">
        <f>SUM(Table1[[#This Row],[W]:[OTL]])</f>
        <v>24</v>
      </c>
      <c r="C16">
        <f>COUNTIF(NHL2025_26Results[Winning Team],Standings!A16)</f>
        <v>13</v>
      </c>
      <c r="D16">
        <f>COUNTIFS('NHL2025-26Results'!$H:$H,A16,'NHL2025-26Results'!$F:$F,"")</f>
        <v>8</v>
      </c>
      <c r="E16">
        <f>COUNTIFS('NHL2025-26Results'!$F:$F,"OT",'NHL2025-26Results'!$H:$H,A16) + COUNTIFS('NHL2025-26Results'!$F:$F,"SO",'NHL2025-26Results'!$H:$H,A16)</f>
        <v>3</v>
      </c>
      <c r="F16" s="3">
        <f>(Table1[[#This Row],[W]]*2)+Table1[[#This Row],[OTL]]</f>
        <v>29</v>
      </c>
      <c r="G16">
        <f>COUNTIFS('NHL2025-26Results'!$D:$D,A16,'NHL2025-26Results'!$G:$G,A16)</f>
        <v>6</v>
      </c>
      <c r="H16">
        <f>COUNTIFS('NHL2025-26Results'!$D:$D,A16,'NHL2025-26Results'!$H:$H,A16,'NHL2025-26Results'!$F:$F,"")</f>
        <v>5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7</v>
      </c>
      <c r="K16">
        <f>COUNTIFS('NHL2025-26Results'!$B:$B,A16,'NHL2025-26Results'!$H:$H,A16,'NHL2025-26Results'!$F:$F,"")</f>
        <v>3</v>
      </c>
      <c r="L16">
        <f>COUNTIFS('NHL2025-26Results'!$B:$B,A16,'NHL2025-26Results'!$H:$H,A16,'NHL2025-26Results'!$F:$F,"OT") + COUNTIFS('NHL2025-26Results'!$B:$B,A16,'NHL2025-26Results'!$H:$H,A16,'NHL2025-26Results'!$F:$F,"SO")</f>
        <v>2</v>
      </c>
      <c r="M16" s="11">
        <f>Table1[[#This Row],[HomeWins]]/SUM(Table1[[#This Row],[HomeWins]:[HomeOTL]])</f>
        <v>0.5</v>
      </c>
      <c r="N16" s="11">
        <f>Table1[[#This Row],[AwayWins]]/SUM(Table1[[#This Row],[AwayWins]:[AwayOTL]])</f>
        <v>0.58333333333333337</v>
      </c>
      <c r="O16" s="14">
        <f>SUMIFS('NHL2025-26Results'!$E:$E,'NHL2025-26Results'!$D:$D,A16,'NHL2025-26Results'!$E:$E,"&gt;0")/COUNTIFS('NHL2025-26Results'!$D:$D,A16,'NHL2025-26Results'!$E:$E,"&gt;0")</f>
        <v>3.7272727272727271</v>
      </c>
      <c r="P16" s="14">
        <f>SUMIFS('NHL2025-26Results'!$C:$C,'NHL2025-26Results'!$B:$B,A16,'NHL2025-26Results'!$C:$C,"&gt;0")/COUNTIFS('NHL2025-26Results'!$B:$B,A16,'NHL2025-26Results'!$C:$C,"&gt;0")</f>
        <v>3.4166666666666665</v>
      </c>
      <c r="Q16" s="14">
        <f>SUMIFS('NHL2025-26Results'!$C:$C,'NHL2025-26Results'!$D:$D,A16,'NHL2025-26Results'!$C:$C,"&gt;0")/COUNTIFS('NHL2025-26Results'!$D:$D,A16,'NHL2025-26Results'!$C:$C,"&gt;0")</f>
        <v>3.9166666666666665</v>
      </c>
      <c r="R16" s="14">
        <f>SUMIFS('NHL2025-26Results'!$E:$E,'NHL2025-26Results'!$B:$B,A16,'NHL2025-26Results'!$E:$E,"&gt;0")/COUNTIFS('NHL2025-26Results'!$B:$B,A16,'NHL2025-26Results'!$E:$E,"&gt;0")</f>
        <v>3.3333333333333335</v>
      </c>
    </row>
    <row r="17" spans="1:18" x14ac:dyDescent="0.2">
      <c r="A17" s="4" t="s">
        <v>29</v>
      </c>
      <c r="B17">
        <f>SUM(Table1[[#This Row],[W]:[OTL]])</f>
        <v>25</v>
      </c>
      <c r="C17">
        <f>COUNTIF(NHL2025_26Results[Winning Team],Standings!A17)</f>
        <v>8</v>
      </c>
      <c r="D17">
        <f>COUNTIFS('NHL2025-26Results'!$H:$H,A17,'NHL2025-26Results'!$F:$F,"")</f>
        <v>13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20</v>
      </c>
      <c r="G17">
        <f>COUNTIFS('NHL2025-26Results'!$D:$D,A17,'NHL2025-26Results'!$G:$G,A17)</f>
        <v>5</v>
      </c>
      <c r="H17">
        <f>COUNTIFS('NHL2025-26Results'!$D:$D,A17,'NHL2025-26Results'!$H:$H,A17,'NHL2025-26Results'!$F:$F,"")</f>
        <v>8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3</v>
      </c>
      <c r="K17">
        <f>COUNTIFS('NHL2025-26Results'!$B:$B,A17,'NHL2025-26Results'!$H:$H,A17,'NHL2025-26Results'!$F:$F,"")</f>
        <v>5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0.33333333333333331</v>
      </c>
      <c r="N17" s="11">
        <f>Table1[[#This Row],[AwayWins]]/SUM(Table1[[#This Row],[AwayWins]:[AwayOTL]])</f>
        <v>0.3</v>
      </c>
      <c r="O17" s="14">
        <f>SUMIFS('NHL2025-26Results'!$E:$E,'NHL2025-26Results'!$D:$D,A17,'NHL2025-26Results'!$E:$E,"&gt;0")/COUNTIFS('NHL2025-26Results'!$D:$D,A17,'NHL2025-26Results'!$E:$E,"&gt;0")</f>
        <v>2.6428571428571428</v>
      </c>
      <c r="P17" s="14">
        <f>SUMIFS('NHL2025-26Results'!$C:$C,'NHL2025-26Results'!$B:$B,A17,'NHL2025-26Results'!$C:$C,"&gt;0")/COUNTIFS('NHL2025-26Results'!$B:$B,A17,'NHL2025-26Results'!$C:$C,"&gt;0")</f>
        <v>3</v>
      </c>
      <c r="Q17" s="14">
        <f>SUMIFS('NHL2025-26Results'!$C:$C,'NHL2025-26Results'!$D:$D,A17,'NHL2025-26Results'!$C:$C,"&gt;0")/COUNTIFS('NHL2025-26Results'!$D:$D,A17,'NHL2025-26Results'!$C:$C,"&gt;0")</f>
        <v>3.6</v>
      </c>
      <c r="R17" s="14">
        <f>SUMIFS('NHL2025-26Results'!$E:$E,'NHL2025-26Results'!$B:$B,A17,'NHL2025-26Results'!$E:$E,"&gt;0")/COUNTIFS('NHL2025-26Results'!$B:$B,A17,'NHL2025-26Results'!$E:$E,"&gt;0")</f>
        <v>3.8</v>
      </c>
    </row>
    <row r="18" spans="1:18" x14ac:dyDescent="0.2">
      <c r="A18" s="4" t="s">
        <v>24</v>
      </c>
      <c r="B18">
        <f>SUM(Table1[[#This Row],[W]:[OTL]])</f>
        <v>26</v>
      </c>
      <c r="C18">
        <f>COUNTIF(NHL2025_26Results[Winning Team],Standings!A18)</f>
        <v>16</v>
      </c>
      <c r="D18">
        <f>COUNTIFS('NHL2025-26Results'!$H:$H,A18,'NHL2025-26Results'!$F:$F,"")</f>
        <v>9</v>
      </c>
      <c r="E18">
        <f>COUNTIFS('NHL2025-26Results'!$F:$F,"OT",'NHL2025-26Results'!$H:$H,A18) + COUNTIFS('NHL2025-26Results'!$F:$F,"SO",'NHL2025-26Results'!$H:$H,A18)</f>
        <v>1</v>
      </c>
      <c r="F18" s="3">
        <f>(Table1[[#This Row],[W]]*2)+Table1[[#This Row],[OTL]]</f>
        <v>33</v>
      </c>
      <c r="G18">
        <f>COUNTIFS('NHL2025-26Results'!$D:$D,A18,'NHL2025-26Results'!$G:$G,A18)</f>
        <v>9</v>
      </c>
      <c r="H18">
        <f>COUNTIFS('NHL2025-26Results'!$D:$D,A18,'NHL2025-26Results'!$H:$H,A18,'NHL2025-26Results'!$F:$F,"")</f>
        <v>2</v>
      </c>
      <c r="I18">
        <f>COUNTIFS('NHL2025-26Results'!$D:$D,A18,'NHL2025-26Results'!$H:$H,A18,'NHL2025-26Results'!$F:$F,"OT") + COUNTIFS('NHL2025-26Results'!$D:$D,A18,'NHL2025-26Results'!$H:$H,A18,'NHL2025-26Results'!$F:$F,"SO")</f>
        <v>1</v>
      </c>
      <c r="J18">
        <f>COUNTIFS('NHL2025-26Results'!$B:$B,A18,'NHL2025-26Results'!$G:$G,A18)</f>
        <v>7</v>
      </c>
      <c r="K18">
        <f>COUNTIFS('NHL2025-26Results'!$B:$B,A18,'NHL2025-26Results'!$H:$H,A18,'NHL2025-26Results'!$F:$F,"")</f>
        <v>7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0.75</v>
      </c>
      <c r="N18" s="11">
        <f>Table1[[#This Row],[AwayWins]]/SUM(Table1[[#This Row],[AwayWins]:[AwayOTL]])</f>
        <v>0.5</v>
      </c>
      <c r="O18" s="14">
        <f>SUMIFS('NHL2025-26Results'!$E:$E,'NHL2025-26Results'!$D:$D,A18,'NHL2025-26Results'!$E:$E,"&gt;0")/COUNTIFS('NHL2025-26Results'!$D:$D,A18,'NHL2025-26Results'!$E:$E,"&gt;0")</f>
        <v>3.3333333333333335</v>
      </c>
      <c r="P18" s="14">
        <f>SUMIFS('NHL2025-26Results'!$C:$C,'NHL2025-26Results'!$B:$B,A18,'NHL2025-26Results'!$C:$C,"&gt;0")/COUNTIFS('NHL2025-26Results'!$B:$B,A18,'NHL2025-26Results'!$C:$C,"&gt;0")</f>
        <v>3.3076923076923075</v>
      </c>
      <c r="Q18" s="14">
        <f>SUMIFS('NHL2025-26Results'!$C:$C,'NHL2025-26Results'!$D:$D,A18,'NHL2025-26Results'!$C:$C,"&gt;0")/COUNTIFS('NHL2025-26Results'!$D:$D,A18,'NHL2025-26Results'!$C:$C,"&gt;0")</f>
        <v>2.5833333333333335</v>
      </c>
      <c r="R18" s="14">
        <f>SUMIFS('NHL2025-26Results'!$E:$E,'NHL2025-26Results'!$B:$B,A18,'NHL2025-26Results'!$E:$E,"&gt;0")/COUNTIFS('NHL2025-26Results'!$B:$B,A18,'NHL2025-26Results'!$E:$E,"&gt;0")</f>
        <v>3.6923076923076925</v>
      </c>
    </row>
    <row r="19" spans="1:18" x14ac:dyDescent="0.2">
      <c r="A19" s="4" t="s">
        <v>30</v>
      </c>
      <c r="B19">
        <f>SUM(Table1[[#This Row],[W]:[OTL]])</f>
        <v>26</v>
      </c>
      <c r="C19">
        <f>COUNTIF(NHL2025_26Results[Winning Team],Standings!A19)</f>
        <v>13</v>
      </c>
      <c r="D19">
        <f>COUNTIFS('NHL2025-26Results'!$H:$H,A19,'NHL2025-26Results'!$F:$F,"")</f>
        <v>10</v>
      </c>
      <c r="E19">
        <f>COUNTIFS('NHL2025-26Results'!$F:$F,"OT",'NHL2025-26Results'!$H:$H,A19) + COUNTIFS('NHL2025-26Results'!$F:$F,"SO",'NHL2025-26Results'!$H:$H,A19)</f>
        <v>3</v>
      </c>
      <c r="F19" s="3">
        <f>(Table1[[#This Row],[W]]*2)+Table1[[#This Row],[OTL]]</f>
        <v>29</v>
      </c>
      <c r="G19">
        <f>COUNTIFS('NHL2025-26Results'!$D:$D,A19,'NHL2025-26Results'!$G:$G,A19)</f>
        <v>5</v>
      </c>
      <c r="H19">
        <f>COUNTIFS('NHL2025-26Results'!$D:$D,A19,'NHL2025-26Results'!$H:$H,A19,'NHL2025-26Results'!$F:$F,"")</f>
        <v>6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8</v>
      </c>
      <c r="K19">
        <f>COUNTIFS('NHL2025-26Results'!$B:$B,A19,'NHL2025-26Results'!$H:$H,A19,'NHL2025-26Results'!$F:$F,"")</f>
        <v>4</v>
      </c>
      <c r="L19">
        <f>COUNTIFS('NHL2025-26Results'!$B:$B,A19,'NHL2025-26Results'!$H:$H,A19,'NHL2025-26Results'!$F:$F,"OT") + COUNTIFS('NHL2025-26Results'!$B:$B,A19,'NHL2025-26Results'!$H:$H,A19,'NHL2025-26Results'!$F:$F,"SO")</f>
        <v>1</v>
      </c>
      <c r="M19" s="11">
        <f>Table1[[#This Row],[HomeWins]]/SUM(Table1[[#This Row],[HomeWins]:[HomeOTL]])</f>
        <v>0.38461538461538464</v>
      </c>
      <c r="N19" s="11">
        <f>Table1[[#This Row],[AwayWins]]/SUM(Table1[[#This Row],[AwayWins]:[AwayOTL]])</f>
        <v>0.61538461538461542</v>
      </c>
      <c r="O19" s="14">
        <f>SUMIFS('NHL2025-26Results'!$E:$E,'NHL2025-26Results'!$D:$D,A19,'NHL2025-26Results'!$E:$E,"&gt;0")/COUNTIFS('NHL2025-26Results'!$D:$D,A19,'NHL2025-26Results'!$E:$E,"&gt;0")</f>
        <v>2.6153846153846154</v>
      </c>
      <c r="P19" s="14">
        <f>SUMIFS('NHL2025-26Results'!$C:$C,'NHL2025-26Results'!$B:$B,A19,'NHL2025-26Results'!$C:$C,"&gt;0")/COUNTIFS('NHL2025-26Results'!$B:$B,A19,'NHL2025-26Results'!$C:$C,"&gt;0")</f>
        <v>3.2307692307692308</v>
      </c>
      <c r="Q19" s="14">
        <f>SUMIFS('NHL2025-26Results'!$C:$C,'NHL2025-26Results'!$D:$D,A19,'NHL2025-26Results'!$C:$C,"&gt;0")/COUNTIFS('NHL2025-26Results'!$D:$D,A19,'NHL2025-26Results'!$C:$C,"&gt;0")</f>
        <v>3.3333333333333335</v>
      </c>
      <c r="R19" s="14">
        <f>SUMIFS('NHL2025-26Results'!$E:$E,'NHL2025-26Results'!$B:$B,A19,'NHL2025-26Results'!$E:$E,"&gt;0")/COUNTIFS('NHL2025-26Results'!$B:$B,A19,'NHL2025-26Results'!$E:$E,"&gt;0")</f>
        <v>3.3636363636363638</v>
      </c>
    </row>
    <row r="20" spans="1:18" x14ac:dyDescent="0.2">
      <c r="A20" s="4" t="s">
        <v>15</v>
      </c>
      <c r="B20">
        <f>SUM(Table1[[#This Row],[W]:[OTL]])</f>
        <v>27</v>
      </c>
      <c r="C20">
        <f>COUNTIF(NHL2025_26Results[Winning Team],Standings!A20)</f>
        <v>13</v>
      </c>
      <c r="D20">
        <f>COUNTIFS('NHL2025-26Results'!$H:$H,A20,'NHL2025-26Results'!$F:$F,"")</f>
        <v>12</v>
      </c>
      <c r="E20">
        <f>COUNTIFS('NHL2025-26Results'!$F:$F,"OT",'NHL2025-26Results'!$H:$H,A20) + COUNTIFS('NHL2025-26Results'!$F:$F,"SO",'NHL2025-26Results'!$H:$H,A20)</f>
        <v>2</v>
      </c>
      <c r="F20" s="3">
        <f>(Table1[[#This Row],[W]]*2)+Table1[[#This Row],[OTL]]</f>
        <v>28</v>
      </c>
      <c r="G20">
        <f>COUNTIFS('NHL2025-26Results'!$D:$D,A20,'NHL2025-26Results'!$G:$G,A20)</f>
        <v>2</v>
      </c>
      <c r="H20">
        <f>COUNTIFS('NHL2025-26Results'!$D:$D,A20,'NHL2025-26Results'!$H:$H,A20,'NHL2025-26Results'!$F:$F,"")</f>
        <v>8</v>
      </c>
      <c r="I20">
        <f>COUNTIFS('NHL2025-26Results'!$D:$D,A20,'NHL2025-26Results'!$H:$H,A20,'NHL2025-26Results'!$F:$F,"OT") + COUNTIFS('NHL2025-26Results'!$D:$D,A20,'NHL2025-26Results'!$H:$H,A20,'NHL2025-26Results'!$F:$F,"SO")</f>
        <v>1</v>
      </c>
      <c r="J20">
        <f>COUNTIFS('NHL2025-26Results'!$B:$B,A20,'NHL2025-26Results'!$G:$G,A20)</f>
        <v>11</v>
      </c>
      <c r="K20">
        <f>COUNTIFS('NHL2025-26Results'!$B:$B,A20,'NHL2025-26Results'!$H:$H,A20,'NHL2025-26Results'!$F:$F,"")</f>
        <v>4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0.18181818181818182</v>
      </c>
      <c r="N20" s="11">
        <f>Table1[[#This Row],[AwayWins]]/SUM(Table1[[#This Row],[AwayWins]:[AwayOTL]])</f>
        <v>0.6875</v>
      </c>
      <c r="O20" s="14">
        <f>SUMIFS('NHL2025-26Results'!$E:$E,'NHL2025-26Results'!$D:$D,A20,'NHL2025-26Results'!$E:$E,"&gt;0")/COUNTIFS('NHL2025-26Results'!$D:$D,A20,'NHL2025-26Results'!$E:$E,"&gt;0")</f>
        <v>2.8333333333333335</v>
      </c>
      <c r="P20" s="14">
        <f>SUMIFS('NHL2025-26Results'!$C:$C,'NHL2025-26Results'!$B:$B,A20,'NHL2025-26Results'!$C:$C,"&gt;0")/COUNTIFS('NHL2025-26Results'!$B:$B,A20,'NHL2025-26Results'!$C:$C,"&gt;0")</f>
        <v>3.4375</v>
      </c>
      <c r="Q20" s="14">
        <f>SUMIFS('NHL2025-26Results'!$C:$C,'NHL2025-26Results'!$D:$D,A20,'NHL2025-26Results'!$C:$C,"&gt;0")/COUNTIFS('NHL2025-26Results'!$D:$D,A20,'NHL2025-26Results'!$C:$C,"&gt;0")</f>
        <v>3.0909090909090908</v>
      </c>
      <c r="R20" s="14">
        <f>SUMIFS('NHL2025-26Results'!$E:$E,'NHL2025-26Results'!$B:$B,A20,'NHL2025-26Results'!$E:$E,"&gt;0")/COUNTIFS('NHL2025-26Results'!$B:$B,A20,'NHL2025-26Results'!$E:$E,"&gt;0")</f>
        <v>2.6428571428571428</v>
      </c>
    </row>
    <row r="21" spans="1:18" x14ac:dyDescent="0.2">
      <c r="A21" s="4" t="s">
        <v>36</v>
      </c>
      <c r="B21">
        <f>SUM(Table1[[#This Row],[W]:[OTL]])</f>
        <v>25</v>
      </c>
      <c r="C21">
        <f>COUNTIF(NHL2025_26Results[Winning Team],Standings!A21)</f>
        <v>12</v>
      </c>
      <c r="D21">
        <f>COUNTIFS('NHL2025-26Results'!$H:$H,A21,'NHL2025-26Results'!$F:$F,"")</f>
        <v>9</v>
      </c>
      <c r="E21">
        <f>COUNTIFS('NHL2025-26Results'!$F:$F,"OT",'NHL2025-26Results'!$H:$H,A21) + COUNTIFS('NHL2025-26Results'!$F:$F,"SO",'NHL2025-26Results'!$H:$H,A21)</f>
        <v>4</v>
      </c>
      <c r="F21" s="3">
        <f>(Table1[[#This Row],[W]]*2)+Table1[[#This Row],[OTL]]</f>
        <v>28</v>
      </c>
      <c r="G21">
        <f>COUNTIFS('NHL2025-26Results'!$D:$D,A21,'NHL2025-26Results'!$G:$G,A21)</f>
        <v>6</v>
      </c>
      <c r="H21">
        <f>COUNTIFS('NHL2025-26Results'!$D:$D,A21,'NHL2025-26Results'!$H:$H,A21,'NHL2025-26Results'!$F:$F,"")</f>
        <v>3</v>
      </c>
      <c r="I21">
        <f>COUNTIFS('NHL2025-26Results'!$D:$D,A21,'NHL2025-26Results'!$H:$H,A21,'NHL2025-26Results'!$F:$F,"OT") + COUNTIFS('NHL2025-26Results'!$D:$D,A21,'NHL2025-26Results'!$H:$H,A21,'NHL2025-26Results'!$F:$F,"SO")</f>
        <v>2</v>
      </c>
      <c r="J21">
        <f>COUNTIFS('NHL2025-26Results'!$B:$B,A21,'NHL2025-26Results'!$G:$G,A21)</f>
        <v>6</v>
      </c>
      <c r="K21">
        <f>COUNTIFS('NHL2025-26Results'!$B:$B,A21,'NHL2025-26Results'!$H:$H,A21,'NHL2025-26Results'!$F:$F,"")</f>
        <v>6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0.54545454545454541</v>
      </c>
      <c r="N21" s="11">
        <f>Table1[[#This Row],[AwayWins]]/SUM(Table1[[#This Row],[AwayWins]:[AwayOTL]])</f>
        <v>0.42857142857142855</v>
      </c>
      <c r="O21" s="14">
        <f>SUMIFS('NHL2025-26Results'!$E:$E,'NHL2025-26Results'!$D:$D,A21,'NHL2025-26Results'!$E:$E,"&gt;0")/COUNTIFS('NHL2025-26Results'!$D:$D,A21,'NHL2025-26Results'!$E:$E,"&gt;0")</f>
        <v>3.5</v>
      </c>
      <c r="P21" s="14">
        <f>SUMIFS('NHL2025-26Results'!$C:$C,'NHL2025-26Results'!$B:$B,A21,'NHL2025-26Results'!$C:$C,"&gt;0")/COUNTIFS('NHL2025-26Results'!$B:$B,A21,'NHL2025-26Results'!$C:$C,"&gt;0")</f>
        <v>3.1428571428571428</v>
      </c>
      <c r="Q21" s="14">
        <f>SUMIFS('NHL2025-26Results'!$C:$C,'NHL2025-26Results'!$D:$D,A21,'NHL2025-26Results'!$C:$C,"&gt;0")/COUNTIFS('NHL2025-26Results'!$D:$D,A21,'NHL2025-26Results'!$C:$C,"&gt;0")</f>
        <v>2.7272727272727271</v>
      </c>
      <c r="R21" s="14">
        <f>SUMIFS('NHL2025-26Results'!$E:$E,'NHL2025-26Results'!$B:$B,A21,'NHL2025-26Results'!$E:$E,"&gt;0")/COUNTIFS('NHL2025-26Results'!$B:$B,A21,'NHL2025-26Results'!$E:$E,"&gt;0")</f>
        <v>3.8571428571428572</v>
      </c>
    </row>
    <row r="22" spans="1:18" x14ac:dyDescent="0.2">
      <c r="A22" s="4" t="s">
        <v>27</v>
      </c>
      <c r="B22">
        <f>SUM(Table1[[#This Row],[W]:[OTL]])</f>
        <v>25</v>
      </c>
      <c r="C22">
        <f>COUNTIF(NHL2025_26Results[Winning Team],Standings!A22)</f>
        <v>14</v>
      </c>
      <c r="D22">
        <f>COUNTIFS('NHL2025-26Results'!$H:$H,A22,'NHL2025-26Results'!$F:$F,"")</f>
        <v>8</v>
      </c>
      <c r="E22">
        <f>COUNTIFS('NHL2025-26Results'!$F:$F,"OT",'NHL2025-26Results'!$H:$H,A22) + COUNTIFS('NHL2025-26Results'!$F:$F,"SO",'NHL2025-26Results'!$H:$H,A22)</f>
        <v>3</v>
      </c>
      <c r="F22" s="3">
        <f>(Table1[[#This Row],[W]]*2)+Table1[[#This Row],[OTL]]</f>
        <v>31</v>
      </c>
      <c r="G22">
        <f>COUNTIFS('NHL2025-26Results'!$D:$D,A22,'NHL2025-26Results'!$G:$G,A22)</f>
        <v>8</v>
      </c>
      <c r="H22">
        <f>COUNTIFS('NHL2025-26Results'!$D:$D,A22,'NHL2025-26Results'!$H:$H,A22,'NHL2025-26Results'!$F:$F,"")</f>
        <v>4</v>
      </c>
      <c r="I22">
        <f>COUNTIFS('NHL2025-26Results'!$D:$D,A22,'NHL2025-26Results'!$H:$H,A22,'NHL2025-26Results'!$F:$F,"OT") + COUNTIFS('NHL2025-26Results'!$D:$D,A22,'NHL2025-26Results'!$H:$H,A22,'NHL2025-26Results'!$F:$F,"SO")</f>
        <v>2</v>
      </c>
      <c r="J22">
        <f>COUNTIFS('NHL2025-26Results'!$B:$B,A22,'NHL2025-26Results'!$G:$G,A22)</f>
        <v>6</v>
      </c>
      <c r="K22">
        <f>COUNTIFS('NHL2025-26Results'!$B:$B,A22,'NHL2025-26Results'!$H:$H,A22,'NHL2025-26Results'!$F:$F,"")</f>
        <v>4</v>
      </c>
      <c r="L22">
        <f>COUNTIFS('NHL2025-26Results'!$B:$B,A22,'NHL2025-26Results'!$H:$H,A22,'NHL2025-26Results'!$F:$F,"OT") + COUNTIFS('NHL2025-26Results'!$B:$B,A22,'NHL2025-26Results'!$H:$H,A22,'NHL2025-26Results'!$F:$F,"SO")</f>
        <v>1</v>
      </c>
      <c r="M22" s="11">
        <f>Table1[[#This Row],[HomeWins]]/SUM(Table1[[#This Row],[HomeWins]:[HomeOTL]])</f>
        <v>0.5714285714285714</v>
      </c>
      <c r="N22" s="11">
        <f>Table1[[#This Row],[AwayWins]]/SUM(Table1[[#This Row],[AwayWins]:[AwayOTL]])</f>
        <v>0.54545454545454541</v>
      </c>
      <c r="O22" s="14">
        <f>SUMIFS('NHL2025-26Results'!$E:$E,'NHL2025-26Results'!$D:$D,A22,'NHL2025-26Results'!$E:$E,"&gt;0")/COUNTIFS('NHL2025-26Results'!$D:$D,A22,'NHL2025-26Results'!$E:$E,"&gt;0")</f>
        <v>2.9285714285714284</v>
      </c>
      <c r="P22" s="14">
        <f>SUMIFS('NHL2025-26Results'!$C:$C,'NHL2025-26Results'!$B:$B,A22,'NHL2025-26Results'!$C:$C,"&gt;0")/COUNTIFS('NHL2025-26Results'!$B:$B,A22,'NHL2025-26Results'!$C:$C,"&gt;0")</f>
        <v>3.3</v>
      </c>
      <c r="Q22" s="14">
        <f>SUMIFS('NHL2025-26Results'!$C:$C,'NHL2025-26Results'!$D:$D,A22,'NHL2025-26Results'!$C:$C,"&gt;0")/COUNTIFS('NHL2025-26Results'!$D:$D,A22,'NHL2025-26Results'!$C:$C,"&gt;0")</f>
        <v>2.7142857142857144</v>
      </c>
      <c r="R22" s="14">
        <f>SUMIFS('NHL2025-26Results'!$E:$E,'NHL2025-26Results'!$B:$B,A22,'NHL2025-26Results'!$E:$E,"&gt;0")/COUNTIFS('NHL2025-26Results'!$B:$B,A22,'NHL2025-26Results'!$E:$E,"&gt;0")</f>
        <v>3.0909090909090908</v>
      </c>
    </row>
    <row r="23" spans="1:18" x14ac:dyDescent="0.2">
      <c r="A23" s="4" t="s">
        <v>14</v>
      </c>
      <c r="B23">
        <f>SUM(Table1[[#This Row],[W]:[OTL]])</f>
        <v>25</v>
      </c>
      <c r="C23">
        <f>COUNTIF(NHL2025_26Results[Winning Team],Standings!A23)</f>
        <v>13</v>
      </c>
      <c r="D23">
        <f>COUNTIFS('NHL2025-26Results'!$H:$H,A23,'NHL2025-26Results'!$F:$F,"")</f>
        <v>7</v>
      </c>
      <c r="E23">
        <f>COUNTIFS('NHL2025-26Results'!$F:$F,"OT",'NHL2025-26Results'!$H:$H,A23) + COUNTIFS('NHL2025-26Results'!$F:$F,"SO",'NHL2025-26Results'!$H:$H,A23)</f>
        <v>5</v>
      </c>
      <c r="F23" s="3">
        <f>(Table1[[#This Row],[W]]*2)+Table1[[#This Row],[OTL]]</f>
        <v>31</v>
      </c>
      <c r="G23">
        <f>COUNTIFS('NHL2025-26Results'!$D:$D,A23,'NHL2025-26Results'!$G:$G,A23)</f>
        <v>6</v>
      </c>
      <c r="H23">
        <f>COUNTIFS('NHL2025-26Results'!$D:$D,A23,'NHL2025-26Results'!$H:$H,A23,'NHL2025-26Results'!$F:$F,"")</f>
        <v>4</v>
      </c>
      <c r="I23">
        <f>COUNTIFS('NHL2025-26Results'!$D:$D,A23,'NHL2025-26Results'!$H:$H,A23,'NHL2025-26Results'!$F:$F,"OT") + COUNTIFS('NHL2025-26Results'!$D:$D,A23,'NHL2025-26Results'!$H:$H,A23,'NHL2025-26Results'!$F:$F,"SO")</f>
        <v>2</v>
      </c>
      <c r="J23">
        <f>COUNTIFS('NHL2025-26Results'!$B:$B,A23,'NHL2025-26Results'!$G:$G,A23)</f>
        <v>7</v>
      </c>
      <c r="K23">
        <f>COUNTIFS('NHL2025-26Results'!$B:$B,A23,'NHL2025-26Results'!$H:$H,A23,'NHL2025-26Results'!$F:$F,"")</f>
        <v>3</v>
      </c>
      <c r="L23">
        <f>COUNTIFS('NHL2025-26Results'!$B:$B,A23,'NHL2025-26Results'!$H:$H,A23,'NHL2025-26Results'!$F:$F,"OT") + COUNTIFS('NHL2025-26Results'!$B:$B,A23,'NHL2025-26Results'!$H:$H,A23,'NHL2025-26Results'!$F:$F,"SO")</f>
        <v>3</v>
      </c>
      <c r="M23" s="11">
        <f>Table1[[#This Row],[HomeWins]]/SUM(Table1[[#This Row],[HomeWins]:[HomeOTL]])</f>
        <v>0.5</v>
      </c>
      <c r="N23" s="11">
        <f>Table1[[#This Row],[AwayWins]]/SUM(Table1[[#This Row],[AwayWins]:[AwayOTL]])</f>
        <v>0.53846153846153844</v>
      </c>
      <c r="O23" s="14">
        <f>SUMIFS('NHL2025-26Results'!$E:$E,'NHL2025-26Results'!$D:$D,A23,'NHL2025-26Results'!$E:$E,"&gt;0")/COUNTIFS('NHL2025-26Results'!$D:$D,A23,'NHL2025-26Results'!$E:$E,"&gt;0")</f>
        <v>3.5454545454545454</v>
      </c>
      <c r="P23" s="14">
        <f>SUMIFS('NHL2025-26Results'!$C:$C,'NHL2025-26Results'!$B:$B,A23,'NHL2025-26Results'!$C:$C,"&gt;0")/COUNTIFS('NHL2025-26Results'!$B:$B,A23,'NHL2025-26Results'!$C:$C,"&gt;0")</f>
        <v>3.0769230769230771</v>
      </c>
      <c r="Q23" s="14">
        <f>SUMIFS('NHL2025-26Results'!$C:$C,'NHL2025-26Results'!$D:$D,A23,'NHL2025-26Results'!$C:$C,"&gt;0")/COUNTIFS('NHL2025-26Results'!$D:$D,A23,'NHL2025-26Results'!$C:$C,"&gt;0")</f>
        <v>3.7272727272727271</v>
      </c>
      <c r="R23" s="14">
        <f>SUMIFS('NHL2025-26Results'!$E:$E,'NHL2025-26Results'!$B:$B,A23,'NHL2025-26Results'!$E:$E,"&gt;0")/COUNTIFS('NHL2025-26Results'!$B:$B,A23,'NHL2025-26Results'!$E:$E,"&gt;0")</f>
        <v>2.7272727272727271</v>
      </c>
    </row>
    <row r="24" spans="1:18" x14ac:dyDescent="0.2">
      <c r="A24" s="4" t="s">
        <v>33</v>
      </c>
      <c r="B24">
        <f>SUM(Table1[[#This Row],[W]:[OTL]])</f>
        <v>27</v>
      </c>
      <c r="C24">
        <f>COUNTIF(NHL2025_26Results[Winning Team],Standings!A24)</f>
        <v>13</v>
      </c>
      <c r="D24">
        <f>COUNTIFS('NHL2025-26Results'!$H:$H,A24,'NHL2025-26Results'!$F:$F,"")</f>
        <v>11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29</v>
      </c>
      <c r="G24">
        <f>COUNTIFS('NHL2025-26Results'!$D:$D,A24,'NHL2025-26Results'!$G:$G,A24)</f>
        <v>9</v>
      </c>
      <c r="H24">
        <f>COUNTIFS('NHL2025-26Results'!$D:$D,A24,'NHL2025-26Results'!$H:$H,A24,'NHL2025-26Results'!$F:$F,"")</f>
        <v>4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4</v>
      </c>
      <c r="K24">
        <f>COUNTIFS('NHL2025-26Results'!$B:$B,A24,'NHL2025-26Results'!$H:$H,A24,'NHL2025-26Results'!$F:$F,"")</f>
        <v>7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0.5625</v>
      </c>
      <c r="N24" s="11">
        <f>Table1[[#This Row],[AwayWins]]/SUM(Table1[[#This Row],[AwayWins]:[AwayOTL]])</f>
        <v>0.36363636363636365</v>
      </c>
      <c r="O24" s="14">
        <f>SUMIFS('NHL2025-26Results'!$E:$E,'NHL2025-26Results'!$D:$D,A24,'NHL2025-26Results'!$E:$E,"&gt;0")/COUNTIFS('NHL2025-26Results'!$D:$D,A24,'NHL2025-26Results'!$E:$E,"&gt;0")</f>
        <v>3.2666666666666666</v>
      </c>
      <c r="P24" s="14">
        <f>SUMIFS('NHL2025-26Results'!$C:$C,'NHL2025-26Results'!$B:$B,A24,'NHL2025-26Results'!$C:$C,"&gt;0")/COUNTIFS('NHL2025-26Results'!$B:$B,A24,'NHL2025-26Results'!$C:$C,"&gt;0")</f>
        <v>3.4444444444444446</v>
      </c>
      <c r="Q24" s="14">
        <f>SUMIFS('NHL2025-26Results'!$C:$C,'NHL2025-26Results'!$D:$D,A24,'NHL2025-26Results'!$C:$C,"&gt;0")/COUNTIFS('NHL2025-26Results'!$D:$D,A24,'NHL2025-26Results'!$C:$C,"&gt;0")</f>
        <v>2.875</v>
      </c>
      <c r="R24" s="14">
        <f>SUMIFS('NHL2025-26Results'!$E:$E,'NHL2025-26Results'!$B:$B,A24,'NHL2025-26Results'!$E:$E,"&gt;0")/COUNTIFS('NHL2025-26Results'!$B:$B,A24,'NHL2025-26Results'!$E:$E,"&gt;0")</f>
        <v>3.7272727272727271</v>
      </c>
    </row>
    <row r="25" spans="1:18" x14ac:dyDescent="0.2">
      <c r="A25" s="4" t="s">
        <v>32</v>
      </c>
      <c r="B25">
        <f>SUM(Table1[[#This Row],[W]:[OTL]])</f>
        <v>24</v>
      </c>
      <c r="C25">
        <f>COUNTIF(NHL2025_26Results[Winning Team],Standings!A25)</f>
        <v>11</v>
      </c>
      <c r="D25">
        <f>COUNTIFS('NHL2025-26Results'!$H:$H,A25,'NHL2025-26Results'!$F:$F,"")</f>
        <v>7</v>
      </c>
      <c r="E25">
        <f>COUNTIFS('NHL2025-26Results'!$F:$F,"OT",'NHL2025-26Results'!$H:$H,A25) + COUNTIFS('NHL2025-26Results'!$F:$F,"SO",'NHL2025-26Results'!$H:$H,A25)</f>
        <v>6</v>
      </c>
      <c r="F25" s="3">
        <f>(Table1[[#This Row],[W]]*2)+Table1[[#This Row],[OTL]]</f>
        <v>28</v>
      </c>
      <c r="G25">
        <f>COUNTIFS('NHL2025-26Results'!$D:$D,A25,'NHL2025-26Results'!$G:$G,A25)</f>
        <v>6</v>
      </c>
      <c r="H25">
        <f>COUNTIFS('NHL2025-26Results'!$D:$D,A25,'NHL2025-26Results'!$H:$H,A25,'NHL2025-26Results'!$F:$F,"")</f>
        <v>3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5</v>
      </c>
      <c r="K25">
        <f>COUNTIFS('NHL2025-26Results'!$B:$B,A25,'NHL2025-26Results'!$H:$H,A25,'NHL2025-26Results'!$F:$F,"")</f>
        <v>4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0.5</v>
      </c>
      <c r="N25" s="11">
        <f>Table1[[#This Row],[AwayWins]]/SUM(Table1[[#This Row],[AwayWins]:[AwayOTL]])</f>
        <v>0.41666666666666669</v>
      </c>
      <c r="O25" s="14">
        <f>SUMIFS('NHL2025-26Results'!$E:$E,'NHL2025-26Results'!$D:$D,A25,'NHL2025-26Results'!$E:$E,"&gt;0")/COUNTIFS('NHL2025-26Results'!$D:$D,A25,'NHL2025-26Results'!$E:$E,"&gt;0")</f>
        <v>2.6363636363636362</v>
      </c>
      <c r="P25" s="14">
        <f>SUMIFS('NHL2025-26Results'!$C:$C,'NHL2025-26Results'!$B:$B,A25,'NHL2025-26Results'!$C:$C,"&gt;0")/COUNTIFS('NHL2025-26Results'!$B:$B,A25,'NHL2025-26Results'!$C:$C,"&gt;0")</f>
        <v>2.7272727272727271</v>
      </c>
      <c r="Q25" s="14">
        <f>SUMIFS('NHL2025-26Results'!$C:$C,'NHL2025-26Results'!$D:$D,A25,'NHL2025-26Results'!$C:$C,"&gt;0")/COUNTIFS('NHL2025-26Results'!$D:$D,A25,'NHL2025-26Results'!$C:$C,"&gt;0")</f>
        <v>2.5833333333333335</v>
      </c>
      <c r="R25" s="14">
        <f>SUMIFS('NHL2025-26Results'!$E:$E,'NHL2025-26Results'!$B:$B,A25,'NHL2025-26Results'!$E:$E,"&gt;0")/COUNTIFS('NHL2025-26Results'!$B:$B,A25,'NHL2025-26Results'!$E:$E,"&gt;0")</f>
        <v>3.1818181818181817</v>
      </c>
    </row>
    <row r="26" spans="1:18" x14ac:dyDescent="0.2">
      <c r="A26" s="4" t="s">
        <v>35</v>
      </c>
      <c r="B26">
        <f>SUM(Table1[[#This Row],[W]:[OTL]])</f>
        <v>27</v>
      </c>
      <c r="C26">
        <f>COUNTIF(NHL2025_26Results[Winning Team],Standings!A26)</f>
        <v>9</v>
      </c>
      <c r="D26">
        <f>COUNTIFS('NHL2025-26Results'!$H:$H,A26,'NHL2025-26Results'!$F:$F,"")</f>
        <v>11</v>
      </c>
      <c r="E26">
        <f>COUNTIFS('NHL2025-26Results'!$F:$F,"OT",'NHL2025-26Results'!$H:$H,A26) + COUNTIFS('NHL2025-26Results'!$F:$F,"SO",'NHL2025-26Results'!$H:$H,A26)</f>
        <v>7</v>
      </c>
      <c r="F26" s="3">
        <f>(Table1[[#This Row],[W]]*2)+Table1[[#This Row],[OTL]]</f>
        <v>25</v>
      </c>
      <c r="G26">
        <f>COUNTIFS('NHL2025-26Results'!$D:$D,A26,'NHL2025-26Results'!$G:$G,A26)</f>
        <v>5</v>
      </c>
      <c r="H26">
        <f>COUNTIFS('NHL2025-26Results'!$D:$D,A26,'NHL2025-26Results'!$H:$H,A26,'NHL2025-26Results'!$F:$F,"")</f>
        <v>6</v>
      </c>
      <c r="I26">
        <f>COUNTIFS('NHL2025-26Results'!$D:$D,A26,'NHL2025-26Results'!$H:$H,A26,'NHL2025-26Results'!$F:$F,"OT") + COUNTIFS('NHL2025-26Results'!$D:$D,A26,'NHL2025-26Results'!$H:$H,A26,'NHL2025-26Results'!$F:$F,"SO")</f>
        <v>4</v>
      </c>
      <c r="J26">
        <f>COUNTIFS('NHL2025-26Results'!$B:$B,A26,'NHL2025-26Results'!$G:$G,A26)</f>
        <v>4</v>
      </c>
      <c r="K26">
        <f>COUNTIFS('NHL2025-26Results'!$B:$B,A26,'NHL2025-26Results'!$H:$H,A26,'NHL2025-26Results'!$F:$F,"")</f>
        <v>5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0.33333333333333331</v>
      </c>
      <c r="N26" s="11">
        <f>Table1[[#This Row],[AwayWins]]/SUM(Table1[[#This Row],[AwayWins]:[AwayOTL]])</f>
        <v>0.33333333333333331</v>
      </c>
      <c r="O26" s="14">
        <f>SUMIFS('NHL2025-26Results'!$E:$E,'NHL2025-26Results'!$D:$D,A26,'NHL2025-26Results'!$E:$E,"&gt;0")/COUNTIFS('NHL2025-26Results'!$D:$D,A26,'NHL2025-26Results'!$E:$E,"&gt;0")</f>
        <v>2.6428571428571428</v>
      </c>
      <c r="P26" s="14">
        <f>SUMIFS('NHL2025-26Results'!$C:$C,'NHL2025-26Results'!$B:$B,A26,'NHL2025-26Results'!$C:$C,"&gt;0")/COUNTIFS('NHL2025-26Results'!$B:$B,A26,'NHL2025-26Results'!$C:$C,"&gt;0")</f>
        <v>2.6666666666666665</v>
      </c>
      <c r="Q26" s="14">
        <f>SUMIFS('NHL2025-26Results'!$C:$C,'NHL2025-26Results'!$D:$D,A26,'NHL2025-26Results'!$C:$C,"&gt;0")/COUNTIFS('NHL2025-26Results'!$D:$D,A26,'NHL2025-26Results'!$C:$C,"&gt;0")</f>
        <v>4.0714285714285712</v>
      </c>
      <c r="R26" s="14">
        <f>SUMIFS('NHL2025-26Results'!$E:$E,'NHL2025-26Results'!$B:$B,A26,'NHL2025-26Results'!$E:$E,"&gt;0")/COUNTIFS('NHL2025-26Results'!$B:$B,A26,'NHL2025-26Results'!$E:$E,"&gt;0")</f>
        <v>3.4545454545454546</v>
      </c>
    </row>
    <row r="27" spans="1:18" x14ac:dyDescent="0.2">
      <c r="A27" s="4" t="s">
        <v>37</v>
      </c>
      <c r="B27">
        <f>SUM(Table1[[#This Row],[W]:[OTL]])</f>
        <v>25</v>
      </c>
      <c r="C27">
        <f>COUNTIF(NHL2025_26Results[Winning Team],Standings!A27)</f>
        <v>16</v>
      </c>
      <c r="D27">
        <f>COUNTIFS('NHL2025-26Results'!$H:$H,A27,'NHL2025-26Results'!$F:$F,"")</f>
        <v>7</v>
      </c>
      <c r="E27">
        <f>COUNTIFS('NHL2025-26Results'!$F:$F,"OT",'NHL2025-26Results'!$H:$H,A27) + COUNTIFS('NHL2025-26Results'!$F:$F,"SO",'NHL2025-26Results'!$H:$H,A27)</f>
        <v>2</v>
      </c>
      <c r="F27" s="3">
        <f>(Table1[[#This Row],[W]]*2)+Table1[[#This Row],[OTL]]</f>
        <v>34</v>
      </c>
      <c r="G27">
        <f>COUNTIFS('NHL2025-26Results'!$D:$D,A27,'NHL2025-26Results'!$G:$G,A27)</f>
        <v>8</v>
      </c>
      <c r="H27">
        <f>COUNTIFS('NHL2025-26Results'!$D:$D,A27,'NHL2025-26Results'!$H:$H,A27,'NHL2025-26Results'!$F:$F,"")</f>
        <v>5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8</v>
      </c>
      <c r="K27">
        <f>COUNTIFS('NHL2025-26Results'!$B:$B,A27,'NHL2025-26Results'!$H:$H,A27,'NHL2025-26Results'!$F:$F,"")</f>
        <v>2</v>
      </c>
      <c r="L27">
        <f>COUNTIFS('NHL2025-26Results'!$B:$B,A27,'NHL2025-26Results'!$H:$H,A27,'NHL2025-26Results'!$F:$F,"OT") + COUNTIFS('NHL2025-26Results'!$B:$B,A27,'NHL2025-26Results'!$H:$H,A27,'NHL2025-26Results'!$F:$F,"SO")</f>
        <v>2</v>
      </c>
      <c r="M27" s="11">
        <f>Table1[[#This Row],[HomeWins]]/SUM(Table1[[#This Row],[HomeWins]:[HomeOTL]])</f>
        <v>0.61538461538461542</v>
      </c>
      <c r="N27" s="11">
        <f>Table1[[#This Row],[AwayWins]]/SUM(Table1[[#This Row],[AwayWins]:[AwayOTL]])</f>
        <v>0.66666666666666663</v>
      </c>
      <c r="O27" s="14">
        <f>SUMIFS('NHL2025-26Results'!$E:$E,'NHL2025-26Results'!$D:$D,A27,'NHL2025-26Results'!$E:$E,"&gt;0")/COUNTIFS('NHL2025-26Results'!$D:$D,A27,'NHL2025-26Results'!$E:$E,"&gt;0")</f>
        <v>3.0769230769230771</v>
      </c>
      <c r="P27" s="14">
        <f>SUMIFS('NHL2025-26Results'!$C:$C,'NHL2025-26Results'!$B:$B,A27,'NHL2025-26Results'!$C:$C,"&gt;0")/COUNTIFS('NHL2025-26Results'!$B:$B,A27,'NHL2025-26Results'!$C:$C,"&gt;0")</f>
        <v>3.6666666666666665</v>
      </c>
      <c r="Q27" s="14">
        <f>SUMIFS('NHL2025-26Results'!$C:$C,'NHL2025-26Results'!$D:$D,A27,'NHL2025-26Results'!$C:$C,"&gt;0")/COUNTIFS('NHL2025-26Results'!$D:$D,A27,'NHL2025-26Results'!$C:$C,"&gt;0")</f>
        <v>3</v>
      </c>
      <c r="R27" s="14">
        <f>SUMIFS('NHL2025-26Results'!$E:$E,'NHL2025-26Results'!$B:$B,A27,'NHL2025-26Results'!$E:$E,"&gt;0")/COUNTIFS('NHL2025-26Results'!$B:$B,A27,'NHL2025-26Results'!$E:$E,"&gt;0")</f>
        <v>2.4166666666666665</v>
      </c>
    </row>
    <row r="28" spans="1:18" x14ac:dyDescent="0.2">
      <c r="A28" s="4" t="s">
        <v>19</v>
      </c>
      <c r="B28">
        <f>SUM(Table1[[#This Row],[W]:[OTL]])</f>
        <v>25</v>
      </c>
      <c r="C28">
        <f>COUNTIF(NHL2025_26Results[Winning Team],Standings!A28)</f>
        <v>11</v>
      </c>
      <c r="D28">
        <f>COUNTIFS('NHL2025-26Results'!$H:$H,A28,'NHL2025-26Results'!$F:$F,"")</f>
        <v>11</v>
      </c>
      <c r="E28">
        <f>COUNTIFS('NHL2025-26Results'!$F:$F,"OT",'NHL2025-26Results'!$H:$H,A28) + COUNTIFS('NHL2025-26Results'!$F:$F,"SO",'NHL2025-26Results'!$H:$H,A28)</f>
        <v>3</v>
      </c>
      <c r="F28" s="3">
        <f>(Table1[[#This Row],[W]]*2)+Table1[[#This Row],[OTL]]</f>
        <v>25</v>
      </c>
      <c r="G28">
        <f>COUNTIFS('NHL2025-26Results'!$D:$D,A28,'NHL2025-26Results'!$G:$G,A28)</f>
        <v>8</v>
      </c>
      <c r="H28">
        <f>COUNTIFS('NHL2025-26Results'!$D:$D,A28,'NHL2025-26Results'!$H:$H,A28,'NHL2025-26Results'!$F:$F,"")</f>
        <v>4</v>
      </c>
      <c r="I28">
        <f>COUNTIFS('NHL2025-26Results'!$D:$D,A28,'NHL2025-26Results'!$H:$H,A28,'NHL2025-26Results'!$F:$F,"OT") + COUNTIFS('NHL2025-26Results'!$D:$D,A28,'NHL2025-26Results'!$H:$H,A28,'NHL2025-26Results'!$F:$F,"SO")</f>
        <v>3</v>
      </c>
      <c r="J28">
        <f>COUNTIFS('NHL2025-26Results'!$B:$B,A28,'NHL2025-26Results'!$G:$G,A28)</f>
        <v>3</v>
      </c>
      <c r="K28">
        <f>COUNTIFS('NHL2025-26Results'!$B:$B,A28,'NHL2025-26Results'!$H:$H,A28,'NHL2025-26Results'!$F:$F,"")</f>
        <v>7</v>
      </c>
      <c r="L28">
        <f>COUNTIFS('NHL2025-26Results'!$B:$B,A28,'NHL2025-26Results'!$H:$H,A28,'NHL2025-26Results'!$F:$F,"OT") + COUNTIFS('NHL2025-26Results'!$B:$B,A28,'NHL2025-26Results'!$H:$H,A28,'NHL2025-26Results'!$F:$F,"SO")</f>
        <v>0</v>
      </c>
      <c r="M28" s="11">
        <f>Table1[[#This Row],[HomeWins]]/SUM(Table1[[#This Row],[HomeWins]:[HomeOTL]])</f>
        <v>0.53333333333333333</v>
      </c>
      <c r="N28" s="11">
        <f>Table1[[#This Row],[AwayWins]]/SUM(Table1[[#This Row],[AwayWins]:[AwayOTL]])</f>
        <v>0.3</v>
      </c>
      <c r="O28" s="14">
        <f>SUMIFS('NHL2025-26Results'!$E:$E,'NHL2025-26Results'!$D:$D,A28,'NHL2025-26Results'!$E:$E,"&gt;0")/COUNTIFS('NHL2025-26Results'!$D:$D,A28,'NHL2025-26Results'!$E:$E,"&gt;0")</f>
        <v>3.5333333333333332</v>
      </c>
      <c r="P28" s="14">
        <f>SUMIFS('NHL2025-26Results'!$C:$C,'NHL2025-26Results'!$B:$B,A28,'NHL2025-26Results'!$C:$C,"&gt;0")/COUNTIFS('NHL2025-26Results'!$B:$B,A28,'NHL2025-26Results'!$C:$C,"&gt;0")</f>
        <v>3.2</v>
      </c>
      <c r="Q28" s="14">
        <f>SUMIFS('NHL2025-26Results'!$C:$C,'NHL2025-26Results'!$D:$D,A28,'NHL2025-26Results'!$C:$C,"&gt;0")/COUNTIFS('NHL2025-26Results'!$D:$D,A28,'NHL2025-26Results'!$C:$C,"&gt;0")</f>
        <v>3.3333333333333335</v>
      </c>
      <c r="R28" s="14">
        <f>SUMIFS('NHL2025-26Results'!$E:$E,'NHL2025-26Results'!$B:$B,A28,'NHL2025-26Results'!$E:$E,"&gt;0")/COUNTIFS('NHL2025-26Results'!$B:$B,A28,'NHL2025-26Results'!$E:$E,"&gt;0")</f>
        <v>3.9</v>
      </c>
    </row>
    <row r="29" spans="1:18" x14ac:dyDescent="0.2">
      <c r="A29" t="s">
        <v>55</v>
      </c>
      <c r="B29">
        <f>SUM(Table1[[#This Row],[W]:[OTL]])</f>
        <v>27</v>
      </c>
      <c r="C29">
        <f>COUNTIF(NHL2025_26Results[Winning Team],Standings!A29)</f>
        <v>12</v>
      </c>
      <c r="D29">
        <f>COUNTIFS('NHL2025-26Results'!$H:$H,A29,'NHL2025-26Results'!$F:$F,"")</f>
        <v>12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27</v>
      </c>
      <c r="G29">
        <f>COUNTIFS('NHL2025-26Results'!$D:$D,A29,'NHL2025-26Results'!$G:$G,A29)</f>
        <v>7</v>
      </c>
      <c r="H29">
        <f>COUNTIFS('NHL2025-26Results'!$D:$D,A29,'NHL2025-26Results'!$H:$H,A29,'NHL2025-26Results'!$F:$F,"")</f>
        <v>3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5</v>
      </c>
      <c r="K29">
        <f>COUNTIFS('NHL2025-26Results'!$B:$B,A29,'NHL2025-26Results'!$H:$H,A29,'NHL2025-26Results'!$F:$F,"")</f>
        <v>9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0.63636363636363635</v>
      </c>
      <c r="N29" s="11">
        <f>Table1[[#This Row],[AwayWins]]/SUM(Table1[[#This Row],[AwayWins]:[AwayOTL]])</f>
        <v>0.3125</v>
      </c>
      <c r="O29" s="14">
        <f>SUMIFS('NHL2025-26Results'!$E:$E,'NHL2025-26Results'!$D:$D,A29,'NHL2025-26Results'!$E:$E,"&gt;0")/COUNTIFS('NHL2025-26Results'!$D:$D,A29,'NHL2025-26Results'!$E:$E,"&gt;0")</f>
        <v>3.3636363636363638</v>
      </c>
      <c r="P29" s="14">
        <f>SUMIFS('NHL2025-26Results'!$C:$C,'NHL2025-26Results'!$B:$B,A29,'NHL2025-26Results'!$C:$C,"&gt;0")/COUNTIFS('NHL2025-26Results'!$B:$B,A29,'NHL2025-26Results'!$C:$C,"&gt;0")</f>
        <v>2.8666666666666667</v>
      </c>
      <c r="Q29" s="14">
        <f>SUMIFS('NHL2025-26Results'!$C:$C,'NHL2025-26Results'!$D:$D,A29,'NHL2025-26Results'!$C:$C,"&gt;0")/COUNTIFS('NHL2025-26Results'!$D:$D,A29,'NHL2025-26Results'!$C:$C,"&gt;0")</f>
        <v>2.6363636363636362</v>
      </c>
      <c r="R29" s="14">
        <f>SUMIFS('NHL2025-26Results'!$E:$E,'NHL2025-26Results'!$B:$B,A29,'NHL2025-26Results'!$E:$E,"&gt;0")/COUNTIFS('NHL2025-26Results'!$B:$B,A29,'NHL2025-26Results'!$E:$E,"&gt;0")</f>
        <v>3.375</v>
      </c>
    </row>
    <row r="30" spans="1:18" x14ac:dyDescent="0.2">
      <c r="A30" s="4" t="s">
        <v>38</v>
      </c>
      <c r="B30">
        <f>SUM(Table1[[#This Row],[W]:[OTL]])</f>
        <v>26</v>
      </c>
      <c r="C30">
        <f>COUNTIF(NHL2025_26Results[Winning Team],Standings!A30)</f>
        <v>10</v>
      </c>
      <c r="D30">
        <f>COUNTIFS('NHL2025-26Results'!$H:$H,A30,'NHL2025-26Results'!$F:$F,"")</f>
        <v>13</v>
      </c>
      <c r="E30">
        <f>COUNTIFS('NHL2025-26Results'!$F:$F,"OT",'NHL2025-26Results'!$H:$H,A30) + COUNTIFS('NHL2025-26Results'!$F:$F,"SO",'NHL2025-26Results'!$H:$H,A30)</f>
        <v>3</v>
      </c>
      <c r="F30" s="3">
        <f>(Table1[[#This Row],[W]]*2)+Table1[[#This Row],[OTL]]</f>
        <v>23</v>
      </c>
      <c r="G30">
        <f>COUNTIFS('NHL2025-26Results'!$D:$D,A30,'NHL2025-26Results'!$G:$G,A30)</f>
        <v>3</v>
      </c>
      <c r="H30">
        <f>COUNTIFS('NHL2025-26Results'!$D:$D,A30,'NHL2025-26Results'!$H:$H,A30,'NHL2025-26Results'!$F:$F,"")</f>
        <v>7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7</v>
      </c>
      <c r="K30">
        <f>COUNTIFS('NHL2025-26Results'!$B:$B,A30,'NHL2025-26Results'!$H:$H,A30,'NHL2025-26Results'!$F:$F,"")</f>
        <v>6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0.27272727272727271</v>
      </c>
      <c r="N30" s="11">
        <f>Table1[[#This Row],[AwayWins]]/SUM(Table1[[#This Row],[AwayWins]:[AwayOTL]])</f>
        <v>0.46666666666666667</v>
      </c>
      <c r="O30" s="14">
        <f>SUMIFS('NHL2025-26Results'!$E:$E,'NHL2025-26Results'!$D:$D,A30,'NHL2025-26Results'!$E:$E,"&gt;0")/COUNTIFS('NHL2025-26Results'!$D:$D,A30,'NHL2025-26Results'!$E:$E,"&gt;0")</f>
        <v>3.1</v>
      </c>
      <c r="P30" s="14">
        <f>SUMIFS('NHL2025-26Results'!$C:$C,'NHL2025-26Results'!$B:$B,A30,'NHL2025-26Results'!$C:$C,"&gt;0")/COUNTIFS('NHL2025-26Results'!$B:$B,A30,'NHL2025-26Results'!$C:$C,"&gt;0")</f>
        <v>3.2</v>
      </c>
      <c r="Q30" s="14">
        <f>SUMIFS('NHL2025-26Results'!$C:$C,'NHL2025-26Results'!$D:$D,A30,'NHL2025-26Results'!$C:$C,"&gt;0")/COUNTIFS('NHL2025-26Results'!$D:$D,A30,'NHL2025-26Results'!$C:$C,"&gt;0")</f>
        <v>3.8181818181818183</v>
      </c>
      <c r="R30" s="14">
        <f>SUMIFS('NHL2025-26Results'!$E:$E,'NHL2025-26Results'!$B:$B,A30,'NHL2025-26Results'!$E:$E,"&gt;0")/COUNTIFS('NHL2025-26Results'!$B:$B,A30,'NHL2025-26Results'!$E:$E,"&gt;0")</f>
        <v>3.5333333333333332</v>
      </c>
    </row>
    <row r="31" spans="1:18" x14ac:dyDescent="0.2">
      <c r="A31" s="4" t="s">
        <v>20</v>
      </c>
      <c r="B31">
        <f>SUM(Table1[[#This Row],[W]:[OTL]])</f>
        <v>25</v>
      </c>
      <c r="C31">
        <f>COUNTIF(NHL2025_26Results[Winning Team],Standings!A31)</f>
        <v>11</v>
      </c>
      <c r="D31">
        <f>COUNTIFS('NHL2025-26Results'!$H:$H,A31,'NHL2025-26Results'!$F:$F,"")</f>
        <v>6</v>
      </c>
      <c r="E31">
        <f>COUNTIFS('NHL2025-26Results'!$F:$F,"OT",'NHL2025-26Results'!$H:$H,A31) + COUNTIFS('NHL2025-26Results'!$F:$F,"SO",'NHL2025-26Results'!$H:$H,A31)</f>
        <v>8</v>
      </c>
      <c r="F31" s="3">
        <f>(Table1[[#This Row],[W]]*2)+Table1[[#This Row],[OTL]]</f>
        <v>30</v>
      </c>
      <c r="G31">
        <f>COUNTIFS('NHL2025-26Results'!$D:$D,A31,'NHL2025-26Results'!$G:$G,A31)</f>
        <v>6</v>
      </c>
      <c r="H31">
        <f>COUNTIFS('NHL2025-26Results'!$D:$D,A31,'NHL2025-26Results'!$H:$H,A31,'NHL2025-26Results'!$F:$F,"")</f>
        <v>4</v>
      </c>
      <c r="I31">
        <f>COUNTIFS('NHL2025-26Results'!$D:$D,A31,'NHL2025-26Results'!$H:$H,A31,'NHL2025-26Results'!$F:$F,"OT") + COUNTIFS('NHL2025-26Results'!$D:$D,A31,'NHL2025-26Results'!$H:$H,A31,'NHL2025-26Results'!$F:$F,"SO")</f>
        <v>4</v>
      </c>
      <c r="J31">
        <f>COUNTIFS('NHL2025-26Results'!$B:$B,A31,'NHL2025-26Results'!$G:$G,A31)</f>
        <v>5</v>
      </c>
      <c r="K31">
        <f>COUNTIFS('NHL2025-26Results'!$B:$B,A31,'NHL2025-26Results'!$H:$H,A31,'NHL2025-26Results'!$F:$F,"")</f>
        <v>2</v>
      </c>
      <c r="L31">
        <f>COUNTIFS('NHL2025-26Results'!$B:$B,A31,'NHL2025-26Results'!$H:$H,A31,'NHL2025-26Results'!$F:$F,"OT") + COUNTIFS('NHL2025-26Results'!$B:$B,A31,'NHL2025-26Results'!$H:$H,A31,'NHL2025-26Results'!$F:$F,"SO")</f>
        <v>4</v>
      </c>
      <c r="M31" s="11">
        <f>Table1[[#This Row],[HomeWins]]/SUM(Table1[[#This Row],[HomeWins]:[HomeOTL]])</f>
        <v>0.42857142857142855</v>
      </c>
      <c r="N31" s="11">
        <f>Table1[[#This Row],[AwayWins]]/SUM(Table1[[#This Row],[AwayWins]:[AwayOTL]])</f>
        <v>0.45454545454545453</v>
      </c>
      <c r="O31" s="14">
        <f>SUMIFS('NHL2025-26Results'!$E:$E,'NHL2025-26Results'!$D:$D,A31,'NHL2025-26Results'!$E:$E,"&gt;0")/COUNTIFS('NHL2025-26Results'!$D:$D,A31,'NHL2025-26Results'!$E:$E,"&gt;0")</f>
        <v>3.2857142857142856</v>
      </c>
      <c r="P31" s="14">
        <f>SUMIFS('NHL2025-26Results'!$C:$C,'NHL2025-26Results'!$B:$B,A31,'NHL2025-26Results'!$C:$C,"&gt;0")/COUNTIFS('NHL2025-26Results'!$B:$B,A31,'NHL2025-26Results'!$C:$C,"&gt;0")</f>
        <v>3</v>
      </c>
      <c r="Q31" s="14">
        <f>SUMIFS('NHL2025-26Results'!$C:$C,'NHL2025-26Results'!$D:$D,A31,'NHL2025-26Results'!$C:$C,"&gt;0")/COUNTIFS('NHL2025-26Results'!$D:$D,A31,'NHL2025-26Results'!$C:$C,"&gt;0")</f>
        <v>3.6153846153846154</v>
      </c>
      <c r="R31" s="14">
        <f>SUMIFS('NHL2025-26Results'!$E:$E,'NHL2025-26Results'!$B:$B,A31,'NHL2025-26Results'!$E:$E,"&gt;0")/COUNTIFS('NHL2025-26Results'!$B:$B,A31,'NHL2025-26Results'!$E:$E,"&gt;0")</f>
        <v>2.6363636363636362</v>
      </c>
    </row>
    <row r="32" spans="1:18" x14ac:dyDescent="0.2">
      <c r="A32" s="4" t="s">
        <v>22</v>
      </c>
      <c r="B32">
        <f>SUM(Table1[[#This Row],[W]:[OTL]])</f>
        <v>26</v>
      </c>
      <c r="C32">
        <f>COUNTIF(NHL2025_26Results[Winning Team],Standings!A32)</f>
        <v>15</v>
      </c>
      <c r="D32">
        <f>COUNTIFS('NHL2025-26Results'!$H:$H,A32,'NHL2025-26Results'!$F:$F,"")</f>
        <v>9</v>
      </c>
      <c r="E32">
        <f>COUNTIFS('NHL2025-26Results'!$F:$F,"OT",'NHL2025-26Results'!$H:$H,A32) + COUNTIFS('NHL2025-26Results'!$F:$F,"SO",'NHL2025-26Results'!$H:$H,A32)</f>
        <v>2</v>
      </c>
      <c r="F32" s="3">
        <f>(Table1[[#This Row],[W]]*2)+Table1[[#This Row],[OTL]]</f>
        <v>32</v>
      </c>
      <c r="G32">
        <f>COUNTIFS('NHL2025-26Results'!$D:$D,A32,'NHL2025-26Results'!$G:$G,A32)</f>
        <v>9</v>
      </c>
      <c r="H32">
        <f>COUNTIFS('NHL2025-26Results'!$D:$D,A32,'NHL2025-26Results'!$H:$H,A32,'NHL2025-26Results'!$F:$F,"")</f>
        <v>5</v>
      </c>
      <c r="I32">
        <f>COUNTIFS('NHL2025-26Results'!$D:$D,A32,'NHL2025-26Results'!$H:$H,A32,'NHL2025-26Results'!$F:$F,"OT") + COUNTIFS('NHL2025-26Results'!$D:$D,A32,'NHL2025-26Results'!$H:$H,A32,'NHL2025-26Results'!$F:$F,"SO")</f>
        <v>1</v>
      </c>
      <c r="J32">
        <f>COUNTIFS('NHL2025-26Results'!$B:$B,A32,'NHL2025-26Results'!$G:$G,A32)</f>
        <v>6</v>
      </c>
      <c r="K32">
        <f>COUNTIFS('NHL2025-26Results'!$B:$B,A32,'NHL2025-26Results'!$H:$H,A32,'NHL2025-26Results'!$F:$F,"")</f>
        <v>4</v>
      </c>
      <c r="L32">
        <f>COUNTIFS('NHL2025-26Results'!$B:$B,A32,'NHL2025-26Results'!$H:$H,A32,'NHL2025-26Results'!$F:$F,"OT") + COUNTIFS('NHL2025-26Results'!$B:$B,A32,'NHL2025-26Results'!$H:$H,A32,'NHL2025-26Results'!$F:$F,"SO")</f>
        <v>1</v>
      </c>
      <c r="M32" s="11">
        <f>Table1[[#This Row],[HomeWins]]/SUM(Table1[[#This Row],[HomeWins]:[HomeOTL]])</f>
        <v>0.6</v>
      </c>
      <c r="N32" s="11">
        <f>Table1[[#This Row],[AwayWins]]/SUM(Table1[[#This Row],[AwayWins]:[AwayOTL]])</f>
        <v>0.54545454545454541</v>
      </c>
      <c r="O32" s="14">
        <f>SUMIFS('NHL2025-26Results'!$E:$E,'NHL2025-26Results'!$D:$D,A32,'NHL2025-26Results'!$E:$E,"&gt;0")/COUNTIFS('NHL2025-26Results'!$D:$D,A32,'NHL2025-26Results'!$E:$E,"&gt;0")</f>
        <v>3.4</v>
      </c>
      <c r="P32" s="14">
        <f>SUMIFS('NHL2025-26Results'!$C:$C,'NHL2025-26Results'!$B:$B,A32,'NHL2025-26Results'!$C:$C,"&gt;0")/COUNTIFS('NHL2025-26Results'!$B:$B,A32,'NHL2025-26Results'!$C:$C,"&gt;0")</f>
        <v>3.7</v>
      </c>
      <c r="Q32" s="14">
        <f>SUMIFS('NHL2025-26Results'!$C:$C,'NHL2025-26Results'!$D:$D,A32,'NHL2025-26Results'!$C:$C,"&gt;0")/COUNTIFS('NHL2025-26Results'!$D:$D,A32,'NHL2025-26Results'!$C:$C,"&gt;0")</f>
        <v>2.7333333333333334</v>
      </c>
      <c r="R32" s="14">
        <f>SUMIFS('NHL2025-26Results'!$E:$E,'NHL2025-26Results'!$B:$B,A32,'NHL2025-26Results'!$E:$E,"&gt;0")/COUNTIFS('NHL2025-26Results'!$B:$B,A32,'NHL2025-26Results'!$E:$E,"&gt;0")</f>
        <v>2.8</v>
      </c>
    </row>
    <row r="33" spans="1:18" x14ac:dyDescent="0.2">
      <c r="A33" s="4" t="s">
        <v>40</v>
      </c>
      <c r="B33">
        <f>SUM(Table1[[#This Row],[W]:[OTL]])</f>
        <v>25</v>
      </c>
      <c r="C33">
        <f>COUNTIF(NHL2025_26Results[Winning Team],Standings!A33)</f>
        <v>13</v>
      </c>
      <c r="D33">
        <f>COUNTIFS('NHL2025-26Results'!$H:$H,A33,'NHL2025-26Results'!$F:$F,"")</f>
        <v>12</v>
      </c>
      <c r="E33">
        <f>COUNTIFS('NHL2025-26Results'!$F:$F,"OT",'NHL2025-26Results'!$H:$H,A33) + COUNTIFS('NHL2025-26Results'!$F:$F,"SO",'NHL2025-26Results'!$H:$H,A33)</f>
        <v>0</v>
      </c>
      <c r="F33" s="3">
        <f>(Table1[[#This Row],[W]]*2)+Table1[[#This Row],[OTL]]</f>
        <v>26</v>
      </c>
      <c r="G33">
        <f>COUNTIFS('NHL2025-26Results'!$D:$D,A33,'NHL2025-26Results'!$G:$G,A33)</f>
        <v>6</v>
      </c>
      <c r="H33">
        <f>COUNTIFS('NHL2025-26Results'!$D:$D,A33,'NHL2025-26Results'!$H:$H,A33,'NHL2025-26Results'!$F:$F,"")</f>
        <v>5</v>
      </c>
      <c r="I33">
        <f>COUNTIFS('NHL2025-26Results'!$D:$D,A33,'NHL2025-26Results'!$H:$H,A33,'NHL2025-26Results'!$F:$F,"OT") + COUNTIFS('NHL2025-26Results'!$D:$D,A33,'NHL2025-26Results'!$H:$H,A33,'NHL2025-26Results'!$F:$F,"SO")</f>
        <v>0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7</v>
      </c>
      <c r="L33">
        <f>COUNTIFS('NHL2025-26Results'!$B:$B,A33,'NHL2025-26Results'!$H:$H,A33,'NHL2025-26Results'!$F:$F,"OT") + COUNTIFS('NHL2025-26Results'!$B:$B,A33,'NHL2025-26Results'!$H:$H,A33,'NHL2025-26Results'!$F:$F,"SO")</f>
        <v>0</v>
      </c>
      <c r="M33" s="11">
        <f>Table1[[#This Row],[HomeWins]]/SUM(Table1[[#This Row],[HomeWins]:[HomeOTL]])</f>
        <v>0.54545454545454541</v>
      </c>
      <c r="N33" s="11">
        <f>Table1[[#This Row],[AwayWins]]/SUM(Table1[[#This Row],[AwayWins]:[AwayOTL]])</f>
        <v>0.5</v>
      </c>
      <c r="O33" s="14">
        <f>SUMIFS('NHL2025-26Results'!$E:$E,'NHL2025-26Results'!$D:$D,A33,'NHL2025-26Results'!$E:$E,"&gt;0")/COUNTIFS('NHL2025-26Results'!$D:$D,A33,'NHL2025-26Results'!$E:$E,"&gt;0")</f>
        <v>4.1111111111111107</v>
      </c>
      <c r="P33" s="14">
        <f>SUMIFS('NHL2025-26Results'!$C:$C,'NHL2025-26Results'!$B:$B,A33,'NHL2025-26Results'!$C:$C,"&gt;0")/COUNTIFS('NHL2025-26Results'!$B:$B,A33,'NHL2025-26Results'!$C:$C,"&gt;0")</f>
        <v>3.0769230769230771</v>
      </c>
      <c r="Q33" s="14">
        <f>SUMIFS('NHL2025-26Results'!$C:$C,'NHL2025-26Results'!$D:$D,A33,'NHL2025-26Results'!$C:$C,"&gt;0")/COUNTIFS('NHL2025-26Results'!$D:$D,A33,'NHL2025-26Results'!$C:$C,"&gt;0")</f>
        <v>2.8181818181818183</v>
      </c>
      <c r="R33" s="14">
        <f>SUMIFS('NHL2025-26Results'!$E:$E,'NHL2025-26Results'!$B:$B,A33,'NHL2025-26Results'!$E:$E,"&gt;0")/COUNTIFS('NHL2025-26Results'!$B:$B,A33,'NHL2025-26Results'!$E:$E,"&gt;0")</f>
        <v>3.1428571428571428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57691-E514-6B4C-9563-56D36E7A2768}">
  <dimension ref="A1:AA1313"/>
  <sheetViews>
    <sheetView tabSelected="1" topLeftCell="A382" zoomScale="75" workbookViewId="0">
      <selection activeCell="D425" sqref="D425"/>
    </sheetView>
  </sheetViews>
  <sheetFormatPr baseColWidth="10" defaultRowHeight="16" x14ac:dyDescent="0.2"/>
  <cols>
    <col min="1" max="2" width="14" bestFit="1" customWidth="1"/>
    <col min="3" max="4" width="20.6640625" bestFit="1" customWidth="1"/>
    <col min="5" max="5" width="41.6640625" bestFit="1" customWidth="1"/>
    <col min="6" max="6" width="20.6640625" bestFit="1" customWidth="1"/>
    <col min="7" max="7" width="17.33203125" bestFit="1" customWidth="1"/>
    <col min="8" max="8" width="18.1640625" bestFit="1" customWidth="1"/>
    <col min="9" max="9" width="17.33203125" style="13" bestFit="1" customWidth="1"/>
    <col min="10" max="10" width="9.5" bestFit="1" customWidth="1"/>
    <col min="11" max="11" width="14.33203125" style="18" bestFit="1" customWidth="1"/>
    <col min="12" max="12" width="13.6640625" bestFit="1" customWidth="1"/>
    <col min="13" max="13" width="59.6640625" bestFit="1" customWidth="1"/>
    <col min="14" max="14" width="20.6640625" bestFit="1" customWidth="1"/>
    <col min="15" max="15" width="19.6640625" bestFit="1" customWidth="1"/>
    <col min="16" max="16" width="20.6640625" bestFit="1" customWidth="1"/>
    <col min="17" max="17" width="19.6640625" style="13" bestFit="1" customWidth="1"/>
    <col min="18" max="18" width="12" bestFit="1" customWidth="1"/>
    <col min="19" max="19" width="17.5" bestFit="1" customWidth="1"/>
    <col min="20" max="20" width="16.1640625" bestFit="1" customWidth="1"/>
    <col min="21" max="21" width="20.6640625" bestFit="1" customWidth="1"/>
    <col min="22" max="22" width="20.1640625" bestFit="1" customWidth="1"/>
    <col min="23" max="23" width="21" bestFit="1" customWidth="1"/>
    <col min="24" max="24" width="12.33203125" bestFit="1" customWidth="1"/>
    <col min="25" max="25" width="15.33203125" bestFit="1" customWidth="1"/>
    <col min="26" max="27" width="20" bestFit="1" customWidth="1"/>
  </cols>
  <sheetData>
    <row r="1" spans="1:27" x14ac:dyDescent="0.2">
      <c r="A1" t="s">
        <v>272</v>
      </c>
      <c r="B1" t="s">
        <v>260</v>
      </c>
      <c r="C1" t="s">
        <v>262</v>
      </c>
      <c r="D1" t="s">
        <v>261</v>
      </c>
      <c r="E1" t="s">
        <v>273</v>
      </c>
      <c r="F1" t="s">
        <v>274</v>
      </c>
      <c r="G1" t="s">
        <v>275</v>
      </c>
      <c r="H1" t="s">
        <v>276</v>
      </c>
      <c r="I1" s="13" t="s">
        <v>263</v>
      </c>
      <c r="J1" t="s">
        <v>277</v>
      </c>
      <c r="K1" s="13" t="s">
        <v>278</v>
      </c>
      <c r="L1" t="s">
        <v>266</v>
      </c>
      <c r="M1" t="s">
        <v>279</v>
      </c>
      <c r="N1" t="s">
        <v>280</v>
      </c>
      <c r="O1" t="s">
        <v>281</v>
      </c>
      <c r="P1" t="s">
        <v>282</v>
      </c>
      <c r="Q1" s="13" t="s">
        <v>264</v>
      </c>
      <c r="R1" t="s">
        <v>283</v>
      </c>
      <c r="S1" t="s">
        <v>284</v>
      </c>
      <c r="T1" t="s">
        <v>267</v>
      </c>
      <c r="U1" t="s">
        <v>265</v>
      </c>
      <c r="V1" t="s">
        <v>271</v>
      </c>
      <c r="W1" t="s">
        <v>270</v>
      </c>
      <c r="X1" t="s">
        <v>285</v>
      </c>
      <c r="Y1" t="s">
        <v>286</v>
      </c>
      <c r="Z1" t="s">
        <v>287</v>
      </c>
      <c r="AA1" t="s">
        <v>288</v>
      </c>
    </row>
    <row r="2" spans="1:27" x14ac:dyDescent="0.2">
      <c r="A2" s="1">
        <v>45937</v>
      </c>
      <c r="B2" s="20" t="s">
        <v>365</v>
      </c>
      <c r="C2" s="20" t="s">
        <v>10</v>
      </c>
      <c r="D2" s="20" t="s">
        <v>11</v>
      </c>
      <c r="E2" s="20" t="s">
        <v>488</v>
      </c>
      <c r="F2" s="20" t="s">
        <v>10</v>
      </c>
      <c r="G2" s="20">
        <v>2</v>
      </c>
      <c r="H2" s="20">
        <v>3</v>
      </c>
      <c r="I2" s="13">
        <v>0.6</v>
      </c>
      <c r="J2" s="20" t="s">
        <v>249</v>
      </c>
      <c r="L2" s="20" t="s">
        <v>249</v>
      </c>
      <c r="M2" s="20" t="s">
        <v>489</v>
      </c>
      <c r="N2" s="20" t="s">
        <v>10</v>
      </c>
      <c r="O2" s="20">
        <v>2</v>
      </c>
      <c r="P2" s="20">
        <v>3</v>
      </c>
      <c r="Q2" s="13">
        <v>0.46595263884762023</v>
      </c>
      <c r="R2" s="20" t="s">
        <v>249</v>
      </c>
      <c r="S2" s="20">
        <v>-0.17102128695663041</v>
      </c>
      <c r="T2" s="20" t="s">
        <v>249</v>
      </c>
      <c r="U2" s="20" t="s">
        <v>11</v>
      </c>
      <c r="V2" s="20">
        <v>2</v>
      </c>
      <c r="W2" s="20">
        <v>3</v>
      </c>
      <c r="X2" s="20" t="s">
        <v>490</v>
      </c>
      <c r="Y2" s="20" t="s">
        <v>292</v>
      </c>
      <c r="Z2" s="20" t="s">
        <v>60</v>
      </c>
      <c r="AA2" s="20" t="s">
        <v>491</v>
      </c>
    </row>
    <row r="3" spans="1:27" x14ac:dyDescent="0.2">
      <c r="A3" s="1">
        <v>45937</v>
      </c>
      <c r="B3" s="20" t="s">
        <v>340</v>
      </c>
      <c r="C3" s="20" t="s">
        <v>12</v>
      </c>
      <c r="D3" s="20" t="s">
        <v>13</v>
      </c>
      <c r="E3" s="20" t="s">
        <v>492</v>
      </c>
      <c r="F3" s="20" t="s">
        <v>12</v>
      </c>
      <c r="G3" s="20">
        <v>2</v>
      </c>
      <c r="H3" s="20">
        <v>3</v>
      </c>
      <c r="I3" s="13">
        <v>0.6</v>
      </c>
      <c r="J3" s="20" t="s">
        <v>249</v>
      </c>
      <c r="L3" s="20" t="s">
        <v>248</v>
      </c>
      <c r="M3" s="20" t="s">
        <v>361</v>
      </c>
      <c r="N3" s="20" t="s">
        <v>12</v>
      </c>
      <c r="O3" s="20">
        <v>2</v>
      </c>
      <c r="P3" s="20">
        <v>3</v>
      </c>
      <c r="Q3" s="13">
        <v>0.7568449603440992</v>
      </c>
      <c r="R3" s="20" t="s">
        <v>249</v>
      </c>
      <c r="S3" s="20">
        <v>-1.920286508181027</v>
      </c>
      <c r="T3" s="20" t="s">
        <v>248</v>
      </c>
      <c r="U3" s="20" t="s">
        <v>12</v>
      </c>
      <c r="V3" s="20">
        <v>4</v>
      </c>
      <c r="W3" s="20">
        <v>1</v>
      </c>
      <c r="X3" s="20" t="s">
        <v>490</v>
      </c>
      <c r="Y3" s="20" t="s">
        <v>292</v>
      </c>
      <c r="Z3" s="20" t="s">
        <v>60</v>
      </c>
      <c r="AA3" s="20" t="s">
        <v>491</v>
      </c>
    </row>
    <row r="4" spans="1:27" x14ac:dyDescent="0.2">
      <c r="A4" s="1">
        <v>45937</v>
      </c>
      <c r="B4" s="20" t="s">
        <v>324</v>
      </c>
      <c r="C4" s="20" t="s">
        <v>14</v>
      </c>
      <c r="D4" s="20" t="s">
        <v>15</v>
      </c>
      <c r="E4" s="20" t="s">
        <v>493</v>
      </c>
      <c r="F4" s="20" t="s">
        <v>14</v>
      </c>
      <c r="G4" s="20">
        <v>2</v>
      </c>
      <c r="H4" s="20">
        <v>3</v>
      </c>
      <c r="I4" s="13">
        <v>0.6</v>
      </c>
      <c r="J4" s="20" t="s">
        <v>249</v>
      </c>
      <c r="L4" s="20" t="s">
        <v>248</v>
      </c>
      <c r="M4" s="20" t="s">
        <v>451</v>
      </c>
      <c r="N4" s="20" t="s">
        <v>14</v>
      </c>
      <c r="O4" s="20">
        <v>2</v>
      </c>
      <c r="P4" s="20">
        <v>3</v>
      </c>
      <c r="Q4" s="13">
        <v>0.51071438506573652</v>
      </c>
      <c r="R4" s="20" t="s">
        <v>249</v>
      </c>
      <c r="S4" s="20">
        <v>-9.7869013995290133E-2</v>
      </c>
      <c r="T4" s="20" t="s">
        <v>248</v>
      </c>
      <c r="U4" s="20" t="s">
        <v>14</v>
      </c>
      <c r="V4" s="20">
        <v>3</v>
      </c>
      <c r="W4" s="20">
        <v>0</v>
      </c>
      <c r="X4" s="20" t="s">
        <v>490</v>
      </c>
      <c r="Y4" s="20" t="s">
        <v>292</v>
      </c>
      <c r="Z4" s="20" t="s">
        <v>60</v>
      </c>
      <c r="AA4" s="20" t="s">
        <v>491</v>
      </c>
    </row>
    <row r="5" spans="1:27" x14ac:dyDescent="0.2">
      <c r="A5" s="1">
        <v>45938</v>
      </c>
      <c r="B5" s="20" t="s">
        <v>322</v>
      </c>
      <c r="C5" s="20" t="s">
        <v>16</v>
      </c>
      <c r="D5" s="20" t="s">
        <v>17</v>
      </c>
      <c r="E5" s="20" t="s">
        <v>494</v>
      </c>
      <c r="F5" s="20" t="s">
        <v>17</v>
      </c>
      <c r="G5" s="20">
        <v>2</v>
      </c>
      <c r="H5" s="20">
        <v>3</v>
      </c>
      <c r="I5" s="13">
        <v>0.6</v>
      </c>
      <c r="J5" s="20" t="s">
        <v>249</v>
      </c>
      <c r="L5" s="20" t="s">
        <v>249</v>
      </c>
      <c r="M5" s="20" t="s">
        <v>495</v>
      </c>
      <c r="N5" s="20" t="s">
        <v>17</v>
      </c>
      <c r="O5" s="20">
        <v>2</v>
      </c>
      <c r="P5" s="20">
        <v>3</v>
      </c>
      <c r="Q5" s="13">
        <v>0.58183430278759984</v>
      </c>
      <c r="R5" s="20" t="s">
        <v>249</v>
      </c>
      <c r="S5" s="20">
        <v>0.29793536373026153</v>
      </c>
      <c r="T5" s="20" t="s">
        <v>249</v>
      </c>
      <c r="U5" s="20" t="s">
        <v>16</v>
      </c>
      <c r="V5" s="20">
        <v>4</v>
      </c>
      <c r="W5" s="20">
        <v>3</v>
      </c>
      <c r="X5" s="20" t="s">
        <v>496</v>
      </c>
      <c r="Y5" s="20" t="s">
        <v>292</v>
      </c>
      <c r="Z5" s="20" t="s">
        <v>60</v>
      </c>
      <c r="AA5" s="20" t="s">
        <v>491</v>
      </c>
    </row>
    <row r="6" spans="1:27" x14ac:dyDescent="0.2">
      <c r="A6" s="1">
        <v>45938</v>
      </c>
      <c r="B6" s="20" t="s">
        <v>328</v>
      </c>
      <c r="C6" s="20" t="s">
        <v>18</v>
      </c>
      <c r="D6" s="20" t="s">
        <v>19</v>
      </c>
      <c r="E6" s="20" t="s">
        <v>497</v>
      </c>
      <c r="F6" s="20" t="s">
        <v>19</v>
      </c>
      <c r="G6" s="20">
        <v>2</v>
      </c>
      <c r="H6" s="20">
        <v>3</v>
      </c>
      <c r="I6" s="13">
        <v>0.6</v>
      </c>
      <c r="J6" s="20" t="s">
        <v>249</v>
      </c>
      <c r="L6" s="20" t="s">
        <v>248</v>
      </c>
      <c r="M6" s="20" t="s">
        <v>312</v>
      </c>
      <c r="N6" s="20" t="s">
        <v>19</v>
      </c>
      <c r="O6" s="20">
        <v>2</v>
      </c>
      <c r="P6" s="20">
        <v>3</v>
      </c>
      <c r="Q6" s="13">
        <v>0.48168268984656842</v>
      </c>
      <c r="R6" s="20" t="s">
        <v>249</v>
      </c>
      <c r="S6" s="20">
        <v>8.3117858780070719E-3</v>
      </c>
      <c r="T6" s="20" t="s">
        <v>248</v>
      </c>
      <c r="U6" s="20" t="s">
        <v>19</v>
      </c>
      <c r="V6" s="20">
        <v>2</v>
      </c>
      <c r="W6" s="20">
        <v>5</v>
      </c>
      <c r="X6" s="20" t="s">
        <v>490</v>
      </c>
      <c r="Y6" s="20" t="s">
        <v>292</v>
      </c>
      <c r="Z6" s="20" t="s">
        <v>60</v>
      </c>
      <c r="AA6" s="20" t="s">
        <v>491</v>
      </c>
    </row>
    <row r="7" spans="1:27" x14ac:dyDescent="0.2">
      <c r="A7" s="1">
        <v>45938</v>
      </c>
      <c r="B7" s="20" t="s">
        <v>322</v>
      </c>
      <c r="C7" s="20" t="s">
        <v>13</v>
      </c>
      <c r="D7" s="20" t="s">
        <v>20</v>
      </c>
      <c r="E7" s="20" t="s">
        <v>498</v>
      </c>
      <c r="F7" s="20" t="s">
        <v>20</v>
      </c>
      <c r="G7" s="20">
        <v>2</v>
      </c>
      <c r="H7" s="20">
        <v>3</v>
      </c>
      <c r="I7" s="13">
        <v>0.6</v>
      </c>
      <c r="J7" s="20" t="s">
        <v>249</v>
      </c>
      <c r="L7" s="20" t="s">
        <v>249</v>
      </c>
      <c r="M7" s="20" t="s">
        <v>499</v>
      </c>
      <c r="N7" s="20" t="s">
        <v>20</v>
      </c>
      <c r="O7" s="20">
        <v>2</v>
      </c>
      <c r="P7" s="20">
        <v>3</v>
      </c>
      <c r="Q7" s="13">
        <v>0.49046838767162682</v>
      </c>
      <c r="R7" s="20" t="s">
        <v>249</v>
      </c>
      <c r="S7" s="20">
        <v>0.14374351727973969</v>
      </c>
      <c r="T7" s="20" t="s">
        <v>249</v>
      </c>
      <c r="U7" s="20" t="s">
        <v>13</v>
      </c>
      <c r="V7" s="20">
        <v>6</v>
      </c>
      <c r="W7" s="20">
        <v>5</v>
      </c>
      <c r="X7" s="20" t="s">
        <v>496</v>
      </c>
      <c r="Y7" s="20" t="s">
        <v>292</v>
      </c>
      <c r="Z7" s="20" t="s">
        <v>60</v>
      </c>
      <c r="AA7" s="20" t="s">
        <v>491</v>
      </c>
    </row>
    <row r="8" spans="1:27" x14ac:dyDescent="0.2">
      <c r="A8" s="1">
        <v>45938</v>
      </c>
      <c r="B8" s="20" t="s">
        <v>334</v>
      </c>
      <c r="C8" s="20" t="s">
        <v>21</v>
      </c>
      <c r="D8" s="20" t="s">
        <v>22</v>
      </c>
      <c r="E8" s="20" t="s">
        <v>500</v>
      </c>
      <c r="F8" s="20" t="s">
        <v>22</v>
      </c>
      <c r="G8" s="20">
        <v>2</v>
      </c>
      <c r="H8" s="20">
        <v>3</v>
      </c>
      <c r="I8" s="13">
        <v>0.6</v>
      </c>
      <c r="J8" s="20" t="s">
        <v>249</v>
      </c>
      <c r="L8" s="20" t="s">
        <v>249</v>
      </c>
      <c r="M8" s="20" t="s">
        <v>501</v>
      </c>
      <c r="N8" s="20" t="s">
        <v>22</v>
      </c>
      <c r="O8" s="20">
        <v>2</v>
      </c>
      <c r="P8" s="20">
        <v>3</v>
      </c>
      <c r="Q8" s="13">
        <v>0.64816447713626768</v>
      </c>
      <c r="R8" s="20" t="s">
        <v>249</v>
      </c>
      <c r="S8" s="20">
        <v>0.710377742224651</v>
      </c>
      <c r="T8" s="20" t="s">
        <v>249</v>
      </c>
      <c r="U8" s="20" t="s">
        <v>21</v>
      </c>
      <c r="V8" s="20">
        <v>3</v>
      </c>
      <c r="W8" s="20">
        <v>1</v>
      </c>
      <c r="X8" s="20" t="s">
        <v>490</v>
      </c>
      <c r="Y8" s="20" t="s">
        <v>292</v>
      </c>
      <c r="Z8" s="20" t="s">
        <v>60</v>
      </c>
      <c r="AA8" s="20" t="s">
        <v>491</v>
      </c>
    </row>
    <row r="9" spans="1:27" x14ac:dyDescent="0.2">
      <c r="A9" s="1">
        <v>45939</v>
      </c>
      <c r="B9" s="20" t="s">
        <v>324</v>
      </c>
      <c r="C9" s="20" t="s">
        <v>28</v>
      </c>
      <c r="D9" s="20" t="s">
        <v>29</v>
      </c>
      <c r="E9" s="20" t="s">
        <v>502</v>
      </c>
      <c r="F9" s="20" t="s">
        <v>28</v>
      </c>
      <c r="G9" s="20">
        <v>2</v>
      </c>
      <c r="H9" s="20">
        <v>3</v>
      </c>
      <c r="I9" s="13">
        <v>0.6</v>
      </c>
      <c r="J9" s="20" t="s">
        <v>249</v>
      </c>
      <c r="L9" s="20" t="s">
        <v>249</v>
      </c>
      <c r="M9" s="20" t="s">
        <v>503</v>
      </c>
      <c r="N9" s="20" t="s">
        <v>28</v>
      </c>
      <c r="O9" s="20">
        <v>2</v>
      </c>
      <c r="P9" s="20">
        <v>3</v>
      </c>
      <c r="Q9" s="13">
        <v>0.54998524845144892</v>
      </c>
      <c r="R9" s="20" t="s">
        <v>249</v>
      </c>
      <c r="S9" s="20">
        <v>-0.74002713053635827</v>
      </c>
      <c r="T9" s="20" t="s">
        <v>249</v>
      </c>
      <c r="U9" s="20" t="s">
        <v>29</v>
      </c>
      <c r="V9" s="20">
        <v>1</v>
      </c>
      <c r="W9" s="20">
        <v>2</v>
      </c>
      <c r="X9" s="20" t="s">
        <v>490</v>
      </c>
      <c r="Y9" s="20" t="s">
        <v>292</v>
      </c>
      <c r="Z9" s="20" t="s">
        <v>60</v>
      </c>
      <c r="AA9" s="20" t="s">
        <v>491</v>
      </c>
    </row>
    <row r="10" spans="1:27" x14ac:dyDescent="0.2">
      <c r="A10" s="1">
        <v>45939</v>
      </c>
      <c r="B10" s="20" t="s">
        <v>324</v>
      </c>
      <c r="C10" s="20" t="s">
        <v>39</v>
      </c>
      <c r="D10" s="20" t="s">
        <v>40</v>
      </c>
      <c r="E10" s="20" t="s">
        <v>504</v>
      </c>
      <c r="F10" s="20" t="s">
        <v>39</v>
      </c>
      <c r="G10" s="20">
        <v>2</v>
      </c>
      <c r="H10" s="20">
        <v>3</v>
      </c>
      <c r="I10" s="13">
        <v>0.6</v>
      </c>
      <c r="J10" s="20" t="s">
        <v>249</v>
      </c>
      <c r="L10" s="20" t="s">
        <v>248</v>
      </c>
      <c r="M10" s="20" t="s">
        <v>398</v>
      </c>
      <c r="N10" s="20" t="s">
        <v>39</v>
      </c>
      <c r="O10" s="20">
        <v>2</v>
      </c>
      <c r="P10" s="20">
        <v>3</v>
      </c>
      <c r="Q10" s="13">
        <v>0.63834650509244772</v>
      </c>
      <c r="R10" s="20" t="s">
        <v>249</v>
      </c>
      <c r="S10" s="20">
        <v>-0.67678357671474887</v>
      </c>
      <c r="T10" s="20" t="s">
        <v>248</v>
      </c>
      <c r="U10" s="20" t="s">
        <v>39</v>
      </c>
      <c r="V10" s="20">
        <v>5</v>
      </c>
      <c r="W10" s="20">
        <v>4</v>
      </c>
      <c r="X10" s="20" t="s">
        <v>490</v>
      </c>
      <c r="Y10" s="20" t="s">
        <v>292</v>
      </c>
      <c r="Z10" s="20" t="s">
        <v>60</v>
      </c>
      <c r="AA10" s="20" t="s">
        <v>491</v>
      </c>
    </row>
    <row r="11" spans="1:27" x14ac:dyDescent="0.2">
      <c r="A11" s="1">
        <v>45939</v>
      </c>
      <c r="B11" s="20" t="s">
        <v>322</v>
      </c>
      <c r="C11" s="20" t="s">
        <v>16</v>
      </c>
      <c r="D11" s="20" t="s">
        <v>38</v>
      </c>
      <c r="E11" s="20" t="s">
        <v>368</v>
      </c>
      <c r="F11" s="20" t="s">
        <v>38</v>
      </c>
      <c r="G11" s="20">
        <v>2</v>
      </c>
      <c r="H11" s="20">
        <v>3</v>
      </c>
      <c r="I11" s="13">
        <v>0.6</v>
      </c>
      <c r="J11" s="20" t="s">
        <v>249</v>
      </c>
      <c r="L11" s="20" t="s">
        <v>248</v>
      </c>
      <c r="M11" s="20" t="s">
        <v>505</v>
      </c>
      <c r="N11" s="20" t="s">
        <v>38</v>
      </c>
      <c r="O11" s="20">
        <v>2</v>
      </c>
      <c r="P11" s="20">
        <v>3</v>
      </c>
      <c r="Q11" s="13">
        <v>0.55961697842215075</v>
      </c>
      <c r="R11" s="20" t="s">
        <v>249</v>
      </c>
      <c r="S11" s="20">
        <v>0.16800427285697919</v>
      </c>
      <c r="T11" s="20" t="s">
        <v>248</v>
      </c>
      <c r="U11" s="20" t="s">
        <v>38</v>
      </c>
      <c r="V11" s="20">
        <v>1</v>
      </c>
      <c r="W11" s="20">
        <v>5</v>
      </c>
      <c r="X11" s="20" t="s">
        <v>490</v>
      </c>
      <c r="Y11" s="20" t="s">
        <v>292</v>
      </c>
      <c r="Z11" s="20" t="s">
        <v>60</v>
      </c>
      <c r="AA11" s="20" t="s">
        <v>491</v>
      </c>
    </row>
    <row r="12" spans="1:27" x14ac:dyDescent="0.2">
      <c r="A12" s="1">
        <v>45939</v>
      </c>
      <c r="B12" s="20" t="s">
        <v>328</v>
      </c>
      <c r="C12" s="20" t="s">
        <v>36</v>
      </c>
      <c r="D12" s="20" t="s">
        <v>37</v>
      </c>
      <c r="E12" s="20" t="s">
        <v>506</v>
      </c>
      <c r="F12" s="20" t="s">
        <v>37</v>
      </c>
      <c r="G12" s="20">
        <v>2</v>
      </c>
      <c r="H12" s="20">
        <v>3</v>
      </c>
      <c r="I12" s="13">
        <v>0.6</v>
      </c>
      <c r="J12" s="20" t="s">
        <v>249</v>
      </c>
      <c r="L12" s="20" t="s">
        <v>249</v>
      </c>
      <c r="M12" s="20" t="s">
        <v>507</v>
      </c>
      <c r="N12" s="20" t="s">
        <v>37</v>
      </c>
      <c r="O12" s="20">
        <v>2</v>
      </c>
      <c r="P12" s="20">
        <v>3</v>
      </c>
      <c r="Q12" s="13">
        <v>0.69972769826475267</v>
      </c>
      <c r="R12" s="20" t="s">
        <v>249</v>
      </c>
      <c r="S12" s="20">
        <v>1.0917817465346049</v>
      </c>
      <c r="T12" s="20" t="s">
        <v>249</v>
      </c>
      <c r="U12" s="20" t="s">
        <v>36</v>
      </c>
      <c r="V12" s="20">
        <v>5</v>
      </c>
      <c r="W12" s="20">
        <v>4</v>
      </c>
      <c r="X12" s="20" t="s">
        <v>490</v>
      </c>
      <c r="Y12" s="20" t="s">
        <v>292</v>
      </c>
      <c r="Z12" s="20" t="s">
        <v>60</v>
      </c>
      <c r="AA12" s="20" t="s">
        <v>491</v>
      </c>
    </row>
    <row r="13" spans="1:27" x14ac:dyDescent="0.2">
      <c r="A13" s="1">
        <v>45939</v>
      </c>
      <c r="B13" s="20" t="s">
        <v>324</v>
      </c>
      <c r="C13" s="20" t="s">
        <v>34</v>
      </c>
      <c r="D13" s="20" t="s">
        <v>35</v>
      </c>
      <c r="E13" s="20" t="s">
        <v>508</v>
      </c>
      <c r="F13" s="20" t="s">
        <v>34</v>
      </c>
      <c r="G13" s="20">
        <v>2</v>
      </c>
      <c r="H13" s="20">
        <v>3</v>
      </c>
      <c r="I13" s="13">
        <v>0.6</v>
      </c>
      <c r="J13" s="20" t="s">
        <v>249</v>
      </c>
      <c r="L13" s="20" t="s">
        <v>248</v>
      </c>
      <c r="M13" s="20" t="s">
        <v>343</v>
      </c>
      <c r="N13" s="20" t="s">
        <v>34</v>
      </c>
      <c r="O13" s="20">
        <v>2</v>
      </c>
      <c r="P13" s="20">
        <v>3</v>
      </c>
      <c r="Q13" s="13">
        <v>0.65307521233305632</v>
      </c>
      <c r="R13" s="20" t="s">
        <v>249</v>
      </c>
      <c r="S13" s="20">
        <v>-1.2894528355750809</v>
      </c>
      <c r="T13" s="20" t="s">
        <v>248</v>
      </c>
      <c r="U13" s="20" t="s">
        <v>34</v>
      </c>
      <c r="V13" s="20">
        <v>5</v>
      </c>
      <c r="W13" s="20">
        <v>0</v>
      </c>
      <c r="X13" s="20" t="s">
        <v>490</v>
      </c>
      <c r="Y13" s="20" t="s">
        <v>292</v>
      </c>
      <c r="Z13" s="20" t="s">
        <v>60</v>
      </c>
      <c r="AA13" s="20" t="s">
        <v>491</v>
      </c>
    </row>
    <row r="14" spans="1:27" x14ac:dyDescent="0.2">
      <c r="A14" s="1">
        <v>45939</v>
      </c>
      <c r="B14" s="20" t="s">
        <v>322</v>
      </c>
      <c r="C14" s="20" t="s">
        <v>20</v>
      </c>
      <c r="D14" s="20" t="s">
        <v>33</v>
      </c>
      <c r="E14" s="20" t="s">
        <v>509</v>
      </c>
      <c r="F14" s="20" t="s">
        <v>20</v>
      </c>
      <c r="G14" s="20">
        <v>2</v>
      </c>
      <c r="H14" s="20">
        <v>3</v>
      </c>
      <c r="I14" s="13">
        <v>0.6</v>
      </c>
      <c r="J14" s="20" t="s">
        <v>249</v>
      </c>
      <c r="L14" s="20" t="s">
        <v>248</v>
      </c>
      <c r="M14" s="20" t="s">
        <v>510</v>
      </c>
      <c r="N14" s="20" t="s">
        <v>20</v>
      </c>
      <c r="O14" s="20">
        <v>2</v>
      </c>
      <c r="P14" s="20">
        <v>3</v>
      </c>
      <c r="Q14" s="13">
        <v>0.46820858159353201</v>
      </c>
      <c r="R14" s="20" t="s">
        <v>249</v>
      </c>
      <c r="S14" s="20">
        <v>-0.1569894131384445</v>
      </c>
      <c r="T14" s="20" t="s">
        <v>248</v>
      </c>
      <c r="U14" s="20" t="s">
        <v>20</v>
      </c>
      <c r="V14" s="20">
        <v>4</v>
      </c>
      <c r="W14" s="20">
        <v>3</v>
      </c>
      <c r="X14" s="20" t="s">
        <v>496</v>
      </c>
      <c r="Y14" s="20" t="s">
        <v>292</v>
      </c>
      <c r="Z14" s="20" t="s">
        <v>60</v>
      </c>
      <c r="AA14" s="20" t="s">
        <v>491</v>
      </c>
    </row>
    <row r="15" spans="1:27" x14ac:dyDescent="0.2">
      <c r="A15" s="1">
        <v>45939</v>
      </c>
      <c r="B15" s="20" t="s">
        <v>322</v>
      </c>
      <c r="C15" s="20" t="s">
        <v>31</v>
      </c>
      <c r="D15" s="20" t="s">
        <v>32</v>
      </c>
      <c r="E15" s="20" t="s">
        <v>511</v>
      </c>
      <c r="F15" s="20" t="s">
        <v>31</v>
      </c>
      <c r="G15" s="20">
        <v>2</v>
      </c>
      <c r="H15" s="20">
        <v>3</v>
      </c>
      <c r="I15" s="13">
        <v>0.6</v>
      </c>
      <c r="J15" s="20" t="s">
        <v>249</v>
      </c>
      <c r="L15" s="20" t="s">
        <v>249</v>
      </c>
      <c r="M15" s="20" t="s">
        <v>512</v>
      </c>
      <c r="N15" s="20" t="s">
        <v>31</v>
      </c>
      <c r="O15" s="20">
        <v>2</v>
      </c>
      <c r="P15" s="20">
        <v>3</v>
      </c>
      <c r="Q15" s="13">
        <v>0.57163317346074072</v>
      </c>
      <c r="R15" s="20" t="s">
        <v>249</v>
      </c>
      <c r="S15" s="20">
        <v>-0.77817950819419379</v>
      </c>
      <c r="T15" s="20" t="s">
        <v>249</v>
      </c>
      <c r="U15" s="20" t="s">
        <v>32</v>
      </c>
      <c r="V15" s="20">
        <v>1</v>
      </c>
      <c r="W15" s="20">
        <v>3</v>
      </c>
      <c r="X15" s="20" t="s">
        <v>490</v>
      </c>
      <c r="Y15" s="20" t="s">
        <v>292</v>
      </c>
      <c r="Z15" s="20" t="s">
        <v>60</v>
      </c>
      <c r="AA15" s="20" t="s">
        <v>491</v>
      </c>
    </row>
    <row r="16" spans="1:27" x14ac:dyDescent="0.2">
      <c r="A16" s="1">
        <v>45939</v>
      </c>
      <c r="B16" s="20" t="s">
        <v>328</v>
      </c>
      <c r="C16" s="20" t="s">
        <v>30</v>
      </c>
      <c r="D16" s="20" t="s">
        <v>14</v>
      </c>
      <c r="E16" s="20" t="s">
        <v>513</v>
      </c>
      <c r="F16" s="20" t="s">
        <v>14</v>
      </c>
      <c r="G16" s="20">
        <v>2</v>
      </c>
      <c r="H16" s="20">
        <v>3</v>
      </c>
      <c r="I16" s="13">
        <v>0.6</v>
      </c>
      <c r="J16" s="20" t="s">
        <v>249</v>
      </c>
      <c r="L16" s="20" t="s">
        <v>248</v>
      </c>
      <c r="M16" s="20" t="s">
        <v>451</v>
      </c>
      <c r="N16" s="20" t="s">
        <v>14</v>
      </c>
      <c r="O16" s="20">
        <v>2</v>
      </c>
      <c r="P16" s="20">
        <v>3</v>
      </c>
      <c r="Q16" s="13">
        <v>0.48472439887735758</v>
      </c>
      <c r="R16" s="20" t="s">
        <v>249</v>
      </c>
      <c r="S16" s="20">
        <v>0.14856852479900509</v>
      </c>
      <c r="T16" s="20" t="s">
        <v>248</v>
      </c>
      <c r="U16" s="20" t="s">
        <v>14</v>
      </c>
      <c r="V16" s="20">
        <v>3</v>
      </c>
      <c r="W16" s="20">
        <v>4</v>
      </c>
      <c r="X16" s="20" t="s">
        <v>490</v>
      </c>
      <c r="Y16" s="20" t="s">
        <v>292</v>
      </c>
      <c r="Z16" s="20" t="s">
        <v>60</v>
      </c>
      <c r="AA16" s="20" t="s">
        <v>491</v>
      </c>
    </row>
    <row r="17" spans="1:27" x14ac:dyDescent="0.2">
      <c r="A17" s="1">
        <v>45939</v>
      </c>
      <c r="B17" s="20" t="s">
        <v>326</v>
      </c>
      <c r="C17" s="20" t="s">
        <v>55</v>
      </c>
      <c r="D17" s="20" t="s">
        <v>12</v>
      </c>
      <c r="E17" s="20" t="s">
        <v>514</v>
      </c>
      <c r="F17" s="20" t="s">
        <v>12</v>
      </c>
      <c r="G17" s="20">
        <v>2</v>
      </c>
      <c r="H17" s="20">
        <v>3</v>
      </c>
      <c r="I17" s="13">
        <v>0.6</v>
      </c>
      <c r="J17" s="20" t="s">
        <v>249</v>
      </c>
      <c r="L17" s="20" t="s">
        <v>248</v>
      </c>
      <c r="M17" s="20" t="s">
        <v>361</v>
      </c>
      <c r="N17" s="20" t="s">
        <v>12</v>
      </c>
      <c r="O17" s="20">
        <v>2</v>
      </c>
      <c r="P17" s="20">
        <v>3</v>
      </c>
      <c r="Q17" s="13">
        <v>0.88777597679518749</v>
      </c>
      <c r="R17" s="20" t="s">
        <v>249</v>
      </c>
      <c r="S17" s="20">
        <v>2.084927696371321</v>
      </c>
      <c r="T17" s="20" t="s">
        <v>248</v>
      </c>
      <c r="U17" s="20" t="s">
        <v>12</v>
      </c>
      <c r="V17" s="20">
        <v>1</v>
      </c>
      <c r="W17" s="20">
        <v>2</v>
      </c>
      <c r="X17" s="20" t="s">
        <v>490</v>
      </c>
      <c r="Y17" s="20" t="s">
        <v>292</v>
      </c>
      <c r="Z17" s="20" t="s">
        <v>60</v>
      </c>
      <c r="AA17" s="20" t="s">
        <v>491</v>
      </c>
    </row>
    <row r="18" spans="1:27" x14ac:dyDescent="0.2">
      <c r="A18" s="1">
        <v>45939</v>
      </c>
      <c r="B18" s="20" t="s">
        <v>328</v>
      </c>
      <c r="C18" s="20" t="s">
        <v>27</v>
      </c>
      <c r="D18" s="20" t="s">
        <v>11</v>
      </c>
      <c r="E18" s="20" t="s">
        <v>420</v>
      </c>
      <c r="F18" s="20" t="s">
        <v>11</v>
      </c>
      <c r="G18" s="20">
        <v>2</v>
      </c>
      <c r="H18" s="20">
        <v>3</v>
      </c>
      <c r="I18" s="13">
        <v>0.6</v>
      </c>
      <c r="J18" s="20" t="s">
        <v>249</v>
      </c>
      <c r="L18" s="20" t="s">
        <v>248</v>
      </c>
      <c r="M18" s="20" t="s">
        <v>391</v>
      </c>
      <c r="N18" s="20" t="s">
        <v>11</v>
      </c>
      <c r="O18" s="20">
        <v>2</v>
      </c>
      <c r="P18" s="20">
        <v>3</v>
      </c>
      <c r="Q18" s="13">
        <v>0.51548371767669787</v>
      </c>
      <c r="R18" s="20" t="s">
        <v>249</v>
      </c>
      <c r="S18" s="20">
        <v>3.3022041365371957E-2</v>
      </c>
      <c r="T18" s="20" t="s">
        <v>248</v>
      </c>
      <c r="U18" s="20" t="s">
        <v>11</v>
      </c>
      <c r="V18" s="20">
        <v>1</v>
      </c>
      <c r="W18" s="20">
        <v>2</v>
      </c>
      <c r="X18" s="20" t="s">
        <v>490</v>
      </c>
      <c r="Y18" s="20" t="s">
        <v>292</v>
      </c>
      <c r="Z18" s="20" t="s">
        <v>60</v>
      </c>
      <c r="AA18" s="20" t="s">
        <v>491</v>
      </c>
    </row>
    <row r="19" spans="1:27" x14ac:dyDescent="0.2">
      <c r="A19" s="1">
        <v>45939</v>
      </c>
      <c r="B19" s="20" t="s">
        <v>328</v>
      </c>
      <c r="C19" s="20" t="s">
        <v>18</v>
      </c>
      <c r="D19" s="20" t="s">
        <v>26</v>
      </c>
      <c r="E19" s="20" t="s">
        <v>515</v>
      </c>
      <c r="F19" s="20" t="s">
        <v>18</v>
      </c>
      <c r="G19" s="20">
        <v>2</v>
      </c>
      <c r="H19" s="20">
        <v>3</v>
      </c>
      <c r="I19" s="13">
        <v>0.6</v>
      </c>
      <c r="J19" s="20" t="s">
        <v>249</v>
      </c>
      <c r="L19" s="20" t="s">
        <v>248</v>
      </c>
      <c r="M19" s="20" t="s">
        <v>360</v>
      </c>
      <c r="N19" s="20" t="s">
        <v>18</v>
      </c>
      <c r="O19" s="20">
        <v>2</v>
      </c>
      <c r="P19" s="20">
        <v>3</v>
      </c>
      <c r="Q19" s="13">
        <v>0.54644138368872142</v>
      </c>
      <c r="R19" s="20" t="s">
        <v>249</v>
      </c>
      <c r="S19" s="20">
        <v>-0.23254918783532191</v>
      </c>
      <c r="T19" s="20" t="s">
        <v>248</v>
      </c>
      <c r="U19" s="20" t="s">
        <v>18</v>
      </c>
      <c r="V19" s="20">
        <v>5</v>
      </c>
      <c r="W19" s="20">
        <v>1</v>
      </c>
      <c r="X19" s="20" t="s">
        <v>490</v>
      </c>
      <c r="Y19" s="20" t="s">
        <v>292</v>
      </c>
      <c r="Z19" s="20" t="s">
        <v>60</v>
      </c>
      <c r="AA19" s="20" t="s">
        <v>491</v>
      </c>
    </row>
    <row r="20" spans="1:27" x14ac:dyDescent="0.2">
      <c r="A20" s="1">
        <v>45939</v>
      </c>
      <c r="B20" s="20" t="s">
        <v>334</v>
      </c>
      <c r="C20" s="20" t="s">
        <v>24</v>
      </c>
      <c r="D20" s="20" t="s">
        <v>25</v>
      </c>
      <c r="E20" s="20" t="s">
        <v>516</v>
      </c>
      <c r="F20" s="20" t="s">
        <v>25</v>
      </c>
      <c r="G20" s="20">
        <v>2</v>
      </c>
      <c r="H20" s="20">
        <v>3</v>
      </c>
      <c r="I20" s="13">
        <v>0.6</v>
      </c>
      <c r="J20" s="20" t="s">
        <v>249</v>
      </c>
      <c r="L20" s="20" t="s">
        <v>248</v>
      </c>
      <c r="M20" s="20" t="s">
        <v>450</v>
      </c>
      <c r="N20" s="20" t="s">
        <v>25</v>
      </c>
      <c r="O20" s="20">
        <v>2</v>
      </c>
      <c r="P20" s="20">
        <v>3</v>
      </c>
      <c r="Q20" s="13">
        <v>0.62678039578593081</v>
      </c>
      <c r="R20" s="20" t="s">
        <v>249</v>
      </c>
      <c r="S20" s="20">
        <v>0.47404563548711087</v>
      </c>
      <c r="T20" s="20" t="s">
        <v>248</v>
      </c>
      <c r="U20" s="20" t="s">
        <v>25</v>
      </c>
      <c r="V20" s="20">
        <v>3</v>
      </c>
      <c r="W20" s="20">
        <v>6</v>
      </c>
      <c r="X20" s="20" t="s">
        <v>490</v>
      </c>
      <c r="Y20" s="20" t="s">
        <v>292</v>
      </c>
      <c r="Z20" s="20" t="s">
        <v>60</v>
      </c>
      <c r="AA20" s="20" t="s">
        <v>491</v>
      </c>
    </row>
    <row r="21" spans="1:27" x14ac:dyDescent="0.2">
      <c r="A21" s="1">
        <v>45939</v>
      </c>
      <c r="B21" s="20" t="s">
        <v>328</v>
      </c>
      <c r="C21" s="20" t="s">
        <v>15</v>
      </c>
      <c r="D21" s="20" t="s">
        <v>23</v>
      </c>
      <c r="E21" s="20" t="s">
        <v>517</v>
      </c>
      <c r="F21" s="20" t="s">
        <v>15</v>
      </c>
      <c r="G21" s="20">
        <v>2</v>
      </c>
      <c r="H21" s="20">
        <v>3</v>
      </c>
      <c r="I21" s="13">
        <v>0.6</v>
      </c>
      <c r="J21" s="20" t="s">
        <v>249</v>
      </c>
      <c r="L21" s="20" t="s">
        <v>248</v>
      </c>
      <c r="M21" s="20" t="s">
        <v>518</v>
      </c>
      <c r="N21" s="20" t="s">
        <v>15</v>
      </c>
      <c r="O21" s="20">
        <v>2</v>
      </c>
      <c r="P21" s="20">
        <v>3</v>
      </c>
      <c r="Q21" s="13">
        <v>0.56590052305735883</v>
      </c>
      <c r="R21" s="20" t="s">
        <v>249</v>
      </c>
      <c r="S21" s="20">
        <v>-0.13617570233348461</v>
      </c>
      <c r="T21" s="20" t="s">
        <v>248</v>
      </c>
      <c r="U21" s="20" t="s">
        <v>15</v>
      </c>
      <c r="V21" s="20">
        <v>4</v>
      </c>
      <c r="W21" s="20">
        <v>0</v>
      </c>
      <c r="X21" s="20" t="s">
        <v>490</v>
      </c>
      <c r="Y21" s="20" t="s">
        <v>292</v>
      </c>
      <c r="Z21" s="20" t="s">
        <v>60</v>
      </c>
      <c r="AA21" s="20" t="s">
        <v>491</v>
      </c>
    </row>
    <row r="22" spans="1:27" x14ac:dyDescent="0.2">
      <c r="A22" s="1">
        <v>45939</v>
      </c>
      <c r="B22" s="20" t="s">
        <v>328</v>
      </c>
      <c r="C22" s="20" t="s">
        <v>10</v>
      </c>
      <c r="D22" s="20" t="s">
        <v>21</v>
      </c>
      <c r="E22" s="20" t="s">
        <v>519</v>
      </c>
      <c r="F22" s="20" t="s">
        <v>21</v>
      </c>
      <c r="G22" s="20">
        <v>2</v>
      </c>
      <c r="H22" s="20">
        <v>3</v>
      </c>
      <c r="I22" s="13">
        <v>0.6</v>
      </c>
      <c r="J22" s="20" t="s">
        <v>249</v>
      </c>
      <c r="L22" s="20" t="s">
        <v>248</v>
      </c>
      <c r="M22" s="20" t="s">
        <v>465</v>
      </c>
      <c r="N22" s="20" t="s">
        <v>21</v>
      </c>
      <c r="O22" s="20">
        <v>2</v>
      </c>
      <c r="P22" s="20">
        <v>3</v>
      </c>
      <c r="Q22" s="13">
        <v>0.58364035348487175</v>
      </c>
      <c r="R22" s="20" t="s">
        <v>249</v>
      </c>
      <c r="S22" s="20">
        <v>6.3272436597444914E-3</v>
      </c>
      <c r="T22" s="20" t="s">
        <v>248</v>
      </c>
      <c r="U22" s="20" t="s">
        <v>21</v>
      </c>
      <c r="V22" s="20">
        <v>3</v>
      </c>
      <c r="W22" s="20">
        <v>4</v>
      </c>
      <c r="X22" s="20" t="s">
        <v>496</v>
      </c>
      <c r="Y22" s="20" t="s">
        <v>292</v>
      </c>
      <c r="Z22" s="20" t="s">
        <v>60</v>
      </c>
      <c r="AA22" s="20" t="s">
        <v>491</v>
      </c>
    </row>
    <row r="23" spans="1:27" x14ac:dyDescent="0.2">
      <c r="A23" s="1">
        <v>45941</v>
      </c>
      <c r="B23" s="20" t="s">
        <v>326</v>
      </c>
      <c r="C23" s="20" t="s">
        <v>39</v>
      </c>
      <c r="D23" s="20" t="s">
        <v>12</v>
      </c>
      <c r="E23" s="20" t="s">
        <v>520</v>
      </c>
      <c r="F23" s="20" t="s">
        <v>12</v>
      </c>
      <c r="G23" s="20">
        <v>2</v>
      </c>
      <c r="H23" s="20">
        <v>3</v>
      </c>
      <c r="I23" s="13">
        <v>0.6</v>
      </c>
      <c r="J23" s="20" t="s">
        <v>249</v>
      </c>
      <c r="L23" s="20" t="s">
        <v>249</v>
      </c>
      <c r="M23" s="20" t="s">
        <v>521</v>
      </c>
      <c r="N23" s="20" t="s">
        <v>12</v>
      </c>
      <c r="O23" s="20">
        <v>2</v>
      </c>
      <c r="P23" s="20">
        <v>3</v>
      </c>
      <c r="Q23" s="13">
        <v>0.69431845954718507</v>
      </c>
      <c r="R23" s="20" t="s">
        <v>249</v>
      </c>
      <c r="S23" s="20">
        <v>1.268361905495019</v>
      </c>
      <c r="T23" s="20" t="s">
        <v>249</v>
      </c>
      <c r="U23" s="20" t="s">
        <v>39</v>
      </c>
      <c r="V23" s="20">
        <v>5</v>
      </c>
      <c r="W23" s="20">
        <v>4</v>
      </c>
      <c r="X23" s="20" t="s">
        <v>496</v>
      </c>
      <c r="Y23" s="20" t="s">
        <v>292</v>
      </c>
      <c r="Z23" s="20" t="s">
        <v>60</v>
      </c>
      <c r="AA23" s="20" t="s">
        <v>491</v>
      </c>
    </row>
    <row r="24" spans="1:27" x14ac:dyDescent="0.2">
      <c r="A24" s="1">
        <v>45941</v>
      </c>
      <c r="B24" s="20" t="s">
        <v>328</v>
      </c>
      <c r="C24" s="20" t="s">
        <v>19</v>
      </c>
      <c r="D24" s="20" t="s">
        <v>26</v>
      </c>
      <c r="E24" s="20" t="s">
        <v>522</v>
      </c>
      <c r="F24" s="20" t="s">
        <v>19</v>
      </c>
      <c r="G24" s="20">
        <v>2</v>
      </c>
      <c r="H24" s="20">
        <v>3</v>
      </c>
      <c r="I24" s="13">
        <v>0.6</v>
      </c>
      <c r="J24" s="20" t="s">
        <v>249</v>
      </c>
      <c r="L24" s="20" t="s">
        <v>249</v>
      </c>
      <c r="M24" s="20" t="s">
        <v>523</v>
      </c>
      <c r="N24" s="20" t="s">
        <v>19</v>
      </c>
      <c r="O24" s="20">
        <v>2</v>
      </c>
      <c r="P24" s="20">
        <v>3</v>
      </c>
      <c r="Q24" s="13">
        <v>0.48229742461601999</v>
      </c>
      <c r="R24" s="20" t="s">
        <v>249</v>
      </c>
      <c r="S24" s="20">
        <v>-0.1909602247901665</v>
      </c>
      <c r="T24" s="20" t="s">
        <v>249</v>
      </c>
      <c r="U24" s="20" t="s">
        <v>26</v>
      </c>
      <c r="V24" s="20">
        <v>3</v>
      </c>
      <c r="W24" s="20">
        <v>6</v>
      </c>
      <c r="X24" s="20" t="s">
        <v>490</v>
      </c>
      <c r="Y24" s="20" t="s">
        <v>292</v>
      </c>
      <c r="Z24" s="20" t="s">
        <v>60</v>
      </c>
      <c r="AA24" s="20" t="s">
        <v>491</v>
      </c>
    </row>
    <row r="25" spans="1:27" x14ac:dyDescent="0.2">
      <c r="A25" s="1">
        <v>45941</v>
      </c>
      <c r="B25" s="20" t="s">
        <v>369</v>
      </c>
      <c r="C25" s="20" t="s">
        <v>35</v>
      </c>
      <c r="D25" s="20" t="s">
        <v>16</v>
      </c>
      <c r="E25" s="20" t="s">
        <v>524</v>
      </c>
      <c r="F25" s="20" t="s">
        <v>16</v>
      </c>
      <c r="G25" s="20">
        <v>2</v>
      </c>
      <c r="H25" s="20">
        <v>3</v>
      </c>
      <c r="I25" s="13">
        <v>0.6</v>
      </c>
      <c r="J25" s="20" t="s">
        <v>249</v>
      </c>
      <c r="L25" s="20" t="s">
        <v>249</v>
      </c>
      <c r="M25" s="20" t="s">
        <v>525</v>
      </c>
      <c r="N25" s="20" t="s">
        <v>16</v>
      </c>
      <c r="O25" s="20">
        <v>2</v>
      </c>
      <c r="P25" s="20">
        <v>3</v>
      </c>
      <c r="Q25" s="13">
        <v>0.58420688573856194</v>
      </c>
      <c r="R25" s="20" t="s">
        <v>249</v>
      </c>
      <c r="S25" s="20">
        <v>0.3785978418262641</v>
      </c>
      <c r="T25" s="20" t="s">
        <v>249</v>
      </c>
      <c r="U25" s="20" t="s">
        <v>35</v>
      </c>
      <c r="V25" s="20">
        <v>4</v>
      </c>
      <c r="W25" s="20">
        <v>2</v>
      </c>
      <c r="X25" s="20" t="s">
        <v>490</v>
      </c>
      <c r="Y25" s="20" t="s">
        <v>292</v>
      </c>
      <c r="Z25" s="20" t="s">
        <v>60</v>
      </c>
      <c r="AA25" s="20" t="s">
        <v>491</v>
      </c>
    </row>
    <row r="26" spans="1:27" x14ac:dyDescent="0.2">
      <c r="A26" s="1">
        <v>45941</v>
      </c>
      <c r="B26" s="20" t="s">
        <v>324</v>
      </c>
      <c r="C26" s="20" t="s">
        <v>55</v>
      </c>
      <c r="D26" s="20" t="s">
        <v>29</v>
      </c>
      <c r="E26" s="20" t="s">
        <v>526</v>
      </c>
      <c r="F26" s="20" t="s">
        <v>55</v>
      </c>
      <c r="G26" s="20">
        <v>2</v>
      </c>
      <c r="H26" s="20">
        <v>3</v>
      </c>
      <c r="I26" s="13">
        <v>0.6</v>
      </c>
      <c r="J26" s="20" t="s">
        <v>249</v>
      </c>
      <c r="L26" s="20" t="s">
        <v>248</v>
      </c>
      <c r="M26" s="20" t="s">
        <v>362</v>
      </c>
      <c r="N26" s="20" t="s">
        <v>55</v>
      </c>
      <c r="O26" s="20">
        <v>2</v>
      </c>
      <c r="P26" s="20">
        <v>3</v>
      </c>
      <c r="Q26" s="13">
        <v>0.56881229021751245</v>
      </c>
      <c r="R26" s="20" t="s">
        <v>249</v>
      </c>
      <c r="S26" s="20">
        <v>-0.93189324586571609</v>
      </c>
      <c r="T26" s="20" t="s">
        <v>248</v>
      </c>
      <c r="U26" s="20" t="s">
        <v>55</v>
      </c>
      <c r="V26" s="20">
        <v>3</v>
      </c>
      <c r="W26" s="20">
        <v>2</v>
      </c>
      <c r="X26" s="20" t="s">
        <v>496</v>
      </c>
      <c r="Y26" s="20" t="s">
        <v>292</v>
      </c>
      <c r="Z26" s="20" t="s">
        <v>60</v>
      </c>
      <c r="AA26" s="20" t="s">
        <v>491</v>
      </c>
    </row>
    <row r="27" spans="1:27" x14ac:dyDescent="0.2">
      <c r="A27" s="1">
        <v>45941</v>
      </c>
      <c r="B27" s="20" t="s">
        <v>328</v>
      </c>
      <c r="C27" s="20" t="s">
        <v>23</v>
      </c>
      <c r="D27" s="20" t="s">
        <v>21</v>
      </c>
      <c r="E27" s="20" t="s">
        <v>527</v>
      </c>
      <c r="F27" s="20" t="s">
        <v>21</v>
      </c>
      <c r="G27" s="20">
        <v>2</v>
      </c>
      <c r="H27" s="20">
        <v>3</v>
      </c>
      <c r="I27" s="13">
        <v>0.6</v>
      </c>
      <c r="J27" s="20" t="s">
        <v>249</v>
      </c>
      <c r="L27" s="20" t="s">
        <v>248</v>
      </c>
      <c r="M27" s="20" t="s">
        <v>465</v>
      </c>
      <c r="N27" s="20" t="s">
        <v>21</v>
      </c>
      <c r="O27" s="20">
        <v>2</v>
      </c>
      <c r="P27" s="20">
        <v>3</v>
      </c>
      <c r="Q27" s="13">
        <v>0.61865976048220439</v>
      </c>
      <c r="R27" s="20" t="s">
        <v>249</v>
      </c>
      <c r="S27" s="20">
        <v>0.30624142421602052</v>
      </c>
      <c r="T27" s="20" t="s">
        <v>248</v>
      </c>
      <c r="U27" s="20" t="s">
        <v>21</v>
      </c>
      <c r="V27" s="20">
        <v>1</v>
      </c>
      <c r="W27" s="20">
        <v>3</v>
      </c>
      <c r="X27" s="20" t="s">
        <v>490</v>
      </c>
      <c r="Y27" s="20" t="s">
        <v>292</v>
      </c>
      <c r="Z27" s="20" t="s">
        <v>60</v>
      </c>
      <c r="AA27" s="20" t="s">
        <v>491</v>
      </c>
    </row>
    <row r="28" spans="1:27" x14ac:dyDescent="0.2">
      <c r="A28" s="1">
        <v>45941</v>
      </c>
      <c r="B28" s="20" t="s">
        <v>322</v>
      </c>
      <c r="C28" s="20" t="s">
        <v>38</v>
      </c>
      <c r="D28" s="20" t="s">
        <v>17</v>
      </c>
      <c r="E28" s="20" t="s">
        <v>528</v>
      </c>
      <c r="F28" s="20" t="s">
        <v>17</v>
      </c>
      <c r="G28" s="20">
        <v>2</v>
      </c>
      <c r="H28" s="20">
        <v>3</v>
      </c>
      <c r="I28" s="13">
        <v>0.6</v>
      </c>
      <c r="J28" s="20" t="s">
        <v>249</v>
      </c>
      <c r="L28" s="20" t="s">
        <v>248</v>
      </c>
      <c r="M28" s="20" t="s">
        <v>529</v>
      </c>
      <c r="N28" s="20" t="s">
        <v>17</v>
      </c>
      <c r="O28" s="20">
        <v>2</v>
      </c>
      <c r="P28" s="20">
        <v>3</v>
      </c>
      <c r="Q28" s="13">
        <v>0.564476282294328</v>
      </c>
      <c r="R28" s="20" t="s">
        <v>249</v>
      </c>
      <c r="S28" s="20">
        <v>0.17983183979644479</v>
      </c>
      <c r="T28" s="20" t="s">
        <v>248</v>
      </c>
      <c r="U28" s="20" t="s">
        <v>17</v>
      </c>
      <c r="V28" s="20">
        <v>1</v>
      </c>
      <c r="W28" s="20">
        <v>3</v>
      </c>
      <c r="X28" s="20" t="s">
        <v>490</v>
      </c>
      <c r="Y28" s="20" t="s">
        <v>292</v>
      </c>
      <c r="Z28" s="20" t="s">
        <v>60</v>
      </c>
      <c r="AA28" s="20" t="s">
        <v>491</v>
      </c>
    </row>
    <row r="29" spans="1:27" x14ac:dyDescent="0.2">
      <c r="A29" s="1">
        <v>45941</v>
      </c>
      <c r="B29" s="20" t="s">
        <v>328</v>
      </c>
      <c r="C29" s="20" t="s">
        <v>27</v>
      </c>
      <c r="D29" s="20" t="s">
        <v>25</v>
      </c>
      <c r="E29" s="20" t="s">
        <v>530</v>
      </c>
      <c r="F29" s="20" t="s">
        <v>25</v>
      </c>
      <c r="G29" s="20">
        <v>2</v>
      </c>
      <c r="H29" s="20">
        <v>3</v>
      </c>
      <c r="I29" s="13">
        <v>0.6</v>
      </c>
      <c r="J29" s="20" t="s">
        <v>249</v>
      </c>
      <c r="L29" s="20" t="s">
        <v>248</v>
      </c>
      <c r="M29" s="20" t="s">
        <v>450</v>
      </c>
      <c r="N29" s="20" t="s">
        <v>25</v>
      </c>
      <c r="O29" s="20">
        <v>2</v>
      </c>
      <c r="P29" s="20">
        <v>3</v>
      </c>
      <c r="Q29" s="13">
        <v>0.64992908702910213</v>
      </c>
      <c r="R29" s="20" t="s">
        <v>249</v>
      </c>
      <c r="S29" s="20">
        <v>0.85581546975803113</v>
      </c>
      <c r="T29" s="20" t="s">
        <v>248</v>
      </c>
      <c r="U29" s="20" t="s">
        <v>25</v>
      </c>
      <c r="V29" s="20">
        <v>3</v>
      </c>
      <c r="W29" s="20">
        <v>4</v>
      </c>
      <c r="X29" s="20" t="s">
        <v>496</v>
      </c>
      <c r="Y29" s="20" t="s">
        <v>292</v>
      </c>
      <c r="Z29" s="20" t="s">
        <v>60</v>
      </c>
      <c r="AA29" s="20" t="s">
        <v>491</v>
      </c>
    </row>
    <row r="30" spans="1:27" x14ac:dyDescent="0.2">
      <c r="A30" s="1">
        <v>45941</v>
      </c>
      <c r="B30" s="20" t="s">
        <v>328</v>
      </c>
      <c r="C30" s="20" t="s">
        <v>36</v>
      </c>
      <c r="D30" s="20" t="s">
        <v>11</v>
      </c>
      <c r="E30" s="20" t="s">
        <v>531</v>
      </c>
      <c r="F30" s="20" t="s">
        <v>11</v>
      </c>
      <c r="G30" s="20">
        <v>2</v>
      </c>
      <c r="H30" s="20">
        <v>3</v>
      </c>
      <c r="I30" s="13">
        <v>0.6</v>
      </c>
      <c r="J30" s="20" t="s">
        <v>249</v>
      </c>
      <c r="L30" s="20" t="s">
        <v>248</v>
      </c>
      <c r="M30" s="20" t="s">
        <v>391</v>
      </c>
      <c r="N30" s="20" t="s">
        <v>11</v>
      </c>
      <c r="O30" s="20">
        <v>2</v>
      </c>
      <c r="P30" s="20">
        <v>3</v>
      </c>
      <c r="Q30" s="13">
        <v>0.57551984437773329</v>
      </c>
      <c r="R30" s="20" t="s">
        <v>249</v>
      </c>
      <c r="S30" s="20">
        <v>0.18415850872389461</v>
      </c>
      <c r="T30" s="20" t="s">
        <v>248</v>
      </c>
      <c r="U30" s="20" t="s">
        <v>11</v>
      </c>
      <c r="V30" s="20">
        <v>2</v>
      </c>
      <c r="W30" s="20">
        <v>6</v>
      </c>
      <c r="X30" s="20" t="s">
        <v>490</v>
      </c>
      <c r="Y30" s="20" t="s">
        <v>292</v>
      </c>
      <c r="Z30" s="20" t="s">
        <v>60</v>
      </c>
      <c r="AA30" s="20" t="s">
        <v>491</v>
      </c>
    </row>
    <row r="31" spans="1:27" x14ac:dyDescent="0.2">
      <c r="A31" s="1">
        <v>45941</v>
      </c>
      <c r="B31" s="20" t="s">
        <v>328</v>
      </c>
      <c r="C31" s="20" t="s">
        <v>18</v>
      </c>
      <c r="D31" s="20" t="s">
        <v>10</v>
      </c>
      <c r="E31" s="20" t="s">
        <v>532</v>
      </c>
      <c r="F31" s="20" t="s">
        <v>10</v>
      </c>
      <c r="G31" s="20">
        <v>2</v>
      </c>
      <c r="H31" s="20">
        <v>3</v>
      </c>
      <c r="I31" s="13">
        <v>0.6</v>
      </c>
      <c r="J31" s="20" t="s">
        <v>249</v>
      </c>
      <c r="L31" s="20" t="s">
        <v>249</v>
      </c>
      <c r="M31" s="20" t="s">
        <v>533</v>
      </c>
      <c r="N31" s="20" t="s">
        <v>10</v>
      </c>
      <c r="O31" s="20">
        <v>2</v>
      </c>
      <c r="P31" s="20">
        <v>3</v>
      </c>
      <c r="Q31" s="13">
        <v>0.53519391635483582</v>
      </c>
      <c r="R31" s="20" t="s">
        <v>249</v>
      </c>
      <c r="S31" s="20">
        <v>0.46659412201267397</v>
      </c>
      <c r="T31" s="20" t="s">
        <v>249</v>
      </c>
      <c r="U31" s="20" t="s">
        <v>18</v>
      </c>
      <c r="V31" s="20">
        <v>3</v>
      </c>
      <c r="W31" s="20">
        <v>2</v>
      </c>
      <c r="X31" s="20" t="s">
        <v>490</v>
      </c>
      <c r="Y31" s="20" t="s">
        <v>292</v>
      </c>
      <c r="Z31" s="20" t="s">
        <v>60</v>
      </c>
      <c r="AA31" s="20" t="s">
        <v>491</v>
      </c>
    </row>
    <row r="32" spans="1:27" x14ac:dyDescent="0.2">
      <c r="A32" s="1">
        <v>45941</v>
      </c>
      <c r="B32" s="20" t="s">
        <v>328</v>
      </c>
      <c r="C32" s="20" t="s">
        <v>22</v>
      </c>
      <c r="D32" s="20" t="s">
        <v>30</v>
      </c>
      <c r="E32" s="20" t="s">
        <v>471</v>
      </c>
      <c r="F32" s="20" t="s">
        <v>22</v>
      </c>
      <c r="G32" s="20">
        <v>2</v>
      </c>
      <c r="H32" s="20">
        <v>3</v>
      </c>
      <c r="I32" s="13">
        <v>0.6</v>
      </c>
      <c r="J32" s="20" t="s">
        <v>249</v>
      </c>
      <c r="L32" s="20" t="s">
        <v>248</v>
      </c>
      <c r="M32" s="20" t="s">
        <v>321</v>
      </c>
      <c r="N32" s="20" t="s">
        <v>22</v>
      </c>
      <c r="O32" s="20">
        <v>2</v>
      </c>
      <c r="P32" s="20">
        <v>3</v>
      </c>
      <c r="Q32" s="13">
        <v>0.57627735430877991</v>
      </c>
      <c r="R32" s="20" t="s">
        <v>249</v>
      </c>
      <c r="S32" s="20">
        <v>-0.63173848137192712</v>
      </c>
      <c r="T32" s="20" t="s">
        <v>248</v>
      </c>
      <c r="U32" s="20" t="s">
        <v>22</v>
      </c>
      <c r="V32" s="20">
        <v>4</v>
      </c>
      <c r="W32" s="20">
        <v>2</v>
      </c>
      <c r="X32" s="20" t="s">
        <v>490</v>
      </c>
      <c r="Y32" s="20" t="s">
        <v>292</v>
      </c>
      <c r="Z32" s="20" t="s">
        <v>60</v>
      </c>
      <c r="AA32" s="20" t="s">
        <v>491</v>
      </c>
    </row>
    <row r="33" spans="1:27" x14ac:dyDescent="0.2">
      <c r="A33" s="1">
        <v>45941</v>
      </c>
      <c r="B33" s="20" t="s">
        <v>328</v>
      </c>
      <c r="C33" s="20" t="s">
        <v>15</v>
      </c>
      <c r="D33" s="20" t="s">
        <v>14</v>
      </c>
      <c r="E33" s="20" t="s">
        <v>534</v>
      </c>
      <c r="F33" s="20" t="s">
        <v>14</v>
      </c>
      <c r="G33" s="20">
        <v>2</v>
      </c>
      <c r="H33" s="20">
        <v>3</v>
      </c>
      <c r="I33" s="13">
        <v>0.6</v>
      </c>
      <c r="J33" s="20" t="s">
        <v>249</v>
      </c>
      <c r="L33" s="20" t="s">
        <v>249</v>
      </c>
      <c r="M33" s="20" t="s">
        <v>535</v>
      </c>
      <c r="N33" s="20" t="s">
        <v>14</v>
      </c>
      <c r="O33" s="20">
        <v>2</v>
      </c>
      <c r="P33" s="20">
        <v>3</v>
      </c>
      <c r="Q33" s="13">
        <v>0.46299948327093321</v>
      </c>
      <c r="R33" s="20" t="s">
        <v>249</v>
      </c>
      <c r="S33" s="20">
        <v>0.19767051184161499</v>
      </c>
      <c r="T33" s="20" t="s">
        <v>249</v>
      </c>
      <c r="U33" s="20" t="s">
        <v>15</v>
      </c>
      <c r="V33" s="20">
        <v>6</v>
      </c>
      <c r="W33" s="20">
        <v>1</v>
      </c>
      <c r="X33" s="20" t="s">
        <v>490</v>
      </c>
      <c r="Y33" s="20" t="s">
        <v>292</v>
      </c>
      <c r="Z33" s="20" t="s">
        <v>60</v>
      </c>
      <c r="AA33" s="20" t="s">
        <v>491</v>
      </c>
    </row>
    <row r="34" spans="1:27" x14ac:dyDescent="0.2">
      <c r="A34" s="1">
        <v>45941</v>
      </c>
      <c r="B34" s="20" t="s">
        <v>322</v>
      </c>
      <c r="C34" s="20" t="s">
        <v>20</v>
      </c>
      <c r="D34" s="20" t="s">
        <v>32</v>
      </c>
      <c r="E34" s="20" t="s">
        <v>536</v>
      </c>
      <c r="F34" s="20" t="s">
        <v>20</v>
      </c>
      <c r="G34" s="20">
        <v>2</v>
      </c>
      <c r="H34" s="20">
        <v>3</v>
      </c>
      <c r="I34" s="13">
        <v>0.6</v>
      </c>
      <c r="J34" s="20" t="s">
        <v>249</v>
      </c>
      <c r="L34" s="20" t="s">
        <v>249</v>
      </c>
      <c r="M34" s="20" t="s">
        <v>537</v>
      </c>
      <c r="N34" s="20" t="s">
        <v>20</v>
      </c>
      <c r="O34" s="20">
        <v>2</v>
      </c>
      <c r="P34" s="20">
        <v>3</v>
      </c>
      <c r="Q34" s="13">
        <v>0.50145565279430626</v>
      </c>
      <c r="R34" s="20" t="s">
        <v>249</v>
      </c>
      <c r="S34" s="20">
        <v>-0.3550356560342911</v>
      </c>
      <c r="T34" s="20" t="s">
        <v>249</v>
      </c>
      <c r="U34" s="20" t="s">
        <v>32</v>
      </c>
      <c r="V34" s="20">
        <v>1</v>
      </c>
      <c r="W34" s="20">
        <v>2</v>
      </c>
      <c r="X34" s="20" t="s">
        <v>496</v>
      </c>
      <c r="Y34" s="20" t="s">
        <v>292</v>
      </c>
      <c r="Z34" s="20" t="s">
        <v>60</v>
      </c>
      <c r="AA34" s="20" t="s">
        <v>491</v>
      </c>
    </row>
    <row r="35" spans="1:27" x14ac:dyDescent="0.2">
      <c r="A35" s="1">
        <v>45941</v>
      </c>
      <c r="B35" s="20" t="s">
        <v>322</v>
      </c>
      <c r="C35" s="20" t="s">
        <v>31</v>
      </c>
      <c r="D35" s="20" t="s">
        <v>33</v>
      </c>
      <c r="E35" s="20" t="s">
        <v>538</v>
      </c>
      <c r="F35" s="20" t="s">
        <v>31</v>
      </c>
      <c r="G35" s="20">
        <v>2</v>
      </c>
      <c r="H35" s="20">
        <v>3</v>
      </c>
      <c r="I35" s="13">
        <v>0.6</v>
      </c>
      <c r="J35" s="20" t="s">
        <v>249</v>
      </c>
      <c r="L35" s="20" t="s">
        <v>248</v>
      </c>
      <c r="M35" s="20" t="s">
        <v>291</v>
      </c>
      <c r="N35" s="20" t="s">
        <v>31</v>
      </c>
      <c r="O35" s="20">
        <v>2</v>
      </c>
      <c r="P35" s="20">
        <v>3</v>
      </c>
      <c r="Q35" s="13">
        <v>0.53832735617360639</v>
      </c>
      <c r="R35" s="20" t="s">
        <v>249</v>
      </c>
      <c r="S35" s="20">
        <v>-0.58013326529834719</v>
      </c>
      <c r="T35" s="20" t="s">
        <v>248</v>
      </c>
      <c r="U35" s="20" t="s">
        <v>31</v>
      </c>
      <c r="V35" s="20">
        <v>7</v>
      </c>
      <c r="W35" s="20">
        <v>6</v>
      </c>
      <c r="X35" s="20" t="s">
        <v>496</v>
      </c>
      <c r="Y35" s="20" t="s">
        <v>292</v>
      </c>
      <c r="Z35" s="20" t="s">
        <v>60</v>
      </c>
      <c r="AA35" s="20" t="s">
        <v>491</v>
      </c>
    </row>
    <row r="36" spans="1:27" x14ac:dyDescent="0.2">
      <c r="A36" s="1">
        <v>45941</v>
      </c>
      <c r="B36" s="20" t="s">
        <v>324</v>
      </c>
      <c r="C36" s="20" t="s">
        <v>28</v>
      </c>
      <c r="D36" s="20" t="s">
        <v>34</v>
      </c>
      <c r="E36" s="20" t="s">
        <v>539</v>
      </c>
      <c r="F36" s="20" t="s">
        <v>34</v>
      </c>
      <c r="G36" s="20">
        <v>2</v>
      </c>
      <c r="H36" s="20">
        <v>3</v>
      </c>
      <c r="I36" s="13">
        <v>0.6</v>
      </c>
      <c r="J36" s="20" t="s">
        <v>249</v>
      </c>
      <c r="L36" s="20" t="s">
        <v>249</v>
      </c>
      <c r="M36" s="20" t="s">
        <v>540</v>
      </c>
      <c r="N36" s="20" t="s">
        <v>34</v>
      </c>
      <c r="O36" s="20">
        <v>2</v>
      </c>
      <c r="P36" s="20">
        <v>3</v>
      </c>
      <c r="Q36" s="13">
        <v>0.60528765183514521</v>
      </c>
      <c r="R36" s="20" t="s">
        <v>249</v>
      </c>
      <c r="S36" s="20">
        <v>0.5897653658242239</v>
      </c>
      <c r="T36" s="20" t="s">
        <v>249</v>
      </c>
      <c r="U36" s="20" t="s">
        <v>28</v>
      </c>
      <c r="V36" s="20">
        <v>7</v>
      </c>
      <c r="W36" s="20">
        <v>4</v>
      </c>
      <c r="X36" s="20" t="s">
        <v>490</v>
      </c>
      <c r="Y36" s="20" t="s">
        <v>292</v>
      </c>
      <c r="Z36" s="20" t="s">
        <v>60</v>
      </c>
      <c r="AA36" s="20" t="s">
        <v>491</v>
      </c>
    </row>
    <row r="37" spans="1:27" x14ac:dyDescent="0.2">
      <c r="A37" s="1">
        <v>45941</v>
      </c>
      <c r="B37" s="20" t="s">
        <v>328</v>
      </c>
      <c r="C37" s="20" t="s">
        <v>24</v>
      </c>
      <c r="D37" s="20" t="s">
        <v>37</v>
      </c>
      <c r="E37" s="20" t="s">
        <v>310</v>
      </c>
      <c r="F37" s="20" t="s">
        <v>37</v>
      </c>
      <c r="G37" s="20">
        <v>2</v>
      </c>
      <c r="H37" s="20">
        <v>3</v>
      </c>
      <c r="I37" s="13">
        <v>0.6</v>
      </c>
      <c r="J37" s="20" t="s">
        <v>249</v>
      </c>
      <c r="L37" s="20" t="s">
        <v>249</v>
      </c>
      <c r="M37" s="20" t="s">
        <v>541</v>
      </c>
      <c r="N37" s="20" t="s">
        <v>37</v>
      </c>
      <c r="O37" s="20">
        <v>2</v>
      </c>
      <c r="P37" s="20">
        <v>3</v>
      </c>
      <c r="Q37" s="13">
        <v>0.61698109453658201</v>
      </c>
      <c r="R37" s="20" t="s">
        <v>249</v>
      </c>
      <c r="S37" s="20">
        <v>0.5588754449051625</v>
      </c>
      <c r="T37" s="20" t="s">
        <v>249</v>
      </c>
      <c r="U37" s="20" t="s">
        <v>24</v>
      </c>
      <c r="V37" s="20">
        <v>5</v>
      </c>
      <c r="W37" s="20">
        <v>3</v>
      </c>
      <c r="X37" s="20" t="s">
        <v>490</v>
      </c>
      <c r="Y37" s="20" t="s">
        <v>292</v>
      </c>
      <c r="Z37" s="20" t="s">
        <v>60</v>
      </c>
      <c r="AA37" s="20" t="s">
        <v>491</v>
      </c>
    </row>
    <row r="38" spans="1:27" x14ac:dyDescent="0.2">
      <c r="A38" s="1">
        <v>45941</v>
      </c>
      <c r="B38" s="20" t="s">
        <v>542</v>
      </c>
      <c r="C38" s="20" t="s">
        <v>13</v>
      </c>
      <c r="D38" s="20" t="s">
        <v>40</v>
      </c>
      <c r="E38" s="20" t="s">
        <v>543</v>
      </c>
      <c r="F38" s="20" t="s">
        <v>40</v>
      </c>
      <c r="G38" s="20">
        <v>2</v>
      </c>
      <c r="H38" s="20">
        <v>3</v>
      </c>
      <c r="I38" s="13">
        <v>0.6</v>
      </c>
      <c r="J38" s="20" t="s">
        <v>249</v>
      </c>
      <c r="L38" s="20" t="s">
        <v>248</v>
      </c>
      <c r="M38" s="20" t="s">
        <v>315</v>
      </c>
      <c r="N38" s="20" t="s">
        <v>40</v>
      </c>
      <c r="O38" s="20">
        <v>2</v>
      </c>
      <c r="P38" s="20">
        <v>3</v>
      </c>
      <c r="Q38" s="13">
        <v>0.48494112191888922</v>
      </c>
      <c r="R38" s="20" t="s">
        <v>249</v>
      </c>
      <c r="S38" s="20">
        <v>7.4942523817584594E-2</v>
      </c>
      <c r="T38" s="20" t="s">
        <v>248</v>
      </c>
      <c r="U38" s="20" t="s">
        <v>40</v>
      </c>
      <c r="V38" s="20">
        <v>2</v>
      </c>
      <c r="W38" s="20">
        <v>3</v>
      </c>
      <c r="X38" s="20" t="s">
        <v>490</v>
      </c>
      <c r="Y38" s="20" t="s">
        <v>292</v>
      </c>
      <c r="Z38" s="20" t="s">
        <v>60</v>
      </c>
      <c r="AA38" s="20" t="s">
        <v>491</v>
      </c>
    </row>
    <row r="39" spans="1:27" x14ac:dyDescent="0.2">
      <c r="A39" s="1">
        <v>45942</v>
      </c>
      <c r="B39" s="20" t="s">
        <v>328</v>
      </c>
      <c r="C39" s="20" t="s">
        <v>22</v>
      </c>
      <c r="D39" s="20" t="s">
        <v>15</v>
      </c>
      <c r="E39" s="20" t="s">
        <v>544</v>
      </c>
      <c r="F39" s="20" t="s">
        <v>22</v>
      </c>
      <c r="G39" s="20">
        <v>2</v>
      </c>
      <c r="H39" s="20">
        <v>3</v>
      </c>
      <c r="I39" s="13">
        <v>0.6</v>
      </c>
      <c r="J39" s="20" t="s">
        <v>249</v>
      </c>
      <c r="L39" s="20" t="s">
        <v>248</v>
      </c>
      <c r="M39" s="20" t="s">
        <v>321</v>
      </c>
      <c r="N39" s="20" t="s">
        <v>22</v>
      </c>
      <c r="O39" s="20">
        <v>2</v>
      </c>
      <c r="P39" s="20">
        <v>3</v>
      </c>
      <c r="Q39" s="13">
        <v>0.58201073598961128</v>
      </c>
      <c r="R39" s="20" t="s">
        <v>249</v>
      </c>
      <c r="S39" s="20">
        <v>-0.68084046841453705</v>
      </c>
      <c r="T39" s="20" t="s">
        <v>248</v>
      </c>
      <c r="U39" s="20" t="s">
        <v>22</v>
      </c>
      <c r="V39" s="20">
        <v>1</v>
      </c>
      <c r="W39" s="20">
        <v>0</v>
      </c>
      <c r="X39" s="20" t="s">
        <v>490</v>
      </c>
      <c r="Y39" s="20" t="s">
        <v>292</v>
      </c>
      <c r="Z39" s="20" t="s">
        <v>60</v>
      </c>
      <c r="AA39" s="20" t="s">
        <v>491</v>
      </c>
    </row>
    <row r="40" spans="1:27" x14ac:dyDescent="0.2">
      <c r="A40" s="1">
        <v>45943</v>
      </c>
      <c r="B40" s="20" t="s">
        <v>334</v>
      </c>
      <c r="C40" s="20" t="s">
        <v>35</v>
      </c>
      <c r="D40" s="20" t="s">
        <v>38</v>
      </c>
      <c r="E40" s="20" t="s">
        <v>545</v>
      </c>
      <c r="F40" s="20" t="s">
        <v>38</v>
      </c>
      <c r="G40" s="20">
        <v>2</v>
      </c>
      <c r="H40" s="20">
        <v>3</v>
      </c>
      <c r="I40" s="13">
        <v>0.6</v>
      </c>
      <c r="J40" s="20" t="s">
        <v>249</v>
      </c>
      <c r="L40" s="20" t="s">
        <v>249</v>
      </c>
      <c r="M40" s="20" t="s">
        <v>546</v>
      </c>
      <c r="N40" s="20" t="s">
        <v>38</v>
      </c>
      <c r="O40" s="20">
        <v>2</v>
      </c>
      <c r="P40" s="20">
        <v>3</v>
      </c>
      <c r="Q40" s="13">
        <v>0.59799721524144278</v>
      </c>
      <c r="R40" s="20" t="s">
        <v>249</v>
      </c>
      <c r="S40" s="20">
        <v>0.49670136576008078</v>
      </c>
      <c r="T40" s="20" t="s">
        <v>249</v>
      </c>
      <c r="U40" s="20" t="s">
        <v>35</v>
      </c>
      <c r="V40" s="20">
        <v>5</v>
      </c>
      <c r="W40" s="20">
        <v>2</v>
      </c>
      <c r="X40" s="20" t="s">
        <v>490</v>
      </c>
      <c r="Y40" s="20" t="s">
        <v>292</v>
      </c>
      <c r="Z40" s="20" t="s">
        <v>60</v>
      </c>
      <c r="AA40" s="20" t="s">
        <v>491</v>
      </c>
    </row>
    <row r="41" spans="1:27" x14ac:dyDescent="0.2">
      <c r="A41" s="1">
        <v>45943</v>
      </c>
      <c r="B41" s="20" t="s">
        <v>369</v>
      </c>
      <c r="C41" s="20" t="s">
        <v>26</v>
      </c>
      <c r="D41" s="20" t="s">
        <v>19</v>
      </c>
      <c r="E41" s="20" t="s">
        <v>547</v>
      </c>
      <c r="F41" s="20" t="s">
        <v>19</v>
      </c>
      <c r="G41" s="20">
        <v>2</v>
      </c>
      <c r="H41" s="20">
        <v>3</v>
      </c>
      <c r="I41" s="13">
        <v>0.6</v>
      </c>
      <c r="J41" s="20" t="s">
        <v>249</v>
      </c>
      <c r="L41" s="20" t="s">
        <v>249</v>
      </c>
      <c r="M41" s="20" t="s">
        <v>523</v>
      </c>
      <c r="N41" s="20" t="s">
        <v>19</v>
      </c>
      <c r="O41" s="20">
        <v>2</v>
      </c>
      <c r="P41" s="20">
        <v>3</v>
      </c>
      <c r="Q41" s="13">
        <v>0.5739507224545598</v>
      </c>
      <c r="R41" s="20" t="s">
        <v>249</v>
      </c>
      <c r="S41" s="20">
        <v>0.29076172263649142</v>
      </c>
      <c r="T41" s="20" t="s">
        <v>249</v>
      </c>
      <c r="U41" s="20" t="s">
        <v>26</v>
      </c>
      <c r="V41" s="20">
        <v>3</v>
      </c>
      <c r="W41" s="20">
        <v>2</v>
      </c>
      <c r="X41" s="20" t="s">
        <v>490</v>
      </c>
      <c r="Y41" s="20" t="s">
        <v>292</v>
      </c>
      <c r="Z41" s="20" t="s">
        <v>60</v>
      </c>
      <c r="AA41" s="20" t="s">
        <v>491</v>
      </c>
    </row>
    <row r="42" spans="1:27" x14ac:dyDescent="0.2">
      <c r="A42" s="1">
        <v>45943</v>
      </c>
      <c r="B42" s="20" t="s">
        <v>328</v>
      </c>
      <c r="C42" s="20" t="s">
        <v>11</v>
      </c>
      <c r="D42" s="20" t="s">
        <v>27</v>
      </c>
      <c r="E42" s="20" t="s">
        <v>548</v>
      </c>
      <c r="F42" s="20" t="s">
        <v>27</v>
      </c>
      <c r="G42" s="20">
        <v>2</v>
      </c>
      <c r="H42" s="20">
        <v>3</v>
      </c>
      <c r="I42" s="13">
        <v>0.6</v>
      </c>
      <c r="J42" s="20" t="s">
        <v>249</v>
      </c>
      <c r="L42" s="20" t="s">
        <v>248</v>
      </c>
      <c r="M42" s="20" t="s">
        <v>393</v>
      </c>
      <c r="N42" s="20" t="s">
        <v>27</v>
      </c>
      <c r="O42" s="20">
        <v>2</v>
      </c>
      <c r="P42" s="20">
        <v>3</v>
      </c>
      <c r="Q42" s="13">
        <v>0.56181410763720108</v>
      </c>
      <c r="R42" s="20" t="s">
        <v>249</v>
      </c>
      <c r="S42" s="20">
        <v>6.6779456480953014E-2</v>
      </c>
      <c r="T42" s="20" t="s">
        <v>248</v>
      </c>
      <c r="U42" s="20" t="s">
        <v>27</v>
      </c>
      <c r="V42" s="20">
        <v>2</v>
      </c>
      <c r="W42" s="20">
        <v>5</v>
      </c>
      <c r="X42" s="20" t="s">
        <v>490</v>
      </c>
      <c r="Y42" s="20" t="s">
        <v>292</v>
      </c>
      <c r="Z42" s="20" t="s">
        <v>60</v>
      </c>
      <c r="AA42" s="20" t="s">
        <v>491</v>
      </c>
    </row>
    <row r="43" spans="1:27" x14ac:dyDescent="0.2">
      <c r="A43" s="1">
        <v>45943</v>
      </c>
      <c r="B43" s="20" t="s">
        <v>347</v>
      </c>
      <c r="C43" s="20" t="s">
        <v>29</v>
      </c>
      <c r="D43" s="20" t="s">
        <v>36</v>
      </c>
      <c r="E43" s="20" t="s">
        <v>549</v>
      </c>
      <c r="F43" s="20" t="s">
        <v>36</v>
      </c>
      <c r="G43" s="20">
        <v>2</v>
      </c>
      <c r="H43" s="20">
        <v>3</v>
      </c>
      <c r="I43" s="13">
        <v>0.6</v>
      </c>
      <c r="J43" s="20" t="s">
        <v>249</v>
      </c>
      <c r="L43" s="20" t="s">
        <v>249</v>
      </c>
      <c r="M43" s="20" t="s">
        <v>550</v>
      </c>
      <c r="N43" s="20" t="s">
        <v>36</v>
      </c>
      <c r="O43" s="20">
        <v>2</v>
      </c>
      <c r="P43" s="20">
        <v>3</v>
      </c>
      <c r="Q43" s="13">
        <v>0.64798566443947669</v>
      </c>
      <c r="R43" s="20" t="s">
        <v>249</v>
      </c>
      <c r="S43" s="20">
        <v>0.90344198186838476</v>
      </c>
      <c r="T43" s="20" t="s">
        <v>249</v>
      </c>
      <c r="U43" s="20" t="s">
        <v>29</v>
      </c>
      <c r="V43" s="20">
        <v>4</v>
      </c>
      <c r="W43" s="20">
        <v>1</v>
      </c>
      <c r="X43" s="20" t="s">
        <v>490</v>
      </c>
      <c r="Y43" s="20" t="s">
        <v>292</v>
      </c>
      <c r="Z43" s="20" t="s">
        <v>60</v>
      </c>
      <c r="AA43" s="20" t="s">
        <v>491</v>
      </c>
    </row>
    <row r="44" spans="1:27" x14ac:dyDescent="0.2">
      <c r="A44" s="1">
        <v>45943</v>
      </c>
      <c r="B44" s="20" t="s">
        <v>347</v>
      </c>
      <c r="C44" s="20" t="s">
        <v>40</v>
      </c>
      <c r="D44" s="20" t="s">
        <v>30</v>
      </c>
      <c r="E44" s="20" t="s">
        <v>551</v>
      </c>
      <c r="F44" s="20" t="s">
        <v>30</v>
      </c>
      <c r="G44" s="20">
        <v>2</v>
      </c>
      <c r="H44" s="20">
        <v>3</v>
      </c>
      <c r="I44" s="13">
        <v>0.6</v>
      </c>
      <c r="J44" s="20" t="s">
        <v>249</v>
      </c>
      <c r="L44" s="20" t="s">
        <v>249</v>
      </c>
      <c r="M44" s="20" t="s">
        <v>552</v>
      </c>
      <c r="N44" s="20" t="s">
        <v>30</v>
      </c>
      <c r="O44" s="20">
        <v>2</v>
      </c>
      <c r="P44" s="20">
        <v>3</v>
      </c>
      <c r="Q44" s="13">
        <v>0.53350065759227305</v>
      </c>
      <c r="R44" s="20" t="s">
        <v>249</v>
      </c>
      <c r="S44" s="20">
        <v>0.1222105752646214</v>
      </c>
      <c r="T44" s="20" t="s">
        <v>249</v>
      </c>
      <c r="U44" s="20" t="s">
        <v>40</v>
      </c>
      <c r="V44" s="20">
        <v>5</v>
      </c>
      <c r="W44" s="20">
        <v>2</v>
      </c>
      <c r="X44" s="20" t="s">
        <v>490</v>
      </c>
      <c r="Y44" s="20" t="s">
        <v>292</v>
      </c>
      <c r="Z44" s="20" t="s">
        <v>60</v>
      </c>
      <c r="AA44" s="20" t="s">
        <v>491</v>
      </c>
    </row>
    <row r="45" spans="1:27" x14ac:dyDescent="0.2">
      <c r="A45" s="1">
        <v>45943</v>
      </c>
      <c r="B45" s="20" t="s">
        <v>328</v>
      </c>
      <c r="C45" s="20" t="s">
        <v>24</v>
      </c>
      <c r="D45" s="20" t="s">
        <v>28</v>
      </c>
      <c r="E45" s="20" t="s">
        <v>553</v>
      </c>
      <c r="F45" s="20" t="s">
        <v>24</v>
      </c>
      <c r="G45" s="20">
        <v>2</v>
      </c>
      <c r="H45" s="20">
        <v>3</v>
      </c>
      <c r="I45" s="13">
        <v>0.6</v>
      </c>
      <c r="J45" s="20" t="s">
        <v>249</v>
      </c>
      <c r="L45" s="20" t="s">
        <v>248</v>
      </c>
      <c r="M45" s="20" t="s">
        <v>449</v>
      </c>
      <c r="N45" s="20" t="s">
        <v>24</v>
      </c>
      <c r="O45" s="20">
        <v>2</v>
      </c>
      <c r="P45" s="20">
        <v>3</v>
      </c>
      <c r="Q45" s="13">
        <v>0.54459505558641363</v>
      </c>
      <c r="R45" s="20" t="s">
        <v>249</v>
      </c>
      <c r="S45" s="20">
        <v>-0.54661890619198206</v>
      </c>
      <c r="T45" s="20" t="s">
        <v>248</v>
      </c>
      <c r="U45" s="20" t="s">
        <v>24</v>
      </c>
      <c r="V45" s="20">
        <v>3</v>
      </c>
      <c r="W45" s="20">
        <v>2</v>
      </c>
      <c r="X45" s="20" t="s">
        <v>490</v>
      </c>
      <c r="Y45" s="20" t="s">
        <v>292</v>
      </c>
      <c r="Z45" s="20" t="s">
        <v>60</v>
      </c>
      <c r="AA45" s="20" t="s">
        <v>491</v>
      </c>
    </row>
    <row r="46" spans="1:27" x14ac:dyDescent="0.2">
      <c r="A46" s="1">
        <v>45943</v>
      </c>
      <c r="B46" s="20" t="s">
        <v>416</v>
      </c>
      <c r="C46" s="20" t="s">
        <v>55</v>
      </c>
      <c r="D46" s="20" t="s">
        <v>10</v>
      </c>
      <c r="E46" s="20" t="s">
        <v>554</v>
      </c>
      <c r="F46" s="20" t="s">
        <v>10</v>
      </c>
      <c r="G46" s="20">
        <v>2</v>
      </c>
      <c r="H46" s="20">
        <v>3</v>
      </c>
      <c r="I46" s="13">
        <v>0.6</v>
      </c>
      <c r="J46" s="20" t="s">
        <v>249</v>
      </c>
      <c r="L46" s="20" t="s">
        <v>248</v>
      </c>
      <c r="M46" s="20" t="s">
        <v>303</v>
      </c>
      <c r="N46" s="20" t="s">
        <v>10</v>
      </c>
      <c r="O46" s="20">
        <v>2</v>
      </c>
      <c r="P46" s="20">
        <v>3</v>
      </c>
      <c r="Q46" s="13">
        <v>0.57232372932370801</v>
      </c>
      <c r="R46" s="20" t="s">
        <v>249</v>
      </c>
      <c r="S46" s="20">
        <v>0.27682778276003128</v>
      </c>
      <c r="T46" s="20" t="s">
        <v>248</v>
      </c>
      <c r="U46" s="20" t="s">
        <v>10</v>
      </c>
      <c r="V46" s="20">
        <v>1</v>
      </c>
      <c r="W46" s="20">
        <v>3</v>
      </c>
      <c r="X46" s="20" t="s">
        <v>490</v>
      </c>
      <c r="Y46" s="20" t="s">
        <v>292</v>
      </c>
      <c r="Z46" s="20" t="s">
        <v>60</v>
      </c>
      <c r="AA46" s="20" t="s">
        <v>491</v>
      </c>
    </row>
    <row r="47" spans="1:27" x14ac:dyDescent="0.2">
      <c r="A47" s="1">
        <v>45943</v>
      </c>
      <c r="B47" s="20" t="s">
        <v>555</v>
      </c>
      <c r="C47" s="20" t="s">
        <v>12</v>
      </c>
      <c r="D47" s="20" t="s">
        <v>23</v>
      </c>
      <c r="E47" s="20" t="s">
        <v>556</v>
      </c>
      <c r="F47" s="20" t="s">
        <v>12</v>
      </c>
      <c r="G47" s="20">
        <v>2</v>
      </c>
      <c r="H47" s="20">
        <v>3</v>
      </c>
      <c r="I47" s="13">
        <v>0.6</v>
      </c>
      <c r="J47" s="20" t="s">
        <v>249</v>
      </c>
      <c r="L47" s="20" t="s">
        <v>248</v>
      </c>
      <c r="M47" s="20" t="s">
        <v>361</v>
      </c>
      <c r="N47" s="20" t="s">
        <v>12</v>
      </c>
      <c r="O47" s="20">
        <v>2</v>
      </c>
      <c r="P47" s="20">
        <v>3</v>
      </c>
      <c r="Q47" s="13">
        <v>0.76276408823416275</v>
      </c>
      <c r="R47" s="20" t="s">
        <v>249</v>
      </c>
      <c r="S47" s="20">
        <v>-2.0581133452444029</v>
      </c>
      <c r="T47" s="20" t="s">
        <v>248</v>
      </c>
      <c r="U47" s="20" t="s">
        <v>12</v>
      </c>
      <c r="V47" s="20">
        <v>3</v>
      </c>
      <c r="W47" s="20">
        <v>1</v>
      </c>
      <c r="X47" s="20" t="s">
        <v>490</v>
      </c>
      <c r="Y47" s="20" t="s">
        <v>292</v>
      </c>
      <c r="Z47" s="20" t="s">
        <v>60</v>
      </c>
      <c r="AA47" s="20" t="s">
        <v>491</v>
      </c>
    </row>
    <row r="48" spans="1:27" x14ac:dyDescent="0.2">
      <c r="A48" s="1">
        <v>45943</v>
      </c>
      <c r="B48" s="20" t="s">
        <v>347</v>
      </c>
      <c r="C48" s="20" t="s">
        <v>37</v>
      </c>
      <c r="D48" s="20" t="s">
        <v>21</v>
      </c>
      <c r="E48" s="20" t="s">
        <v>557</v>
      </c>
      <c r="F48" s="20" t="s">
        <v>37</v>
      </c>
      <c r="G48" s="20">
        <v>2</v>
      </c>
      <c r="H48" s="20">
        <v>3</v>
      </c>
      <c r="I48" s="13">
        <v>0.6</v>
      </c>
      <c r="J48" s="20" t="s">
        <v>249</v>
      </c>
      <c r="L48" s="20" t="s">
        <v>248</v>
      </c>
      <c r="M48" s="20" t="s">
        <v>395</v>
      </c>
      <c r="N48" s="20" t="s">
        <v>37</v>
      </c>
      <c r="O48" s="20">
        <v>2</v>
      </c>
      <c r="P48" s="20">
        <v>3</v>
      </c>
      <c r="Q48" s="13">
        <v>0.58853461032201404</v>
      </c>
      <c r="R48" s="20" t="s">
        <v>249</v>
      </c>
      <c r="S48" s="20">
        <v>-0.68037395827117342</v>
      </c>
      <c r="T48" s="20" t="s">
        <v>248</v>
      </c>
      <c r="U48" s="20" t="s">
        <v>37</v>
      </c>
      <c r="V48" s="20">
        <v>4</v>
      </c>
      <c r="W48" s="20">
        <v>3</v>
      </c>
      <c r="X48" s="20" t="s">
        <v>490</v>
      </c>
      <c r="Y48" s="20" t="s">
        <v>292</v>
      </c>
      <c r="Z48" s="20" t="s">
        <v>60</v>
      </c>
      <c r="AA48" s="20" t="s">
        <v>491</v>
      </c>
    </row>
    <row r="49" spans="1:27" x14ac:dyDescent="0.2">
      <c r="A49" s="1">
        <v>45943</v>
      </c>
      <c r="B49" s="20" t="s">
        <v>324</v>
      </c>
      <c r="C49" s="20" t="s">
        <v>13</v>
      </c>
      <c r="D49" s="20" t="s">
        <v>34</v>
      </c>
      <c r="E49" s="20" t="s">
        <v>558</v>
      </c>
      <c r="F49" s="20" t="s">
        <v>34</v>
      </c>
      <c r="G49" s="20">
        <v>2</v>
      </c>
      <c r="H49" s="20">
        <v>3</v>
      </c>
      <c r="I49" s="13">
        <v>0.6</v>
      </c>
      <c r="J49" s="20" t="s">
        <v>249</v>
      </c>
      <c r="L49" s="20" t="s">
        <v>248</v>
      </c>
      <c r="M49" s="20" t="s">
        <v>343</v>
      </c>
      <c r="N49" s="20" t="s">
        <v>34</v>
      </c>
      <c r="O49" s="20">
        <v>2</v>
      </c>
      <c r="P49" s="20">
        <v>3</v>
      </c>
      <c r="Q49" s="13">
        <v>0.51257382978220933</v>
      </c>
      <c r="R49" s="20" t="s">
        <v>249</v>
      </c>
      <c r="S49" s="20">
        <v>0.33305956015089733</v>
      </c>
      <c r="T49" s="20" t="s">
        <v>248</v>
      </c>
      <c r="U49" s="20" t="s">
        <v>34</v>
      </c>
      <c r="V49" s="20">
        <v>3</v>
      </c>
      <c r="W49" s="20">
        <v>4</v>
      </c>
      <c r="X49" s="20" t="s">
        <v>496</v>
      </c>
      <c r="Y49" s="20" t="s">
        <v>292</v>
      </c>
      <c r="Z49" s="20" t="s">
        <v>60</v>
      </c>
      <c r="AA49" s="20" t="s">
        <v>491</v>
      </c>
    </row>
    <row r="50" spans="1:27" x14ac:dyDescent="0.2">
      <c r="A50" s="1">
        <v>45944</v>
      </c>
      <c r="B50" s="20" t="s">
        <v>322</v>
      </c>
      <c r="C50" s="20" t="s">
        <v>25</v>
      </c>
      <c r="D50" s="20" t="s">
        <v>33</v>
      </c>
      <c r="E50" s="20" t="s">
        <v>559</v>
      </c>
      <c r="F50" s="20" t="s">
        <v>25</v>
      </c>
      <c r="G50" s="20">
        <v>2</v>
      </c>
      <c r="H50" s="20">
        <v>3</v>
      </c>
      <c r="I50" s="13">
        <v>0.6</v>
      </c>
      <c r="J50" s="20" t="s">
        <v>249</v>
      </c>
      <c r="L50" s="20" t="s">
        <v>248</v>
      </c>
      <c r="M50" s="20" t="s">
        <v>450</v>
      </c>
      <c r="N50" s="20" t="s">
        <v>25</v>
      </c>
      <c r="O50" s="20">
        <v>2</v>
      </c>
      <c r="P50" s="20">
        <v>3</v>
      </c>
      <c r="Q50" s="13">
        <v>0.61902574000297383</v>
      </c>
      <c r="R50" s="20" t="s">
        <v>249</v>
      </c>
      <c r="S50" s="20">
        <v>-0.82710538078763363</v>
      </c>
      <c r="T50" s="20" t="s">
        <v>248</v>
      </c>
      <c r="U50" s="20" t="s">
        <v>25</v>
      </c>
      <c r="V50" s="20">
        <v>5</v>
      </c>
      <c r="W50" s="20">
        <v>1</v>
      </c>
      <c r="X50" s="20" t="s">
        <v>490</v>
      </c>
      <c r="Y50" s="20" t="s">
        <v>292</v>
      </c>
      <c r="Z50" s="20" t="s">
        <v>60</v>
      </c>
      <c r="AA50" s="20" t="s">
        <v>491</v>
      </c>
    </row>
    <row r="51" spans="1:27" x14ac:dyDescent="0.2">
      <c r="A51" s="1">
        <v>45944</v>
      </c>
      <c r="B51" s="20" t="s">
        <v>328</v>
      </c>
      <c r="C51" s="20" t="s">
        <v>29</v>
      </c>
      <c r="D51" s="20" t="s">
        <v>19</v>
      </c>
      <c r="E51" s="20" t="s">
        <v>560</v>
      </c>
      <c r="F51" s="20" t="s">
        <v>19</v>
      </c>
      <c r="G51" s="20">
        <v>2</v>
      </c>
      <c r="H51" s="20">
        <v>3</v>
      </c>
      <c r="I51" s="13">
        <v>0.6</v>
      </c>
      <c r="J51" s="20" t="s">
        <v>249</v>
      </c>
      <c r="L51" s="20" t="s">
        <v>248</v>
      </c>
      <c r="M51" s="20" t="s">
        <v>312</v>
      </c>
      <c r="N51" s="20" t="s">
        <v>19</v>
      </c>
      <c r="O51" s="20">
        <v>2</v>
      </c>
      <c r="P51" s="20">
        <v>3</v>
      </c>
      <c r="Q51" s="13">
        <v>0.63345144195222269</v>
      </c>
      <c r="R51" s="20" t="s">
        <v>249</v>
      </c>
      <c r="S51" s="20">
        <v>0.80033944141424285</v>
      </c>
      <c r="T51" s="20" t="s">
        <v>248</v>
      </c>
      <c r="U51" s="20" t="s">
        <v>19</v>
      </c>
      <c r="V51" s="20">
        <v>4</v>
      </c>
      <c r="W51" s="20">
        <v>7</v>
      </c>
      <c r="X51" s="20" t="s">
        <v>490</v>
      </c>
      <c r="Y51" s="20" t="s">
        <v>292</v>
      </c>
      <c r="Z51" s="20" t="s">
        <v>60</v>
      </c>
      <c r="AA51" s="20" t="s">
        <v>491</v>
      </c>
    </row>
    <row r="52" spans="1:27" x14ac:dyDescent="0.2">
      <c r="A52" s="1">
        <v>45944</v>
      </c>
      <c r="B52" s="20" t="s">
        <v>328</v>
      </c>
      <c r="C52" s="20" t="s">
        <v>37</v>
      </c>
      <c r="D52" s="20" t="s">
        <v>22</v>
      </c>
      <c r="E52" s="20" t="s">
        <v>358</v>
      </c>
      <c r="F52" s="20" t="s">
        <v>37</v>
      </c>
      <c r="G52" s="20">
        <v>2</v>
      </c>
      <c r="H52" s="20">
        <v>3</v>
      </c>
      <c r="I52" s="13">
        <v>0.6</v>
      </c>
      <c r="J52" s="20" t="s">
        <v>249</v>
      </c>
      <c r="L52" s="20" t="s">
        <v>249</v>
      </c>
      <c r="M52" s="20" t="s">
        <v>561</v>
      </c>
      <c r="N52" s="20" t="s">
        <v>37</v>
      </c>
      <c r="O52" s="20">
        <v>2</v>
      </c>
      <c r="P52" s="20">
        <v>3</v>
      </c>
      <c r="Q52" s="13">
        <v>0.52863905379213916</v>
      </c>
      <c r="R52" s="20" t="s">
        <v>249</v>
      </c>
      <c r="S52" s="20">
        <v>-1.9896964969684901E-2</v>
      </c>
      <c r="T52" s="20" t="s">
        <v>249</v>
      </c>
      <c r="U52" s="20" t="s">
        <v>22</v>
      </c>
      <c r="V52" s="20">
        <v>2</v>
      </c>
      <c r="W52" s="20">
        <v>3</v>
      </c>
      <c r="X52" s="20" t="s">
        <v>496</v>
      </c>
      <c r="Y52" s="20" t="s">
        <v>292</v>
      </c>
      <c r="Z52" s="20" t="s">
        <v>60</v>
      </c>
      <c r="AA52" s="20" t="s">
        <v>491</v>
      </c>
    </row>
    <row r="53" spans="1:27" x14ac:dyDescent="0.2">
      <c r="A53" s="1">
        <v>45944</v>
      </c>
      <c r="B53" s="20" t="s">
        <v>328</v>
      </c>
      <c r="C53" s="20" t="s">
        <v>17</v>
      </c>
      <c r="D53" s="20" t="s">
        <v>15</v>
      </c>
      <c r="E53" s="20" t="s">
        <v>562</v>
      </c>
      <c r="F53" s="20" t="s">
        <v>15</v>
      </c>
      <c r="G53" s="20">
        <v>2</v>
      </c>
      <c r="H53" s="20">
        <v>3</v>
      </c>
      <c r="I53" s="13">
        <v>0.6</v>
      </c>
      <c r="J53" s="20" t="s">
        <v>249</v>
      </c>
      <c r="L53" s="20" t="s">
        <v>249</v>
      </c>
      <c r="M53" s="20" t="s">
        <v>563</v>
      </c>
      <c r="N53" s="20" t="s">
        <v>15</v>
      </c>
      <c r="O53" s="20">
        <v>2</v>
      </c>
      <c r="P53" s="20">
        <v>3</v>
      </c>
      <c r="Q53" s="13">
        <v>0.60744489276378211</v>
      </c>
      <c r="R53" s="20" t="s">
        <v>249</v>
      </c>
      <c r="S53" s="20">
        <v>0.57761342867674159</v>
      </c>
      <c r="T53" s="20" t="s">
        <v>249</v>
      </c>
      <c r="U53" s="20" t="s">
        <v>17</v>
      </c>
      <c r="V53" s="20">
        <v>2</v>
      </c>
      <c r="W53" s="20">
        <v>0</v>
      </c>
      <c r="X53" s="20" t="s">
        <v>490</v>
      </c>
      <c r="Y53" s="20" t="s">
        <v>292</v>
      </c>
      <c r="Z53" s="20" t="s">
        <v>60</v>
      </c>
      <c r="AA53" s="20" t="s">
        <v>491</v>
      </c>
    </row>
    <row r="54" spans="1:27" x14ac:dyDescent="0.2">
      <c r="A54" s="1">
        <v>45944</v>
      </c>
      <c r="B54" s="20" t="s">
        <v>326</v>
      </c>
      <c r="C54" s="20" t="s">
        <v>20</v>
      </c>
      <c r="D54" s="20" t="s">
        <v>16</v>
      </c>
      <c r="E54" s="20" t="s">
        <v>564</v>
      </c>
      <c r="F54" s="20" t="s">
        <v>20</v>
      </c>
      <c r="G54" s="20">
        <v>2</v>
      </c>
      <c r="H54" s="20">
        <v>3</v>
      </c>
      <c r="I54" s="13">
        <v>0.6</v>
      </c>
      <c r="J54" s="20" t="s">
        <v>249</v>
      </c>
      <c r="L54" s="20" t="s">
        <v>248</v>
      </c>
      <c r="M54" s="20" t="s">
        <v>510</v>
      </c>
      <c r="N54" s="20" t="s">
        <v>20</v>
      </c>
      <c r="O54" s="20">
        <v>2</v>
      </c>
      <c r="P54" s="20">
        <v>3</v>
      </c>
      <c r="Q54" s="13">
        <v>0.55007697058911142</v>
      </c>
      <c r="R54" s="20" t="s">
        <v>249</v>
      </c>
      <c r="S54" s="20">
        <v>-0.77143969980082194</v>
      </c>
      <c r="T54" s="20" t="s">
        <v>248</v>
      </c>
      <c r="U54" s="20" t="s">
        <v>20</v>
      </c>
      <c r="V54" s="20">
        <v>4</v>
      </c>
      <c r="W54" s="20">
        <v>2</v>
      </c>
      <c r="X54" s="20" t="s">
        <v>490</v>
      </c>
      <c r="Y54" s="20" t="s">
        <v>292</v>
      </c>
      <c r="Z54" s="20" t="s">
        <v>60</v>
      </c>
      <c r="AA54" s="20" t="s">
        <v>491</v>
      </c>
    </row>
    <row r="55" spans="1:27" x14ac:dyDescent="0.2">
      <c r="A55" s="1">
        <v>45944</v>
      </c>
      <c r="B55" s="20" t="s">
        <v>426</v>
      </c>
      <c r="C55" s="20" t="s">
        <v>34</v>
      </c>
      <c r="D55" s="20" t="s">
        <v>39</v>
      </c>
      <c r="E55" s="20" t="s">
        <v>565</v>
      </c>
      <c r="F55" s="20" t="s">
        <v>39</v>
      </c>
      <c r="G55" s="20">
        <v>2</v>
      </c>
      <c r="H55" s="20">
        <v>3</v>
      </c>
      <c r="I55" s="13">
        <v>0.6</v>
      </c>
      <c r="J55" s="20" t="s">
        <v>249</v>
      </c>
      <c r="L55" s="20" t="s">
        <v>248</v>
      </c>
      <c r="M55" s="20" t="s">
        <v>398</v>
      </c>
      <c r="N55" s="20" t="s">
        <v>39</v>
      </c>
      <c r="O55" s="20">
        <v>2</v>
      </c>
      <c r="P55" s="20">
        <v>3</v>
      </c>
      <c r="Q55" s="13">
        <v>0.5906592774329128</v>
      </c>
      <c r="R55" s="20" t="s">
        <v>249</v>
      </c>
      <c r="S55" s="20">
        <v>0.51846803822776111</v>
      </c>
      <c r="T55" s="20" t="s">
        <v>248</v>
      </c>
      <c r="U55" s="20" t="s">
        <v>39</v>
      </c>
      <c r="V55" s="20">
        <v>2</v>
      </c>
      <c r="W55" s="20">
        <v>5</v>
      </c>
      <c r="X55" s="20" t="s">
        <v>490</v>
      </c>
      <c r="Y55" s="20" t="s">
        <v>292</v>
      </c>
      <c r="Z55" s="20" t="s">
        <v>60</v>
      </c>
      <c r="AA55" s="20" t="s">
        <v>491</v>
      </c>
    </row>
    <row r="56" spans="1:27" x14ac:dyDescent="0.2">
      <c r="A56" s="1">
        <v>45944</v>
      </c>
      <c r="B56" s="20" t="s">
        <v>340</v>
      </c>
      <c r="C56" s="20" t="s">
        <v>14</v>
      </c>
      <c r="D56" s="20" t="s">
        <v>31</v>
      </c>
      <c r="E56" s="20" t="s">
        <v>566</v>
      </c>
      <c r="F56" s="20" t="s">
        <v>31</v>
      </c>
      <c r="G56" s="20">
        <v>2</v>
      </c>
      <c r="H56" s="20">
        <v>3</v>
      </c>
      <c r="I56" s="13">
        <v>0.6</v>
      </c>
      <c r="J56" s="20" t="s">
        <v>249</v>
      </c>
      <c r="L56" s="20" t="s">
        <v>248</v>
      </c>
      <c r="M56" s="20" t="s">
        <v>291</v>
      </c>
      <c r="N56" s="20" t="s">
        <v>31</v>
      </c>
      <c r="O56" s="20">
        <v>2</v>
      </c>
      <c r="P56" s="20">
        <v>3</v>
      </c>
      <c r="Q56" s="13">
        <v>0.62539386396399976</v>
      </c>
      <c r="R56" s="20" t="s">
        <v>249</v>
      </c>
      <c r="S56" s="20">
        <v>0.37086799232791878</v>
      </c>
      <c r="T56" s="20" t="s">
        <v>248</v>
      </c>
      <c r="U56" s="20" t="s">
        <v>31</v>
      </c>
      <c r="V56" s="20">
        <v>3</v>
      </c>
      <c r="W56" s="20">
        <v>4</v>
      </c>
      <c r="X56" s="20" t="s">
        <v>490</v>
      </c>
      <c r="Y56" s="20" t="s">
        <v>292</v>
      </c>
      <c r="Z56" s="20" t="s">
        <v>60</v>
      </c>
      <c r="AA56" s="20" t="s">
        <v>491</v>
      </c>
    </row>
    <row r="57" spans="1:27" x14ac:dyDescent="0.2">
      <c r="A57" s="1">
        <v>45944</v>
      </c>
      <c r="B57" s="20" t="s">
        <v>328</v>
      </c>
      <c r="C57" s="20" t="s">
        <v>32</v>
      </c>
      <c r="D57" s="20" t="s">
        <v>18</v>
      </c>
      <c r="E57" s="20" t="s">
        <v>567</v>
      </c>
      <c r="F57" s="20" t="s">
        <v>18</v>
      </c>
      <c r="G57" s="20">
        <v>2</v>
      </c>
      <c r="H57" s="20">
        <v>3</v>
      </c>
      <c r="I57" s="13">
        <v>0.6</v>
      </c>
      <c r="J57" s="20" t="s">
        <v>249</v>
      </c>
      <c r="L57" s="20" t="s">
        <v>248</v>
      </c>
      <c r="M57" s="20" t="s">
        <v>360</v>
      </c>
      <c r="N57" s="20" t="s">
        <v>18</v>
      </c>
      <c r="O57" s="20">
        <v>2</v>
      </c>
      <c r="P57" s="20">
        <v>3</v>
      </c>
      <c r="Q57" s="13">
        <v>0.55242241073459541</v>
      </c>
      <c r="R57" s="20" t="s">
        <v>249</v>
      </c>
      <c r="S57" s="20">
        <v>0.10638835592742719</v>
      </c>
      <c r="T57" s="20" t="s">
        <v>248</v>
      </c>
      <c r="U57" s="20" t="s">
        <v>18</v>
      </c>
      <c r="V57" s="20">
        <v>4</v>
      </c>
      <c r="W57" s="20">
        <v>5</v>
      </c>
      <c r="X57" s="20" t="s">
        <v>496</v>
      </c>
      <c r="Y57" s="20" t="s">
        <v>292</v>
      </c>
      <c r="Z57" s="20" t="s">
        <v>60</v>
      </c>
      <c r="AA57" s="20" t="s">
        <v>491</v>
      </c>
    </row>
    <row r="58" spans="1:27" x14ac:dyDescent="0.2">
      <c r="A58" s="1">
        <v>45945</v>
      </c>
      <c r="B58" s="20" t="s">
        <v>426</v>
      </c>
      <c r="C58" s="20" t="s">
        <v>10</v>
      </c>
      <c r="D58" s="20" t="s">
        <v>35</v>
      </c>
      <c r="E58" s="20" t="s">
        <v>568</v>
      </c>
      <c r="F58" s="20" t="s">
        <v>10</v>
      </c>
      <c r="G58" s="20">
        <v>2</v>
      </c>
      <c r="H58" s="20">
        <v>3</v>
      </c>
      <c r="I58" s="13">
        <v>0.6</v>
      </c>
      <c r="J58" s="20" t="s">
        <v>249</v>
      </c>
      <c r="L58" s="20" t="s">
        <v>248</v>
      </c>
      <c r="M58" s="20" t="s">
        <v>303</v>
      </c>
      <c r="N58" s="20" t="s">
        <v>10</v>
      </c>
      <c r="O58" s="20">
        <v>2</v>
      </c>
      <c r="P58" s="20">
        <v>3</v>
      </c>
      <c r="Q58" s="13">
        <v>0.59642576877361209</v>
      </c>
      <c r="R58" s="20" t="s">
        <v>249</v>
      </c>
      <c r="S58" s="20">
        <v>-1.1683813678402459</v>
      </c>
      <c r="T58" s="20" t="s">
        <v>248</v>
      </c>
      <c r="U58" s="20" t="s">
        <v>10</v>
      </c>
      <c r="V58" s="20">
        <v>8</v>
      </c>
      <c r="W58" s="20">
        <v>3</v>
      </c>
      <c r="X58" s="20" t="s">
        <v>490</v>
      </c>
      <c r="Y58" s="20" t="s">
        <v>292</v>
      </c>
      <c r="Z58" s="20" t="s">
        <v>60</v>
      </c>
      <c r="AA58" s="20" t="s">
        <v>491</v>
      </c>
    </row>
    <row r="59" spans="1:27" x14ac:dyDescent="0.2">
      <c r="A59" s="1">
        <v>45945</v>
      </c>
      <c r="B59" s="20" t="s">
        <v>426</v>
      </c>
      <c r="C59" s="20" t="s">
        <v>16</v>
      </c>
      <c r="D59" s="20" t="s">
        <v>55</v>
      </c>
      <c r="E59" s="20" t="s">
        <v>569</v>
      </c>
      <c r="F59" s="20" t="s">
        <v>55</v>
      </c>
      <c r="G59" s="20">
        <v>2</v>
      </c>
      <c r="H59" s="20">
        <v>3</v>
      </c>
      <c r="I59" s="13">
        <v>0.6</v>
      </c>
      <c r="J59" s="20" t="s">
        <v>249</v>
      </c>
      <c r="L59" s="20" t="s">
        <v>248</v>
      </c>
      <c r="M59" s="20" t="s">
        <v>362</v>
      </c>
      <c r="N59" s="20" t="s">
        <v>55</v>
      </c>
      <c r="O59" s="20">
        <v>2</v>
      </c>
      <c r="P59" s="20">
        <v>3</v>
      </c>
      <c r="Q59" s="13">
        <v>0.66363292683452446</v>
      </c>
      <c r="R59" s="20" t="s">
        <v>249</v>
      </c>
      <c r="S59" s="20">
        <v>0.71255873894660082</v>
      </c>
      <c r="T59" s="20" t="s">
        <v>248</v>
      </c>
      <c r="U59" s="20" t="s">
        <v>55</v>
      </c>
      <c r="V59" s="20">
        <v>1</v>
      </c>
      <c r="W59" s="20">
        <v>3</v>
      </c>
      <c r="X59" s="20" t="s">
        <v>490</v>
      </c>
      <c r="Y59" s="20" t="s">
        <v>292</v>
      </c>
      <c r="Z59" s="20" t="s">
        <v>60</v>
      </c>
      <c r="AA59" s="20" t="s">
        <v>491</v>
      </c>
    </row>
    <row r="60" spans="1:27" x14ac:dyDescent="0.2">
      <c r="A60" s="1">
        <v>45945</v>
      </c>
      <c r="B60" s="20" t="s">
        <v>328</v>
      </c>
      <c r="C60" s="20" t="s">
        <v>36</v>
      </c>
      <c r="D60" s="20" t="s">
        <v>23</v>
      </c>
      <c r="E60" s="20" t="s">
        <v>570</v>
      </c>
      <c r="F60" s="20" t="s">
        <v>23</v>
      </c>
      <c r="G60" s="20">
        <v>2</v>
      </c>
      <c r="H60" s="20">
        <v>3</v>
      </c>
      <c r="I60" s="13">
        <v>0.6</v>
      </c>
      <c r="J60" s="20" t="s">
        <v>249</v>
      </c>
      <c r="L60" s="20" t="s">
        <v>248</v>
      </c>
      <c r="M60" s="20" t="s">
        <v>296</v>
      </c>
      <c r="N60" s="20" t="s">
        <v>23</v>
      </c>
      <c r="O60" s="20">
        <v>2</v>
      </c>
      <c r="P60" s="20">
        <v>3</v>
      </c>
      <c r="Q60" s="13">
        <v>0.56240197453604368</v>
      </c>
      <c r="R60" s="20" t="s">
        <v>249</v>
      </c>
      <c r="S60" s="20">
        <v>0.10516636404741141</v>
      </c>
      <c r="T60" s="20" t="s">
        <v>248</v>
      </c>
      <c r="U60" s="20" t="s">
        <v>23</v>
      </c>
      <c r="V60" s="20">
        <v>4</v>
      </c>
      <c r="W60" s="20">
        <v>8</v>
      </c>
      <c r="X60" s="20" t="s">
        <v>490</v>
      </c>
      <c r="Y60" s="20" t="s">
        <v>292</v>
      </c>
      <c r="Z60" s="20" t="s">
        <v>60</v>
      </c>
      <c r="AA60" s="20" t="s">
        <v>491</v>
      </c>
    </row>
    <row r="61" spans="1:27" x14ac:dyDescent="0.2">
      <c r="A61" s="1">
        <v>45945</v>
      </c>
      <c r="B61" s="20" t="s">
        <v>328</v>
      </c>
      <c r="C61" s="20" t="s">
        <v>11</v>
      </c>
      <c r="D61" s="20" t="s">
        <v>26</v>
      </c>
      <c r="E61" s="20" t="s">
        <v>571</v>
      </c>
      <c r="F61" s="20" t="s">
        <v>11</v>
      </c>
      <c r="G61" s="20">
        <v>2</v>
      </c>
      <c r="H61" s="20">
        <v>3</v>
      </c>
      <c r="I61" s="13">
        <v>0.6</v>
      </c>
      <c r="J61" s="20" t="s">
        <v>249</v>
      </c>
      <c r="L61" s="20" t="s">
        <v>249</v>
      </c>
      <c r="M61" s="20" t="s">
        <v>572</v>
      </c>
      <c r="N61" s="20" t="s">
        <v>11</v>
      </c>
      <c r="O61" s="20">
        <v>2</v>
      </c>
      <c r="P61" s="20">
        <v>3</v>
      </c>
      <c r="Q61" s="13">
        <v>0.51001274285878251</v>
      </c>
      <c r="R61" s="20" t="s">
        <v>249</v>
      </c>
      <c r="S61" s="20">
        <v>-0.42832052504504048</v>
      </c>
      <c r="T61" s="20" t="s">
        <v>249</v>
      </c>
      <c r="U61" s="20" t="s">
        <v>26</v>
      </c>
      <c r="V61" s="20">
        <v>1</v>
      </c>
      <c r="W61" s="20">
        <v>4</v>
      </c>
      <c r="X61" s="20" t="s">
        <v>490</v>
      </c>
      <c r="Y61" s="20" t="s">
        <v>292</v>
      </c>
      <c r="Z61" s="20" t="s">
        <v>60</v>
      </c>
      <c r="AA61" s="20" t="s">
        <v>491</v>
      </c>
    </row>
    <row r="62" spans="1:27" x14ac:dyDescent="0.2">
      <c r="A62" s="1">
        <v>45946</v>
      </c>
      <c r="B62" s="20" t="s">
        <v>328</v>
      </c>
      <c r="C62" s="20" t="s">
        <v>12</v>
      </c>
      <c r="D62" s="20" t="s">
        <v>28</v>
      </c>
      <c r="E62" s="20" t="s">
        <v>573</v>
      </c>
      <c r="F62" s="20" t="s">
        <v>12</v>
      </c>
      <c r="G62" s="20">
        <v>2</v>
      </c>
      <c r="H62" s="20">
        <v>3</v>
      </c>
      <c r="I62" s="13">
        <v>0.6</v>
      </c>
      <c r="J62" s="20" t="s">
        <v>249</v>
      </c>
      <c r="L62" s="20" t="s">
        <v>248</v>
      </c>
      <c r="M62" s="20" t="s">
        <v>361</v>
      </c>
      <c r="N62" s="20" t="s">
        <v>12</v>
      </c>
      <c r="O62" s="20">
        <v>2</v>
      </c>
      <c r="P62" s="20">
        <v>3</v>
      </c>
      <c r="Q62" s="13">
        <v>0.78681915186374829</v>
      </c>
      <c r="R62" s="20" t="s">
        <v>249</v>
      </c>
      <c r="S62" s="20">
        <v>-2.1769923138543539</v>
      </c>
      <c r="T62" s="20" t="s">
        <v>248</v>
      </c>
      <c r="U62" s="20" t="s">
        <v>12</v>
      </c>
      <c r="V62" s="20">
        <v>4</v>
      </c>
      <c r="W62" s="20">
        <v>1</v>
      </c>
      <c r="X62" s="20" t="s">
        <v>490</v>
      </c>
      <c r="Y62" s="20" t="s">
        <v>292</v>
      </c>
      <c r="Z62" s="20" t="s">
        <v>60</v>
      </c>
      <c r="AA62" s="20" t="s">
        <v>491</v>
      </c>
    </row>
    <row r="63" spans="1:27" x14ac:dyDescent="0.2">
      <c r="A63" s="1">
        <v>45946</v>
      </c>
      <c r="B63" s="20" t="s">
        <v>324</v>
      </c>
      <c r="C63" s="20" t="s">
        <v>38</v>
      </c>
      <c r="D63" s="20" t="s">
        <v>39</v>
      </c>
      <c r="E63" s="20" t="s">
        <v>574</v>
      </c>
      <c r="F63" s="20" t="s">
        <v>39</v>
      </c>
      <c r="G63" s="20">
        <v>2</v>
      </c>
      <c r="H63" s="20">
        <v>3</v>
      </c>
      <c r="I63" s="13">
        <v>0.6</v>
      </c>
      <c r="J63" s="20" t="s">
        <v>249</v>
      </c>
      <c r="L63" s="20" t="s">
        <v>249</v>
      </c>
      <c r="M63" s="20" t="s">
        <v>575</v>
      </c>
      <c r="N63" s="20" t="s">
        <v>39</v>
      </c>
      <c r="O63" s="20">
        <v>2</v>
      </c>
      <c r="P63" s="20">
        <v>3</v>
      </c>
      <c r="Q63" s="13">
        <v>0.73347790676820435</v>
      </c>
      <c r="R63" s="20" t="s">
        <v>249</v>
      </c>
      <c r="S63" s="20">
        <v>1.411021005889086</v>
      </c>
      <c r="T63" s="20" t="s">
        <v>249</v>
      </c>
      <c r="U63" s="20" t="s">
        <v>38</v>
      </c>
      <c r="V63" s="20">
        <v>5</v>
      </c>
      <c r="W63" s="20">
        <v>3</v>
      </c>
      <c r="X63" s="20" t="s">
        <v>490</v>
      </c>
      <c r="Y63" s="20" t="s">
        <v>292</v>
      </c>
      <c r="Z63" s="20" t="s">
        <v>60</v>
      </c>
      <c r="AA63" s="20" t="s">
        <v>491</v>
      </c>
    </row>
    <row r="64" spans="1:27" x14ac:dyDescent="0.2">
      <c r="A64" s="1">
        <v>45946</v>
      </c>
      <c r="B64" s="20" t="s">
        <v>322</v>
      </c>
      <c r="C64" s="20" t="s">
        <v>21</v>
      </c>
      <c r="D64" s="20" t="s">
        <v>20</v>
      </c>
      <c r="E64" s="20" t="s">
        <v>576</v>
      </c>
      <c r="F64" s="20" t="s">
        <v>20</v>
      </c>
      <c r="G64" s="20">
        <v>2</v>
      </c>
      <c r="H64" s="20">
        <v>3</v>
      </c>
      <c r="I64" s="13">
        <v>0.6</v>
      </c>
      <c r="J64" s="20" t="s">
        <v>249</v>
      </c>
      <c r="L64" s="20" t="s">
        <v>248</v>
      </c>
      <c r="M64" s="20" t="s">
        <v>510</v>
      </c>
      <c r="N64" s="20" t="s">
        <v>20</v>
      </c>
      <c r="O64" s="20">
        <v>2</v>
      </c>
      <c r="P64" s="20">
        <v>3</v>
      </c>
      <c r="Q64" s="13">
        <v>0.5421164443050468</v>
      </c>
      <c r="R64" s="20" t="s">
        <v>249</v>
      </c>
      <c r="S64" s="20">
        <v>2.522967905025764E-2</v>
      </c>
      <c r="T64" s="20" t="s">
        <v>248</v>
      </c>
      <c r="U64" s="20" t="s">
        <v>20</v>
      </c>
      <c r="V64" s="20">
        <v>5</v>
      </c>
      <c r="W64" s="20">
        <v>6</v>
      </c>
      <c r="X64" s="20" t="s">
        <v>490</v>
      </c>
      <c r="Y64" s="20" t="s">
        <v>292</v>
      </c>
      <c r="Z64" s="20" t="s">
        <v>60</v>
      </c>
      <c r="AA64" s="20" t="s">
        <v>491</v>
      </c>
    </row>
    <row r="65" spans="1:27" x14ac:dyDescent="0.2">
      <c r="A65" s="1">
        <v>45946</v>
      </c>
      <c r="B65" s="20" t="s">
        <v>328</v>
      </c>
      <c r="C65" s="20" t="s">
        <v>29</v>
      </c>
      <c r="D65" s="20" t="s">
        <v>18</v>
      </c>
      <c r="E65" s="20" t="s">
        <v>577</v>
      </c>
      <c r="F65" s="20" t="s">
        <v>18</v>
      </c>
      <c r="G65" s="20">
        <v>2</v>
      </c>
      <c r="H65" s="20">
        <v>3</v>
      </c>
      <c r="I65" s="13">
        <v>0.6</v>
      </c>
      <c r="J65" s="20" t="s">
        <v>249</v>
      </c>
      <c r="L65" s="20" t="s">
        <v>248</v>
      </c>
      <c r="M65" s="20" t="s">
        <v>360</v>
      </c>
      <c r="N65" s="20" t="s">
        <v>18</v>
      </c>
      <c r="O65" s="20">
        <v>2</v>
      </c>
      <c r="P65" s="20">
        <v>3</v>
      </c>
      <c r="Q65" s="13">
        <v>0.63830756719703108</v>
      </c>
      <c r="R65" s="20" t="s">
        <v>249</v>
      </c>
      <c r="S65" s="20">
        <v>0.84192840445939821</v>
      </c>
      <c r="T65" s="20" t="s">
        <v>248</v>
      </c>
      <c r="U65" s="20" t="s">
        <v>18</v>
      </c>
      <c r="V65" s="20">
        <v>2</v>
      </c>
      <c r="W65" s="20">
        <v>3</v>
      </c>
      <c r="X65" s="20" t="s">
        <v>496</v>
      </c>
      <c r="Y65" s="20" t="s">
        <v>292</v>
      </c>
      <c r="Z65" s="20" t="s">
        <v>60</v>
      </c>
      <c r="AA65" s="20" t="s">
        <v>491</v>
      </c>
    </row>
    <row r="66" spans="1:27" x14ac:dyDescent="0.2">
      <c r="A66" s="1">
        <v>45946</v>
      </c>
      <c r="B66" s="20" t="s">
        <v>328</v>
      </c>
      <c r="C66" s="20" t="s">
        <v>11</v>
      </c>
      <c r="D66" s="20" t="s">
        <v>24</v>
      </c>
      <c r="E66" s="20" t="s">
        <v>578</v>
      </c>
      <c r="F66" s="20" t="s">
        <v>24</v>
      </c>
      <c r="G66" s="20">
        <v>2</v>
      </c>
      <c r="H66" s="20">
        <v>3</v>
      </c>
      <c r="I66" s="13">
        <v>0.6</v>
      </c>
      <c r="J66" s="20" t="s">
        <v>249</v>
      </c>
      <c r="L66" s="20" t="s">
        <v>248</v>
      </c>
      <c r="M66" s="20" t="s">
        <v>449</v>
      </c>
      <c r="N66" s="20" t="s">
        <v>24</v>
      </c>
      <c r="O66" s="20">
        <v>2</v>
      </c>
      <c r="P66" s="20">
        <v>3</v>
      </c>
      <c r="Q66" s="13">
        <v>0.67220946055413056</v>
      </c>
      <c r="R66" s="20" t="s">
        <v>249</v>
      </c>
      <c r="S66" s="20">
        <v>0.44854929075187328</v>
      </c>
      <c r="T66" s="20" t="s">
        <v>248</v>
      </c>
      <c r="U66" s="20" t="s">
        <v>24</v>
      </c>
      <c r="V66" s="20">
        <v>1</v>
      </c>
      <c r="W66" s="20">
        <v>3</v>
      </c>
      <c r="X66" s="20" t="s">
        <v>490</v>
      </c>
      <c r="Y66" s="20" t="s">
        <v>292</v>
      </c>
      <c r="Z66" s="20" t="s">
        <v>60</v>
      </c>
      <c r="AA66" s="20" t="s">
        <v>491</v>
      </c>
    </row>
    <row r="67" spans="1:27" x14ac:dyDescent="0.2">
      <c r="A67" s="1">
        <v>45946</v>
      </c>
      <c r="B67" s="20" t="s">
        <v>334</v>
      </c>
      <c r="C67" s="20" t="s">
        <v>17</v>
      </c>
      <c r="D67" s="20" t="s">
        <v>30</v>
      </c>
      <c r="E67" s="20" t="s">
        <v>579</v>
      </c>
      <c r="F67" s="20" t="s">
        <v>30</v>
      </c>
      <c r="G67" s="20">
        <v>2</v>
      </c>
      <c r="H67" s="20">
        <v>3</v>
      </c>
      <c r="I67" s="13">
        <v>0.6</v>
      </c>
      <c r="J67" s="20" t="s">
        <v>249</v>
      </c>
      <c r="L67" s="20" t="s">
        <v>248</v>
      </c>
      <c r="M67" s="20" t="s">
        <v>580</v>
      </c>
      <c r="N67" s="20" t="s">
        <v>30</v>
      </c>
      <c r="O67" s="20">
        <v>2</v>
      </c>
      <c r="P67" s="20">
        <v>3</v>
      </c>
      <c r="Q67" s="13">
        <v>0.61317827444461348</v>
      </c>
      <c r="R67" s="20" t="s">
        <v>249</v>
      </c>
      <c r="S67" s="20">
        <v>0.62671541571935152</v>
      </c>
      <c r="T67" s="20" t="s">
        <v>248</v>
      </c>
      <c r="U67" s="20" t="s">
        <v>30</v>
      </c>
      <c r="V67" s="20">
        <v>2</v>
      </c>
      <c r="W67" s="20">
        <v>4</v>
      </c>
      <c r="X67" s="20" t="s">
        <v>490</v>
      </c>
      <c r="Y67" s="20" t="s">
        <v>292</v>
      </c>
      <c r="Z67" s="20" t="s">
        <v>60</v>
      </c>
      <c r="AA67" s="20" t="s">
        <v>491</v>
      </c>
    </row>
    <row r="68" spans="1:27" x14ac:dyDescent="0.2">
      <c r="A68" s="1">
        <v>45946</v>
      </c>
      <c r="B68" s="20" t="s">
        <v>328</v>
      </c>
      <c r="C68" s="20" t="s">
        <v>32</v>
      </c>
      <c r="D68" s="20" t="s">
        <v>36</v>
      </c>
      <c r="E68" s="20" t="s">
        <v>581</v>
      </c>
      <c r="F68" s="20" t="s">
        <v>36</v>
      </c>
      <c r="G68" s="20">
        <v>2</v>
      </c>
      <c r="H68" s="20">
        <v>3</v>
      </c>
      <c r="I68" s="13">
        <v>0.6</v>
      </c>
      <c r="J68" s="20" t="s">
        <v>249</v>
      </c>
      <c r="L68" s="20" t="s">
        <v>248</v>
      </c>
      <c r="M68" s="20" t="s">
        <v>582</v>
      </c>
      <c r="N68" s="20" t="s">
        <v>36</v>
      </c>
      <c r="O68" s="20">
        <v>2</v>
      </c>
      <c r="P68" s="20">
        <v>3</v>
      </c>
      <c r="Q68" s="13">
        <v>0.56210050797704114</v>
      </c>
      <c r="R68" s="20" t="s">
        <v>249</v>
      </c>
      <c r="S68" s="20">
        <v>0.16790193333641379</v>
      </c>
      <c r="T68" s="20" t="s">
        <v>248</v>
      </c>
      <c r="U68" s="20" t="s">
        <v>36</v>
      </c>
      <c r="V68" s="20">
        <v>3</v>
      </c>
      <c r="W68" s="20">
        <v>4</v>
      </c>
      <c r="X68" s="20" t="s">
        <v>496</v>
      </c>
      <c r="Y68" s="20" t="s">
        <v>292</v>
      </c>
      <c r="Z68" s="20" t="s">
        <v>60</v>
      </c>
      <c r="AA68" s="20" t="s">
        <v>491</v>
      </c>
    </row>
    <row r="69" spans="1:27" x14ac:dyDescent="0.2">
      <c r="A69" s="1">
        <v>45946</v>
      </c>
      <c r="B69" s="20" t="s">
        <v>328</v>
      </c>
      <c r="C69" s="20" t="s">
        <v>40</v>
      </c>
      <c r="D69" s="20" t="s">
        <v>27</v>
      </c>
      <c r="E69" s="20" t="s">
        <v>583</v>
      </c>
      <c r="F69" s="20" t="s">
        <v>40</v>
      </c>
      <c r="G69" s="20">
        <v>2</v>
      </c>
      <c r="H69" s="20">
        <v>3</v>
      </c>
      <c r="I69" s="13">
        <v>0.6</v>
      </c>
      <c r="J69" s="20" t="s">
        <v>249</v>
      </c>
      <c r="L69" s="20" t="s">
        <v>248</v>
      </c>
      <c r="M69" s="20" t="s">
        <v>315</v>
      </c>
      <c r="N69" s="20" t="s">
        <v>40</v>
      </c>
      <c r="O69" s="20">
        <v>2</v>
      </c>
      <c r="P69" s="20">
        <v>3</v>
      </c>
      <c r="Q69" s="13">
        <v>0.46866299501147912</v>
      </c>
      <c r="R69" s="20" t="s">
        <v>249</v>
      </c>
      <c r="S69" s="20">
        <v>-1.709701080036197E-2</v>
      </c>
      <c r="T69" s="20" t="s">
        <v>248</v>
      </c>
      <c r="U69" s="20" t="s">
        <v>40</v>
      </c>
      <c r="V69" s="20">
        <v>5</v>
      </c>
      <c r="W69" s="20">
        <v>2</v>
      </c>
      <c r="X69" s="20" t="s">
        <v>490</v>
      </c>
      <c r="Y69" s="20" t="s">
        <v>292</v>
      </c>
      <c r="Z69" s="20" t="s">
        <v>60</v>
      </c>
      <c r="AA69" s="20" t="s">
        <v>491</v>
      </c>
    </row>
    <row r="70" spans="1:27" x14ac:dyDescent="0.2">
      <c r="A70" s="1">
        <v>45946</v>
      </c>
      <c r="B70" s="20" t="s">
        <v>328</v>
      </c>
      <c r="C70" s="20" t="s">
        <v>15</v>
      </c>
      <c r="D70" s="20" t="s">
        <v>19</v>
      </c>
      <c r="E70" s="20" t="s">
        <v>584</v>
      </c>
      <c r="F70" s="20" t="s">
        <v>15</v>
      </c>
      <c r="G70" s="20">
        <v>2</v>
      </c>
      <c r="H70" s="20">
        <v>3</v>
      </c>
      <c r="I70" s="13">
        <v>0.6</v>
      </c>
      <c r="J70" s="20" t="s">
        <v>249</v>
      </c>
      <c r="L70" s="20" t="s">
        <v>249</v>
      </c>
      <c r="M70" s="20" t="s">
        <v>585</v>
      </c>
      <c r="N70" s="20" t="s">
        <v>15</v>
      </c>
      <c r="O70" s="20">
        <v>2</v>
      </c>
      <c r="P70" s="20">
        <v>3</v>
      </c>
      <c r="Q70" s="13">
        <v>0.59447380896340563</v>
      </c>
      <c r="R70" s="20" t="s">
        <v>249</v>
      </c>
      <c r="S70" s="20">
        <v>-0.29454385791187548</v>
      </c>
      <c r="T70" s="20" t="s">
        <v>249</v>
      </c>
      <c r="U70" s="20" t="s">
        <v>19</v>
      </c>
      <c r="V70" s="20">
        <v>1</v>
      </c>
      <c r="W70" s="20">
        <v>2</v>
      </c>
      <c r="X70" s="20" t="s">
        <v>496</v>
      </c>
      <c r="Y70" s="20" t="s">
        <v>292</v>
      </c>
      <c r="Z70" s="20" t="s">
        <v>60</v>
      </c>
      <c r="AA70" s="20" t="s">
        <v>491</v>
      </c>
    </row>
    <row r="71" spans="1:27" x14ac:dyDescent="0.2">
      <c r="A71" s="1">
        <v>45946</v>
      </c>
      <c r="B71" s="20" t="s">
        <v>322</v>
      </c>
      <c r="C71" s="20" t="s">
        <v>14</v>
      </c>
      <c r="D71" s="20" t="s">
        <v>13</v>
      </c>
      <c r="E71" s="20" t="s">
        <v>586</v>
      </c>
      <c r="F71" s="20" t="s">
        <v>14</v>
      </c>
      <c r="G71" s="20">
        <v>2</v>
      </c>
      <c r="H71" s="20">
        <v>3</v>
      </c>
      <c r="I71" s="13">
        <v>0.6</v>
      </c>
      <c r="J71" s="20" t="s">
        <v>249</v>
      </c>
      <c r="L71" s="20" t="s">
        <v>248</v>
      </c>
      <c r="M71" s="20" t="s">
        <v>451</v>
      </c>
      <c r="N71" s="20" t="s">
        <v>14</v>
      </c>
      <c r="O71" s="20">
        <v>2</v>
      </c>
      <c r="P71" s="20">
        <v>3</v>
      </c>
      <c r="Q71" s="13">
        <v>0.51634823963628218</v>
      </c>
      <c r="R71" s="20" t="s">
        <v>249</v>
      </c>
      <c r="S71" s="20">
        <v>-0.14611862818856119</v>
      </c>
      <c r="T71" s="20" t="s">
        <v>248</v>
      </c>
      <c r="U71" s="20" t="s">
        <v>14</v>
      </c>
      <c r="V71" s="20">
        <v>4</v>
      </c>
      <c r="W71" s="20">
        <v>2</v>
      </c>
      <c r="X71" s="20" t="s">
        <v>490</v>
      </c>
      <c r="Y71" s="20" t="s">
        <v>292</v>
      </c>
      <c r="Z71" s="20" t="s">
        <v>60</v>
      </c>
      <c r="AA71" s="20" t="s">
        <v>491</v>
      </c>
    </row>
    <row r="72" spans="1:27" x14ac:dyDescent="0.2">
      <c r="A72" s="1">
        <v>45946</v>
      </c>
      <c r="B72" s="20" t="s">
        <v>322</v>
      </c>
      <c r="C72" s="20" t="s">
        <v>25</v>
      </c>
      <c r="D72" s="20" t="s">
        <v>31</v>
      </c>
      <c r="E72" s="20" t="s">
        <v>587</v>
      </c>
      <c r="F72" s="20" t="s">
        <v>25</v>
      </c>
      <c r="G72" s="20">
        <v>2</v>
      </c>
      <c r="H72" s="20">
        <v>3</v>
      </c>
      <c r="I72" s="13">
        <v>0.6</v>
      </c>
      <c r="J72" s="20" t="s">
        <v>249</v>
      </c>
      <c r="L72" s="20" t="s">
        <v>248</v>
      </c>
      <c r="M72" s="20" t="s">
        <v>450</v>
      </c>
      <c r="N72" s="20" t="s">
        <v>25</v>
      </c>
      <c r="O72" s="20">
        <v>2</v>
      </c>
      <c r="P72" s="20">
        <v>3</v>
      </c>
      <c r="Q72" s="13">
        <v>0.47371521596449112</v>
      </c>
      <c r="R72" s="20" t="s">
        <v>249</v>
      </c>
      <c r="S72" s="20">
        <v>-0.1970713665661239</v>
      </c>
      <c r="T72" s="20" t="s">
        <v>248</v>
      </c>
      <c r="U72" s="20" t="s">
        <v>25</v>
      </c>
      <c r="V72" s="20">
        <v>4</v>
      </c>
      <c r="W72" s="20">
        <v>1</v>
      </c>
      <c r="X72" s="20" t="s">
        <v>490</v>
      </c>
      <c r="Y72" s="20" t="s">
        <v>292</v>
      </c>
      <c r="Z72" s="20" t="s">
        <v>60</v>
      </c>
      <c r="AA72" s="20" t="s">
        <v>491</v>
      </c>
    </row>
    <row r="73" spans="1:27" x14ac:dyDescent="0.2">
      <c r="A73" s="1">
        <v>45947</v>
      </c>
      <c r="B73" s="20" t="s">
        <v>416</v>
      </c>
      <c r="C73" s="20" t="s">
        <v>38</v>
      </c>
      <c r="D73" s="20" t="s">
        <v>10</v>
      </c>
      <c r="E73" s="20" t="s">
        <v>588</v>
      </c>
      <c r="F73" s="20" t="s">
        <v>10</v>
      </c>
      <c r="G73" s="20">
        <v>2</v>
      </c>
      <c r="H73" s="20">
        <v>3</v>
      </c>
      <c r="I73" s="13">
        <v>0.6</v>
      </c>
      <c r="J73" s="20" t="s">
        <v>249</v>
      </c>
      <c r="L73" s="20" t="s">
        <v>249</v>
      </c>
      <c r="M73" s="20" t="s">
        <v>589</v>
      </c>
      <c r="N73" s="20" t="s">
        <v>10</v>
      </c>
      <c r="O73" s="20">
        <v>2</v>
      </c>
      <c r="P73" s="20">
        <v>3</v>
      </c>
      <c r="Q73" s="13">
        <v>0.63233234134958161</v>
      </c>
      <c r="R73" s="20" t="s">
        <v>249</v>
      </c>
      <c r="S73" s="20">
        <v>0.82138224884965294</v>
      </c>
      <c r="T73" s="20" t="s">
        <v>249</v>
      </c>
      <c r="U73" s="20" t="s">
        <v>38</v>
      </c>
      <c r="V73" s="20">
        <v>3</v>
      </c>
      <c r="W73" s="20">
        <v>2</v>
      </c>
      <c r="X73" s="20" t="s">
        <v>496</v>
      </c>
      <c r="Y73" s="20" t="s">
        <v>292</v>
      </c>
      <c r="Z73" s="20" t="s">
        <v>60</v>
      </c>
      <c r="AA73" s="20" t="s">
        <v>491</v>
      </c>
    </row>
    <row r="74" spans="1:27" x14ac:dyDescent="0.2">
      <c r="A74" s="1">
        <v>45947</v>
      </c>
      <c r="B74" s="20" t="s">
        <v>328</v>
      </c>
      <c r="C74" s="20" t="s">
        <v>34</v>
      </c>
      <c r="D74" s="20" t="s">
        <v>22</v>
      </c>
      <c r="E74" s="20" t="s">
        <v>590</v>
      </c>
      <c r="F74" s="20" t="s">
        <v>22</v>
      </c>
      <c r="G74" s="20">
        <v>2</v>
      </c>
      <c r="H74" s="20">
        <v>3</v>
      </c>
      <c r="I74" s="13">
        <v>0.6</v>
      </c>
      <c r="J74" s="20" t="s">
        <v>249</v>
      </c>
      <c r="L74" s="20" t="s">
        <v>248</v>
      </c>
      <c r="M74" s="20" t="s">
        <v>321</v>
      </c>
      <c r="N74" s="20" t="s">
        <v>22</v>
      </c>
      <c r="O74" s="20">
        <v>2</v>
      </c>
      <c r="P74" s="20">
        <v>3</v>
      </c>
      <c r="Q74" s="13">
        <v>0.58753187905752657</v>
      </c>
      <c r="R74" s="20" t="s">
        <v>249</v>
      </c>
      <c r="S74" s="20">
        <v>0.54573276922639824</v>
      </c>
      <c r="T74" s="20" t="s">
        <v>248</v>
      </c>
      <c r="U74" s="20" t="s">
        <v>22</v>
      </c>
      <c r="V74" s="20">
        <v>1</v>
      </c>
      <c r="W74" s="20">
        <v>5</v>
      </c>
      <c r="X74" s="20" t="s">
        <v>490</v>
      </c>
      <c r="Y74" s="20" t="s">
        <v>292</v>
      </c>
      <c r="Z74" s="20" t="s">
        <v>60</v>
      </c>
      <c r="AA74" s="20" t="s">
        <v>491</v>
      </c>
    </row>
    <row r="75" spans="1:27" x14ac:dyDescent="0.2">
      <c r="A75" s="1">
        <v>45947</v>
      </c>
      <c r="B75" s="20" t="s">
        <v>326</v>
      </c>
      <c r="C75" s="20" t="s">
        <v>33</v>
      </c>
      <c r="D75" s="20" t="s">
        <v>55</v>
      </c>
      <c r="E75" s="20" t="s">
        <v>591</v>
      </c>
      <c r="F75" s="20" t="s">
        <v>55</v>
      </c>
      <c r="G75" s="20">
        <v>2</v>
      </c>
      <c r="H75" s="20">
        <v>3</v>
      </c>
      <c r="I75" s="13">
        <v>0.6</v>
      </c>
      <c r="J75" s="20" t="s">
        <v>249</v>
      </c>
      <c r="L75" s="20" t="s">
        <v>248</v>
      </c>
      <c r="M75" s="20" t="s">
        <v>362</v>
      </c>
      <c r="N75" s="20" t="s">
        <v>55</v>
      </c>
      <c r="O75" s="20">
        <v>2</v>
      </c>
      <c r="P75" s="20">
        <v>3</v>
      </c>
      <c r="Q75" s="13">
        <v>0.59188678722769805</v>
      </c>
      <c r="R75" s="20" t="s">
        <v>249</v>
      </c>
      <c r="S75" s="20">
        <v>9.810845228422338E-2</v>
      </c>
      <c r="T75" s="20" t="s">
        <v>248</v>
      </c>
      <c r="U75" s="20" t="s">
        <v>55</v>
      </c>
      <c r="V75" s="20">
        <v>3</v>
      </c>
      <c r="W75" s="20">
        <v>6</v>
      </c>
      <c r="X75" s="20" t="s">
        <v>490</v>
      </c>
      <c r="Y75" s="20" t="s">
        <v>292</v>
      </c>
      <c r="Z75" s="20" t="s">
        <v>60</v>
      </c>
      <c r="AA75" s="20" t="s">
        <v>491</v>
      </c>
    </row>
    <row r="76" spans="1:27" x14ac:dyDescent="0.2">
      <c r="A76" s="1">
        <v>45947</v>
      </c>
      <c r="B76" s="20" t="s">
        <v>328</v>
      </c>
      <c r="C76" s="20" t="s">
        <v>37</v>
      </c>
      <c r="D76" s="20" t="s">
        <v>26</v>
      </c>
      <c r="E76" s="20" t="s">
        <v>440</v>
      </c>
      <c r="F76" s="20" t="s">
        <v>37</v>
      </c>
      <c r="G76" s="20">
        <v>2</v>
      </c>
      <c r="H76" s="20">
        <v>3</v>
      </c>
      <c r="I76" s="13">
        <v>0.6</v>
      </c>
      <c r="J76" s="20" t="s">
        <v>249</v>
      </c>
      <c r="L76" s="20" t="s">
        <v>249</v>
      </c>
      <c r="M76" s="20" t="s">
        <v>592</v>
      </c>
      <c r="N76" s="20" t="s">
        <v>37</v>
      </c>
      <c r="O76" s="20">
        <v>2</v>
      </c>
      <c r="P76" s="20">
        <v>3</v>
      </c>
      <c r="Q76" s="13">
        <v>0.70847733928142309</v>
      </c>
      <c r="R76" s="20" t="s">
        <v>249</v>
      </c>
      <c r="S76" s="20">
        <v>-1.3359437628557509</v>
      </c>
      <c r="T76" s="20" t="s">
        <v>249</v>
      </c>
      <c r="U76" s="20" t="s">
        <v>26</v>
      </c>
      <c r="V76" s="20">
        <v>1</v>
      </c>
      <c r="W76" s="20">
        <v>2</v>
      </c>
      <c r="X76" s="20" t="s">
        <v>496</v>
      </c>
      <c r="Y76" s="20" t="s">
        <v>292</v>
      </c>
      <c r="Z76" s="20" t="s">
        <v>60</v>
      </c>
      <c r="AA76" s="20" t="s">
        <v>491</v>
      </c>
    </row>
    <row r="77" spans="1:27" x14ac:dyDescent="0.2">
      <c r="A77" s="1">
        <v>45948</v>
      </c>
      <c r="B77" s="20" t="s">
        <v>347</v>
      </c>
      <c r="C77" s="20" t="s">
        <v>11</v>
      </c>
      <c r="D77" s="20" t="s">
        <v>23</v>
      </c>
      <c r="E77" s="20" t="s">
        <v>593</v>
      </c>
      <c r="F77" s="20" t="s">
        <v>11</v>
      </c>
      <c r="G77" s="20">
        <v>2</v>
      </c>
      <c r="H77" s="20">
        <v>3</v>
      </c>
      <c r="I77" s="13">
        <v>0.6</v>
      </c>
      <c r="J77" s="20" t="s">
        <v>249</v>
      </c>
      <c r="L77" s="20" t="s">
        <v>249</v>
      </c>
      <c r="M77" s="20" t="s">
        <v>594</v>
      </c>
      <c r="N77" s="20" t="s">
        <v>11</v>
      </c>
      <c r="O77" s="20">
        <v>2</v>
      </c>
      <c r="P77" s="20">
        <v>3</v>
      </c>
      <c r="Q77" s="13">
        <v>0.45327460042380469</v>
      </c>
      <c r="R77" s="20" t="s">
        <v>249</v>
      </c>
      <c r="S77" s="20">
        <v>-2.9091395753320651E-2</v>
      </c>
      <c r="T77" s="20" t="s">
        <v>249</v>
      </c>
      <c r="U77" s="20" t="s">
        <v>23</v>
      </c>
      <c r="V77" s="20">
        <v>0</v>
      </c>
      <c r="W77" s="20">
        <v>3</v>
      </c>
      <c r="X77" s="20" t="s">
        <v>490</v>
      </c>
      <c r="Y77" s="20" t="s">
        <v>292</v>
      </c>
      <c r="Z77" s="20" t="s">
        <v>60</v>
      </c>
      <c r="AA77" s="20" t="s">
        <v>491</v>
      </c>
    </row>
    <row r="78" spans="1:27" x14ac:dyDescent="0.2">
      <c r="A78" s="1">
        <v>45948</v>
      </c>
      <c r="B78" s="20" t="s">
        <v>328</v>
      </c>
      <c r="C78" s="20" t="s">
        <v>37</v>
      </c>
      <c r="D78" s="20" t="s">
        <v>28</v>
      </c>
      <c r="E78" s="20" t="s">
        <v>595</v>
      </c>
      <c r="F78" s="20" t="s">
        <v>37</v>
      </c>
      <c r="G78" s="20">
        <v>2</v>
      </c>
      <c r="H78" s="20">
        <v>3</v>
      </c>
      <c r="I78" s="13">
        <v>0.6</v>
      </c>
      <c r="J78" s="20" t="s">
        <v>249</v>
      </c>
      <c r="L78" s="20" t="s">
        <v>249</v>
      </c>
      <c r="M78" s="20" t="s">
        <v>596</v>
      </c>
      <c r="N78" s="20" t="s">
        <v>37</v>
      </c>
      <c r="O78" s="20">
        <v>2</v>
      </c>
      <c r="P78" s="20">
        <v>3</v>
      </c>
      <c r="Q78" s="13">
        <v>0.67574232034876447</v>
      </c>
      <c r="R78" s="20" t="s">
        <v>249</v>
      </c>
      <c r="S78" s="20">
        <v>-1.055593602173982</v>
      </c>
      <c r="T78" s="20" t="s">
        <v>249</v>
      </c>
      <c r="U78" s="20" t="s">
        <v>28</v>
      </c>
      <c r="V78" s="20">
        <v>2</v>
      </c>
      <c r="W78" s="20">
        <v>3</v>
      </c>
      <c r="X78" s="20" t="s">
        <v>490</v>
      </c>
      <c r="Y78" s="20" t="s">
        <v>292</v>
      </c>
      <c r="Z78" s="20" t="s">
        <v>60</v>
      </c>
      <c r="AA78" s="20" t="s">
        <v>491</v>
      </c>
    </row>
    <row r="79" spans="1:27" x14ac:dyDescent="0.2">
      <c r="A79" s="1">
        <v>45948</v>
      </c>
      <c r="B79" s="20" t="s">
        <v>326</v>
      </c>
      <c r="C79" s="20" t="s">
        <v>21</v>
      </c>
      <c r="D79" s="20" t="s">
        <v>12</v>
      </c>
      <c r="E79" s="20" t="s">
        <v>597</v>
      </c>
      <c r="F79" s="20" t="s">
        <v>12</v>
      </c>
      <c r="G79" s="20">
        <v>2</v>
      </c>
      <c r="H79" s="20">
        <v>3</v>
      </c>
      <c r="I79" s="13">
        <v>0.6</v>
      </c>
      <c r="J79" s="20" t="s">
        <v>249</v>
      </c>
      <c r="L79" s="20" t="s">
        <v>248</v>
      </c>
      <c r="M79" s="20" t="s">
        <v>361</v>
      </c>
      <c r="N79" s="20" t="s">
        <v>12</v>
      </c>
      <c r="O79" s="20">
        <v>2</v>
      </c>
      <c r="P79" s="20">
        <v>3</v>
      </c>
      <c r="Q79" s="13">
        <v>0.86560120575771982</v>
      </c>
      <c r="R79" s="20" t="s">
        <v>249</v>
      </c>
      <c r="S79" s="20">
        <v>1.9015741677978699</v>
      </c>
      <c r="T79" s="20" t="s">
        <v>248</v>
      </c>
      <c r="U79" s="20" t="s">
        <v>12</v>
      </c>
      <c r="V79" s="20">
        <v>1</v>
      </c>
      <c r="W79" s="20">
        <v>4</v>
      </c>
      <c r="X79" s="20" t="s">
        <v>490</v>
      </c>
      <c r="Y79" s="20" t="s">
        <v>292</v>
      </c>
      <c r="Z79" s="20" t="s">
        <v>60</v>
      </c>
      <c r="AA79" s="20" t="s">
        <v>491</v>
      </c>
    </row>
    <row r="80" spans="1:27" x14ac:dyDescent="0.2">
      <c r="A80" s="1">
        <v>45948</v>
      </c>
      <c r="B80" s="20" t="s">
        <v>326</v>
      </c>
      <c r="C80" s="20" t="s">
        <v>25</v>
      </c>
      <c r="D80" s="20" t="s">
        <v>13</v>
      </c>
      <c r="E80" s="20" t="s">
        <v>598</v>
      </c>
      <c r="F80" s="20" t="s">
        <v>25</v>
      </c>
      <c r="G80" s="20">
        <v>2</v>
      </c>
      <c r="H80" s="20">
        <v>3</v>
      </c>
      <c r="I80" s="13">
        <v>0.6</v>
      </c>
      <c r="J80" s="20" t="s">
        <v>249</v>
      </c>
      <c r="L80" s="20" t="s">
        <v>248</v>
      </c>
      <c r="M80" s="20" t="s">
        <v>450</v>
      </c>
      <c r="N80" s="20" t="s">
        <v>25</v>
      </c>
      <c r="O80" s="20">
        <v>2</v>
      </c>
      <c r="P80" s="20">
        <v>3</v>
      </c>
      <c r="Q80" s="13">
        <v>0.6159999778434796</v>
      </c>
      <c r="R80" s="20" t="s">
        <v>249</v>
      </c>
      <c r="S80" s="20">
        <v>-0.71405798708260382</v>
      </c>
      <c r="T80" s="20" t="s">
        <v>248</v>
      </c>
      <c r="U80" s="20" t="s">
        <v>25</v>
      </c>
      <c r="V80" s="20">
        <v>4</v>
      </c>
      <c r="W80" s="20">
        <v>3</v>
      </c>
      <c r="X80" s="20" t="s">
        <v>496</v>
      </c>
      <c r="Y80" s="20" t="s">
        <v>292</v>
      </c>
      <c r="Z80" s="20" t="s">
        <v>60</v>
      </c>
      <c r="AA80" s="20" t="s">
        <v>491</v>
      </c>
    </row>
    <row r="81" spans="1:27" x14ac:dyDescent="0.2">
      <c r="A81" s="1">
        <v>45948</v>
      </c>
      <c r="B81" s="20" t="s">
        <v>328</v>
      </c>
      <c r="C81" s="20" t="s">
        <v>15</v>
      </c>
      <c r="D81" s="20" t="s">
        <v>18</v>
      </c>
      <c r="E81" s="20" t="s">
        <v>599</v>
      </c>
      <c r="F81" s="20" t="s">
        <v>15</v>
      </c>
      <c r="G81" s="20">
        <v>2</v>
      </c>
      <c r="H81" s="20">
        <v>3</v>
      </c>
      <c r="I81" s="13">
        <v>0.6</v>
      </c>
      <c r="J81" s="20" t="s">
        <v>249</v>
      </c>
      <c r="L81" s="20" t="s">
        <v>248</v>
      </c>
      <c r="M81" s="20" t="s">
        <v>518</v>
      </c>
      <c r="N81" s="20" t="s">
        <v>15</v>
      </c>
      <c r="O81" s="20">
        <v>2</v>
      </c>
      <c r="P81" s="20">
        <v>3</v>
      </c>
      <c r="Q81" s="13">
        <v>0.58961768371859735</v>
      </c>
      <c r="R81" s="20" t="s">
        <v>249</v>
      </c>
      <c r="S81" s="20">
        <v>-0.25295489486672013</v>
      </c>
      <c r="T81" s="20" t="s">
        <v>248</v>
      </c>
      <c r="U81" s="20" t="s">
        <v>15</v>
      </c>
      <c r="V81" s="20">
        <v>4</v>
      </c>
      <c r="W81" s="20">
        <v>3</v>
      </c>
      <c r="X81" s="20" t="s">
        <v>490</v>
      </c>
      <c r="Y81" s="20" t="s">
        <v>292</v>
      </c>
      <c r="Z81" s="20" t="s">
        <v>60</v>
      </c>
      <c r="AA81" s="20" t="s">
        <v>491</v>
      </c>
    </row>
    <row r="82" spans="1:27" x14ac:dyDescent="0.2">
      <c r="A82" s="1">
        <v>45948</v>
      </c>
      <c r="B82" s="20" t="s">
        <v>352</v>
      </c>
      <c r="C82" s="20" t="s">
        <v>17</v>
      </c>
      <c r="D82" s="20" t="s">
        <v>24</v>
      </c>
      <c r="E82" s="20" t="s">
        <v>600</v>
      </c>
      <c r="F82" s="20" t="s">
        <v>24</v>
      </c>
      <c r="G82" s="20">
        <v>2</v>
      </c>
      <c r="H82" s="20">
        <v>3</v>
      </c>
      <c r="I82" s="13">
        <v>0.6</v>
      </c>
      <c r="J82" s="20" t="s">
        <v>249</v>
      </c>
      <c r="L82" s="20" t="s">
        <v>248</v>
      </c>
      <c r="M82" s="20" t="s">
        <v>449</v>
      </c>
      <c r="N82" s="20" t="s">
        <v>24</v>
      </c>
      <c r="O82" s="20">
        <v>2</v>
      </c>
      <c r="P82" s="20">
        <v>3</v>
      </c>
      <c r="Q82" s="13">
        <v>0.7213240311538418</v>
      </c>
      <c r="R82" s="20" t="s">
        <v>249</v>
      </c>
      <c r="S82" s="20">
        <v>0.8691776639252885</v>
      </c>
      <c r="T82" s="20" t="s">
        <v>248</v>
      </c>
      <c r="U82" s="20" t="s">
        <v>24</v>
      </c>
      <c r="V82" s="20">
        <v>3</v>
      </c>
      <c r="W82" s="20">
        <v>5</v>
      </c>
      <c r="X82" s="20" t="s">
        <v>490</v>
      </c>
      <c r="Y82" s="20" t="s">
        <v>292</v>
      </c>
      <c r="Z82" s="20" t="s">
        <v>60</v>
      </c>
      <c r="AA82" s="20" t="s">
        <v>491</v>
      </c>
    </row>
    <row r="83" spans="1:27" x14ac:dyDescent="0.2">
      <c r="A83" s="1">
        <v>45948</v>
      </c>
      <c r="B83" s="20" t="s">
        <v>453</v>
      </c>
      <c r="C83" s="20" t="s">
        <v>30</v>
      </c>
      <c r="D83" s="20" t="s">
        <v>36</v>
      </c>
      <c r="E83" s="20" t="s">
        <v>601</v>
      </c>
      <c r="F83" s="20" t="s">
        <v>30</v>
      </c>
      <c r="G83" s="20">
        <v>2</v>
      </c>
      <c r="H83" s="20">
        <v>3</v>
      </c>
      <c r="I83" s="13">
        <v>0.6</v>
      </c>
      <c r="J83" s="20" t="s">
        <v>249</v>
      </c>
      <c r="L83" s="20" t="s">
        <v>248</v>
      </c>
      <c r="M83" s="20" t="s">
        <v>580</v>
      </c>
      <c r="N83" s="20" t="s">
        <v>30</v>
      </c>
      <c r="O83" s="20">
        <v>2</v>
      </c>
      <c r="P83" s="20">
        <v>3</v>
      </c>
      <c r="Q83" s="13">
        <v>0.55820746289392176</v>
      </c>
      <c r="R83" s="20" t="s">
        <v>249</v>
      </c>
      <c r="S83" s="20">
        <v>-0.2405433045003435</v>
      </c>
      <c r="T83" s="20" t="s">
        <v>248</v>
      </c>
      <c r="U83" s="20" t="s">
        <v>30</v>
      </c>
      <c r="V83" s="20">
        <v>5</v>
      </c>
      <c r="W83" s="20">
        <v>4</v>
      </c>
      <c r="X83" s="20" t="s">
        <v>490</v>
      </c>
      <c r="Y83" s="20" t="s">
        <v>292</v>
      </c>
      <c r="Z83" s="20" t="s">
        <v>60</v>
      </c>
      <c r="AA83" s="20" t="s">
        <v>491</v>
      </c>
    </row>
    <row r="84" spans="1:27" x14ac:dyDescent="0.2">
      <c r="A84" s="1">
        <v>45948</v>
      </c>
      <c r="B84" s="20" t="s">
        <v>328</v>
      </c>
      <c r="C84" s="20" t="s">
        <v>34</v>
      </c>
      <c r="D84" s="20" t="s">
        <v>27</v>
      </c>
      <c r="E84" s="20" t="s">
        <v>602</v>
      </c>
      <c r="F84" s="20" t="s">
        <v>34</v>
      </c>
      <c r="G84" s="20">
        <v>2</v>
      </c>
      <c r="H84" s="20">
        <v>3</v>
      </c>
      <c r="I84" s="13">
        <v>0.6</v>
      </c>
      <c r="J84" s="20" t="s">
        <v>249</v>
      </c>
      <c r="L84" s="20" t="s">
        <v>249</v>
      </c>
      <c r="M84" s="20" t="s">
        <v>603</v>
      </c>
      <c r="N84" s="20" t="s">
        <v>34</v>
      </c>
      <c r="O84" s="20">
        <v>2</v>
      </c>
      <c r="P84" s="20">
        <v>3</v>
      </c>
      <c r="Q84" s="13">
        <v>0.52050739489554854</v>
      </c>
      <c r="R84" s="20" t="s">
        <v>249</v>
      </c>
      <c r="S84" s="20">
        <v>-0.2752140471336747</v>
      </c>
      <c r="T84" s="20" t="s">
        <v>249</v>
      </c>
      <c r="U84" s="20" t="s">
        <v>27</v>
      </c>
      <c r="V84" s="20">
        <v>1</v>
      </c>
      <c r="W84" s="20">
        <v>2</v>
      </c>
      <c r="X84" s="20" t="s">
        <v>496</v>
      </c>
      <c r="Y84" s="20" t="s">
        <v>292</v>
      </c>
      <c r="Z84" s="20" t="s">
        <v>60</v>
      </c>
      <c r="AA84" s="20" t="s">
        <v>491</v>
      </c>
    </row>
    <row r="85" spans="1:27" x14ac:dyDescent="0.2">
      <c r="A85" s="1">
        <v>45948</v>
      </c>
      <c r="B85" s="20" t="s">
        <v>322</v>
      </c>
      <c r="C85" s="20" t="s">
        <v>14</v>
      </c>
      <c r="D85" s="20" t="s">
        <v>33</v>
      </c>
      <c r="E85" s="20" t="s">
        <v>604</v>
      </c>
      <c r="F85" s="20" t="s">
        <v>14</v>
      </c>
      <c r="G85" s="20">
        <v>2</v>
      </c>
      <c r="H85" s="20">
        <v>3</v>
      </c>
      <c r="I85" s="13">
        <v>0.6</v>
      </c>
      <c r="J85" s="20" t="s">
        <v>249</v>
      </c>
      <c r="L85" s="20" t="s">
        <v>248</v>
      </c>
      <c r="M85" s="20" t="s">
        <v>451</v>
      </c>
      <c r="N85" s="20" t="s">
        <v>14</v>
      </c>
      <c r="O85" s="20">
        <v>2</v>
      </c>
      <c r="P85" s="20">
        <v>3</v>
      </c>
      <c r="Q85" s="13">
        <v>0.51934442750587928</v>
      </c>
      <c r="R85" s="20" t="s">
        <v>249</v>
      </c>
      <c r="S85" s="20">
        <v>-0.25916602189359078</v>
      </c>
      <c r="T85" s="20" t="s">
        <v>248</v>
      </c>
      <c r="U85" s="20" t="s">
        <v>14</v>
      </c>
      <c r="V85" s="20">
        <v>3</v>
      </c>
      <c r="W85" s="20">
        <v>0</v>
      </c>
      <c r="X85" s="20" t="s">
        <v>490</v>
      </c>
      <c r="Y85" s="20" t="s">
        <v>292</v>
      </c>
      <c r="Z85" s="20" t="s">
        <v>60</v>
      </c>
      <c r="AA85" s="20" t="s">
        <v>491</v>
      </c>
    </row>
    <row r="86" spans="1:27" x14ac:dyDescent="0.2">
      <c r="A86" s="1">
        <v>45948</v>
      </c>
      <c r="B86" s="20" t="s">
        <v>328</v>
      </c>
      <c r="C86" s="20" t="s">
        <v>39</v>
      </c>
      <c r="D86" s="20" t="s">
        <v>35</v>
      </c>
      <c r="E86" s="20" t="s">
        <v>605</v>
      </c>
      <c r="F86" s="20" t="s">
        <v>39</v>
      </c>
      <c r="G86" s="20">
        <v>2</v>
      </c>
      <c r="H86" s="20">
        <v>3</v>
      </c>
      <c r="I86" s="13">
        <v>0.6</v>
      </c>
      <c r="J86" s="20" t="s">
        <v>249</v>
      </c>
      <c r="L86" s="20" t="s">
        <v>249</v>
      </c>
      <c r="M86" s="20" t="s">
        <v>606</v>
      </c>
      <c r="N86" s="20" t="s">
        <v>39</v>
      </c>
      <c r="O86" s="20">
        <v>2</v>
      </c>
      <c r="P86" s="20">
        <v>3</v>
      </c>
      <c r="Q86" s="13">
        <v>0.76707254891390675</v>
      </c>
      <c r="R86" s="20" t="s">
        <v>249</v>
      </c>
      <c r="S86" s="20">
        <v>-1.7580201248796801</v>
      </c>
      <c r="T86" s="20" t="s">
        <v>249</v>
      </c>
      <c r="U86" s="20" t="s">
        <v>35</v>
      </c>
      <c r="V86" s="20">
        <v>1</v>
      </c>
      <c r="W86" s="20">
        <v>3</v>
      </c>
      <c r="X86" s="20" t="s">
        <v>490</v>
      </c>
      <c r="Y86" s="20" t="s">
        <v>292</v>
      </c>
      <c r="Z86" s="20" t="s">
        <v>60</v>
      </c>
      <c r="AA86" s="20" t="s">
        <v>491</v>
      </c>
    </row>
    <row r="87" spans="1:27" x14ac:dyDescent="0.2">
      <c r="A87" s="1">
        <v>45948</v>
      </c>
      <c r="B87" s="20" t="s">
        <v>328</v>
      </c>
      <c r="C87" s="20" t="s">
        <v>32</v>
      </c>
      <c r="D87" s="20" t="s">
        <v>19</v>
      </c>
      <c r="E87" s="20" t="s">
        <v>607</v>
      </c>
      <c r="F87" s="20" t="s">
        <v>19</v>
      </c>
      <c r="G87" s="20">
        <v>2</v>
      </c>
      <c r="H87" s="20">
        <v>3</v>
      </c>
      <c r="I87" s="13">
        <v>0.6</v>
      </c>
      <c r="J87" s="20" t="s">
        <v>249</v>
      </c>
      <c r="L87" s="20" t="s">
        <v>249</v>
      </c>
      <c r="M87" s="20" t="s">
        <v>608</v>
      </c>
      <c r="N87" s="20" t="s">
        <v>19</v>
      </c>
      <c r="O87" s="20">
        <v>2</v>
      </c>
      <c r="P87" s="20">
        <v>3</v>
      </c>
      <c r="Q87" s="13">
        <v>0.54756628548978714</v>
      </c>
      <c r="R87" s="20" t="s">
        <v>249</v>
      </c>
      <c r="S87" s="20">
        <v>6.4799392882271878E-2</v>
      </c>
      <c r="T87" s="20" t="s">
        <v>249</v>
      </c>
      <c r="U87" s="20" t="s">
        <v>32</v>
      </c>
      <c r="V87" s="20">
        <v>4</v>
      </c>
      <c r="W87" s="20">
        <v>3</v>
      </c>
      <c r="X87" s="20" t="s">
        <v>496</v>
      </c>
      <c r="Y87" s="20" t="s">
        <v>292</v>
      </c>
      <c r="Z87" s="20" t="s">
        <v>60</v>
      </c>
      <c r="AA87" s="20" t="s">
        <v>491</v>
      </c>
    </row>
    <row r="88" spans="1:27" x14ac:dyDescent="0.2">
      <c r="A88" s="1">
        <v>45948</v>
      </c>
      <c r="B88" s="20" t="s">
        <v>322</v>
      </c>
      <c r="C88" s="20" t="s">
        <v>16</v>
      </c>
      <c r="D88" s="20" t="s">
        <v>20</v>
      </c>
      <c r="E88" s="20" t="s">
        <v>609</v>
      </c>
      <c r="F88" s="20" t="s">
        <v>20</v>
      </c>
      <c r="G88" s="20">
        <v>2</v>
      </c>
      <c r="H88" s="20">
        <v>3</v>
      </c>
      <c r="I88" s="13">
        <v>0.6</v>
      </c>
      <c r="J88" s="20" t="s">
        <v>249</v>
      </c>
      <c r="L88" s="20" t="s">
        <v>248</v>
      </c>
      <c r="M88" s="20" t="s">
        <v>510</v>
      </c>
      <c r="N88" s="20" t="s">
        <v>20</v>
      </c>
      <c r="O88" s="20">
        <v>2</v>
      </c>
      <c r="P88" s="20">
        <v>3</v>
      </c>
      <c r="Q88" s="13">
        <v>0.64173026842765124</v>
      </c>
      <c r="R88" s="20" t="s">
        <v>249</v>
      </c>
      <c r="S88" s="20">
        <v>0.8712411976471468</v>
      </c>
      <c r="T88" s="20" t="s">
        <v>248</v>
      </c>
      <c r="U88" s="20" t="s">
        <v>20</v>
      </c>
      <c r="V88" s="20">
        <v>1</v>
      </c>
      <c r="W88" s="20">
        <v>6</v>
      </c>
      <c r="X88" s="20" t="s">
        <v>490</v>
      </c>
      <c r="Y88" s="20" t="s">
        <v>292</v>
      </c>
      <c r="Z88" s="20" t="s">
        <v>60</v>
      </c>
      <c r="AA88" s="20" t="s">
        <v>491</v>
      </c>
    </row>
    <row r="89" spans="1:27" x14ac:dyDescent="0.2">
      <c r="A89" s="1">
        <v>45948</v>
      </c>
      <c r="B89" s="20" t="s">
        <v>328</v>
      </c>
      <c r="C89" s="20" t="s">
        <v>29</v>
      </c>
      <c r="D89" s="20" t="s">
        <v>40</v>
      </c>
      <c r="E89" s="20" t="s">
        <v>610</v>
      </c>
      <c r="F89" s="20" t="s">
        <v>40</v>
      </c>
      <c r="G89" s="20">
        <v>2</v>
      </c>
      <c r="H89" s="20">
        <v>3</v>
      </c>
      <c r="I89" s="13">
        <v>0.6</v>
      </c>
      <c r="J89" s="20" t="s">
        <v>249</v>
      </c>
      <c r="L89" s="20" t="s">
        <v>248</v>
      </c>
      <c r="M89" s="20" t="s">
        <v>315</v>
      </c>
      <c r="N89" s="20" t="s">
        <v>40</v>
      </c>
      <c r="O89" s="20">
        <v>2</v>
      </c>
      <c r="P89" s="20">
        <v>3</v>
      </c>
      <c r="Q89" s="13">
        <v>0.67345605488272364</v>
      </c>
      <c r="R89" s="20" t="s">
        <v>249</v>
      </c>
      <c r="S89" s="20">
        <v>1.121576208950432</v>
      </c>
      <c r="T89" s="20" t="s">
        <v>248</v>
      </c>
      <c r="U89" s="20" t="s">
        <v>40</v>
      </c>
      <c r="V89" s="20">
        <v>1</v>
      </c>
      <c r="W89" s="20">
        <v>4</v>
      </c>
      <c r="X89" s="20" t="s">
        <v>490</v>
      </c>
      <c r="Y89" s="20" t="s">
        <v>292</v>
      </c>
      <c r="Z89" s="20" t="s">
        <v>60</v>
      </c>
      <c r="AA89" s="20" t="s">
        <v>491</v>
      </c>
    </row>
    <row r="90" spans="1:27" x14ac:dyDescent="0.2">
      <c r="A90" s="1">
        <v>45949</v>
      </c>
      <c r="B90" s="20" t="s">
        <v>328</v>
      </c>
      <c r="C90" s="20" t="s">
        <v>31</v>
      </c>
      <c r="D90" s="20" t="s">
        <v>10</v>
      </c>
      <c r="E90" s="20" t="s">
        <v>468</v>
      </c>
      <c r="F90" s="20" t="s">
        <v>31</v>
      </c>
      <c r="G90" s="20">
        <v>2</v>
      </c>
      <c r="H90" s="20">
        <v>3</v>
      </c>
      <c r="I90" s="13">
        <v>0.6</v>
      </c>
      <c r="J90" s="20" t="s">
        <v>249</v>
      </c>
      <c r="L90" s="20" t="s">
        <v>249</v>
      </c>
      <c r="M90" s="20" t="s">
        <v>611</v>
      </c>
      <c r="N90" s="20" t="s">
        <v>31</v>
      </c>
      <c r="O90" s="20">
        <v>2</v>
      </c>
      <c r="P90" s="20">
        <v>3</v>
      </c>
      <c r="Q90" s="13">
        <v>0.51638231038195603</v>
      </c>
      <c r="R90" s="20" t="s">
        <v>249</v>
      </c>
      <c r="S90" s="20">
        <v>-0.3049985281004175</v>
      </c>
      <c r="T90" s="20" t="s">
        <v>249</v>
      </c>
      <c r="U90" s="20" t="s">
        <v>10</v>
      </c>
      <c r="V90" s="20">
        <v>1</v>
      </c>
      <c r="W90" s="20">
        <v>2</v>
      </c>
      <c r="X90" s="20" t="s">
        <v>496</v>
      </c>
      <c r="Y90" s="20" t="s">
        <v>292</v>
      </c>
      <c r="Z90" s="20" t="s">
        <v>60</v>
      </c>
      <c r="AA90" s="20" t="s">
        <v>491</v>
      </c>
    </row>
    <row r="91" spans="1:27" x14ac:dyDescent="0.2">
      <c r="A91" s="1">
        <v>45949</v>
      </c>
      <c r="B91" s="20" t="s">
        <v>453</v>
      </c>
      <c r="C91" s="20" t="s">
        <v>17</v>
      </c>
      <c r="D91" s="20" t="s">
        <v>26</v>
      </c>
      <c r="E91" s="20" t="s">
        <v>612</v>
      </c>
      <c r="F91" s="20" t="s">
        <v>17</v>
      </c>
      <c r="G91" s="20">
        <v>2</v>
      </c>
      <c r="H91" s="20">
        <v>3</v>
      </c>
      <c r="I91" s="13">
        <v>0.6</v>
      </c>
      <c r="J91" s="20" t="s">
        <v>249</v>
      </c>
      <c r="L91" s="20" t="s">
        <v>249</v>
      </c>
      <c r="M91" s="20" t="s">
        <v>613</v>
      </c>
      <c r="N91" s="20" t="s">
        <v>17</v>
      </c>
      <c r="O91" s="20">
        <v>2</v>
      </c>
      <c r="P91" s="20">
        <v>3</v>
      </c>
      <c r="Q91" s="13">
        <v>0.46089817225907131</v>
      </c>
      <c r="R91" s="20" t="s">
        <v>249</v>
      </c>
      <c r="S91" s="20">
        <v>-7.6921518716253079E-3</v>
      </c>
      <c r="T91" s="20" t="s">
        <v>249</v>
      </c>
      <c r="U91" s="20" t="s">
        <v>26</v>
      </c>
      <c r="V91" s="20">
        <v>2</v>
      </c>
      <c r="W91" s="20">
        <v>4</v>
      </c>
      <c r="X91" s="20" t="s">
        <v>490</v>
      </c>
      <c r="Y91" s="20" t="s">
        <v>292</v>
      </c>
      <c r="Z91" s="20" t="s">
        <v>60</v>
      </c>
      <c r="AA91" s="20" t="s">
        <v>491</v>
      </c>
    </row>
    <row r="92" spans="1:27" x14ac:dyDescent="0.2">
      <c r="A92" s="1">
        <v>45949</v>
      </c>
      <c r="B92" s="20" t="s">
        <v>328</v>
      </c>
      <c r="C92" s="20" t="s">
        <v>21</v>
      </c>
      <c r="D92" s="20" t="s">
        <v>55</v>
      </c>
      <c r="E92" s="20" t="s">
        <v>614</v>
      </c>
      <c r="F92" s="20" t="s">
        <v>21</v>
      </c>
      <c r="G92" s="20">
        <v>2</v>
      </c>
      <c r="H92" s="20">
        <v>3</v>
      </c>
      <c r="I92" s="13">
        <v>0.6</v>
      </c>
      <c r="J92" s="20" t="s">
        <v>249</v>
      </c>
      <c r="L92" s="20" t="s">
        <v>249</v>
      </c>
      <c r="M92" s="20" t="s">
        <v>615</v>
      </c>
      <c r="N92" s="20" t="s">
        <v>21</v>
      </c>
      <c r="O92" s="20">
        <v>2</v>
      </c>
      <c r="P92" s="20">
        <v>3</v>
      </c>
      <c r="Q92" s="13">
        <v>0.43596474725172057</v>
      </c>
      <c r="R92" s="20" t="s">
        <v>249</v>
      </c>
      <c r="S92" s="20">
        <v>-0.1334527796502884</v>
      </c>
      <c r="T92" s="20" t="s">
        <v>249</v>
      </c>
      <c r="U92" s="20" t="s">
        <v>55</v>
      </c>
      <c r="V92" s="20">
        <v>2</v>
      </c>
      <c r="W92" s="20">
        <v>3</v>
      </c>
      <c r="X92" s="20" t="s">
        <v>490</v>
      </c>
      <c r="Y92" s="20" t="s">
        <v>292</v>
      </c>
      <c r="Z92" s="20" t="s">
        <v>60</v>
      </c>
      <c r="AA92" s="20" t="s">
        <v>491</v>
      </c>
    </row>
    <row r="93" spans="1:27" x14ac:dyDescent="0.2">
      <c r="A93" s="1">
        <v>45949</v>
      </c>
      <c r="B93" s="20" t="s">
        <v>555</v>
      </c>
      <c r="C93" s="20" t="s">
        <v>38</v>
      </c>
      <c r="D93" s="20" t="s">
        <v>22</v>
      </c>
      <c r="E93" s="20" t="s">
        <v>616</v>
      </c>
      <c r="F93" s="20" t="s">
        <v>22</v>
      </c>
      <c r="G93" s="20">
        <v>2</v>
      </c>
      <c r="H93" s="20">
        <v>3</v>
      </c>
      <c r="I93" s="13">
        <v>0.6</v>
      </c>
      <c r="J93" s="20" t="s">
        <v>249</v>
      </c>
      <c r="L93" s="20" t="s">
        <v>249</v>
      </c>
      <c r="M93" s="20" t="s">
        <v>617</v>
      </c>
      <c r="N93" s="20" t="s">
        <v>22</v>
      </c>
      <c r="O93" s="20">
        <v>2</v>
      </c>
      <c r="P93" s="20">
        <v>3</v>
      </c>
      <c r="Q93" s="13">
        <v>0.73044108736408575</v>
      </c>
      <c r="R93" s="20" t="s">
        <v>249</v>
      </c>
      <c r="S93" s="20">
        <v>1.438285736887724</v>
      </c>
      <c r="T93" s="20" t="s">
        <v>249</v>
      </c>
      <c r="U93" s="20" t="s">
        <v>38</v>
      </c>
      <c r="V93" s="20">
        <v>4</v>
      </c>
      <c r="W93" s="20">
        <v>3</v>
      </c>
      <c r="X93" s="20" t="s">
        <v>490</v>
      </c>
      <c r="Y93" s="20" t="s">
        <v>292</v>
      </c>
      <c r="Z93" s="20" t="s">
        <v>60</v>
      </c>
      <c r="AA93" s="20" t="s">
        <v>491</v>
      </c>
    </row>
    <row r="94" spans="1:27" x14ac:dyDescent="0.2">
      <c r="A94" s="1">
        <v>45950</v>
      </c>
      <c r="B94" s="20" t="s">
        <v>426</v>
      </c>
      <c r="C94" s="20" t="s">
        <v>40</v>
      </c>
      <c r="D94" s="20" t="s">
        <v>16</v>
      </c>
      <c r="E94" s="20" t="s">
        <v>618</v>
      </c>
      <c r="F94" s="20" t="s">
        <v>40</v>
      </c>
      <c r="G94" s="20">
        <v>2</v>
      </c>
      <c r="H94" s="20">
        <v>3</v>
      </c>
      <c r="I94" s="13">
        <v>0.6</v>
      </c>
      <c r="J94" s="20" t="s">
        <v>249</v>
      </c>
      <c r="L94" s="20" t="s">
        <v>248</v>
      </c>
      <c r="M94" s="20" t="s">
        <v>315</v>
      </c>
      <c r="N94" s="20" t="s">
        <v>40</v>
      </c>
      <c r="O94" s="20">
        <v>2</v>
      </c>
      <c r="P94" s="20">
        <v>3</v>
      </c>
      <c r="Q94" s="13">
        <v>0.56281266994144419</v>
      </c>
      <c r="R94" s="20" t="s">
        <v>249</v>
      </c>
      <c r="S94" s="20">
        <v>-0.70263870633866676</v>
      </c>
      <c r="T94" s="20" t="s">
        <v>248</v>
      </c>
      <c r="U94" s="20" t="s">
        <v>40</v>
      </c>
      <c r="V94" s="20">
        <v>2</v>
      </c>
      <c r="W94" s="20">
        <v>1</v>
      </c>
      <c r="X94" s="20" t="s">
        <v>490</v>
      </c>
      <c r="Y94" s="20" t="s">
        <v>292</v>
      </c>
      <c r="Z94" s="20" t="s">
        <v>60</v>
      </c>
      <c r="AA94" s="20" t="s">
        <v>491</v>
      </c>
    </row>
    <row r="95" spans="1:27" x14ac:dyDescent="0.2">
      <c r="A95" s="1">
        <v>45950</v>
      </c>
      <c r="B95" s="20" t="s">
        <v>334</v>
      </c>
      <c r="C95" s="20" t="s">
        <v>23</v>
      </c>
      <c r="D95" s="20" t="s">
        <v>18</v>
      </c>
      <c r="E95" s="20" t="s">
        <v>619</v>
      </c>
      <c r="F95" s="20" t="s">
        <v>23</v>
      </c>
      <c r="G95" s="20">
        <v>2</v>
      </c>
      <c r="H95" s="20">
        <v>3</v>
      </c>
      <c r="I95" s="13">
        <v>0.6</v>
      </c>
      <c r="J95" s="20" t="s">
        <v>249</v>
      </c>
      <c r="L95" s="20" t="s">
        <v>249</v>
      </c>
      <c r="M95" s="20" t="s">
        <v>620</v>
      </c>
      <c r="N95" s="20" t="s">
        <v>23</v>
      </c>
      <c r="O95" s="20">
        <v>2</v>
      </c>
      <c r="P95" s="20">
        <v>3</v>
      </c>
      <c r="Q95" s="13">
        <v>0.46780904534685669</v>
      </c>
      <c r="R95" s="20" t="s">
        <v>249</v>
      </c>
      <c r="S95" s="20">
        <v>-6.6878443610073057E-2</v>
      </c>
      <c r="T95" s="20" t="s">
        <v>249</v>
      </c>
      <c r="U95" s="20" t="s">
        <v>18</v>
      </c>
      <c r="V95" s="20">
        <v>2</v>
      </c>
      <c r="W95" s="20">
        <v>4</v>
      </c>
      <c r="X95" s="20" t="s">
        <v>490</v>
      </c>
      <c r="Y95" s="20" t="s">
        <v>292</v>
      </c>
      <c r="Z95" s="20" t="s">
        <v>60</v>
      </c>
      <c r="AA95" s="20" t="s">
        <v>491</v>
      </c>
    </row>
    <row r="96" spans="1:27" x14ac:dyDescent="0.2">
      <c r="A96" s="1">
        <v>45950</v>
      </c>
      <c r="B96" s="20" t="s">
        <v>328</v>
      </c>
      <c r="C96" s="20" t="s">
        <v>34</v>
      </c>
      <c r="D96" s="20" t="s">
        <v>15</v>
      </c>
      <c r="E96" s="20" t="s">
        <v>621</v>
      </c>
      <c r="F96" s="20" t="s">
        <v>34</v>
      </c>
      <c r="G96" s="20">
        <v>2</v>
      </c>
      <c r="H96" s="20">
        <v>3</v>
      </c>
      <c r="I96" s="13">
        <v>0.6</v>
      </c>
      <c r="J96" s="20" t="s">
        <v>249</v>
      </c>
      <c r="L96" s="20" t="s">
        <v>248</v>
      </c>
      <c r="M96" s="20" t="s">
        <v>343</v>
      </c>
      <c r="N96" s="20" t="s">
        <v>34</v>
      </c>
      <c r="O96" s="20">
        <v>2</v>
      </c>
      <c r="P96" s="20">
        <v>3</v>
      </c>
      <c r="Q96" s="13">
        <v>0.52411502966087842</v>
      </c>
      <c r="R96" s="20" t="s">
        <v>249</v>
      </c>
      <c r="S96" s="20">
        <v>-0.18500844811130129</v>
      </c>
      <c r="T96" s="20" t="s">
        <v>248</v>
      </c>
      <c r="U96" s="20" t="s">
        <v>34</v>
      </c>
      <c r="V96" s="20">
        <v>3</v>
      </c>
      <c r="W96" s="20">
        <v>1</v>
      </c>
      <c r="X96" s="20" t="s">
        <v>490</v>
      </c>
      <c r="Y96" s="20" t="s">
        <v>292</v>
      </c>
      <c r="Z96" s="20" t="s">
        <v>60</v>
      </c>
      <c r="AA96" s="20" t="s">
        <v>491</v>
      </c>
    </row>
    <row r="97" spans="1:27" x14ac:dyDescent="0.2">
      <c r="A97" s="1">
        <v>45950</v>
      </c>
      <c r="B97" s="20" t="s">
        <v>328</v>
      </c>
      <c r="C97" s="20" t="s">
        <v>32</v>
      </c>
      <c r="D97" s="20" t="s">
        <v>27</v>
      </c>
      <c r="E97" s="20" t="s">
        <v>622</v>
      </c>
      <c r="F97" s="20" t="s">
        <v>27</v>
      </c>
      <c r="G97" s="20">
        <v>2</v>
      </c>
      <c r="H97" s="20">
        <v>3</v>
      </c>
      <c r="I97" s="13">
        <v>0.6</v>
      </c>
      <c r="J97" s="20" t="s">
        <v>249</v>
      </c>
      <c r="L97" s="20" t="s">
        <v>248</v>
      </c>
      <c r="M97" s="20" t="s">
        <v>393</v>
      </c>
      <c r="N97" s="20" t="s">
        <v>27</v>
      </c>
      <c r="O97" s="20">
        <v>2</v>
      </c>
      <c r="P97" s="20">
        <v>3</v>
      </c>
      <c r="Q97" s="13">
        <v>0.59126906245048083</v>
      </c>
      <c r="R97" s="20" t="s">
        <v>249</v>
      </c>
      <c r="S97" s="20">
        <v>0.31903840069493639</v>
      </c>
      <c r="T97" s="20" t="s">
        <v>248</v>
      </c>
      <c r="U97" s="20" t="s">
        <v>27</v>
      </c>
      <c r="V97" s="20">
        <v>2</v>
      </c>
      <c r="W97" s="20">
        <v>5</v>
      </c>
      <c r="X97" s="20" t="s">
        <v>490</v>
      </c>
      <c r="Y97" s="20" t="s">
        <v>292</v>
      </c>
      <c r="Z97" s="20" t="s">
        <v>60</v>
      </c>
      <c r="AA97" s="20" t="s">
        <v>491</v>
      </c>
    </row>
    <row r="98" spans="1:27" x14ac:dyDescent="0.2">
      <c r="A98" s="1">
        <v>45950</v>
      </c>
      <c r="B98" s="20" t="s">
        <v>322</v>
      </c>
      <c r="C98" s="20" t="s">
        <v>25</v>
      </c>
      <c r="D98" s="20" t="s">
        <v>20</v>
      </c>
      <c r="E98" s="20" t="s">
        <v>623</v>
      </c>
      <c r="F98" s="20" t="s">
        <v>25</v>
      </c>
      <c r="G98" s="20">
        <v>2</v>
      </c>
      <c r="H98" s="20">
        <v>3</v>
      </c>
      <c r="I98" s="13">
        <v>0.6</v>
      </c>
      <c r="J98" s="20" t="s">
        <v>249</v>
      </c>
      <c r="L98" s="20" t="s">
        <v>249</v>
      </c>
      <c r="M98" s="20" t="s">
        <v>624</v>
      </c>
      <c r="N98" s="20" t="s">
        <v>25</v>
      </c>
      <c r="O98" s="20">
        <v>2</v>
      </c>
      <c r="P98" s="20">
        <v>3</v>
      </c>
      <c r="Q98" s="13">
        <v>0.60504244961743847</v>
      </c>
      <c r="R98" s="20" t="s">
        <v>249</v>
      </c>
      <c r="S98" s="20">
        <v>-0.62021521872602658</v>
      </c>
      <c r="T98" s="20" t="s">
        <v>249</v>
      </c>
      <c r="U98" s="20" t="s">
        <v>20</v>
      </c>
      <c r="V98" s="20">
        <v>1</v>
      </c>
      <c r="W98" s="20">
        <v>4</v>
      </c>
      <c r="X98" s="20" t="s">
        <v>490</v>
      </c>
      <c r="Y98" s="20" t="s">
        <v>292</v>
      </c>
      <c r="Z98" s="20" t="s">
        <v>60</v>
      </c>
      <c r="AA98" s="20" t="s">
        <v>491</v>
      </c>
    </row>
    <row r="99" spans="1:27" x14ac:dyDescent="0.2">
      <c r="A99" s="1">
        <v>45951</v>
      </c>
      <c r="B99" s="20" t="s">
        <v>322</v>
      </c>
      <c r="C99" s="20" t="s">
        <v>12</v>
      </c>
      <c r="D99" s="20" t="s">
        <v>55</v>
      </c>
      <c r="E99" s="20" t="s">
        <v>625</v>
      </c>
      <c r="F99" s="20" t="s">
        <v>12</v>
      </c>
      <c r="G99" s="20">
        <v>2</v>
      </c>
      <c r="H99" s="20">
        <v>3</v>
      </c>
      <c r="I99" s="13">
        <v>0.6</v>
      </c>
      <c r="J99" s="20" t="s">
        <v>249</v>
      </c>
      <c r="L99" s="20" t="s">
        <v>249</v>
      </c>
      <c r="M99" s="20" t="s">
        <v>626</v>
      </c>
      <c r="N99" s="20" t="s">
        <v>12</v>
      </c>
      <c r="O99" s="20">
        <v>2</v>
      </c>
      <c r="P99" s="20">
        <v>3</v>
      </c>
      <c r="Q99" s="13">
        <v>0.72341289378127493</v>
      </c>
      <c r="R99" s="20" t="s">
        <v>249</v>
      </c>
      <c r="S99" s="20">
        <v>-1.9851261985249959</v>
      </c>
      <c r="T99" s="20" t="s">
        <v>249</v>
      </c>
      <c r="U99" s="20" t="s">
        <v>55</v>
      </c>
      <c r="V99" s="20">
        <v>3</v>
      </c>
      <c r="W99" s="20">
        <v>4</v>
      </c>
      <c r="X99" s="20" t="s">
        <v>496</v>
      </c>
      <c r="Y99" s="20" t="s">
        <v>292</v>
      </c>
      <c r="Z99" s="20" t="s">
        <v>60</v>
      </c>
      <c r="AA99" s="20" t="s">
        <v>491</v>
      </c>
    </row>
    <row r="100" spans="1:27" x14ac:dyDescent="0.2">
      <c r="A100" s="1">
        <v>45951</v>
      </c>
      <c r="B100" s="20" t="s">
        <v>324</v>
      </c>
      <c r="C100" s="20" t="s">
        <v>13</v>
      </c>
      <c r="D100" s="20" t="s">
        <v>35</v>
      </c>
      <c r="E100" s="20" t="s">
        <v>627</v>
      </c>
      <c r="F100" s="20" t="s">
        <v>13</v>
      </c>
      <c r="G100" s="20">
        <v>2</v>
      </c>
      <c r="H100" s="20">
        <v>3</v>
      </c>
      <c r="I100" s="13">
        <v>0.6</v>
      </c>
      <c r="J100" s="20" t="s">
        <v>249</v>
      </c>
      <c r="L100" s="20" t="s">
        <v>248</v>
      </c>
      <c r="M100" s="20" t="s">
        <v>628</v>
      </c>
      <c r="N100" s="20" t="s">
        <v>13</v>
      </c>
      <c r="O100" s="20">
        <v>2</v>
      </c>
      <c r="P100" s="20">
        <v>3</v>
      </c>
      <c r="Q100" s="13">
        <v>0.64381546865604655</v>
      </c>
      <c r="R100" s="20" t="s">
        <v>249</v>
      </c>
      <c r="S100" s="20">
        <v>-1.0062940243473459</v>
      </c>
      <c r="T100" s="20" t="s">
        <v>248</v>
      </c>
      <c r="U100" s="20" t="s">
        <v>13</v>
      </c>
      <c r="V100" s="20">
        <v>2</v>
      </c>
      <c r="W100" s="20">
        <v>1</v>
      </c>
      <c r="X100" s="20" t="s">
        <v>496</v>
      </c>
      <c r="Y100" s="20" t="s">
        <v>292</v>
      </c>
      <c r="Z100" s="20" t="s">
        <v>60</v>
      </c>
      <c r="AA100" s="20" t="s">
        <v>491</v>
      </c>
    </row>
    <row r="101" spans="1:27" x14ac:dyDescent="0.2">
      <c r="A101" s="1">
        <v>45951</v>
      </c>
      <c r="B101" s="20" t="s">
        <v>328</v>
      </c>
      <c r="C101" s="20" t="s">
        <v>38</v>
      </c>
      <c r="D101" s="20" t="s">
        <v>14</v>
      </c>
      <c r="E101" s="20" t="s">
        <v>629</v>
      </c>
      <c r="F101" s="20" t="s">
        <v>14</v>
      </c>
      <c r="G101" s="20">
        <v>2</v>
      </c>
      <c r="H101" s="20">
        <v>3</v>
      </c>
      <c r="I101" s="13">
        <v>0.6</v>
      </c>
      <c r="J101" s="20" t="s">
        <v>249</v>
      </c>
      <c r="L101" s="20" t="s">
        <v>248</v>
      </c>
      <c r="M101" s="20" t="s">
        <v>451</v>
      </c>
      <c r="N101" s="20" t="s">
        <v>14</v>
      </c>
      <c r="O101" s="20">
        <v>2</v>
      </c>
      <c r="P101" s="20">
        <v>3</v>
      </c>
      <c r="Q101" s="13">
        <v>0.63629440707565277</v>
      </c>
      <c r="R101" s="20" t="s">
        <v>249</v>
      </c>
      <c r="S101" s="20">
        <v>0.85531428246847652</v>
      </c>
      <c r="T101" s="20" t="s">
        <v>248</v>
      </c>
      <c r="U101" s="20" t="s">
        <v>14</v>
      </c>
      <c r="V101" s="20">
        <v>1</v>
      </c>
      <c r="W101" s="20">
        <v>5</v>
      </c>
      <c r="X101" s="20" t="s">
        <v>490</v>
      </c>
      <c r="Y101" s="20" t="s">
        <v>292</v>
      </c>
      <c r="Z101" s="20" t="s">
        <v>60</v>
      </c>
      <c r="AA101" s="20" t="s">
        <v>491</v>
      </c>
    </row>
    <row r="102" spans="1:27" x14ac:dyDescent="0.2">
      <c r="A102" s="1">
        <v>45951</v>
      </c>
      <c r="B102" s="20" t="s">
        <v>328</v>
      </c>
      <c r="C102" s="20" t="s">
        <v>17</v>
      </c>
      <c r="D102" s="20" t="s">
        <v>36</v>
      </c>
      <c r="E102" s="20" t="s">
        <v>630</v>
      </c>
      <c r="F102" s="20" t="s">
        <v>36</v>
      </c>
      <c r="G102" s="20">
        <v>2</v>
      </c>
      <c r="H102" s="20">
        <v>3</v>
      </c>
      <c r="I102" s="13">
        <v>0.6</v>
      </c>
      <c r="J102" s="20" t="s">
        <v>249</v>
      </c>
      <c r="L102" s="20" t="s">
        <v>249</v>
      </c>
      <c r="M102" s="20" t="s">
        <v>631</v>
      </c>
      <c r="N102" s="20" t="s">
        <v>36</v>
      </c>
      <c r="O102" s="20">
        <v>2</v>
      </c>
      <c r="P102" s="20">
        <v>3</v>
      </c>
      <c r="Q102" s="13">
        <v>0.58176012376347264</v>
      </c>
      <c r="R102" s="20" t="s">
        <v>249</v>
      </c>
      <c r="S102" s="20">
        <v>0.33627136229584559</v>
      </c>
      <c r="T102" s="20" t="s">
        <v>249</v>
      </c>
      <c r="U102" s="20" t="s">
        <v>17</v>
      </c>
      <c r="V102" s="20">
        <v>3</v>
      </c>
      <c r="W102" s="20">
        <v>2</v>
      </c>
      <c r="X102" s="20" t="s">
        <v>496</v>
      </c>
      <c r="Y102" s="20" t="s">
        <v>292</v>
      </c>
      <c r="Z102" s="20" t="s">
        <v>60</v>
      </c>
      <c r="AA102" s="20" t="s">
        <v>491</v>
      </c>
    </row>
    <row r="103" spans="1:27" x14ac:dyDescent="0.2">
      <c r="A103" s="1">
        <v>45951</v>
      </c>
      <c r="B103" s="20" t="s">
        <v>324</v>
      </c>
      <c r="C103" s="20" t="s">
        <v>28</v>
      </c>
      <c r="D103" s="20" t="s">
        <v>39</v>
      </c>
      <c r="E103" s="20" t="s">
        <v>632</v>
      </c>
      <c r="F103" s="20" t="s">
        <v>39</v>
      </c>
      <c r="G103" s="20">
        <v>2</v>
      </c>
      <c r="H103" s="20">
        <v>3</v>
      </c>
      <c r="I103" s="13">
        <v>0.6</v>
      </c>
      <c r="J103" s="20" t="s">
        <v>249</v>
      </c>
      <c r="L103" s="20" t="s">
        <v>249</v>
      </c>
      <c r="M103" s="20" t="s">
        <v>633</v>
      </c>
      <c r="N103" s="20" t="s">
        <v>39</v>
      </c>
      <c r="O103" s="20">
        <v>2</v>
      </c>
      <c r="P103" s="20">
        <v>3</v>
      </c>
      <c r="Q103" s="13">
        <v>0.69229633650839406</v>
      </c>
      <c r="R103" s="20" t="s">
        <v>249</v>
      </c>
      <c r="S103" s="20">
        <v>1.058332655128823</v>
      </c>
      <c r="T103" s="20" t="s">
        <v>249</v>
      </c>
      <c r="U103" s="20" t="s">
        <v>28</v>
      </c>
      <c r="V103" s="20">
        <v>5</v>
      </c>
      <c r="W103" s="20">
        <v>1</v>
      </c>
      <c r="X103" s="20" t="s">
        <v>490</v>
      </c>
      <c r="Y103" s="20" t="s">
        <v>292</v>
      </c>
      <c r="Z103" s="20" t="s">
        <v>60</v>
      </c>
      <c r="AA103" s="20" t="s">
        <v>491</v>
      </c>
    </row>
    <row r="104" spans="1:27" x14ac:dyDescent="0.2">
      <c r="A104" s="1">
        <v>45951</v>
      </c>
      <c r="B104" s="20" t="s">
        <v>324</v>
      </c>
      <c r="C104" s="20" t="s">
        <v>31</v>
      </c>
      <c r="D104" s="20" t="s">
        <v>29</v>
      </c>
      <c r="E104" s="20" t="s">
        <v>634</v>
      </c>
      <c r="F104" s="20" t="s">
        <v>31</v>
      </c>
      <c r="G104" s="20">
        <v>2</v>
      </c>
      <c r="H104" s="20">
        <v>3</v>
      </c>
      <c r="I104" s="13">
        <v>0.6</v>
      </c>
      <c r="J104" s="20" t="s">
        <v>249</v>
      </c>
      <c r="L104" s="20" t="s">
        <v>248</v>
      </c>
      <c r="M104" s="20" t="s">
        <v>291</v>
      </c>
      <c r="N104" s="20" t="s">
        <v>31</v>
      </c>
      <c r="O104" s="20">
        <v>2</v>
      </c>
      <c r="P104" s="20">
        <v>3</v>
      </c>
      <c r="Q104" s="13">
        <v>0.65751832992317638</v>
      </c>
      <c r="R104" s="20" t="s">
        <v>249</v>
      </c>
      <c r="S104" s="20">
        <v>-1.513719556726165</v>
      </c>
      <c r="T104" s="20" t="s">
        <v>248</v>
      </c>
      <c r="U104" s="20" t="s">
        <v>31</v>
      </c>
      <c r="V104" s="20">
        <v>5</v>
      </c>
      <c r="W104" s="20">
        <v>2</v>
      </c>
      <c r="X104" s="20" t="s">
        <v>490</v>
      </c>
      <c r="Y104" s="20" t="s">
        <v>292</v>
      </c>
      <c r="Z104" s="20" t="s">
        <v>60</v>
      </c>
      <c r="AA104" s="20" t="s">
        <v>491</v>
      </c>
    </row>
    <row r="105" spans="1:27" x14ac:dyDescent="0.2">
      <c r="A105" s="1">
        <v>45951</v>
      </c>
      <c r="B105" s="20" t="s">
        <v>328</v>
      </c>
      <c r="C105" s="20" t="s">
        <v>32</v>
      </c>
      <c r="D105" s="20" t="s">
        <v>22</v>
      </c>
      <c r="E105" s="20" t="s">
        <v>635</v>
      </c>
      <c r="F105" s="20" t="s">
        <v>22</v>
      </c>
      <c r="G105" s="20">
        <v>2</v>
      </c>
      <c r="H105" s="20">
        <v>3</v>
      </c>
      <c r="I105" s="13">
        <v>0.6</v>
      </c>
      <c r="J105" s="20" t="s">
        <v>249</v>
      </c>
      <c r="L105" s="20" t="s">
        <v>248</v>
      </c>
      <c r="M105" s="20" t="s">
        <v>321</v>
      </c>
      <c r="N105" s="20" t="s">
        <v>22</v>
      </c>
      <c r="O105" s="20">
        <v>2</v>
      </c>
      <c r="P105" s="20">
        <v>3</v>
      </c>
      <c r="Q105" s="13">
        <v>0.69914783492121801</v>
      </c>
      <c r="R105" s="20" t="s">
        <v>249</v>
      </c>
      <c r="S105" s="20">
        <v>1.1399852170550091</v>
      </c>
      <c r="T105" s="20" t="s">
        <v>248</v>
      </c>
      <c r="U105" s="20" t="s">
        <v>22</v>
      </c>
      <c r="V105" s="20">
        <v>1</v>
      </c>
      <c r="W105" s="20">
        <v>4</v>
      </c>
      <c r="X105" s="20" t="s">
        <v>490</v>
      </c>
      <c r="Y105" s="20" t="s">
        <v>292</v>
      </c>
      <c r="Z105" s="20" t="s">
        <v>60</v>
      </c>
      <c r="AA105" s="20" t="s">
        <v>491</v>
      </c>
    </row>
    <row r="106" spans="1:27" x14ac:dyDescent="0.2">
      <c r="A106" s="1">
        <v>45951</v>
      </c>
      <c r="B106" s="20" t="s">
        <v>334</v>
      </c>
      <c r="C106" s="20" t="s">
        <v>11</v>
      </c>
      <c r="D106" s="20" t="s">
        <v>21</v>
      </c>
      <c r="E106" s="20" t="s">
        <v>636</v>
      </c>
      <c r="F106" s="20" t="s">
        <v>21</v>
      </c>
      <c r="G106" s="20">
        <v>2</v>
      </c>
      <c r="H106" s="20">
        <v>3</v>
      </c>
      <c r="I106" s="13">
        <v>0.6</v>
      </c>
      <c r="J106" s="20" t="s">
        <v>249</v>
      </c>
      <c r="L106" s="20" t="s">
        <v>249</v>
      </c>
      <c r="M106" s="20" t="s">
        <v>637</v>
      </c>
      <c r="N106" s="20" t="s">
        <v>21</v>
      </c>
      <c r="O106" s="20">
        <v>2</v>
      </c>
      <c r="P106" s="20">
        <v>3</v>
      </c>
      <c r="Q106" s="13">
        <v>0.6094362617503768</v>
      </c>
      <c r="R106" s="20" t="s">
        <v>249</v>
      </c>
      <c r="S106" s="20">
        <v>0.22724927953953741</v>
      </c>
      <c r="T106" s="20" t="s">
        <v>249</v>
      </c>
      <c r="U106" s="20" t="s">
        <v>11</v>
      </c>
      <c r="V106" s="20">
        <v>4</v>
      </c>
      <c r="W106" s="20">
        <v>3</v>
      </c>
      <c r="X106" s="20" t="s">
        <v>490</v>
      </c>
      <c r="Y106" s="20" t="s">
        <v>292</v>
      </c>
      <c r="Z106" s="20" t="s">
        <v>60</v>
      </c>
      <c r="AA106" s="20" t="s">
        <v>491</v>
      </c>
    </row>
    <row r="107" spans="1:27" x14ac:dyDescent="0.2">
      <c r="A107" s="1">
        <v>45951</v>
      </c>
      <c r="B107" s="20" t="s">
        <v>328</v>
      </c>
      <c r="C107" s="20" t="s">
        <v>33</v>
      </c>
      <c r="D107" s="20" t="s">
        <v>30</v>
      </c>
      <c r="E107" s="20" t="s">
        <v>638</v>
      </c>
      <c r="F107" s="20" t="s">
        <v>30</v>
      </c>
      <c r="G107" s="20">
        <v>2</v>
      </c>
      <c r="H107" s="20">
        <v>3</v>
      </c>
      <c r="I107" s="13">
        <v>0.6</v>
      </c>
      <c r="J107" s="20" t="s">
        <v>249</v>
      </c>
      <c r="L107" s="20" t="s">
        <v>248</v>
      </c>
      <c r="M107" s="20" t="s">
        <v>580</v>
      </c>
      <c r="N107" s="20" t="s">
        <v>30</v>
      </c>
      <c r="O107" s="20">
        <v>2</v>
      </c>
      <c r="P107" s="20">
        <v>3</v>
      </c>
      <c r="Q107" s="13">
        <v>0.57039383684616074</v>
      </c>
      <c r="R107" s="20" t="s">
        <v>249</v>
      </c>
      <c r="S107" s="20">
        <v>0.26029974386407317</v>
      </c>
      <c r="T107" s="20" t="s">
        <v>248</v>
      </c>
      <c r="U107" s="20" t="s">
        <v>30</v>
      </c>
      <c r="V107" s="20">
        <v>3</v>
      </c>
      <c r="W107" s="20">
        <v>4</v>
      </c>
      <c r="X107" s="20" t="s">
        <v>490</v>
      </c>
      <c r="Y107" s="20" t="s">
        <v>292</v>
      </c>
      <c r="Z107" s="20" t="s">
        <v>60</v>
      </c>
      <c r="AA107" s="20" t="s">
        <v>491</v>
      </c>
    </row>
    <row r="108" spans="1:27" x14ac:dyDescent="0.2">
      <c r="A108" s="1">
        <v>45951</v>
      </c>
      <c r="B108" s="20" t="s">
        <v>328</v>
      </c>
      <c r="C108" s="20" t="s">
        <v>24</v>
      </c>
      <c r="D108" s="20" t="s">
        <v>19</v>
      </c>
      <c r="E108" s="20" t="s">
        <v>639</v>
      </c>
      <c r="F108" s="20" t="s">
        <v>24</v>
      </c>
      <c r="G108" s="20">
        <v>2</v>
      </c>
      <c r="H108" s="20">
        <v>3</v>
      </c>
      <c r="I108" s="13">
        <v>0.6</v>
      </c>
      <c r="J108" s="20" t="s">
        <v>249</v>
      </c>
      <c r="L108" s="20" t="s">
        <v>248</v>
      </c>
      <c r="M108" s="20" t="s">
        <v>449</v>
      </c>
      <c r="N108" s="20" t="s">
        <v>24</v>
      </c>
      <c r="O108" s="20">
        <v>2</v>
      </c>
      <c r="P108" s="20">
        <v>3</v>
      </c>
      <c r="Q108" s="13">
        <v>0.54920600098378236</v>
      </c>
      <c r="R108" s="20" t="s">
        <v>249</v>
      </c>
      <c r="S108" s="20">
        <v>-0.58610809316042234</v>
      </c>
      <c r="T108" s="20" t="s">
        <v>248</v>
      </c>
      <c r="U108" s="20" t="s">
        <v>24</v>
      </c>
      <c r="V108" s="20">
        <v>5</v>
      </c>
      <c r="W108" s="20">
        <v>2</v>
      </c>
      <c r="X108" s="20" t="s">
        <v>490</v>
      </c>
      <c r="Y108" s="20" t="s">
        <v>292</v>
      </c>
      <c r="Z108" s="20" t="s">
        <v>60</v>
      </c>
      <c r="AA108" s="20" t="s">
        <v>491</v>
      </c>
    </row>
    <row r="109" spans="1:27" x14ac:dyDescent="0.2">
      <c r="A109" s="1">
        <v>45952</v>
      </c>
      <c r="B109" s="20" t="s">
        <v>328</v>
      </c>
      <c r="C109" s="20" t="s">
        <v>34</v>
      </c>
      <c r="D109" s="20" t="s">
        <v>24</v>
      </c>
      <c r="E109" s="20" t="s">
        <v>640</v>
      </c>
      <c r="F109" s="20" t="s">
        <v>24</v>
      </c>
      <c r="G109" s="20">
        <v>2</v>
      </c>
      <c r="H109" s="20">
        <v>3</v>
      </c>
      <c r="I109" s="13">
        <v>0.6</v>
      </c>
      <c r="J109" s="20" t="s">
        <v>249</v>
      </c>
      <c r="L109" s="20" t="s">
        <v>248</v>
      </c>
      <c r="M109" s="20" t="s">
        <v>449</v>
      </c>
      <c r="N109" s="20" t="s">
        <v>24</v>
      </c>
      <c r="O109" s="20">
        <v>2</v>
      </c>
      <c r="P109" s="20">
        <v>3</v>
      </c>
      <c r="Q109" s="13">
        <v>0.59138932922050258</v>
      </c>
      <c r="R109" s="20" t="s">
        <v>249</v>
      </c>
      <c r="S109" s="20">
        <v>0.1065557871372456</v>
      </c>
      <c r="T109" s="20" t="s">
        <v>248</v>
      </c>
      <c r="U109" s="20" t="s">
        <v>24</v>
      </c>
      <c r="V109" s="20">
        <v>1</v>
      </c>
      <c r="W109" s="20">
        <v>4</v>
      </c>
      <c r="X109" s="20" t="s">
        <v>490</v>
      </c>
      <c r="Y109" s="20" t="s">
        <v>292</v>
      </c>
      <c r="Z109" s="20" t="s">
        <v>60</v>
      </c>
      <c r="AA109" s="20" t="s">
        <v>491</v>
      </c>
    </row>
    <row r="110" spans="1:27" x14ac:dyDescent="0.2">
      <c r="A110" s="1">
        <v>45952</v>
      </c>
      <c r="B110" s="20" t="s">
        <v>416</v>
      </c>
      <c r="C110" s="20" t="s">
        <v>18</v>
      </c>
      <c r="D110" s="20" t="s">
        <v>16</v>
      </c>
      <c r="E110" s="20" t="s">
        <v>641</v>
      </c>
      <c r="F110" s="20" t="s">
        <v>18</v>
      </c>
      <c r="G110" s="20">
        <v>2</v>
      </c>
      <c r="H110" s="20">
        <v>3</v>
      </c>
      <c r="I110" s="13">
        <v>0.6</v>
      </c>
      <c r="J110" s="20" t="s">
        <v>249</v>
      </c>
      <c r="L110" s="20" t="s">
        <v>248</v>
      </c>
      <c r="M110" s="20" t="s">
        <v>360</v>
      </c>
      <c r="N110" s="20" t="s">
        <v>18</v>
      </c>
      <c r="O110" s="20">
        <v>2</v>
      </c>
      <c r="P110" s="20">
        <v>3</v>
      </c>
      <c r="Q110" s="13">
        <v>0.56867826451875392</v>
      </c>
      <c r="R110" s="20" t="s">
        <v>249</v>
      </c>
      <c r="S110" s="20">
        <v>-0.42299090184763322</v>
      </c>
      <c r="T110" s="20" t="s">
        <v>248</v>
      </c>
      <c r="U110" s="20" t="s">
        <v>18</v>
      </c>
      <c r="V110" s="20">
        <v>2</v>
      </c>
      <c r="W110" s="20">
        <v>1</v>
      </c>
      <c r="X110" s="20" t="s">
        <v>496</v>
      </c>
      <c r="Y110" s="20" t="s">
        <v>292</v>
      </c>
      <c r="Z110" s="20" t="s">
        <v>60</v>
      </c>
      <c r="AA110" s="20" t="s">
        <v>491</v>
      </c>
    </row>
    <row r="111" spans="1:27" x14ac:dyDescent="0.2">
      <c r="A111" s="1">
        <v>45952</v>
      </c>
      <c r="B111" s="20" t="s">
        <v>334</v>
      </c>
      <c r="C111" s="20" t="s">
        <v>26</v>
      </c>
      <c r="D111" s="20" t="s">
        <v>23</v>
      </c>
      <c r="E111" s="20" t="s">
        <v>642</v>
      </c>
      <c r="F111" s="20" t="s">
        <v>23</v>
      </c>
      <c r="G111" s="20">
        <v>2</v>
      </c>
      <c r="H111" s="20">
        <v>3</v>
      </c>
      <c r="I111" s="13">
        <v>0.6</v>
      </c>
      <c r="J111" s="20" t="s">
        <v>249</v>
      </c>
      <c r="L111" s="20" t="s">
        <v>248</v>
      </c>
      <c r="M111" s="20" t="s">
        <v>296</v>
      </c>
      <c r="N111" s="20" t="s">
        <v>23</v>
      </c>
      <c r="O111" s="20">
        <v>2</v>
      </c>
      <c r="P111" s="20">
        <v>3</v>
      </c>
      <c r="Q111" s="13">
        <v>0.60256479135424768</v>
      </c>
      <c r="R111" s="20" t="s">
        <v>249</v>
      </c>
      <c r="S111" s="20">
        <v>0.44912987821488232</v>
      </c>
      <c r="T111" s="20" t="s">
        <v>248</v>
      </c>
      <c r="U111" s="20" t="s">
        <v>23</v>
      </c>
      <c r="V111" s="20">
        <v>2</v>
      </c>
      <c r="W111" s="20">
        <v>4</v>
      </c>
      <c r="X111" s="20" t="s">
        <v>490</v>
      </c>
      <c r="Y111" s="20" t="s">
        <v>292</v>
      </c>
      <c r="Z111" s="20" t="s">
        <v>60</v>
      </c>
      <c r="AA111" s="20" t="s">
        <v>491</v>
      </c>
    </row>
    <row r="112" spans="1:27" x14ac:dyDescent="0.2">
      <c r="A112" s="1">
        <v>45953</v>
      </c>
      <c r="B112" s="20" t="s">
        <v>326</v>
      </c>
      <c r="C112" s="20" t="s">
        <v>25</v>
      </c>
      <c r="D112" s="20" t="s">
        <v>12</v>
      </c>
      <c r="E112" s="20" t="s">
        <v>643</v>
      </c>
      <c r="F112" s="20" t="s">
        <v>12</v>
      </c>
      <c r="G112" s="20">
        <v>2</v>
      </c>
      <c r="H112" s="20">
        <v>3</v>
      </c>
      <c r="I112" s="13">
        <v>0.6</v>
      </c>
      <c r="J112" s="20" t="s">
        <v>249</v>
      </c>
      <c r="L112" s="20" t="s">
        <v>249</v>
      </c>
      <c r="M112" s="20" t="s">
        <v>644</v>
      </c>
      <c r="N112" s="20" t="s">
        <v>12</v>
      </c>
      <c r="O112" s="20">
        <v>2</v>
      </c>
      <c r="P112" s="20">
        <v>3</v>
      </c>
      <c r="Q112" s="13">
        <v>0.7218928703579427</v>
      </c>
      <c r="R112" s="20" t="s">
        <v>249</v>
      </c>
      <c r="S112" s="20">
        <v>1.256129270021586</v>
      </c>
      <c r="T112" s="20" t="s">
        <v>249</v>
      </c>
      <c r="U112" s="20" t="s">
        <v>25</v>
      </c>
      <c r="V112" s="20">
        <v>5</v>
      </c>
      <c r="W112" s="20">
        <v>4</v>
      </c>
      <c r="X112" s="20" t="s">
        <v>496</v>
      </c>
      <c r="Y112" s="20" t="s">
        <v>292</v>
      </c>
      <c r="Z112" s="20" t="s">
        <v>60</v>
      </c>
      <c r="AA112" s="20" t="s">
        <v>491</v>
      </c>
    </row>
    <row r="113" spans="1:27" x14ac:dyDescent="0.2">
      <c r="A113" s="1">
        <v>45953</v>
      </c>
      <c r="B113" s="20" t="s">
        <v>328</v>
      </c>
      <c r="C113" s="20" t="s">
        <v>31</v>
      </c>
      <c r="D113" s="20" t="s">
        <v>21</v>
      </c>
      <c r="E113" s="20" t="s">
        <v>645</v>
      </c>
      <c r="F113" s="20" t="s">
        <v>31</v>
      </c>
      <c r="G113" s="20">
        <v>2</v>
      </c>
      <c r="H113" s="20">
        <v>3</v>
      </c>
      <c r="I113" s="13">
        <v>0.6</v>
      </c>
      <c r="J113" s="20" t="s">
        <v>249</v>
      </c>
      <c r="L113" s="20" t="s">
        <v>248</v>
      </c>
      <c r="M113" s="20" t="s">
        <v>291</v>
      </c>
      <c r="N113" s="20" t="s">
        <v>31</v>
      </c>
      <c r="O113" s="20">
        <v>2</v>
      </c>
      <c r="P113" s="20">
        <v>3</v>
      </c>
      <c r="Q113" s="13">
        <v>0.47820092945126852</v>
      </c>
      <c r="R113" s="20" t="s">
        <v>249</v>
      </c>
      <c r="S113" s="20">
        <v>-0.34857203336383552</v>
      </c>
      <c r="T113" s="20" t="s">
        <v>248</v>
      </c>
      <c r="U113" s="20" t="s">
        <v>31</v>
      </c>
      <c r="V113" s="20">
        <v>7</v>
      </c>
      <c r="W113" s="20">
        <v>5</v>
      </c>
      <c r="X113" s="20" t="s">
        <v>490</v>
      </c>
      <c r="Y113" s="20" t="s">
        <v>292</v>
      </c>
      <c r="Z113" s="20" t="s">
        <v>60</v>
      </c>
      <c r="AA113" s="20" t="s">
        <v>491</v>
      </c>
    </row>
    <row r="114" spans="1:27" x14ac:dyDescent="0.2">
      <c r="A114" s="1">
        <v>45953</v>
      </c>
      <c r="B114" s="20" t="s">
        <v>646</v>
      </c>
      <c r="C114" s="20" t="s">
        <v>10</v>
      </c>
      <c r="D114" s="20" t="s">
        <v>37</v>
      </c>
      <c r="E114" s="20" t="s">
        <v>647</v>
      </c>
      <c r="F114" s="20" t="s">
        <v>37</v>
      </c>
      <c r="G114" s="20">
        <v>2</v>
      </c>
      <c r="H114" s="20">
        <v>3</v>
      </c>
      <c r="I114" s="13">
        <v>0.6</v>
      </c>
      <c r="J114" s="20" t="s">
        <v>249</v>
      </c>
      <c r="L114" s="20" t="s">
        <v>249</v>
      </c>
      <c r="M114" s="20" t="s">
        <v>648</v>
      </c>
      <c r="N114" s="20" t="s">
        <v>37</v>
      </c>
      <c r="O114" s="20">
        <v>2</v>
      </c>
      <c r="P114" s="20">
        <v>3</v>
      </c>
      <c r="Q114" s="13">
        <v>0.65825521503939921</v>
      </c>
      <c r="R114" s="20" t="s">
        <v>249</v>
      </c>
      <c r="S114" s="20">
        <v>0.73660195085408042</v>
      </c>
      <c r="T114" s="20" t="s">
        <v>249</v>
      </c>
      <c r="U114" s="20" t="s">
        <v>10</v>
      </c>
      <c r="V114" s="20">
        <v>3</v>
      </c>
      <c r="W114" s="20">
        <v>2</v>
      </c>
      <c r="X114" s="20" t="s">
        <v>490</v>
      </c>
      <c r="Y114" s="20" t="s">
        <v>292</v>
      </c>
      <c r="Z114" s="20" t="s">
        <v>60</v>
      </c>
      <c r="AA114" s="20" t="s">
        <v>491</v>
      </c>
    </row>
    <row r="115" spans="1:27" x14ac:dyDescent="0.2">
      <c r="A115" s="1">
        <v>45953</v>
      </c>
      <c r="B115" s="20" t="s">
        <v>324</v>
      </c>
      <c r="C115" s="20" t="s">
        <v>55</v>
      </c>
      <c r="D115" s="20" t="s">
        <v>35</v>
      </c>
      <c r="E115" s="20" t="s">
        <v>463</v>
      </c>
      <c r="F115" s="20" t="s">
        <v>55</v>
      </c>
      <c r="G115" s="20">
        <v>2</v>
      </c>
      <c r="H115" s="20">
        <v>3</v>
      </c>
      <c r="I115" s="13">
        <v>0.6</v>
      </c>
      <c r="J115" s="20" t="s">
        <v>249</v>
      </c>
      <c r="L115" s="20" t="s">
        <v>248</v>
      </c>
      <c r="M115" s="20" t="s">
        <v>362</v>
      </c>
      <c r="N115" s="20" t="s">
        <v>55</v>
      </c>
      <c r="O115" s="20">
        <v>2</v>
      </c>
      <c r="P115" s="20">
        <v>3</v>
      </c>
      <c r="Q115" s="13">
        <v>0.5699286883691741</v>
      </c>
      <c r="R115" s="20" t="s">
        <v>249</v>
      </c>
      <c r="S115" s="20">
        <v>-0.94145433400337764</v>
      </c>
      <c r="T115" s="20" t="s">
        <v>248</v>
      </c>
      <c r="U115" s="20" t="s">
        <v>55</v>
      </c>
      <c r="V115" s="20">
        <v>7</v>
      </c>
      <c r="W115" s="20">
        <v>4</v>
      </c>
      <c r="X115" s="20" t="s">
        <v>490</v>
      </c>
      <c r="Y115" s="20" t="s">
        <v>292</v>
      </c>
      <c r="Z115" s="20" t="s">
        <v>60</v>
      </c>
      <c r="AA115" s="20" t="s">
        <v>491</v>
      </c>
    </row>
    <row r="116" spans="1:27" x14ac:dyDescent="0.2">
      <c r="A116" s="1">
        <v>45953</v>
      </c>
      <c r="B116" s="20" t="s">
        <v>328</v>
      </c>
      <c r="C116" s="20" t="s">
        <v>27</v>
      </c>
      <c r="D116" s="20" t="s">
        <v>36</v>
      </c>
      <c r="E116" s="20" t="s">
        <v>649</v>
      </c>
      <c r="F116" s="20" t="s">
        <v>27</v>
      </c>
      <c r="G116" s="20">
        <v>2</v>
      </c>
      <c r="H116" s="20">
        <v>3</v>
      </c>
      <c r="I116" s="13">
        <v>0.6</v>
      </c>
      <c r="J116" s="20" t="s">
        <v>249</v>
      </c>
      <c r="L116" s="20" t="s">
        <v>249</v>
      </c>
      <c r="M116" s="20" t="s">
        <v>650</v>
      </c>
      <c r="N116" s="20" t="s">
        <v>27</v>
      </c>
      <c r="O116" s="20">
        <v>2</v>
      </c>
      <c r="P116" s="20">
        <v>3</v>
      </c>
      <c r="Q116" s="13">
        <v>0.51182076425989476</v>
      </c>
      <c r="R116" s="20" t="s">
        <v>249</v>
      </c>
      <c r="S116" s="20">
        <v>-0.1012357184353601</v>
      </c>
      <c r="T116" s="20" t="s">
        <v>249</v>
      </c>
      <c r="U116" s="20" t="s">
        <v>36</v>
      </c>
      <c r="V116" s="20">
        <v>1</v>
      </c>
      <c r="W116" s="20">
        <v>2</v>
      </c>
      <c r="X116" s="20" t="s">
        <v>490</v>
      </c>
      <c r="Y116" s="20" t="s">
        <v>292</v>
      </c>
      <c r="Z116" s="20" t="s">
        <v>60</v>
      </c>
      <c r="AA116" s="20" t="s">
        <v>491</v>
      </c>
    </row>
    <row r="117" spans="1:27" x14ac:dyDescent="0.2">
      <c r="A117" s="1">
        <v>45953</v>
      </c>
      <c r="B117" s="20" t="s">
        <v>324</v>
      </c>
      <c r="C117" s="20" t="s">
        <v>32</v>
      </c>
      <c r="D117" s="20" t="s">
        <v>40</v>
      </c>
      <c r="E117" s="20" t="s">
        <v>651</v>
      </c>
      <c r="F117" s="20" t="s">
        <v>40</v>
      </c>
      <c r="G117" s="20">
        <v>2</v>
      </c>
      <c r="H117" s="20">
        <v>3</v>
      </c>
      <c r="I117" s="13">
        <v>0.6</v>
      </c>
      <c r="J117" s="20" t="s">
        <v>249</v>
      </c>
      <c r="L117" s="20" t="s">
        <v>249</v>
      </c>
      <c r="M117" s="20" t="s">
        <v>652</v>
      </c>
      <c r="N117" s="20" t="s">
        <v>40</v>
      </c>
      <c r="O117" s="20">
        <v>2</v>
      </c>
      <c r="P117" s="20">
        <v>3</v>
      </c>
      <c r="Q117" s="13">
        <v>0.58757089842028809</v>
      </c>
      <c r="R117" s="20" t="s">
        <v>249</v>
      </c>
      <c r="S117" s="20">
        <v>0.38603616041846089</v>
      </c>
      <c r="T117" s="20" t="s">
        <v>249</v>
      </c>
      <c r="U117" s="20" t="s">
        <v>32</v>
      </c>
      <c r="V117" s="20">
        <v>3</v>
      </c>
      <c r="W117" s="20">
        <v>0</v>
      </c>
      <c r="X117" s="20" t="s">
        <v>490</v>
      </c>
      <c r="Y117" s="20" t="s">
        <v>292</v>
      </c>
      <c r="Z117" s="20" t="s">
        <v>60</v>
      </c>
      <c r="AA117" s="20" t="s">
        <v>491</v>
      </c>
    </row>
    <row r="118" spans="1:27" x14ac:dyDescent="0.2">
      <c r="A118" s="1">
        <v>45953</v>
      </c>
      <c r="B118" s="20" t="s">
        <v>328</v>
      </c>
      <c r="C118" s="20" t="s">
        <v>26</v>
      </c>
      <c r="D118" s="20" t="s">
        <v>30</v>
      </c>
      <c r="E118" s="20" t="s">
        <v>653</v>
      </c>
      <c r="F118" s="20" t="s">
        <v>30</v>
      </c>
      <c r="G118" s="20">
        <v>2</v>
      </c>
      <c r="H118" s="20">
        <v>3</v>
      </c>
      <c r="I118" s="13">
        <v>0.6</v>
      </c>
      <c r="J118" s="20" t="s">
        <v>249</v>
      </c>
      <c r="L118" s="20" t="s">
        <v>248</v>
      </c>
      <c r="M118" s="20" t="s">
        <v>580</v>
      </c>
      <c r="N118" s="20" t="s">
        <v>30</v>
      </c>
      <c r="O118" s="20">
        <v>2</v>
      </c>
      <c r="P118" s="20">
        <v>3</v>
      </c>
      <c r="Q118" s="13">
        <v>0.61990309562295465</v>
      </c>
      <c r="R118" s="20" t="s">
        <v>249</v>
      </c>
      <c r="S118" s="20">
        <v>0.68430831651413926</v>
      </c>
      <c r="T118" s="20" t="s">
        <v>248</v>
      </c>
      <c r="U118" s="20" t="s">
        <v>30</v>
      </c>
      <c r="V118" s="20">
        <v>2</v>
      </c>
      <c r="W118" s="20">
        <v>7</v>
      </c>
      <c r="X118" s="20" t="s">
        <v>490</v>
      </c>
      <c r="Y118" s="20" t="s">
        <v>292</v>
      </c>
      <c r="Z118" s="20" t="s">
        <v>60</v>
      </c>
      <c r="AA118" s="20" t="s">
        <v>491</v>
      </c>
    </row>
    <row r="119" spans="1:27" x14ac:dyDescent="0.2">
      <c r="A119" s="1">
        <v>45953</v>
      </c>
      <c r="B119" s="20" t="s">
        <v>324</v>
      </c>
      <c r="C119" s="20" t="s">
        <v>38</v>
      </c>
      <c r="D119" s="20" t="s">
        <v>29</v>
      </c>
      <c r="E119" s="20" t="s">
        <v>654</v>
      </c>
      <c r="F119" s="20" t="s">
        <v>38</v>
      </c>
      <c r="G119" s="20">
        <v>2</v>
      </c>
      <c r="H119" s="20">
        <v>3</v>
      </c>
      <c r="I119" s="13">
        <v>0.6</v>
      </c>
      <c r="J119" s="20" t="s">
        <v>249</v>
      </c>
      <c r="L119" s="20" t="s">
        <v>249</v>
      </c>
      <c r="M119" s="20" t="s">
        <v>655</v>
      </c>
      <c r="N119" s="20" t="s">
        <v>38</v>
      </c>
      <c r="O119" s="20">
        <v>2</v>
      </c>
      <c r="P119" s="20">
        <v>3</v>
      </c>
      <c r="Q119" s="13">
        <v>0.50880367819163874</v>
      </c>
      <c r="R119" s="20" t="s">
        <v>249</v>
      </c>
      <c r="S119" s="20">
        <v>-0.38733877977609438</v>
      </c>
      <c r="T119" s="20" t="s">
        <v>249</v>
      </c>
      <c r="U119" s="20" t="s">
        <v>29</v>
      </c>
      <c r="V119" s="20">
        <v>1</v>
      </c>
      <c r="W119" s="20">
        <v>2</v>
      </c>
      <c r="X119" s="20" t="s">
        <v>490</v>
      </c>
      <c r="Y119" s="20" t="s">
        <v>292</v>
      </c>
      <c r="Z119" s="20" t="s">
        <v>60</v>
      </c>
      <c r="AA119" s="20" t="s">
        <v>491</v>
      </c>
    </row>
    <row r="120" spans="1:27" x14ac:dyDescent="0.2">
      <c r="A120" s="1">
        <v>45953</v>
      </c>
      <c r="B120" s="20" t="s">
        <v>328</v>
      </c>
      <c r="C120" s="20" t="s">
        <v>14</v>
      </c>
      <c r="D120" s="20" t="s">
        <v>11</v>
      </c>
      <c r="E120" s="20" t="s">
        <v>656</v>
      </c>
      <c r="F120" s="20" t="s">
        <v>14</v>
      </c>
      <c r="G120" s="20">
        <v>2</v>
      </c>
      <c r="H120" s="20">
        <v>3</v>
      </c>
      <c r="I120" s="13">
        <v>0.6</v>
      </c>
      <c r="J120" s="20" t="s">
        <v>249</v>
      </c>
      <c r="L120" s="20" t="s">
        <v>248</v>
      </c>
      <c r="M120" s="20" t="s">
        <v>451</v>
      </c>
      <c r="N120" s="20" t="s">
        <v>14</v>
      </c>
      <c r="O120" s="20">
        <v>2</v>
      </c>
      <c r="P120" s="20">
        <v>3</v>
      </c>
      <c r="Q120" s="13">
        <v>0.50907983992379147</v>
      </c>
      <c r="R120" s="20" t="s">
        <v>249</v>
      </c>
      <c r="S120" s="20">
        <v>-0.20495332057545401</v>
      </c>
      <c r="T120" s="20" t="s">
        <v>248</v>
      </c>
      <c r="U120" s="20" t="s">
        <v>14</v>
      </c>
      <c r="V120" s="20">
        <v>5</v>
      </c>
      <c r="W120" s="20">
        <v>3</v>
      </c>
      <c r="X120" s="20" t="s">
        <v>490</v>
      </c>
      <c r="Y120" s="20" t="s">
        <v>292</v>
      </c>
      <c r="Z120" s="20" t="s">
        <v>60</v>
      </c>
      <c r="AA120" s="20" t="s">
        <v>491</v>
      </c>
    </row>
    <row r="121" spans="1:27" x14ac:dyDescent="0.2">
      <c r="A121" s="1">
        <v>45953</v>
      </c>
      <c r="B121" s="20" t="s">
        <v>326</v>
      </c>
      <c r="C121" s="20" t="s">
        <v>18</v>
      </c>
      <c r="D121" s="20" t="s">
        <v>17</v>
      </c>
      <c r="E121" s="20" t="s">
        <v>657</v>
      </c>
      <c r="F121" s="20" t="s">
        <v>18</v>
      </c>
      <c r="G121" s="20">
        <v>2</v>
      </c>
      <c r="H121" s="20">
        <v>3</v>
      </c>
      <c r="I121" s="13">
        <v>0.6</v>
      </c>
      <c r="J121" s="20" t="s">
        <v>249</v>
      </c>
      <c r="L121" s="20" t="s">
        <v>249</v>
      </c>
      <c r="M121" s="20" t="s">
        <v>658</v>
      </c>
      <c r="N121" s="20" t="s">
        <v>18</v>
      </c>
      <c r="O121" s="20">
        <v>2</v>
      </c>
      <c r="P121" s="20">
        <v>3</v>
      </c>
      <c r="Q121" s="13">
        <v>0.53262385063370665</v>
      </c>
      <c r="R121" s="20" t="s">
        <v>249</v>
      </c>
      <c r="S121" s="20">
        <v>-0.17495628704053409</v>
      </c>
      <c r="T121" s="20" t="s">
        <v>249</v>
      </c>
      <c r="U121" s="20" t="s">
        <v>17</v>
      </c>
      <c r="V121" s="20">
        <v>5</v>
      </c>
      <c r="W121" s="20">
        <v>6</v>
      </c>
      <c r="X121" s="20" t="s">
        <v>490</v>
      </c>
      <c r="Y121" s="20" t="s">
        <v>292</v>
      </c>
      <c r="Z121" s="20" t="s">
        <v>60</v>
      </c>
      <c r="AA121" s="20" t="s">
        <v>491</v>
      </c>
    </row>
    <row r="122" spans="1:27" x14ac:dyDescent="0.2">
      <c r="A122" s="1">
        <v>45953</v>
      </c>
      <c r="B122" s="20" t="s">
        <v>326</v>
      </c>
      <c r="C122" s="20" t="s">
        <v>13</v>
      </c>
      <c r="D122" s="20" t="s">
        <v>39</v>
      </c>
      <c r="E122" s="20" t="s">
        <v>659</v>
      </c>
      <c r="F122" s="20" t="s">
        <v>39</v>
      </c>
      <c r="G122" s="20">
        <v>2</v>
      </c>
      <c r="H122" s="20">
        <v>3</v>
      </c>
      <c r="I122" s="13">
        <v>0.6</v>
      </c>
      <c r="J122" s="20" t="s">
        <v>249</v>
      </c>
      <c r="L122" s="20" t="s">
        <v>249</v>
      </c>
      <c r="M122" s="20" t="s">
        <v>660</v>
      </c>
      <c r="N122" s="20" t="s">
        <v>39</v>
      </c>
      <c r="O122" s="20">
        <v>2</v>
      </c>
      <c r="P122" s="20">
        <v>3</v>
      </c>
      <c r="Q122" s="13">
        <v>0.59993087976587611</v>
      </c>
      <c r="R122" s="20" t="s">
        <v>249</v>
      </c>
      <c r="S122" s="20">
        <v>0.80162684945549589</v>
      </c>
      <c r="T122" s="20" t="s">
        <v>249</v>
      </c>
      <c r="U122" s="20" t="s">
        <v>13</v>
      </c>
      <c r="V122" s="20">
        <v>3</v>
      </c>
      <c r="W122" s="20">
        <v>2</v>
      </c>
      <c r="X122" s="20" t="s">
        <v>496</v>
      </c>
      <c r="Y122" s="20" t="s">
        <v>292</v>
      </c>
      <c r="Z122" s="20" t="s">
        <v>60</v>
      </c>
      <c r="AA122" s="20" t="s">
        <v>491</v>
      </c>
    </row>
    <row r="123" spans="1:27" x14ac:dyDescent="0.2">
      <c r="A123" s="1">
        <v>45953</v>
      </c>
      <c r="B123" s="20" t="s">
        <v>328</v>
      </c>
      <c r="C123" s="20" t="s">
        <v>33</v>
      </c>
      <c r="D123" s="20" t="s">
        <v>15</v>
      </c>
      <c r="E123" s="20" t="s">
        <v>661</v>
      </c>
      <c r="F123" s="20" t="s">
        <v>15</v>
      </c>
      <c r="G123" s="20">
        <v>2</v>
      </c>
      <c r="H123" s="20">
        <v>3</v>
      </c>
      <c r="I123" s="13">
        <v>0.6</v>
      </c>
      <c r="J123" s="20" t="s">
        <v>249</v>
      </c>
      <c r="L123" s="20" t="s">
        <v>249</v>
      </c>
      <c r="M123" s="20" t="s">
        <v>662</v>
      </c>
      <c r="N123" s="20" t="s">
        <v>15</v>
      </c>
      <c r="O123" s="20">
        <v>2</v>
      </c>
      <c r="P123" s="20">
        <v>3</v>
      </c>
      <c r="Q123" s="13">
        <v>0.56466045516532937</v>
      </c>
      <c r="R123" s="20" t="s">
        <v>249</v>
      </c>
      <c r="S123" s="20">
        <v>0.21119775682146319</v>
      </c>
      <c r="T123" s="20" t="s">
        <v>249</v>
      </c>
      <c r="U123" s="20" t="s">
        <v>33</v>
      </c>
      <c r="V123" s="20">
        <v>6</v>
      </c>
      <c r="W123" s="20">
        <v>5</v>
      </c>
      <c r="X123" s="20" t="s">
        <v>496</v>
      </c>
      <c r="Y123" s="20" t="s">
        <v>292</v>
      </c>
      <c r="Z123" s="20" t="s">
        <v>60</v>
      </c>
      <c r="AA123" s="20" t="s">
        <v>491</v>
      </c>
    </row>
    <row r="124" spans="1:27" x14ac:dyDescent="0.2">
      <c r="A124" s="1">
        <v>45954</v>
      </c>
      <c r="B124" s="20" t="s">
        <v>334</v>
      </c>
      <c r="C124" s="20" t="s">
        <v>19</v>
      </c>
      <c r="D124" s="20" t="s">
        <v>23</v>
      </c>
      <c r="E124" s="20" t="s">
        <v>663</v>
      </c>
      <c r="F124" s="20" t="s">
        <v>23</v>
      </c>
      <c r="G124" s="20">
        <v>2</v>
      </c>
      <c r="H124" s="20">
        <v>3</v>
      </c>
      <c r="I124" s="13">
        <v>0.6</v>
      </c>
      <c r="J124" s="20" t="s">
        <v>249</v>
      </c>
      <c r="L124" s="20" t="s">
        <v>248</v>
      </c>
      <c r="M124" s="20" t="s">
        <v>296</v>
      </c>
      <c r="N124" s="20" t="s">
        <v>23</v>
      </c>
      <c r="O124" s="20">
        <v>2</v>
      </c>
      <c r="P124" s="20">
        <v>3</v>
      </c>
      <c r="Q124" s="13">
        <v>0.57444071781895778</v>
      </c>
      <c r="R124" s="20" t="s">
        <v>249</v>
      </c>
      <c r="S124" s="20">
        <v>0.2082689045015533</v>
      </c>
      <c r="T124" s="20" t="s">
        <v>248</v>
      </c>
      <c r="U124" s="20" t="s">
        <v>23</v>
      </c>
      <c r="V124" s="20">
        <v>3</v>
      </c>
      <c r="W124" s="20">
        <v>5</v>
      </c>
      <c r="X124" s="20" t="s">
        <v>490</v>
      </c>
      <c r="Y124" s="20" t="s">
        <v>292</v>
      </c>
      <c r="Z124" s="20" t="s">
        <v>60</v>
      </c>
      <c r="AA124" s="20" t="s">
        <v>491</v>
      </c>
    </row>
    <row r="125" spans="1:27" x14ac:dyDescent="0.2">
      <c r="A125" s="1">
        <v>45954</v>
      </c>
      <c r="B125" s="20" t="s">
        <v>328</v>
      </c>
      <c r="C125" s="20" t="s">
        <v>22</v>
      </c>
      <c r="D125" s="20" t="s">
        <v>28</v>
      </c>
      <c r="E125" s="20" t="s">
        <v>664</v>
      </c>
      <c r="F125" s="20" t="s">
        <v>22</v>
      </c>
      <c r="G125" s="20">
        <v>2</v>
      </c>
      <c r="H125" s="20">
        <v>3</v>
      </c>
      <c r="I125" s="13">
        <v>0.6</v>
      </c>
      <c r="J125" s="20" t="s">
        <v>249</v>
      </c>
      <c r="L125" s="20" t="s">
        <v>248</v>
      </c>
      <c r="M125" s="20" t="s">
        <v>321</v>
      </c>
      <c r="N125" s="20" t="s">
        <v>22</v>
      </c>
      <c r="O125" s="20">
        <v>2</v>
      </c>
      <c r="P125" s="20">
        <v>3</v>
      </c>
      <c r="Q125" s="13">
        <v>0.61761878207980603</v>
      </c>
      <c r="R125" s="20" t="s">
        <v>249</v>
      </c>
      <c r="S125" s="20">
        <v>-0.98579588828113474</v>
      </c>
      <c r="T125" s="20" t="s">
        <v>248</v>
      </c>
      <c r="U125" s="20" t="s">
        <v>22</v>
      </c>
      <c r="V125" s="20">
        <v>5</v>
      </c>
      <c r="W125" s="20">
        <v>1</v>
      </c>
      <c r="X125" s="20" t="s">
        <v>490</v>
      </c>
      <c r="Y125" s="20" t="s">
        <v>292</v>
      </c>
      <c r="Z125" s="20" t="s">
        <v>60</v>
      </c>
      <c r="AA125" s="20" t="s">
        <v>491</v>
      </c>
    </row>
    <row r="126" spans="1:27" x14ac:dyDescent="0.2">
      <c r="A126" s="1">
        <v>45954</v>
      </c>
      <c r="B126" s="20" t="s">
        <v>328</v>
      </c>
      <c r="C126" s="20" t="s">
        <v>33</v>
      </c>
      <c r="D126" s="20" t="s">
        <v>24</v>
      </c>
      <c r="E126" s="20" t="s">
        <v>665</v>
      </c>
      <c r="F126" s="20" t="s">
        <v>24</v>
      </c>
      <c r="G126" s="20">
        <v>2</v>
      </c>
      <c r="H126" s="20">
        <v>3</v>
      </c>
      <c r="I126" s="13">
        <v>0.6</v>
      </c>
      <c r="J126" s="20" t="s">
        <v>249</v>
      </c>
      <c r="L126" s="20" t="s">
        <v>248</v>
      </c>
      <c r="M126" s="20" t="s">
        <v>449</v>
      </c>
      <c r="N126" s="20" t="s">
        <v>24</v>
      </c>
      <c r="O126" s="20">
        <v>2</v>
      </c>
      <c r="P126" s="20">
        <v>3</v>
      </c>
      <c r="Q126" s="13">
        <v>0.67853959355538906</v>
      </c>
      <c r="R126" s="20" t="s">
        <v>249</v>
      </c>
      <c r="S126" s="20">
        <v>0.50276199207001016</v>
      </c>
      <c r="T126" s="20" t="s">
        <v>248</v>
      </c>
      <c r="U126" s="20" t="s">
        <v>24</v>
      </c>
      <c r="V126" s="20">
        <v>1</v>
      </c>
      <c r="W126" s="20">
        <v>3</v>
      </c>
      <c r="X126" s="20" t="s">
        <v>490</v>
      </c>
      <c r="Y126" s="20" t="s">
        <v>292</v>
      </c>
      <c r="Z126" s="20" t="s">
        <v>60</v>
      </c>
      <c r="AA126" s="20" t="s">
        <v>491</v>
      </c>
    </row>
    <row r="127" spans="1:27" x14ac:dyDescent="0.2">
      <c r="A127" s="1">
        <v>45954</v>
      </c>
      <c r="B127" s="20" t="s">
        <v>324</v>
      </c>
      <c r="C127" s="20" t="s">
        <v>16</v>
      </c>
      <c r="D127" s="20" t="s">
        <v>40</v>
      </c>
      <c r="E127" s="20" t="s">
        <v>666</v>
      </c>
      <c r="F127" s="20" t="s">
        <v>40</v>
      </c>
      <c r="G127" s="20">
        <v>2</v>
      </c>
      <c r="H127" s="20">
        <v>3</v>
      </c>
      <c r="I127" s="13">
        <v>0.6</v>
      </c>
      <c r="J127" s="20" t="s">
        <v>249</v>
      </c>
      <c r="L127" s="20" t="s">
        <v>248</v>
      </c>
      <c r="M127" s="20" t="s">
        <v>315</v>
      </c>
      <c r="N127" s="20" t="s">
        <v>40</v>
      </c>
      <c r="O127" s="20">
        <v>2</v>
      </c>
      <c r="P127" s="20">
        <v>3</v>
      </c>
      <c r="Q127" s="13">
        <v>0.63619221621509325</v>
      </c>
      <c r="R127" s="20" t="s">
        <v>249</v>
      </c>
      <c r="S127" s="20">
        <v>0.80244020418499173</v>
      </c>
      <c r="T127" s="20" t="s">
        <v>248</v>
      </c>
      <c r="U127" s="20" t="s">
        <v>40</v>
      </c>
      <c r="V127" s="20">
        <v>3</v>
      </c>
      <c r="W127" s="20">
        <v>5</v>
      </c>
      <c r="X127" s="20" t="s">
        <v>490</v>
      </c>
      <c r="Y127" s="20" t="s">
        <v>292</v>
      </c>
      <c r="Z127" s="20" t="s">
        <v>60</v>
      </c>
      <c r="AA127" s="20" t="s">
        <v>491</v>
      </c>
    </row>
    <row r="128" spans="1:27" x14ac:dyDescent="0.2">
      <c r="A128" s="1">
        <v>45955</v>
      </c>
      <c r="B128" s="20" t="s">
        <v>365</v>
      </c>
      <c r="C128" s="20" t="s">
        <v>31</v>
      </c>
      <c r="D128" s="20" t="s">
        <v>37</v>
      </c>
      <c r="E128" s="20" t="s">
        <v>667</v>
      </c>
      <c r="F128" s="20" t="s">
        <v>37</v>
      </c>
      <c r="G128" s="20">
        <v>2</v>
      </c>
      <c r="H128" s="20">
        <v>3</v>
      </c>
      <c r="I128" s="13">
        <v>0.6</v>
      </c>
      <c r="J128" s="20" t="s">
        <v>249</v>
      </c>
      <c r="L128" s="20" t="s">
        <v>248</v>
      </c>
      <c r="M128" s="20" t="s">
        <v>395</v>
      </c>
      <c r="N128" s="20" t="s">
        <v>37</v>
      </c>
      <c r="O128" s="20">
        <v>2</v>
      </c>
      <c r="P128" s="20">
        <v>3</v>
      </c>
      <c r="Q128" s="13">
        <v>0.59629355863014089</v>
      </c>
      <c r="R128" s="20" t="s">
        <v>249</v>
      </c>
      <c r="S128" s="20">
        <v>0.38170267383050038</v>
      </c>
      <c r="T128" s="20" t="s">
        <v>248</v>
      </c>
      <c r="U128" s="20" t="s">
        <v>37</v>
      </c>
      <c r="V128" s="20">
        <v>3</v>
      </c>
      <c r="W128" s="20">
        <v>4</v>
      </c>
      <c r="X128" s="20" t="s">
        <v>490</v>
      </c>
      <c r="Y128" s="20" t="s">
        <v>292</v>
      </c>
      <c r="Z128" s="20" t="s">
        <v>60</v>
      </c>
      <c r="AA128" s="20" t="s">
        <v>491</v>
      </c>
    </row>
    <row r="129" spans="1:27" x14ac:dyDescent="0.2">
      <c r="A129" s="1">
        <v>45955</v>
      </c>
      <c r="B129" s="20" t="s">
        <v>328</v>
      </c>
      <c r="C129" s="20" t="s">
        <v>36</v>
      </c>
      <c r="D129" s="20" t="s">
        <v>22</v>
      </c>
      <c r="E129" s="20" t="s">
        <v>668</v>
      </c>
      <c r="F129" s="20" t="s">
        <v>22</v>
      </c>
      <c r="G129" s="20">
        <v>2</v>
      </c>
      <c r="H129" s="20">
        <v>3</v>
      </c>
      <c r="I129" s="13">
        <v>0.6</v>
      </c>
      <c r="J129" s="20" t="s">
        <v>249</v>
      </c>
      <c r="L129" s="20" t="s">
        <v>249</v>
      </c>
      <c r="M129" s="20" t="s">
        <v>669</v>
      </c>
      <c r="N129" s="20" t="s">
        <v>22</v>
      </c>
      <c r="O129" s="20">
        <v>2</v>
      </c>
      <c r="P129" s="20">
        <v>3</v>
      </c>
      <c r="Q129" s="13">
        <v>0.68536945506778668</v>
      </c>
      <c r="R129" s="20" t="s">
        <v>249</v>
      </c>
      <c r="S129" s="20">
        <v>1.021984032641758</v>
      </c>
      <c r="T129" s="20" t="s">
        <v>249</v>
      </c>
      <c r="U129" s="20" t="s">
        <v>36</v>
      </c>
      <c r="V129" s="20">
        <v>7</v>
      </c>
      <c r="W129" s="20">
        <v>1</v>
      </c>
      <c r="X129" s="20" t="s">
        <v>490</v>
      </c>
      <c r="Y129" s="20" t="s">
        <v>292</v>
      </c>
      <c r="Z129" s="20" t="s">
        <v>60</v>
      </c>
      <c r="AA129" s="20" t="s">
        <v>491</v>
      </c>
    </row>
    <row r="130" spans="1:27" x14ac:dyDescent="0.2">
      <c r="A130" s="1">
        <v>45955</v>
      </c>
      <c r="B130" s="20" t="s">
        <v>328</v>
      </c>
      <c r="C130" s="20" t="s">
        <v>18</v>
      </c>
      <c r="D130" s="20" t="s">
        <v>38</v>
      </c>
      <c r="E130" s="20" t="s">
        <v>670</v>
      </c>
      <c r="F130" s="20" t="s">
        <v>18</v>
      </c>
      <c r="G130" s="20">
        <v>2</v>
      </c>
      <c r="H130" s="20">
        <v>3</v>
      </c>
      <c r="I130" s="13">
        <v>0.6</v>
      </c>
      <c r="J130" s="20" t="s">
        <v>249</v>
      </c>
      <c r="L130" s="20" t="s">
        <v>248</v>
      </c>
      <c r="M130" s="20" t="s">
        <v>360</v>
      </c>
      <c r="N130" s="20" t="s">
        <v>18</v>
      </c>
      <c r="O130" s="20">
        <v>2</v>
      </c>
      <c r="P130" s="20">
        <v>3</v>
      </c>
      <c r="Q130" s="13">
        <v>0.55488793501587308</v>
      </c>
      <c r="R130" s="20" t="s">
        <v>249</v>
      </c>
      <c r="S130" s="20">
        <v>-0.30488737791381648</v>
      </c>
      <c r="T130" s="20" t="s">
        <v>248</v>
      </c>
      <c r="U130" s="20" t="s">
        <v>18</v>
      </c>
      <c r="V130" s="20">
        <v>4</v>
      </c>
      <c r="W130" s="20">
        <v>3</v>
      </c>
      <c r="X130" s="20" t="s">
        <v>490</v>
      </c>
      <c r="Y130" s="20" t="s">
        <v>292</v>
      </c>
      <c r="Z130" s="20" t="s">
        <v>60</v>
      </c>
      <c r="AA130" s="20" t="s">
        <v>491</v>
      </c>
    </row>
    <row r="131" spans="1:27" x14ac:dyDescent="0.2">
      <c r="A131" s="1">
        <v>45955</v>
      </c>
      <c r="B131" s="20" t="s">
        <v>328</v>
      </c>
      <c r="C131" s="20" t="s">
        <v>23</v>
      </c>
      <c r="D131" s="20" t="s">
        <v>19</v>
      </c>
      <c r="E131" s="20" t="s">
        <v>671</v>
      </c>
      <c r="F131" s="20" t="s">
        <v>23</v>
      </c>
      <c r="G131" s="20">
        <v>2</v>
      </c>
      <c r="H131" s="20">
        <v>3</v>
      </c>
      <c r="I131" s="13">
        <v>0.6</v>
      </c>
      <c r="J131" s="20" t="s">
        <v>249</v>
      </c>
      <c r="L131" s="20" t="s">
        <v>249</v>
      </c>
      <c r="M131" s="20" t="s">
        <v>672</v>
      </c>
      <c r="N131" s="20" t="s">
        <v>23</v>
      </c>
      <c r="O131" s="20">
        <v>2</v>
      </c>
      <c r="P131" s="20">
        <v>3</v>
      </c>
      <c r="Q131" s="13">
        <v>0.47266517059166502</v>
      </c>
      <c r="R131" s="20" t="s">
        <v>249</v>
      </c>
      <c r="S131" s="20">
        <v>-0.1084674066552284</v>
      </c>
      <c r="T131" s="20" t="s">
        <v>249</v>
      </c>
      <c r="U131" s="20" t="s">
        <v>19</v>
      </c>
      <c r="V131" s="20">
        <v>3</v>
      </c>
      <c r="W131" s="20">
        <v>4</v>
      </c>
      <c r="X131" s="20" t="s">
        <v>496</v>
      </c>
      <c r="Y131" s="20" t="s">
        <v>292</v>
      </c>
      <c r="Z131" s="20" t="s">
        <v>60</v>
      </c>
      <c r="AA131" s="20" t="s">
        <v>491</v>
      </c>
    </row>
    <row r="132" spans="1:27" x14ac:dyDescent="0.2">
      <c r="A132" s="1">
        <v>45955</v>
      </c>
      <c r="B132" s="20" t="s">
        <v>322</v>
      </c>
      <c r="C132" s="20" t="s">
        <v>17</v>
      </c>
      <c r="D132" s="20" t="s">
        <v>32</v>
      </c>
      <c r="E132" s="20" t="s">
        <v>462</v>
      </c>
      <c r="F132" s="20" t="s">
        <v>32</v>
      </c>
      <c r="G132" s="20">
        <v>2</v>
      </c>
      <c r="H132" s="20">
        <v>3</v>
      </c>
      <c r="I132" s="13">
        <v>0.6</v>
      </c>
      <c r="J132" s="20" t="s">
        <v>249</v>
      </c>
      <c r="L132" s="20" t="s">
        <v>248</v>
      </c>
      <c r="M132" s="20" t="s">
        <v>673</v>
      </c>
      <c r="N132" s="20" t="s">
        <v>32</v>
      </c>
      <c r="O132" s="20">
        <v>2</v>
      </c>
      <c r="P132" s="20">
        <v>3</v>
      </c>
      <c r="Q132" s="13">
        <v>0.5654862647057014</v>
      </c>
      <c r="R132" s="20" t="s">
        <v>249</v>
      </c>
      <c r="S132" s="20">
        <v>0.2182701778825942</v>
      </c>
      <c r="T132" s="20" t="s">
        <v>248</v>
      </c>
      <c r="U132" s="20" t="s">
        <v>32</v>
      </c>
      <c r="V132" s="20">
        <v>2</v>
      </c>
      <c r="W132" s="20">
        <v>3</v>
      </c>
      <c r="X132" s="20" t="s">
        <v>490</v>
      </c>
      <c r="Y132" s="20" t="s">
        <v>292</v>
      </c>
      <c r="Z132" s="20" t="s">
        <v>60</v>
      </c>
      <c r="AA132" s="20" t="s">
        <v>491</v>
      </c>
    </row>
    <row r="133" spans="1:27" x14ac:dyDescent="0.2">
      <c r="A133" s="1">
        <v>45955</v>
      </c>
      <c r="B133" s="20" t="s">
        <v>324</v>
      </c>
      <c r="C133" s="20" t="s">
        <v>25</v>
      </c>
      <c r="D133" s="20" t="s">
        <v>39</v>
      </c>
      <c r="E133" s="20" t="s">
        <v>674</v>
      </c>
      <c r="F133" s="20" t="s">
        <v>39</v>
      </c>
      <c r="G133" s="20">
        <v>2</v>
      </c>
      <c r="H133" s="20">
        <v>3</v>
      </c>
      <c r="I133" s="13">
        <v>0.6</v>
      </c>
      <c r="J133" s="20" t="s">
        <v>249</v>
      </c>
      <c r="L133" s="20" t="s">
        <v>248</v>
      </c>
      <c r="M133" s="20" t="s">
        <v>398</v>
      </c>
      <c r="N133" s="20" t="s">
        <v>39</v>
      </c>
      <c r="O133" s="20">
        <v>2</v>
      </c>
      <c r="P133" s="20">
        <v>3</v>
      </c>
      <c r="Q133" s="13">
        <v>0.50439830818693232</v>
      </c>
      <c r="R133" s="20" t="s">
        <v>249</v>
      </c>
      <c r="S133" s="20">
        <v>3.766811344972959E-2</v>
      </c>
      <c r="T133" s="20" t="s">
        <v>248</v>
      </c>
      <c r="U133" s="20" t="s">
        <v>39</v>
      </c>
      <c r="V133" s="20">
        <v>2</v>
      </c>
      <c r="W133" s="20">
        <v>3</v>
      </c>
      <c r="X133" s="20" t="s">
        <v>490</v>
      </c>
      <c r="Y133" s="20" t="s">
        <v>292</v>
      </c>
      <c r="Z133" s="20" t="s">
        <v>60</v>
      </c>
      <c r="AA133" s="20" t="s">
        <v>491</v>
      </c>
    </row>
    <row r="134" spans="1:27" x14ac:dyDescent="0.2">
      <c r="A134" s="1">
        <v>45955</v>
      </c>
      <c r="B134" s="20" t="s">
        <v>555</v>
      </c>
      <c r="C134" s="20" t="s">
        <v>30</v>
      </c>
      <c r="D134" s="20" t="s">
        <v>27</v>
      </c>
      <c r="E134" s="20" t="s">
        <v>675</v>
      </c>
      <c r="F134" s="20" t="s">
        <v>30</v>
      </c>
      <c r="G134" s="20">
        <v>2</v>
      </c>
      <c r="H134" s="20">
        <v>3</v>
      </c>
      <c r="I134" s="13">
        <v>0.6</v>
      </c>
      <c r="J134" s="20" t="s">
        <v>249</v>
      </c>
      <c r="L134" s="20" t="s">
        <v>249</v>
      </c>
      <c r="M134" s="20" t="s">
        <v>676</v>
      </c>
      <c r="N134" s="20" t="s">
        <v>30</v>
      </c>
      <c r="O134" s="20">
        <v>2</v>
      </c>
      <c r="P134" s="20">
        <v>3</v>
      </c>
      <c r="Q134" s="13">
        <v>0.52895808630556485</v>
      </c>
      <c r="R134" s="20" t="s">
        <v>249</v>
      </c>
      <c r="S134" s="20">
        <v>-8.9406837141820905E-2</v>
      </c>
      <c r="T134" s="20" t="s">
        <v>249</v>
      </c>
      <c r="U134" s="20" t="s">
        <v>27</v>
      </c>
      <c r="V134" s="20">
        <v>3</v>
      </c>
      <c r="W134" s="20">
        <v>4</v>
      </c>
      <c r="X134" s="20" t="s">
        <v>496</v>
      </c>
      <c r="Y134" s="20" t="s">
        <v>292</v>
      </c>
      <c r="Z134" s="20" t="s">
        <v>60</v>
      </c>
      <c r="AA134" s="20" t="s">
        <v>491</v>
      </c>
    </row>
    <row r="135" spans="1:27" x14ac:dyDescent="0.2">
      <c r="A135" s="1">
        <v>45955</v>
      </c>
      <c r="B135" s="20" t="s">
        <v>324</v>
      </c>
      <c r="C135" s="20" t="s">
        <v>13</v>
      </c>
      <c r="D135" s="20" t="s">
        <v>29</v>
      </c>
      <c r="E135" s="20" t="s">
        <v>677</v>
      </c>
      <c r="F135" s="20" t="s">
        <v>13</v>
      </c>
      <c r="G135" s="20">
        <v>2</v>
      </c>
      <c r="H135" s="20">
        <v>3</v>
      </c>
      <c r="I135" s="13">
        <v>0.6</v>
      </c>
      <c r="J135" s="20" t="s">
        <v>249</v>
      </c>
      <c r="L135" s="20" t="s">
        <v>249</v>
      </c>
      <c r="M135" s="20" t="s">
        <v>678</v>
      </c>
      <c r="N135" s="20" t="s">
        <v>13</v>
      </c>
      <c r="O135" s="20">
        <v>2</v>
      </c>
      <c r="P135" s="20">
        <v>3</v>
      </c>
      <c r="Q135" s="13">
        <v>0.64269907050438491</v>
      </c>
      <c r="R135" s="20" t="s">
        <v>249</v>
      </c>
      <c r="S135" s="20">
        <v>-0.99673293620968484</v>
      </c>
      <c r="T135" s="20" t="s">
        <v>249</v>
      </c>
      <c r="U135" s="20" t="s">
        <v>29</v>
      </c>
      <c r="V135" s="20">
        <v>4</v>
      </c>
      <c r="W135" s="20">
        <v>5</v>
      </c>
      <c r="X135" s="20" t="s">
        <v>496</v>
      </c>
      <c r="Y135" s="20" t="s">
        <v>292</v>
      </c>
      <c r="Z135" s="20" t="s">
        <v>60</v>
      </c>
      <c r="AA135" s="20" t="s">
        <v>491</v>
      </c>
    </row>
    <row r="136" spans="1:27" x14ac:dyDescent="0.2">
      <c r="A136" s="1">
        <v>45955</v>
      </c>
      <c r="B136" s="20" t="s">
        <v>469</v>
      </c>
      <c r="C136" s="20" t="s">
        <v>55</v>
      </c>
      <c r="D136" s="20" t="s">
        <v>34</v>
      </c>
      <c r="E136" s="20" t="s">
        <v>679</v>
      </c>
      <c r="F136" s="20" t="s">
        <v>34</v>
      </c>
      <c r="G136" s="20">
        <v>2</v>
      </c>
      <c r="H136" s="20">
        <v>3</v>
      </c>
      <c r="I136" s="13">
        <v>0.6</v>
      </c>
      <c r="J136" s="20" t="s">
        <v>249</v>
      </c>
      <c r="L136" s="20" t="s">
        <v>249</v>
      </c>
      <c r="M136" s="20" t="s">
        <v>680</v>
      </c>
      <c r="N136" s="20" t="s">
        <v>34</v>
      </c>
      <c r="O136" s="20">
        <v>2</v>
      </c>
      <c r="P136" s="20">
        <v>3</v>
      </c>
      <c r="Q136" s="13">
        <v>0.5864606100690819</v>
      </c>
      <c r="R136" s="20" t="s">
        <v>249</v>
      </c>
      <c r="S136" s="20">
        <v>0.39789925049486607</v>
      </c>
      <c r="T136" s="20" t="s">
        <v>249</v>
      </c>
      <c r="U136" s="20" t="s">
        <v>55</v>
      </c>
      <c r="V136" s="20">
        <v>6</v>
      </c>
      <c r="W136" s="20">
        <v>2</v>
      </c>
      <c r="X136" s="20" t="s">
        <v>490</v>
      </c>
      <c r="Y136" s="20" t="s">
        <v>292</v>
      </c>
      <c r="Z136" s="20" t="s">
        <v>60</v>
      </c>
      <c r="AA136" s="20" t="s">
        <v>491</v>
      </c>
    </row>
    <row r="137" spans="1:27" x14ac:dyDescent="0.2">
      <c r="A137" s="1">
        <v>45955</v>
      </c>
      <c r="B137" s="20" t="s">
        <v>469</v>
      </c>
      <c r="C137" s="20" t="s">
        <v>20</v>
      </c>
      <c r="D137" s="20" t="s">
        <v>11</v>
      </c>
      <c r="E137" s="20" t="s">
        <v>681</v>
      </c>
      <c r="F137" s="20" t="s">
        <v>20</v>
      </c>
      <c r="G137" s="20">
        <v>2</v>
      </c>
      <c r="H137" s="20">
        <v>3</v>
      </c>
      <c r="I137" s="13">
        <v>0.6</v>
      </c>
      <c r="J137" s="20" t="s">
        <v>249</v>
      </c>
      <c r="L137" s="20" t="s">
        <v>249</v>
      </c>
      <c r="M137" s="20" t="s">
        <v>682</v>
      </c>
      <c r="N137" s="20" t="s">
        <v>20</v>
      </c>
      <c r="O137" s="20">
        <v>2</v>
      </c>
      <c r="P137" s="20">
        <v>3</v>
      </c>
      <c r="Q137" s="13">
        <v>0.45798407748241171</v>
      </c>
      <c r="R137" s="20" t="s">
        <v>249</v>
      </c>
      <c r="S137" s="20">
        <v>-0.10277671182030761</v>
      </c>
      <c r="T137" s="20" t="s">
        <v>249</v>
      </c>
      <c r="U137" s="20" t="s">
        <v>11</v>
      </c>
      <c r="V137" s="20">
        <v>0</v>
      </c>
      <c r="W137" s="20">
        <v>3</v>
      </c>
      <c r="X137" s="20" t="s">
        <v>490</v>
      </c>
      <c r="Y137" s="20" t="s">
        <v>292</v>
      </c>
      <c r="Z137" s="20" t="s">
        <v>60</v>
      </c>
      <c r="AA137" s="20" t="s">
        <v>491</v>
      </c>
    </row>
    <row r="138" spans="1:27" x14ac:dyDescent="0.2">
      <c r="A138" s="1">
        <v>45955</v>
      </c>
      <c r="B138" s="20" t="s">
        <v>328</v>
      </c>
      <c r="C138" s="20" t="s">
        <v>35</v>
      </c>
      <c r="D138" s="20" t="s">
        <v>26</v>
      </c>
      <c r="E138" s="20" t="s">
        <v>683</v>
      </c>
      <c r="F138" s="20" t="s">
        <v>26</v>
      </c>
      <c r="G138" s="20">
        <v>2</v>
      </c>
      <c r="H138" s="20">
        <v>3</v>
      </c>
      <c r="I138" s="13">
        <v>0.6</v>
      </c>
      <c r="J138" s="20" t="s">
        <v>249</v>
      </c>
      <c r="L138" s="20" t="s">
        <v>248</v>
      </c>
      <c r="M138" s="20" t="s">
        <v>307</v>
      </c>
      <c r="N138" s="20" t="s">
        <v>26</v>
      </c>
      <c r="O138" s="20">
        <v>2</v>
      </c>
      <c r="P138" s="20">
        <v>3</v>
      </c>
      <c r="Q138" s="13">
        <v>0.60644376656859444</v>
      </c>
      <c r="R138" s="20" t="s">
        <v>249</v>
      </c>
      <c r="S138" s="20">
        <v>0.56903955583857546</v>
      </c>
      <c r="T138" s="20" t="s">
        <v>248</v>
      </c>
      <c r="U138" s="20" t="s">
        <v>26</v>
      </c>
      <c r="V138" s="20">
        <v>4</v>
      </c>
      <c r="W138" s="20">
        <v>6</v>
      </c>
      <c r="X138" s="20" t="s">
        <v>490</v>
      </c>
      <c r="Y138" s="20" t="s">
        <v>292</v>
      </c>
      <c r="Z138" s="20" t="s">
        <v>60</v>
      </c>
      <c r="AA138" s="20" t="s">
        <v>491</v>
      </c>
    </row>
    <row r="139" spans="1:27" x14ac:dyDescent="0.2">
      <c r="A139" s="1">
        <v>45955</v>
      </c>
      <c r="B139" s="20" t="s">
        <v>328</v>
      </c>
      <c r="C139" s="20" t="s">
        <v>28</v>
      </c>
      <c r="D139" s="20" t="s">
        <v>14</v>
      </c>
      <c r="E139" s="20" t="s">
        <v>684</v>
      </c>
      <c r="F139" s="20" t="s">
        <v>14</v>
      </c>
      <c r="G139" s="20">
        <v>2</v>
      </c>
      <c r="H139" s="20">
        <v>3</v>
      </c>
      <c r="I139" s="13">
        <v>0.6</v>
      </c>
      <c r="J139" s="20" t="s">
        <v>249</v>
      </c>
      <c r="L139" s="20" t="s">
        <v>249</v>
      </c>
      <c r="M139" s="20" t="s">
        <v>685</v>
      </c>
      <c r="N139" s="20" t="s">
        <v>14</v>
      </c>
      <c r="O139" s="20">
        <v>2</v>
      </c>
      <c r="P139" s="20">
        <v>3</v>
      </c>
      <c r="Q139" s="13">
        <v>0.59511283681584248</v>
      </c>
      <c r="R139" s="20" t="s">
        <v>249</v>
      </c>
      <c r="S139" s="20">
        <v>0.50262593170821268</v>
      </c>
      <c r="T139" s="20" t="s">
        <v>249</v>
      </c>
      <c r="U139" s="20" t="s">
        <v>28</v>
      </c>
      <c r="V139" s="20">
        <v>5</v>
      </c>
      <c r="W139" s="20">
        <v>4</v>
      </c>
      <c r="X139" s="20" t="s">
        <v>496</v>
      </c>
      <c r="Y139" s="20" t="s">
        <v>292</v>
      </c>
      <c r="Z139" s="20" t="s">
        <v>60</v>
      </c>
      <c r="AA139" s="20" t="s">
        <v>491</v>
      </c>
    </row>
    <row r="140" spans="1:27" x14ac:dyDescent="0.2">
      <c r="A140" s="1">
        <v>45955</v>
      </c>
      <c r="B140" s="20" t="s">
        <v>453</v>
      </c>
      <c r="C140" s="20" t="s">
        <v>12</v>
      </c>
      <c r="D140" s="20" t="s">
        <v>21</v>
      </c>
      <c r="E140" s="20" t="s">
        <v>686</v>
      </c>
      <c r="F140" s="20" t="s">
        <v>12</v>
      </c>
      <c r="G140" s="20">
        <v>2</v>
      </c>
      <c r="H140" s="20">
        <v>3</v>
      </c>
      <c r="I140" s="13">
        <v>0.6</v>
      </c>
      <c r="J140" s="20" t="s">
        <v>249</v>
      </c>
      <c r="L140" s="20" t="s">
        <v>249</v>
      </c>
      <c r="M140" s="20" t="s">
        <v>687</v>
      </c>
      <c r="N140" s="20" t="s">
        <v>12</v>
      </c>
      <c r="O140" s="20">
        <v>2</v>
      </c>
      <c r="P140" s="20">
        <v>3</v>
      </c>
      <c r="Q140" s="13">
        <v>0.69946652091585082</v>
      </c>
      <c r="R140" s="20" t="s">
        <v>249</v>
      </c>
      <c r="S140" s="20">
        <v>-1.8017726699515451</v>
      </c>
      <c r="T140" s="20" t="s">
        <v>249</v>
      </c>
      <c r="U140" s="20" t="s">
        <v>21</v>
      </c>
      <c r="V140" s="20">
        <v>2</v>
      </c>
      <c r="W140" s="20">
        <v>3</v>
      </c>
      <c r="X140" s="20" t="s">
        <v>490</v>
      </c>
      <c r="Y140" s="20" t="s">
        <v>292</v>
      </c>
      <c r="Z140" s="20" t="s">
        <v>60</v>
      </c>
      <c r="AA140" s="20" t="s">
        <v>491</v>
      </c>
    </row>
    <row r="141" spans="1:27" x14ac:dyDescent="0.2">
      <c r="A141" s="1">
        <v>45956</v>
      </c>
      <c r="B141" s="20" t="s">
        <v>322</v>
      </c>
      <c r="C141" s="20" t="s">
        <v>17</v>
      </c>
      <c r="D141" s="20" t="s">
        <v>38</v>
      </c>
      <c r="E141" s="20" t="s">
        <v>688</v>
      </c>
      <c r="F141" s="20" t="s">
        <v>17</v>
      </c>
      <c r="G141" s="20">
        <v>2</v>
      </c>
      <c r="H141" s="20">
        <v>3</v>
      </c>
      <c r="I141" s="13">
        <v>0.6</v>
      </c>
      <c r="J141" s="20" t="s">
        <v>249</v>
      </c>
      <c r="L141" s="20" t="s">
        <v>249</v>
      </c>
      <c r="M141" s="20" t="s">
        <v>689</v>
      </c>
      <c r="N141" s="20" t="s">
        <v>17</v>
      </c>
      <c r="O141" s="20">
        <v>2</v>
      </c>
      <c r="P141" s="20">
        <v>3</v>
      </c>
      <c r="Q141" s="13">
        <v>0.46934472358622298</v>
      </c>
      <c r="R141" s="20" t="s">
        <v>249</v>
      </c>
      <c r="S141" s="20">
        <v>-8.0030341950119932E-2</v>
      </c>
      <c r="T141" s="20" t="s">
        <v>249</v>
      </c>
      <c r="U141" s="20" t="s">
        <v>38</v>
      </c>
      <c r="V141" s="20">
        <v>3</v>
      </c>
      <c r="W141" s="20">
        <v>4</v>
      </c>
      <c r="X141" s="20" t="s">
        <v>496</v>
      </c>
      <c r="Y141" s="20" t="s">
        <v>292</v>
      </c>
      <c r="Z141" s="20" t="s">
        <v>60</v>
      </c>
      <c r="AA141" s="20" t="s">
        <v>491</v>
      </c>
    </row>
    <row r="142" spans="1:27" x14ac:dyDescent="0.2">
      <c r="A142" s="1">
        <v>45956</v>
      </c>
      <c r="B142" s="20" t="s">
        <v>365</v>
      </c>
      <c r="C142" s="20" t="s">
        <v>20</v>
      </c>
      <c r="D142" s="20" t="s">
        <v>37</v>
      </c>
      <c r="E142" s="20" t="s">
        <v>690</v>
      </c>
      <c r="F142" s="20" t="s">
        <v>37</v>
      </c>
      <c r="G142" s="20">
        <v>2</v>
      </c>
      <c r="H142" s="20">
        <v>3</v>
      </c>
      <c r="I142" s="13">
        <v>0.6</v>
      </c>
      <c r="J142" s="20" t="s">
        <v>249</v>
      </c>
      <c r="L142" s="20" t="s">
        <v>248</v>
      </c>
      <c r="M142" s="20" t="s">
        <v>395</v>
      </c>
      <c r="N142" s="20" t="s">
        <v>37</v>
      </c>
      <c r="O142" s="20">
        <v>2</v>
      </c>
      <c r="P142" s="20">
        <v>3</v>
      </c>
      <c r="Q142" s="13">
        <v>0.66622377640460784</v>
      </c>
      <c r="R142" s="20" t="s">
        <v>249</v>
      </c>
      <c r="S142" s="20">
        <v>0.80484652599040318</v>
      </c>
      <c r="T142" s="20" t="s">
        <v>248</v>
      </c>
      <c r="U142" s="20" t="s">
        <v>37</v>
      </c>
      <c r="V142" s="20">
        <v>1</v>
      </c>
      <c r="W142" s="20">
        <v>2</v>
      </c>
      <c r="X142" s="20" t="s">
        <v>496</v>
      </c>
      <c r="Y142" s="20" t="s">
        <v>292</v>
      </c>
      <c r="Z142" s="20" t="s">
        <v>60</v>
      </c>
      <c r="AA142" s="20" t="s">
        <v>491</v>
      </c>
    </row>
    <row r="143" spans="1:27" x14ac:dyDescent="0.2">
      <c r="A143" s="1">
        <v>45956</v>
      </c>
      <c r="B143" s="20" t="s">
        <v>469</v>
      </c>
      <c r="C143" s="20" t="s">
        <v>55</v>
      </c>
      <c r="D143" s="20" t="s">
        <v>40</v>
      </c>
      <c r="E143" s="20" t="s">
        <v>691</v>
      </c>
      <c r="F143" s="20" t="s">
        <v>40</v>
      </c>
      <c r="G143" s="20">
        <v>2</v>
      </c>
      <c r="H143" s="20">
        <v>3</v>
      </c>
      <c r="I143" s="13">
        <v>0.6</v>
      </c>
      <c r="J143" s="20" t="s">
        <v>249</v>
      </c>
      <c r="L143" s="20" t="s">
        <v>249</v>
      </c>
      <c r="M143" s="20" t="s">
        <v>692</v>
      </c>
      <c r="N143" s="20" t="s">
        <v>40</v>
      </c>
      <c r="O143" s="20">
        <v>2</v>
      </c>
      <c r="P143" s="20">
        <v>3</v>
      </c>
      <c r="Q143" s="13">
        <v>0.5588171157459414</v>
      </c>
      <c r="R143" s="20" t="s">
        <v>249</v>
      </c>
      <c r="S143" s="20">
        <v>0.1397822141615534</v>
      </c>
      <c r="T143" s="20" t="s">
        <v>249</v>
      </c>
      <c r="U143" s="20" t="s">
        <v>55</v>
      </c>
      <c r="V143" s="20">
        <v>3</v>
      </c>
      <c r="W143" s="20">
        <v>2</v>
      </c>
      <c r="X143" s="20" t="s">
        <v>490</v>
      </c>
      <c r="Y143" s="20" t="s">
        <v>292</v>
      </c>
      <c r="Z143" s="20" t="s">
        <v>60</v>
      </c>
      <c r="AA143" s="20" t="s">
        <v>491</v>
      </c>
    </row>
    <row r="144" spans="1:27" x14ac:dyDescent="0.2">
      <c r="A144" s="1">
        <v>45956</v>
      </c>
      <c r="B144" s="20" t="s">
        <v>347</v>
      </c>
      <c r="C144" s="20" t="s">
        <v>12</v>
      </c>
      <c r="D144" s="20" t="s">
        <v>24</v>
      </c>
      <c r="E144" s="20" t="s">
        <v>693</v>
      </c>
      <c r="F144" s="20" t="s">
        <v>12</v>
      </c>
      <c r="G144" s="20">
        <v>2</v>
      </c>
      <c r="H144" s="20">
        <v>3</v>
      </c>
      <c r="I144" s="13">
        <v>0.6</v>
      </c>
      <c r="J144" s="20" t="s">
        <v>249</v>
      </c>
      <c r="L144" s="20" t="s">
        <v>249</v>
      </c>
      <c r="M144" s="20" t="s">
        <v>694</v>
      </c>
      <c r="N144" s="20" t="s">
        <v>12</v>
      </c>
      <c r="O144" s="20">
        <v>2</v>
      </c>
      <c r="P144" s="20">
        <v>3</v>
      </c>
      <c r="Q144" s="13">
        <v>0.63524773437155191</v>
      </c>
      <c r="R144" s="20" t="s">
        <v>249</v>
      </c>
      <c r="S144" s="20">
        <v>-1.5804726587392099</v>
      </c>
      <c r="T144" s="20" t="s">
        <v>249</v>
      </c>
      <c r="U144" s="20" t="s">
        <v>24</v>
      </c>
      <c r="V144" s="20">
        <v>3</v>
      </c>
      <c r="W144" s="20">
        <v>4</v>
      </c>
      <c r="X144" s="20" t="s">
        <v>496</v>
      </c>
      <c r="Y144" s="20" t="s">
        <v>292</v>
      </c>
      <c r="Z144" s="20" t="s">
        <v>60</v>
      </c>
      <c r="AA144" s="20" t="s">
        <v>491</v>
      </c>
    </row>
    <row r="145" spans="1:27" x14ac:dyDescent="0.2">
      <c r="A145" s="1">
        <v>45956</v>
      </c>
      <c r="B145" s="20" t="s">
        <v>469</v>
      </c>
      <c r="C145" s="20" t="s">
        <v>33</v>
      </c>
      <c r="D145" s="20" t="s">
        <v>34</v>
      </c>
      <c r="E145" s="20" t="s">
        <v>695</v>
      </c>
      <c r="F145" s="20" t="s">
        <v>34</v>
      </c>
      <c r="G145" s="20">
        <v>2</v>
      </c>
      <c r="H145" s="20">
        <v>3</v>
      </c>
      <c r="I145" s="13">
        <v>0.6</v>
      </c>
      <c r="J145" s="20" t="s">
        <v>249</v>
      </c>
      <c r="L145" s="20" t="s">
        <v>249</v>
      </c>
      <c r="M145" s="20" t="s">
        <v>696</v>
      </c>
      <c r="N145" s="20" t="s">
        <v>34</v>
      </c>
      <c r="O145" s="20">
        <v>2</v>
      </c>
      <c r="P145" s="20">
        <v>3</v>
      </c>
      <c r="Q145" s="13">
        <v>0.59208957093140724</v>
      </c>
      <c r="R145" s="20" t="s">
        <v>249</v>
      </c>
      <c r="S145" s="20">
        <v>0.44610695385592702</v>
      </c>
      <c r="T145" s="20" t="s">
        <v>249</v>
      </c>
      <c r="U145" s="20" t="s">
        <v>33</v>
      </c>
      <c r="V145" s="20">
        <v>6</v>
      </c>
      <c r="W145" s="20">
        <v>5</v>
      </c>
      <c r="X145" s="20" t="s">
        <v>496</v>
      </c>
      <c r="Y145" s="20" t="s">
        <v>292</v>
      </c>
      <c r="Z145" s="20" t="s">
        <v>60</v>
      </c>
      <c r="AA145" s="20" t="s">
        <v>491</v>
      </c>
    </row>
    <row r="146" spans="1:27" x14ac:dyDescent="0.2">
      <c r="A146" s="1">
        <v>45956</v>
      </c>
      <c r="B146" s="20" t="s">
        <v>328</v>
      </c>
      <c r="C146" s="20" t="s">
        <v>13</v>
      </c>
      <c r="D146" s="20" t="s">
        <v>10</v>
      </c>
      <c r="E146" s="20" t="s">
        <v>697</v>
      </c>
      <c r="F146" s="20" t="s">
        <v>10</v>
      </c>
      <c r="G146" s="20">
        <v>2</v>
      </c>
      <c r="H146" s="20">
        <v>3</v>
      </c>
      <c r="I146" s="13">
        <v>0.6</v>
      </c>
      <c r="J146" s="20" t="s">
        <v>249</v>
      </c>
      <c r="L146" s="20" t="s">
        <v>249</v>
      </c>
      <c r="M146" s="20" t="s">
        <v>698</v>
      </c>
      <c r="N146" s="20" t="s">
        <v>10</v>
      </c>
      <c r="O146" s="20">
        <v>2</v>
      </c>
      <c r="P146" s="20">
        <v>3</v>
      </c>
      <c r="Q146" s="13">
        <v>0.49843694903683539</v>
      </c>
      <c r="R146" s="20" t="s">
        <v>249</v>
      </c>
      <c r="S146" s="20">
        <v>0.21198809241606251</v>
      </c>
      <c r="T146" s="20" t="s">
        <v>249</v>
      </c>
      <c r="U146" s="20" t="s">
        <v>13</v>
      </c>
      <c r="V146" s="20">
        <v>3</v>
      </c>
      <c r="W146" s="20">
        <v>1</v>
      </c>
      <c r="X146" s="20" t="s">
        <v>490</v>
      </c>
      <c r="Y146" s="20" t="s">
        <v>292</v>
      </c>
      <c r="Z146" s="20" t="s">
        <v>60</v>
      </c>
      <c r="AA146" s="20" t="s">
        <v>491</v>
      </c>
    </row>
    <row r="147" spans="1:27" x14ac:dyDescent="0.2">
      <c r="A147" s="1">
        <v>45956</v>
      </c>
      <c r="B147" s="20" t="s">
        <v>328</v>
      </c>
      <c r="C147" s="20" t="s">
        <v>39</v>
      </c>
      <c r="D147" s="20" t="s">
        <v>29</v>
      </c>
      <c r="E147" s="20" t="s">
        <v>699</v>
      </c>
      <c r="F147" s="20" t="s">
        <v>39</v>
      </c>
      <c r="G147" s="20">
        <v>2</v>
      </c>
      <c r="H147" s="20">
        <v>3</v>
      </c>
      <c r="I147" s="13">
        <v>0.6</v>
      </c>
      <c r="J147" s="20" t="s">
        <v>249</v>
      </c>
      <c r="L147" s="20" t="s">
        <v>248</v>
      </c>
      <c r="M147" s="20" t="s">
        <v>398</v>
      </c>
      <c r="N147" s="20" t="s">
        <v>39</v>
      </c>
      <c r="O147" s="20">
        <v>2</v>
      </c>
      <c r="P147" s="20">
        <v>3</v>
      </c>
      <c r="Q147" s="13">
        <v>0.7659561507622451</v>
      </c>
      <c r="R147" s="20" t="s">
        <v>249</v>
      </c>
      <c r="S147" s="20">
        <v>-1.7484590367420181</v>
      </c>
      <c r="T147" s="20" t="s">
        <v>248</v>
      </c>
      <c r="U147" s="20" t="s">
        <v>39</v>
      </c>
      <c r="V147" s="20">
        <v>3</v>
      </c>
      <c r="W147" s="20">
        <v>2</v>
      </c>
      <c r="X147" s="20" t="s">
        <v>490</v>
      </c>
      <c r="Y147" s="20" t="s">
        <v>292</v>
      </c>
      <c r="Z147" s="20" t="s">
        <v>60</v>
      </c>
      <c r="AA147" s="20" t="s">
        <v>491</v>
      </c>
    </row>
    <row r="148" spans="1:27" x14ac:dyDescent="0.2">
      <c r="A148" s="1">
        <v>45956</v>
      </c>
      <c r="B148" s="20" t="s">
        <v>324</v>
      </c>
      <c r="C148" s="20" t="s">
        <v>15</v>
      </c>
      <c r="D148" s="20" t="s">
        <v>16</v>
      </c>
      <c r="E148" s="20" t="s">
        <v>700</v>
      </c>
      <c r="F148" s="20" t="s">
        <v>15</v>
      </c>
      <c r="G148" s="20">
        <v>2</v>
      </c>
      <c r="H148" s="20">
        <v>3</v>
      </c>
      <c r="I148" s="13">
        <v>0.6</v>
      </c>
      <c r="J148" s="20" t="s">
        <v>249</v>
      </c>
      <c r="L148" s="20" t="s">
        <v>249</v>
      </c>
      <c r="M148" s="20" t="s">
        <v>701</v>
      </c>
      <c r="N148" s="20" t="s">
        <v>15</v>
      </c>
      <c r="O148" s="20">
        <v>2</v>
      </c>
      <c r="P148" s="20">
        <v>3</v>
      </c>
      <c r="Q148" s="13">
        <v>0.64483476332872802</v>
      </c>
      <c r="R148" s="20" t="s">
        <v>249</v>
      </c>
      <c r="S148" s="20">
        <v>-0.72584654563751583</v>
      </c>
      <c r="T148" s="20" t="s">
        <v>249</v>
      </c>
      <c r="U148" s="20" t="s">
        <v>16</v>
      </c>
      <c r="V148" s="20">
        <v>1</v>
      </c>
      <c r="W148" s="20">
        <v>5</v>
      </c>
      <c r="X148" s="20" t="s">
        <v>490</v>
      </c>
      <c r="Y148" s="20" t="s">
        <v>292</v>
      </c>
      <c r="Z148" s="20" t="s">
        <v>60</v>
      </c>
      <c r="AA148" s="20" t="s">
        <v>491</v>
      </c>
    </row>
    <row r="149" spans="1:27" x14ac:dyDescent="0.2">
      <c r="A149" s="1">
        <v>45957</v>
      </c>
      <c r="B149" s="20" t="s">
        <v>334</v>
      </c>
      <c r="C149" s="20" t="s">
        <v>21</v>
      </c>
      <c r="D149" s="20" t="s">
        <v>36</v>
      </c>
      <c r="E149" s="20" t="s">
        <v>702</v>
      </c>
      <c r="F149" s="20" t="s">
        <v>21</v>
      </c>
      <c r="G149" s="20">
        <v>2</v>
      </c>
      <c r="H149" s="20">
        <v>3</v>
      </c>
      <c r="I149" s="13">
        <v>0.6</v>
      </c>
      <c r="J149" s="20" t="s">
        <v>249</v>
      </c>
      <c r="L149" s="20" t="s">
        <v>249</v>
      </c>
      <c r="M149" s="20" t="s">
        <v>703</v>
      </c>
      <c r="N149" s="20" t="s">
        <v>21</v>
      </c>
      <c r="O149" s="20">
        <v>2</v>
      </c>
      <c r="P149" s="20">
        <v>3</v>
      </c>
      <c r="Q149" s="13">
        <v>0.48889131780087369</v>
      </c>
      <c r="R149" s="20" t="s">
        <v>249</v>
      </c>
      <c r="S149" s="20">
        <v>-0.26170554149394448</v>
      </c>
      <c r="T149" s="20" t="s">
        <v>249</v>
      </c>
      <c r="U149" s="20" t="s">
        <v>36</v>
      </c>
      <c r="V149" s="20">
        <v>2</v>
      </c>
      <c r="W149" s="20">
        <v>7</v>
      </c>
      <c r="X149" s="20" t="s">
        <v>490</v>
      </c>
      <c r="Y149" s="20" t="s">
        <v>292</v>
      </c>
      <c r="Z149" s="20" t="s">
        <v>60</v>
      </c>
      <c r="AA149" s="20" t="s">
        <v>491</v>
      </c>
    </row>
    <row r="150" spans="1:27" x14ac:dyDescent="0.2">
      <c r="A150" s="1">
        <v>45957</v>
      </c>
      <c r="B150" s="20" t="s">
        <v>328</v>
      </c>
      <c r="C150" s="20" t="s">
        <v>35</v>
      </c>
      <c r="D150" s="20" t="s">
        <v>14</v>
      </c>
      <c r="E150" s="20" t="s">
        <v>704</v>
      </c>
      <c r="F150" s="20" t="s">
        <v>14</v>
      </c>
      <c r="G150" s="20">
        <v>2</v>
      </c>
      <c r="H150" s="20">
        <v>3</v>
      </c>
      <c r="I150" s="13">
        <v>0.6</v>
      </c>
      <c r="J150" s="20" t="s">
        <v>249</v>
      </c>
      <c r="L150" s="20" t="s">
        <v>248</v>
      </c>
      <c r="M150" s="20" t="s">
        <v>451</v>
      </c>
      <c r="N150" s="20" t="s">
        <v>14</v>
      </c>
      <c r="O150" s="20">
        <v>2</v>
      </c>
      <c r="P150" s="20">
        <v>3</v>
      </c>
      <c r="Q150" s="13">
        <v>0.69204113233822317</v>
      </c>
      <c r="R150" s="20" t="s">
        <v>249</v>
      </c>
      <c r="S150" s="20">
        <v>1.302114899305395</v>
      </c>
      <c r="T150" s="20" t="s">
        <v>248</v>
      </c>
      <c r="U150" s="20" t="s">
        <v>14</v>
      </c>
      <c r="V150" s="20">
        <v>3</v>
      </c>
      <c r="W150" s="20">
        <v>6</v>
      </c>
      <c r="X150" s="20" t="s">
        <v>490</v>
      </c>
      <c r="Y150" s="20" t="s">
        <v>292</v>
      </c>
      <c r="Z150" s="20" t="s">
        <v>60</v>
      </c>
      <c r="AA150" s="20" t="s">
        <v>491</v>
      </c>
    </row>
    <row r="151" spans="1:27" x14ac:dyDescent="0.2">
      <c r="A151" s="1">
        <v>45958</v>
      </c>
      <c r="B151" s="20" t="s">
        <v>322</v>
      </c>
      <c r="C151" s="20" t="s">
        <v>15</v>
      </c>
      <c r="D151" s="20" t="s">
        <v>38</v>
      </c>
      <c r="E151" s="20" t="s">
        <v>705</v>
      </c>
      <c r="F151" s="20" t="s">
        <v>15</v>
      </c>
      <c r="G151" s="20">
        <v>2</v>
      </c>
      <c r="H151" s="20">
        <v>3</v>
      </c>
      <c r="I151" s="13">
        <v>0.6</v>
      </c>
      <c r="J151" s="20" t="s">
        <v>249</v>
      </c>
      <c r="L151" s="20" t="s">
        <v>248</v>
      </c>
      <c r="M151" s="20" t="s">
        <v>518</v>
      </c>
      <c r="N151" s="20" t="s">
        <v>15</v>
      </c>
      <c r="O151" s="20">
        <v>2</v>
      </c>
      <c r="P151" s="20">
        <v>3</v>
      </c>
      <c r="Q151" s="13">
        <v>0.63104443382584718</v>
      </c>
      <c r="R151" s="20" t="s">
        <v>249</v>
      </c>
      <c r="S151" s="20">
        <v>-0.60774302170369898</v>
      </c>
      <c r="T151" s="20" t="s">
        <v>248</v>
      </c>
      <c r="U151" s="20" t="s">
        <v>15</v>
      </c>
      <c r="V151" s="20">
        <v>2</v>
      </c>
      <c r="W151" s="20">
        <v>0</v>
      </c>
      <c r="X151" s="20" t="s">
        <v>490</v>
      </c>
      <c r="Y151" s="20" t="s">
        <v>292</v>
      </c>
      <c r="Z151" s="20" t="s">
        <v>60</v>
      </c>
      <c r="AA151" s="20" t="s">
        <v>491</v>
      </c>
    </row>
    <row r="152" spans="1:27" x14ac:dyDescent="0.2">
      <c r="A152" s="1">
        <v>45958</v>
      </c>
      <c r="B152" s="20" t="s">
        <v>706</v>
      </c>
      <c r="C152" s="20" t="s">
        <v>16</v>
      </c>
      <c r="D152" s="20" t="s">
        <v>19</v>
      </c>
      <c r="E152" s="20" t="s">
        <v>707</v>
      </c>
      <c r="F152" s="20" t="s">
        <v>19</v>
      </c>
      <c r="G152" s="20">
        <v>2</v>
      </c>
      <c r="H152" s="20">
        <v>3</v>
      </c>
      <c r="I152" s="13">
        <v>0.6</v>
      </c>
      <c r="J152" s="20" t="s">
        <v>249</v>
      </c>
      <c r="L152" s="20" t="s">
        <v>248</v>
      </c>
      <c r="M152" s="20" t="s">
        <v>312</v>
      </c>
      <c r="N152" s="20" t="s">
        <v>19</v>
      </c>
      <c r="O152" s="20">
        <v>2</v>
      </c>
      <c r="P152" s="20">
        <v>3</v>
      </c>
      <c r="Q152" s="13">
        <v>0.5961876032845923</v>
      </c>
      <c r="R152" s="20" t="s">
        <v>249</v>
      </c>
      <c r="S152" s="20">
        <v>0.48120343664880272</v>
      </c>
      <c r="T152" s="20" t="s">
        <v>248</v>
      </c>
      <c r="U152" s="20" t="s">
        <v>19</v>
      </c>
      <c r="V152" s="20">
        <v>3</v>
      </c>
      <c r="W152" s="20">
        <v>4</v>
      </c>
      <c r="X152" s="20" t="s">
        <v>490</v>
      </c>
      <c r="Y152" s="20" t="s">
        <v>292</v>
      </c>
      <c r="Z152" s="20" t="s">
        <v>60</v>
      </c>
      <c r="AA152" s="20" t="s">
        <v>491</v>
      </c>
    </row>
    <row r="153" spans="1:27" x14ac:dyDescent="0.2">
      <c r="A153" s="1">
        <v>45958</v>
      </c>
      <c r="B153" s="20" t="s">
        <v>708</v>
      </c>
      <c r="C153" s="20" t="s">
        <v>26</v>
      </c>
      <c r="D153" s="20" t="s">
        <v>35</v>
      </c>
      <c r="E153" s="20" t="s">
        <v>709</v>
      </c>
      <c r="F153" s="20" t="s">
        <v>26</v>
      </c>
      <c r="G153" s="20">
        <v>2</v>
      </c>
      <c r="H153" s="20">
        <v>3</v>
      </c>
      <c r="I153" s="13">
        <v>0.6</v>
      </c>
      <c r="J153" s="20" t="s">
        <v>249</v>
      </c>
      <c r="L153" s="20" t="s">
        <v>248</v>
      </c>
      <c r="M153" s="20" t="s">
        <v>307</v>
      </c>
      <c r="N153" s="20" t="s">
        <v>26</v>
      </c>
      <c r="O153" s="20">
        <v>2</v>
      </c>
      <c r="P153" s="20">
        <v>3</v>
      </c>
      <c r="Q153" s="13">
        <v>0.51479046873005474</v>
      </c>
      <c r="R153" s="20" t="s">
        <v>249</v>
      </c>
      <c r="S153" s="20">
        <v>-0.4692380579922506</v>
      </c>
      <c r="T153" s="20" t="s">
        <v>248</v>
      </c>
      <c r="U153" s="20" t="s">
        <v>26</v>
      </c>
      <c r="V153" s="20">
        <v>5</v>
      </c>
      <c r="W153" s="20">
        <v>2</v>
      </c>
      <c r="X153" s="20" t="s">
        <v>490</v>
      </c>
      <c r="Y153" s="20" t="s">
        <v>292</v>
      </c>
      <c r="Z153" s="20" t="s">
        <v>60</v>
      </c>
      <c r="AA153" s="20" t="s">
        <v>491</v>
      </c>
    </row>
    <row r="154" spans="1:27" x14ac:dyDescent="0.2">
      <c r="A154" s="1">
        <v>45958</v>
      </c>
      <c r="B154" s="20" t="s">
        <v>340</v>
      </c>
      <c r="C154" s="20" t="s">
        <v>18</v>
      </c>
      <c r="D154" s="20" t="s">
        <v>32</v>
      </c>
      <c r="E154" s="20" t="s">
        <v>710</v>
      </c>
      <c r="F154" s="20" t="s">
        <v>18</v>
      </c>
      <c r="G154" s="20">
        <v>2</v>
      </c>
      <c r="H154" s="20">
        <v>3</v>
      </c>
      <c r="I154" s="13">
        <v>0.6</v>
      </c>
      <c r="J154" s="20" t="s">
        <v>249</v>
      </c>
      <c r="L154" s="20" t="s">
        <v>248</v>
      </c>
      <c r="M154" s="20" t="s">
        <v>360</v>
      </c>
      <c r="N154" s="20" t="s">
        <v>18</v>
      </c>
      <c r="O154" s="20">
        <v>2</v>
      </c>
      <c r="P154" s="20">
        <v>3</v>
      </c>
      <c r="Q154" s="13">
        <v>0.52005694672394875</v>
      </c>
      <c r="R154" s="20" t="s">
        <v>249</v>
      </c>
      <c r="S154" s="20">
        <v>-6.5868580811023758E-3</v>
      </c>
      <c r="T154" s="20" t="s">
        <v>248</v>
      </c>
      <c r="U154" s="20" t="s">
        <v>18</v>
      </c>
      <c r="V154" s="20">
        <v>4</v>
      </c>
      <c r="W154" s="20">
        <v>3</v>
      </c>
      <c r="X154" s="20" t="s">
        <v>496</v>
      </c>
      <c r="Y154" s="20" t="s">
        <v>292</v>
      </c>
      <c r="Z154" s="20" t="s">
        <v>60</v>
      </c>
      <c r="AA154" s="20" t="s">
        <v>491</v>
      </c>
    </row>
    <row r="155" spans="1:27" x14ac:dyDescent="0.2">
      <c r="A155" s="1">
        <v>45958</v>
      </c>
      <c r="B155" s="20" t="s">
        <v>469</v>
      </c>
      <c r="C155" s="20" t="s">
        <v>14</v>
      </c>
      <c r="D155" s="20" t="s">
        <v>27</v>
      </c>
      <c r="E155" s="20" t="s">
        <v>475</v>
      </c>
      <c r="F155" s="20" t="s">
        <v>14</v>
      </c>
      <c r="G155" s="20">
        <v>2</v>
      </c>
      <c r="H155" s="20">
        <v>3</v>
      </c>
      <c r="I155" s="13">
        <v>0.6</v>
      </c>
      <c r="J155" s="20" t="s">
        <v>249</v>
      </c>
      <c r="L155" s="20" t="s">
        <v>249</v>
      </c>
      <c r="M155" s="20" t="s">
        <v>711</v>
      </c>
      <c r="N155" s="20" t="s">
        <v>14</v>
      </c>
      <c r="O155" s="20">
        <v>2</v>
      </c>
      <c r="P155" s="20">
        <v>3</v>
      </c>
      <c r="Q155" s="13">
        <v>0.50710900170447515</v>
      </c>
      <c r="R155" s="20" t="s">
        <v>249</v>
      </c>
      <c r="S155" s="20">
        <v>-0.18807461301766351</v>
      </c>
      <c r="T155" s="20" t="s">
        <v>249</v>
      </c>
      <c r="U155" s="20" t="s">
        <v>27</v>
      </c>
      <c r="V155" s="20">
        <v>2</v>
      </c>
      <c r="W155" s="20">
        <v>3</v>
      </c>
      <c r="X155" s="20" t="s">
        <v>496</v>
      </c>
      <c r="Y155" s="20" t="s">
        <v>292</v>
      </c>
      <c r="Z155" s="20" t="s">
        <v>60</v>
      </c>
      <c r="AA155" s="20" t="s">
        <v>491</v>
      </c>
    </row>
    <row r="156" spans="1:27" x14ac:dyDescent="0.2">
      <c r="A156" s="1">
        <v>45958</v>
      </c>
      <c r="B156" s="20" t="s">
        <v>712</v>
      </c>
      <c r="C156" s="20" t="s">
        <v>37</v>
      </c>
      <c r="D156" s="20" t="s">
        <v>29</v>
      </c>
      <c r="E156" s="20" t="s">
        <v>713</v>
      </c>
      <c r="F156" s="20" t="s">
        <v>37</v>
      </c>
      <c r="G156" s="20">
        <v>2</v>
      </c>
      <c r="H156" s="20">
        <v>3</v>
      </c>
      <c r="I156" s="13">
        <v>0.6</v>
      </c>
      <c r="J156" s="20" t="s">
        <v>249</v>
      </c>
      <c r="L156" s="20" t="s">
        <v>248</v>
      </c>
      <c r="M156" s="20" t="s">
        <v>395</v>
      </c>
      <c r="N156" s="20" t="s">
        <v>37</v>
      </c>
      <c r="O156" s="20">
        <v>2</v>
      </c>
      <c r="P156" s="20">
        <v>3</v>
      </c>
      <c r="Q156" s="13">
        <v>0.76797805877908609</v>
      </c>
      <c r="R156" s="20" t="s">
        <v>249</v>
      </c>
      <c r="S156" s="20">
        <v>-1.845521481633503</v>
      </c>
      <c r="T156" s="20" t="s">
        <v>248</v>
      </c>
      <c r="U156" s="20" t="s">
        <v>37</v>
      </c>
      <c r="V156" s="20">
        <v>5</v>
      </c>
      <c r="W156" s="20">
        <v>2</v>
      </c>
      <c r="X156" s="20" t="s">
        <v>490</v>
      </c>
      <c r="Y156" s="20" t="s">
        <v>292</v>
      </c>
      <c r="Z156" s="20" t="s">
        <v>60</v>
      </c>
      <c r="AA156" s="20" t="s">
        <v>491</v>
      </c>
    </row>
    <row r="157" spans="1:27" x14ac:dyDescent="0.2">
      <c r="A157" s="1">
        <v>45958</v>
      </c>
      <c r="B157" s="20" t="s">
        <v>324</v>
      </c>
      <c r="C157" s="20" t="s">
        <v>40</v>
      </c>
      <c r="D157" s="20" t="s">
        <v>34</v>
      </c>
      <c r="E157" s="20" t="s">
        <v>714</v>
      </c>
      <c r="F157" s="20" t="s">
        <v>34</v>
      </c>
      <c r="G157" s="20">
        <v>2</v>
      </c>
      <c r="H157" s="20">
        <v>3</v>
      </c>
      <c r="I157" s="13">
        <v>0.6</v>
      </c>
      <c r="J157" s="20" t="s">
        <v>249</v>
      </c>
      <c r="L157" s="20" t="s">
        <v>249</v>
      </c>
      <c r="M157" s="20" t="s">
        <v>715</v>
      </c>
      <c r="N157" s="20" t="s">
        <v>34</v>
      </c>
      <c r="O157" s="20">
        <v>2</v>
      </c>
      <c r="P157" s="20">
        <v>3</v>
      </c>
      <c r="Q157" s="13">
        <v>0.55519639167751955</v>
      </c>
      <c r="R157" s="20" t="s">
        <v>249</v>
      </c>
      <c r="S157" s="20">
        <v>0.30801778525647522</v>
      </c>
      <c r="T157" s="20" t="s">
        <v>249</v>
      </c>
      <c r="U157" s="20" t="s">
        <v>40</v>
      </c>
      <c r="V157" s="20">
        <v>4</v>
      </c>
      <c r="W157" s="20">
        <v>3</v>
      </c>
      <c r="X157" s="20" t="s">
        <v>496</v>
      </c>
      <c r="Y157" s="20" t="s">
        <v>292</v>
      </c>
      <c r="Z157" s="20" t="s">
        <v>60</v>
      </c>
      <c r="AA157" s="20" t="s">
        <v>491</v>
      </c>
    </row>
    <row r="158" spans="1:27" x14ac:dyDescent="0.2">
      <c r="A158" s="1">
        <v>45958</v>
      </c>
      <c r="B158" s="20" t="s">
        <v>716</v>
      </c>
      <c r="C158" s="20" t="s">
        <v>13</v>
      </c>
      <c r="D158" s="20" t="s">
        <v>33</v>
      </c>
      <c r="E158" s="20" t="s">
        <v>333</v>
      </c>
      <c r="F158" s="20" t="s">
        <v>13</v>
      </c>
      <c r="G158" s="20">
        <v>2</v>
      </c>
      <c r="H158" s="20">
        <v>3</v>
      </c>
      <c r="I158" s="13">
        <v>0.6</v>
      </c>
      <c r="J158" s="20" t="s">
        <v>249</v>
      </c>
      <c r="L158" s="20" t="s">
        <v>248</v>
      </c>
      <c r="M158" s="20" t="s">
        <v>628</v>
      </c>
      <c r="N158" s="20" t="s">
        <v>13</v>
      </c>
      <c r="O158" s="20">
        <v>2</v>
      </c>
      <c r="P158" s="20">
        <v>3</v>
      </c>
      <c r="Q158" s="13">
        <v>0.52350233501430832</v>
      </c>
      <c r="R158" s="20" t="s">
        <v>249</v>
      </c>
      <c r="S158" s="20">
        <v>-6.3146644781867212E-2</v>
      </c>
      <c r="T158" s="20" t="s">
        <v>248</v>
      </c>
      <c r="U158" s="20" t="s">
        <v>13</v>
      </c>
      <c r="V158" s="20">
        <v>4</v>
      </c>
      <c r="W158" s="20">
        <v>3</v>
      </c>
      <c r="X158" s="20" t="s">
        <v>490</v>
      </c>
      <c r="Y158" s="20" t="s">
        <v>292</v>
      </c>
      <c r="Z158" s="20" t="s">
        <v>60</v>
      </c>
      <c r="AA158" s="20" t="s">
        <v>491</v>
      </c>
    </row>
    <row r="159" spans="1:27" x14ac:dyDescent="0.2">
      <c r="A159" s="1">
        <v>45958</v>
      </c>
      <c r="B159" s="20" t="s">
        <v>416</v>
      </c>
      <c r="C159" s="20" t="s">
        <v>22</v>
      </c>
      <c r="D159" s="20" t="s">
        <v>39</v>
      </c>
      <c r="E159" s="20" t="s">
        <v>717</v>
      </c>
      <c r="F159" s="20" t="s">
        <v>39</v>
      </c>
      <c r="G159" s="20">
        <v>2</v>
      </c>
      <c r="H159" s="20">
        <v>3</v>
      </c>
      <c r="I159" s="13">
        <v>0.6</v>
      </c>
      <c r="J159" s="20" t="s">
        <v>249</v>
      </c>
      <c r="L159" s="20" t="s">
        <v>248</v>
      </c>
      <c r="M159" s="20" t="s">
        <v>398</v>
      </c>
      <c r="N159" s="20" t="s">
        <v>39</v>
      </c>
      <c r="O159" s="20">
        <v>2</v>
      </c>
      <c r="P159" s="20">
        <v>3</v>
      </c>
      <c r="Q159" s="13">
        <v>0.53276357110417993</v>
      </c>
      <c r="R159" s="20" t="s">
        <v>249</v>
      </c>
      <c r="S159" s="20">
        <v>2.263601792452535E-2</v>
      </c>
      <c r="T159" s="20" t="s">
        <v>248</v>
      </c>
      <c r="U159" s="20" t="s">
        <v>39</v>
      </c>
      <c r="V159" s="20">
        <v>0</v>
      </c>
      <c r="W159" s="20">
        <v>1</v>
      </c>
      <c r="X159" s="20" t="s">
        <v>490</v>
      </c>
      <c r="Y159" s="20" t="s">
        <v>292</v>
      </c>
      <c r="Z159" s="20" t="s">
        <v>60</v>
      </c>
      <c r="AA159" s="20" t="s">
        <v>491</v>
      </c>
    </row>
    <row r="160" spans="1:27" x14ac:dyDescent="0.2">
      <c r="A160" s="1">
        <v>45958</v>
      </c>
      <c r="B160" s="20" t="s">
        <v>426</v>
      </c>
      <c r="C160" s="20" t="s">
        <v>55</v>
      </c>
      <c r="D160" s="20" t="s">
        <v>17</v>
      </c>
      <c r="E160" s="20" t="s">
        <v>718</v>
      </c>
      <c r="F160" s="20" t="s">
        <v>55</v>
      </c>
      <c r="G160" s="20">
        <v>2</v>
      </c>
      <c r="H160" s="20">
        <v>3</v>
      </c>
      <c r="I160" s="13">
        <v>0.6</v>
      </c>
      <c r="J160" s="20" t="s">
        <v>249</v>
      </c>
      <c r="L160" s="20" t="s">
        <v>249</v>
      </c>
      <c r="M160" s="20" t="s">
        <v>719</v>
      </c>
      <c r="N160" s="20" t="s">
        <v>55</v>
      </c>
      <c r="O160" s="20">
        <v>2</v>
      </c>
      <c r="P160" s="20">
        <v>3</v>
      </c>
      <c r="Q160" s="13">
        <v>0.49554079768155213</v>
      </c>
      <c r="R160" s="20" t="s">
        <v>249</v>
      </c>
      <c r="S160" s="20">
        <v>-0.36472262629317681</v>
      </c>
      <c r="T160" s="20" t="s">
        <v>249</v>
      </c>
      <c r="U160" s="20" t="s">
        <v>17</v>
      </c>
      <c r="V160" s="20">
        <v>3</v>
      </c>
      <c r="W160" s="20">
        <v>6</v>
      </c>
      <c r="X160" s="20" t="s">
        <v>490</v>
      </c>
      <c r="Y160" s="20" t="s">
        <v>292</v>
      </c>
      <c r="Z160" s="20" t="s">
        <v>60</v>
      </c>
      <c r="AA160" s="20" t="s">
        <v>491</v>
      </c>
    </row>
    <row r="161" spans="1:27" x14ac:dyDescent="0.2">
      <c r="A161" s="1">
        <v>45958</v>
      </c>
      <c r="B161" s="20" t="s">
        <v>720</v>
      </c>
      <c r="C161" s="20" t="s">
        <v>30</v>
      </c>
      <c r="D161" s="20" t="s">
        <v>21</v>
      </c>
      <c r="E161" s="20" t="s">
        <v>721</v>
      </c>
      <c r="F161" s="20" t="s">
        <v>21</v>
      </c>
      <c r="G161" s="20">
        <v>2</v>
      </c>
      <c r="H161" s="20">
        <v>3</v>
      </c>
      <c r="I161" s="13">
        <v>0.6</v>
      </c>
      <c r="J161" s="20" t="s">
        <v>249</v>
      </c>
      <c r="L161" s="20" t="s">
        <v>248</v>
      </c>
      <c r="M161" s="20" t="s">
        <v>465</v>
      </c>
      <c r="N161" s="20" t="s">
        <v>21</v>
      </c>
      <c r="O161" s="20">
        <v>2</v>
      </c>
      <c r="P161" s="20">
        <v>3</v>
      </c>
      <c r="Q161" s="13">
        <v>0.51921468298828499</v>
      </c>
      <c r="R161" s="20" t="s">
        <v>249</v>
      </c>
      <c r="S161" s="20">
        <v>7.1062985916763494E-2</v>
      </c>
      <c r="T161" s="20" t="s">
        <v>248</v>
      </c>
      <c r="U161" s="20" t="s">
        <v>21</v>
      </c>
      <c r="V161" s="20">
        <v>2</v>
      </c>
      <c r="W161" s="20">
        <v>5</v>
      </c>
      <c r="X161" s="20" t="s">
        <v>490</v>
      </c>
      <c r="Y161" s="20" t="s">
        <v>292</v>
      </c>
      <c r="Z161" s="20" t="s">
        <v>60</v>
      </c>
      <c r="AA161" s="20" t="s">
        <v>491</v>
      </c>
    </row>
    <row r="162" spans="1:27" x14ac:dyDescent="0.2">
      <c r="A162" s="1">
        <v>45958</v>
      </c>
      <c r="B162" s="20" t="s">
        <v>646</v>
      </c>
      <c r="C162" s="20" t="s">
        <v>28</v>
      </c>
      <c r="D162" s="20" t="s">
        <v>23</v>
      </c>
      <c r="E162" s="20" t="s">
        <v>722</v>
      </c>
      <c r="F162" s="20" t="s">
        <v>23</v>
      </c>
      <c r="G162" s="20">
        <v>2</v>
      </c>
      <c r="H162" s="20">
        <v>3</v>
      </c>
      <c r="I162" s="13">
        <v>0.6</v>
      </c>
      <c r="J162" s="20" t="s">
        <v>249</v>
      </c>
      <c r="L162" s="20" t="s">
        <v>249</v>
      </c>
      <c r="M162" s="20" t="s">
        <v>723</v>
      </c>
      <c r="N162" s="20" t="s">
        <v>23</v>
      </c>
      <c r="O162" s="20">
        <v>2</v>
      </c>
      <c r="P162" s="20">
        <v>3</v>
      </c>
      <c r="Q162" s="13">
        <v>0.5662662274862772</v>
      </c>
      <c r="R162" s="20" t="s">
        <v>249</v>
      </c>
      <c r="S162" s="20">
        <v>0.16877971753311299</v>
      </c>
      <c r="T162" s="20" t="s">
        <v>249</v>
      </c>
      <c r="U162" s="20" t="s">
        <v>28</v>
      </c>
      <c r="V162" s="20">
        <v>4</v>
      </c>
      <c r="W162" s="20">
        <v>3</v>
      </c>
      <c r="X162" s="20" t="s">
        <v>496</v>
      </c>
      <c r="Y162" s="20" t="s">
        <v>292</v>
      </c>
      <c r="Z162" s="20" t="s">
        <v>60</v>
      </c>
      <c r="AA162" s="20" t="s">
        <v>491</v>
      </c>
    </row>
    <row r="163" spans="1:27" x14ac:dyDescent="0.2">
      <c r="A163" s="1">
        <v>45958</v>
      </c>
      <c r="B163" s="20" t="s">
        <v>328</v>
      </c>
      <c r="C163" s="20" t="s">
        <v>31</v>
      </c>
      <c r="D163" s="20" t="s">
        <v>11</v>
      </c>
      <c r="E163" s="20" t="s">
        <v>724</v>
      </c>
      <c r="F163" s="20" t="s">
        <v>31</v>
      </c>
      <c r="G163" s="20">
        <v>2</v>
      </c>
      <c r="H163" s="20">
        <v>3</v>
      </c>
      <c r="I163" s="13">
        <v>0.6</v>
      </c>
      <c r="J163" s="20" t="s">
        <v>249</v>
      </c>
      <c r="L163" s="20" t="s">
        <v>248</v>
      </c>
      <c r="M163" s="20" t="s">
        <v>291</v>
      </c>
      <c r="N163" s="20" t="s">
        <v>31</v>
      </c>
      <c r="O163" s="20">
        <v>2</v>
      </c>
      <c r="P163" s="20">
        <v>3</v>
      </c>
      <c r="Q163" s="13">
        <v>0.52807565454489702</v>
      </c>
      <c r="R163" s="20" t="s">
        <v>249</v>
      </c>
      <c r="S163" s="20">
        <v>-0.52592056398021036</v>
      </c>
      <c r="T163" s="20" t="s">
        <v>248</v>
      </c>
      <c r="U163" s="20" t="s">
        <v>31</v>
      </c>
      <c r="V163" s="20">
        <v>3</v>
      </c>
      <c r="W163" s="20">
        <v>2</v>
      </c>
      <c r="X163" s="20" t="s">
        <v>496</v>
      </c>
      <c r="Y163" s="20" t="s">
        <v>292</v>
      </c>
      <c r="Z163" s="20" t="s">
        <v>60</v>
      </c>
      <c r="AA163" s="20" t="s">
        <v>491</v>
      </c>
    </row>
    <row r="164" spans="1:27" x14ac:dyDescent="0.2">
      <c r="A164" s="1">
        <v>45958</v>
      </c>
      <c r="B164" s="20" t="s">
        <v>725</v>
      </c>
      <c r="C164" s="20" t="s">
        <v>20</v>
      </c>
      <c r="D164" s="20" t="s">
        <v>25</v>
      </c>
      <c r="E164" s="20" t="s">
        <v>726</v>
      </c>
      <c r="F164" s="20" t="s">
        <v>25</v>
      </c>
      <c r="G164" s="20">
        <v>2</v>
      </c>
      <c r="H164" s="20">
        <v>3</v>
      </c>
      <c r="I164" s="13">
        <v>0.6</v>
      </c>
      <c r="J164" s="20" t="s">
        <v>249</v>
      </c>
      <c r="L164" s="20" t="s">
        <v>249</v>
      </c>
      <c r="M164" s="20" t="s">
        <v>624</v>
      </c>
      <c r="N164" s="20" t="s">
        <v>25</v>
      </c>
      <c r="O164" s="20">
        <v>2</v>
      </c>
      <c r="P164" s="20">
        <v>3</v>
      </c>
      <c r="Q164" s="13">
        <v>0.67578855467948284</v>
      </c>
      <c r="R164" s="20" t="s">
        <v>249</v>
      </c>
      <c r="S164" s="20">
        <v>0.72001671657235156</v>
      </c>
      <c r="T164" s="20" t="s">
        <v>249</v>
      </c>
      <c r="U164" s="20" t="s">
        <v>20</v>
      </c>
      <c r="V164" s="20">
        <v>6</v>
      </c>
      <c r="W164" s="20">
        <v>3</v>
      </c>
      <c r="X164" s="20" t="s">
        <v>490</v>
      </c>
      <c r="Y164" s="20" t="s">
        <v>292</v>
      </c>
      <c r="Z164" s="20" t="s">
        <v>60</v>
      </c>
      <c r="AA164" s="20" t="s">
        <v>491</v>
      </c>
    </row>
    <row r="165" spans="1:27" x14ac:dyDescent="0.2">
      <c r="A165" s="1">
        <v>45958</v>
      </c>
      <c r="B165" s="20" t="s">
        <v>727</v>
      </c>
      <c r="C165" s="20" t="s">
        <v>36</v>
      </c>
      <c r="D165" s="20" t="s">
        <v>10</v>
      </c>
      <c r="E165" s="20" t="s">
        <v>728</v>
      </c>
      <c r="F165" s="20" t="s">
        <v>10</v>
      </c>
      <c r="G165" s="20">
        <v>2</v>
      </c>
      <c r="H165" s="20">
        <v>3</v>
      </c>
      <c r="I165" s="13">
        <v>0.6</v>
      </c>
      <c r="J165" s="20" t="s">
        <v>249</v>
      </c>
      <c r="L165" s="20" t="s">
        <v>248</v>
      </c>
      <c r="M165" s="20" t="s">
        <v>303</v>
      </c>
      <c r="N165" s="20" t="s">
        <v>10</v>
      </c>
      <c r="O165" s="20">
        <v>2</v>
      </c>
      <c r="P165" s="20">
        <v>3</v>
      </c>
      <c r="Q165" s="13">
        <v>0.58729913214462337</v>
      </c>
      <c r="R165" s="20" t="s">
        <v>249</v>
      </c>
      <c r="S165" s="20">
        <v>0.40508054460368748</v>
      </c>
      <c r="T165" s="20" t="s">
        <v>248</v>
      </c>
      <c r="U165" s="20" t="s">
        <v>10</v>
      </c>
      <c r="V165" s="20">
        <v>3</v>
      </c>
      <c r="W165" s="20">
        <v>7</v>
      </c>
      <c r="X165" s="20" t="s">
        <v>490</v>
      </c>
      <c r="Y165" s="20" t="s">
        <v>292</v>
      </c>
      <c r="Z165" s="20" t="s">
        <v>60</v>
      </c>
      <c r="AA165" s="20" t="s">
        <v>491</v>
      </c>
    </row>
    <row r="166" spans="1:27" x14ac:dyDescent="0.2">
      <c r="A166" s="1">
        <v>45958</v>
      </c>
      <c r="B166" s="20" t="s">
        <v>326</v>
      </c>
      <c r="C166" s="20" t="s">
        <v>24</v>
      </c>
      <c r="D166" s="20" t="s">
        <v>12</v>
      </c>
      <c r="E166" s="20" t="s">
        <v>729</v>
      </c>
      <c r="F166" s="20" t="s">
        <v>12</v>
      </c>
      <c r="G166" s="20">
        <v>2</v>
      </c>
      <c r="H166" s="20">
        <v>3</v>
      </c>
      <c r="I166" s="13">
        <v>0.6</v>
      </c>
      <c r="J166" s="20" t="s">
        <v>249</v>
      </c>
      <c r="L166" s="20" t="s">
        <v>248</v>
      </c>
      <c r="M166" s="20" t="s">
        <v>361</v>
      </c>
      <c r="N166" s="20" t="s">
        <v>12</v>
      </c>
      <c r="O166" s="20">
        <v>2</v>
      </c>
      <c r="P166" s="20">
        <v>3</v>
      </c>
      <c r="Q166" s="13">
        <v>0.82119680685797902</v>
      </c>
      <c r="R166" s="20" t="s">
        <v>249</v>
      </c>
      <c r="S166" s="20">
        <v>1.6802741565855339</v>
      </c>
      <c r="T166" s="20" t="s">
        <v>248</v>
      </c>
      <c r="U166" s="20" t="s">
        <v>12</v>
      </c>
      <c r="V166" s="20">
        <v>4</v>
      </c>
      <c r="W166" s="20">
        <v>8</v>
      </c>
      <c r="X166" s="20" t="s">
        <v>490</v>
      </c>
      <c r="Y166" s="20" t="s">
        <v>292</v>
      </c>
      <c r="Z166" s="20" t="s">
        <v>60</v>
      </c>
      <c r="AA166" s="20" t="s">
        <v>491</v>
      </c>
    </row>
    <row r="167" spans="1:27" x14ac:dyDescent="0.2">
      <c r="A167" s="1">
        <v>45959</v>
      </c>
      <c r="B167" s="20" t="s">
        <v>334</v>
      </c>
      <c r="C167" s="20" t="s">
        <v>19</v>
      </c>
      <c r="D167" s="20" t="s">
        <v>28</v>
      </c>
      <c r="E167" s="20" t="s">
        <v>415</v>
      </c>
      <c r="F167" s="20" t="s">
        <v>28</v>
      </c>
      <c r="G167" s="20">
        <v>2</v>
      </c>
      <c r="H167" s="20">
        <v>3</v>
      </c>
      <c r="I167" s="13">
        <v>0.6</v>
      </c>
      <c r="J167" s="20" t="s">
        <v>249</v>
      </c>
      <c r="L167" s="20" t="s">
        <v>248</v>
      </c>
      <c r="M167" s="20" t="s">
        <v>730</v>
      </c>
      <c r="N167" s="20" t="s">
        <v>28</v>
      </c>
      <c r="O167" s="20">
        <v>2</v>
      </c>
      <c r="P167" s="20">
        <v>3</v>
      </c>
      <c r="Q167" s="13">
        <v>0.55043759431663863</v>
      </c>
      <c r="R167" s="20" t="s">
        <v>249</v>
      </c>
      <c r="S167" s="20">
        <v>8.9389935891602712E-2</v>
      </c>
      <c r="T167" s="20" t="s">
        <v>248</v>
      </c>
      <c r="U167" s="20" t="s">
        <v>28</v>
      </c>
      <c r="V167" s="20">
        <v>3</v>
      </c>
      <c r="W167" s="20">
        <v>6</v>
      </c>
      <c r="X167" s="20" t="s">
        <v>490</v>
      </c>
      <c r="Y167" s="20" t="s">
        <v>292</v>
      </c>
      <c r="Z167" s="20" t="s">
        <v>60</v>
      </c>
      <c r="AA167" s="20" t="s">
        <v>491</v>
      </c>
    </row>
    <row r="168" spans="1:27" x14ac:dyDescent="0.2">
      <c r="A168" s="1">
        <v>45960</v>
      </c>
      <c r="B168" s="20" t="s">
        <v>324</v>
      </c>
      <c r="C168" s="20" t="s">
        <v>10</v>
      </c>
      <c r="D168" s="20" t="s">
        <v>40</v>
      </c>
      <c r="E168" s="20" t="s">
        <v>731</v>
      </c>
      <c r="F168" s="20" t="s">
        <v>10</v>
      </c>
      <c r="G168" s="20">
        <v>2</v>
      </c>
      <c r="H168" s="20">
        <v>3</v>
      </c>
      <c r="I168" s="13">
        <v>0.6</v>
      </c>
      <c r="J168" s="20" t="s">
        <v>249</v>
      </c>
      <c r="L168" s="20" t="s">
        <v>249</v>
      </c>
      <c r="M168" s="20" t="s">
        <v>732</v>
      </c>
      <c r="N168" s="20" t="s">
        <v>10</v>
      </c>
      <c r="O168" s="20">
        <v>2</v>
      </c>
      <c r="P168" s="20">
        <v>3</v>
      </c>
      <c r="Q168" s="13">
        <v>0.46767996465849671</v>
      </c>
      <c r="R168" s="20" t="s">
        <v>249</v>
      </c>
      <c r="S168" s="20">
        <v>-8.7144819675315455E-2</v>
      </c>
      <c r="T168" s="20" t="s">
        <v>249</v>
      </c>
      <c r="U168" s="20" t="s">
        <v>40</v>
      </c>
      <c r="V168" s="20">
        <v>3</v>
      </c>
      <c r="W168" s="20">
        <v>6</v>
      </c>
      <c r="X168" s="20" t="s">
        <v>490</v>
      </c>
      <c r="Y168" s="20" t="s">
        <v>292</v>
      </c>
      <c r="Z168" s="20" t="s">
        <v>60</v>
      </c>
      <c r="AA168" s="20" t="s">
        <v>491</v>
      </c>
    </row>
    <row r="169" spans="1:27" x14ac:dyDescent="0.2">
      <c r="A169" s="1">
        <v>45960</v>
      </c>
      <c r="B169" s="20" t="s">
        <v>328</v>
      </c>
      <c r="C169" s="20" t="s">
        <v>39</v>
      </c>
      <c r="D169" s="20" t="s">
        <v>37</v>
      </c>
      <c r="E169" s="20" t="s">
        <v>733</v>
      </c>
      <c r="F169" s="20" t="s">
        <v>37</v>
      </c>
      <c r="G169" s="20">
        <v>2</v>
      </c>
      <c r="H169" s="20">
        <v>3</v>
      </c>
      <c r="I169" s="13">
        <v>0.6</v>
      </c>
      <c r="J169" s="20" t="s">
        <v>249</v>
      </c>
      <c r="L169" s="20" t="s">
        <v>248</v>
      </c>
      <c r="M169" s="20" t="s">
        <v>395</v>
      </c>
      <c r="N169" s="20" t="s">
        <v>37</v>
      </c>
      <c r="O169" s="20">
        <v>2</v>
      </c>
      <c r="P169" s="20">
        <v>3</v>
      </c>
      <c r="Q169" s="13">
        <v>0.48774835719391318</v>
      </c>
      <c r="R169" s="20" t="s">
        <v>249</v>
      </c>
      <c r="S169" s="20">
        <v>0.14696319381464701</v>
      </c>
      <c r="T169" s="20" t="s">
        <v>248</v>
      </c>
      <c r="U169" s="20" t="s">
        <v>37</v>
      </c>
      <c r="V169" s="20">
        <v>1</v>
      </c>
      <c r="W169" s="20">
        <v>2</v>
      </c>
      <c r="X169" s="20" t="s">
        <v>496</v>
      </c>
      <c r="Y169" s="20" t="s">
        <v>292</v>
      </c>
      <c r="Z169" s="20" t="s">
        <v>60</v>
      </c>
      <c r="AA169" s="20" t="s">
        <v>491</v>
      </c>
    </row>
    <row r="170" spans="1:27" x14ac:dyDescent="0.2">
      <c r="A170" s="1">
        <v>45960</v>
      </c>
      <c r="B170" s="20" t="s">
        <v>324</v>
      </c>
      <c r="C170" s="20" t="s">
        <v>38</v>
      </c>
      <c r="D170" s="20" t="s">
        <v>35</v>
      </c>
      <c r="E170" s="20" t="s">
        <v>734</v>
      </c>
      <c r="F170" s="20" t="s">
        <v>38</v>
      </c>
      <c r="G170" s="20">
        <v>2</v>
      </c>
      <c r="H170" s="20">
        <v>3</v>
      </c>
      <c r="I170" s="13">
        <v>0.6</v>
      </c>
      <c r="J170" s="20" t="s">
        <v>249</v>
      </c>
      <c r="L170" s="20" t="s">
        <v>248</v>
      </c>
      <c r="M170" s="20" t="s">
        <v>505</v>
      </c>
      <c r="N170" s="20" t="s">
        <v>38</v>
      </c>
      <c r="O170" s="20">
        <v>2</v>
      </c>
      <c r="P170" s="20">
        <v>3</v>
      </c>
      <c r="Q170" s="13">
        <v>0.50992007634330028</v>
      </c>
      <c r="R170" s="20" t="s">
        <v>249</v>
      </c>
      <c r="S170" s="20">
        <v>-0.39689986791375598</v>
      </c>
      <c r="T170" s="20" t="s">
        <v>248</v>
      </c>
      <c r="U170" s="20" t="s">
        <v>38</v>
      </c>
      <c r="V170" s="20">
        <v>4</v>
      </c>
      <c r="W170" s="20">
        <v>3</v>
      </c>
      <c r="X170" s="20" t="s">
        <v>496</v>
      </c>
      <c r="Y170" s="20" t="s">
        <v>292</v>
      </c>
      <c r="Z170" s="20" t="s">
        <v>60</v>
      </c>
      <c r="AA170" s="20" t="s">
        <v>491</v>
      </c>
    </row>
    <row r="171" spans="1:27" x14ac:dyDescent="0.2">
      <c r="A171" s="1">
        <v>45960</v>
      </c>
      <c r="B171" s="20" t="s">
        <v>322</v>
      </c>
      <c r="C171" s="20" t="s">
        <v>24</v>
      </c>
      <c r="D171" s="20" t="s">
        <v>33</v>
      </c>
      <c r="E171" s="20" t="s">
        <v>735</v>
      </c>
      <c r="F171" s="20" t="s">
        <v>24</v>
      </c>
      <c r="G171" s="20">
        <v>2</v>
      </c>
      <c r="H171" s="20">
        <v>3</v>
      </c>
      <c r="I171" s="13">
        <v>0.6</v>
      </c>
      <c r="J171" s="20" t="s">
        <v>249</v>
      </c>
      <c r="L171" s="20" t="s">
        <v>249</v>
      </c>
      <c r="M171" s="20" t="s">
        <v>736</v>
      </c>
      <c r="N171" s="20" t="s">
        <v>24</v>
      </c>
      <c r="O171" s="20">
        <v>2</v>
      </c>
      <c r="P171" s="20">
        <v>3</v>
      </c>
      <c r="Q171" s="13">
        <v>0.51763982026716526</v>
      </c>
      <c r="R171" s="20" t="s">
        <v>249</v>
      </c>
      <c r="S171" s="20">
        <v>-0.40296049422368518</v>
      </c>
      <c r="T171" s="20" t="s">
        <v>249</v>
      </c>
      <c r="U171" s="20" t="s">
        <v>33</v>
      </c>
      <c r="V171" s="20">
        <v>2</v>
      </c>
      <c r="W171" s="20">
        <v>5</v>
      </c>
      <c r="X171" s="20" t="s">
        <v>490</v>
      </c>
      <c r="Y171" s="20" t="s">
        <v>292</v>
      </c>
      <c r="Z171" s="20" t="s">
        <v>60</v>
      </c>
      <c r="AA171" s="20" t="s">
        <v>491</v>
      </c>
    </row>
    <row r="172" spans="1:27" x14ac:dyDescent="0.2">
      <c r="A172" s="1">
        <v>45960</v>
      </c>
      <c r="B172" s="20" t="s">
        <v>328</v>
      </c>
      <c r="C172" s="20" t="s">
        <v>29</v>
      </c>
      <c r="D172" s="20" t="s">
        <v>27</v>
      </c>
      <c r="E172" s="20" t="s">
        <v>737</v>
      </c>
      <c r="F172" s="20" t="s">
        <v>27</v>
      </c>
      <c r="G172" s="20">
        <v>2</v>
      </c>
      <c r="H172" s="20">
        <v>3</v>
      </c>
      <c r="I172" s="13">
        <v>0.6</v>
      </c>
      <c r="J172" s="20" t="s">
        <v>249</v>
      </c>
      <c r="L172" s="20" t="s">
        <v>248</v>
      </c>
      <c r="M172" s="20" t="s">
        <v>393</v>
      </c>
      <c r="N172" s="20" t="s">
        <v>27</v>
      </c>
      <c r="O172" s="20">
        <v>2</v>
      </c>
      <c r="P172" s="20">
        <v>3</v>
      </c>
      <c r="Q172" s="13">
        <v>0.67715421891291649</v>
      </c>
      <c r="R172" s="20" t="s">
        <v>249</v>
      </c>
      <c r="S172" s="20">
        <v>1.054578449226907</v>
      </c>
      <c r="T172" s="20" t="s">
        <v>248</v>
      </c>
      <c r="U172" s="20" t="s">
        <v>27</v>
      </c>
      <c r="V172" s="20">
        <v>1</v>
      </c>
      <c r="W172" s="20">
        <v>4</v>
      </c>
      <c r="X172" s="20" t="s">
        <v>490</v>
      </c>
      <c r="Y172" s="20" t="s">
        <v>292</v>
      </c>
      <c r="Z172" s="20" t="s">
        <v>60</v>
      </c>
      <c r="AA172" s="20" t="s">
        <v>491</v>
      </c>
    </row>
    <row r="173" spans="1:27" x14ac:dyDescent="0.2">
      <c r="A173" s="1">
        <v>45960</v>
      </c>
      <c r="B173" s="20" t="s">
        <v>328</v>
      </c>
      <c r="C173" s="20" t="s">
        <v>16</v>
      </c>
      <c r="D173" s="20" t="s">
        <v>36</v>
      </c>
      <c r="E173" s="20" t="s">
        <v>738</v>
      </c>
      <c r="F173" s="20" t="s">
        <v>36</v>
      </c>
      <c r="G173" s="20">
        <v>2</v>
      </c>
      <c r="H173" s="20">
        <v>3</v>
      </c>
      <c r="I173" s="13">
        <v>0.6</v>
      </c>
      <c r="J173" s="20" t="s">
        <v>249</v>
      </c>
      <c r="L173" s="20" t="s">
        <v>248</v>
      </c>
      <c r="M173" s="20" t="s">
        <v>582</v>
      </c>
      <c r="N173" s="20" t="s">
        <v>36</v>
      </c>
      <c r="O173" s="20">
        <v>2</v>
      </c>
      <c r="P173" s="20">
        <v>3</v>
      </c>
      <c r="Q173" s="13">
        <v>0.61072182577184631</v>
      </c>
      <c r="R173" s="20" t="s">
        <v>249</v>
      </c>
      <c r="S173" s="20">
        <v>0.58430597710294463</v>
      </c>
      <c r="T173" s="20" t="s">
        <v>248</v>
      </c>
      <c r="U173" s="20" t="s">
        <v>36</v>
      </c>
      <c r="V173" s="20">
        <v>3</v>
      </c>
      <c r="W173" s="20">
        <v>4</v>
      </c>
      <c r="X173" s="20" t="s">
        <v>496</v>
      </c>
      <c r="Y173" s="20" t="s">
        <v>292</v>
      </c>
      <c r="Z173" s="20" t="s">
        <v>60</v>
      </c>
      <c r="AA173" s="20" t="s">
        <v>491</v>
      </c>
    </row>
    <row r="174" spans="1:27" x14ac:dyDescent="0.2">
      <c r="A174" s="1">
        <v>45960</v>
      </c>
      <c r="B174" s="20" t="s">
        <v>324</v>
      </c>
      <c r="C174" s="20" t="s">
        <v>14</v>
      </c>
      <c r="D174" s="20" t="s">
        <v>34</v>
      </c>
      <c r="E174" s="20" t="s">
        <v>739</v>
      </c>
      <c r="F174" s="20" t="s">
        <v>34</v>
      </c>
      <c r="G174" s="20">
        <v>2</v>
      </c>
      <c r="H174" s="20">
        <v>3</v>
      </c>
      <c r="I174" s="13">
        <v>0.6</v>
      </c>
      <c r="J174" s="20" t="s">
        <v>249</v>
      </c>
      <c r="L174" s="20" t="s">
        <v>249</v>
      </c>
      <c r="M174" s="20" t="s">
        <v>740</v>
      </c>
      <c r="N174" s="20" t="s">
        <v>34</v>
      </c>
      <c r="O174" s="20">
        <v>2</v>
      </c>
      <c r="P174" s="20">
        <v>3</v>
      </c>
      <c r="Q174" s="13">
        <v>0.51671473070034157</v>
      </c>
      <c r="R174" s="20" t="s">
        <v>249</v>
      </c>
      <c r="S174" s="20">
        <v>0.13704018303917359</v>
      </c>
      <c r="T174" s="20" t="s">
        <v>249</v>
      </c>
      <c r="U174" s="20" t="s">
        <v>14</v>
      </c>
      <c r="V174" s="20">
        <v>4</v>
      </c>
      <c r="W174" s="20">
        <v>1</v>
      </c>
      <c r="X174" s="20" t="s">
        <v>490</v>
      </c>
      <c r="Y174" s="20" t="s">
        <v>292</v>
      </c>
      <c r="Z174" s="20" t="s">
        <v>60</v>
      </c>
      <c r="AA174" s="20" t="s">
        <v>491</v>
      </c>
    </row>
    <row r="175" spans="1:27" x14ac:dyDescent="0.2">
      <c r="A175" s="1">
        <v>45960</v>
      </c>
      <c r="B175" s="20" t="s">
        <v>326</v>
      </c>
      <c r="C175" s="20" t="s">
        <v>15</v>
      </c>
      <c r="D175" s="20" t="s">
        <v>17</v>
      </c>
      <c r="E175" s="20" t="s">
        <v>741</v>
      </c>
      <c r="F175" s="20" t="s">
        <v>15</v>
      </c>
      <c r="G175" s="20">
        <v>2</v>
      </c>
      <c r="H175" s="20">
        <v>3</v>
      </c>
      <c r="I175" s="13">
        <v>0.6</v>
      </c>
      <c r="J175" s="20" t="s">
        <v>249</v>
      </c>
      <c r="L175" s="20" t="s">
        <v>248</v>
      </c>
      <c r="M175" s="20" t="s">
        <v>518</v>
      </c>
      <c r="N175" s="20" t="s">
        <v>15</v>
      </c>
      <c r="O175" s="20">
        <v>2</v>
      </c>
      <c r="P175" s="20">
        <v>3</v>
      </c>
      <c r="Q175" s="13">
        <v>0.60886422062356638</v>
      </c>
      <c r="R175" s="20" t="s">
        <v>249</v>
      </c>
      <c r="S175" s="20">
        <v>-0.47781193083041668</v>
      </c>
      <c r="T175" s="20" t="s">
        <v>248</v>
      </c>
      <c r="U175" s="20" t="s">
        <v>15</v>
      </c>
      <c r="V175" s="20">
        <v>4</v>
      </c>
      <c r="W175" s="20">
        <v>3</v>
      </c>
      <c r="X175" s="20" t="s">
        <v>496</v>
      </c>
      <c r="Y175" s="20" t="s">
        <v>292</v>
      </c>
      <c r="Z175" s="20" t="s">
        <v>60</v>
      </c>
      <c r="AA175" s="20" t="s">
        <v>491</v>
      </c>
    </row>
    <row r="176" spans="1:27" x14ac:dyDescent="0.2">
      <c r="A176" s="1">
        <v>45960</v>
      </c>
      <c r="B176" s="20" t="s">
        <v>334</v>
      </c>
      <c r="C176" s="20" t="s">
        <v>30</v>
      </c>
      <c r="D176" s="20" t="s">
        <v>25</v>
      </c>
      <c r="E176" s="20" t="s">
        <v>742</v>
      </c>
      <c r="F176" s="20" t="s">
        <v>25</v>
      </c>
      <c r="G176" s="20">
        <v>2</v>
      </c>
      <c r="H176" s="20">
        <v>3</v>
      </c>
      <c r="I176" s="13">
        <v>0.6</v>
      </c>
      <c r="J176" s="20" t="s">
        <v>249</v>
      </c>
      <c r="L176" s="20" t="s">
        <v>248</v>
      </c>
      <c r="M176" s="20" t="s">
        <v>450</v>
      </c>
      <c r="N176" s="20" t="s">
        <v>25</v>
      </c>
      <c r="O176" s="20">
        <v>2</v>
      </c>
      <c r="P176" s="20">
        <v>3</v>
      </c>
      <c r="Q176" s="13">
        <v>0.60366287032278598</v>
      </c>
      <c r="R176" s="20" t="s">
        <v>249</v>
      </c>
      <c r="S176" s="20">
        <v>0.71650788369304785</v>
      </c>
      <c r="T176" s="20" t="s">
        <v>248</v>
      </c>
      <c r="U176" s="20" t="s">
        <v>25</v>
      </c>
      <c r="V176" s="20">
        <v>2</v>
      </c>
      <c r="W176" s="20">
        <v>6</v>
      </c>
      <c r="X176" s="20" t="s">
        <v>490</v>
      </c>
      <c r="Y176" s="20" t="s">
        <v>292</v>
      </c>
      <c r="Z176" s="20" t="s">
        <v>60</v>
      </c>
      <c r="AA176" s="20" t="s">
        <v>491</v>
      </c>
    </row>
    <row r="177" spans="1:27" x14ac:dyDescent="0.2">
      <c r="A177" s="1">
        <v>45960</v>
      </c>
      <c r="B177" s="20" t="s">
        <v>328</v>
      </c>
      <c r="C177" s="20" t="s">
        <v>23</v>
      </c>
      <c r="D177" s="20" t="s">
        <v>21</v>
      </c>
      <c r="E177" s="20" t="s">
        <v>527</v>
      </c>
      <c r="F177" s="20" t="s">
        <v>21</v>
      </c>
      <c r="G177" s="20">
        <v>2</v>
      </c>
      <c r="H177" s="20">
        <v>3</v>
      </c>
      <c r="I177" s="13">
        <v>0.6</v>
      </c>
      <c r="J177" s="20" t="s">
        <v>249</v>
      </c>
      <c r="L177" s="20" t="s">
        <v>248</v>
      </c>
      <c r="M177" s="20" t="s">
        <v>465</v>
      </c>
      <c r="N177" s="20" t="s">
        <v>21</v>
      </c>
      <c r="O177" s="20">
        <v>2</v>
      </c>
      <c r="P177" s="20">
        <v>3</v>
      </c>
      <c r="Q177" s="13">
        <v>0.61865976048220439</v>
      </c>
      <c r="R177" s="20" t="s">
        <v>249</v>
      </c>
      <c r="S177" s="20">
        <v>0.30624142421602052</v>
      </c>
      <c r="T177" s="20" t="s">
        <v>248</v>
      </c>
      <c r="U177" s="20" t="s">
        <v>21</v>
      </c>
      <c r="V177" s="20">
        <v>3</v>
      </c>
      <c r="W177" s="20">
        <v>4</v>
      </c>
      <c r="X177" s="20" t="s">
        <v>496</v>
      </c>
      <c r="Y177" s="20" t="s">
        <v>292</v>
      </c>
      <c r="Z177" s="20" t="s">
        <v>60</v>
      </c>
      <c r="AA177" s="20" t="s">
        <v>491</v>
      </c>
    </row>
    <row r="178" spans="1:27" x14ac:dyDescent="0.2">
      <c r="A178" s="1">
        <v>45960</v>
      </c>
      <c r="B178" s="20" t="s">
        <v>340</v>
      </c>
      <c r="C178" s="20" t="s">
        <v>26</v>
      </c>
      <c r="D178" s="20" t="s">
        <v>13</v>
      </c>
      <c r="E178" s="20" t="s">
        <v>743</v>
      </c>
      <c r="F178" s="20" t="s">
        <v>13</v>
      </c>
      <c r="G178" s="20">
        <v>2</v>
      </c>
      <c r="H178" s="20">
        <v>3</v>
      </c>
      <c r="I178" s="13">
        <v>0.6</v>
      </c>
      <c r="J178" s="20" t="s">
        <v>249</v>
      </c>
      <c r="L178" s="20" t="s">
        <v>249</v>
      </c>
      <c r="M178" s="20" t="s">
        <v>744</v>
      </c>
      <c r="N178" s="20" t="s">
        <v>13</v>
      </c>
      <c r="O178" s="20">
        <v>2</v>
      </c>
      <c r="P178" s="20">
        <v>3</v>
      </c>
      <c r="Q178" s="13">
        <v>0.6085358593715775</v>
      </c>
      <c r="R178" s="20" t="s">
        <v>249</v>
      </c>
      <c r="S178" s="20">
        <v>0.58695671527825821</v>
      </c>
      <c r="T178" s="20" t="s">
        <v>249</v>
      </c>
      <c r="U178" s="20" t="s">
        <v>26</v>
      </c>
      <c r="V178" s="20">
        <v>4</v>
      </c>
      <c r="W178" s="20">
        <v>3</v>
      </c>
      <c r="X178" s="20" t="s">
        <v>496</v>
      </c>
      <c r="Y178" s="20" t="s">
        <v>292</v>
      </c>
      <c r="Z178" s="20" t="s">
        <v>60</v>
      </c>
      <c r="AA178" s="20" t="s">
        <v>491</v>
      </c>
    </row>
    <row r="179" spans="1:27" x14ac:dyDescent="0.2">
      <c r="A179" s="1">
        <v>45961</v>
      </c>
      <c r="B179" s="20" t="s">
        <v>322</v>
      </c>
      <c r="C179" s="20" t="s">
        <v>26</v>
      </c>
      <c r="D179" s="20" t="s">
        <v>31</v>
      </c>
      <c r="E179" s="20" t="s">
        <v>745</v>
      </c>
      <c r="F179" s="20" t="s">
        <v>31</v>
      </c>
      <c r="G179" s="20">
        <v>2</v>
      </c>
      <c r="H179" s="20">
        <v>3</v>
      </c>
      <c r="I179" s="13">
        <v>0.6</v>
      </c>
      <c r="J179" s="20" t="s">
        <v>249</v>
      </c>
      <c r="L179" s="20" t="s">
        <v>248</v>
      </c>
      <c r="M179" s="20" t="s">
        <v>291</v>
      </c>
      <c r="N179" s="20" t="s">
        <v>31</v>
      </c>
      <c r="O179" s="20">
        <v>2</v>
      </c>
      <c r="P179" s="20">
        <v>3</v>
      </c>
      <c r="Q179" s="13">
        <v>0.7487363882386241</v>
      </c>
      <c r="R179" s="20" t="s">
        <v>249</v>
      </c>
      <c r="S179" s="20">
        <v>1.1039433357947379</v>
      </c>
      <c r="T179" s="20" t="s">
        <v>248</v>
      </c>
      <c r="U179" s="20" t="s">
        <v>31</v>
      </c>
      <c r="V179" s="20">
        <v>2</v>
      </c>
      <c r="W179" s="20">
        <v>5</v>
      </c>
      <c r="X179" s="20" t="s">
        <v>490</v>
      </c>
      <c r="Y179" s="20" t="s">
        <v>292</v>
      </c>
      <c r="Z179" s="20" t="s">
        <v>60</v>
      </c>
      <c r="AA179" s="20" t="s">
        <v>491</v>
      </c>
    </row>
    <row r="180" spans="1:27" x14ac:dyDescent="0.2">
      <c r="A180" s="1">
        <v>45961</v>
      </c>
      <c r="B180" s="20" t="s">
        <v>369</v>
      </c>
      <c r="C180" s="20" t="s">
        <v>12</v>
      </c>
      <c r="D180" s="20" t="s">
        <v>20</v>
      </c>
      <c r="E180" s="20" t="s">
        <v>746</v>
      </c>
      <c r="F180" s="20" t="s">
        <v>12</v>
      </c>
      <c r="G180" s="20">
        <v>2</v>
      </c>
      <c r="H180" s="20">
        <v>3</v>
      </c>
      <c r="I180" s="13">
        <v>0.6</v>
      </c>
      <c r="J180" s="20" t="s">
        <v>249</v>
      </c>
      <c r="L180" s="20" t="s">
        <v>248</v>
      </c>
      <c r="M180" s="20" t="s">
        <v>361</v>
      </c>
      <c r="N180" s="20" t="s">
        <v>12</v>
      </c>
      <c r="O180" s="20">
        <v>2</v>
      </c>
      <c r="P180" s="20">
        <v>3</v>
      </c>
      <c r="Q180" s="13">
        <v>0.74588743211805819</v>
      </c>
      <c r="R180" s="20" t="s">
        <v>249</v>
      </c>
      <c r="S180" s="20">
        <v>-1.82644373982445</v>
      </c>
      <c r="T180" s="20" t="s">
        <v>248</v>
      </c>
      <c r="U180" s="20" t="s">
        <v>12</v>
      </c>
      <c r="V180" s="20">
        <v>4</v>
      </c>
      <c r="W180" s="20">
        <v>2</v>
      </c>
      <c r="X180" s="20" t="s">
        <v>490</v>
      </c>
      <c r="Y180" s="20" t="s">
        <v>292</v>
      </c>
      <c r="Z180" s="20" t="s">
        <v>60</v>
      </c>
      <c r="AA180" s="20" t="s">
        <v>491</v>
      </c>
    </row>
    <row r="181" spans="1:27" x14ac:dyDescent="0.2">
      <c r="A181" s="1">
        <v>45961</v>
      </c>
      <c r="B181" s="20" t="s">
        <v>328</v>
      </c>
      <c r="C181" s="20" t="s">
        <v>30</v>
      </c>
      <c r="D181" s="20" t="s">
        <v>22</v>
      </c>
      <c r="E181" s="20" t="s">
        <v>747</v>
      </c>
      <c r="F181" s="20" t="s">
        <v>22</v>
      </c>
      <c r="G181" s="20">
        <v>2</v>
      </c>
      <c r="H181" s="20">
        <v>3</v>
      </c>
      <c r="I181" s="13">
        <v>0.6</v>
      </c>
      <c r="J181" s="20" t="s">
        <v>249</v>
      </c>
      <c r="L181" s="20" t="s">
        <v>249</v>
      </c>
      <c r="M181" s="20" t="s">
        <v>748</v>
      </c>
      <c r="N181" s="20" t="s">
        <v>22</v>
      </c>
      <c r="O181" s="20">
        <v>2</v>
      </c>
      <c r="P181" s="20">
        <v>3</v>
      </c>
      <c r="Q181" s="13">
        <v>0.57908897540919857</v>
      </c>
      <c r="R181" s="20" t="s">
        <v>249</v>
      </c>
      <c r="S181" s="20">
        <v>0.73153997921825198</v>
      </c>
      <c r="T181" s="20" t="s">
        <v>249</v>
      </c>
      <c r="U181" s="20" t="s">
        <v>30</v>
      </c>
      <c r="V181" s="20">
        <v>3</v>
      </c>
      <c r="W181" s="20">
        <v>1</v>
      </c>
      <c r="X181" s="20" t="s">
        <v>490</v>
      </c>
      <c r="Y181" s="20" t="s">
        <v>292</v>
      </c>
      <c r="Z181" s="20" t="s">
        <v>60</v>
      </c>
      <c r="AA181" s="20" t="s">
        <v>491</v>
      </c>
    </row>
    <row r="182" spans="1:27" x14ac:dyDescent="0.2">
      <c r="A182" s="1">
        <v>45962</v>
      </c>
      <c r="B182" s="20" t="s">
        <v>347</v>
      </c>
      <c r="C182" s="20" t="s">
        <v>25</v>
      </c>
      <c r="D182" s="20" t="s">
        <v>21</v>
      </c>
      <c r="E182" s="20" t="s">
        <v>294</v>
      </c>
      <c r="F182" s="20" t="s">
        <v>25</v>
      </c>
      <c r="G182" s="20">
        <v>2</v>
      </c>
      <c r="H182" s="20">
        <v>3</v>
      </c>
      <c r="I182" s="13">
        <v>0.6</v>
      </c>
      <c r="J182" s="20" t="s">
        <v>249</v>
      </c>
      <c r="L182" s="20" t="s">
        <v>249</v>
      </c>
      <c r="M182" s="20" t="s">
        <v>749</v>
      </c>
      <c r="N182" s="20" t="s">
        <v>25</v>
      </c>
      <c r="O182" s="20">
        <v>2</v>
      </c>
      <c r="P182" s="20">
        <v>3</v>
      </c>
      <c r="Q182" s="13">
        <v>0.55862153841523121</v>
      </c>
      <c r="R182" s="20" t="s">
        <v>249</v>
      </c>
      <c r="S182" s="20">
        <v>-0.59554414885312179</v>
      </c>
      <c r="T182" s="20" t="s">
        <v>249</v>
      </c>
      <c r="U182" s="20" t="s">
        <v>21</v>
      </c>
      <c r="V182" s="20">
        <v>1</v>
      </c>
      <c r="W182" s="20">
        <v>2</v>
      </c>
      <c r="X182" s="20" t="s">
        <v>490</v>
      </c>
      <c r="Y182" s="20" t="s">
        <v>292</v>
      </c>
      <c r="Z182" s="20" t="s">
        <v>60</v>
      </c>
      <c r="AA182" s="20" t="s">
        <v>491</v>
      </c>
    </row>
    <row r="183" spans="1:27" x14ac:dyDescent="0.2">
      <c r="A183" s="1">
        <v>45962</v>
      </c>
      <c r="B183" s="20" t="s">
        <v>328</v>
      </c>
      <c r="C183" s="20" t="s">
        <v>35</v>
      </c>
      <c r="D183" s="20" t="s">
        <v>28</v>
      </c>
      <c r="E183" s="20" t="s">
        <v>750</v>
      </c>
      <c r="F183" s="20" t="s">
        <v>28</v>
      </c>
      <c r="G183" s="20">
        <v>2</v>
      </c>
      <c r="H183" s="20">
        <v>3</v>
      </c>
      <c r="I183" s="13">
        <v>0.6</v>
      </c>
      <c r="J183" s="20" t="s">
        <v>249</v>
      </c>
      <c r="L183" s="20" t="s">
        <v>248</v>
      </c>
      <c r="M183" s="20" t="s">
        <v>730</v>
      </c>
      <c r="N183" s="20" t="s">
        <v>28</v>
      </c>
      <c r="O183" s="20">
        <v>2</v>
      </c>
      <c r="P183" s="20">
        <v>3</v>
      </c>
      <c r="Q183" s="13">
        <v>0.63917878550125307</v>
      </c>
      <c r="R183" s="20" t="s">
        <v>249</v>
      </c>
      <c r="S183" s="20">
        <v>0.84938971652034467</v>
      </c>
      <c r="T183" s="20" t="s">
        <v>248</v>
      </c>
      <c r="U183" s="20" t="s">
        <v>28</v>
      </c>
      <c r="V183" s="20">
        <v>2</v>
      </c>
      <c r="W183" s="20">
        <v>3</v>
      </c>
      <c r="X183" s="20" t="s">
        <v>490</v>
      </c>
      <c r="Y183" s="20" t="s">
        <v>292</v>
      </c>
      <c r="Z183" s="20" t="s">
        <v>60</v>
      </c>
      <c r="AA183" s="20" t="s">
        <v>491</v>
      </c>
    </row>
    <row r="184" spans="1:27" x14ac:dyDescent="0.2">
      <c r="A184" s="1">
        <v>45962</v>
      </c>
      <c r="B184" s="20" t="s">
        <v>322</v>
      </c>
      <c r="C184" s="20" t="s">
        <v>10</v>
      </c>
      <c r="D184" s="20" t="s">
        <v>17</v>
      </c>
      <c r="E184" s="20" t="s">
        <v>751</v>
      </c>
      <c r="F184" s="20" t="s">
        <v>10</v>
      </c>
      <c r="G184" s="20">
        <v>2</v>
      </c>
      <c r="H184" s="20">
        <v>3</v>
      </c>
      <c r="I184" s="13">
        <v>0.6</v>
      </c>
      <c r="J184" s="20" t="s">
        <v>249</v>
      </c>
      <c r="L184" s="20" t="s">
        <v>249</v>
      </c>
      <c r="M184" s="20" t="s">
        <v>752</v>
      </c>
      <c r="N184" s="20" t="s">
        <v>10</v>
      </c>
      <c r="O184" s="20">
        <v>2</v>
      </c>
      <c r="P184" s="20">
        <v>3</v>
      </c>
      <c r="Q184" s="13">
        <v>0.52203787808599023</v>
      </c>
      <c r="R184" s="20" t="s">
        <v>249</v>
      </c>
      <c r="S184" s="20">
        <v>-0.59164966013004561</v>
      </c>
      <c r="T184" s="20" t="s">
        <v>249</v>
      </c>
      <c r="U184" s="20" t="s">
        <v>17</v>
      </c>
      <c r="V184" s="20">
        <v>2</v>
      </c>
      <c r="W184" s="20">
        <v>3</v>
      </c>
      <c r="X184" s="20" t="s">
        <v>496</v>
      </c>
      <c r="Y184" s="20" t="s">
        <v>292</v>
      </c>
      <c r="Z184" s="20" t="s">
        <v>60</v>
      </c>
      <c r="AA184" s="20" t="s">
        <v>491</v>
      </c>
    </row>
    <row r="185" spans="1:27" x14ac:dyDescent="0.2">
      <c r="A185" s="1">
        <v>45962</v>
      </c>
      <c r="B185" s="20" t="s">
        <v>469</v>
      </c>
      <c r="C185" s="20" t="s">
        <v>39</v>
      </c>
      <c r="D185" s="20" t="s">
        <v>11</v>
      </c>
      <c r="E185" s="20" t="s">
        <v>753</v>
      </c>
      <c r="F185" s="20" t="s">
        <v>39</v>
      </c>
      <c r="G185" s="20">
        <v>2</v>
      </c>
      <c r="H185" s="20">
        <v>3</v>
      </c>
      <c r="I185" s="13">
        <v>0.6</v>
      </c>
      <c r="J185" s="20" t="s">
        <v>249</v>
      </c>
      <c r="L185" s="20" t="s">
        <v>249</v>
      </c>
      <c r="M185" s="20" t="s">
        <v>754</v>
      </c>
      <c r="N185" s="20" t="s">
        <v>39</v>
      </c>
      <c r="O185" s="20">
        <v>2</v>
      </c>
      <c r="P185" s="20">
        <v>3</v>
      </c>
      <c r="Q185" s="13">
        <v>0.6366443736340629</v>
      </c>
      <c r="R185" s="20" t="s">
        <v>249</v>
      </c>
      <c r="S185" s="20">
        <v>-0.76066004399606379</v>
      </c>
      <c r="T185" s="20" t="s">
        <v>249</v>
      </c>
      <c r="U185" s="20" t="s">
        <v>11</v>
      </c>
      <c r="V185" s="20">
        <v>3</v>
      </c>
      <c r="W185" s="20">
        <v>4</v>
      </c>
      <c r="X185" s="20" t="s">
        <v>496</v>
      </c>
      <c r="Y185" s="20" t="s">
        <v>292</v>
      </c>
      <c r="Z185" s="20" t="s">
        <v>60</v>
      </c>
      <c r="AA185" s="20" t="s">
        <v>491</v>
      </c>
    </row>
    <row r="186" spans="1:27" x14ac:dyDescent="0.2">
      <c r="A186" s="1">
        <v>45962</v>
      </c>
      <c r="B186" s="20" t="s">
        <v>326</v>
      </c>
      <c r="C186" s="20" t="s">
        <v>24</v>
      </c>
      <c r="D186" s="20" t="s">
        <v>13</v>
      </c>
      <c r="E186" s="20" t="s">
        <v>755</v>
      </c>
      <c r="F186" s="20" t="s">
        <v>24</v>
      </c>
      <c r="G186" s="20">
        <v>2</v>
      </c>
      <c r="H186" s="20">
        <v>3</v>
      </c>
      <c r="I186" s="13">
        <v>0.6</v>
      </c>
      <c r="J186" s="20" t="s">
        <v>249</v>
      </c>
      <c r="L186" s="20" t="s">
        <v>248</v>
      </c>
      <c r="M186" s="20" t="s">
        <v>449</v>
      </c>
      <c r="N186" s="20" t="s">
        <v>24</v>
      </c>
      <c r="O186" s="20">
        <v>2</v>
      </c>
      <c r="P186" s="20">
        <v>3</v>
      </c>
      <c r="Q186" s="13">
        <v>0.51462086406676455</v>
      </c>
      <c r="R186" s="20" t="s">
        <v>249</v>
      </c>
      <c r="S186" s="20">
        <v>-0.28991310051865549</v>
      </c>
      <c r="T186" s="20" t="s">
        <v>248</v>
      </c>
      <c r="U186" s="20" t="s">
        <v>24</v>
      </c>
      <c r="V186" s="20">
        <v>4</v>
      </c>
      <c r="W186" s="20">
        <v>1</v>
      </c>
      <c r="X186" s="20" t="s">
        <v>490</v>
      </c>
      <c r="Y186" s="20" t="s">
        <v>292</v>
      </c>
      <c r="Z186" s="20" t="s">
        <v>60</v>
      </c>
      <c r="AA186" s="20" t="s">
        <v>491</v>
      </c>
    </row>
    <row r="187" spans="1:27" x14ac:dyDescent="0.2">
      <c r="A187" s="1">
        <v>45962</v>
      </c>
      <c r="B187" s="20" t="s">
        <v>328</v>
      </c>
      <c r="C187" s="20" t="s">
        <v>38</v>
      </c>
      <c r="D187" s="20" t="s">
        <v>34</v>
      </c>
      <c r="E187" s="20" t="s">
        <v>756</v>
      </c>
      <c r="F187" s="20" t="s">
        <v>34</v>
      </c>
      <c r="G187" s="20">
        <v>2</v>
      </c>
      <c r="H187" s="20">
        <v>3</v>
      </c>
      <c r="I187" s="13">
        <v>0.6</v>
      </c>
      <c r="J187" s="20" t="s">
        <v>249</v>
      </c>
      <c r="L187" s="20" t="s">
        <v>248</v>
      </c>
      <c r="M187" s="20" t="s">
        <v>343</v>
      </c>
      <c r="N187" s="20" t="s">
        <v>34</v>
      </c>
      <c r="O187" s="20">
        <v>2</v>
      </c>
      <c r="P187" s="20">
        <v>3</v>
      </c>
      <c r="Q187" s="13">
        <v>0.6464692220949555</v>
      </c>
      <c r="R187" s="20" t="s">
        <v>249</v>
      </c>
      <c r="S187" s="20">
        <v>0.94245371658448773</v>
      </c>
      <c r="T187" s="20" t="s">
        <v>248</v>
      </c>
      <c r="U187" s="20" t="s">
        <v>34</v>
      </c>
      <c r="V187" s="20">
        <v>2</v>
      </c>
      <c r="W187" s="20">
        <v>5</v>
      </c>
      <c r="X187" s="20" t="s">
        <v>490</v>
      </c>
      <c r="Y187" s="20" t="s">
        <v>292</v>
      </c>
      <c r="Z187" s="20" t="s">
        <v>60</v>
      </c>
      <c r="AA187" s="20" t="s">
        <v>491</v>
      </c>
    </row>
    <row r="188" spans="1:27" x14ac:dyDescent="0.2">
      <c r="A188" s="1">
        <v>45962</v>
      </c>
      <c r="B188" s="20" t="s">
        <v>328</v>
      </c>
      <c r="C188" s="20" t="s">
        <v>36</v>
      </c>
      <c r="D188" s="20" t="s">
        <v>18</v>
      </c>
      <c r="E188" s="20" t="s">
        <v>483</v>
      </c>
      <c r="F188" s="20" t="s">
        <v>36</v>
      </c>
      <c r="G188" s="20">
        <v>2</v>
      </c>
      <c r="H188" s="20">
        <v>3</v>
      </c>
      <c r="I188" s="13">
        <v>0.6</v>
      </c>
      <c r="J188" s="20" t="s">
        <v>249</v>
      </c>
      <c r="L188" s="20" t="s">
        <v>249</v>
      </c>
      <c r="M188" s="20" t="s">
        <v>757</v>
      </c>
      <c r="N188" s="20" t="s">
        <v>36</v>
      </c>
      <c r="O188" s="20">
        <v>2</v>
      </c>
      <c r="P188" s="20">
        <v>3</v>
      </c>
      <c r="Q188" s="13">
        <v>0.46135596911883597</v>
      </c>
      <c r="R188" s="20" t="s">
        <v>249</v>
      </c>
      <c r="S188" s="20">
        <v>-1.1612828485824119E-2</v>
      </c>
      <c r="T188" s="20" t="s">
        <v>249</v>
      </c>
      <c r="U188" s="20" t="s">
        <v>18</v>
      </c>
      <c r="V188" s="20">
        <v>3</v>
      </c>
      <c r="W188" s="20">
        <v>4</v>
      </c>
      <c r="X188" s="20" t="s">
        <v>496</v>
      </c>
      <c r="Y188" s="20" t="s">
        <v>292</v>
      </c>
      <c r="Z188" s="20" t="s">
        <v>60</v>
      </c>
      <c r="AA188" s="20" t="s">
        <v>491</v>
      </c>
    </row>
    <row r="189" spans="1:27" x14ac:dyDescent="0.2">
      <c r="A189" s="1">
        <v>45962</v>
      </c>
      <c r="B189" s="20" t="s">
        <v>352</v>
      </c>
      <c r="C189" s="20" t="s">
        <v>16</v>
      </c>
      <c r="D189" s="20" t="s">
        <v>29</v>
      </c>
      <c r="E189" s="20" t="s">
        <v>484</v>
      </c>
      <c r="F189" s="20" t="s">
        <v>16</v>
      </c>
      <c r="G189" s="20">
        <v>2</v>
      </c>
      <c r="H189" s="20">
        <v>3</v>
      </c>
      <c r="I189" s="13">
        <v>0.6</v>
      </c>
      <c r="J189" s="20" t="s">
        <v>249</v>
      </c>
      <c r="L189" s="20" t="s">
        <v>249</v>
      </c>
      <c r="M189" s="20" t="s">
        <v>758</v>
      </c>
      <c r="N189" s="20" t="s">
        <v>16</v>
      </c>
      <c r="O189" s="20">
        <v>2</v>
      </c>
      <c r="P189" s="20">
        <v>3</v>
      </c>
      <c r="Q189" s="13">
        <v>0.49143718974836059</v>
      </c>
      <c r="R189" s="20" t="s">
        <v>249</v>
      </c>
      <c r="S189" s="20">
        <v>-0.2692352558422777</v>
      </c>
      <c r="T189" s="20" t="s">
        <v>249</v>
      </c>
      <c r="U189" s="20" t="s">
        <v>29</v>
      </c>
      <c r="V189" s="20">
        <v>2</v>
      </c>
      <c r="W189" s="20">
        <v>4</v>
      </c>
      <c r="X189" s="20" t="s">
        <v>490</v>
      </c>
      <c r="Y189" s="20" t="s">
        <v>292</v>
      </c>
      <c r="Z189" s="20" t="s">
        <v>60</v>
      </c>
      <c r="AA189" s="20" t="s">
        <v>491</v>
      </c>
    </row>
    <row r="190" spans="1:27" x14ac:dyDescent="0.2">
      <c r="A190" s="1">
        <v>45962</v>
      </c>
      <c r="B190" s="20" t="s">
        <v>328</v>
      </c>
      <c r="C190" s="20" t="s">
        <v>19</v>
      </c>
      <c r="D190" s="20" t="s">
        <v>27</v>
      </c>
      <c r="E190" s="20" t="s">
        <v>759</v>
      </c>
      <c r="F190" s="20" t="s">
        <v>27</v>
      </c>
      <c r="G190" s="20">
        <v>2</v>
      </c>
      <c r="H190" s="20">
        <v>3</v>
      </c>
      <c r="I190" s="13">
        <v>0.6</v>
      </c>
      <c r="J190" s="20" t="s">
        <v>249</v>
      </c>
      <c r="L190" s="20" t="s">
        <v>249</v>
      </c>
      <c r="M190" s="20" t="s">
        <v>760</v>
      </c>
      <c r="N190" s="20" t="s">
        <v>27</v>
      </c>
      <c r="O190" s="20">
        <v>2</v>
      </c>
      <c r="P190" s="20">
        <v>3</v>
      </c>
      <c r="Q190" s="13">
        <v>0.5895294258799636</v>
      </c>
      <c r="R190" s="20" t="s">
        <v>249</v>
      </c>
      <c r="S190" s="20">
        <v>0.30413975673582699</v>
      </c>
      <c r="T190" s="20" t="s">
        <v>249</v>
      </c>
      <c r="U190" s="20" t="s">
        <v>19</v>
      </c>
      <c r="V190" s="20">
        <v>5</v>
      </c>
      <c r="W190" s="20">
        <v>2</v>
      </c>
      <c r="X190" s="20" t="s">
        <v>490</v>
      </c>
      <c r="Y190" s="20" t="s">
        <v>292</v>
      </c>
      <c r="Z190" s="20" t="s">
        <v>60</v>
      </c>
      <c r="AA190" s="20" t="s">
        <v>491</v>
      </c>
    </row>
    <row r="191" spans="1:27" x14ac:dyDescent="0.2">
      <c r="A191" s="1">
        <v>45962</v>
      </c>
      <c r="B191" s="20" t="s">
        <v>322</v>
      </c>
      <c r="C191" s="20" t="s">
        <v>15</v>
      </c>
      <c r="D191" s="20" t="s">
        <v>32</v>
      </c>
      <c r="E191" s="20" t="s">
        <v>761</v>
      </c>
      <c r="F191" s="20" t="s">
        <v>15</v>
      </c>
      <c r="G191" s="20">
        <v>2</v>
      </c>
      <c r="H191" s="20">
        <v>3</v>
      </c>
      <c r="I191" s="13">
        <v>0.6</v>
      </c>
      <c r="J191" s="20" t="s">
        <v>249</v>
      </c>
      <c r="L191" s="20" t="s">
        <v>248</v>
      </c>
      <c r="M191" s="20" t="s">
        <v>518</v>
      </c>
      <c r="N191" s="20" t="s">
        <v>15</v>
      </c>
      <c r="O191" s="20">
        <v>2</v>
      </c>
      <c r="P191" s="20">
        <v>3</v>
      </c>
      <c r="Q191" s="13">
        <v>0.59621344553392286</v>
      </c>
      <c r="R191" s="20" t="s">
        <v>249</v>
      </c>
      <c r="S191" s="20">
        <v>-0.30944250187098488</v>
      </c>
      <c r="T191" s="20" t="s">
        <v>248</v>
      </c>
      <c r="U191" s="20" t="s">
        <v>15</v>
      </c>
      <c r="V191" s="20">
        <v>3</v>
      </c>
      <c r="W191" s="20">
        <v>2</v>
      </c>
      <c r="X191" s="20" t="s">
        <v>496</v>
      </c>
      <c r="Y191" s="20" t="s">
        <v>292</v>
      </c>
      <c r="Z191" s="20" t="s">
        <v>60</v>
      </c>
      <c r="AA191" s="20" t="s">
        <v>491</v>
      </c>
    </row>
    <row r="192" spans="1:27" x14ac:dyDescent="0.2">
      <c r="A192" s="1">
        <v>45962</v>
      </c>
      <c r="B192" s="20" t="s">
        <v>369</v>
      </c>
      <c r="C192" s="20" t="s">
        <v>12</v>
      </c>
      <c r="D192" s="20" t="s">
        <v>33</v>
      </c>
      <c r="E192" s="20" t="s">
        <v>762</v>
      </c>
      <c r="F192" s="20" t="s">
        <v>12</v>
      </c>
      <c r="G192" s="20">
        <v>2</v>
      </c>
      <c r="H192" s="20">
        <v>3</v>
      </c>
      <c r="I192" s="13">
        <v>0.6</v>
      </c>
      <c r="J192" s="20" t="s">
        <v>249</v>
      </c>
      <c r="L192" s="20" t="s">
        <v>249</v>
      </c>
      <c r="M192" s="20" t="s">
        <v>763</v>
      </c>
      <c r="N192" s="20" t="s">
        <v>12</v>
      </c>
      <c r="O192" s="20">
        <v>2</v>
      </c>
      <c r="P192" s="20">
        <v>3</v>
      </c>
      <c r="Q192" s="13">
        <v>0.75987072250359355</v>
      </c>
      <c r="R192" s="20" t="s">
        <v>249</v>
      </c>
      <c r="S192" s="20">
        <v>-2.0333339018860568</v>
      </c>
      <c r="T192" s="20" t="s">
        <v>249</v>
      </c>
      <c r="U192" s="20" t="s">
        <v>33</v>
      </c>
      <c r="V192" s="20">
        <v>2</v>
      </c>
      <c r="W192" s="20">
        <v>3</v>
      </c>
      <c r="X192" s="20" t="s">
        <v>496</v>
      </c>
      <c r="Y192" s="20" t="s">
        <v>292</v>
      </c>
      <c r="Z192" s="20" t="s">
        <v>60</v>
      </c>
      <c r="AA192" s="20" t="s">
        <v>491</v>
      </c>
    </row>
    <row r="193" spans="1:27" x14ac:dyDescent="0.2">
      <c r="A193" s="1">
        <v>45962</v>
      </c>
      <c r="B193" s="20" t="s">
        <v>453</v>
      </c>
      <c r="C193" s="20" t="s">
        <v>14</v>
      </c>
      <c r="D193" s="20" t="s">
        <v>40</v>
      </c>
      <c r="E193" s="20" t="s">
        <v>764</v>
      </c>
      <c r="F193" s="20" t="s">
        <v>14</v>
      </c>
      <c r="G193" s="20">
        <v>2</v>
      </c>
      <c r="H193" s="20">
        <v>3</v>
      </c>
      <c r="I193" s="13">
        <v>0.6</v>
      </c>
      <c r="J193" s="20" t="s">
        <v>249</v>
      </c>
      <c r="L193" s="20" t="s">
        <v>249</v>
      </c>
      <c r="M193" s="20" t="s">
        <v>765</v>
      </c>
      <c r="N193" s="20" t="s">
        <v>14</v>
      </c>
      <c r="O193" s="20">
        <v>2</v>
      </c>
      <c r="P193" s="20">
        <v>3</v>
      </c>
      <c r="Q193" s="13">
        <v>0.51091170313729506</v>
      </c>
      <c r="R193" s="20" t="s">
        <v>249</v>
      </c>
      <c r="S193" s="20">
        <v>-0.1210768532941391</v>
      </c>
      <c r="T193" s="20" t="s">
        <v>249</v>
      </c>
      <c r="U193" s="20" t="s">
        <v>40</v>
      </c>
      <c r="V193" s="20">
        <v>2</v>
      </c>
      <c r="W193" s="20">
        <v>5</v>
      </c>
      <c r="X193" s="20" t="s">
        <v>490</v>
      </c>
      <c r="Y193" s="20" t="s">
        <v>292</v>
      </c>
      <c r="Z193" s="20" t="s">
        <v>60</v>
      </c>
      <c r="AA193" s="20" t="s">
        <v>491</v>
      </c>
    </row>
    <row r="194" spans="1:27" x14ac:dyDescent="0.2">
      <c r="A194" s="1">
        <v>45962</v>
      </c>
      <c r="B194" s="20" t="s">
        <v>328</v>
      </c>
      <c r="C194" s="20" t="s">
        <v>22</v>
      </c>
      <c r="D194" s="20" t="s">
        <v>23</v>
      </c>
      <c r="E194" s="20" t="s">
        <v>766</v>
      </c>
      <c r="F194" s="20" t="s">
        <v>22</v>
      </c>
      <c r="G194" s="20">
        <v>2</v>
      </c>
      <c r="H194" s="20">
        <v>3</v>
      </c>
      <c r="I194" s="13">
        <v>0.6</v>
      </c>
      <c r="J194" s="20" t="s">
        <v>249</v>
      </c>
      <c r="L194" s="20" t="s">
        <v>249</v>
      </c>
      <c r="M194" s="20" t="s">
        <v>767</v>
      </c>
      <c r="N194" s="20" t="s">
        <v>22</v>
      </c>
      <c r="O194" s="20">
        <v>2</v>
      </c>
      <c r="P194" s="20">
        <v>3</v>
      </c>
      <c r="Q194" s="13">
        <v>0.59353303745986197</v>
      </c>
      <c r="R194" s="20" t="s">
        <v>249</v>
      </c>
      <c r="S194" s="20">
        <v>-0.86691691967118412</v>
      </c>
      <c r="T194" s="20" t="s">
        <v>249</v>
      </c>
      <c r="U194" s="20" t="s">
        <v>23</v>
      </c>
      <c r="V194" s="20">
        <v>3</v>
      </c>
      <c r="W194" s="20">
        <v>4</v>
      </c>
      <c r="X194" s="20" t="s">
        <v>496</v>
      </c>
      <c r="Y194" s="20" t="s">
        <v>292</v>
      </c>
      <c r="Z194" s="20" t="s">
        <v>60</v>
      </c>
      <c r="AA194" s="20" t="s">
        <v>491</v>
      </c>
    </row>
    <row r="195" spans="1:27" x14ac:dyDescent="0.2">
      <c r="A195" s="1">
        <v>45963</v>
      </c>
      <c r="B195" s="20" t="s">
        <v>352</v>
      </c>
      <c r="C195" s="20" t="s">
        <v>37</v>
      </c>
      <c r="D195" s="20" t="s">
        <v>55</v>
      </c>
      <c r="E195" s="20" t="s">
        <v>768</v>
      </c>
      <c r="F195" s="20" t="s">
        <v>37</v>
      </c>
      <c r="G195" s="20">
        <v>2</v>
      </c>
      <c r="H195" s="20">
        <v>3</v>
      </c>
      <c r="I195" s="13">
        <v>0.6</v>
      </c>
      <c r="J195" s="20" t="s">
        <v>249</v>
      </c>
      <c r="L195" s="20" t="s">
        <v>248</v>
      </c>
      <c r="M195" s="20" t="s">
        <v>395</v>
      </c>
      <c r="N195" s="20" t="s">
        <v>37</v>
      </c>
      <c r="O195" s="20">
        <v>2</v>
      </c>
      <c r="P195" s="20">
        <v>3</v>
      </c>
      <c r="Q195" s="13">
        <v>0.61248083877374404</v>
      </c>
      <c r="R195" s="20" t="s">
        <v>249</v>
      </c>
      <c r="S195" s="20">
        <v>-0.8637274868446243</v>
      </c>
      <c r="T195" s="20" t="s">
        <v>248</v>
      </c>
      <c r="U195" s="20" t="s">
        <v>37</v>
      </c>
      <c r="V195" s="20">
        <v>4</v>
      </c>
      <c r="W195" s="20">
        <v>2</v>
      </c>
      <c r="X195" s="20" t="s">
        <v>490</v>
      </c>
      <c r="Y195" s="20" t="s">
        <v>292</v>
      </c>
      <c r="Z195" s="20" t="s">
        <v>60</v>
      </c>
      <c r="AA195" s="20" t="s">
        <v>491</v>
      </c>
    </row>
    <row r="196" spans="1:27" x14ac:dyDescent="0.2">
      <c r="A196" s="1">
        <v>45963</v>
      </c>
      <c r="B196" s="20" t="s">
        <v>324</v>
      </c>
      <c r="C196" s="20" t="s">
        <v>26</v>
      </c>
      <c r="D196" s="20" t="s">
        <v>33</v>
      </c>
      <c r="E196" s="20" t="s">
        <v>769</v>
      </c>
      <c r="F196" s="20" t="s">
        <v>33</v>
      </c>
      <c r="G196" s="20">
        <v>2</v>
      </c>
      <c r="H196" s="20">
        <v>3</v>
      </c>
      <c r="I196" s="13">
        <v>0.6</v>
      </c>
      <c r="J196" s="20" t="s">
        <v>249</v>
      </c>
      <c r="L196" s="20" t="s">
        <v>249</v>
      </c>
      <c r="M196" s="20" t="s">
        <v>770</v>
      </c>
      <c r="N196" s="20" t="s">
        <v>33</v>
      </c>
      <c r="O196" s="20">
        <v>2</v>
      </c>
      <c r="P196" s="20">
        <v>3</v>
      </c>
      <c r="Q196" s="13">
        <v>0.60545815708481687</v>
      </c>
      <c r="R196" s="20" t="s">
        <v>249</v>
      </c>
      <c r="S196" s="20">
        <v>0.47390932157322863</v>
      </c>
      <c r="T196" s="20" t="s">
        <v>249</v>
      </c>
      <c r="U196" s="20" t="s">
        <v>26</v>
      </c>
      <c r="V196" s="20">
        <v>3</v>
      </c>
      <c r="W196" s="20">
        <v>2</v>
      </c>
      <c r="X196" s="20" t="s">
        <v>496</v>
      </c>
      <c r="Y196" s="20" t="s">
        <v>292</v>
      </c>
      <c r="Z196" s="20" t="s">
        <v>60</v>
      </c>
      <c r="AA196" s="20" t="s">
        <v>491</v>
      </c>
    </row>
    <row r="197" spans="1:27" x14ac:dyDescent="0.2">
      <c r="A197" s="1">
        <v>45963</v>
      </c>
      <c r="B197" s="20" t="s">
        <v>365</v>
      </c>
      <c r="C197" s="20" t="s">
        <v>28</v>
      </c>
      <c r="D197" s="20" t="s">
        <v>30</v>
      </c>
      <c r="E197" s="20" t="s">
        <v>771</v>
      </c>
      <c r="F197" s="20" t="s">
        <v>30</v>
      </c>
      <c r="G197" s="20">
        <v>2</v>
      </c>
      <c r="H197" s="20">
        <v>3</v>
      </c>
      <c r="I197" s="13">
        <v>0.6</v>
      </c>
      <c r="J197" s="20" t="s">
        <v>249</v>
      </c>
      <c r="L197" s="20" t="s">
        <v>248</v>
      </c>
      <c r="M197" s="20" t="s">
        <v>580</v>
      </c>
      <c r="N197" s="20" t="s">
        <v>30</v>
      </c>
      <c r="O197" s="20">
        <v>2</v>
      </c>
      <c r="P197" s="20">
        <v>3</v>
      </c>
      <c r="Q197" s="13">
        <v>0.5835919177498986</v>
      </c>
      <c r="R197" s="20" t="s">
        <v>249</v>
      </c>
      <c r="S197" s="20">
        <v>0.40395815583236999</v>
      </c>
      <c r="T197" s="20" t="s">
        <v>248</v>
      </c>
      <c r="U197" s="20" t="s">
        <v>30</v>
      </c>
      <c r="V197" s="20">
        <v>2</v>
      </c>
      <c r="W197" s="20">
        <v>3</v>
      </c>
      <c r="X197" s="20" t="s">
        <v>490</v>
      </c>
      <c r="Y197" s="20" t="s">
        <v>292</v>
      </c>
      <c r="Z197" s="20" t="s">
        <v>60</v>
      </c>
      <c r="AA197" s="20" t="s">
        <v>491</v>
      </c>
    </row>
    <row r="198" spans="1:27" x14ac:dyDescent="0.2">
      <c r="A198" s="1">
        <v>45963</v>
      </c>
      <c r="B198" s="20" t="s">
        <v>324</v>
      </c>
      <c r="C198" s="20" t="s">
        <v>24</v>
      </c>
      <c r="D198" s="20" t="s">
        <v>31</v>
      </c>
      <c r="E198" s="20" t="s">
        <v>772</v>
      </c>
      <c r="F198" s="20" t="s">
        <v>31</v>
      </c>
      <c r="G198" s="20">
        <v>2</v>
      </c>
      <c r="H198" s="20">
        <v>3</v>
      </c>
      <c r="I198" s="13">
        <v>0.6</v>
      </c>
      <c r="J198" s="20" t="s">
        <v>249</v>
      </c>
      <c r="L198" s="20" t="s">
        <v>248</v>
      </c>
      <c r="M198" s="20" t="s">
        <v>291</v>
      </c>
      <c r="N198" s="20" t="s">
        <v>31</v>
      </c>
      <c r="O198" s="20">
        <v>2</v>
      </c>
      <c r="P198" s="20">
        <v>3</v>
      </c>
      <c r="Q198" s="13">
        <v>0.62651418482571097</v>
      </c>
      <c r="R198" s="20" t="s">
        <v>249</v>
      </c>
      <c r="S198" s="20">
        <v>0.22707351999782449</v>
      </c>
      <c r="T198" s="20" t="s">
        <v>248</v>
      </c>
      <c r="U198" s="20" t="s">
        <v>31</v>
      </c>
      <c r="V198" s="20">
        <v>1</v>
      </c>
      <c r="W198" s="20">
        <v>4</v>
      </c>
      <c r="X198" s="20" t="s">
        <v>490</v>
      </c>
      <c r="Y198" s="20" t="s">
        <v>292</v>
      </c>
      <c r="Z198" s="20" t="s">
        <v>60</v>
      </c>
      <c r="AA198" s="20" t="s">
        <v>491</v>
      </c>
    </row>
    <row r="199" spans="1:27" x14ac:dyDescent="0.2">
      <c r="A199" s="1">
        <v>45963</v>
      </c>
      <c r="B199" s="20" t="s">
        <v>328</v>
      </c>
      <c r="C199" s="20" t="s">
        <v>16</v>
      </c>
      <c r="D199" s="20" t="s">
        <v>27</v>
      </c>
      <c r="E199" s="20" t="s">
        <v>773</v>
      </c>
      <c r="F199" s="20" t="s">
        <v>27</v>
      </c>
      <c r="G199" s="20">
        <v>2</v>
      </c>
      <c r="H199" s="20">
        <v>3</v>
      </c>
      <c r="I199" s="13">
        <v>0.6</v>
      </c>
      <c r="J199" s="20" t="s">
        <v>249</v>
      </c>
      <c r="L199" s="20" t="s">
        <v>249</v>
      </c>
      <c r="M199" s="20" t="s">
        <v>774</v>
      </c>
      <c r="N199" s="20" t="s">
        <v>27</v>
      </c>
      <c r="O199" s="20">
        <v>2</v>
      </c>
      <c r="P199" s="20">
        <v>3</v>
      </c>
      <c r="Q199" s="13">
        <v>0.63989038024528599</v>
      </c>
      <c r="R199" s="20" t="s">
        <v>249</v>
      </c>
      <c r="S199" s="20">
        <v>0.73544244446146734</v>
      </c>
      <c r="T199" s="20" t="s">
        <v>249</v>
      </c>
      <c r="U199" s="20" t="s">
        <v>16</v>
      </c>
      <c r="V199" s="20">
        <v>2</v>
      </c>
      <c r="W199" s="20">
        <v>1</v>
      </c>
      <c r="X199" s="20" t="s">
        <v>490</v>
      </c>
      <c r="Y199" s="20" t="s">
        <v>292</v>
      </c>
      <c r="Z199" s="20" t="s">
        <v>60</v>
      </c>
      <c r="AA199" s="20" t="s">
        <v>491</v>
      </c>
    </row>
    <row r="200" spans="1:27" x14ac:dyDescent="0.2">
      <c r="A200" s="1">
        <v>45964</v>
      </c>
      <c r="B200" s="20" t="s">
        <v>416</v>
      </c>
      <c r="C200" s="20" t="s">
        <v>38</v>
      </c>
      <c r="D200" s="20" t="s">
        <v>29</v>
      </c>
      <c r="E200" s="20" t="s">
        <v>654</v>
      </c>
      <c r="F200" s="20" t="s">
        <v>38</v>
      </c>
      <c r="G200" s="20">
        <v>2</v>
      </c>
      <c r="H200" s="20">
        <v>3</v>
      </c>
      <c r="I200" s="13">
        <v>0.6</v>
      </c>
      <c r="J200" s="20" t="s">
        <v>249</v>
      </c>
      <c r="L200" s="20" t="s">
        <v>248</v>
      </c>
      <c r="M200" s="20" t="s">
        <v>505</v>
      </c>
      <c r="N200" s="20" t="s">
        <v>38</v>
      </c>
      <c r="O200" s="20">
        <v>2</v>
      </c>
      <c r="P200" s="20">
        <v>3</v>
      </c>
      <c r="Q200" s="13">
        <v>0.50880367819163874</v>
      </c>
      <c r="R200" s="20" t="s">
        <v>249</v>
      </c>
      <c r="S200" s="20">
        <v>-0.38733877977609438</v>
      </c>
      <c r="T200" s="20" t="s">
        <v>248</v>
      </c>
      <c r="U200" s="20" t="s">
        <v>38</v>
      </c>
      <c r="V200" s="20">
        <v>5</v>
      </c>
      <c r="W200" s="20">
        <v>4</v>
      </c>
      <c r="X200" s="20" t="s">
        <v>496</v>
      </c>
      <c r="Y200" s="20" t="s">
        <v>292</v>
      </c>
      <c r="Z200" s="20" t="s">
        <v>60</v>
      </c>
      <c r="AA200" s="20" t="s">
        <v>491</v>
      </c>
    </row>
    <row r="201" spans="1:27" x14ac:dyDescent="0.2">
      <c r="A201" s="1">
        <v>45964</v>
      </c>
      <c r="B201" s="20" t="s">
        <v>322</v>
      </c>
      <c r="C201" s="20" t="s">
        <v>10</v>
      </c>
      <c r="D201" s="20" t="s">
        <v>32</v>
      </c>
      <c r="E201" s="20" t="s">
        <v>775</v>
      </c>
      <c r="F201" s="20" t="s">
        <v>10</v>
      </c>
      <c r="G201" s="20">
        <v>2</v>
      </c>
      <c r="H201" s="20">
        <v>3</v>
      </c>
      <c r="I201" s="13">
        <v>0.6</v>
      </c>
      <c r="J201" s="20" t="s">
        <v>249</v>
      </c>
      <c r="L201" s="20" t="s">
        <v>249</v>
      </c>
      <c r="M201" s="20" t="s">
        <v>389</v>
      </c>
      <c r="N201" s="20" t="s">
        <v>10</v>
      </c>
      <c r="O201" s="20">
        <v>2</v>
      </c>
      <c r="P201" s="20">
        <v>3</v>
      </c>
      <c r="Q201" s="13">
        <v>0.50942421415951489</v>
      </c>
      <c r="R201" s="20" t="s">
        <v>249</v>
      </c>
      <c r="S201" s="20">
        <v>-0.42328023117061392</v>
      </c>
      <c r="T201" s="20" t="s">
        <v>249</v>
      </c>
      <c r="U201" s="20" t="s">
        <v>32</v>
      </c>
      <c r="V201" s="20">
        <v>1</v>
      </c>
      <c r="W201" s="20">
        <v>3</v>
      </c>
      <c r="X201" s="20" t="s">
        <v>490</v>
      </c>
      <c r="Y201" s="20" t="s">
        <v>292</v>
      </c>
      <c r="Z201" s="20" t="s">
        <v>60</v>
      </c>
      <c r="AA201" s="20" t="s">
        <v>491</v>
      </c>
    </row>
    <row r="202" spans="1:27" x14ac:dyDescent="0.2">
      <c r="A202" s="1">
        <v>45964</v>
      </c>
      <c r="B202" s="20" t="s">
        <v>416</v>
      </c>
      <c r="C202" s="20" t="s">
        <v>17</v>
      </c>
      <c r="D202" s="20" t="s">
        <v>35</v>
      </c>
      <c r="E202" s="20" t="s">
        <v>776</v>
      </c>
      <c r="F202" s="20" t="s">
        <v>17</v>
      </c>
      <c r="G202" s="20">
        <v>2</v>
      </c>
      <c r="H202" s="20">
        <v>3</v>
      </c>
      <c r="I202" s="13">
        <v>0.6</v>
      </c>
      <c r="J202" s="20" t="s">
        <v>249</v>
      </c>
      <c r="L202" s="20" t="s">
        <v>249</v>
      </c>
      <c r="M202" s="20" t="s">
        <v>777</v>
      </c>
      <c r="N202" s="20" t="s">
        <v>17</v>
      </c>
      <c r="O202" s="20">
        <v>2</v>
      </c>
      <c r="P202" s="20">
        <v>3</v>
      </c>
      <c r="Q202" s="13">
        <v>0.52151528990839591</v>
      </c>
      <c r="R202" s="20" t="s">
        <v>249</v>
      </c>
      <c r="S202" s="20">
        <v>-0.52683095878703834</v>
      </c>
      <c r="T202" s="20" t="s">
        <v>249</v>
      </c>
      <c r="U202" s="20" t="s">
        <v>35</v>
      </c>
      <c r="V202" s="20">
        <v>2</v>
      </c>
      <c r="W202" s="20">
        <v>3</v>
      </c>
      <c r="X202" s="20" t="s">
        <v>490</v>
      </c>
      <c r="Y202" s="20" t="s">
        <v>292</v>
      </c>
      <c r="Z202" s="20" t="s">
        <v>60</v>
      </c>
      <c r="AA202" s="20" t="s">
        <v>491</v>
      </c>
    </row>
    <row r="203" spans="1:27" x14ac:dyDescent="0.2">
      <c r="A203" s="1">
        <v>45964</v>
      </c>
      <c r="B203" s="20" t="s">
        <v>334</v>
      </c>
      <c r="C203" s="20" t="s">
        <v>14</v>
      </c>
      <c r="D203" s="20" t="s">
        <v>19</v>
      </c>
      <c r="E203" s="20" t="s">
        <v>778</v>
      </c>
      <c r="F203" s="20" t="s">
        <v>14</v>
      </c>
      <c r="G203" s="20">
        <v>2</v>
      </c>
      <c r="H203" s="20">
        <v>3</v>
      </c>
      <c r="I203" s="13">
        <v>0.6</v>
      </c>
      <c r="J203" s="20" t="s">
        <v>249</v>
      </c>
      <c r="L203" s="20" t="s">
        <v>249</v>
      </c>
      <c r="M203" s="20" t="s">
        <v>779</v>
      </c>
      <c r="N203" s="20" t="s">
        <v>14</v>
      </c>
      <c r="O203" s="20">
        <v>2</v>
      </c>
      <c r="P203" s="20">
        <v>3</v>
      </c>
      <c r="Q203" s="13">
        <v>0.55093337655329999</v>
      </c>
      <c r="R203" s="20" t="s">
        <v>249</v>
      </c>
      <c r="S203" s="20">
        <v>-0.4423136208303281</v>
      </c>
      <c r="T203" s="20" t="s">
        <v>249</v>
      </c>
      <c r="U203" s="20" t="s">
        <v>19</v>
      </c>
      <c r="V203" s="20">
        <v>3</v>
      </c>
      <c r="W203" s="20">
        <v>4</v>
      </c>
      <c r="X203" s="20" t="s">
        <v>490</v>
      </c>
      <c r="Y203" s="20" t="s">
        <v>292</v>
      </c>
      <c r="Z203" s="20" t="s">
        <v>60</v>
      </c>
      <c r="AA203" s="20" t="s">
        <v>491</v>
      </c>
    </row>
    <row r="204" spans="1:27" x14ac:dyDescent="0.2">
      <c r="A204" s="1">
        <v>45965</v>
      </c>
      <c r="B204" s="20" t="s">
        <v>328</v>
      </c>
      <c r="C204" s="20" t="s">
        <v>21</v>
      </c>
      <c r="D204" s="20" t="s">
        <v>30</v>
      </c>
      <c r="E204" s="20" t="s">
        <v>422</v>
      </c>
      <c r="F204" s="20" t="s">
        <v>30</v>
      </c>
      <c r="G204" s="20">
        <v>2</v>
      </c>
      <c r="H204" s="20">
        <v>3</v>
      </c>
      <c r="I204" s="13">
        <v>0.6</v>
      </c>
      <c r="J204" s="20" t="s">
        <v>249</v>
      </c>
      <c r="L204" s="20" t="s">
        <v>249</v>
      </c>
      <c r="M204" s="20" t="s">
        <v>780</v>
      </c>
      <c r="N204" s="20" t="s">
        <v>30</v>
      </c>
      <c r="O204" s="20">
        <v>2</v>
      </c>
      <c r="P204" s="20">
        <v>3</v>
      </c>
      <c r="Q204" s="13">
        <v>0.54252615233038282</v>
      </c>
      <c r="R204" s="20" t="s">
        <v>249</v>
      </c>
      <c r="S204" s="20">
        <v>2.8738511929561419E-2</v>
      </c>
      <c r="T204" s="20" t="s">
        <v>249</v>
      </c>
      <c r="U204" s="20" t="s">
        <v>21</v>
      </c>
      <c r="V204" s="20">
        <v>4</v>
      </c>
      <c r="W204" s="20">
        <v>3</v>
      </c>
      <c r="X204" s="20" t="s">
        <v>496</v>
      </c>
      <c r="Y204" s="20" t="s">
        <v>292</v>
      </c>
      <c r="Z204" s="20" t="s">
        <v>60</v>
      </c>
      <c r="AA204" s="20" t="s">
        <v>491</v>
      </c>
    </row>
    <row r="205" spans="1:27" x14ac:dyDescent="0.2">
      <c r="A205" s="1">
        <v>45965</v>
      </c>
      <c r="B205" s="20" t="s">
        <v>322</v>
      </c>
      <c r="C205" s="20" t="s">
        <v>26</v>
      </c>
      <c r="D205" s="20" t="s">
        <v>20</v>
      </c>
      <c r="E205" s="20" t="s">
        <v>781</v>
      </c>
      <c r="F205" s="20" t="s">
        <v>20</v>
      </c>
      <c r="G205" s="20">
        <v>2</v>
      </c>
      <c r="H205" s="20">
        <v>3</v>
      </c>
      <c r="I205" s="13">
        <v>0.6</v>
      </c>
      <c r="J205" s="20" t="s">
        <v>249</v>
      </c>
      <c r="L205" s="20" t="s">
        <v>248</v>
      </c>
      <c r="M205" s="20" t="s">
        <v>510</v>
      </c>
      <c r="N205" s="20" t="s">
        <v>20</v>
      </c>
      <c r="O205" s="20">
        <v>2</v>
      </c>
      <c r="P205" s="20">
        <v>3</v>
      </c>
      <c r="Q205" s="13">
        <v>0.61949338759761874</v>
      </c>
      <c r="R205" s="20" t="s">
        <v>249</v>
      </c>
      <c r="S205" s="20">
        <v>0.68079948363483545</v>
      </c>
      <c r="T205" s="20" t="s">
        <v>248</v>
      </c>
      <c r="U205" s="20" t="s">
        <v>20</v>
      </c>
      <c r="V205" s="20">
        <v>0</v>
      </c>
      <c r="W205" s="20">
        <v>1</v>
      </c>
      <c r="X205" s="20" t="s">
        <v>490</v>
      </c>
      <c r="Y205" s="20" t="s">
        <v>292</v>
      </c>
      <c r="Z205" s="20" t="s">
        <v>60</v>
      </c>
      <c r="AA205" s="20" t="s">
        <v>491</v>
      </c>
    </row>
    <row r="206" spans="1:27" x14ac:dyDescent="0.2">
      <c r="A206" s="1">
        <v>45965</v>
      </c>
      <c r="B206" s="20" t="s">
        <v>328</v>
      </c>
      <c r="C206" s="20" t="s">
        <v>25</v>
      </c>
      <c r="D206" s="20" t="s">
        <v>15</v>
      </c>
      <c r="E206" s="20" t="s">
        <v>782</v>
      </c>
      <c r="F206" s="20" t="s">
        <v>25</v>
      </c>
      <c r="G206" s="20">
        <v>2</v>
      </c>
      <c r="H206" s="20">
        <v>3</v>
      </c>
      <c r="I206" s="13">
        <v>0.6</v>
      </c>
      <c r="J206" s="20" t="s">
        <v>249</v>
      </c>
      <c r="L206" s="20" t="s">
        <v>248</v>
      </c>
      <c r="M206" s="20" t="s">
        <v>450</v>
      </c>
      <c r="N206" s="20" t="s">
        <v>25</v>
      </c>
      <c r="O206" s="20">
        <v>2</v>
      </c>
      <c r="P206" s="20">
        <v>3</v>
      </c>
      <c r="Q206" s="13">
        <v>0.61036612327293382</v>
      </c>
      <c r="R206" s="20" t="s">
        <v>249</v>
      </c>
      <c r="S206" s="20">
        <v>-0.66580837288933281</v>
      </c>
      <c r="T206" s="20" t="s">
        <v>248</v>
      </c>
      <c r="U206" s="20" t="s">
        <v>25</v>
      </c>
      <c r="V206" s="20">
        <v>3</v>
      </c>
      <c r="W206" s="20">
        <v>0</v>
      </c>
      <c r="X206" s="20" t="s">
        <v>490</v>
      </c>
      <c r="Y206" s="20" t="s">
        <v>292</v>
      </c>
      <c r="Z206" s="20" t="s">
        <v>60</v>
      </c>
      <c r="AA206" s="20" t="s">
        <v>491</v>
      </c>
    </row>
    <row r="207" spans="1:27" x14ac:dyDescent="0.2">
      <c r="A207" s="1">
        <v>45965</v>
      </c>
      <c r="B207" s="20" t="s">
        <v>328</v>
      </c>
      <c r="C207" s="20" t="s">
        <v>27</v>
      </c>
      <c r="D207" s="20" t="s">
        <v>18</v>
      </c>
      <c r="E207" s="20" t="s">
        <v>783</v>
      </c>
      <c r="F207" s="20" t="s">
        <v>27</v>
      </c>
      <c r="G207" s="20">
        <v>2</v>
      </c>
      <c r="H207" s="20">
        <v>3</v>
      </c>
      <c r="I207" s="13">
        <v>0.6</v>
      </c>
      <c r="J207" s="20" t="s">
        <v>249</v>
      </c>
      <c r="L207" s="20" t="s">
        <v>248</v>
      </c>
      <c r="M207" s="20" t="s">
        <v>393</v>
      </c>
      <c r="N207" s="20" t="s">
        <v>27</v>
      </c>
      <c r="O207" s="20">
        <v>2</v>
      </c>
      <c r="P207" s="20">
        <v>3</v>
      </c>
      <c r="Q207" s="13">
        <v>0.52151594511207089</v>
      </c>
      <c r="R207" s="20" t="s">
        <v>249</v>
      </c>
      <c r="S207" s="20">
        <v>-0.16274929584434669</v>
      </c>
      <c r="T207" s="20" t="s">
        <v>248</v>
      </c>
      <c r="U207" s="20" t="s">
        <v>27</v>
      </c>
      <c r="V207" s="20">
        <v>5</v>
      </c>
      <c r="W207" s="20">
        <v>4</v>
      </c>
      <c r="X207" s="20" t="s">
        <v>496</v>
      </c>
      <c r="Y207" s="20" t="s">
        <v>292</v>
      </c>
      <c r="Z207" s="20" t="s">
        <v>60</v>
      </c>
      <c r="AA207" s="20" t="s">
        <v>491</v>
      </c>
    </row>
    <row r="208" spans="1:27" x14ac:dyDescent="0.2">
      <c r="A208" s="1">
        <v>45965</v>
      </c>
      <c r="B208" s="20" t="s">
        <v>324</v>
      </c>
      <c r="C208" s="20" t="s">
        <v>17</v>
      </c>
      <c r="D208" s="20" t="s">
        <v>39</v>
      </c>
      <c r="E208" s="20" t="s">
        <v>784</v>
      </c>
      <c r="F208" s="20" t="s">
        <v>39</v>
      </c>
      <c r="G208" s="20">
        <v>2</v>
      </c>
      <c r="H208" s="20">
        <v>3</v>
      </c>
      <c r="I208" s="13">
        <v>0.6</v>
      </c>
      <c r="J208" s="20" t="s">
        <v>249</v>
      </c>
      <c r="L208" s="20" t="s">
        <v>248</v>
      </c>
      <c r="M208" s="20" t="s">
        <v>398</v>
      </c>
      <c r="N208" s="20" t="s">
        <v>39</v>
      </c>
      <c r="O208" s="20">
        <v>2</v>
      </c>
      <c r="P208" s="20">
        <v>3</v>
      </c>
      <c r="Q208" s="13">
        <v>0.72183222092408972</v>
      </c>
      <c r="R208" s="20" t="s">
        <v>249</v>
      </c>
      <c r="S208" s="20">
        <v>1.2810899150158039</v>
      </c>
      <c r="T208" s="20" t="s">
        <v>248</v>
      </c>
      <c r="U208" s="20" t="s">
        <v>39</v>
      </c>
      <c r="V208" s="20">
        <v>3</v>
      </c>
      <c r="W208" s="20">
        <v>4</v>
      </c>
      <c r="X208" s="20" t="s">
        <v>496</v>
      </c>
      <c r="Y208" s="20" t="s">
        <v>292</v>
      </c>
      <c r="Z208" s="20" t="s">
        <v>60</v>
      </c>
      <c r="AA208" s="20" t="s">
        <v>491</v>
      </c>
    </row>
    <row r="209" spans="1:27" x14ac:dyDescent="0.2">
      <c r="A209" s="1">
        <v>45965</v>
      </c>
      <c r="B209" s="20" t="s">
        <v>340</v>
      </c>
      <c r="C209" s="20" t="s">
        <v>40</v>
      </c>
      <c r="D209" s="20" t="s">
        <v>13</v>
      </c>
      <c r="E209" s="20" t="s">
        <v>785</v>
      </c>
      <c r="F209" s="20" t="s">
        <v>13</v>
      </c>
      <c r="G209" s="20">
        <v>2</v>
      </c>
      <c r="H209" s="20">
        <v>3</v>
      </c>
      <c r="I209" s="13">
        <v>0.6</v>
      </c>
      <c r="J209" s="20" t="s">
        <v>249</v>
      </c>
      <c r="L209" s="20" t="s">
        <v>248</v>
      </c>
      <c r="M209" s="20" t="s">
        <v>628</v>
      </c>
      <c r="N209" s="20" t="s">
        <v>13</v>
      </c>
      <c r="O209" s="20">
        <v>2</v>
      </c>
      <c r="P209" s="20">
        <v>3</v>
      </c>
      <c r="Q209" s="13">
        <v>0.52213342134089591</v>
      </c>
      <c r="R209" s="20" t="s">
        <v>249</v>
      </c>
      <c r="S209" s="20">
        <v>2.4858974028740381E-2</v>
      </c>
      <c r="T209" s="20" t="s">
        <v>248</v>
      </c>
      <c r="U209" s="20" t="s">
        <v>13</v>
      </c>
      <c r="V209" s="20">
        <v>0</v>
      </c>
      <c r="W209" s="20">
        <v>3</v>
      </c>
      <c r="X209" s="20" t="s">
        <v>490</v>
      </c>
      <c r="Y209" s="20" t="s">
        <v>292</v>
      </c>
      <c r="Z209" s="20" t="s">
        <v>60</v>
      </c>
      <c r="AA209" s="20" t="s">
        <v>491</v>
      </c>
    </row>
    <row r="210" spans="1:27" x14ac:dyDescent="0.2">
      <c r="A210" s="1">
        <v>45965</v>
      </c>
      <c r="B210" s="20" t="s">
        <v>426</v>
      </c>
      <c r="C210" s="20" t="s">
        <v>37</v>
      </c>
      <c r="D210" s="20" t="s">
        <v>12</v>
      </c>
      <c r="E210" s="20" t="s">
        <v>786</v>
      </c>
      <c r="F210" s="20" t="s">
        <v>12</v>
      </c>
      <c r="G210" s="20">
        <v>2</v>
      </c>
      <c r="H210" s="20">
        <v>3</v>
      </c>
      <c r="I210" s="13">
        <v>0.6</v>
      </c>
      <c r="J210" s="20" t="s">
        <v>249</v>
      </c>
      <c r="L210" s="20" t="s">
        <v>248</v>
      </c>
      <c r="M210" s="20" t="s">
        <v>361</v>
      </c>
      <c r="N210" s="20" t="s">
        <v>12</v>
      </c>
      <c r="O210" s="20">
        <v>2</v>
      </c>
      <c r="P210" s="20">
        <v>3</v>
      </c>
      <c r="Q210" s="13">
        <v>0.69232205472725694</v>
      </c>
      <c r="R210" s="20" t="s">
        <v>249</v>
      </c>
      <c r="S210" s="20">
        <v>1.1712994606035341</v>
      </c>
      <c r="T210" s="20" t="s">
        <v>248</v>
      </c>
      <c r="U210" s="20" t="s">
        <v>12</v>
      </c>
      <c r="V210" s="20">
        <v>2</v>
      </c>
      <c r="W210" s="20">
        <v>3</v>
      </c>
      <c r="X210" s="20" t="s">
        <v>490</v>
      </c>
      <c r="Y210" s="20" t="s">
        <v>292</v>
      </c>
      <c r="Z210" s="20" t="s">
        <v>60</v>
      </c>
      <c r="AA210" s="20" t="s">
        <v>491</v>
      </c>
    </row>
    <row r="211" spans="1:27" x14ac:dyDescent="0.2">
      <c r="A211" s="1">
        <v>45965</v>
      </c>
      <c r="B211" s="20" t="s">
        <v>328</v>
      </c>
      <c r="C211" s="20" t="s">
        <v>55</v>
      </c>
      <c r="D211" s="20" t="s">
        <v>23</v>
      </c>
      <c r="E211" s="20" t="s">
        <v>787</v>
      </c>
      <c r="F211" s="20" t="s">
        <v>55</v>
      </c>
      <c r="G211" s="20">
        <v>2</v>
      </c>
      <c r="H211" s="20">
        <v>3</v>
      </c>
      <c r="I211" s="13">
        <v>0.6</v>
      </c>
      <c r="J211" s="20" t="s">
        <v>249</v>
      </c>
      <c r="L211" s="20" t="s">
        <v>248</v>
      </c>
      <c r="M211" s="20" t="s">
        <v>362</v>
      </c>
      <c r="N211" s="20" t="s">
        <v>55</v>
      </c>
      <c r="O211" s="20">
        <v>2</v>
      </c>
      <c r="P211" s="20">
        <v>3</v>
      </c>
      <c r="Q211" s="13">
        <v>0.45257342828487168</v>
      </c>
      <c r="R211" s="20" t="s">
        <v>249</v>
      </c>
      <c r="S211" s="20">
        <v>-2.3086397796244721E-2</v>
      </c>
      <c r="T211" s="20" t="s">
        <v>248</v>
      </c>
      <c r="U211" s="20" t="s">
        <v>55</v>
      </c>
      <c r="V211" s="20">
        <v>2</v>
      </c>
      <c r="W211" s="20">
        <v>1</v>
      </c>
      <c r="X211" s="20" t="s">
        <v>496</v>
      </c>
      <c r="Y211" s="20" t="s">
        <v>292</v>
      </c>
      <c r="Z211" s="20" t="s">
        <v>60</v>
      </c>
      <c r="AA211" s="20" t="s">
        <v>491</v>
      </c>
    </row>
    <row r="212" spans="1:27" x14ac:dyDescent="0.2">
      <c r="A212" s="1">
        <v>45965</v>
      </c>
      <c r="B212" s="20" t="s">
        <v>322</v>
      </c>
      <c r="C212" s="20" t="s">
        <v>11</v>
      </c>
      <c r="D212" s="20" t="s">
        <v>31</v>
      </c>
      <c r="E212" s="20" t="s">
        <v>788</v>
      </c>
      <c r="F212" s="20" t="s">
        <v>31</v>
      </c>
      <c r="G212" s="20">
        <v>2</v>
      </c>
      <c r="H212" s="20">
        <v>3</v>
      </c>
      <c r="I212" s="13">
        <v>0.6</v>
      </c>
      <c r="J212" s="20" t="s">
        <v>249</v>
      </c>
      <c r="L212" s="20" t="s">
        <v>248</v>
      </c>
      <c r="M212" s="20" t="s">
        <v>291</v>
      </c>
      <c r="N212" s="20" t="s">
        <v>31</v>
      </c>
      <c r="O212" s="20">
        <v>2</v>
      </c>
      <c r="P212" s="20">
        <v>3</v>
      </c>
      <c r="Q212" s="13">
        <v>0.69289699646057179</v>
      </c>
      <c r="R212" s="20" t="s">
        <v>249</v>
      </c>
      <c r="S212" s="20">
        <v>0.62572206182653534</v>
      </c>
      <c r="T212" s="20" t="s">
        <v>248</v>
      </c>
      <c r="U212" s="20" t="s">
        <v>31</v>
      </c>
      <c r="V212" s="20">
        <v>3</v>
      </c>
      <c r="W212" s="20">
        <v>7</v>
      </c>
      <c r="X212" s="20" t="s">
        <v>490</v>
      </c>
      <c r="Y212" s="20" t="s">
        <v>292</v>
      </c>
      <c r="Z212" s="20" t="s">
        <v>60</v>
      </c>
      <c r="AA212" s="20" t="s">
        <v>491</v>
      </c>
    </row>
    <row r="213" spans="1:27" x14ac:dyDescent="0.2">
      <c r="A213" s="1">
        <v>45965</v>
      </c>
      <c r="B213" s="20" t="s">
        <v>324</v>
      </c>
      <c r="C213" s="20" t="s">
        <v>29</v>
      </c>
      <c r="D213" s="20" t="s">
        <v>34</v>
      </c>
      <c r="E213" s="20" t="s">
        <v>789</v>
      </c>
      <c r="F213" s="20" t="s">
        <v>34</v>
      </c>
      <c r="G213" s="20">
        <v>2</v>
      </c>
      <c r="H213" s="20">
        <v>3</v>
      </c>
      <c r="I213" s="13">
        <v>0.6</v>
      </c>
      <c r="J213" s="20" t="s">
        <v>249</v>
      </c>
      <c r="L213" s="20" t="s">
        <v>248</v>
      </c>
      <c r="M213" s="20" t="s">
        <v>343</v>
      </c>
      <c r="N213" s="20" t="s">
        <v>34</v>
      </c>
      <c r="O213" s="20">
        <v>2</v>
      </c>
      <c r="P213" s="20">
        <v>3</v>
      </c>
      <c r="Q213" s="13">
        <v>0.70109954920586415</v>
      </c>
      <c r="R213" s="20" t="s">
        <v>249</v>
      </c>
      <c r="S213" s="20">
        <v>1.379693245283744</v>
      </c>
      <c r="T213" s="20" t="s">
        <v>248</v>
      </c>
      <c r="U213" s="20" t="s">
        <v>34</v>
      </c>
      <c r="V213" s="20">
        <v>2</v>
      </c>
      <c r="W213" s="20">
        <v>3</v>
      </c>
      <c r="X213" s="20" t="s">
        <v>496</v>
      </c>
      <c r="Y213" s="20" t="s">
        <v>292</v>
      </c>
      <c r="Z213" s="20" t="s">
        <v>60</v>
      </c>
      <c r="AA213" s="20" t="s">
        <v>491</v>
      </c>
    </row>
    <row r="214" spans="1:27" x14ac:dyDescent="0.2">
      <c r="A214" s="1">
        <v>45966</v>
      </c>
      <c r="B214" s="20" t="s">
        <v>426</v>
      </c>
      <c r="C214" s="20" t="s">
        <v>28</v>
      </c>
      <c r="D214" s="20" t="s">
        <v>16</v>
      </c>
      <c r="E214" s="20" t="s">
        <v>790</v>
      </c>
      <c r="F214" s="20" t="s">
        <v>28</v>
      </c>
      <c r="G214" s="20">
        <v>2</v>
      </c>
      <c r="H214" s="20">
        <v>3</v>
      </c>
      <c r="I214" s="13">
        <v>0.6</v>
      </c>
      <c r="J214" s="20" t="s">
        <v>249</v>
      </c>
      <c r="L214" s="20" t="s">
        <v>249</v>
      </c>
      <c r="M214" s="20" t="s">
        <v>791</v>
      </c>
      <c r="N214" s="20" t="s">
        <v>28</v>
      </c>
      <c r="O214" s="20">
        <v>2</v>
      </c>
      <c r="P214" s="20">
        <v>3</v>
      </c>
      <c r="Q214" s="13">
        <v>0.51272140978381853</v>
      </c>
      <c r="R214" s="20" t="s">
        <v>249</v>
      </c>
      <c r="S214" s="20">
        <v>-0.42089112577091808</v>
      </c>
      <c r="T214" s="20" t="s">
        <v>249</v>
      </c>
      <c r="U214" s="20" t="s">
        <v>16</v>
      </c>
      <c r="V214" s="20">
        <v>1</v>
      </c>
      <c r="W214" s="20">
        <v>5</v>
      </c>
      <c r="X214" s="20" t="s">
        <v>490</v>
      </c>
      <c r="Y214" s="20" t="s">
        <v>292</v>
      </c>
      <c r="Z214" s="20" t="s">
        <v>60</v>
      </c>
      <c r="AA214" s="20" t="s">
        <v>491</v>
      </c>
    </row>
    <row r="215" spans="1:27" x14ac:dyDescent="0.2">
      <c r="A215" s="1">
        <v>45966</v>
      </c>
      <c r="B215" s="20" t="s">
        <v>322</v>
      </c>
      <c r="C215" s="20" t="s">
        <v>33</v>
      </c>
      <c r="D215" s="20" t="s">
        <v>32</v>
      </c>
      <c r="E215" s="20" t="s">
        <v>792</v>
      </c>
      <c r="F215" s="20" t="s">
        <v>33</v>
      </c>
      <c r="G215" s="20">
        <v>2</v>
      </c>
      <c r="H215" s="20">
        <v>3</v>
      </c>
      <c r="I215" s="13">
        <v>0.6</v>
      </c>
      <c r="J215" s="20" t="s">
        <v>249</v>
      </c>
      <c r="L215" s="20" t="s">
        <v>248</v>
      </c>
      <c r="M215" s="20" t="s">
        <v>309</v>
      </c>
      <c r="N215" s="20" t="s">
        <v>33</v>
      </c>
      <c r="O215" s="20">
        <v>2</v>
      </c>
      <c r="P215" s="20">
        <v>3</v>
      </c>
      <c r="Q215" s="13">
        <v>0.47729817289275139</v>
      </c>
      <c r="R215" s="20" t="s">
        <v>249</v>
      </c>
      <c r="S215" s="20">
        <v>-0.1481454939726842</v>
      </c>
      <c r="T215" s="20" t="s">
        <v>248</v>
      </c>
      <c r="U215" s="20" t="s">
        <v>33</v>
      </c>
      <c r="V215" s="20">
        <v>6</v>
      </c>
      <c r="W215" s="20">
        <v>1</v>
      </c>
      <c r="X215" s="20" t="s">
        <v>490</v>
      </c>
      <c r="Y215" s="20" t="s">
        <v>292</v>
      </c>
      <c r="Z215" s="20" t="s">
        <v>60</v>
      </c>
      <c r="AA215" s="20" t="s">
        <v>491</v>
      </c>
    </row>
    <row r="216" spans="1:27" x14ac:dyDescent="0.2">
      <c r="A216" s="1">
        <v>45966</v>
      </c>
      <c r="B216" s="20" t="s">
        <v>328</v>
      </c>
      <c r="C216" s="20" t="s">
        <v>55</v>
      </c>
      <c r="D216" s="20" t="s">
        <v>19</v>
      </c>
      <c r="E216" s="20" t="s">
        <v>793</v>
      </c>
      <c r="F216" s="20" t="s">
        <v>55</v>
      </c>
      <c r="G216" s="20">
        <v>2</v>
      </c>
      <c r="H216" s="20">
        <v>3</v>
      </c>
      <c r="I216" s="13">
        <v>0.6</v>
      </c>
      <c r="J216" s="20" t="s">
        <v>249</v>
      </c>
      <c r="L216" s="20" t="s">
        <v>249</v>
      </c>
      <c r="M216" s="20" t="s">
        <v>794</v>
      </c>
      <c r="N216" s="20" t="s">
        <v>55</v>
      </c>
      <c r="O216" s="20">
        <v>2</v>
      </c>
      <c r="P216" s="20">
        <v>3</v>
      </c>
      <c r="Q216" s="13">
        <v>0.48118749718455961</v>
      </c>
      <c r="R216" s="20" t="s">
        <v>249</v>
      </c>
      <c r="S216" s="20">
        <v>-0.18145455337463559</v>
      </c>
      <c r="T216" s="20" t="s">
        <v>249</v>
      </c>
      <c r="U216" s="20" t="s">
        <v>19</v>
      </c>
      <c r="V216" s="20">
        <v>3</v>
      </c>
      <c r="W216" s="20">
        <v>5</v>
      </c>
      <c r="X216" s="20" t="s">
        <v>490</v>
      </c>
      <c r="Y216" s="20" t="s">
        <v>292</v>
      </c>
      <c r="Z216" s="20" t="s">
        <v>60</v>
      </c>
      <c r="AA216" s="20" t="s">
        <v>491</v>
      </c>
    </row>
    <row r="217" spans="1:27" x14ac:dyDescent="0.2">
      <c r="A217" s="1">
        <v>45966</v>
      </c>
      <c r="B217" s="20" t="s">
        <v>322</v>
      </c>
      <c r="C217" s="20" t="s">
        <v>10</v>
      </c>
      <c r="D217" s="20" t="s">
        <v>38</v>
      </c>
      <c r="E217" s="20" t="s">
        <v>795</v>
      </c>
      <c r="F217" s="20" t="s">
        <v>10</v>
      </c>
      <c r="G217" s="20">
        <v>2</v>
      </c>
      <c r="H217" s="20">
        <v>3</v>
      </c>
      <c r="I217" s="13">
        <v>0.6</v>
      </c>
      <c r="J217" s="20" t="s">
        <v>249</v>
      </c>
      <c r="L217" s="20" t="s">
        <v>248</v>
      </c>
      <c r="M217" s="20" t="s">
        <v>303</v>
      </c>
      <c r="N217" s="20" t="s">
        <v>10</v>
      </c>
      <c r="O217" s="20">
        <v>2</v>
      </c>
      <c r="P217" s="20">
        <v>3</v>
      </c>
      <c r="Q217" s="13">
        <v>0.54425520245143921</v>
      </c>
      <c r="R217" s="20" t="s">
        <v>249</v>
      </c>
      <c r="S217" s="20">
        <v>-0.72158075100332808</v>
      </c>
      <c r="T217" s="20" t="s">
        <v>248</v>
      </c>
      <c r="U217" s="20" t="s">
        <v>10</v>
      </c>
      <c r="V217" s="20">
        <v>5</v>
      </c>
      <c r="W217" s="20">
        <v>2</v>
      </c>
      <c r="X217" s="20" t="s">
        <v>490</v>
      </c>
      <c r="Y217" s="20" t="s">
        <v>292</v>
      </c>
      <c r="Z217" s="20" t="s">
        <v>60</v>
      </c>
      <c r="AA217" s="20" t="s">
        <v>491</v>
      </c>
    </row>
    <row r="218" spans="1:27" x14ac:dyDescent="0.2">
      <c r="A218" s="1">
        <v>45966</v>
      </c>
      <c r="B218" s="20" t="s">
        <v>334</v>
      </c>
      <c r="C218" s="20" t="s">
        <v>35</v>
      </c>
      <c r="D218" s="20" t="s">
        <v>22</v>
      </c>
      <c r="E218" s="20" t="s">
        <v>796</v>
      </c>
      <c r="F218" s="20" t="s">
        <v>22</v>
      </c>
      <c r="G218" s="20">
        <v>2</v>
      </c>
      <c r="H218" s="20">
        <v>3</v>
      </c>
      <c r="I218" s="13">
        <v>0.6</v>
      </c>
      <c r="J218" s="20" t="s">
        <v>249</v>
      </c>
      <c r="L218" s="20" t="s">
        <v>248</v>
      </c>
      <c r="M218" s="20" t="s">
        <v>321</v>
      </c>
      <c r="N218" s="20" t="s">
        <v>22</v>
      </c>
      <c r="O218" s="20">
        <v>2</v>
      </c>
      <c r="P218" s="20">
        <v>3</v>
      </c>
      <c r="Q218" s="13">
        <v>0.78614938953531521</v>
      </c>
      <c r="R218" s="20" t="s">
        <v>249</v>
      </c>
      <c r="S218" s="20">
        <v>1.8850863537246421</v>
      </c>
      <c r="T218" s="20" t="s">
        <v>248</v>
      </c>
      <c r="U218" s="20" t="s">
        <v>22</v>
      </c>
      <c r="V218" s="20">
        <v>1</v>
      </c>
      <c r="W218" s="20">
        <v>6</v>
      </c>
      <c r="X218" s="20" t="s">
        <v>490</v>
      </c>
      <c r="Y218" s="20" t="s">
        <v>292</v>
      </c>
      <c r="Z218" s="20" t="s">
        <v>60</v>
      </c>
      <c r="AA218" s="20" t="s">
        <v>491</v>
      </c>
    </row>
    <row r="219" spans="1:27" x14ac:dyDescent="0.2">
      <c r="A219" s="1">
        <v>45967</v>
      </c>
      <c r="B219" s="20" t="s">
        <v>322</v>
      </c>
      <c r="C219" s="20" t="s">
        <v>37</v>
      </c>
      <c r="D219" s="20" t="s">
        <v>20</v>
      </c>
      <c r="E219" s="20" t="s">
        <v>797</v>
      </c>
      <c r="F219" s="20" t="s">
        <v>37</v>
      </c>
      <c r="G219" s="20">
        <v>2</v>
      </c>
      <c r="H219" s="20">
        <v>3</v>
      </c>
      <c r="I219" s="13">
        <v>0.6</v>
      </c>
      <c r="J219" s="20" t="s">
        <v>249</v>
      </c>
      <c r="L219" s="20" t="s">
        <v>248</v>
      </c>
      <c r="M219" s="20" t="s">
        <v>395</v>
      </c>
      <c r="N219" s="20" t="s">
        <v>37</v>
      </c>
      <c r="O219" s="20">
        <v>2</v>
      </c>
      <c r="P219" s="20">
        <v>3</v>
      </c>
      <c r="Q219" s="13">
        <v>0.63481060060307437</v>
      </c>
      <c r="R219" s="20" t="s">
        <v>249</v>
      </c>
      <c r="S219" s="20">
        <v>-0.70504502814407832</v>
      </c>
      <c r="T219" s="20" t="s">
        <v>248</v>
      </c>
      <c r="U219" s="20" t="s">
        <v>37</v>
      </c>
      <c r="V219" s="20">
        <v>6</v>
      </c>
      <c r="W219" s="20">
        <v>3</v>
      </c>
      <c r="X219" s="20" t="s">
        <v>490</v>
      </c>
      <c r="Y219" s="20" t="s">
        <v>292</v>
      </c>
      <c r="Z219" s="20" t="s">
        <v>60</v>
      </c>
      <c r="AA219" s="20" t="s">
        <v>491</v>
      </c>
    </row>
    <row r="220" spans="1:27" x14ac:dyDescent="0.2">
      <c r="A220" s="1">
        <v>45967</v>
      </c>
      <c r="B220" s="20" t="s">
        <v>334</v>
      </c>
      <c r="C220" s="20" t="s">
        <v>22</v>
      </c>
      <c r="D220" s="20" t="s">
        <v>14</v>
      </c>
      <c r="E220" s="20" t="s">
        <v>798</v>
      </c>
      <c r="F220" s="20" t="s">
        <v>22</v>
      </c>
      <c r="G220" s="20">
        <v>2</v>
      </c>
      <c r="H220" s="20">
        <v>3</v>
      </c>
      <c r="I220" s="13">
        <v>0.6</v>
      </c>
      <c r="J220" s="20" t="s">
        <v>249</v>
      </c>
      <c r="L220" s="20" t="s">
        <v>249</v>
      </c>
      <c r="M220" s="20" t="s">
        <v>799</v>
      </c>
      <c r="N220" s="20" t="s">
        <v>22</v>
      </c>
      <c r="O220" s="20">
        <v>2</v>
      </c>
      <c r="P220" s="20">
        <v>3</v>
      </c>
      <c r="Q220" s="13">
        <v>0.56475643524283603</v>
      </c>
      <c r="R220" s="20" t="s">
        <v>249</v>
      </c>
      <c r="S220" s="20">
        <v>-0.53307070549608448</v>
      </c>
      <c r="T220" s="20" t="s">
        <v>249</v>
      </c>
      <c r="U220" s="20" t="s">
        <v>14</v>
      </c>
      <c r="V220" s="20">
        <v>3</v>
      </c>
      <c r="W220" s="20">
        <v>5</v>
      </c>
      <c r="X220" s="20" t="s">
        <v>490</v>
      </c>
      <c r="Y220" s="20" t="s">
        <v>292</v>
      </c>
      <c r="Z220" s="20" t="s">
        <v>60</v>
      </c>
      <c r="AA220" s="20" t="s">
        <v>491</v>
      </c>
    </row>
    <row r="221" spans="1:27" x14ac:dyDescent="0.2">
      <c r="A221" s="1">
        <v>45967</v>
      </c>
      <c r="B221" s="20" t="s">
        <v>324</v>
      </c>
      <c r="C221" s="20" t="s">
        <v>27</v>
      </c>
      <c r="D221" s="20" t="s">
        <v>29</v>
      </c>
      <c r="E221" s="20" t="s">
        <v>800</v>
      </c>
      <c r="F221" s="20" t="s">
        <v>27</v>
      </c>
      <c r="G221" s="20">
        <v>2</v>
      </c>
      <c r="H221" s="20">
        <v>3</v>
      </c>
      <c r="I221" s="13">
        <v>0.6</v>
      </c>
      <c r="J221" s="20" t="s">
        <v>249</v>
      </c>
      <c r="L221" s="20" t="s">
        <v>248</v>
      </c>
      <c r="M221" s="20" t="s">
        <v>393</v>
      </c>
      <c r="N221" s="20" t="s">
        <v>27</v>
      </c>
      <c r="O221" s="20">
        <v>2</v>
      </c>
      <c r="P221" s="20">
        <v>3</v>
      </c>
      <c r="Q221" s="13">
        <v>0.61399686338983206</v>
      </c>
      <c r="R221" s="20" t="s">
        <v>249</v>
      </c>
      <c r="S221" s="20">
        <v>-0.95477695138058249</v>
      </c>
      <c r="T221" s="20" t="s">
        <v>248</v>
      </c>
      <c r="U221" s="20" t="s">
        <v>27</v>
      </c>
      <c r="V221" s="20">
        <v>3</v>
      </c>
      <c r="W221" s="20">
        <v>1</v>
      </c>
      <c r="X221" s="20" t="s">
        <v>490</v>
      </c>
      <c r="Y221" s="20" t="s">
        <v>292</v>
      </c>
      <c r="Z221" s="20" t="s">
        <v>60</v>
      </c>
      <c r="AA221" s="20" t="s">
        <v>491</v>
      </c>
    </row>
    <row r="222" spans="1:27" x14ac:dyDescent="0.2">
      <c r="A222" s="1">
        <v>45967</v>
      </c>
      <c r="B222" s="20" t="s">
        <v>328</v>
      </c>
      <c r="C222" s="20" t="s">
        <v>18</v>
      </c>
      <c r="D222" s="20" t="s">
        <v>24</v>
      </c>
      <c r="E222" s="20" t="s">
        <v>801</v>
      </c>
      <c r="F222" s="20" t="s">
        <v>24</v>
      </c>
      <c r="G222" s="20">
        <v>2</v>
      </c>
      <c r="H222" s="20">
        <v>3</v>
      </c>
      <c r="I222" s="13">
        <v>0.6</v>
      </c>
      <c r="J222" s="20" t="s">
        <v>249</v>
      </c>
      <c r="L222" s="20" t="s">
        <v>248</v>
      </c>
      <c r="M222" s="20" t="s">
        <v>449</v>
      </c>
      <c r="N222" s="20" t="s">
        <v>24</v>
      </c>
      <c r="O222" s="20">
        <v>2</v>
      </c>
      <c r="P222" s="20">
        <v>3</v>
      </c>
      <c r="Q222" s="13">
        <v>0.63773394280828299</v>
      </c>
      <c r="R222" s="20" t="s">
        <v>249</v>
      </c>
      <c r="S222" s="20">
        <v>0.64432062796159195</v>
      </c>
      <c r="T222" s="20" t="s">
        <v>248</v>
      </c>
      <c r="U222" s="20" t="s">
        <v>24</v>
      </c>
      <c r="V222" s="20">
        <v>3</v>
      </c>
      <c r="W222" s="20">
        <v>4</v>
      </c>
      <c r="X222" s="20" t="s">
        <v>496</v>
      </c>
      <c r="Y222" s="20" t="s">
        <v>292</v>
      </c>
      <c r="Z222" s="20" t="s">
        <v>60</v>
      </c>
      <c r="AA222" s="20" t="s">
        <v>491</v>
      </c>
    </row>
    <row r="223" spans="1:27" x14ac:dyDescent="0.2">
      <c r="A223" s="1">
        <v>45967</v>
      </c>
      <c r="B223" s="20" t="s">
        <v>322</v>
      </c>
      <c r="C223" s="20" t="s">
        <v>11</v>
      </c>
      <c r="D223" s="20" t="s">
        <v>13</v>
      </c>
      <c r="E223" s="20" t="s">
        <v>802</v>
      </c>
      <c r="F223" s="20" t="s">
        <v>13</v>
      </c>
      <c r="G223" s="20">
        <v>2</v>
      </c>
      <c r="H223" s="20">
        <v>3</v>
      </c>
      <c r="I223" s="13">
        <v>0.6</v>
      </c>
      <c r="J223" s="20" t="s">
        <v>249</v>
      </c>
      <c r="L223" s="20" t="s">
        <v>249</v>
      </c>
      <c r="M223" s="20" t="s">
        <v>803</v>
      </c>
      <c r="N223" s="20" t="s">
        <v>13</v>
      </c>
      <c r="O223" s="20">
        <v>2</v>
      </c>
      <c r="P223" s="20">
        <v>3</v>
      </c>
      <c r="Q223" s="13">
        <v>0.5526964675935252</v>
      </c>
      <c r="R223" s="20" t="s">
        <v>249</v>
      </c>
      <c r="S223" s="20">
        <v>0.1087354413100554</v>
      </c>
      <c r="T223" s="20" t="s">
        <v>249</v>
      </c>
      <c r="U223" s="20" t="s">
        <v>11</v>
      </c>
      <c r="V223" s="20">
        <v>5</v>
      </c>
      <c r="W223" s="20">
        <v>2</v>
      </c>
      <c r="X223" s="20" t="s">
        <v>490</v>
      </c>
      <c r="Y223" s="20" t="s">
        <v>292</v>
      </c>
      <c r="Z223" s="20" t="s">
        <v>60</v>
      </c>
      <c r="AA223" s="20" t="s">
        <v>491</v>
      </c>
    </row>
    <row r="224" spans="1:27" x14ac:dyDescent="0.2">
      <c r="A224" s="1">
        <v>45967</v>
      </c>
      <c r="B224" s="20" t="s">
        <v>324</v>
      </c>
      <c r="C224" s="20" t="s">
        <v>31</v>
      </c>
      <c r="D224" s="20" t="s">
        <v>39</v>
      </c>
      <c r="E224" s="20" t="s">
        <v>804</v>
      </c>
      <c r="F224" s="20" t="s">
        <v>39</v>
      </c>
      <c r="G224" s="20">
        <v>2</v>
      </c>
      <c r="H224" s="20">
        <v>3</v>
      </c>
      <c r="I224" s="13">
        <v>0.6</v>
      </c>
      <c r="J224" s="20" t="s">
        <v>249</v>
      </c>
      <c r="L224" s="20" t="s">
        <v>249</v>
      </c>
      <c r="M224" s="20" t="s">
        <v>805</v>
      </c>
      <c r="N224" s="20" t="s">
        <v>39</v>
      </c>
      <c r="O224" s="20">
        <v>2</v>
      </c>
      <c r="P224" s="20">
        <v>3</v>
      </c>
      <c r="Q224" s="13">
        <v>0.5849600856496151</v>
      </c>
      <c r="R224" s="20" t="s">
        <v>249</v>
      </c>
      <c r="S224" s="20">
        <v>0.28464022893901603</v>
      </c>
      <c r="T224" s="20" t="s">
        <v>249</v>
      </c>
      <c r="U224" s="20" t="s">
        <v>31</v>
      </c>
      <c r="V224" s="20">
        <v>7</v>
      </c>
      <c r="W224" s="20">
        <v>5</v>
      </c>
      <c r="X224" s="20" t="s">
        <v>490</v>
      </c>
      <c r="Y224" s="20" t="s">
        <v>292</v>
      </c>
      <c r="Z224" s="20" t="s">
        <v>60</v>
      </c>
      <c r="AA224" s="20" t="s">
        <v>491</v>
      </c>
    </row>
    <row r="225" spans="1:27" x14ac:dyDescent="0.2">
      <c r="A225" s="1">
        <v>45967</v>
      </c>
      <c r="B225" s="20" t="s">
        <v>328</v>
      </c>
      <c r="C225" s="20" t="s">
        <v>34</v>
      </c>
      <c r="D225" s="20" t="s">
        <v>25</v>
      </c>
      <c r="E225" s="20" t="s">
        <v>806</v>
      </c>
      <c r="F225" s="20" t="s">
        <v>25</v>
      </c>
      <c r="G225" s="20">
        <v>2</v>
      </c>
      <c r="H225" s="20">
        <v>3</v>
      </c>
      <c r="I225" s="13">
        <v>0.6</v>
      </c>
      <c r="J225" s="20" t="s">
        <v>249</v>
      </c>
      <c r="L225" s="20" t="s">
        <v>248</v>
      </c>
      <c r="M225" s="20" t="s">
        <v>450</v>
      </c>
      <c r="N225" s="20" t="s">
        <v>25</v>
      </c>
      <c r="O225" s="20">
        <v>2</v>
      </c>
      <c r="P225" s="20">
        <v>3</v>
      </c>
      <c r="Q225" s="13">
        <v>0.61196713623753951</v>
      </c>
      <c r="R225" s="20" t="s">
        <v>249</v>
      </c>
      <c r="S225" s="20">
        <v>0.530700673701194</v>
      </c>
      <c r="T225" s="20" t="s">
        <v>248</v>
      </c>
      <c r="U225" s="20" t="s">
        <v>25</v>
      </c>
      <c r="V225" s="20">
        <v>3</v>
      </c>
      <c r="W225" s="20">
        <v>4</v>
      </c>
      <c r="X225" s="20" t="s">
        <v>490</v>
      </c>
      <c r="Y225" s="20" t="s">
        <v>292</v>
      </c>
      <c r="Z225" s="20" t="s">
        <v>60</v>
      </c>
      <c r="AA225" s="20" t="s">
        <v>491</v>
      </c>
    </row>
    <row r="226" spans="1:27" x14ac:dyDescent="0.2">
      <c r="A226" s="1">
        <v>45967</v>
      </c>
      <c r="B226" s="20" t="s">
        <v>328</v>
      </c>
      <c r="C226" s="20" t="s">
        <v>35</v>
      </c>
      <c r="D226" s="20" t="s">
        <v>23</v>
      </c>
      <c r="E226" s="20" t="s">
        <v>807</v>
      </c>
      <c r="F226" s="20" t="s">
        <v>23</v>
      </c>
      <c r="G226" s="20">
        <v>2</v>
      </c>
      <c r="H226" s="20">
        <v>3</v>
      </c>
      <c r="I226" s="13">
        <v>0.6</v>
      </c>
      <c r="J226" s="20" t="s">
        <v>249</v>
      </c>
      <c r="L226" s="20" t="s">
        <v>249</v>
      </c>
      <c r="M226" s="20" t="s">
        <v>808</v>
      </c>
      <c r="N226" s="20" t="s">
        <v>23</v>
      </c>
      <c r="O226" s="20">
        <v>2</v>
      </c>
      <c r="P226" s="20">
        <v>3</v>
      </c>
      <c r="Q226" s="13">
        <v>0.66318190900357221</v>
      </c>
      <c r="R226" s="20" t="s">
        <v>249</v>
      </c>
      <c r="S226" s="20">
        <v>0.96826868513029529</v>
      </c>
      <c r="T226" s="20" t="s">
        <v>249</v>
      </c>
      <c r="U226" s="20" t="s">
        <v>35</v>
      </c>
      <c r="V226" s="20">
        <v>3</v>
      </c>
      <c r="W226" s="20">
        <v>0</v>
      </c>
      <c r="X226" s="20" t="s">
        <v>490</v>
      </c>
      <c r="Y226" s="20" t="s">
        <v>292</v>
      </c>
      <c r="Z226" s="20" t="s">
        <v>60</v>
      </c>
      <c r="AA226" s="20" t="s">
        <v>491</v>
      </c>
    </row>
    <row r="227" spans="1:27" x14ac:dyDescent="0.2">
      <c r="A227" s="1">
        <v>45967</v>
      </c>
      <c r="B227" s="20" t="s">
        <v>328</v>
      </c>
      <c r="C227" s="20" t="s">
        <v>36</v>
      </c>
      <c r="D227" s="20" t="s">
        <v>21</v>
      </c>
      <c r="E227" s="20" t="s">
        <v>809</v>
      </c>
      <c r="F227" s="20" t="s">
        <v>21</v>
      </c>
      <c r="G227" s="20">
        <v>2</v>
      </c>
      <c r="H227" s="20">
        <v>3</v>
      </c>
      <c r="I227" s="13">
        <v>0.6</v>
      </c>
      <c r="J227" s="20" t="s">
        <v>249</v>
      </c>
      <c r="L227" s="20" t="s">
        <v>248</v>
      </c>
      <c r="M227" s="20" t="s">
        <v>465</v>
      </c>
      <c r="N227" s="20" t="s">
        <v>21</v>
      </c>
      <c r="O227" s="20">
        <v>2</v>
      </c>
      <c r="P227" s="20">
        <v>3</v>
      </c>
      <c r="Q227" s="13">
        <v>0.62511283671022522</v>
      </c>
      <c r="R227" s="20" t="s">
        <v>249</v>
      </c>
      <c r="S227" s="20">
        <v>0.36150703934026951</v>
      </c>
      <c r="T227" s="20" t="s">
        <v>248</v>
      </c>
      <c r="U227" s="20" t="s">
        <v>21</v>
      </c>
      <c r="V227" s="20">
        <v>2</v>
      </c>
      <c r="W227" s="20">
        <v>3</v>
      </c>
      <c r="X227" s="20" t="s">
        <v>496</v>
      </c>
      <c r="Y227" s="20" t="s">
        <v>292</v>
      </c>
      <c r="Z227" s="20" t="s">
        <v>60</v>
      </c>
      <c r="AA227" s="20" t="s">
        <v>491</v>
      </c>
    </row>
    <row r="228" spans="1:27" x14ac:dyDescent="0.2">
      <c r="A228" s="1">
        <v>45968</v>
      </c>
      <c r="B228" s="20" t="s">
        <v>326</v>
      </c>
      <c r="C228" s="20" t="s">
        <v>10</v>
      </c>
      <c r="D228" s="20" t="s">
        <v>16</v>
      </c>
      <c r="E228" s="20" t="s">
        <v>810</v>
      </c>
      <c r="F228" s="20" t="s">
        <v>10</v>
      </c>
      <c r="G228" s="20">
        <v>2</v>
      </c>
      <c r="H228" s="20">
        <v>3</v>
      </c>
      <c r="I228" s="13">
        <v>0.6</v>
      </c>
      <c r="J228" s="20" t="s">
        <v>249</v>
      </c>
      <c r="L228" s="20" t="s">
        <v>248</v>
      </c>
      <c r="M228" s="20" t="s">
        <v>303</v>
      </c>
      <c r="N228" s="20" t="s">
        <v>10</v>
      </c>
      <c r="O228" s="20">
        <v>2</v>
      </c>
      <c r="P228" s="20">
        <v>3</v>
      </c>
      <c r="Q228" s="13">
        <v>0.55804553195432005</v>
      </c>
      <c r="R228" s="20" t="s">
        <v>249</v>
      </c>
      <c r="S228" s="20">
        <v>-0.8396842749371447</v>
      </c>
      <c r="T228" s="20" t="s">
        <v>248</v>
      </c>
      <c r="U228" s="20" t="s">
        <v>10</v>
      </c>
      <c r="V228" s="20">
        <v>4</v>
      </c>
      <c r="W228" s="20">
        <v>0</v>
      </c>
      <c r="X228" s="20" t="s">
        <v>490</v>
      </c>
      <c r="Y228" s="20" t="s">
        <v>292</v>
      </c>
      <c r="Z228" s="20" t="s">
        <v>60</v>
      </c>
      <c r="AA228" s="20" t="s">
        <v>491</v>
      </c>
    </row>
    <row r="229" spans="1:27" x14ac:dyDescent="0.2">
      <c r="A229" s="1">
        <v>45968</v>
      </c>
      <c r="B229" s="20" t="s">
        <v>328</v>
      </c>
      <c r="C229" s="20" t="s">
        <v>15</v>
      </c>
      <c r="D229" s="20" t="s">
        <v>26</v>
      </c>
      <c r="E229" s="20" t="s">
        <v>811</v>
      </c>
      <c r="F229" s="20" t="s">
        <v>15</v>
      </c>
      <c r="G229" s="20">
        <v>2</v>
      </c>
      <c r="H229" s="20">
        <v>3</v>
      </c>
      <c r="I229" s="13">
        <v>0.6</v>
      </c>
      <c r="J229" s="20" t="s">
        <v>249</v>
      </c>
      <c r="L229" s="20" t="s">
        <v>248</v>
      </c>
      <c r="M229" s="20" t="s">
        <v>518</v>
      </c>
      <c r="N229" s="20" t="s">
        <v>15</v>
      </c>
      <c r="O229" s="20">
        <v>2</v>
      </c>
      <c r="P229" s="20">
        <v>3</v>
      </c>
      <c r="Q229" s="13">
        <v>0.62259788249869552</v>
      </c>
      <c r="R229" s="20" t="s">
        <v>249</v>
      </c>
      <c r="S229" s="20">
        <v>-0.53540483162520447</v>
      </c>
      <c r="T229" s="20" t="s">
        <v>248</v>
      </c>
      <c r="U229" s="20" t="s">
        <v>15</v>
      </c>
      <c r="V229" s="20">
        <v>4</v>
      </c>
      <c r="W229" s="20">
        <v>1</v>
      </c>
      <c r="X229" s="20" t="s">
        <v>490</v>
      </c>
      <c r="Y229" s="20" t="s">
        <v>292</v>
      </c>
      <c r="Z229" s="20" t="s">
        <v>60</v>
      </c>
      <c r="AA229" s="20" t="s">
        <v>491</v>
      </c>
    </row>
    <row r="230" spans="1:27" x14ac:dyDescent="0.2">
      <c r="A230" s="1">
        <v>45968</v>
      </c>
      <c r="B230" s="20" t="s">
        <v>328</v>
      </c>
      <c r="C230" s="20" t="s">
        <v>34</v>
      </c>
      <c r="D230" s="20" t="s">
        <v>30</v>
      </c>
      <c r="E230" s="20" t="s">
        <v>812</v>
      </c>
      <c r="F230" s="20" t="s">
        <v>34</v>
      </c>
      <c r="G230" s="20">
        <v>2</v>
      </c>
      <c r="H230" s="20">
        <v>3</v>
      </c>
      <c r="I230" s="13">
        <v>0.6</v>
      </c>
      <c r="J230" s="20" t="s">
        <v>249</v>
      </c>
      <c r="L230" s="20" t="s">
        <v>248</v>
      </c>
      <c r="M230" s="20" t="s">
        <v>343</v>
      </c>
      <c r="N230" s="20" t="s">
        <v>34</v>
      </c>
      <c r="O230" s="20">
        <v>2</v>
      </c>
      <c r="P230" s="20">
        <v>3</v>
      </c>
      <c r="Q230" s="13">
        <v>0.51838164798004693</v>
      </c>
      <c r="R230" s="20" t="s">
        <v>249</v>
      </c>
      <c r="S230" s="20">
        <v>-0.13590646106869131</v>
      </c>
      <c r="T230" s="20" t="s">
        <v>248</v>
      </c>
      <c r="U230" s="20" t="s">
        <v>34</v>
      </c>
      <c r="V230" s="20">
        <v>5</v>
      </c>
      <c r="W230" s="20">
        <v>2</v>
      </c>
      <c r="X230" s="20" t="s">
        <v>490</v>
      </c>
      <c r="Y230" s="20" t="s">
        <v>292</v>
      </c>
      <c r="Z230" s="20" t="s">
        <v>60</v>
      </c>
      <c r="AA230" s="20" t="s">
        <v>491</v>
      </c>
    </row>
    <row r="231" spans="1:27" x14ac:dyDescent="0.2">
      <c r="A231" s="1">
        <v>45968</v>
      </c>
      <c r="B231" s="20" t="s">
        <v>322</v>
      </c>
      <c r="C231" s="20" t="s">
        <v>40</v>
      </c>
      <c r="D231" s="20" t="s">
        <v>33</v>
      </c>
      <c r="E231" s="20" t="s">
        <v>813</v>
      </c>
      <c r="F231" s="20" t="s">
        <v>40</v>
      </c>
      <c r="G231" s="20">
        <v>2</v>
      </c>
      <c r="H231" s="20">
        <v>3</v>
      </c>
      <c r="I231" s="13">
        <v>0.6</v>
      </c>
      <c r="J231" s="20" t="s">
        <v>249</v>
      </c>
      <c r="L231" s="20" t="s">
        <v>249</v>
      </c>
      <c r="M231" s="20" t="s">
        <v>814</v>
      </c>
      <c r="N231" s="20" t="s">
        <v>40</v>
      </c>
      <c r="O231" s="20">
        <v>2</v>
      </c>
      <c r="P231" s="20">
        <v>3</v>
      </c>
      <c r="Q231" s="13">
        <v>0.48088553485950469</v>
      </c>
      <c r="R231" s="20" t="s">
        <v>249</v>
      </c>
      <c r="S231" s="20">
        <v>-8.818841967628932E-2</v>
      </c>
      <c r="T231" s="20" t="s">
        <v>249</v>
      </c>
      <c r="U231" s="20" t="s">
        <v>33</v>
      </c>
      <c r="V231" s="20">
        <v>1</v>
      </c>
      <c r="W231" s="20">
        <v>2</v>
      </c>
      <c r="X231" s="20" t="s">
        <v>490</v>
      </c>
      <c r="Y231" s="20" t="s">
        <v>292</v>
      </c>
      <c r="Z231" s="20" t="s">
        <v>60</v>
      </c>
      <c r="AA231" s="20" t="s">
        <v>491</v>
      </c>
    </row>
    <row r="232" spans="1:27" x14ac:dyDescent="0.2">
      <c r="A232" s="1">
        <v>45969</v>
      </c>
      <c r="B232" s="20" t="s">
        <v>322</v>
      </c>
      <c r="C232" s="20" t="s">
        <v>28</v>
      </c>
      <c r="D232" s="20" t="s">
        <v>38</v>
      </c>
      <c r="E232" s="20" t="s">
        <v>815</v>
      </c>
      <c r="F232" s="20" t="s">
        <v>28</v>
      </c>
      <c r="G232" s="20">
        <v>2</v>
      </c>
      <c r="H232" s="20">
        <v>3</v>
      </c>
      <c r="I232" s="13">
        <v>0.6</v>
      </c>
      <c r="J232" s="20" t="s">
        <v>249</v>
      </c>
      <c r="L232" s="20" t="s">
        <v>249</v>
      </c>
      <c r="M232" s="20" t="s">
        <v>816</v>
      </c>
      <c r="N232" s="20" t="s">
        <v>28</v>
      </c>
      <c r="O232" s="20">
        <v>2</v>
      </c>
      <c r="P232" s="20">
        <v>3</v>
      </c>
      <c r="Q232" s="13">
        <v>0.49893108028093769</v>
      </c>
      <c r="R232" s="20" t="s">
        <v>249</v>
      </c>
      <c r="S232" s="20">
        <v>-0.30278760183710141</v>
      </c>
      <c r="T232" s="20" t="s">
        <v>249</v>
      </c>
      <c r="U232" s="20" t="s">
        <v>38</v>
      </c>
      <c r="V232" s="20">
        <v>3</v>
      </c>
      <c r="W232" s="20">
        <v>4</v>
      </c>
      <c r="X232" s="20" t="s">
        <v>490</v>
      </c>
      <c r="Y232" s="20" t="s">
        <v>292</v>
      </c>
      <c r="Z232" s="20" t="s">
        <v>60</v>
      </c>
      <c r="AA232" s="20" t="s">
        <v>491</v>
      </c>
    </row>
    <row r="233" spans="1:27" x14ac:dyDescent="0.2">
      <c r="A233" s="1">
        <v>45969</v>
      </c>
      <c r="B233" s="20" t="s">
        <v>328</v>
      </c>
      <c r="C233" s="20" t="s">
        <v>21</v>
      </c>
      <c r="D233" s="20" t="s">
        <v>19</v>
      </c>
      <c r="E233" s="20" t="s">
        <v>817</v>
      </c>
      <c r="F233" s="20" t="s">
        <v>21</v>
      </c>
      <c r="G233" s="20">
        <v>2</v>
      </c>
      <c r="H233" s="20">
        <v>3</v>
      </c>
      <c r="I233" s="13">
        <v>0.6</v>
      </c>
      <c r="J233" s="20" t="s">
        <v>249</v>
      </c>
      <c r="L233" s="20" t="s">
        <v>248</v>
      </c>
      <c r="M233" s="20" t="s">
        <v>465</v>
      </c>
      <c r="N233" s="20" t="s">
        <v>21</v>
      </c>
      <c r="O233" s="20">
        <v>2</v>
      </c>
      <c r="P233" s="20">
        <v>3</v>
      </c>
      <c r="Q233" s="13">
        <v>0.50342622083801203</v>
      </c>
      <c r="R233" s="20" t="s">
        <v>249</v>
      </c>
      <c r="S233" s="20">
        <v>-0.3648080819480865</v>
      </c>
      <c r="T233" s="20" t="s">
        <v>248</v>
      </c>
      <c r="U233" s="20" t="s">
        <v>21</v>
      </c>
      <c r="V233" s="20">
        <v>5</v>
      </c>
      <c r="W233" s="20">
        <v>3</v>
      </c>
      <c r="X233" s="20" t="s">
        <v>490</v>
      </c>
      <c r="Y233" s="20" t="s">
        <v>292</v>
      </c>
      <c r="Z233" s="20" t="s">
        <v>60</v>
      </c>
      <c r="AA233" s="20" t="s">
        <v>491</v>
      </c>
    </row>
    <row r="234" spans="1:27" x14ac:dyDescent="0.2">
      <c r="A234" s="1">
        <v>45969</v>
      </c>
      <c r="B234" s="20" t="s">
        <v>328</v>
      </c>
      <c r="C234" s="20" t="s">
        <v>22</v>
      </c>
      <c r="D234" s="20" t="s">
        <v>37</v>
      </c>
      <c r="E234" s="20" t="s">
        <v>818</v>
      </c>
      <c r="F234" s="20" t="s">
        <v>37</v>
      </c>
      <c r="G234" s="20">
        <v>2</v>
      </c>
      <c r="H234" s="20">
        <v>3</v>
      </c>
      <c r="I234" s="13">
        <v>0.6</v>
      </c>
      <c r="J234" s="20" t="s">
        <v>249</v>
      </c>
      <c r="L234" s="20" t="s">
        <v>248</v>
      </c>
      <c r="M234" s="20" t="s">
        <v>395</v>
      </c>
      <c r="N234" s="20" t="s">
        <v>37</v>
      </c>
      <c r="O234" s="20">
        <v>2</v>
      </c>
      <c r="P234" s="20">
        <v>3</v>
      </c>
      <c r="Q234" s="13">
        <v>0.54409704408470561</v>
      </c>
      <c r="R234" s="20" t="s">
        <v>249</v>
      </c>
      <c r="S234" s="20">
        <v>0.11969846281600981</v>
      </c>
      <c r="T234" s="20" t="s">
        <v>248</v>
      </c>
      <c r="U234" s="20" t="s">
        <v>37</v>
      </c>
      <c r="V234" s="20">
        <v>2</v>
      </c>
      <c r="W234" s="20">
        <v>3</v>
      </c>
      <c r="X234" s="20" t="s">
        <v>490</v>
      </c>
      <c r="Y234" s="20" t="s">
        <v>292</v>
      </c>
      <c r="Z234" s="20" t="s">
        <v>60</v>
      </c>
      <c r="AA234" s="20" t="s">
        <v>491</v>
      </c>
    </row>
    <row r="235" spans="1:27" x14ac:dyDescent="0.2">
      <c r="A235" s="1">
        <v>45969</v>
      </c>
      <c r="B235" s="20" t="s">
        <v>328</v>
      </c>
      <c r="C235" s="20" t="s">
        <v>32</v>
      </c>
      <c r="D235" s="20" t="s">
        <v>35</v>
      </c>
      <c r="E235" s="20" t="s">
        <v>819</v>
      </c>
      <c r="F235" s="20" t="s">
        <v>32</v>
      </c>
      <c r="G235" s="20">
        <v>2</v>
      </c>
      <c r="H235" s="20">
        <v>3</v>
      </c>
      <c r="I235" s="13">
        <v>0.6</v>
      </c>
      <c r="J235" s="20" t="s">
        <v>249</v>
      </c>
      <c r="L235" s="20" t="s">
        <v>248</v>
      </c>
      <c r="M235" s="20" t="s">
        <v>673</v>
      </c>
      <c r="N235" s="20" t="s">
        <v>32</v>
      </c>
      <c r="O235" s="20">
        <v>2</v>
      </c>
      <c r="P235" s="20">
        <v>3</v>
      </c>
      <c r="Q235" s="13">
        <v>0.5411749056948274</v>
      </c>
      <c r="R235" s="20" t="s">
        <v>249</v>
      </c>
      <c r="S235" s="20">
        <v>-0.69520038774647008</v>
      </c>
      <c r="T235" s="20" t="s">
        <v>248</v>
      </c>
      <c r="U235" s="20" t="s">
        <v>32</v>
      </c>
      <c r="V235" s="20">
        <v>4</v>
      </c>
      <c r="W235" s="20">
        <v>3</v>
      </c>
      <c r="X235" s="20" t="s">
        <v>496</v>
      </c>
      <c r="Y235" s="20" t="s">
        <v>292</v>
      </c>
      <c r="Z235" s="20" t="s">
        <v>60</v>
      </c>
      <c r="AA235" s="20" t="s">
        <v>491</v>
      </c>
    </row>
    <row r="236" spans="1:27" x14ac:dyDescent="0.2">
      <c r="A236" s="1">
        <v>45969</v>
      </c>
      <c r="B236" s="20" t="s">
        <v>322</v>
      </c>
      <c r="C236" s="20" t="s">
        <v>11</v>
      </c>
      <c r="D236" s="20" t="s">
        <v>33</v>
      </c>
      <c r="E236" s="20" t="s">
        <v>820</v>
      </c>
      <c r="F236" s="20" t="s">
        <v>11</v>
      </c>
      <c r="G236" s="20">
        <v>2</v>
      </c>
      <c r="H236" s="20">
        <v>3</v>
      </c>
      <c r="I236" s="13">
        <v>0.6</v>
      </c>
      <c r="J236" s="20" t="s">
        <v>249</v>
      </c>
      <c r="L236" s="20" t="s">
        <v>249</v>
      </c>
      <c r="M236" s="20" t="s">
        <v>821</v>
      </c>
      <c r="N236" s="20" t="s">
        <v>11</v>
      </c>
      <c r="O236" s="20">
        <v>2</v>
      </c>
      <c r="P236" s="20">
        <v>3</v>
      </c>
      <c r="Q236" s="13">
        <v>0.45038123469323549</v>
      </c>
      <c r="R236" s="20" t="s">
        <v>249</v>
      </c>
      <c r="S236" s="20">
        <v>-4.3119523949743388E-3</v>
      </c>
      <c r="T236" s="20" t="s">
        <v>249</v>
      </c>
      <c r="U236" s="20" t="s">
        <v>33</v>
      </c>
      <c r="V236" s="20">
        <v>1</v>
      </c>
      <c r="W236" s="20">
        <v>3</v>
      </c>
      <c r="X236" s="20" t="s">
        <v>490</v>
      </c>
      <c r="Y236" s="20" t="s">
        <v>292</v>
      </c>
      <c r="Z236" s="20" t="s">
        <v>60</v>
      </c>
      <c r="AA236" s="20" t="s">
        <v>491</v>
      </c>
    </row>
    <row r="237" spans="1:27" x14ac:dyDescent="0.2">
      <c r="A237" s="1">
        <v>45969</v>
      </c>
      <c r="B237" s="20" t="s">
        <v>322</v>
      </c>
      <c r="C237" s="20" t="s">
        <v>31</v>
      </c>
      <c r="D237" s="20" t="s">
        <v>20</v>
      </c>
      <c r="E237" s="20" t="s">
        <v>822</v>
      </c>
      <c r="F237" s="20" t="s">
        <v>31</v>
      </c>
      <c r="G237" s="20">
        <v>2</v>
      </c>
      <c r="H237" s="20">
        <v>3</v>
      </c>
      <c r="I237" s="13">
        <v>0.6</v>
      </c>
      <c r="J237" s="20" t="s">
        <v>249</v>
      </c>
      <c r="L237" s="20" t="s">
        <v>248</v>
      </c>
      <c r="M237" s="20" t="s">
        <v>291</v>
      </c>
      <c r="N237" s="20" t="s">
        <v>31</v>
      </c>
      <c r="O237" s="20">
        <v>2</v>
      </c>
      <c r="P237" s="20">
        <v>3</v>
      </c>
      <c r="Q237" s="13">
        <v>0.52435087174716466</v>
      </c>
      <c r="R237" s="20" t="s">
        <v>249</v>
      </c>
      <c r="S237" s="20">
        <v>-0.37324310323674031</v>
      </c>
      <c r="T237" s="20" t="s">
        <v>248</v>
      </c>
      <c r="U237" s="20" t="s">
        <v>31</v>
      </c>
      <c r="V237" s="20">
        <v>4</v>
      </c>
      <c r="W237" s="20">
        <v>3</v>
      </c>
      <c r="X237" s="20" t="s">
        <v>496</v>
      </c>
      <c r="Y237" s="20" t="s">
        <v>292</v>
      </c>
      <c r="Z237" s="20" t="s">
        <v>60</v>
      </c>
      <c r="AA237" s="20" t="s">
        <v>491</v>
      </c>
    </row>
    <row r="238" spans="1:27" x14ac:dyDescent="0.2">
      <c r="A238" s="1">
        <v>45969</v>
      </c>
      <c r="B238" s="20" t="s">
        <v>328</v>
      </c>
      <c r="C238" s="20" t="s">
        <v>30</v>
      </c>
      <c r="D238" s="20" t="s">
        <v>15</v>
      </c>
      <c r="E238" s="20" t="s">
        <v>823</v>
      </c>
      <c r="F238" s="20" t="s">
        <v>15</v>
      </c>
      <c r="G238" s="20">
        <v>2</v>
      </c>
      <c r="H238" s="20">
        <v>3</v>
      </c>
      <c r="I238" s="13">
        <v>0.6</v>
      </c>
      <c r="J238" s="20" t="s">
        <v>249</v>
      </c>
      <c r="L238" s="20" t="s">
        <v>249</v>
      </c>
      <c r="M238" s="20" t="s">
        <v>824</v>
      </c>
      <c r="N238" s="20" t="s">
        <v>15</v>
      </c>
      <c r="O238" s="20">
        <v>2</v>
      </c>
      <c r="P238" s="20">
        <v>3</v>
      </c>
      <c r="Q238" s="13">
        <v>0.46747009813058232</v>
      </c>
      <c r="R238" s="20" t="s">
        <v>249</v>
      </c>
      <c r="S238" s="20">
        <v>7.9876188055247321E-4</v>
      </c>
      <c r="T238" s="20" t="s">
        <v>249</v>
      </c>
      <c r="U238" s="20" t="s">
        <v>30</v>
      </c>
      <c r="V238" s="20">
        <v>5</v>
      </c>
      <c r="W238" s="20">
        <v>0</v>
      </c>
      <c r="X238" s="20" t="s">
        <v>490</v>
      </c>
      <c r="Y238" s="20" t="s">
        <v>292</v>
      </c>
      <c r="Z238" s="20" t="s">
        <v>60</v>
      </c>
      <c r="AA238" s="20" t="s">
        <v>491</v>
      </c>
    </row>
    <row r="239" spans="1:27" x14ac:dyDescent="0.2">
      <c r="A239" s="1">
        <v>45969</v>
      </c>
      <c r="B239" s="20" t="s">
        <v>352</v>
      </c>
      <c r="C239" s="20" t="s">
        <v>39</v>
      </c>
      <c r="D239" s="20" t="s">
        <v>29</v>
      </c>
      <c r="E239" s="20" t="s">
        <v>699</v>
      </c>
      <c r="F239" s="20" t="s">
        <v>39</v>
      </c>
      <c r="G239" s="20">
        <v>2</v>
      </c>
      <c r="H239" s="20">
        <v>3</v>
      </c>
      <c r="I239" s="13">
        <v>0.6</v>
      </c>
      <c r="J239" s="20" t="s">
        <v>249</v>
      </c>
      <c r="L239" s="20" t="s">
        <v>248</v>
      </c>
      <c r="M239" s="20" t="s">
        <v>398</v>
      </c>
      <c r="N239" s="20" t="s">
        <v>39</v>
      </c>
      <c r="O239" s="20">
        <v>2</v>
      </c>
      <c r="P239" s="20">
        <v>3</v>
      </c>
      <c r="Q239" s="13">
        <v>0.7659561507622451</v>
      </c>
      <c r="R239" s="20" t="s">
        <v>249</v>
      </c>
      <c r="S239" s="20">
        <v>-1.7484590367420181</v>
      </c>
      <c r="T239" s="20" t="s">
        <v>248</v>
      </c>
      <c r="U239" s="20" t="s">
        <v>39</v>
      </c>
      <c r="V239" s="20">
        <v>5</v>
      </c>
      <c r="W239" s="20">
        <v>4</v>
      </c>
      <c r="X239" s="20" t="s">
        <v>490</v>
      </c>
      <c r="Y239" s="20" t="s">
        <v>292</v>
      </c>
      <c r="Z239" s="20" t="s">
        <v>60</v>
      </c>
      <c r="AA239" s="20" t="s">
        <v>491</v>
      </c>
    </row>
    <row r="240" spans="1:27" x14ac:dyDescent="0.2">
      <c r="A240" s="1">
        <v>45969</v>
      </c>
      <c r="B240" s="20" t="s">
        <v>555</v>
      </c>
      <c r="C240" s="20" t="s">
        <v>14</v>
      </c>
      <c r="D240" s="20" t="s">
        <v>24</v>
      </c>
      <c r="E240" s="20" t="s">
        <v>825</v>
      </c>
      <c r="F240" s="20" t="s">
        <v>24</v>
      </c>
      <c r="G240" s="20">
        <v>2</v>
      </c>
      <c r="H240" s="20">
        <v>3</v>
      </c>
      <c r="I240" s="13">
        <v>0.6</v>
      </c>
      <c r="J240" s="20" t="s">
        <v>249</v>
      </c>
      <c r="L240" s="20" t="s">
        <v>248</v>
      </c>
      <c r="M240" s="20" t="s">
        <v>449</v>
      </c>
      <c r="N240" s="20" t="s">
        <v>24</v>
      </c>
      <c r="O240" s="20">
        <v>2</v>
      </c>
      <c r="P240" s="20">
        <v>3</v>
      </c>
      <c r="Q240" s="13">
        <v>0.60470632805755864</v>
      </c>
      <c r="R240" s="20" t="s">
        <v>249</v>
      </c>
      <c r="S240" s="20">
        <v>0.19369522125325681</v>
      </c>
      <c r="T240" s="20" t="s">
        <v>248</v>
      </c>
      <c r="U240" s="20" t="s">
        <v>24</v>
      </c>
      <c r="V240" s="20">
        <v>1</v>
      </c>
      <c r="W240" s="20">
        <v>2</v>
      </c>
      <c r="X240" s="20" t="s">
        <v>496</v>
      </c>
      <c r="Y240" s="20" t="s">
        <v>292</v>
      </c>
      <c r="Z240" s="20" t="s">
        <v>60</v>
      </c>
      <c r="AA240" s="20" t="s">
        <v>491</v>
      </c>
    </row>
    <row r="241" spans="1:27" x14ac:dyDescent="0.2">
      <c r="A241" s="1">
        <v>45969</v>
      </c>
      <c r="B241" s="20" t="s">
        <v>328</v>
      </c>
      <c r="C241" s="20" t="s">
        <v>55</v>
      </c>
      <c r="D241" s="20" t="s">
        <v>18</v>
      </c>
      <c r="E241" s="20" t="s">
        <v>826</v>
      </c>
      <c r="F241" s="20" t="s">
        <v>55</v>
      </c>
      <c r="G241" s="20">
        <v>2</v>
      </c>
      <c r="H241" s="20">
        <v>3</v>
      </c>
      <c r="I241" s="13">
        <v>0.6</v>
      </c>
      <c r="J241" s="20" t="s">
        <v>249</v>
      </c>
      <c r="L241" s="20" t="s">
        <v>249</v>
      </c>
      <c r="M241" s="20" t="s">
        <v>827</v>
      </c>
      <c r="N241" s="20" t="s">
        <v>55</v>
      </c>
      <c r="O241" s="20">
        <v>2</v>
      </c>
      <c r="P241" s="20">
        <v>3</v>
      </c>
      <c r="Q241" s="13">
        <v>0.47633137193975128</v>
      </c>
      <c r="R241" s="20" t="s">
        <v>249</v>
      </c>
      <c r="S241" s="20">
        <v>-0.13986559032948029</v>
      </c>
      <c r="T241" s="20" t="s">
        <v>249</v>
      </c>
      <c r="U241" s="20" t="s">
        <v>18</v>
      </c>
      <c r="V241" s="20">
        <v>2</v>
      </c>
      <c r="W241" s="20">
        <v>6</v>
      </c>
      <c r="X241" s="20" t="s">
        <v>490</v>
      </c>
      <c r="Y241" s="20" t="s">
        <v>292</v>
      </c>
      <c r="Z241" s="20" t="s">
        <v>60</v>
      </c>
      <c r="AA241" s="20" t="s">
        <v>491</v>
      </c>
    </row>
    <row r="242" spans="1:27" x14ac:dyDescent="0.2">
      <c r="A242" s="1">
        <v>45969</v>
      </c>
      <c r="B242" s="20" t="s">
        <v>322</v>
      </c>
      <c r="C242" s="20" t="s">
        <v>12</v>
      </c>
      <c r="D242" s="20" t="s">
        <v>17</v>
      </c>
      <c r="E242" s="20" t="s">
        <v>828</v>
      </c>
      <c r="F242" s="20" t="s">
        <v>12</v>
      </c>
      <c r="G242" s="20">
        <v>2</v>
      </c>
      <c r="H242" s="20">
        <v>3</v>
      </c>
      <c r="I242" s="13">
        <v>0.6</v>
      </c>
      <c r="J242" s="20" t="s">
        <v>249</v>
      </c>
      <c r="L242" s="20" t="s">
        <v>248</v>
      </c>
      <c r="M242" s="20" t="s">
        <v>361</v>
      </c>
      <c r="N242" s="20" t="s">
        <v>12</v>
      </c>
      <c r="O242" s="20">
        <v>2</v>
      </c>
      <c r="P242" s="20">
        <v>3</v>
      </c>
      <c r="Q242" s="13">
        <v>0.80575362576568399</v>
      </c>
      <c r="R242" s="20" t="s">
        <v>249</v>
      </c>
      <c r="S242" s="20">
        <v>-2.3997495737413348</v>
      </c>
      <c r="T242" s="20" t="s">
        <v>248</v>
      </c>
      <c r="U242" s="20" t="s">
        <v>12</v>
      </c>
      <c r="V242" s="20">
        <v>9</v>
      </c>
      <c r="W242" s="20">
        <v>1</v>
      </c>
      <c r="X242" s="20" t="s">
        <v>490</v>
      </c>
      <c r="Y242" s="20" t="s">
        <v>292</v>
      </c>
      <c r="Z242" s="20" t="s">
        <v>60</v>
      </c>
      <c r="AA242" s="20" t="s">
        <v>491</v>
      </c>
    </row>
    <row r="243" spans="1:27" x14ac:dyDescent="0.2">
      <c r="A243" s="1">
        <v>45969</v>
      </c>
      <c r="B243" s="20" t="s">
        <v>347</v>
      </c>
      <c r="C243" s="20" t="s">
        <v>36</v>
      </c>
      <c r="D243" s="20" t="s">
        <v>27</v>
      </c>
      <c r="E243" s="20" t="s">
        <v>829</v>
      </c>
      <c r="F243" s="20" t="s">
        <v>27</v>
      </c>
      <c r="G243" s="20">
        <v>2</v>
      </c>
      <c r="H243" s="20">
        <v>3</v>
      </c>
      <c r="I243" s="13">
        <v>0.6</v>
      </c>
      <c r="J243" s="20" t="s">
        <v>249</v>
      </c>
      <c r="L243" s="20" t="s">
        <v>249</v>
      </c>
      <c r="M243" s="20" t="s">
        <v>650</v>
      </c>
      <c r="N243" s="20" t="s">
        <v>27</v>
      </c>
      <c r="O243" s="20">
        <v>2</v>
      </c>
      <c r="P243" s="20">
        <v>3</v>
      </c>
      <c r="Q243" s="13">
        <v>0.5774906825970495</v>
      </c>
      <c r="R243" s="20" t="s">
        <v>249</v>
      </c>
      <c r="S243" s="20">
        <v>0.20103721628168511</v>
      </c>
      <c r="T243" s="20" t="s">
        <v>249</v>
      </c>
      <c r="U243" s="20" t="s">
        <v>36</v>
      </c>
      <c r="V243" s="20">
        <v>3</v>
      </c>
      <c r="W243" s="20">
        <v>2</v>
      </c>
      <c r="X243" s="20" t="s">
        <v>496</v>
      </c>
      <c r="Y243" s="20" t="s">
        <v>292</v>
      </c>
      <c r="Z243" s="20" t="s">
        <v>60</v>
      </c>
      <c r="AA243" s="20" t="s">
        <v>491</v>
      </c>
    </row>
    <row r="244" spans="1:27" x14ac:dyDescent="0.2">
      <c r="A244" s="1">
        <v>45969</v>
      </c>
      <c r="B244" s="20" t="s">
        <v>328</v>
      </c>
      <c r="C244" s="20" t="s">
        <v>23</v>
      </c>
      <c r="D244" s="20" t="s">
        <v>25</v>
      </c>
      <c r="E244" s="20" t="s">
        <v>830</v>
      </c>
      <c r="F244" s="20" t="s">
        <v>25</v>
      </c>
      <c r="G244" s="20">
        <v>2</v>
      </c>
      <c r="H244" s="20">
        <v>3</v>
      </c>
      <c r="I244" s="13">
        <v>0.6</v>
      </c>
      <c r="J244" s="20" t="s">
        <v>249</v>
      </c>
      <c r="L244" s="20" t="s">
        <v>248</v>
      </c>
      <c r="M244" s="20" t="s">
        <v>450</v>
      </c>
      <c r="N244" s="20" t="s">
        <v>25</v>
      </c>
      <c r="O244" s="20">
        <v>2</v>
      </c>
      <c r="P244" s="20">
        <v>3</v>
      </c>
      <c r="Q244" s="13">
        <v>0.70283940031160697</v>
      </c>
      <c r="R244" s="20" t="s">
        <v>249</v>
      </c>
      <c r="S244" s="20">
        <v>0.95168632199230485</v>
      </c>
      <c r="T244" s="20" t="s">
        <v>248</v>
      </c>
      <c r="U244" s="20" t="s">
        <v>25</v>
      </c>
      <c r="V244" s="20">
        <v>3</v>
      </c>
      <c r="W244" s="20">
        <v>6</v>
      </c>
      <c r="X244" s="20" t="s">
        <v>490</v>
      </c>
      <c r="Y244" s="20" t="s">
        <v>292</v>
      </c>
      <c r="Z244" s="20" t="s">
        <v>60</v>
      </c>
      <c r="AA244" s="20" t="s">
        <v>491</v>
      </c>
    </row>
    <row r="245" spans="1:27" x14ac:dyDescent="0.2">
      <c r="A245" s="1">
        <v>45970</v>
      </c>
      <c r="B245" s="20" t="s">
        <v>322</v>
      </c>
      <c r="C245" s="20" t="s">
        <v>12</v>
      </c>
      <c r="D245" s="20" t="s">
        <v>38</v>
      </c>
      <c r="E245" s="20" t="s">
        <v>831</v>
      </c>
      <c r="F245" s="20" t="s">
        <v>12</v>
      </c>
      <c r="G245" s="20">
        <v>2</v>
      </c>
      <c r="H245" s="20">
        <v>3</v>
      </c>
      <c r="I245" s="13">
        <v>0.6</v>
      </c>
      <c r="J245" s="20" t="s">
        <v>249</v>
      </c>
      <c r="L245" s="20" t="s">
        <v>248</v>
      </c>
      <c r="M245" s="20" t="s">
        <v>361</v>
      </c>
      <c r="N245" s="20" t="s">
        <v>12</v>
      </c>
      <c r="O245" s="20">
        <v>2</v>
      </c>
      <c r="P245" s="20">
        <v>3</v>
      </c>
      <c r="Q245" s="13">
        <v>0.82800072212355857</v>
      </c>
      <c r="R245" s="20" t="s">
        <v>249</v>
      </c>
      <c r="S245" s="20">
        <v>-2.5296806646146179</v>
      </c>
      <c r="T245" s="20" t="s">
        <v>248</v>
      </c>
      <c r="U245" s="20" t="s">
        <v>12</v>
      </c>
      <c r="V245" s="20">
        <v>5</v>
      </c>
      <c r="W245" s="20">
        <v>4</v>
      </c>
      <c r="X245" s="20" t="s">
        <v>496</v>
      </c>
      <c r="Y245" s="20" t="s">
        <v>292</v>
      </c>
      <c r="Z245" s="20" t="s">
        <v>60</v>
      </c>
      <c r="AA245" s="20" t="s">
        <v>491</v>
      </c>
    </row>
    <row r="246" spans="1:27" x14ac:dyDescent="0.2">
      <c r="A246" s="1">
        <v>45970</v>
      </c>
      <c r="B246" s="20" t="s">
        <v>328</v>
      </c>
      <c r="C246" s="20" t="s">
        <v>25</v>
      </c>
      <c r="D246" s="20" t="s">
        <v>19</v>
      </c>
      <c r="E246" s="20" t="s">
        <v>832</v>
      </c>
      <c r="F246" s="20" t="s">
        <v>25</v>
      </c>
      <c r="G246" s="20">
        <v>2</v>
      </c>
      <c r="H246" s="20">
        <v>3</v>
      </c>
      <c r="I246" s="13">
        <v>0.6</v>
      </c>
      <c r="J246" s="20" t="s">
        <v>249</v>
      </c>
      <c r="L246" s="20" t="s">
        <v>248</v>
      </c>
      <c r="M246" s="20" t="s">
        <v>450</v>
      </c>
      <c r="N246" s="20" t="s">
        <v>25</v>
      </c>
      <c r="O246" s="20">
        <v>2</v>
      </c>
      <c r="P246" s="20">
        <v>3</v>
      </c>
      <c r="Q246" s="13">
        <v>0.6505851147604973</v>
      </c>
      <c r="R246" s="20" t="s">
        <v>249</v>
      </c>
      <c r="S246" s="20">
        <v>-1.0102529797243709</v>
      </c>
      <c r="T246" s="20" t="s">
        <v>248</v>
      </c>
      <c r="U246" s="20" t="s">
        <v>25</v>
      </c>
      <c r="V246" s="20">
        <v>5</v>
      </c>
      <c r="W246" s="20">
        <v>4</v>
      </c>
      <c r="X246" s="20" t="s">
        <v>490</v>
      </c>
      <c r="Y246" s="20" t="s">
        <v>292</v>
      </c>
      <c r="Z246" s="20" t="s">
        <v>60</v>
      </c>
      <c r="AA246" s="20" t="s">
        <v>491</v>
      </c>
    </row>
    <row r="247" spans="1:27" x14ac:dyDescent="0.2">
      <c r="A247" s="1">
        <v>45970</v>
      </c>
      <c r="B247" s="20" t="s">
        <v>459</v>
      </c>
      <c r="C247" s="20" t="s">
        <v>13</v>
      </c>
      <c r="D247" s="20" t="s">
        <v>14</v>
      </c>
      <c r="E247" s="20" t="s">
        <v>833</v>
      </c>
      <c r="F247" s="20" t="s">
        <v>14</v>
      </c>
      <c r="G247" s="20">
        <v>2</v>
      </c>
      <c r="H247" s="20">
        <v>3</v>
      </c>
      <c r="I247" s="13">
        <v>0.6</v>
      </c>
      <c r="J247" s="20" t="s">
        <v>249</v>
      </c>
      <c r="L247" s="20" t="s">
        <v>249</v>
      </c>
      <c r="M247" s="20" t="s">
        <v>834</v>
      </c>
      <c r="N247" s="20" t="s">
        <v>14</v>
      </c>
      <c r="O247" s="20">
        <v>2</v>
      </c>
      <c r="P247" s="20">
        <v>3</v>
      </c>
      <c r="Q247" s="13">
        <v>0.5023990147629066</v>
      </c>
      <c r="R247" s="20" t="s">
        <v>249</v>
      </c>
      <c r="S247" s="20">
        <v>0.24592012603488611</v>
      </c>
      <c r="T247" s="20" t="s">
        <v>249</v>
      </c>
      <c r="U247" s="20" t="s">
        <v>13</v>
      </c>
      <c r="V247" s="20">
        <v>3</v>
      </c>
      <c r="W247" s="20">
        <v>2</v>
      </c>
      <c r="X247" s="20" t="s">
        <v>490</v>
      </c>
      <c r="Y247" s="20" t="s">
        <v>292</v>
      </c>
      <c r="Z247" s="20" t="s">
        <v>60</v>
      </c>
      <c r="AA247" s="20" t="s">
        <v>491</v>
      </c>
    </row>
    <row r="248" spans="1:27" x14ac:dyDescent="0.2">
      <c r="A248" s="1">
        <v>45970</v>
      </c>
      <c r="B248" s="20" t="s">
        <v>324</v>
      </c>
      <c r="C248" s="20" t="s">
        <v>16</v>
      </c>
      <c r="D248" s="20" t="s">
        <v>34</v>
      </c>
      <c r="E248" s="20" t="s">
        <v>835</v>
      </c>
      <c r="F248" s="20" t="s">
        <v>34</v>
      </c>
      <c r="G248" s="20">
        <v>2</v>
      </c>
      <c r="H248" s="20">
        <v>3</v>
      </c>
      <c r="I248" s="13">
        <v>0.6</v>
      </c>
      <c r="J248" s="20" t="s">
        <v>249</v>
      </c>
      <c r="L248" s="20" t="s">
        <v>248</v>
      </c>
      <c r="M248" s="20" t="s">
        <v>343</v>
      </c>
      <c r="N248" s="20" t="s">
        <v>34</v>
      </c>
      <c r="O248" s="20">
        <v>2</v>
      </c>
      <c r="P248" s="20">
        <v>3</v>
      </c>
      <c r="Q248" s="13">
        <v>0.66383571053823376</v>
      </c>
      <c r="R248" s="20" t="s">
        <v>249</v>
      </c>
      <c r="S248" s="20">
        <v>1.0605572405183039</v>
      </c>
      <c r="T248" s="20" t="s">
        <v>248</v>
      </c>
      <c r="U248" s="20" t="s">
        <v>34</v>
      </c>
      <c r="V248" s="20">
        <v>0</v>
      </c>
      <c r="W248" s="20">
        <v>2</v>
      </c>
      <c r="X248" s="20" t="s">
        <v>490</v>
      </c>
      <c r="Y248" s="20" t="s">
        <v>292</v>
      </c>
      <c r="Z248" s="20" t="s">
        <v>60</v>
      </c>
      <c r="AA248" s="20" t="s">
        <v>491</v>
      </c>
    </row>
    <row r="249" spans="1:27" x14ac:dyDescent="0.2">
      <c r="A249" s="1">
        <v>45970</v>
      </c>
      <c r="B249" s="20" t="s">
        <v>347</v>
      </c>
      <c r="C249" s="20" t="s">
        <v>10</v>
      </c>
      <c r="D249" s="20" t="s">
        <v>26</v>
      </c>
      <c r="E249" s="20" t="s">
        <v>836</v>
      </c>
      <c r="F249" s="20" t="s">
        <v>10</v>
      </c>
      <c r="G249" s="20">
        <v>2</v>
      </c>
      <c r="H249" s="20">
        <v>3</v>
      </c>
      <c r="I249" s="13">
        <v>0.6</v>
      </c>
      <c r="J249" s="20" t="s">
        <v>249</v>
      </c>
      <c r="L249" s="20" t="s">
        <v>248</v>
      </c>
      <c r="M249" s="20" t="s">
        <v>303</v>
      </c>
      <c r="N249" s="20" t="s">
        <v>10</v>
      </c>
      <c r="O249" s="20">
        <v>2</v>
      </c>
      <c r="P249" s="20">
        <v>3</v>
      </c>
      <c r="Q249" s="13">
        <v>0.53580865112428755</v>
      </c>
      <c r="R249" s="20" t="s">
        <v>249</v>
      </c>
      <c r="S249" s="20">
        <v>-0.64924256092483335</v>
      </c>
      <c r="T249" s="20" t="s">
        <v>248</v>
      </c>
      <c r="U249" s="20" t="s">
        <v>10</v>
      </c>
      <c r="V249" s="20">
        <v>5</v>
      </c>
      <c r="W249" s="20">
        <v>1</v>
      </c>
      <c r="X249" s="20" t="s">
        <v>490</v>
      </c>
      <c r="Y249" s="20" t="s">
        <v>292</v>
      </c>
      <c r="Z249" s="20" t="s">
        <v>60</v>
      </c>
      <c r="AA249" s="20" t="s">
        <v>491</v>
      </c>
    </row>
    <row r="250" spans="1:27" x14ac:dyDescent="0.2">
      <c r="A250" s="1">
        <v>45970</v>
      </c>
      <c r="B250" s="20" t="s">
        <v>328</v>
      </c>
      <c r="C250" s="20" t="s">
        <v>32</v>
      </c>
      <c r="D250" s="20" t="s">
        <v>39</v>
      </c>
      <c r="E250" s="20" t="s">
        <v>837</v>
      </c>
      <c r="F250" s="20" t="s">
        <v>39</v>
      </c>
      <c r="G250" s="20">
        <v>2</v>
      </c>
      <c r="H250" s="20">
        <v>3</v>
      </c>
      <c r="I250" s="13">
        <v>0.6</v>
      </c>
      <c r="J250" s="20" t="s">
        <v>249</v>
      </c>
      <c r="L250" s="20" t="s">
        <v>248</v>
      </c>
      <c r="M250" s="20" t="s">
        <v>398</v>
      </c>
      <c r="N250" s="20" t="s">
        <v>39</v>
      </c>
      <c r="O250" s="20">
        <v>2</v>
      </c>
      <c r="P250" s="20">
        <v>3</v>
      </c>
      <c r="Q250" s="13">
        <v>0.70217260513765822</v>
      </c>
      <c r="R250" s="20" t="s">
        <v>249</v>
      </c>
      <c r="S250" s="20">
        <v>1.112720486056372</v>
      </c>
      <c r="T250" s="20" t="s">
        <v>248</v>
      </c>
      <c r="U250" s="20" t="s">
        <v>39</v>
      </c>
      <c r="V250" s="20">
        <v>1</v>
      </c>
      <c r="W250" s="20">
        <v>2</v>
      </c>
      <c r="X250" s="20" t="s">
        <v>490</v>
      </c>
      <c r="Y250" s="20" t="s">
        <v>292</v>
      </c>
      <c r="Z250" s="20" t="s">
        <v>60</v>
      </c>
      <c r="AA250" s="20" t="s">
        <v>491</v>
      </c>
    </row>
    <row r="251" spans="1:27" x14ac:dyDescent="0.2">
      <c r="A251" s="1">
        <v>45970</v>
      </c>
      <c r="B251" s="20" t="s">
        <v>322</v>
      </c>
      <c r="C251" s="20" t="s">
        <v>40</v>
      </c>
      <c r="D251" s="20" t="s">
        <v>31</v>
      </c>
      <c r="E251" s="20" t="s">
        <v>838</v>
      </c>
      <c r="F251" s="20" t="s">
        <v>31</v>
      </c>
      <c r="G251" s="20">
        <v>2</v>
      </c>
      <c r="H251" s="20">
        <v>3</v>
      </c>
      <c r="I251" s="13">
        <v>0.6</v>
      </c>
      <c r="J251" s="20" t="s">
        <v>249</v>
      </c>
      <c r="L251" s="20" t="s">
        <v>248</v>
      </c>
      <c r="M251" s="20" t="s">
        <v>291</v>
      </c>
      <c r="N251" s="20" t="s">
        <v>31</v>
      </c>
      <c r="O251" s="20">
        <v>2</v>
      </c>
      <c r="P251" s="20">
        <v>3</v>
      </c>
      <c r="Q251" s="13">
        <v>0.66326847023337154</v>
      </c>
      <c r="R251" s="20" t="s">
        <v>249</v>
      </c>
      <c r="S251" s="20">
        <v>0.5418455945452203</v>
      </c>
      <c r="T251" s="20" t="s">
        <v>248</v>
      </c>
      <c r="U251" s="20" t="s">
        <v>31</v>
      </c>
      <c r="V251" s="20">
        <v>1</v>
      </c>
      <c r="W251" s="20">
        <v>4</v>
      </c>
      <c r="X251" s="20" t="s">
        <v>490</v>
      </c>
      <c r="Y251" s="20" t="s">
        <v>292</v>
      </c>
      <c r="Z251" s="20" t="s">
        <v>60</v>
      </c>
      <c r="AA251" s="20" t="s">
        <v>491</v>
      </c>
    </row>
    <row r="252" spans="1:27" x14ac:dyDescent="0.2">
      <c r="A252" s="1">
        <v>45970</v>
      </c>
      <c r="B252" s="20" t="s">
        <v>328</v>
      </c>
      <c r="C252" s="20" t="s">
        <v>55</v>
      </c>
      <c r="D252" s="20" t="s">
        <v>36</v>
      </c>
      <c r="E252" s="20" t="s">
        <v>839</v>
      </c>
      <c r="F252" s="20" t="s">
        <v>55</v>
      </c>
      <c r="G252" s="20">
        <v>2</v>
      </c>
      <c r="H252" s="20">
        <v>3</v>
      </c>
      <c r="I252" s="13">
        <v>0.6</v>
      </c>
      <c r="J252" s="20" t="s">
        <v>249</v>
      </c>
      <c r="L252" s="20" t="s">
        <v>249</v>
      </c>
      <c r="M252" s="20" t="s">
        <v>840</v>
      </c>
      <c r="N252" s="20" t="s">
        <v>55</v>
      </c>
      <c r="O252" s="20">
        <v>2</v>
      </c>
      <c r="P252" s="20">
        <v>3</v>
      </c>
      <c r="Q252" s="13">
        <v>0.46665327469730561</v>
      </c>
      <c r="R252" s="20" t="s">
        <v>249</v>
      </c>
      <c r="S252" s="20">
        <v>-7.8352012920493652E-2</v>
      </c>
      <c r="T252" s="20" t="s">
        <v>249</v>
      </c>
      <c r="U252" s="20" t="s">
        <v>36</v>
      </c>
      <c r="V252" s="20">
        <v>2</v>
      </c>
      <c r="W252" s="20">
        <v>4</v>
      </c>
      <c r="X252" s="20" t="s">
        <v>490</v>
      </c>
      <c r="Y252" s="20" t="s">
        <v>292</v>
      </c>
      <c r="Z252" s="20" t="s">
        <v>60</v>
      </c>
      <c r="AA252" s="20" t="s">
        <v>491</v>
      </c>
    </row>
    <row r="253" spans="1:27" x14ac:dyDescent="0.2">
      <c r="A253" s="1">
        <v>45971</v>
      </c>
      <c r="B253" s="20" t="s">
        <v>416</v>
      </c>
      <c r="C253" s="20" t="s">
        <v>28</v>
      </c>
      <c r="D253" s="20" t="s">
        <v>17</v>
      </c>
      <c r="E253" s="20" t="s">
        <v>841</v>
      </c>
      <c r="F253" s="20" t="s">
        <v>28</v>
      </c>
      <c r="G253" s="20">
        <v>2</v>
      </c>
      <c r="H253" s="20">
        <v>3</v>
      </c>
      <c r="I253" s="13">
        <v>0.6</v>
      </c>
      <c r="J253" s="20" t="s">
        <v>249</v>
      </c>
      <c r="L253" s="20" t="s">
        <v>249</v>
      </c>
      <c r="M253" s="20" t="s">
        <v>842</v>
      </c>
      <c r="N253" s="20" t="s">
        <v>28</v>
      </c>
      <c r="O253" s="20">
        <v>2</v>
      </c>
      <c r="P253" s="20">
        <v>3</v>
      </c>
      <c r="Q253" s="13">
        <v>0.47670528796548239</v>
      </c>
      <c r="R253" s="20" t="s">
        <v>249</v>
      </c>
      <c r="S253" s="20">
        <v>-0.17285651096381899</v>
      </c>
      <c r="T253" s="20" t="s">
        <v>249</v>
      </c>
      <c r="U253" s="20" t="s">
        <v>17</v>
      </c>
      <c r="V253" s="20">
        <v>4</v>
      </c>
      <c r="W253" s="20">
        <v>5</v>
      </c>
      <c r="X253" s="20" t="s">
        <v>496</v>
      </c>
      <c r="Y253" s="20" t="s">
        <v>292</v>
      </c>
      <c r="Z253" s="20" t="s">
        <v>60</v>
      </c>
      <c r="AA253" s="20" t="s">
        <v>491</v>
      </c>
    </row>
    <row r="254" spans="1:27" x14ac:dyDescent="0.2">
      <c r="A254" s="1">
        <v>45971</v>
      </c>
      <c r="B254" s="20" t="s">
        <v>328</v>
      </c>
      <c r="C254" s="20" t="s">
        <v>30</v>
      </c>
      <c r="D254" s="20" t="s">
        <v>24</v>
      </c>
      <c r="E254" s="20" t="s">
        <v>843</v>
      </c>
      <c r="F254" s="20" t="s">
        <v>24</v>
      </c>
      <c r="G254" s="20">
        <v>2</v>
      </c>
      <c r="H254" s="20">
        <v>3</v>
      </c>
      <c r="I254" s="13">
        <v>0.6</v>
      </c>
      <c r="J254" s="20" t="s">
        <v>249</v>
      </c>
      <c r="L254" s="20" t="s">
        <v>249</v>
      </c>
      <c r="M254" s="20" t="s">
        <v>844</v>
      </c>
      <c r="N254" s="20" t="s">
        <v>24</v>
      </c>
      <c r="O254" s="20">
        <v>2</v>
      </c>
      <c r="P254" s="20">
        <v>3</v>
      </c>
      <c r="Q254" s="13">
        <v>0.58343346953258379</v>
      </c>
      <c r="R254" s="20" t="s">
        <v>249</v>
      </c>
      <c r="S254" s="20">
        <v>0.29236299712909941</v>
      </c>
      <c r="T254" s="20" t="s">
        <v>249</v>
      </c>
      <c r="U254" s="20" t="s">
        <v>30</v>
      </c>
      <c r="V254" s="20">
        <v>3</v>
      </c>
      <c r="W254" s="20">
        <v>2</v>
      </c>
      <c r="X254" s="20" t="s">
        <v>496</v>
      </c>
      <c r="Y254" s="20" t="s">
        <v>292</v>
      </c>
      <c r="Z254" s="20" t="s">
        <v>60</v>
      </c>
      <c r="AA254" s="20" t="s">
        <v>491</v>
      </c>
    </row>
    <row r="255" spans="1:27" x14ac:dyDescent="0.2">
      <c r="A255" s="1">
        <v>45971</v>
      </c>
      <c r="B255" s="20" t="s">
        <v>328</v>
      </c>
      <c r="C255" s="20" t="s">
        <v>29</v>
      </c>
      <c r="D255" s="20" t="s">
        <v>15</v>
      </c>
      <c r="E255" s="20" t="s">
        <v>845</v>
      </c>
      <c r="F255" s="20" t="s">
        <v>15</v>
      </c>
      <c r="G255" s="20">
        <v>2</v>
      </c>
      <c r="H255" s="20">
        <v>3</v>
      </c>
      <c r="I255" s="13">
        <v>0.6</v>
      </c>
      <c r="J255" s="20" t="s">
        <v>249</v>
      </c>
      <c r="L255" s="20" t="s">
        <v>248</v>
      </c>
      <c r="M255" s="20" t="s">
        <v>518</v>
      </c>
      <c r="N255" s="20" t="s">
        <v>15</v>
      </c>
      <c r="O255" s="20">
        <v>2</v>
      </c>
      <c r="P255" s="20">
        <v>3</v>
      </c>
      <c r="Q255" s="13">
        <v>0.67367043343978616</v>
      </c>
      <c r="R255" s="20" t="s">
        <v>249</v>
      </c>
      <c r="S255" s="20">
        <v>1.144784048249281</v>
      </c>
      <c r="T255" s="20" t="s">
        <v>248</v>
      </c>
      <c r="U255" s="20" t="s">
        <v>15</v>
      </c>
      <c r="V255" s="20">
        <v>3</v>
      </c>
      <c r="W255" s="20">
        <v>6</v>
      </c>
      <c r="X255" s="20" t="s">
        <v>490</v>
      </c>
      <c r="Y255" s="20" t="s">
        <v>292</v>
      </c>
      <c r="Z255" s="20" t="s">
        <v>60</v>
      </c>
      <c r="AA255" s="20" t="s">
        <v>491</v>
      </c>
    </row>
    <row r="256" spans="1:27" x14ac:dyDescent="0.2">
      <c r="A256" s="1">
        <v>45971</v>
      </c>
      <c r="B256" s="20" t="s">
        <v>322</v>
      </c>
      <c r="C256" s="20" t="s">
        <v>11</v>
      </c>
      <c r="D256" s="20" t="s">
        <v>20</v>
      </c>
      <c r="E256" s="20" t="s">
        <v>846</v>
      </c>
      <c r="F256" s="20" t="s">
        <v>20</v>
      </c>
      <c r="G256" s="20">
        <v>2</v>
      </c>
      <c r="H256" s="20">
        <v>3</v>
      </c>
      <c r="I256" s="13">
        <v>0.6</v>
      </c>
      <c r="J256" s="20" t="s">
        <v>249</v>
      </c>
      <c r="L256" s="20" t="s">
        <v>249</v>
      </c>
      <c r="M256" s="20" t="s">
        <v>682</v>
      </c>
      <c r="N256" s="20" t="s">
        <v>20</v>
      </c>
      <c r="O256" s="20">
        <v>2</v>
      </c>
      <c r="P256" s="20">
        <v>3</v>
      </c>
      <c r="Q256" s="13">
        <v>0.56365399581956632</v>
      </c>
      <c r="R256" s="20" t="s">
        <v>249</v>
      </c>
      <c r="S256" s="20">
        <v>0.20257820966663259</v>
      </c>
      <c r="T256" s="20" t="s">
        <v>249</v>
      </c>
      <c r="U256" s="20" t="s">
        <v>11</v>
      </c>
      <c r="V256" s="20">
        <v>3</v>
      </c>
      <c r="W256" s="20">
        <v>2</v>
      </c>
      <c r="X256" s="20" t="s">
        <v>490</v>
      </c>
      <c r="Y256" s="20" t="s">
        <v>292</v>
      </c>
      <c r="Z256" s="20" t="s">
        <v>60</v>
      </c>
      <c r="AA256" s="20" t="s">
        <v>491</v>
      </c>
    </row>
    <row r="257" spans="1:27" x14ac:dyDescent="0.2">
      <c r="A257" s="1">
        <v>45972</v>
      </c>
      <c r="B257" s="20" t="s">
        <v>324</v>
      </c>
      <c r="C257" s="20" t="s">
        <v>16</v>
      </c>
      <c r="D257" s="20" t="s">
        <v>35</v>
      </c>
      <c r="E257" s="20" t="s">
        <v>847</v>
      </c>
      <c r="F257" s="20" t="s">
        <v>16</v>
      </c>
      <c r="G257" s="20">
        <v>2</v>
      </c>
      <c r="H257" s="20">
        <v>3</v>
      </c>
      <c r="I257" s="13">
        <v>0.6</v>
      </c>
      <c r="J257" s="20" t="s">
        <v>249</v>
      </c>
      <c r="L257" s="20" t="s">
        <v>249</v>
      </c>
      <c r="M257" s="20" t="s">
        <v>525</v>
      </c>
      <c r="N257" s="20" t="s">
        <v>16</v>
      </c>
      <c r="O257" s="20">
        <v>2</v>
      </c>
      <c r="P257" s="20">
        <v>3</v>
      </c>
      <c r="Q257" s="13">
        <v>0.49255358790002218</v>
      </c>
      <c r="R257" s="20" t="s">
        <v>249</v>
      </c>
      <c r="S257" s="20">
        <v>-0.27879634397993919</v>
      </c>
      <c r="T257" s="20" t="s">
        <v>249</v>
      </c>
      <c r="U257" s="20" t="s">
        <v>35</v>
      </c>
      <c r="V257" s="20">
        <v>2</v>
      </c>
      <c r="W257" s="20">
        <v>3</v>
      </c>
      <c r="X257" s="20" t="s">
        <v>490</v>
      </c>
      <c r="Y257" s="20" t="s">
        <v>292</v>
      </c>
      <c r="Z257" s="20" t="s">
        <v>60</v>
      </c>
      <c r="AA257" s="20" t="s">
        <v>491</v>
      </c>
    </row>
    <row r="258" spans="1:27" x14ac:dyDescent="0.2">
      <c r="A258" s="1">
        <v>45972</v>
      </c>
      <c r="B258" s="20" t="s">
        <v>322</v>
      </c>
      <c r="C258" s="20" t="s">
        <v>40</v>
      </c>
      <c r="D258" s="20" t="s">
        <v>38</v>
      </c>
      <c r="E258" s="20" t="s">
        <v>848</v>
      </c>
      <c r="F258" s="20" t="s">
        <v>40</v>
      </c>
      <c r="G258" s="20">
        <v>2</v>
      </c>
      <c r="H258" s="20">
        <v>3</v>
      </c>
      <c r="I258" s="13">
        <v>0.6</v>
      </c>
      <c r="J258" s="20" t="s">
        <v>249</v>
      </c>
      <c r="L258" s="20" t="s">
        <v>248</v>
      </c>
      <c r="M258" s="20" t="s">
        <v>315</v>
      </c>
      <c r="N258" s="20" t="s">
        <v>40</v>
      </c>
      <c r="O258" s="20">
        <v>2</v>
      </c>
      <c r="P258" s="20">
        <v>3</v>
      </c>
      <c r="Q258" s="13">
        <v>0.54902234043856335</v>
      </c>
      <c r="R258" s="20" t="s">
        <v>249</v>
      </c>
      <c r="S258" s="20">
        <v>-0.58453518240485014</v>
      </c>
      <c r="T258" s="20" t="s">
        <v>248</v>
      </c>
      <c r="U258" s="20" t="s">
        <v>40</v>
      </c>
      <c r="V258" s="20">
        <v>5</v>
      </c>
      <c r="W258" s="20">
        <v>3</v>
      </c>
      <c r="X258" s="20" t="s">
        <v>490</v>
      </c>
      <c r="Y258" s="20" t="s">
        <v>292</v>
      </c>
      <c r="Z258" s="20" t="s">
        <v>60</v>
      </c>
      <c r="AA258" s="20" t="s">
        <v>491</v>
      </c>
    </row>
    <row r="259" spans="1:27" x14ac:dyDescent="0.2">
      <c r="A259" s="1">
        <v>45972</v>
      </c>
      <c r="B259" s="20" t="s">
        <v>322</v>
      </c>
      <c r="C259" s="20" t="s">
        <v>28</v>
      </c>
      <c r="D259" s="20" t="s">
        <v>32</v>
      </c>
      <c r="E259" s="20" t="s">
        <v>849</v>
      </c>
      <c r="F259" s="20" t="s">
        <v>28</v>
      </c>
      <c r="G259" s="20">
        <v>2</v>
      </c>
      <c r="H259" s="20">
        <v>3</v>
      </c>
      <c r="I259" s="13">
        <v>0.6</v>
      </c>
      <c r="J259" s="20" t="s">
        <v>249</v>
      </c>
      <c r="L259" s="20" t="s">
        <v>248</v>
      </c>
      <c r="M259" s="20" t="s">
        <v>730</v>
      </c>
      <c r="N259" s="20" t="s">
        <v>28</v>
      </c>
      <c r="O259" s="20">
        <v>2</v>
      </c>
      <c r="P259" s="20">
        <v>3</v>
      </c>
      <c r="Q259" s="13">
        <v>0.46410009198901342</v>
      </c>
      <c r="R259" s="20" t="s">
        <v>249</v>
      </c>
      <c r="S259" s="20">
        <v>-4.4870820043872994E-3</v>
      </c>
      <c r="T259" s="20" t="s">
        <v>248</v>
      </c>
      <c r="U259" s="20" t="s">
        <v>28</v>
      </c>
      <c r="V259" s="20">
        <v>2</v>
      </c>
      <c r="W259" s="20">
        <v>1</v>
      </c>
      <c r="X259" s="20" t="s">
        <v>496</v>
      </c>
      <c r="Y259" s="20" t="s">
        <v>292</v>
      </c>
      <c r="Z259" s="20" t="s">
        <v>60</v>
      </c>
      <c r="AA259" s="20" t="s">
        <v>491</v>
      </c>
    </row>
    <row r="260" spans="1:27" x14ac:dyDescent="0.2">
      <c r="A260" s="1">
        <v>45972</v>
      </c>
      <c r="B260" s="20" t="s">
        <v>328</v>
      </c>
      <c r="C260" s="20" t="s">
        <v>19</v>
      </c>
      <c r="D260" s="20" t="s">
        <v>21</v>
      </c>
      <c r="E260" s="20" t="s">
        <v>850</v>
      </c>
      <c r="F260" s="20" t="s">
        <v>21</v>
      </c>
      <c r="G260" s="20">
        <v>2</v>
      </c>
      <c r="H260" s="20">
        <v>3</v>
      </c>
      <c r="I260" s="13">
        <v>0.6</v>
      </c>
      <c r="J260" s="20" t="s">
        <v>249</v>
      </c>
      <c r="L260" s="20" t="s">
        <v>248</v>
      </c>
      <c r="M260" s="20" t="s">
        <v>465</v>
      </c>
      <c r="N260" s="20" t="s">
        <v>21</v>
      </c>
      <c r="O260" s="20">
        <v>2</v>
      </c>
      <c r="P260" s="20">
        <v>3</v>
      </c>
      <c r="Q260" s="13">
        <v>0.63715157999313932</v>
      </c>
      <c r="R260" s="20" t="s">
        <v>249</v>
      </c>
      <c r="S260" s="20">
        <v>0.46460957979441142</v>
      </c>
      <c r="T260" s="20" t="s">
        <v>248</v>
      </c>
      <c r="U260" s="20" t="s">
        <v>21</v>
      </c>
      <c r="V260" s="20">
        <v>3</v>
      </c>
      <c r="W260" s="20">
        <v>5</v>
      </c>
      <c r="X260" s="20" t="s">
        <v>490</v>
      </c>
      <c r="Y260" s="20" t="s">
        <v>292</v>
      </c>
      <c r="Z260" s="20" t="s">
        <v>60</v>
      </c>
      <c r="AA260" s="20" t="s">
        <v>491</v>
      </c>
    </row>
    <row r="261" spans="1:27" x14ac:dyDescent="0.2">
      <c r="A261" s="1">
        <v>45972</v>
      </c>
      <c r="B261" s="20" t="s">
        <v>328</v>
      </c>
      <c r="C261" s="20" t="s">
        <v>13</v>
      </c>
      <c r="D261" s="20" t="s">
        <v>18</v>
      </c>
      <c r="E261" s="20" t="s">
        <v>851</v>
      </c>
      <c r="F261" s="20" t="s">
        <v>13</v>
      </c>
      <c r="G261" s="20">
        <v>2</v>
      </c>
      <c r="H261" s="20">
        <v>3</v>
      </c>
      <c r="I261" s="13">
        <v>0.6</v>
      </c>
      <c r="J261" s="20" t="s">
        <v>249</v>
      </c>
      <c r="L261" s="20" t="s">
        <v>248</v>
      </c>
      <c r="M261" s="20" t="s">
        <v>628</v>
      </c>
      <c r="N261" s="20" t="s">
        <v>13</v>
      </c>
      <c r="O261" s="20">
        <v>2</v>
      </c>
      <c r="P261" s="20">
        <v>3</v>
      </c>
      <c r="Q261" s="13">
        <v>0.55021815222662374</v>
      </c>
      <c r="R261" s="20" t="s">
        <v>249</v>
      </c>
      <c r="S261" s="20">
        <v>-0.20470528067344909</v>
      </c>
      <c r="T261" s="20" t="s">
        <v>248</v>
      </c>
      <c r="U261" s="20" t="s">
        <v>13</v>
      </c>
      <c r="V261" s="20">
        <v>5</v>
      </c>
      <c r="W261" s="20">
        <v>1</v>
      </c>
      <c r="X261" s="20" t="s">
        <v>490</v>
      </c>
      <c r="Y261" s="20" t="s">
        <v>292</v>
      </c>
      <c r="Z261" s="20" t="s">
        <v>60</v>
      </c>
      <c r="AA261" s="20" t="s">
        <v>491</v>
      </c>
    </row>
    <row r="262" spans="1:27" x14ac:dyDescent="0.2">
      <c r="A262" s="1">
        <v>45972</v>
      </c>
      <c r="B262" s="20" t="s">
        <v>324</v>
      </c>
      <c r="C262" s="20" t="s">
        <v>33</v>
      </c>
      <c r="D262" s="20" t="s">
        <v>34</v>
      </c>
      <c r="E262" s="20" t="s">
        <v>695</v>
      </c>
      <c r="F262" s="20" t="s">
        <v>34</v>
      </c>
      <c r="G262" s="20">
        <v>2</v>
      </c>
      <c r="H262" s="20">
        <v>3</v>
      </c>
      <c r="I262" s="13">
        <v>0.6</v>
      </c>
      <c r="J262" s="20" t="s">
        <v>249</v>
      </c>
      <c r="L262" s="20" t="s">
        <v>249</v>
      </c>
      <c r="M262" s="20" t="s">
        <v>696</v>
      </c>
      <c r="N262" s="20" t="s">
        <v>34</v>
      </c>
      <c r="O262" s="20">
        <v>2</v>
      </c>
      <c r="P262" s="20">
        <v>3</v>
      </c>
      <c r="Q262" s="13">
        <v>0.59208957093140724</v>
      </c>
      <c r="R262" s="20" t="s">
        <v>249</v>
      </c>
      <c r="S262" s="20">
        <v>0.44610695385592702</v>
      </c>
      <c r="T262" s="20" t="s">
        <v>249</v>
      </c>
      <c r="U262" s="20" t="s">
        <v>33</v>
      </c>
      <c r="V262" s="20">
        <v>2</v>
      </c>
      <c r="W262" s="20">
        <v>1</v>
      </c>
      <c r="X262" s="20" t="s">
        <v>496</v>
      </c>
      <c r="Y262" s="20" t="s">
        <v>292</v>
      </c>
      <c r="Z262" s="20" t="s">
        <v>60</v>
      </c>
      <c r="AA262" s="20" t="s">
        <v>491</v>
      </c>
    </row>
    <row r="263" spans="1:27" x14ac:dyDescent="0.2">
      <c r="A263" s="1">
        <v>45972</v>
      </c>
      <c r="B263" s="20" t="s">
        <v>426</v>
      </c>
      <c r="C263" s="20" t="s">
        <v>31</v>
      </c>
      <c r="D263" s="20" t="s">
        <v>12</v>
      </c>
      <c r="E263" s="20" t="s">
        <v>852</v>
      </c>
      <c r="F263" s="20" t="s">
        <v>12</v>
      </c>
      <c r="G263" s="20">
        <v>2</v>
      </c>
      <c r="H263" s="20">
        <v>3</v>
      </c>
      <c r="I263" s="13">
        <v>0.6</v>
      </c>
      <c r="J263" s="20" t="s">
        <v>249</v>
      </c>
      <c r="L263" s="20" t="s">
        <v>248</v>
      </c>
      <c r="M263" s="20" t="s">
        <v>361</v>
      </c>
      <c r="N263" s="20" t="s">
        <v>12</v>
      </c>
      <c r="O263" s="20">
        <v>2</v>
      </c>
      <c r="P263" s="20">
        <v>3</v>
      </c>
      <c r="Q263" s="13">
        <v>0.8005092709515379</v>
      </c>
      <c r="R263" s="20" t="s">
        <v>249</v>
      </c>
      <c r="S263" s="20">
        <v>1.5031013855108719</v>
      </c>
      <c r="T263" s="20" t="s">
        <v>248</v>
      </c>
      <c r="U263" s="20" t="s">
        <v>12</v>
      </c>
      <c r="V263" s="20">
        <v>1</v>
      </c>
      <c r="W263" s="20">
        <v>4</v>
      </c>
      <c r="X263" s="20" t="s">
        <v>490</v>
      </c>
      <c r="Y263" s="20" t="s">
        <v>292</v>
      </c>
      <c r="Z263" s="20" t="s">
        <v>60</v>
      </c>
      <c r="AA263" s="20" t="s">
        <v>491</v>
      </c>
    </row>
    <row r="264" spans="1:27" x14ac:dyDescent="0.2">
      <c r="A264" s="1">
        <v>45972</v>
      </c>
      <c r="B264" s="20" t="s">
        <v>328</v>
      </c>
      <c r="C264" s="20" t="s">
        <v>39</v>
      </c>
      <c r="D264" s="20" t="s">
        <v>36</v>
      </c>
      <c r="E264" s="20" t="s">
        <v>853</v>
      </c>
      <c r="F264" s="20" t="s">
        <v>39</v>
      </c>
      <c r="G264" s="20">
        <v>2</v>
      </c>
      <c r="H264" s="20">
        <v>3</v>
      </c>
      <c r="I264" s="13">
        <v>0.6</v>
      </c>
      <c r="J264" s="20" t="s">
        <v>249</v>
      </c>
      <c r="L264" s="20" t="s">
        <v>248</v>
      </c>
      <c r="M264" s="20" t="s">
        <v>398</v>
      </c>
      <c r="N264" s="20" t="s">
        <v>39</v>
      </c>
      <c r="O264" s="20">
        <v>2</v>
      </c>
      <c r="P264" s="20">
        <v>3</v>
      </c>
      <c r="Q264" s="13">
        <v>0.66381689553569467</v>
      </c>
      <c r="R264" s="20" t="s">
        <v>249</v>
      </c>
      <c r="S264" s="20">
        <v>-0.89491780379679597</v>
      </c>
      <c r="T264" s="20" t="s">
        <v>248</v>
      </c>
      <c r="U264" s="20" t="s">
        <v>39</v>
      </c>
      <c r="V264" s="20">
        <v>3</v>
      </c>
      <c r="W264" s="20">
        <v>2</v>
      </c>
      <c r="X264" s="20" t="s">
        <v>496</v>
      </c>
      <c r="Y264" s="20" t="s">
        <v>292</v>
      </c>
      <c r="Z264" s="20" t="s">
        <v>60</v>
      </c>
      <c r="AA264" s="20" t="s">
        <v>491</v>
      </c>
    </row>
    <row r="265" spans="1:27" x14ac:dyDescent="0.2">
      <c r="A265" s="1">
        <v>45972</v>
      </c>
      <c r="B265" s="20" t="s">
        <v>328</v>
      </c>
      <c r="C265" s="20" t="s">
        <v>22</v>
      </c>
      <c r="D265" s="20" t="s">
        <v>25</v>
      </c>
      <c r="E265" s="20" t="s">
        <v>854</v>
      </c>
      <c r="F265" s="20" t="s">
        <v>25</v>
      </c>
      <c r="G265" s="20">
        <v>2</v>
      </c>
      <c r="H265" s="20">
        <v>3</v>
      </c>
      <c r="I265" s="13">
        <v>0.6</v>
      </c>
      <c r="J265" s="20" t="s">
        <v>249</v>
      </c>
      <c r="L265" s="20" t="s">
        <v>249</v>
      </c>
      <c r="M265" s="20" t="s">
        <v>855</v>
      </c>
      <c r="N265" s="20" t="s">
        <v>25</v>
      </c>
      <c r="O265" s="20">
        <v>2</v>
      </c>
      <c r="P265" s="20">
        <v>3</v>
      </c>
      <c r="Q265" s="13">
        <v>0.55407142990880653</v>
      </c>
      <c r="R265" s="20" t="s">
        <v>249</v>
      </c>
      <c r="S265" s="20">
        <v>3.4868653397958249E-2</v>
      </c>
      <c r="T265" s="20" t="s">
        <v>249</v>
      </c>
      <c r="U265" s="20" t="s">
        <v>22</v>
      </c>
      <c r="V265" s="20">
        <v>4</v>
      </c>
      <c r="W265" s="20">
        <v>1</v>
      </c>
      <c r="X265" s="20" t="s">
        <v>490</v>
      </c>
      <c r="Y265" s="20" t="s">
        <v>292</v>
      </c>
      <c r="Z265" s="20" t="s">
        <v>60</v>
      </c>
      <c r="AA265" s="20" t="s">
        <v>491</v>
      </c>
    </row>
    <row r="266" spans="1:27" x14ac:dyDescent="0.2">
      <c r="A266" s="1">
        <v>45973</v>
      </c>
      <c r="B266" s="20" t="s">
        <v>426</v>
      </c>
      <c r="C266" s="20" t="s">
        <v>24</v>
      </c>
      <c r="D266" s="20" t="s">
        <v>10</v>
      </c>
      <c r="E266" s="20" t="s">
        <v>856</v>
      </c>
      <c r="F266" s="20" t="s">
        <v>24</v>
      </c>
      <c r="G266" s="20">
        <v>2</v>
      </c>
      <c r="H266" s="20">
        <v>3</v>
      </c>
      <c r="I266" s="13">
        <v>0.6</v>
      </c>
      <c r="J266" s="20" t="s">
        <v>249</v>
      </c>
      <c r="L266" s="20" t="s">
        <v>248</v>
      </c>
      <c r="M266" s="20" t="s">
        <v>449</v>
      </c>
      <c r="N266" s="20" t="s">
        <v>24</v>
      </c>
      <c r="O266" s="20">
        <v>2</v>
      </c>
      <c r="P266" s="20">
        <v>3</v>
      </c>
      <c r="Q266" s="13">
        <v>0.49569477447551491</v>
      </c>
      <c r="R266" s="20" t="s">
        <v>249</v>
      </c>
      <c r="S266" s="20">
        <v>-0.12782575702575541</v>
      </c>
      <c r="T266" s="20" t="s">
        <v>248</v>
      </c>
      <c r="U266" s="20" t="s">
        <v>24</v>
      </c>
      <c r="V266" s="20">
        <v>4</v>
      </c>
      <c r="W266" s="20">
        <v>3</v>
      </c>
      <c r="X266" s="20" t="s">
        <v>496</v>
      </c>
      <c r="Y266" s="20" t="s">
        <v>292</v>
      </c>
      <c r="Z266" s="20" t="s">
        <v>60</v>
      </c>
      <c r="AA266" s="20" t="s">
        <v>491</v>
      </c>
    </row>
    <row r="267" spans="1:27" x14ac:dyDescent="0.2">
      <c r="A267" s="1">
        <v>45973</v>
      </c>
      <c r="B267" s="20" t="s">
        <v>334</v>
      </c>
      <c r="C267" s="20" t="s">
        <v>17</v>
      </c>
      <c r="D267" s="20" t="s">
        <v>27</v>
      </c>
      <c r="E267" s="20" t="s">
        <v>857</v>
      </c>
      <c r="F267" s="20" t="s">
        <v>27</v>
      </c>
      <c r="G267" s="20">
        <v>2</v>
      </c>
      <c r="H267" s="20">
        <v>3</v>
      </c>
      <c r="I267" s="13">
        <v>0.6</v>
      </c>
      <c r="J267" s="20" t="s">
        <v>249</v>
      </c>
      <c r="L267" s="20" t="s">
        <v>249</v>
      </c>
      <c r="M267" s="20" t="s">
        <v>858</v>
      </c>
      <c r="N267" s="20" t="s">
        <v>27</v>
      </c>
      <c r="O267" s="20">
        <v>2</v>
      </c>
      <c r="P267" s="20">
        <v>3</v>
      </c>
      <c r="Q267" s="13">
        <v>0.61092867823691233</v>
      </c>
      <c r="R267" s="20" t="s">
        <v>249</v>
      </c>
      <c r="S267" s="20">
        <v>0.48740782965436819</v>
      </c>
      <c r="T267" s="20" t="s">
        <v>249</v>
      </c>
      <c r="U267" s="20" t="s">
        <v>17</v>
      </c>
      <c r="V267" s="20">
        <v>2</v>
      </c>
      <c r="W267" s="20">
        <v>1</v>
      </c>
      <c r="X267" s="20" t="s">
        <v>496</v>
      </c>
      <c r="Y267" s="20" t="s">
        <v>292</v>
      </c>
      <c r="Z267" s="20" t="s">
        <v>60</v>
      </c>
      <c r="AA267" s="20" t="s">
        <v>491</v>
      </c>
    </row>
    <row r="268" spans="1:27" x14ac:dyDescent="0.2">
      <c r="A268" s="1">
        <v>45973</v>
      </c>
      <c r="B268" s="20" t="s">
        <v>328</v>
      </c>
      <c r="C268" s="20" t="s">
        <v>15</v>
      </c>
      <c r="D268" s="20" t="s">
        <v>37</v>
      </c>
      <c r="E268" s="20" t="s">
        <v>859</v>
      </c>
      <c r="F268" s="20" t="s">
        <v>37</v>
      </c>
      <c r="G268" s="20">
        <v>2</v>
      </c>
      <c r="H268" s="20">
        <v>3</v>
      </c>
      <c r="I268" s="13">
        <v>0.6</v>
      </c>
      <c r="J268" s="20" t="s">
        <v>249</v>
      </c>
      <c r="L268" s="20" t="s">
        <v>249</v>
      </c>
      <c r="M268" s="20" t="s">
        <v>860</v>
      </c>
      <c r="N268" s="20" t="s">
        <v>37</v>
      </c>
      <c r="O268" s="20">
        <v>2</v>
      </c>
      <c r="P268" s="20">
        <v>3</v>
      </c>
      <c r="Q268" s="13">
        <v>0.57162610749903808</v>
      </c>
      <c r="R268" s="20" t="s">
        <v>249</v>
      </c>
      <c r="S268" s="20">
        <v>0.8504396801537093</v>
      </c>
      <c r="T268" s="20" t="s">
        <v>249</v>
      </c>
      <c r="U268" s="20" t="s">
        <v>15</v>
      </c>
      <c r="V268" s="20">
        <v>7</v>
      </c>
      <c r="W268" s="20">
        <v>3</v>
      </c>
      <c r="X268" s="20" t="s">
        <v>490</v>
      </c>
      <c r="Y268" s="20" t="s">
        <v>292</v>
      </c>
      <c r="Z268" s="20" t="s">
        <v>60</v>
      </c>
      <c r="AA268" s="20" t="s">
        <v>491</v>
      </c>
    </row>
    <row r="269" spans="1:27" x14ac:dyDescent="0.2">
      <c r="A269" s="1">
        <v>45973</v>
      </c>
      <c r="B269" s="20" t="s">
        <v>326</v>
      </c>
      <c r="C269" s="20" t="s">
        <v>23</v>
      </c>
      <c r="D269" s="20" t="s">
        <v>55</v>
      </c>
      <c r="E269" s="20" t="s">
        <v>861</v>
      </c>
      <c r="F269" s="20" t="s">
        <v>55</v>
      </c>
      <c r="G269" s="20">
        <v>2</v>
      </c>
      <c r="H269" s="20">
        <v>3</v>
      </c>
      <c r="I269" s="13">
        <v>0.6</v>
      </c>
      <c r="J269" s="20" t="s">
        <v>249</v>
      </c>
      <c r="L269" s="20" t="s">
        <v>248</v>
      </c>
      <c r="M269" s="20" t="s">
        <v>362</v>
      </c>
      <c r="N269" s="20" t="s">
        <v>55</v>
      </c>
      <c r="O269" s="20">
        <v>2</v>
      </c>
      <c r="P269" s="20">
        <v>3</v>
      </c>
      <c r="Q269" s="13">
        <v>0.59478015295826725</v>
      </c>
      <c r="R269" s="20" t="s">
        <v>249</v>
      </c>
      <c r="S269" s="20">
        <v>0.1228878956425697</v>
      </c>
      <c r="T269" s="20" t="s">
        <v>248</v>
      </c>
      <c r="U269" s="20" t="s">
        <v>55</v>
      </c>
      <c r="V269" s="20">
        <v>2</v>
      </c>
      <c r="W269" s="20">
        <v>5</v>
      </c>
      <c r="X269" s="20" t="s">
        <v>490</v>
      </c>
      <c r="Y269" s="20" t="s">
        <v>292</v>
      </c>
      <c r="Z269" s="20" t="s">
        <v>60</v>
      </c>
      <c r="AA269" s="20" t="s">
        <v>491</v>
      </c>
    </row>
    <row r="270" spans="1:27" x14ac:dyDescent="0.2">
      <c r="A270" s="1">
        <v>45974</v>
      </c>
      <c r="B270" s="20" t="s">
        <v>322</v>
      </c>
      <c r="C270" s="20" t="s">
        <v>30</v>
      </c>
      <c r="D270" s="20" t="s">
        <v>20</v>
      </c>
      <c r="E270" s="20" t="s">
        <v>862</v>
      </c>
      <c r="F270" s="20" t="s">
        <v>20</v>
      </c>
      <c r="G270" s="20">
        <v>2</v>
      </c>
      <c r="H270" s="20">
        <v>3</v>
      </c>
      <c r="I270" s="13">
        <v>0.6</v>
      </c>
      <c r="J270" s="20" t="s">
        <v>249</v>
      </c>
      <c r="L270" s="20" t="s">
        <v>249</v>
      </c>
      <c r="M270" s="20" t="s">
        <v>863</v>
      </c>
      <c r="N270" s="20" t="s">
        <v>20</v>
      </c>
      <c r="O270" s="20">
        <v>2</v>
      </c>
      <c r="P270" s="20">
        <v>3</v>
      </c>
      <c r="Q270" s="13">
        <v>0.47279377178607768</v>
      </c>
      <c r="R270" s="20" t="s">
        <v>249</v>
      </c>
      <c r="S270" s="20">
        <v>4.6391916043858672E-2</v>
      </c>
      <c r="T270" s="20" t="s">
        <v>249</v>
      </c>
      <c r="U270" s="20" t="s">
        <v>30</v>
      </c>
      <c r="V270" s="20">
        <v>4</v>
      </c>
      <c r="W270" s="20">
        <v>3</v>
      </c>
      <c r="X270" s="20" t="s">
        <v>496</v>
      </c>
      <c r="Y270" s="20" t="s">
        <v>292</v>
      </c>
      <c r="Z270" s="20" t="s">
        <v>60</v>
      </c>
      <c r="AA270" s="20" t="s">
        <v>491</v>
      </c>
    </row>
    <row r="271" spans="1:27" x14ac:dyDescent="0.2">
      <c r="A271" s="1">
        <v>45974</v>
      </c>
      <c r="B271" s="20" t="s">
        <v>328</v>
      </c>
      <c r="C271" s="20" t="s">
        <v>13</v>
      </c>
      <c r="D271" s="20" t="s">
        <v>19</v>
      </c>
      <c r="E271" s="20" t="s">
        <v>864</v>
      </c>
      <c r="F271" s="20" t="s">
        <v>13</v>
      </c>
      <c r="G271" s="20">
        <v>2</v>
      </c>
      <c r="H271" s="20">
        <v>3</v>
      </c>
      <c r="I271" s="13">
        <v>0.6</v>
      </c>
      <c r="J271" s="20" t="s">
        <v>249</v>
      </c>
      <c r="L271" s="20" t="s">
        <v>248</v>
      </c>
      <c r="M271" s="20" t="s">
        <v>628</v>
      </c>
      <c r="N271" s="20" t="s">
        <v>13</v>
      </c>
      <c r="O271" s="20">
        <v>2</v>
      </c>
      <c r="P271" s="20">
        <v>3</v>
      </c>
      <c r="Q271" s="13">
        <v>0.55507427747143212</v>
      </c>
      <c r="R271" s="20" t="s">
        <v>249</v>
      </c>
      <c r="S271" s="20">
        <v>-0.24629424371860439</v>
      </c>
      <c r="T271" s="20" t="s">
        <v>248</v>
      </c>
      <c r="U271" s="20" t="s">
        <v>13</v>
      </c>
      <c r="V271" s="20">
        <v>4</v>
      </c>
      <c r="W271" s="20">
        <v>3</v>
      </c>
      <c r="X271" s="20" t="s">
        <v>496</v>
      </c>
      <c r="Y271" s="20" t="s">
        <v>292</v>
      </c>
      <c r="Z271" s="20" t="s">
        <v>60</v>
      </c>
      <c r="AA271" s="20" t="s">
        <v>491</v>
      </c>
    </row>
    <row r="272" spans="1:27" x14ac:dyDescent="0.2">
      <c r="A272" s="1">
        <v>45974</v>
      </c>
      <c r="B272" s="20" t="s">
        <v>322</v>
      </c>
      <c r="C272" s="20" t="s">
        <v>40</v>
      </c>
      <c r="D272" s="20" t="s">
        <v>32</v>
      </c>
      <c r="E272" s="20" t="s">
        <v>865</v>
      </c>
      <c r="F272" s="20" t="s">
        <v>40</v>
      </c>
      <c r="G272" s="20">
        <v>2</v>
      </c>
      <c r="H272" s="20">
        <v>3</v>
      </c>
      <c r="I272" s="13">
        <v>0.6</v>
      </c>
      <c r="J272" s="20" t="s">
        <v>249</v>
      </c>
      <c r="L272" s="20" t="s">
        <v>249</v>
      </c>
      <c r="M272" s="20" t="s">
        <v>652</v>
      </c>
      <c r="N272" s="20" t="s">
        <v>40</v>
      </c>
      <c r="O272" s="20">
        <v>2</v>
      </c>
      <c r="P272" s="20">
        <v>3</v>
      </c>
      <c r="Q272" s="13">
        <v>0.51419135214663902</v>
      </c>
      <c r="R272" s="20" t="s">
        <v>249</v>
      </c>
      <c r="S272" s="20">
        <v>-0.28623466257213598</v>
      </c>
      <c r="T272" s="20" t="s">
        <v>249</v>
      </c>
      <c r="U272" s="20" t="s">
        <v>32</v>
      </c>
      <c r="V272" s="20">
        <v>3</v>
      </c>
      <c r="W272" s="20">
        <v>5</v>
      </c>
      <c r="X272" s="20" t="s">
        <v>490</v>
      </c>
      <c r="Y272" s="20" t="s">
        <v>292</v>
      </c>
      <c r="Z272" s="20" t="s">
        <v>60</v>
      </c>
      <c r="AA272" s="20" t="s">
        <v>491</v>
      </c>
    </row>
    <row r="273" spans="1:27" x14ac:dyDescent="0.2">
      <c r="A273" s="1">
        <v>45974</v>
      </c>
      <c r="B273" s="20" t="s">
        <v>328</v>
      </c>
      <c r="C273" s="20" t="s">
        <v>21</v>
      </c>
      <c r="D273" s="20" t="s">
        <v>36</v>
      </c>
      <c r="E273" s="20" t="s">
        <v>702</v>
      </c>
      <c r="F273" s="20" t="s">
        <v>21</v>
      </c>
      <c r="G273" s="20">
        <v>2</v>
      </c>
      <c r="H273" s="20">
        <v>3</v>
      </c>
      <c r="I273" s="13">
        <v>0.6</v>
      </c>
      <c r="J273" s="20" t="s">
        <v>249</v>
      </c>
      <c r="L273" s="20" t="s">
        <v>249</v>
      </c>
      <c r="M273" s="20" t="s">
        <v>703</v>
      </c>
      <c r="N273" s="20" t="s">
        <v>21</v>
      </c>
      <c r="O273" s="20">
        <v>2</v>
      </c>
      <c r="P273" s="20">
        <v>3</v>
      </c>
      <c r="Q273" s="13">
        <v>0.48889131780087369</v>
      </c>
      <c r="R273" s="20" t="s">
        <v>249</v>
      </c>
      <c r="S273" s="20">
        <v>-0.26170554149394448</v>
      </c>
      <c r="T273" s="20" t="s">
        <v>249</v>
      </c>
      <c r="U273" s="20" t="s">
        <v>36</v>
      </c>
      <c r="V273" s="20">
        <v>3</v>
      </c>
      <c r="W273" s="20">
        <v>5</v>
      </c>
      <c r="X273" s="20" t="s">
        <v>490</v>
      </c>
      <c r="Y273" s="20" t="s">
        <v>292</v>
      </c>
      <c r="Z273" s="20" t="s">
        <v>60</v>
      </c>
      <c r="AA273" s="20" t="s">
        <v>491</v>
      </c>
    </row>
    <row r="274" spans="1:27" x14ac:dyDescent="0.2">
      <c r="A274" s="1">
        <v>45974</v>
      </c>
      <c r="B274" s="20" t="s">
        <v>326</v>
      </c>
      <c r="C274" s="20" t="s">
        <v>33</v>
      </c>
      <c r="D274" s="20" t="s">
        <v>16</v>
      </c>
      <c r="E274" s="20" t="s">
        <v>866</v>
      </c>
      <c r="F274" s="20" t="s">
        <v>33</v>
      </c>
      <c r="G274" s="20">
        <v>2</v>
      </c>
      <c r="H274" s="20">
        <v>3</v>
      </c>
      <c r="I274" s="13">
        <v>0.6</v>
      </c>
      <c r="J274" s="20" t="s">
        <v>249</v>
      </c>
      <c r="L274" s="20" t="s">
        <v>249</v>
      </c>
      <c r="M274" s="20" t="s">
        <v>867</v>
      </c>
      <c r="N274" s="20" t="s">
        <v>33</v>
      </c>
      <c r="O274" s="20">
        <v>2</v>
      </c>
      <c r="P274" s="20">
        <v>3</v>
      </c>
      <c r="Q274" s="13">
        <v>0.52591949068755661</v>
      </c>
      <c r="R274" s="20" t="s">
        <v>249</v>
      </c>
      <c r="S274" s="20">
        <v>-0.56454953773921501</v>
      </c>
      <c r="T274" s="20" t="s">
        <v>249</v>
      </c>
      <c r="U274" s="20" t="s">
        <v>16</v>
      </c>
      <c r="V274" s="20">
        <v>0</v>
      </c>
      <c r="W274" s="20">
        <v>2</v>
      </c>
      <c r="X274" s="20" t="s">
        <v>490</v>
      </c>
      <c r="Y274" s="20" t="s">
        <v>292</v>
      </c>
      <c r="Z274" s="20" t="s">
        <v>60</v>
      </c>
      <c r="AA274" s="20" t="s">
        <v>491</v>
      </c>
    </row>
    <row r="275" spans="1:27" x14ac:dyDescent="0.2">
      <c r="A275" s="1">
        <v>45974</v>
      </c>
      <c r="B275" s="20" t="s">
        <v>328</v>
      </c>
      <c r="C275" s="20" t="s">
        <v>22</v>
      </c>
      <c r="D275" s="20" t="s">
        <v>11</v>
      </c>
      <c r="E275" s="20" t="s">
        <v>868</v>
      </c>
      <c r="F275" s="20" t="s">
        <v>22</v>
      </c>
      <c r="G275" s="20">
        <v>2</v>
      </c>
      <c r="H275" s="20">
        <v>3</v>
      </c>
      <c r="I275" s="13">
        <v>0.6</v>
      </c>
      <c r="J275" s="20" t="s">
        <v>249</v>
      </c>
      <c r="L275" s="20" t="s">
        <v>249</v>
      </c>
      <c r="M275" s="20" t="s">
        <v>869</v>
      </c>
      <c r="N275" s="20" t="s">
        <v>22</v>
      </c>
      <c r="O275" s="20">
        <v>2</v>
      </c>
      <c r="P275" s="20">
        <v>3</v>
      </c>
      <c r="Q275" s="13">
        <v>0.58037393944359772</v>
      </c>
      <c r="R275" s="20" t="s">
        <v>249</v>
      </c>
      <c r="S275" s="20">
        <v>-0.78792477499470093</v>
      </c>
      <c r="T275" s="20" t="s">
        <v>249</v>
      </c>
      <c r="U275" s="20" t="s">
        <v>11</v>
      </c>
      <c r="V275" s="20">
        <v>3</v>
      </c>
      <c r="W275" s="20">
        <v>6</v>
      </c>
      <c r="X275" s="20" t="s">
        <v>490</v>
      </c>
      <c r="Y275" s="20" t="s">
        <v>292</v>
      </c>
      <c r="Z275" s="20" t="s">
        <v>60</v>
      </c>
      <c r="AA275" s="20" t="s">
        <v>491</v>
      </c>
    </row>
    <row r="276" spans="1:27" x14ac:dyDescent="0.2">
      <c r="A276" s="1">
        <v>45974</v>
      </c>
      <c r="B276" s="20" t="s">
        <v>328</v>
      </c>
      <c r="C276" s="20" t="s">
        <v>31</v>
      </c>
      <c r="D276" s="20" t="s">
        <v>26</v>
      </c>
      <c r="E276" s="20" t="s">
        <v>870</v>
      </c>
      <c r="F276" s="20" t="s">
        <v>31</v>
      </c>
      <c r="G276" s="20">
        <v>2</v>
      </c>
      <c r="H276" s="20">
        <v>3</v>
      </c>
      <c r="I276" s="13">
        <v>0.6</v>
      </c>
      <c r="J276" s="20" t="s">
        <v>249</v>
      </c>
      <c r="L276" s="20" t="s">
        <v>249</v>
      </c>
      <c r="M276" s="20" t="s">
        <v>871</v>
      </c>
      <c r="N276" s="20" t="s">
        <v>31</v>
      </c>
      <c r="O276" s="20">
        <v>2</v>
      </c>
      <c r="P276" s="20">
        <v>3</v>
      </c>
      <c r="Q276" s="13">
        <v>0.59801761042551338</v>
      </c>
      <c r="R276" s="20" t="s">
        <v>249</v>
      </c>
      <c r="S276" s="20">
        <v>-1.0041418379484131</v>
      </c>
      <c r="T276" s="20" t="s">
        <v>249</v>
      </c>
      <c r="U276" s="20" t="s">
        <v>26</v>
      </c>
      <c r="V276" s="20">
        <v>3</v>
      </c>
      <c r="W276" s="20">
        <v>6</v>
      </c>
      <c r="X276" s="20" t="s">
        <v>490</v>
      </c>
      <c r="Y276" s="20" t="s">
        <v>292</v>
      </c>
      <c r="Z276" s="20" t="s">
        <v>60</v>
      </c>
      <c r="AA276" s="20" t="s">
        <v>491</v>
      </c>
    </row>
    <row r="277" spans="1:27" x14ac:dyDescent="0.2">
      <c r="A277" s="1">
        <v>45974</v>
      </c>
      <c r="B277" s="20" t="s">
        <v>326</v>
      </c>
      <c r="C277" s="20" t="s">
        <v>23</v>
      </c>
      <c r="D277" s="20" t="s">
        <v>12</v>
      </c>
      <c r="E277" s="20" t="s">
        <v>872</v>
      </c>
      <c r="F277" s="20" t="s">
        <v>12</v>
      </c>
      <c r="G277" s="20">
        <v>2</v>
      </c>
      <c r="H277" s="20">
        <v>3</v>
      </c>
      <c r="I277" s="13">
        <v>0.6</v>
      </c>
      <c r="J277" s="20" t="s">
        <v>249</v>
      </c>
      <c r="L277" s="20" t="s">
        <v>248</v>
      </c>
      <c r="M277" s="20" t="s">
        <v>361</v>
      </c>
      <c r="N277" s="20" t="s">
        <v>12</v>
      </c>
      <c r="O277" s="20">
        <v>2</v>
      </c>
      <c r="P277" s="20">
        <v>3</v>
      </c>
      <c r="Q277" s="13">
        <v>0.89629830338808214</v>
      </c>
      <c r="R277" s="20" t="s">
        <v>249</v>
      </c>
      <c r="S277" s="20">
        <v>2.1579148430907278</v>
      </c>
      <c r="T277" s="20" t="s">
        <v>248</v>
      </c>
      <c r="U277" s="20" t="s">
        <v>12</v>
      </c>
      <c r="V277" s="20">
        <v>3</v>
      </c>
      <c r="W277" s="20">
        <v>6</v>
      </c>
      <c r="X277" s="20" t="s">
        <v>490</v>
      </c>
      <c r="Y277" s="20" t="s">
        <v>292</v>
      </c>
      <c r="Z277" s="20" t="s">
        <v>60</v>
      </c>
      <c r="AA277" s="20" t="s">
        <v>491</v>
      </c>
    </row>
    <row r="278" spans="1:27" x14ac:dyDescent="0.2">
      <c r="A278" s="1">
        <v>45974</v>
      </c>
      <c r="B278" s="20" t="s">
        <v>328</v>
      </c>
      <c r="C278" s="20" t="s">
        <v>39</v>
      </c>
      <c r="D278" s="20" t="s">
        <v>18</v>
      </c>
      <c r="E278" s="20" t="s">
        <v>873</v>
      </c>
      <c r="F278" s="20" t="s">
        <v>39</v>
      </c>
      <c r="G278" s="20">
        <v>2</v>
      </c>
      <c r="H278" s="20">
        <v>3</v>
      </c>
      <c r="I278" s="13">
        <v>0.6</v>
      </c>
      <c r="J278" s="20" t="s">
        <v>249</v>
      </c>
      <c r="L278" s="20" t="s">
        <v>248</v>
      </c>
      <c r="M278" s="20" t="s">
        <v>398</v>
      </c>
      <c r="N278" s="20" t="s">
        <v>39</v>
      </c>
      <c r="O278" s="20">
        <v>2</v>
      </c>
      <c r="P278" s="20">
        <v>3</v>
      </c>
      <c r="Q278" s="13">
        <v>0.67347523248448404</v>
      </c>
      <c r="R278" s="20" t="s">
        <v>249</v>
      </c>
      <c r="S278" s="20">
        <v>-0.95643138120578253</v>
      </c>
      <c r="T278" s="20" t="s">
        <v>248</v>
      </c>
      <c r="U278" s="20" t="s">
        <v>39</v>
      </c>
      <c r="V278" s="20">
        <v>7</v>
      </c>
      <c r="W278" s="20">
        <v>0</v>
      </c>
      <c r="X278" s="20" t="s">
        <v>490</v>
      </c>
      <c r="Y278" s="20" t="s">
        <v>292</v>
      </c>
      <c r="Z278" s="20" t="s">
        <v>60</v>
      </c>
      <c r="AA278" s="20" t="s">
        <v>491</v>
      </c>
    </row>
    <row r="279" spans="1:27" x14ac:dyDescent="0.2">
      <c r="A279" s="1">
        <v>45974</v>
      </c>
      <c r="B279" s="20" t="s">
        <v>334</v>
      </c>
      <c r="C279" s="20" t="s">
        <v>17</v>
      </c>
      <c r="D279" s="20" t="s">
        <v>28</v>
      </c>
      <c r="E279" s="20" t="s">
        <v>874</v>
      </c>
      <c r="F279" s="20" t="s">
        <v>28</v>
      </c>
      <c r="G279" s="20">
        <v>2</v>
      </c>
      <c r="H279" s="20">
        <v>3</v>
      </c>
      <c r="I279" s="13">
        <v>0.6</v>
      </c>
      <c r="J279" s="20" t="s">
        <v>249</v>
      </c>
      <c r="L279" s="20" t="s">
        <v>248</v>
      </c>
      <c r="M279" s="20" t="s">
        <v>730</v>
      </c>
      <c r="N279" s="20" t="s">
        <v>28</v>
      </c>
      <c r="O279" s="20">
        <v>2</v>
      </c>
      <c r="P279" s="20">
        <v>3</v>
      </c>
      <c r="Q279" s="13">
        <v>0.57183684667358736</v>
      </c>
      <c r="R279" s="20" t="s">
        <v>249</v>
      </c>
      <c r="S279" s="20">
        <v>0.2726580088101439</v>
      </c>
      <c r="T279" s="20" t="s">
        <v>248</v>
      </c>
      <c r="U279" s="20" t="s">
        <v>28</v>
      </c>
      <c r="V279" s="20">
        <v>4</v>
      </c>
      <c r="W279" s="20">
        <v>5</v>
      </c>
      <c r="X279" s="20" t="s">
        <v>490</v>
      </c>
      <c r="Y279" s="20" t="s">
        <v>292</v>
      </c>
      <c r="Z279" s="20" t="s">
        <v>60</v>
      </c>
      <c r="AA279" s="20" t="s">
        <v>491</v>
      </c>
    </row>
    <row r="280" spans="1:27" x14ac:dyDescent="0.2">
      <c r="A280" s="1">
        <v>45975</v>
      </c>
      <c r="B280" s="20" t="s">
        <v>326</v>
      </c>
      <c r="C280" s="20" t="s">
        <v>30</v>
      </c>
      <c r="D280" s="20" t="s">
        <v>55</v>
      </c>
      <c r="E280" s="20" t="s">
        <v>875</v>
      </c>
      <c r="F280" s="20" t="s">
        <v>30</v>
      </c>
      <c r="G280" s="20">
        <v>2</v>
      </c>
      <c r="H280" s="20">
        <v>3</v>
      </c>
      <c r="I280" s="13">
        <v>0.6</v>
      </c>
      <c r="J280" s="20" t="s">
        <v>249</v>
      </c>
      <c r="L280" s="20" t="s">
        <v>248</v>
      </c>
      <c r="M280" s="20" t="s">
        <v>580</v>
      </c>
      <c r="N280" s="20" t="s">
        <v>30</v>
      </c>
      <c r="O280" s="20">
        <v>2</v>
      </c>
      <c r="P280" s="20">
        <v>3</v>
      </c>
      <c r="Q280" s="13">
        <v>0.50473168987713912</v>
      </c>
      <c r="R280" s="20" t="s">
        <v>249</v>
      </c>
      <c r="S280" s="20">
        <v>-0.11229054265668741</v>
      </c>
      <c r="T280" s="20" t="s">
        <v>248</v>
      </c>
      <c r="U280" s="20" t="s">
        <v>30</v>
      </c>
      <c r="V280" s="20">
        <v>3</v>
      </c>
      <c r="W280" s="20">
        <v>2</v>
      </c>
      <c r="X280" s="20" t="s">
        <v>496</v>
      </c>
      <c r="Y280" s="20" t="s">
        <v>292</v>
      </c>
      <c r="Z280" s="20" t="s">
        <v>60</v>
      </c>
      <c r="AA280" s="20" t="s">
        <v>491</v>
      </c>
    </row>
    <row r="281" spans="1:27" x14ac:dyDescent="0.2">
      <c r="A281" s="1">
        <v>45975</v>
      </c>
      <c r="B281" s="20" t="s">
        <v>459</v>
      </c>
      <c r="C281" s="20" t="s">
        <v>14</v>
      </c>
      <c r="D281" s="20" t="s">
        <v>29</v>
      </c>
      <c r="E281" s="20" t="s">
        <v>876</v>
      </c>
      <c r="F281" s="20" t="s">
        <v>14</v>
      </c>
      <c r="G281" s="20">
        <v>2</v>
      </c>
      <c r="H281" s="20">
        <v>3</v>
      </c>
      <c r="I281" s="13">
        <v>0.6</v>
      </c>
      <c r="J281" s="20" t="s">
        <v>249</v>
      </c>
      <c r="L281" s="20" t="s">
        <v>249</v>
      </c>
      <c r="M281" s="20" t="s">
        <v>877</v>
      </c>
      <c r="N281" s="20" t="s">
        <v>14</v>
      </c>
      <c r="O281" s="20">
        <v>2</v>
      </c>
      <c r="P281" s="20">
        <v>3</v>
      </c>
      <c r="Q281" s="13">
        <v>0.63855816958625278</v>
      </c>
      <c r="R281" s="20" t="s">
        <v>249</v>
      </c>
      <c r="S281" s="20">
        <v>-1.192752313321408</v>
      </c>
      <c r="T281" s="20" t="s">
        <v>249</v>
      </c>
      <c r="U281" s="20" t="s">
        <v>29</v>
      </c>
      <c r="V281" s="20">
        <v>1</v>
      </c>
      <c r="W281" s="20">
        <v>2</v>
      </c>
      <c r="X281" s="20" t="s">
        <v>496</v>
      </c>
      <c r="Y281" s="20" t="s">
        <v>292</v>
      </c>
      <c r="Z281" s="20" t="s">
        <v>60</v>
      </c>
      <c r="AA281" s="20" t="s">
        <v>491</v>
      </c>
    </row>
    <row r="282" spans="1:27" x14ac:dyDescent="0.2">
      <c r="A282" s="1">
        <v>45975</v>
      </c>
      <c r="B282" s="20" t="s">
        <v>324</v>
      </c>
      <c r="C282" s="20" t="s">
        <v>27</v>
      </c>
      <c r="D282" s="20" t="s">
        <v>35</v>
      </c>
      <c r="E282" s="20" t="s">
        <v>878</v>
      </c>
      <c r="F282" s="20" t="s">
        <v>27</v>
      </c>
      <c r="G282" s="20">
        <v>2</v>
      </c>
      <c r="H282" s="20">
        <v>3</v>
      </c>
      <c r="I282" s="13">
        <v>0.6</v>
      </c>
      <c r="J282" s="20" t="s">
        <v>249</v>
      </c>
      <c r="L282" s="20" t="s">
        <v>248</v>
      </c>
      <c r="M282" s="20" t="s">
        <v>393</v>
      </c>
      <c r="N282" s="20" t="s">
        <v>27</v>
      </c>
      <c r="O282" s="20">
        <v>2</v>
      </c>
      <c r="P282" s="20">
        <v>3</v>
      </c>
      <c r="Q282" s="13">
        <v>0.61511326154149359</v>
      </c>
      <c r="R282" s="20" t="s">
        <v>249</v>
      </c>
      <c r="S282" s="20">
        <v>-0.96433803951824404</v>
      </c>
      <c r="T282" s="20" t="s">
        <v>248</v>
      </c>
      <c r="U282" s="20" t="s">
        <v>27</v>
      </c>
      <c r="V282" s="20">
        <v>6</v>
      </c>
      <c r="W282" s="20">
        <v>5</v>
      </c>
      <c r="X282" s="20" t="s">
        <v>496</v>
      </c>
      <c r="Y282" s="20" t="s">
        <v>292</v>
      </c>
      <c r="Z282" s="20" t="s">
        <v>60</v>
      </c>
      <c r="AA282" s="20" t="s">
        <v>491</v>
      </c>
    </row>
    <row r="283" spans="1:27" x14ac:dyDescent="0.2">
      <c r="A283" s="1">
        <v>45975</v>
      </c>
      <c r="B283" s="20" t="s">
        <v>328</v>
      </c>
      <c r="C283" s="20" t="s">
        <v>38</v>
      </c>
      <c r="D283" s="20" t="s">
        <v>25</v>
      </c>
      <c r="E283" s="20" t="s">
        <v>879</v>
      </c>
      <c r="F283" s="20" t="s">
        <v>25</v>
      </c>
      <c r="G283" s="20">
        <v>2</v>
      </c>
      <c r="H283" s="20">
        <v>3</v>
      </c>
      <c r="I283" s="13">
        <v>0.6</v>
      </c>
      <c r="J283" s="20" t="s">
        <v>249</v>
      </c>
      <c r="L283" s="20" t="s">
        <v>248</v>
      </c>
      <c r="M283" s="20" t="s">
        <v>450</v>
      </c>
      <c r="N283" s="20" t="s">
        <v>25</v>
      </c>
      <c r="O283" s="20">
        <v>2</v>
      </c>
      <c r="P283" s="20">
        <v>3</v>
      </c>
      <c r="Q283" s="13">
        <v>0.75442116247126945</v>
      </c>
      <c r="R283" s="20" t="s">
        <v>249</v>
      </c>
      <c r="S283" s="20">
        <v>1.423253641362519</v>
      </c>
      <c r="T283" s="20" t="s">
        <v>248</v>
      </c>
      <c r="U283" s="20" t="s">
        <v>25</v>
      </c>
      <c r="V283" s="20">
        <v>3</v>
      </c>
      <c r="W283" s="20">
        <v>4</v>
      </c>
      <c r="X283" s="20" t="s">
        <v>496</v>
      </c>
      <c r="Y283" s="20" t="s">
        <v>292</v>
      </c>
      <c r="Z283" s="20" t="s">
        <v>60</v>
      </c>
      <c r="AA283" s="20" t="s">
        <v>491</v>
      </c>
    </row>
    <row r="284" spans="1:27" x14ac:dyDescent="0.2">
      <c r="A284" s="1">
        <v>45976</v>
      </c>
      <c r="B284" s="20" t="s">
        <v>328</v>
      </c>
      <c r="C284" s="20" t="s">
        <v>24</v>
      </c>
      <c r="D284" s="20" t="s">
        <v>22</v>
      </c>
      <c r="E284" s="20" t="s">
        <v>880</v>
      </c>
      <c r="F284" s="20" t="s">
        <v>22</v>
      </c>
      <c r="G284" s="20">
        <v>2</v>
      </c>
      <c r="H284" s="20">
        <v>3</v>
      </c>
      <c r="I284" s="13">
        <v>0.6</v>
      </c>
      <c r="J284" s="20" t="s">
        <v>249</v>
      </c>
      <c r="L284" s="20" t="s">
        <v>249</v>
      </c>
      <c r="M284" s="20" t="s">
        <v>881</v>
      </c>
      <c r="N284" s="20" t="s">
        <v>22</v>
      </c>
      <c r="O284" s="20">
        <v>2</v>
      </c>
      <c r="P284" s="20">
        <v>3</v>
      </c>
      <c r="Q284" s="13">
        <v>0.6025615888223681</v>
      </c>
      <c r="R284" s="20" t="s">
        <v>249</v>
      </c>
      <c r="S284" s="20">
        <v>0.48907773101231511</v>
      </c>
      <c r="T284" s="20" t="s">
        <v>249</v>
      </c>
      <c r="U284" s="20" t="s">
        <v>24</v>
      </c>
      <c r="V284" s="20">
        <v>3</v>
      </c>
      <c r="W284" s="20">
        <v>2</v>
      </c>
      <c r="X284" s="20" t="s">
        <v>496</v>
      </c>
      <c r="Y284" s="20" t="s">
        <v>292</v>
      </c>
      <c r="Z284" s="20" t="s">
        <v>60</v>
      </c>
      <c r="AA284" s="20" t="s">
        <v>491</v>
      </c>
    </row>
    <row r="285" spans="1:27" x14ac:dyDescent="0.2">
      <c r="A285" s="1">
        <v>45976</v>
      </c>
      <c r="B285" s="20" t="s">
        <v>324</v>
      </c>
      <c r="C285" s="20" t="s">
        <v>20</v>
      </c>
      <c r="D285" s="20" t="s">
        <v>35</v>
      </c>
      <c r="E285" s="20" t="s">
        <v>882</v>
      </c>
      <c r="F285" s="20" t="s">
        <v>20</v>
      </c>
      <c r="G285" s="20">
        <v>2</v>
      </c>
      <c r="H285" s="20">
        <v>3</v>
      </c>
      <c r="I285" s="13">
        <v>0.6</v>
      </c>
      <c r="J285" s="20" t="s">
        <v>249</v>
      </c>
      <c r="L285" s="20" t="s">
        <v>248</v>
      </c>
      <c r="M285" s="20" t="s">
        <v>510</v>
      </c>
      <c r="N285" s="20" t="s">
        <v>20</v>
      </c>
      <c r="O285" s="20">
        <v>2</v>
      </c>
      <c r="P285" s="20">
        <v>3</v>
      </c>
      <c r="Q285" s="13">
        <v>0.58845720740840357</v>
      </c>
      <c r="R285" s="20" t="s">
        <v>249</v>
      </c>
      <c r="S285" s="20">
        <v>-1.1001367927039241</v>
      </c>
      <c r="T285" s="20" t="s">
        <v>248</v>
      </c>
      <c r="U285" s="20" t="s">
        <v>20</v>
      </c>
      <c r="V285" s="20">
        <v>4</v>
      </c>
      <c r="W285" s="20">
        <v>1</v>
      </c>
      <c r="X285" s="20" t="s">
        <v>490</v>
      </c>
      <c r="Y285" s="20" t="s">
        <v>292</v>
      </c>
      <c r="Z285" s="20" t="s">
        <v>60</v>
      </c>
      <c r="AA285" s="20" t="s">
        <v>491</v>
      </c>
    </row>
    <row r="286" spans="1:27" x14ac:dyDescent="0.2">
      <c r="A286" s="1">
        <v>45976</v>
      </c>
      <c r="B286" s="20" t="s">
        <v>322</v>
      </c>
      <c r="C286" s="20" t="s">
        <v>33</v>
      </c>
      <c r="D286" s="20" t="s">
        <v>32</v>
      </c>
      <c r="E286" s="20" t="s">
        <v>792</v>
      </c>
      <c r="F286" s="20" t="s">
        <v>33</v>
      </c>
      <c r="G286" s="20">
        <v>2</v>
      </c>
      <c r="H286" s="20">
        <v>3</v>
      </c>
      <c r="I286" s="13">
        <v>0.6</v>
      </c>
      <c r="J286" s="20" t="s">
        <v>249</v>
      </c>
      <c r="L286" s="20" t="s">
        <v>249</v>
      </c>
      <c r="M286" s="20" t="s">
        <v>883</v>
      </c>
      <c r="N286" s="20" t="s">
        <v>33</v>
      </c>
      <c r="O286" s="20">
        <v>2</v>
      </c>
      <c r="P286" s="20">
        <v>3</v>
      </c>
      <c r="Q286" s="13">
        <v>0.47729817289275139</v>
      </c>
      <c r="R286" s="20" t="s">
        <v>249</v>
      </c>
      <c r="S286" s="20">
        <v>-0.1481454939726842</v>
      </c>
      <c r="T286" s="20" t="s">
        <v>249</v>
      </c>
      <c r="U286" s="20" t="s">
        <v>32</v>
      </c>
      <c r="V286" s="20">
        <v>1</v>
      </c>
      <c r="W286" s="20">
        <v>4</v>
      </c>
      <c r="X286" s="20" t="s">
        <v>490</v>
      </c>
      <c r="Y286" s="20" t="s">
        <v>292</v>
      </c>
      <c r="Z286" s="20" t="s">
        <v>60</v>
      </c>
      <c r="AA286" s="20" t="s">
        <v>491</v>
      </c>
    </row>
    <row r="287" spans="1:27" x14ac:dyDescent="0.2">
      <c r="A287" s="1">
        <v>45976</v>
      </c>
      <c r="B287" s="20" t="s">
        <v>328</v>
      </c>
      <c r="C287" s="20" t="s">
        <v>21</v>
      </c>
      <c r="D287" s="20" t="s">
        <v>18</v>
      </c>
      <c r="E287" s="20" t="s">
        <v>884</v>
      </c>
      <c r="F287" s="20" t="s">
        <v>21</v>
      </c>
      <c r="G287" s="20">
        <v>2</v>
      </c>
      <c r="H287" s="20">
        <v>3</v>
      </c>
      <c r="I287" s="13">
        <v>0.6</v>
      </c>
      <c r="J287" s="20" t="s">
        <v>249</v>
      </c>
      <c r="L287" s="20" t="s">
        <v>248</v>
      </c>
      <c r="M287" s="20" t="s">
        <v>465</v>
      </c>
      <c r="N287" s="20" t="s">
        <v>21</v>
      </c>
      <c r="O287" s="20">
        <v>2</v>
      </c>
      <c r="P287" s="20">
        <v>3</v>
      </c>
      <c r="Q287" s="13">
        <v>0.49857009559320381</v>
      </c>
      <c r="R287" s="20" t="s">
        <v>249</v>
      </c>
      <c r="S287" s="20">
        <v>-0.32321911890293109</v>
      </c>
      <c r="T287" s="20" t="s">
        <v>248</v>
      </c>
      <c r="U287" s="20" t="s">
        <v>21</v>
      </c>
      <c r="V287" s="20">
        <v>3</v>
      </c>
      <c r="W287" s="20">
        <v>2</v>
      </c>
      <c r="X287" s="20" t="s">
        <v>490</v>
      </c>
      <c r="Y287" s="20" t="s">
        <v>292</v>
      </c>
      <c r="Z287" s="20" t="s">
        <v>60</v>
      </c>
      <c r="AA287" s="20" t="s">
        <v>491</v>
      </c>
    </row>
    <row r="288" spans="1:27" x14ac:dyDescent="0.2">
      <c r="A288" s="1">
        <v>45976</v>
      </c>
      <c r="B288" s="20" t="s">
        <v>469</v>
      </c>
      <c r="C288" s="20" t="s">
        <v>31</v>
      </c>
      <c r="D288" s="20" t="s">
        <v>34</v>
      </c>
      <c r="E288" s="20" t="s">
        <v>885</v>
      </c>
      <c r="F288" s="20" t="s">
        <v>31</v>
      </c>
      <c r="G288" s="20">
        <v>2</v>
      </c>
      <c r="H288" s="20">
        <v>3</v>
      </c>
      <c r="I288" s="13">
        <v>0.6</v>
      </c>
      <c r="J288" s="20" t="s">
        <v>249</v>
      </c>
      <c r="L288" s="20" t="s">
        <v>249</v>
      </c>
      <c r="M288" s="20" t="s">
        <v>886</v>
      </c>
      <c r="N288" s="20" t="s">
        <v>31</v>
      </c>
      <c r="O288" s="20">
        <v>2</v>
      </c>
      <c r="P288" s="20">
        <v>3</v>
      </c>
      <c r="Q288" s="13">
        <v>0.50224542963658214</v>
      </c>
      <c r="R288" s="20" t="s">
        <v>249</v>
      </c>
      <c r="S288" s="20">
        <v>-0.18392706036558271</v>
      </c>
      <c r="T288" s="20" t="s">
        <v>249</v>
      </c>
      <c r="U288" s="20" t="s">
        <v>34</v>
      </c>
      <c r="V288" s="20">
        <v>0</v>
      </c>
      <c r="W288" s="20">
        <v>2</v>
      </c>
      <c r="X288" s="20" t="s">
        <v>490</v>
      </c>
      <c r="Y288" s="20" t="s">
        <v>292</v>
      </c>
      <c r="Z288" s="20" t="s">
        <v>60</v>
      </c>
      <c r="AA288" s="20" t="s">
        <v>491</v>
      </c>
    </row>
    <row r="289" spans="1:27" x14ac:dyDescent="0.2">
      <c r="A289" s="1">
        <v>45976</v>
      </c>
      <c r="B289" s="20" t="s">
        <v>328</v>
      </c>
      <c r="C289" s="20" t="s">
        <v>13</v>
      </c>
      <c r="D289" s="20" t="s">
        <v>36</v>
      </c>
      <c r="E289" s="20" t="s">
        <v>887</v>
      </c>
      <c r="F289" s="20" t="s">
        <v>13</v>
      </c>
      <c r="G289" s="20">
        <v>2</v>
      </c>
      <c r="H289" s="20">
        <v>3</v>
      </c>
      <c r="I289" s="13">
        <v>0.6</v>
      </c>
      <c r="J289" s="20" t="s">
        <v>249</v>
      </c>
      <c r="L289" s="20" t="s">
        <v>248</v>
      </c>
      <c r="M289" s="20" t="s">
        <v>628</v>
      </c>
      <c r="N289" s="20" t="s">
        <v>13</v>
      </c>
      <c r="O289" s="20">
        <v>2</v>
      </c>
      <c r="P289" s="20">
        <v>3</v>
      </c>
      <c r="Q289" s="13">
        <v>0.54052926852435756</v>
      </c>
      <c r="R289" s="20" t="s">
        <v>249</v>
      </c>
      <c r="S289" s="20">
        <v>-0.14319170326446251</v>
      </c>
      <c r="T289" s="20" t="s">
        <v>248</v>
      </c>
      <c r="U289" s="20" t="s">
        <v>13</v>
      </c>
      <c r="V289" s="20">
        <v>1</v>
      </c>
      <c r="W289" s="20">
        <v>0</v>
      </c>
      <c r="X289" s="20" t="s">
        <v>490</v>
      </c>
      <c r="Y289" s="20" t="s">
        <v>292</v>
      </c>
      <c r="Z289" s="20" t="s">
        <v>60</v>
      </c>
      <c r="AA289" s="20" t="s">
        <v>491</v>
      </c>
    </row>
    <row r="290" spans="1:27" x14ac:dyDescent="0.2">
      <c r="A290" s="1">
        <v>45976</v>
      </c>
      <c r="B290" s="20" t="s">
        <v>324</v>
      </c>
      <c r="C290" s="20" t="s">
        <v>27</v>
      </c>
      <c r="D290" s="20" t="s">
        <v>39</v>
      </c>
      <c r="E290" s="20" t="s">
        <v>888</v>
      </c>
      <c r="F290" s="20" t="s">
        <v>39</v>
      </c>
      <c r="G290" s="20">
        <v>2</v>
      </c>
      <c r="H290" s="20">
        <v>3</v>
      </c>
      <c r="I290" s="13">
        <v>0.6</v>
      </c>
      <c r="J290" s="20" t="s">
        <v>249</v>
      </c>
      <c r="L290" s="20" t="s">
        <v>248</v>
      </c>
      <c r="M290" s="20" t="s">
        <v>398</v>
      </c>
      <c r="N290" s="20" t="s">
        <v>39</v>
      </c>
      <c r="O290" s="20">
        <v>2</v>
      </c>
      <c r="P290" s="20">
        <v>3</v>
      </c>
      <c r="Q290" s="13">
        <v>0.62862122822447553</v>
      </c>
      <c r="R290" s="20" t="s">
        <v>249</v>
      </c>
      <c r="S290" s="20">
        <v>0.84358283428459835</v>
      </c>
      <c r="T290" s="20" t="s">
        <v>248</v>
      </c>
      <c r="U290" s="20" t="s">
        <v>39</v>
      </c>
      <c r="V290" s="20">
        <v>1</v>
      </c>
      <c r="W290" s="20">
        <v>5</v>
      </c>
      <c r="X290" s="20" t="s">
        <v>490</v>
      </c>
      <c r="Y290" s="20" t="s">
        <v>292</v>
      </c>
      <c r="Z290" s="20" t="s">
        <v>60</v>
      </c>
      <c r="AA290" s="20" t="s">
        <v>491</v>
      </c>
    </row>
    <row r="291" spans="1:27" x14ac:dyDescent="0.2">
      <c r="A291" s="1">
        <v>45976</v>
      </c>
      <c r="B291" s="20" t="s">
        <v>328</v>
      </c>
      <c r="C291" s="20" t="s">
        <v>19</v>
      </c>
      <c r="D291" s="20" t="s">
        <v>10</v>
      </c>
      <c r="E291" s="20" t="s">
        <v>889</v>
      </c>
      <c r="F291" s="20" t="s">
        <v>10</v>
      </c>
      <c r="G291" s="20">
        <v>2</v>
      </c>
      <c r="H291" s="20">
        <v>3</v>
      </c>
      <c r="I291" s="13">
        <v>0.6</v>
      </c>
      <c r="J291" s="20" t="s">
        <v>249</v>
      </c>
      <c r="L291" s="20" t="s">
        <v>248</v>
      </c>
      <c r="M291" s="20" t="s">
        <v>303</v>
      </c>
      <c r="N291" s="20" t="s">
        <v>10</v>
      </c>
      <c r="O291" s="20">
        <v>2</v>
      </c>
      <c r="P291" s="20">
        <v>3</v>
      </c>
      <c r="Q291" s="13">
        <v>0.59933787542753747</v>
      </c>
      <c r="R291" s="20" t="s">
        <v>249</v>
      </c>
      <c r="S291" s="20">
        <v>0.50818308505782939</v>
      </c>
      <c r="T291" s="20" t="s">
        <v>248</v>
      </c>
      <c r="U291" s="20" t="s">
        <v>10</v>
      </c>
      <c r="V291" s="20">
        <v>2</v>
      </c>
      <c r="W291" s="20">
        <v>3</v>
      </c>
      <c r="X291" s="20" t="s">
        <v>490</v>
      </c>
      <c r="Y291" s="20" t="s">
        <v>292</v>
      </c>
      <c r="Z291" s="20" t="s">
        <v>60</v>
      </c>
      <c r="AA291" s="20" t="s">
        <v>491</v>
      </c>
    </row>
    <row r="292" spans="1:27" x14ac:dyDescent="0.2">
      <c r="A292" s="1">
        <v>45976</v>
      </c>
      <c r="B292" s="20" t="s">
        <v>322</v>
      </c>
      <c r="C292" s="20" t="s">
        <v>40</v>
      </c>
      <c r="D292" s="20" t="s">
        <v>16</v>
      </c>
      <c r="E292" s="20" t="s">
        <v>618</v>
      </c>
      <c r="F292" s="20" t="s">
        <v>40</v>
      </c>
      <c r="G292" s="20">
        <v>2</v>
      </c>
      <c r="H292" s="20">
        <v>3</v>
      </c>
      <c r="I292" s="13">
        <v>0.6</v>
      </c>
      <c r="J292" s="20" t="s">
        <v>249</v>
      </c>
      <c r="L292" s="20" t="s">
        <v>248</v>
      </c>
      <c r="M292" s="20" t="s">
        <v>315</v>
      </c>
      <c r="N292" s="20" t="s">
        <v>40</v>
      </c>
      <c r="O292" s="20">
        <v>2</v>
      </c>
      <c r="P292" s="20">
        <v>3</v>
      </c>
      <c r="Q292" s="13">
        <v>0.56281266994144419</v>
      </c>
      <c r="R292" s="20" t="s">
        <v>249</v>
      </c>
      <c r="S292" s="20">
        <v>-0.70263870633866676</v>
      </c>
      <c r="T292" s="20" t="s">
        <v>248</v>
      </c>
      <c r="U292" s="20" t="s">
        <v>40</v>
      </c>
      <c r="V292" s="20">
        <v>4</v>
      </c>
      <c r="W292" s="20">
        <v>3</v>
      </c>
      <c r="X292" s="20" t="s">
        <v>496</v>
      </c>
      <c r="Y292" s="20" t="s">
        <v>292</v>
      </c>
      <c r="Z292" s="20" t="s">
        <v>60</v>
      </c>
      <c r="AA292" s="20" t="s">
        <v>491</v>
      </c>
    </row>
    <row r="293" spans="1:27" x14ac:dyDescent="0.2">
      <c r="A293" s="1">
        <v>45976</v>
      </c>
      <c r="B293" s="20" t="s">
        <v>328</v>
      </c>
      <c r="C293" s="20" t="s">
        <v>15</v>
      </c>
      <c r="D293" s="20" t="s">
        <v>28</v>
      </c>
      <c r="E293" s="20" t="s">
        <v>890</v>
      </c>
      <c r="F293" s="20" t="s">
        <v>15</v>
      </c>
      <c r="G293" s="20">
        <v>2</v>
      </c>
      <c r="H293" s="20">
        <v>3</v>
      </c>
      <c r="I293" s="13">
        <v>0.6</v>
      </c>
      <c r="J293" s="20" t="s">
        <v>249</v>
      </c>
      <c r="L293" s="20" t="s">
        <v>248</v>
      </c>
      <c r="M293" s="20" t="s">
        <v>518</v>
      </c>
      <c r="N293" s="20" t="s">
        <v>15</v>
      </c>
      <c r="O293" s="20">
        <v>2</v>
      </c>
      <c r="P293" s="20">
        <v>3</v>
      </c>
      <c r="Q293" s="13">
        <v>0.5898628635660369</v>
      </c>
      <c r="R293" s="20" t="s">
        <v>249</v>
      </c>
      <c r="S293" s="20">
        <v>-0.2550546709434352</v>
      </c>
      <c r="T293" s="20" t="s">
        <v>248</v>
      </c>
      <c r="U293" s="20" t="s">
        <v>15</v>
      </c>
      <c r="V293" s="20">
        <v>2</v>
      </c>
      <c r="W293" s="20">
        <v>1</v>
      </c>
      <c r="X293" s="20" t="s">
        <v>496</v>
      </c>
      <c r="Y293" s="20" t="s">
        <v>292</v>
      </c>
      <c r="Z293" s="20" t="s">
        <v>60</v>
      </c>
      <c r="AA293" s="20" t="s">
        <v>491</v>
      </c>
    </row>
    <row r="294" spans="1:27" x14ac:dyDescent="0.2">
      <c r="A294" s="1">
        <v>45976</v>
      </c>
      <c r="B294" s="20" t="s">
        <v>328</v>
      </c>
      <c r="C294" s="20" t="s">
        <v>17</v>
      </c>
      <c r="D294" s="20" t="s">
        <v>25</v>
      </c>
      <c r="E294" s="20" t="s">
        <v>891</v>
      </c>
      <c r="F294" s="20" t="s">
        <v>25</v>
      </c>
      <c r="G294" s="20">
        <v>2</v>
      </c>
      <c r="H294" s="20">
        <v>3</v>
      </c>
      <c r="I294" s="13">
        <v>0.6</v>
      </c>
      <c r="J294" s="20" t="s">
        <v>249</v>
      </c>
      <c r="L294" s="20" t="s">
        <v>249</v>
      </c>
      <c r="M294" s="20" t="s">
        <v>892</v>
      </c>
      <c r="N294" s="20" t="s">
        <v>25</v>
      </c>
      <c r="O294" s="20">
        <v>2</v>
      </c>
      <c r="P294" s="20">
        <v>3</v>
      </c>
      <c r="Q294" s="13">
        <v>0.74273047217949051</v>
      </c>
      <c r="R294" s="20" t="s">
        <v>249</v>
      </c>
      <c r="S294" s="20">
        <v>1.2933225504892369</v>
      </c>
      <c r="T294" s="20" t="s">
        <v>249</v>
      </c>
      <c r="U294" s="20" t="s">
        <v>17</v>
      </c>
      <c r="V294" s="20">
        <v>4</v>
      </c>
      <c r="W294" s="20">
        <v>3</v>
      </c>
      <c r="X294" s="20" t="s">
        <v>496</v>
      </c>
      <c r="Y294" s="20" t="s">
        <v>292</v>
      </c>
      <c r="Z294" s="20" t="s">
        <v>60</v>
      </c>
      <c r="AA294" s="20" t="s">
        <v>491</v>
      </c>
    </row>
    <row r="295" spans="1:27" x14ac:dyDescent="0.2">
      <c r="A295" s="1">
        <v>45976</v>
      </c>
      <c r="B295" s="20" t="s">
        <v>328</v>
      </c>
      <c r="C295" s="20" t="s">
        <v>23</v>
      </c>
      <c r="D295" s="20" t="s">
        <v>26</v>
      </c>
      <c r="E295" s="20" t="s">
        <v>893</v>
      </c>
      <c r="F295" s="20" t="s">
        <v>23</v>
      </c>
      <c r="G295" s="20">
        <v>2</v>
      </c>
      <c r="H295" s="20">
        <v>3</v>
      </c>
      <c r="I295" s="13">
        <v>0.6</v>
      </c>
      <c r="J295" s="20" t="s">
        <v>249</v>
      </c>
      <c r="L295" s="20" t="s">
        <v>248</v>
      </c>
      <c r="M295" s="20" t="s">
        <v>296</v>
      </c>
      <c r="N295" s="20" t="s">
        <v>23</v>
      </c>
      <c r="O295" s="20">
        <v>2</v>
      </c>
      <c r="P295" s="20">
        <v>3</v>
      </c>
      <c r="Q295" s="13">
        <v>0.5007892441269548</v>
      </c>
      <c r="R295" s="20" t="s">
        <v>249</v>
      </c>
      <c r="S295" s="20">
        <v>-0.34932838036855729</v>
      </c>
      <c r="T295" s="20" t="s">
        <v>248</v>
      </c>
      <c r="U295" s="20" t="s">
        <v>23</v>
      </c>
      <c r="V295" s="20">
        <v>5</v>
      </c>
      <c r="W295" s="20">
        <v>4</v>
      </c>
      <c r="X295" s="20" t="s">
        <v>496</v>
      </c>
      <c r="Y295" s="20" t="s">
        <v>292</v>
      </c>
      <c r="Z295" s="20" t="s">
        <v>60</v>
      </c>
      <c r="AA295" s="20" t="s">
        <v>491</v>
      </c>
    </row>
    <row r="296" spans="1:27" x14ac:dyDescent="0.2">
      <c r="A296" s="1">
        <v>45976</v>
      </c>
      <c r="B296" s="20" t="s">
        <v>365</v>
      </c>
      <c r="C296" s="20" t="s">
        <v>37</v>
      </c>
      <c r="D296" s="20" t="s">
        <v>11</v>
      </c>
      <c r="E296" s="20" t="s">
        <v>894</v>
      </c>
      <c r="F296" s="20" t="s">
        <v>37</v>
      </c>
      <c r="G296" s="20">
        <v>2</v>
      </c>
      <c r="H296" s="20">
        <v>3</v>
      </c>
      <c r="I296" s="13">
        <v>0.6</v>
      </c>
      <c r="J296" s="20" t="s">
        <v>249</v>
      </c>
      <c r="L296" s="20" t="s">
        <v>248</v>
      </c>
      <c r="M296" s="20" t="s">
        <v>395</v>
      </c>
      <c r="N296" s="20" t="s">
        <v>37</v>
      </c>
      <c r="O296" s="20">
        <v>2</v>
      </c>
      <c r="P296" s="20">
        <v>3</v>
      </c>
      <c r="Q296" s="13">
        <v>0.63861329811960532</v>
      </c>
      <c r="R296" s="20" t="s">
        <v>249</v>
      </c>
      <c r="S296" s="20">
        <v>-0.85772248888754832</v>
      </c>
      <c r="T296" s="20" t="s">
        <v>248</v>
      </c>
      <c r="U296" s="20" t="s">
        <v>37</v>
      </c>
      <c r="V296" s="20">
        <v>3</v>
      </c>
      <c r="W296" s="20">
        <v>1</v>
      </c>
      <c r="X296" s="20" t="s">
        <v>490</v>
      </c>
      <c r="Y296" s="20" t="s">
        <v>292</v>
      </c>
      <c r="Z296" s="20" t="s">
        <v>60</v>
      </c>
      <c r="AA296" s="20" t="s">
        <v>491</v>
      </c>
    </row>
    <row r="297" spans="1:27" x14ac:dyDescent="0.2">
      <c r="A297" s="1">
        <v>45977</v>
      </c>
      <c r="B297" s="20" t="s">
        <v>326</v>
      </c>
      <c r="C297" s="20" t="s">
        <v>30</v>
      </c>
      <c r="D297" s="20" t="s">
        <v>12</v>
      </c>
      <c r="E297" s="20" t="s">
        <v>895</v>
      </c>
      <c r="F297" s="20" t="s">
        <v>12</v>
      </c>
      <c r="G297" s="20">
        <v>2</v>
      </c>
      <c r="H297" s="20">
        <v>3</v>
      </c>
      <c r="I297" s="13">
        <v>0.6</v>
      </c>
      <c r="J297" s="20" t="s">
        <v>249</v>
      </c>
      <c r="L297" s="20" t="s">
        <v>248</v>
      </c>
      <c r="M297" s="20" t="s">
        <v>361</v>
      </c>
      <c r="N297" s="20" t="s">
        <v>12</v>
      </c>
      <c r="O297" s="20">
        <v>2</v>
      </c>
      <c r="P297" s="20">
        <v>3</v>
      </c>
      <c r="Q297" s="13">
        <v>0.79972909176145879</v>
      </c>
      <c r="R297" s="20" t="s">
        <v>249</v>
      </c>
      <c r="S297" s="20">
        <v>1.922736404791471</v>
      </c>
      <c r="T297" s="20" t="s">
        <v>248</v>
      </c>
      <c r="U297" s="20" t="s">
        <v>12</v>
      </c>
      <c r="V297" s="20">
        <v>1</v>
      </c>
      <c r="W297" s="20">
        <v>4</v>
      </c>
      <c r="X297" s="20" t="s">
        <v>490</v>
      </c>
      <c r="Y297" s="20" t="s">
        <v>292</v>
      </c>
      <c r="Z297" s="20" t="s">
        <v>60</v>
      </c>
      <c r="AA297" s="20" t="s">
        <v>491</v>
      </c>
    </row>
    <row r="298" spans="1:27" x14ac:dyDescent="0.2">
      <c r="A298" s="1">
        <v>45977</v>
      </c>
      <c r="B298" s="20" t="s">
        <v>469</v>
      </c>
      <c r="C298" s="20" t="s">
        <v>20</v>
      </c>
      <c r="D298" s="20" t="s">
        <v>34</v>
      </c>
      <c r="E298" s="20" t="s">
        <v>896</v>
      </c>
      <c r="F298" s="20" t="s">
        <v>34</v>
      </c>
      <c r="G298" s="20">
        <v>2</v>
      </c>
      <c r="H298" s="20">
        <v>3</v>
      </c>
      <c r="I298" s="13">
        <v>0.6</v>
      </c>
      <c r="J298" s="20" t="s">
        <v>249</v>
      </c>
      <c r="L298" s="20" t="s">
        <v>248</v>
      </c>
      <c r="M298" s="20" t="s">
        <v>343</v>
      </c>
      <c r="N298" s="20" t="s">
        <v>34</v>
      </c>
      <c r="O298" s="20">
        <v>2</v>
      </c>
      <c r="P298" s="20">
        <v>3</v>
      </c>
      <c r="Q298" s="13">
        <v>0.56793209102985243</v>
      </c>
      <c r="R298" s="20" t="s">
        <v>249</v>
      </c>
      <c r="S298" s="20">
        <v>0.23921679179432001</v>
      </c>
      <c r="T298" s="20" t="s">
        <v>248</v>
      </c>
      <c r="U298" s="20" t="s">
        <v>34</v>
      </c>
      <c r="V298" s="20">
        <v>2</v>
      </c>
      <c r="W298" s="20">
        <v>3</v>
      </c>
      <c r="X298" s="20" t="s">
        <v>496</v>
      </c>
      <c r="Y298" s="20" t="s">
        <v>292</v>
      </c>
      <c r="Z298" s="20" t="s">
        <v>60</v>
      </c>
      <c r="AA298" s="20" t="s">
        <v>491</v>
      </c>
    </row>
    <row r="299" spans="1:27" x14ac:dyDescent="0.2">
      <c r="A299" s="1">
        <v>45977</v>
      </c>
      <c r="B299" s="20" t="s">
        <v>328</v>
      </c>
      <c r="C299" s="20" t="s">
        <v>26</v>
      </c>
      <c r="D299" s="20" t="s">
        <v>15</v>
      </c>
      <c r="E299" s="20" t="s">
        <v>897</v>
      </c>
      <c r="F299" s="20" t="s">
        <v>15</v>
      </c>
      <c r="G299" s="20">
        <v>2</v>
      </c>
      <c r="H299" s="20">
        <v>3</v>
      </c>
      <c r="I299" s="13">
        <v>0.6</v>
      </c>
      <c r="J299" s="20" t="s">
        <v>249</v>
      </c>
      <c r="L299" s="20" t="s">
        <v>249</v>
      </c>
      <c r="M299" s="20" t="s">
        <v>898</v>
      </c>
      <c r="N299" s="20" t="s">
        <v>15</v>
      </c>
      <c r="O299" s="20">
        <v>2</v>
      </c>
      <c r="P299" s="20">
        <v>3</v>
      </c>
      <c r="Q299" s="13">
        <v>0.61416971394212327</v>
      </c>
      <c r="R299" s="20" t="s">
        <v>249</v>
      </c>
      <c r="S299" s="20">
        <v>0.63520632947152933</v>
      </c>
      <c r="T299" s="20" t="s">
        <v>249</v>
      </c>
      <c r="U299" s="20" t="s">
        <v>26</v>
      </c>
      <c r="V299" s="20">
        <v>2</v>
      </c>
      <c r="W299" s="20">
        <v>1</v>
      </c>
      <c r="X299" s="20" t="s">
        <v>490</v>
      </c>
      <c r="Y299" s="20" t="s">
        <v>292</v>
      </c>
      <c r="Z299" s="20" t="s">
        <v>60</v>
      </c>
      <c r="AA299" s="20" t="s">
        <v>491</v>
      </c>
    </row>
    <row r="300" spans="1:27" x14ac:dyDescent="0.2">
      <c r="A300" s="1">
        <v>45977</v>
      </c>
      <c r="B300" s="20" t="s">
        <v>899</v>
      </c>
      <c r="C300" s="20" t="s">
        <v>29</v>
      </c>
      <c r="D300" s="20" t="s">
        <v>14</v>
      </c>
      <c r="E300" s="20" t="s">
        <v>900</v>
      </c>
      <c r="F300" s="20" t="s">
        <v>14</v>
      </c>
      <c r="G300" s="20">
        <v>2</v>
      </c>
      <c r="H300" s="20">
        <v>3</v>
      </c>
      <c r="I300" s="13">
        <v>0.6</v>
      </c>
      <c r="J300" s="20" t="s">
        <v>249</v>
      </c>
      <c r="L300" s="20" t="s">
        <v>248</v>
      </c>
      <c r="M300" s="20" t="s">
        <v>451</v>
      </c>
      <c r="N300" s="20" t="s">
        <v>14</v>
      </c>
      <c r="O300" s="20">
        <v>2</v>
      </c>
      <c r="P300" s="20">
        <v>3</v>
      </c>
      <c r="Q300" s="13">
        <v>0.69092473418656142</v>
      </c>
      <c r="R300" s="20" t="s">
        <v>249</v>
      </c>
      <c r="S300" s="20">
        <v>1.292553811167733</v>
      </c>
      <c r="T300" s="20" t="s">
        <v>248</v>
      </c>
      <c r="U300" s="20" t="s">
        <v>14</v>
      </c>
      <c r="V300" s="20">
        <v>0</v>
      </c>
      <c r="W300" s="20">
        <v>4</v>
      </c>
      <c r="X300" s="20" t="s">
        <v>490</v>
      </c>
      <c r="Y300" s="20" t="s">
        <v>292</v>
      </c>
      <c r="Z300" s="20" t="s">
        <v>60</v>
      </c>
      <c r="AA300" s="20" t="s">
        <v>491</v>
      </c>
    </row>
    <row r="301" spans="1:27" x14ac:dyDescent="0.2">
      <c r="A301" s="1">
        <v>45977</v>
      </c>
      <c r="B301" s="20" t="s">
        <v>365</v>
      </c>
      <c r="C301" s="20" t="s">
        <v>38</v>
      </c>
      <c r="D301" s="20" t="s">
        <v>37</v>
      </c>
      <c r="E301" s="20" t="s">
        <v>901</v>
      </c>
      <c r="F301" s="20" t="s">
        <v>37</v>
      </c>
      <c r="G301" s="20">
        <v>2</v>
      </c>
      <c r="H301" s="20">
        <v>3</v>
      </c>
      <c r="I301" s="13">
        <v>0.6</v>
      </c>
      <c r="J301" s="20" t="s">
        <v>249</v>
      </c>
      <c r="L301" s="20" t="s">
        <v>249</v>
      </c>
      <c r="M301" s="20" t="s">
        <v>902</v>
      </c>
      <c r="N301" s="20" t="s">
        <v>37</v>
      </c>
      <c r="O301" s="20">
        <v>2</v>
      </c>
      <c r="P301" s="20">
        <v>3</v>
      </c>
      <c r="Q301" s="13">
        <v>0.74481137974873002</v>
      </c>
      <c r="R301" s="20" t="s">
        <v>249</v>
      </c>
      <c r="S301" s="20">
        <v>1.5080834507805709</v>
      </c>
      <c r="T301" s="20" t="s">
        <v>249</v>
      </c>
      <c r="U301" s="20" t="s">
        <v>38</v>
      </c>
      <c r="V301" s="20">
        <v>6</v>
      </c>
      <c r="W301" s="20">
        <v>2</v>
      </c>
      <c r="X301" s="20" t="s">
        <v>490</v>
      </c>
      <c r="Y301" s="20" t="s">
        <v>292</v>
      </c>
      <c r="Z301" s="20" t="s">
        <v>60</v>
      </c>
      <c r="AA301" s="20" t="s">
        <v>491</v>
      </c>
    </row>
    <row r="302" spans="1:27" x14ac:dyDescent="0.2">
      <c r="A302" s="1">
        <v>45978</v>
      </c>
      <c r="B302" s="20" t="s">
        <v>289</v>
      </c>
      <c r="C302" s="20" t="s">
        <v>55</v>
      </c>
      <c r="D302" s="20" t="s">
        <v>31</v>
      </c>
      <c r="E302" s="20" t="s">
        <v>290</v>
      </c>
      <c r="F302" s="20" t="s">
        <v>31</v>
      </c>
      <c r="G302" s="20">
        <v>4</v>
      </c>
      <c r="H302" s="20">
        <v>5</v>
      </c>
      <c r="I302" s="13">
        <v>0.96</v>
      </c>
      <c r="J302" s="20" t="s">
        <v>249</v>
      </c>
      <c r="L302" s="20" t="s">
        <v>248</v>
      </c>
      <c r="M302" s="20" t="s">
        <v>291</v>
      </c>
      <c r="N302" s="20" t="s">
        <v>31</v>
      </c>
      <c r="O302" s="20">
        <v>2</v>
      </c>
      <c r="P302" s="20">
        <v>4</v>
      </c>
      <c r="Q302" s="13">
        <v>0.75549999999999995</v>
      </c>
      <c r="R302" s="20" t="s">
        <v>249</v>
      </c>
      <c r="S302" s="20">
        <v>0.8</v>
      </c>
      <c r="T302" s="20" t="s">
        <v>248</v>
      </c>
      <c r="U302" s="20" t="s">
        <v>31</v>
      </c>
      <c r="V302" s="20">
        <v>2</v>
      </c>
      <c r="W302" s="20">
        <v>3</v>
      </c>
      <c r="X302" s="20" t="s">
        <v>496</v>
      </c>
      <c r="Y302" s="20" t="s">
        <v>292</v>
      </c>
      <c r="Z302" s="20" t="s">
        <v>60</v>
      </c>
      <c r="AA302" s="20" t="s">
        <v>491</v>
      </c>
    </row>
    <row r="303" spans="1:27" x14ac:dyDescent="0.2">
      <c r="A303" s="1">
        <v>45978</v>
      </c>
      <c r="B303" s="20" t="s">
        <v>293</v>
      </c>
      <c r="C303" s="20" t="s">
        <v>25</v>
      </c>
      <c r="D303" s="20" t="s">
        <v>21</v>
      </c>
      <c r="E303" s="20" t="s">
        <v>294</v>
      </c>
      <c r="F303" s="20" t="s">
        <v>21</v>
      </c>
      <c r="G303" s="20">
        <v>3</v>
      </c>
      <c r="H303" s="20">
        <v>4</v>
      </c>
      <c r="I303" s="13">
        <v>0.54630000000000001</v>
      </c>
      <c r="J303" s="20" t="s">
        <v>249</v>
      </c>
      <c r="L303" s="20" t="s">
        <v>249</v>
      </c>
      <c r="M303" s="20" t="s">
        <v>379</v>
      </c>
      <c r="N303" s="20" t="s">
        <v>25</v>
      </c>
      <c r="O303" s="20">
        <v>2</v>
      </c>
      <c r="P303" s="20">
        <v>3</v>
      </c>
      <c r="Q303" s="13">
        <v>0.54330000000000001</v>
      </c>
      <c r="R303" s="20" t="s">
        <v>249</v>
      </c>
      <c r="S303" s="20">
        <v>-0.47</v>
      </c>
      <c r="T303" s="20" t="s">
        <v>248</v>
      </c>
      <c r="U303" s="20" t="s">
        <v>25</v>
      </c>
      <c r="V303" s="20">
        <v>3</v>
      </c>
      <c r="W303" s="20">
        <v>1</v>
      </c>
      <c r="X303" s="20" t="s">
        <v>490</v>
      </c>
      <c r="Y303" s="20" t="s">
        <v>292</v>
      </c>
      <c r="Z303" s="20" t="s">
        <v>60</v>
      </c>
      <c r="AA303" s="20" t="s">
        <v>491</v>
      </c>
    </row>
    <row r="304" spans="1:27" x14ac:dyDescent="0.2">
      <c r="A304" s="1">
        <v>45978</v>
      </c>
      <c r="B304" s="20" t="s">
        <v>293</v>
      </c>
      <c r="C304" s="20" t="s">
        <v>17</v>
      </c>
      <c r="D304" s="20" t="s">
        <v>23</v>
      </c>
      <c r="E304" s="20" t="s">
        <v>295</v>
      </c>
      <c r="F304" s="20" t="s">
        <v>23</v>
      </c>
      <c r="G304" s="20">
        <v>3</v>
      </c>
      <c r="H304" s="20">
        <v>4</v>
      </c>
      <c r="I304" s="13">
        <v>0.55500000000000005</v>
      </c>
      <c r="J304" s="20" t="s">
        <v>249</v>
      </c>
      <c r="L304" s="20" t="s">
        <v>248</v>
      </c>
      <c r="M304" s="20" t="s">
        <v>296</v>
      </c>
      <c r="N304" s="20" t="s">
        <v>17</v>
      </c>
      <c r="O304" s="20">
        <v>2</v>
      </c>
      <c r="P304" s="20">
        <v>3</v>
      </c>
      <c r="Q304" s="13">
        <v>0.47189999999999999</v>
      </c>
      <c r="R304" s="20" t="s">
        <v>248</v>
      </c>
      <c r="S304" s="20">
        <v>-0.09</v>
      </c>
      <c r="T304" s="20" t="s">
        <v>249</v>
      </c>
      <c r="U304" s="20" t="s">
        <v>23</v>
      </c>
      <c r="V304" s="20">
        <v>1</v>
      </c>
      <c r="W304" s="20">
        <v>5</v>
      </c>
      <c r="X304" s="20" t="s">
        <v>490</v>
      </c>
      <c r="Y304" s="20" t="s">
        <v>292</v>
      </c>
      <c r="Z304" s="20" t="s">
        <v>60</v>
      </c>
      <c r="AA304" s="20" t="s">
        <v>491</v>
      </c>
    </row>
    <row r="305" spans="1:27" x14ac:dyDescent="0.2">
      <c r="A305" s="1">
        <v>45978</v>
      </c>
      <c r="B305" s="20" t="s">
        <v>297</v>
      </c>
      <c r="C305" s="20" t="s">
        <v>18</v>
      </c>
      <c r="D305" s="20" t="s">
        <v>28</v>
      </c>
      <c r="E305" s="20" t="s">
        <v>298</v>
      </c>
      <c r="F305" s="20" t="s">
        <v>18</v>
      </c>
      <c r="G305" s="20">
        <v>4</v>
      </c>
      <c r="H305" s="20">
        <v>3</v>
      </c>
      <c r="I305" s="13">
        <v>0.7097</v>
      </c>
      <c r="J305" s="20" t="s">
        <v>249</v>
      </c>
      <c r="L305" s="20" t="s">
        <v>249</v>
      </c>
      <c r="M305" s="20" t="s">
        <v>380</v>
      </c>
      <c r="N305" s="20" t="s">
        <v>28</v>
      </c>
      <c r="O305" s="20">
        <v>2</v>
      </c>
      <c r="P305" s="20">
        <v>3</v>
      </c>
      <c r="Q305" s="13">
        <v>0.50209999999999999</v>
      </c>
      <c r="R305" s="20" t="s">
        <v>248</v>
      </c>
      <c r="S305" s="20">
        <v>0.28000000000000003</v>
      </c>
      <c r="T305" s="20" t="s">
        <v>248</v>
      </c>
      <c r="U305" s="20" t="s">
        <v>28</v>
      </c>
      <c r="V305" s="20">
        <v>3</v>
      </c>
      <c r="W305" s="20">
        <v>4</v>
      </c>
      <c r="X305" s="20" t="s">
        <v>496</v>
      </c>
      <c r="Y305" s="20" t="s">
        <v>292</v>
      </c>
      <c r="Z305" s="20" t="s">
        <v>60</v>
      </c>
      <c r="AA305" s="20" t="s">
        <v>491</v>
      </c>
    </row>
    <row r="306" spans="1:27" x14ac:dyDescent="0.2">
      <c r="A306" s="1">
        <v>45978</v>
      </c>
      <c r="B306" s="20" t="s">
        <v>293</v>
      </c>
      <c r="C306" s="20" t="s">
        <v>38</v>
      </c>
      <c r="D306" s="20" t="s">
        <v>11</v>
      </c>
      <c r="E306" s="20" t="s">
        <v>299</v>
      </c>
      <c r="F306" s="20" t="s">
        <v>38</v>
      </c>
      <c r="G306" s="20">
        <v>5</v>
      </c>
      <c r="H306" s="20">
        <v>4</v>
      </c>
      <c r="I306" s="13">
        <v>0.5766</v>
      </c>
      <c r="J306" s="20" t="s">
        <v>249</v>
      </c>
      <c r="L306" s="20" t="s">
        <v>249</v>
      </c>
      <c r="M306" s="20" t="s">
        <v>381</v>
      </c>
      <c r="N306" s="20" t="s">
        <v>11</v>
      </c>
      <c r="O306" s="20">
        <v>2</v>
      </c>
      <c r="P306" s="20">
        <v>4</v>
      </c>
      <c r="Q306" s="13">
        <v>0.62919999999999998</v>
      </c>
      <c r="R306" s="20" t="s">
        <v>249</v>
      </c>
      <c r="S306" s="20">
        <v>0.56999999999999995</v>
      </c>
      <c r="T306" s="20" t="s">
        <v>248</v>
      </c>
      <c r="U306" s="20" t="s">
        <v>11</v>
      </c>
      <c r="V306" s="20">
        <v>5</v>
      </c>
      <c r="W306" s="20">
        <v>8</v>
      </c>
      <c r="X306" s="20" t="s">
        <v>490</v>
      </c>
      <c r="Y306" s="20" t="s">
        <v>292</v>
      </c>
      <c r="Z306" s="20" t="s">
        <v>60</v>
      </c>
      <c r="AA306" s="20" t="s">
        <v>491</v>
      </c>
    </row>
    <row r="307" spans="1:27" x14ac:dyDescent="0.2">
      <c r="A307" s="1">
        <v>45978</v>
      </c>
      <c r="B307" s="20" t="s">
        <v>293</v>
      </c>
      <c r="C307" s="20" t="s">
        <v>13</v>
      </c>
      <c r="D307" s="20" t="s">
        <v>22</v>
      </c>
      <c r="E307" s="20" t="s">
        <v>300</v>
      </c>
      <c r="F307" s="20" t="s">
        <v>13</v>
      </c>
      <c r="G307" s="20">
        <v>4</v>
      </c>
      <c r="H307" s="20">
        <v>1</v>
      </c>
      <c r="I307" s="13">
        <v>0.84499999999999997</v>
      </c>
      <c r="J307" s="20" t="s">
        <v>249</v>
      </c>
      <c r="L307" s="20" t="s">
        <v>249</v>
      </c>
      <c r="M307" s="20" t="s">
        <v>382</v>
      </c>
      <c r="N307" s="20" t="s">
        <v>22</v>
      </c>
      <c r="O307" s="20">
        <v>2</v>
      </c>
      <c r="P307" s="20">
        <v>3</v>
      </c>
      <c r="Q307" s="13">
        <v>0.44309999999999999</v>
      </c>
      <c r="R307" s="20" t="s">
        <v>248</v>
      </c>
      <c r="S307" s="20">
        <v>0.18</v>
      </c>
      <c r="T307" s="20" t="s">
        <v>248</v>
      </c>
      <c r="U307" s="20" t="s">
        <v>22</v>
      </c>
      <c r="V307" s="20">
        <v>1</v>
      </c>
      <c r="W307" s="20">
        <v>2</v>
      </c>
      <c r="X307" s="20" t="s">
        <v>490</v>
      </c>
      <c r="Y307" s="20" t="s">
        <v>292</v>
      </c>
      <c r="Z307" s="20" t="s">
        <v>60</v>
      </c>
      <c r="AA307" s="20" t="s">
        <v>491</v>
      </c>
    </row>
    <row r="308" spans="1:27" x14ac:dyDescent="0.2">
      <c r="A308" s="1">
        <v>45979</v>
      </c>
      <c r="B308" s="20" t="s">
        <v>293</v>
      </c>
      <c r="C308" s="20" t="s">
        <v>24</v>
      </c>
      <c r="D308" s="20" t="s">
        <v>37</v>
      </c>
      <c r="E308" s="20" t="s">
        <v>310</v>
      </c>
      <c r="F308" s="20" t="s">
        <v>24</v>
      </c>
      <c r="G308" s="20">
        <v>4</v>
      </c>
      <c r="H308" s="20">
        <v>3</v>
      </c>
      <c r="I308" s="13">
        <v>0.66</v>
      </c>
      <c r="J308" s="20" t="s">
        <v>249</v>
      </c>
      <c r="L308" s="20" t="s">
        <v>249</v>
      </c>
      <c r="M308" s="20" t="s">
        <v>384</v>
      </c>
      <c r="N308" s="20" t="s">
        <v>24</v>
      </c>
      <c r="O308" s="20">
        <v>2</v>
      </c>
      <c r="P308" s="20">
        <v>3</v>
      </c>
      <c r="Q308" s="13">
        <v>0.59699999999999998</v>
      </c>
      <c r="R308" s="20" t="s">
        <v>249</v>
      </c>
      <c r="S308" s="20">
        <v>-0.49</v>
      </c>
      <c r="T308" s="20" t="s">
        <v>249</v>
      </c>
      <c r="U308" s="20" t="s">
        <v>37</v>
      </c>
      <c r="V308" s="20">
        <v>1</v>
      </c>
      <c r="W308" s="20">
        <v>5</v>
      </c>
      <c r="X308" s="20" t="s">
        <v>490</v>
      </c>
      <c r="Y308" s="20" t="s">
        <v>292</v>
      </c>
      <c r="Z308" s="20" t="s">
        <v>60</v>
      </c>
      <c r="AA308" s="20" t="s">
        <v>491</v>
      </c>
    </row>
    <row r="309" spans="1:27" x14ac:dyDescent="0.2">
      <c r="A309" s="1">
        <v>45979</v>
      </c>
      <c r="B309" s="20" t="s">
        <v>289</v>
      </c>
      <c r="C309" s="20" t="s">
        <v>55</v>
      </c>
      <c r="D309" s="20" t="s">
        <v>33</v>
      </c>
      <c r="E309" s="20" t="s">
        <v>308</v>
      </c>
      <c r="F309" s="20" t="s">
        <v>33</v>
      </c>
      <c r="G309" s="20">
        <v>3</v>
      </c>
      <c r="H309" s="20">
        <v>4</v>
      </c>
      <c r="I309" s="13">
        <v>0.51419999999999999</v>
      </c>
      <c r="J309" s="20" t="s">
        <v>249</v>
      </c>
      <c r="L309" s="20" t="s">
        <v>248</v>
      </c>
      <c r="M309" s="20" t="s">
        <v>309</v>
      </c>
      <c r="N309" s="20" t="s">
        <v>55</v>
      </c>
      <c r="O309" s="20">
        <v>2</v>
      </c>
      <c r="P309" s="20">
        <v>3</v>
      </c>
      <c r="Q309" s="13">
        <v>0.47210000000000002</v>
      </c>
      <c r="R309" s="20" t="s">
        <v>248</v>
      </c>
      <c r="S309" s="20">
        <v>-0.08</v>
      </c>
      <c r="T309" s="20" t="s">
        <v>249</v>
      </c>
      <c r="U309" s="20" t="s">
        <v>33</v>
      </c>
      <c r="V309" s="20">
        <v>2</v>
      </c>
      <c r="W309" s="20">
        <v>3</v>
      </c>
      <c r="X309" s="20" t="s">
        <v>496</v>
      </c>
      <c r="Y309" s="20" t="s">
        <v>292</v>
      </c>
      <c r="Z309" s="20" t="s">
        <v>60</v>
      </c>
      <c r="AA309" s="20" t="s">
        <v>491</v>
      </c>
    </row>
    <row r="310" spans="1:27" x14ac:dyDescent="0.2">
      <c r="A310" s="1">
        <v>45979</v>
      </c>
      <c r="B310" s="20" t="s">
        <v>293</v>
      </c>
      <c r="C310" s="20" t="s">
        <v>32</v>
      </c>
      <c r="D310" s="20" t="s">
        <v>26</v>
      </c>
      <c r="E310" s="20" t="s">
        <v>306</v>
      </c>
      <c r="F310" s="20" t="s">
        <v>26</v>
      </c>
      <c r="G310" s="20">
        <v>3</v>
      </c>
      <c r="H310" s="20">
        <v>4</v>
      </c>
      <c r="I310" s="13">
        <v>0.51580000000000004</v>
      </c>
      <c r="J310" s="20" t="s">
        <v>249</v>
      </c>
      <c r="L310" s="20" t="s">
        <v>248</v>
      </c>
      <c r="M310" s="20" t="s">
        <v>307</v>
      </c>
      <c r="N310" s="20" t="s">
        <v>26</v>
      </c>
      <c r="O310" s="20">
        <v>2</v>
      </c>
      <c r="P310" s="20">
        <v>3</v>
      </c>
      <c r="Q310" s="13">
        <v>0.57440000000000002</v>
      </c>
      <c r="R310" s="20" t="s">
        <v>248</v>
      </c>
      <c r="S310" s="20">
        <v>0.06</v>
      </c>
      <c r="T310" s="20" t="s">
        <v>248</v>
      </c>
      <c r="U310" s="20" t="s">
        <v>26</v>
      </c>
      <c r="V310" s="20">
        <v>2</v>
      </c>
      <c r="W310" s="20">
        <v>4</v>
      </c>
      <c r="X310" s="20" t="s">
        <v>490</v>
      </c>
      <c r="Y310" s="20" t="s">
        <v>292</v>
      </c>
      <c r="Z310" s="20" t="s">
        <v>60</v>
      </c>
      <c r="AA310" s="20" t="s">
        <v>491</v>
      </c>
    </row>
    <row r="311" spans="1:27" x14ac:dyDescent="0.2">
      <c r="A311" s="1">
        <v>45979</v>
      </c>
      <c r="B311" s="20" t="s">
        <v>304</v>
      </c>
      <c r="C311" s="20" t="s">
        <v>28</v>
      </c>
      <c r="D311" s="20" t="s">
        <v>40</v>
      </c>
      <c r="E311" s="20" t="s">
        <v>314</v>
      </c>
      <c r="F311" s="20" t="s">
        <v>40</v>
      </c>
      <c r="G311" s="20">
        <v>3</v>
      </c>
      <c r="H311" s="20">
        <v>4</v>
      </c>
      <c r="I311" s="13">
        <v>0.67559999999999998</v>
      </c>
      <c r="J311" s="20" t="s">
        <v>249</v>
      </c>
      <c r="L311" s="20" t="s">
        <v>248</v>
      </c>
      <c r="M311" s="20" t="s">
        <v>315</v>
      </c>
      <c r="N311" s="20" t="s">
        <v>40</v>
      </c>
      <c r="O311" s="20">
        <v>2</v>
      </c>
      <c r="P311" s="20">
        <v>4</v>
      </c>
      <c r="Q311" s="13">
        <v>0.64970000000000006</v>
      </c>
      <c r="R311" s="20" t="s">
        <v>249</v>
      </c>
      <c r="S311" s="20">
        <v>0.66</v>
      </c>
      <c r="T311" s="20" t="s">
        <v>248</v>
      </c>
      <c r="U311" s="20" t="s">
        <v>40</v>
      </c>
      <c r="V311" s="20">
        <v>2</v>
      </c>
      <c r="W311" s="20">
        <v>5</v>
      </c>
      <c r="X311" s="20" t="s">
        <v>490</v>
      </c>
      <c r="Y311" s="20" t="s">
        <v>292</v>
      </c>
      <c r="Z311" s="20" t="s">
        <v>60</v>
      </c>
      <c r="AA311" s="20" t="s">
        <v>491</v>
      </c>
    </row>
    <row r="312" spans="1:27" x14ac:dyDescent="0.2">
      <c r="A312" s="1">
        <v>45979</v>
      </c>
      <c r="B312" s="20" t="s">
        <v>293</v>
      </c>
      <c r="C312" s="20" t="s">
        <v>35</v>
      </c>
      <c r="D312" s="20" t="s">
        <v>19</v>
      </c>
      <c r="E312" s="20" t="s">
        <v>311</v>
      </c>
      <c r="F312" s="20" t="s">
        <v>19</v>
      </c>
      <c r="G312" s="20">
        <v>3</v>
      </c>
      <c r="H312" s="20">
        <v>4</v>
      </c>
      <c r="I312" s="13">
        <v>0.5917</v>
      </c>
      <c r="J312" s="20" t="s">
        <v>249</v>
      </c>
      <c r="L312" s="20" t="s">
        <v>248</v>
      </c>
      <c r="M312" s="20" t="s">
        <v>312</v>
      </c>
      <c r="N312" s="20" t="s">
        <v>19</v>
      </c>
      <c r="O312" s="20">
        <v>2</v>
      </c>
      <c r="P312" s="20">
        <v>4</v>
      </c>
      <c r="Q312" s="13">
        <v>0.7107</v>
      </c>
      <c r="R312" s="20" t="s">
        <v>249</v>
      </c>
      <c r="S312" s="20">
        <v>1.19</v>
      </c>
      <c r="T312" s="20" t="s">
        <v>248</v>
      </c>
      <c r="U312" s="20" t="s">
        <v>19</v>
      </c>
      <c r="V312" s="20">
        <v>2</v>
      </c>
      <c r="W312" s="20">
        <v>3</v>
      </c>
      <c r="X312" s="20" t="s">
        <v>496</v>
      </c>
      <c r="Y312" s="20" t="s">
        <v>292</v>
      </c>
      <c r="Z312" s="20" t="s">
        <v>60</v>
      </c>
      <c r="AA312" s="20" t="s">
        <v>491</v>
      </c>
    </row>
    <row r="313" spans="1:27" x14ac:dyDescent="0.2">
      <c r="A313" s="1">
        <v>45979</v>
      </c>
      <c r="B313" s="20" t="s">
        <v>289</v>
      </c>
      <c r="C313" s="20" t="s">
        <v>15</v>
      </c>
      <c r="D313" s="20" t="s">
        <v>20</v>
      </c>
      <c r="E313" s="20" t="s">
        <v>313</v>
      </c>
      <c r="F313" s="20" t="s">
        <v>15</v>
      </c>
      <c r="G313" s="20">
        <v>5</v>
      </c>
      <c r="H313" s="20">
        <v>4</v>
      </c>
      <c r="I313" s="13">
        <v>0.55930000000000002</v>
      </c>
      <c r="J313" s="20" t="s">
        <v>249</v>
      </c>
      <c r="L313" s="20" t="s">
        <v>249</v>
      </c>
      <c r="M313" s="20" t="s">
        <v>385</v>
      </c>
      <c r="N313" s="20" t="s">
        <v>20</v>
      </c>
      <c r="O313" s="20">
        <v>2</v>
      </c>
      <c r="P313" s="20">
        <v>4</v>
      </c>
      <c r="Q313" s="13">
        <v>0.47089999999999999</v>
      </c>
      <c r="R313" s="20" t="s">
        <v>249</v>
      </c>
      <c r="S313" s="20">
        <v>0.51</v>
      </c>
      <c r="T313" s="20" t="s">
        <v>248</v>
      </c>
      <c r="U313" s="20" t="s">
        <v>20</v>
      </c>
      <c r="V313" s="20">
        <v>2</v>
      </c>
      <c r="W313" s="20">
        <v>3</v>
      </c>
      <c r="X313" s="20" t="s">
        <v>490</v>
      </c>
      <c r="Y313" s="20" t="s">
        <v>292</v>
      </c>
      <c r="Z313" s="20" t="s">
        <v>60</v>
      </c>
      <c r="AA313" s="20" t="s">
        <v>491</v>
      </c>
    </row>
    <row r="314" spans="1:27" x14ac:dyDescent="0.2">
      <c r="A314" s="1">
        <v>45979</v>
      </c>
      <c r="B314" s="20" t="s">
        <v>304</v>
      </c>
      <c r="C314" s="20" t="s">
        <v>30</v>
      </c>
      <c r="D314" s="20" t="s">
        <v>39</v>
      </c>
      <c r="E314" s="20" t="s">
        <v>305</v>
      </c>
      <c r="F314" s="20" t="s">
        <v>39</v>
      </c>
      <c r="G314" s="20">
        <v>3</v>
      </c>
      <c r="H314" s="20">
        <v>4</v>
      </c>
      <c r="I314" s="13">
        <v>0.60160000000000002</v>
      </c>
      <c r="J314" s="20" t="s">
        <v>249</v>
      </c>
      <c r="L314" s="20" t="s">
        <v>249</v>
      </c>
      <c r="M314" s="20" t="s">
        <v>383</v>
      </c>
      <c r="N314" s="20" t="s">
        <v>39</v>
      </c>
      <c r="O314" s="20">
        <v>2</v>
      </c>
      <c r="P314" s="20">
        <v>3</v>
      </c>
      <c r="Q314" s="13">
        <v>0.58560000000000001</v>
      </c>
      <c r="R314" s="20" t="s">
        <v>249</v>
      </c>
      <c r="S314" s="20">
        <v>0.43</v>
      </c>
      <c r="T314" s="20" t="s">
        <v>249</v>
      </c>
      <c r="U314" s="20" t="s">
        <v>30</v>
      </c>
      <c r="V314" s="20">
        <v>3</v>
      </c>
      <c r="W314" s="20">
        <v>2</v>
      </c>
      <c r="X314" s="20" t="s">
        <v>490</v>
      </c>
      <c r="Y314" s="20" t="s">
        <v>292</v>
      </c>
      <c r="Z314" s="20" t="s">
        <v>60</v>
      </c>
      <c r="AA314" s="20" t="s">
        <v>491</v>
      </c>
    </row>
    <row r="315" spans="1:27" x14ac:dyDescent="0.2">
      <c r="A315" s="1">
        <v>45979</v>
      </c>
      <c r="B315" s="20" t="s">
        <v>301</v>
      </c>
      <c r="C315" s="20" t="s">
        <v>16</v>
      </c>
      <c r="D315" s="20" t="s">
        <v>10</v>
      </c>
      <c r="E315" s="20" t="s">
        <v>302</v>
      </c>
      <c r="F315" s="20" t="s">
        <v>10</v>
      </c>
      <c r="G315" s="20">
        <v>4</v>
      </c>
      <c r="H315" s="20">
        <v>5</v>
      </c>
      <c r="I315" s="13">
        <v>0.66520000000000001</v>
      </c>
      <c r="J315" s="20" t="s">
        <v>249</v>
      </c>
      <c r="L315" s="20" t="s">
        <v>248</v>
      </c>
      <c r="M315" s="20" t="s">
        <v>303</v>
      </c>
      <c r="N315" s="20" t="s">
        <v>10</v>
      </c>
      <c r="O315" s="20">
        <v>2</v>
      </c>
      <c r="P315" s="20">
        <v>5</v>
      </c>
      <c r="Q315" s="13">
        <v>0.80840000000000001</v>
      </c>
      <c r="R315" s="20" t="s">
        <v>249</v>
      </c>
      <c r="S315" s="20">
        <v>1.87</v>
      </c>
      <c r="T315" s="20" t="s">
        <v>248</v>
      </c>
      <c r="U315" s="20" t="s">
        <v>10</v>
      </c>
      <c r="V315" s="20">
        <v>2</v>
      </c>
      <c r="W315" s="20">
        <v>5</v>
      </c>
      <c r="X315" s="20" t="s">
        <v>490</v>
      </c>
      <c r="Y315" s="20" t="s">
        <v>292</v>
      </c>
      <c r="Z315" s="20" t="s">
        <v>60</v>
      </c>
      <c r="AA315" s="20" t="s">
        <v>491</v>
      </c>
    </row>
    <row r="316" spans="1:27" x14ac:dyDescent="0.2">
      <c r="A316" s="1">
        <v>45980</v>
      </c>
      <c r="B316" s="20" t="s">
        <v>289</v>
      </c>
      <c r="C316" s="20" t="s">
        <v>21</v>
      </c>
      <c r="D316" s="20" t="s">
        <v>31</v>
      </c>
      <c r="E316" s="20" t="s">
        <v>316</v>
      </c>
      <c r="F316" s="20" t="s">
        <v>31</v>
      </c>
      <c r="G316" s="20">
        <v>4</v>
      </c>
      <c r="H316" s="20">
        <v>5</v>
      </c>
      <c r="I316" s="13">
        <v>0.84830000000000005</v>
      </c>
      <c r="J316" s="20" t="s">
        <v>249</v>
      </c>
      <c r="L316" s="20" t="s">
        <v>248</v>
      </c>
      <c r="M316" s="20" t="s">
        <v>291</v>
      </c>
      <c r="N316" s="20" t="s">
        <v>31</v>
      </c>
      <c r="O316" s="20">
        <v>2</v>
      </c>
      <c r="P316" s="20">
        <v>4</v>
      </c>
      <c r="Q316" s="13">
        <v>0.76080000000000003</v>
      </c>
      <c r="R316" s="20" t="s">
        <v>249</v>
      </c>
      <c r="S316" s="20">
        <v>0.77</v>
      </c>
      <c r="T316" s="20" t="s">
        <v>248</v>
      </c>
      <c r="U316" s="20" t="s">
        <v>31</v>
      </c>
      <c r="V316" s="20">
        <v>3</v>
      </c>
      <c r="W316" s="20">
        <v>4</v>
      </c>
      <c r="X316" s="20" t="s">
        <v>490</v>
      </c>
      <c r="Y316" s="20" t="s">
        <v>292</v>
      </c>
      <c r="Z316" s="20" t="s">
        <v>60</v>
      </c>
      <c r="AA316" s="20" t="s">
        <v>491</v>
      </c>
    </row>
    <row r="317" spans="1:27" x14ac:dyDescent="0.2">
      <c r="A317" s="1">
        <v>45980</v>
      </c>
      <c r="B317" s="20" t="s">
        <v>297</v>
      </c>
      <c r="C317" s="20" t="s">
        <v>16</v>
      </c>
      <c r="D317" s="20" t="s">
        <v>23</v>
      </c>
      <c r="E317" s="20" t="s">
        <v>317</v>
      </c>
      <c r="F317" s="20" t="s">
        <v>23</v>
      </c>
      <c r="G317" s="20">
        <v>3</v>
      </c>
      <c r="H317" s="20">
        <v>4</v>
      </c>
      <c r="I317" s="13">
        <v>0.82420000000000004</v>
      </c>
      <c r="J317" s="20" t="s">
        <v>249</v>
      </c>
      <c r="L317" s="20" t="s">
        <v>249</v>
      </c>
      <c r="M317" s="20" t="s">
        <v>386</v>
      </c>
      <c r="N317" s="20" t="s">
        <v>23</v>
      </c>
      <c r="O317" s="20">
        <v>2</v>
      </c>
      <c r="P317" s="20">
        <v>4</v>
      </c>
      <c r="Q317" s="13">
        <v>0.68479999999999996</v>
      </c>
      <c r="R317" s="20" t="s">
        <v>249</v>
      </c>
      <c r="S317" s="20">
        <v>0.99</v>
      </c>
      <c r="T317" s="20" t="s">
        <v>249</v>
      </c>
      <c r="U317" s="20" t="s">
        <v>16</v>
      </c>
      <c r="V317" s="20">
        <v>6</v>
      </c>
      <c r="W317" s="20">
        <v>2</v>
      </c>
      <c r="X317" s="20" t="s">
        <v>490</v>
      </c>
      <c r="Y317" s="20" t="s">
        <v>292</v>
      </c>
      <c r="Z317" s="20" t="s">
        <v>60</v>
      </c>
      <c r="AA317" s="20" t="s">
        <v>491</v>
      </c>
    </row>
    <row r="318" spans="1:27" x14ac:dyDescent="0.2">
      <c r="A318" s="1">
        <v>45980</v>
      </c>
      <c r="B318" s="20" t="s">
        <v>318</v>
      </c>
      <c r="C318" s="20" t="s">
        <v>25</v>
      </c>
      <c r="D318" s="20" t="s">
        <v>34</v>
      </c>
      <c r="E318" s="20" t="s">
        <v>319</v>
      </c>
      <c r="F318" s="20" t="s">
        <v>25</v>
      </c>
      <c r="G318" s="20">
        <v>5</v>
      </c>
      <c r="H318" s="20">
        <v>4</v>
      </c>
      <c r="I318" s="13">
        <v>0.62329999999999997</v>
      </c>
      <c r="J318" s="20" t="s">
        <v>249</v>
      </c>
      <c r="L318" s="20" t="s">
        <v>249</v>
      </c>
      <c r="M318" s="20" t="s">
        <v>387</v>
      </c>
      <c r="N318" s="20" t="s">
        <v>25</v>
      </c>
      <c r="O318" s="20">
        <v>2</v>
      </c>
      <c r="P318" s="20">
        <v>4</v>
      </c>
      <c r="Q318" s="13">
        <v>0.72150000000000003</v>
      </c>
      <c r="R318" s="20" t="s">
        <v>249</v>
      </c>
      <c r="S318" s="20">
        <v>-1.0900000000000001</v>
      </c>
      <c r="T318" s="20" t="s">
        <v>249</v>
      </c>
      <c r="U318" s="20" t="s">
        <v>34</v>
      </c>
      <c r="V318" s="20">
        <v>3</v>
      </c>
      <c r="W318" s="20">
        <v>4</v>
      </c>
      <c r="X318" s="20" t="s">
        <v>496</v>
      </c>
      <c r="Y318" s="20" t="s">
        <v>292</v>
      </c>
      <c r="Z318" s="20" t="s">
        <v>60</v>
      </c>
      <c r="AA318" s="20" t="s">
        <v>491</v>
      </c>
    </row>
    <row r="319" spans="1:27" x14ac:dyDescent="0.2">
      <c r="A319" s="1">
        <v>45980</v>
      </c>
      <c r="B319" s="20" t="s">
        <v>293</v>
      </c>
      <c r="C319" s="20" t="s">
        <v>17</v>
      </c>
      <c r="D319" s="20" t="s">
        <v>22</v>
      </c>
      <c r="E319" s="20" t="s">
        <v>320</v>
      </c>
      <c r="F319" s="20" t="s">
        <v>22</v>
      </c>
      <c r="G319" s="20">
        <v>3</v>
      </c>
      <c r="H319" s="20">
        <v>4</v>
      </c>
      <c r="I319" s="13">
        <v>0.54659999999999997</v>
      </c>
      <c r="J319" s="20" t="s">
        <v>249</v>
      </c>
      <c r="L319" s="20" t="s">
        <v>248</v>
      </c>
      <c r="M319" s="20" t="s">
        <v>321</v>
      </c>
      <c r="N319" s="20" t="s">
        <v>22</v>
      </c>
      <c r="O319" s="20">
        <v>2</v>
      </c>
      <c r="P319" s="20">
        <v>4</v>
      </c>
      <c r="Q319" s="13">
        <v>0.68869999999999998</v>
      </c>
      <c r="R319" s="20" t="s">
        <v>249</v>
      </c>
      <c r="S319" s="20">
        <v>1.03</v>
      </c>
      <c r="T319" s="20" t="s">
        <v>248</v>
      </c>
      <c r="U319" s="20" t="s">
        <v>22</v>
      </c>
      <c r="V319" s="20">
        <v>4</v>
      </c>
      <c r="W319" s="20">
        <v>7</v>
      </c>
      <c r="X319" s="20" t="s">
        <v>490</v>
      </c>
      <c r="Y319" s="20" t="s">
        <v>292</v>
      </c>
      <c r="Z319" s="20" t="s">
        <v>60</v>
      </c>
      <c r="AA319" s="20" t="s">
        <v>491</v>
      </c>
    </row>
    <row r="320" spans="1:27" x14ac:dyDescent="0.2">
      <c r="A320" s="1">
        <v>45981</v>
      </c>
      <c r="B320" s="20" t="s">
        <v>326</v>
      </c>
      <c r="C320" s="20" t="s">
        <v>20</v>
      </c>
      <c r="D320" s="20" t="s">
        <v>55</v>
      </c>
      <c r="E320" s="20" t="s">
        <v>337</v>
      </c>
      <c r="F320" s="20" t="s">
        <v>55</v>
      </c>
      <c r="G320" s="20">
        <v>3</v>
      </c>
      <c r="H320" s="20">
        <v>4</v>
      </c>
      <c r="I320" s="13">
        <v>0.67815371762740195</v>
      </c>
      <c r="J320" s="20" t="s">
        <v>248</v>
      </c>
      <c r="K320" s="18">
        <v>0.54</v>
      </c>
      <c r="L320" s="20" t="s">
        <v>249</v>
      </c>
      <c r="M320" s="20" t="s">
        <v>397</v>
      </c>
      <c r="N320" s="20" t="s">
        <v>20</v>
      </c>
      <c r="O320" s="20">
        <v>2</v>
      </c>
      <c r="P320" s="20">
        <v>3</v>
      </c>
      <c r="Q320" s="13">
        <v>0.41674861628270699</v>
      </c>
      <c r="R320" s="20" t="s">
        <v>248</v>
      </c>
      <c r="S320" s="20">
        <v>-0.04</v>
      </c>
      <c r="T320" s="20" t="s">
        <v>248</v>
      </c>
      <c r="U320" s="20" t="s">
        <v>20</v>
      </c>
      <c r="V320" s="20">
        <v>4</v>
      </c>
      <c r="W320" s="20">
        <v>1</v>
      </c>
      <c r="X320" s="20" t="s">
        <v>490</v>
      </c>
      <c r="Y320" s="20" t="s">
        <v>292</v>
      </c>
      <c r="Z320" s="20" t="s">
        <v>60</v>
      </c>
      <c r="AA320" s="20" t="s">
        <v>491</v>
      </c>
    </row>
    <row r="321" spans="1:27" x14ac:dyDescent="0.2">
      <c r="A321" s="1">
        <v>45981</v>
      </c>
      <c r="B321" s="20" t="s">
        <v>328</v>
      </c>
      <c r="C321" s="20" t="s">
        <v>28</v>
      </c>
      <c r="D321" s="20" t="s">
        <v>19</v>
      </c>
      <c r="E321" s="20" t="s">
        <v>336</v>
      </c>
      <c r="F321" s="20" t="s">
        <v>19</v>
      </c>
      <c r="G321" s="20">
        <v>3</v>
      </c>
      <c r="H321" s="20">
        <v>4</v>
      </c>
      <c r="I321" s="13">
        <v>0.56100667919398595</v>
      </c>
      <c r="J321" s="20" t="s">
        <v>249</v>
      </c>
      <c r="K321" s="18">
        <v>0.11600000000000001</v>
      </c>
      <c r="L321" s="20" t="s">
        <v>249</v>
      </c>
      <c r="M321" s="20" t="s">
        <v>396</v>
      </c>
      <c r="N321" s="20" t="s">
        <v>19</v>
      </c>
      <c r="O321" s="20">
        <v>2</v>
      </c>
      <c r="P321" s="20">
        <v>3</v>
      </c>
      <c r="Q321" s="13">
        <v>0.55864324773890295</v>
      </c>
      <c r="R321" s="20" t="s">
        <v>248</v>
      </c>
      <c r="S321" s="20">
        <v>0.03</v>
      </c>
      <c r="T321" s="20" t="s">
        <v>249</v>
      </c>
      <c r="U321" s="20" t="s">
        <v>28</v>
      </c>
      <c r="V321" s="20">
        <v>3</v>
      </c>
      <c r="W321" s="20">
        <v>2</v>
      </c>
      <c r="X321" s="20" t="s">
        <v>496</v>
      </c>
      <c r="Y321" s="20" t="s">
        <v>292</v>
      </c>
      <c r="Z321" s="20" t="s">
        <v>60</v>
      </c>
      <c r="AA321" s="20" t="s">
        <v>491</v>
      </c>
    </row>
    <row r="322" spans="1:27" x14ac:dyDescent="0.2">
      <c r="A322" s="1">
        <v>45981</v>
      </c>
      <c r="B322" s="20" t="s">
        <v>334</v>
      </c>
      <c r="C322" s="20" t="s">
        <v>17</v>
      </c>
      <c r="D322" s="20" t="s">
        <v>37</v>
      </c>
      <c r="E322" s="20" t="s">
        <v>335</v>
      </c>
      <c r="F322" s="20" t="s">
        <v>37</v>
      </c>
      <c r="G322" s="20">
        <v>3</v>
      </c>
      <c r="H322" s="20">
        <v>4</v>
      </c>
      <c r="I322" s="13">
        <v>0.77119047619047598</v>
      </c>
      <c r="J322" s="20" t="s">
        <v>248</v>
      </c>
      <c r="K322" s="18">
        <v>0.61599999999999999</v>
      </c>
      <c r="L322" s="20" t="s">
        <v>248</v>
      </c>
      <c r="M322" s="20" t="s">
        <v>395</v>
      </c>
      <c r="N322" s="20" t="s">
        <v>37</v>
      </c>
      <c r="O322" s="20">
        <v>2</v>
      </c>
      <c r="P322" s="20">
        <v>4</v>
      </c>
      <c r="Q322" s="13">
        <v>0.711970082114465</v>
      </c>
      <c r="R322" s="20" t="s">
        <v>249</v>
      </c>
      <c r="S322" s="20">
        <v>1.25</v>
      </c>
      <c r="T322" s="20" t="s">
        <v>248</v>
      </c>
      <c r="U322" s="20" t="s">
        <v>37</v>
      </c>
      <c r="V322" s="20">
        <v>1</v>
      </c>
      <c r="W322" s="20">
        <v>2</v>
      </c>
      <c r="X322" s="20" t="s">
        <v>496</v>
      </c>
      <c r="Y322" s="20" t="s">
        <v>292</v>
      </c>
      <c r="Z322" s="20" t="s">
        <v>60</v>
      </c>
      <c r="AA322" s="20" t="s">
        <v>491</v>
      </c>
    </row>
    <row r="323" spans="1:27" x14ac:dyDescent="0.2">
      <c r="A323" s="1">
        <v>45981</v>
      </c>
      <c r="B323" s="20" t="s">
        <v>322</v>
      </c>
      <c r="C323" s="20" t="s">
        <v>39</v>
      </c>
      <c r="D323" s="20" t="s">
        <v>38</v>
      </c>
      <c r="E323" s="20" t="s">
        <v>338</v>
      </c>
      <c r="F323" s="20" t="s">
        <v>39</v>
      </c>
      <c r="G323" s="20">
        <v>5</v>
      </c>
      <c r="H323" s="20">
        <v>4</v>
      </c>
      <c r="I323" s="13">
        <v>0.73677777777777798</v>
      </c>
      <c r="J323" s="20" t="s">
        <v>249</v>
      </c>
      <c r="K323" s="18">
        <v>0.39100000000000001</v>
      </c>
      <c r="L323" s="20" t="s">
        <v>248</v>
      </c>
      <c r="M323" s="20" t="s">
        <v>398</v>
      </c>
      <c r="N323" s="20" t="s">
        <v>39</v>
      </c>
      <c r="O323" s="20">
        <v>2</v>
      </c>
      <c r="P323" s="20">
        <v>4</v>
      </c>
      <c r="Q323" s="13">
        <v>0.65070700646466895</v>
      </c>
      <c r="R323" s="20" t="s">
        <v>249</v>
      </c>
      <c r="S323" s="20">
        <v>-0.71</v>
      </c>
      <c r="T323" s="20" t="s">
        <v>248</v>
      </c>
      <c r="U323" s="20" t="s">
        <v>39</v>
      </c>
      <c r="V323" s="20">
        <v>4</v>
      </c>
      <c r="W323" s="20">
        <v>2</v>
      </c>
      <c r="X323" s="20" t="s">
        <v>490</v>
      </c>
      <c r="Y323" s="20" t="s">
        <v>292</v>
      </c>
      <c r="Z323" s="20" t="s">
        <v>60</v>
      </c>
      <c r="AA323" s="20" t="s">
        <v>491</v>
      </c>
    </row>
    <row r="324" spans="1:27" x14ac:dyDescent="0.2">
      <c r="A324" s="1">
        <v>45981</v>
      </c>
      <c r="B324" s="20" t="s">
        <v>322</v>
      </c>
      <c r="C324" s="20" t="s">
        <v>36</v>
      </c>
      <c r="D324" s="20" t="s">
        <v>31</v>
      </c>
      <c r="E324" s="20" t="s">
        <v>323</v>
      </c>
      <c r="F324" s="20" t="s">
        <v>31</v>
      </c>
      <c r="G324" s="20">
        <v>3</v>
      </c>
      <c r="H324" s="20">
        <v>4</v>
      </c>
      <c r="I324" s="13">
        <v>0.79971067821067798</v>
      </c>
      <c r="J324" s="20" t="s">
        <v>248</v>
      </c>
      <c r="K324" s="18">
        <v>0.53300000000000003</v>
      </c>
      <c r="L324" s="20" t="s">
        <v>249</v>
      </c>
      <c r="M324" s="20" t="s">
        <v>388</v>
      </c>
      <c r="N324" s="20" t="s">
        <v>31</v>
      </c>
      <c r="O324" s="20">
        <v>2</v>
      </c>
      <c r="P324" s="20">
        <v>4</v>
      </c>
      <c r="Q324" s="13">
        <v>0.82141601872248204</v>
      </c>
      <c r="R324" s="20" t="s">
        <v>249</v>
      </c>
      <c r="S324" s="20">
        <v>1.21</v>
      </c>
      <c r="T324" s="20" t="s">
        <v>249</v>
      </c>
      <c r="U324" s="20" t="s">
        <v>36</v>
      </c>
      <c r="V324" s="20">
        <v>3</v>
      </c>
      <c r="W324" s="20">
        <v>2</v>
      </c>
      <c r="X324" s="20" t="s">
        <v>490</v>
      </c>
      <c r="Y324" s="20" t="s">
        <v>292</v>
      </c>
      <c r="Z324" s="20" t="s">
        <v>60</v>
      </c>
      <c r="AA324" s="20" t="s">
        <v>491</v>
      </c>
    </row>
    <row r="325" spans="1:27" x14ac:dyDescent="0.2">
      <c r="A325" s="1">
        <v>45981</v>
      </c>
      <c r="B325" s="20" t="s">
        <v>328</v>
      </c>
      <c r="C325" s="20" t="s">
        <v>35</v>
      </c>
      <c r="D325" s="20" t="s">
        <v>27</v>
      </c>
      <c r="E325" s="20" t="s">
        <v>332</v>
      </c>
      <c r="F325" s="20" t="s">
        <v>27</v>
      </c>
      <c r="G325" s="20">
        <v>3</v>
      </c>
      <c r="H325" s="20">
        <v>4</v>
      </c>
      <c r="I325" s="13">
        <v>0.78318759018758999</v>
      </c>
      <c r="J325" s="20" t="s">
        <v>249</v>
      </c>
      <c r="K325" s="18">
        <v>0.42499999999999999</v>
      </c>
      <c r="L325" s="20" t="s">
        <v>248</v>
      </c>
      <c r="M325" s="20" t="s">
        <v>393</v>
      </c>
      <c r="N325" s="20" t="s">
        <v>27</v>
      </c>
      <c r="O325" s="20">
        <v>2</v>
      </c>
      <c r="P325" s="20">
        <v>4</v>
      </c>
      <c r="Q325" s="13">
        <v>0.72316153141538597</v>
      </c>
      <c r="R325" s="20" t="s">
        <v>249</v>
      </c>
      <c r="S325" s="20">
        <v>1.31</v>
      </c>
      <c r="T325" s="20" t="s">
        <v>248</v>
      </c>
      <c r="U325" s="20" t="s">
        <v>27</v>
      </c>
      <c r="V325" s="20">
        <v>2</v>
      </c>
      <c r="W325" s="20">
        <v>3</v>
      </c>
      <c r="X325" s="20" t="s">
        <v>496</v>
      </c>
      <c r="Y325" s="20" t="s">
        <v>292</v>
      </c>
      <c r="Z325" s="20" t="s">
        <v>60</v>
      </c>
      <c r="AA325" s="20" t="s">
        <v>491</v>
      </c>
    </row>
    <row r="326" spans="1:27" x14ac:dyDescent="0.2">
      <c r="A326" s="1">
        <v>45981</v>
      </c>
      <c r="B326" s="20" t="s">
        <v>324</v>
      </c>
      <c r="C326" s="20" t="s">
        <v>32</v>
      </c>
      <c r="D326" s="20" t="s">
        <v>10</v>
      </c>
      <c r="E326" s="20" t="s">
        <v>325</v>
      </c>
      <c r="F326" s="20" t="s">
        <v>10</v>
      </c>
      <c r="G326" s="20">
        <v>3</v>
      </c>
      <c r="H326" s="20">
        <v>4</v>
      </c>
      <c r="I326" s="13">
        <v>0.81409746588693999</v>
      </c>
      <c r="J326" s="20" t="s">
        <v>248</v>
      </c>
      <c r="K326" s="18">
        <v>0.50700000000000001</v>
      </c>
      <c r="L326" s="20" t="s">
        <v>249</v>
      </c>
      <c r="M326" s="20" t="s">
        <v>389</v>
      </c>
      <c r="N326" s="20" t="s">
        <v>10</v>
      </c>
      <c r="O326" s="20">
        <v>2</v>
      </c>
      <c r="P326" s="20">
        <v>4</v>
      </c>
      <c r="Q326" s="13">
        <v>0.68955873942591095</v>
      </c>
      <c r="R326" s="20" t="s">
        <v>249</v>
      </c>
      <c r="S326" s="20">
        <v>1.04</v>
      </c>
      <c r="T326" s="20" t="s">
        <v>249</v>
      </c>
      <c r="U326" s="20" t="s">
        <v>32</v>
      </c>
      <c r="V326" s="20">
        <v>3</v>
      </c>
      <c r="W326" s="20">
        <v>2</v>
      </c>
      <c r="X326" s="20" t="s">
        <v>490</v>
      </c>
      <c r="Y326" s="20" t="s">
        <v>292</v>
      </c>
      <c r="Z326" s="20" t="s">
        <v>60</v>
      </c>
      <c r="AA326" s="20" t="s">
        <v>491</v>
      </c>
    </row>
    <row r="327" spans="1:27" x14ac:dyDescent="0.2">
      <c r="A327" s="1">
        <v>45981</v>
      </c>
      <c r="B327" s="20" t="s">
        <v>326</v>
      </c>
      <c r="C327" s="20" t="s">
        <v>15</v>
      </c>
      <c r="D327" s="20" t="s">
        <v>12</v>
      </c>
      <c r="E327" s="20" t="s">
        <v>327</v>
      </c>
      <c r="F327" s="20" t="s">
        <v>12</v>
      </c>
      <c r="G327" s="20">
        <v>3</v>
      </c>
      <c r="H327" s="20">
        <v>4</v>
      </c>
      <c r="I327" s="13">
        <v>0.68089417989418</v>
      </c>
      <c r="J327" s="20" t="s">
        <v>249</v>
      </c>
      <c r="K327" s="18">
        <v>0.28699999999999998</v>
      </c>
      <c r="L327" s="20" t="s">
        <v>248</v>
      </c>
      <c r="M327" s="20" t="s">
        <v>361</v>
      </c>
      <c r="N327" s="20" t="s">
        <v>12</v>
      </c>
      <c r="O327" s="20">
        <v>1</v>
      </c>
      <c r="P327" s="20">
        <v>5</v>
      </c>
      <c r="Q327" s="13">
        <v>0.79009355708149598</v>
      </c>
      <c r="R327" s="20" t="s">
        <v>249</v>
      </c>
      <c r="S327" s="20">
        <v>2.04</v>
      </c>
      <c r="T327" s="20" t="s">
        <v>248</v>
      </c>
      <c r="U327" s="20" t="s">
        <v>12</v>
      </c>
      <c r="V327" s="20">
        <v>3</v>
      </c>
      <c r="W327" s="20">
        <v>6</v>
      </c>
      <c r="X327" s="20" t="s">
        <v>490</v>
      </c>
      <c r="Y327" s="20" t="s">
        <v>292</v>
      </c>
      <c r="Z327" s="20" t="s">
        <v>60</v>
      </c>
      <c r="AA327" s="20" t="s">
        <v>491</v>
      </c>
    </row>
    <row r="328" spans="1:27" x14ac:dyDescent="0.2">
      <c r="A328" s="1">
        <v>45981</v>
      </c>
      <c r="B328" s="20" t="s">
        <v>322</v>
      </c>
      <c r="C328" s="20" t="s">
        <v>13</v>
      </c>
      <c r="D328" s="20" t="s">
        <v>33</v>
      </c>
      <c r="E328" s="20" t="s">
        <v>333</v>
      </c>
      <c r="F328" s="20" t="s">
        <v>13</v>
      </c>
      <c r="G328" s="20">
        <v>5</v>
      </c>
      <c r="H328" s="20">
        <v>4</v>
      </c>
      <c r="I328" s="13">
        <v>0.68822126022125996</v>
      </c>
      <c r="J328" s="20" t="s">
        <v>249</v>
      </c>
      <c r="K328" s="18">
        <v>0.28199999999999997</v>
      </c>
      <c r="L328" s="20" t="s">
        <v>249</v>
      </c>
      <c r="M328" s="20" t="s">
        <v>394</v>
      </c>
      <c r="N328" s="20" t="s">
        <v>13</v>
      </c>
      <c r="O328" s="20">
        <v>2</v>
      </c>
      <c r="P328" s="20">
        <v>3</v>
      </c>
      <c r="Q328" s="13">
        <v>0.56836235759955001</v>
      </c>
      <c r="R328" s="20" t="s">
        <v>248</v>
      </c>
      <c r="S328" s="20">
        <v>-0.05</v>
      </c>
      <c r="T328" s="20" t="s">
        <v>249</v>
      </c>
      <c r="U328" s="20" t="s">
        <v>33</v>
      </c>
      <c r="V328" s="20">
        <v>3</v>
      </c>
      <c r="W328" s="20">
        <v>4</v>
      </c>
      <c r="X328" s="20" t="s">
        <v>496</v>
      </c>
      <c r="Y328" s="20" t="s">
        <v>292</v>
      </c>
      <c r="Z328" s="20" t="s">
        <v>60</v>
      </c>
      <c r="AA328" s="20" t="s">
        <v>491</v>
      </c>
    </row>
    <row r="329" spans="1:27" x14ac:dyDescent="0.2">
      <c r="A329" s="1">
        <v>45981</v>
      </c>
      <c r="B329" s="20" t="s">
        <v>328</v>
      </c>
      <c r="C329" s="20" t="s">
        <v>24</v>
      </c>
      <c r="D329" s="20" t="s">
        <v>11</v>
      </c>
      <c r="E329" s="20" t="s">
        <v>330</v>
      </c>
      <c r="F329" s="20" t="s">
        <v>11</v>
      </c>
      <c r="G329" s="20">
        <v>3</v>
      </c>
      <c r="H329" s="20">
        <v>4</v>
      </c>
      <c r="I329" s="13">
        <v>0.61979461279461301</v>
      </c>
      <c r="J329" s="20" t="s">
        <v>249</v>
      </c>
      <c r="K329" s="18">
        <v>0.38100000000000001</v>
      </c>
      <c r="L329" s="20" t="s">
        <v>248</v>
      </c>
      <c r="M329" s="20" t="s">
        <v>391</v>
      </c>
      <c r="N329" s="20" t="s">
        <v>24</v>
      </c>
      <c r="O329" s="20">
        <v>2</v>
      </c>
      <c r="P329" s="20">
        <v>3</v>
      </c>
      <c r="Q329" s="13">
        <v>0.47717133510972898</v>
      </c>
      <c r="R329" s="20" t="s">
        <v>248</v>
      </c>
      <c r="S329" s="20">
        <v>-0.28000000000000003</v>
      </c>
      <c r="T329" s="20" t="s">
        <v>249</v>
      </c>
      <c r="U329" s="20" t="s">
        <v>11</v>
      </c>
      <c r="V329" s="20">
        <v>0</v>
      </c>
      <c r="W329" s="20">
        <v>1</v>
      </c>
      <c r="X329" s="20" t="s">
        <v>490</v>
      </c>
      <c r="Y329" s="20" t="s">
        <v>292</v>
      </c>
      <c r="Z329" s="20" t="s">
        <v>60</v>
      </c>
      <c r="AA329" s="20" t="s">
        <v>491</v>
      </c>
    </row>
    <row r="330" spans="1:27" x14ac:dyDescent="0.2">
      <c r="A330" s="1">
        <v>45981</v>
      </c>
      <c r="B330" s="20" t="s">
        <v>328</v>
      </c>
      <c r="C330" s="20" t="s">
        <v>22</v>
      </c>
      <c r="D330" s="20" t="s">
        <v>18</v>
      </c>
      <c r="E330" s="20" t="s">
        <v>331</v>
      </c>
      <c r="F330" s="20" t="s">
        <v>18</v>
      </c>
      <c r="G330" s="20">
        <v>3</v>
      </c>
      <c r="H330" s="20">
        <v>4</v>
      </c>
      <c r="I330" s="13">
        <v>0.75639782537151001</v>
      </c>
      <c r="J330" s="20" t="s">
        <v>248</v>
      </c>
      <c r="K330" s="18">
        <v>0.63100000000000001</v>
      </c>
      <c r="L330" s="20" t="s">
        <v>249</v>
      </c>
      <c r="M330" s="20" t="s">
        <v>392</v>
      </c>
      <c r="N330" s="20" t="s">
        <v>22</v>
      </c>
      <c r="O330" s="20">
        <v>2</v>
      </c>
      <c r="P330" s="20">
        <v>3</v>
      </c>
      <c r="Q330" s="13">
        <v>0.52653488689618599</v>
      </c>
      <c r="R330" s="20" t="s">
        <v>249</v>
      </c>
      <c r="S330" s="20">
        <v>-0.48</v>
      </c>
      <c r="T330" s="20" t="s">
        <v>248</v>
      </c>
      <c r="U330" s="20" t="s">
        <v>22</v>
      </c>
      <c r="V330" s="20">
        <v>8</v>
      </c>
      <c r="W330" s="20">
        <v>4</v>
      </c>
      <c r="X330" s="20" t="s">
        <v>490</v>
      </c>
      <c r="Y330" s="20" t="s">
        <v>292</v>
      </c>
      <c r="Z330" s="20" t="s">
        <v>60</v>
      </c>
      <c r="AA330" s="20" t="s">
        <v>491</v>
      </c>
    </row>
    <row r="331" spans="1:27" x14ac:dyDescent="0.2">
      <c r="A331" s="1">
        <v>45981</v>
      </c>
      <c r="B331" s="20" t="s">
        <v>328</v>
      </c>
      <c r="C331" s="20" t="s">
        <v>30</v>
      </c>
      <c r="D331" s="20" t="s">
        <v>26</v>
      </c>
      <c r="E331" s="20" t="s">
        <v>329</v>
      </c>
      <c r="F331" s="20" t="s">
        <v>26</v>
      </c>
      <c r="G331" s="20">
        <v>3</v>
      </c>
      <c r="H331" s="20">
        <v>4</v>
      </c>
      <c r="I331" s="13">
        <v>0.507202173213117</v>
      </c>
      <c r="J331" s="20" t="s">
        <v>249</v>
      </c>
      <c r="K331" s="18">
        <v>0.44</v>
      </c>
      <c r="L331" s="20" t="s">
        <v>249</v>
      </c>
      <c r="M331" s="20" t="s">
        <v>390</v>
      </c>
      <c r="N331" s="20" t="s">
        <v>30</v>
      </c>
      <c r="O331" s="20">
        <v>2</v>
      </c>
      <c r="P331" s="20">
        <v>3</v>
      </c>
      <c r="Q331" s="13">
        <v>0.50783942088355705</v>
      </c>
      <c r="R331" s="20" t="s">
        <v>248</v>
      </c>
      <c r="S331" s="20">
        <v>-0.21</v>
      </c>
      <c r="T331" s="20" t="s">
        <v>248</v>
      </c>
      <c r="U331" s="20" t="s">
        <v>30</v>
      </c>
      <c r="V331" s="20">
        <v>5</v>
      </c>
      <c r="W331" s="20">
        <v>0</v>
      </c>
      <c r="X331" s="20" t="s">
        <v>490</v>
      </c>
      <c r="Y331" s="20" t="s">
        <v>292</v>
      </c>
      <c r="Z331" s="20" t="s">
        <v>60</v>
      </c>
      <c r="AA331" s="20" t="s">
        <v>491</v>
      </c>
    </row>
    <row r="332" spans="1:27" x14ac:dyDescent="0.2">
      <c r="A332" s="1">
        <v>45982</v>
      </c>
      <c r="B332" s="20" t="s">
        <v>328</v>
      </c>
      <c r="C332" s="20" t="s">
        <v>10</v>
      </c>
      <c r="D332" s="20" t="s">
        <v>23</v>
      </c>
      <c r="E332" s="20" t="s">
        <v>339</v>
      </c>
      <c r="F332" s="20" t="s">
        <v>10</v>
      </c>
      <c r="G332" s="20">
        <v>4</v>
      </c>
      <c r="H332" s="20">
        <v>3</v>
      </c>
      <c r="I332" s="13">
        <v>0.58904761904761893</v>
      </c>
      <c r="J332" s="20" t="s">
        <v>248</v>
      </c>
      <c r="K332" s="18">
        <v>0.58099999999999996</v>
      </c>
      <c r="L332" s="20" t="s">
        <v>249</v>
      </c>
      <c r="M332" s="20" t="s">
        <v>399</v>
      </c>
      <c r="N332" s="20" t="s">
        <v>10</v>
      </c>
      <c r="O332" s="20">
        <v>2</v>
      </c>
      <c r="P332" s="20">
        <v>4</v>
      </c>
      <c r="Q332" s="13">
        <v>0.62127138852721631</v>
      </c>
      <c r="R332" s="20" t="s">
        <v>249</v>
      </c>
      <c r="S332" s="20">
        <v>-1.01</v>
      </c>
      <c r="T332" s="20" t="s">
        <v>249</v>
      </c>
      <c r="U332" s="20" t="s">
        <v>23</v>
      </c>
      <c r="V332" s="20">
        <v>3</v>
      </c>
      <c r="W332" s="20">
        <v>9</v>
      </c>
      <c r="X332" s="20" t="s">
        <v>490</v>
      </c>
      <c r="Y332" s="20" t="s">
        <v>292</v>
      </c>
      <c r="Z332" s="20" t="s">
        <v>60</v>
      </c>
      <c r="AA332" s="20" t="s">
        <v>491</v>
      </c>
    </row>
    <row r="333" spans="1:27" x14ac:dyDescent="0.2">
      <c r="A333" s="1">
        <v>45982</v>
      </c>
      <c r="B333" s="20" t="s">
        <v>340</v>
      </c>
      <c r="C333" s="20" t="s">
        <v>21</v>
      </c>
      <c r="D333" s="20" t="s">
        <v>13</v>
      </c>
      <c r="E333" s="20" t="s">
        <v>341</v>
      </c>
      <c r="F333" s="20" t="s">
        <v>13</v>
      </c>
      <c r="G333" s="20">
        <v>3</v>
      </c>
      <c r="H333" s="20">
        <v>4</v>
      </c>
      <c r="I333" s="13">
        <v>0.54508201058201067</v>
      </c>
      <c r="J333" s="20" t="s">
        <v>248</v>
      </c>
      <c r="K333" s="18">
        <v>0.63700000000000001</v>
      </c>
      <c r="L333" s="20" t="s">
        <v>249</v>
      </c>
      <c r="M333" s="20" t="s">
        <v>400</v>
      </c>
      <c r="N333" s="20" t="s">
        <v>13</v>
      </c>
      <c r="O333" s="20">
        <v>2</v>
      </c>
      <c r="P333" s="20">
        <v>3</v>
      </c>
      <c r="Q333" s="13">
        <v>0.54352487978663888</v>
      </c>
      <c r="R333" s="20" t="s">
        <v>248</v>
      </c>
      <c r="S333" s="20">
        <v>0.03</v>
      </c>
      <c r="T333" s="20" t="s">
        <v>249</v>
      </c>
      <c r="U333" s="20" t="s">
        <v>21</v>
      </c>
      <c r="V333" s="20">
        <v>2</v>
      </c>
      <c r="W333" s="20">
        <v>1</v>
      </c>
      <c r="X333" s="20" t="s">
        <v>496</v>
      </c>
      <c r="Y333" s="20" t="s">
        <v>292</v>
      </c>
      <c r="Z333" s="20" t="s">
        <v>60</v>
      </c>
      <c r="AA333" s="20" t="s">
        <v>491</v>
      </c>
    </row>
    <row r="334" spans="1:27" x14ac:dyDescent="0.2">
      <c r="A334" s="1">
        <v>45982</v>
      </c>
      <c r="B334" s="20" t="s">
        <v>328</v>
      </c>
      <c r="C334" s="20" t="s">
        <v>34</v>
      </c>
      <c r="D334" s="20" t="s">
        <v>14</v>
      </c>
      <c r="E334" s="20" t="s">
        <v>342</v>
      </c>
      <c r="F334" s="20" t="s">
        <v>34</v>
      </c>
      <c r="G334" s="20">
        <v>3</v>
      </c>
      <c r="H334" s="20">
        <v>2</v>
      </c>
      <c r="I334" s="13">
        <v>0.51067724867724873</v>
      </c>
      <c r="J334" s="20" t="s">
        <v>249</v>
      </c>
      <c r="K334" s="18">
        <v>0.44400000000000001</v>
      </c>
      <c r="L334" s="20" t="s">
        <v>248</v>
      </c>
      <c r="M334" s="20" t="s">
        <v>343</v>
      </c>
      <c r="N334" s="20" t="s">
        <v>14</v>
      </c>
      <c r="O334" s="20">
        <v>2</v>
      </c>
      <c r="P334" s="20">
        <v>4</v>
      </c>
      <c r="Q334" s="13">
        <v>0.69427003530691833</v>
      </c>
      <c r="R334" s="20" t="s">
        <v>249</v>
      </c>
      <c r="S334" s="20">
        <v>0.85</v>
      </c>
      <c r="T334" s="20" t="s">
        <v>249</v>
      </c>
      <c r="U334" s="20" t="s">
        <v>34</v>
      </c>
      <c r="V334" s="20">
        <v>5</v>
      </c>
      <c r="W334" s="20">
        <v>0</v>
      </c>
      <c r="X334" s="20" t="s">
        <v>490</v>
      </c>
      <c r="Y334" s="20" t="s">
        <v>292</v>
      </c>
      <c r="Z334" s="20" t="s">
        <v>60</v>
      </c>
      <c r="AA334" s="20" t="s">
        <v>491</v>
      </c>
    </row>
    <row r="335" spans="1:27" x14ac:dyDescent="0.2">
      <c r="A335" s="1">
        <v>45982</v>
      </c>
      <c r="B335" s="20" t="s">
        <v>324</v>
      </c>
      <c r="C335" s="20" t="s">
        <v>25</v>
      </c>
      <c r="D335" s="20" t="s">
        <v>40</v>
      </c>
      <c r="E335" s="20" t="s">
        <v>344</v>
      </c>
      <c r="F335" s="20" t="s">
        <v>40</v>
      </c>
      <c r="G335" s="20">
        <v>3</v>
      </c>
      <c r="H335" s="20">
        <v>4</v>
      </c>
      <c r="I335" s="13">
        <v>0.75196825396825406</v>
      </c>
      <c r="J335" s="20" t="s">
        <v>248</v>
      </c>
      <c r="K335" s="18">
        <v>0.64800000000000002</v>
      </c>
      <c r="L335" s="20" t="s">
        <v>249</v>
      </c>
      <c r="M335" s="20" t="s">
        <v>401</v>
      </c>
      <c r="N335" s="20" t="s">
        <v>25</v>
      </c>
      <c r="O335" s="20">
        <v>2</v>
      </c>
      <c r="P335" s="20">
        <v>3</v>
      </c>
      <c r="Q335" s="13">
        <v>0.52384786307493458</v>
      </c>
      <c r="R335" s="20" t="s">
        <v>248</v>
      </c>
      <c r="S335" s="20">
        <v>-0.26</v>
      </c>
      <c r="T335" s="20" t="s">
        <v>248</v>
      </c>
      <c r="U335" s="20" t="s">
        <v>25</v>
      </c>
      <c r="V335" s="20">
        <v>4</v>
      </c>
      <c r="W335" s="20">
        <v>3</v>
      </c>
      <c r="X335" s="20" t="s">
        <v>490</v>
      </c>
      <c r="Y335" s="20" t="s">
        <v>292</v>
      </c>
      <c r="Z335" s="20" t="s">
        <v>60</v>
      </c>
      <c r="AA335" s="20" t="s">
        <v>491</v>
      </c>
    </row>
    <row r="336" spans="1:27" x14ac:dyDescent="0.2">
      <c r="A336" s="1">
        <v>45983</v>
      </c>
      <c r="B336" s="20" t="s">
        <v>326</v>
      </c>
      <c r="C336" s="20" t="s">
        <v>15</v>
      </c>
      <c r="D336" s="20" t="s">
        <v>55</v>
      </c>
      <c r="E336" s="20" t="s">
        <v>357</v>
      </c>
      <c r="F336" s="20" t="s">
        <v>55</v>
      </c>
      <c r="G336" s="20">
        <v>3</v>
      </c>
      <c r="H336" s="20">
        <v>4</v>
      </c>
      <c r="I336" s="13">
        <v>0.6337840563691628</v>
      </c>
      <c r="J336" s="20" t="s">
        <v>249</v>
      </c>
      <c r="K336" s="18">
        <v>0.313</v>
      </c>
      <c r="L336" s="20" t="s">
        <v>248</v>
      </c>
      <c r="M336" s="20" t="s">
        <v>362</v>
      </c>
      <c r="N336" s="20" t="s">
        <v>55</v>
      </c>
      <c r="O336" s="20">
        <v>2</v>
      </c>
      <c r="P336" s="20">
        <v>3</v>
      </c>
      <c r="Q336" s="13">
        <v>0.51017063196028578</v>
      </c>
      <c r="R336" s="20" t="s">
        <v>248</v>
      </c>
      <c r="S336" s="20">
        <v>0.25</v>
      </c>
      <c r="T336" s="20" t="s">
        <v>248</v>
      </c>
      <c r="U336" s="20" t="s">
        <v>55</v>
      </c>
      <c r="V336" s="20">
        <v>2</v>
      </c>
      <c r="W336" s="20">
        <v>3</v>
      </c>
      <c r="X336" s="20" t="s">
        <v>490</v>
      </c>
      <c r="Y336" s="20" t="s">
        <v>292</v>
      </c>
      <c r="Z336" s="20" t="s">
        <v>60</v>
      </c>
      <c r="AA336" s="20" t="s">
        <v>491</v>
      </c>
    </row>
    <row r="337" spans="1:27" x14ac:dyDescent="0.2">
      <c r="A337" s="1">
        <v>45983</v>
      </c>
      <c r="B337" s="20" t="s">
        <v>328</v>
      </c>
      <c r="C337" s="20" t="s">
        <v>36</v>
      </c>
      <c r="D337" s="20" t="s">
        <v>33</v>
      </c>
      <c r="E337" s="20" t="s">
        <v>356</v>
      </c>
      <c r="F337" s="20" t="s">
        <v>33</v>
      </c>
      <c r="G337" s="20">
        <v>4</v>
      </c>
      <c r="H337" s="20">
        <v>5</v>
      </c>
      <c r="I337" s="13">
        <v>0.57873187202660858</v>
      </c>
      <c r="J337" s="20" t="s">
        <v>248</v>
      </c>
      <c r="K337" s="18">
        <v>0.627</v>
      </c>
      <c r="L337" s="20" t="s">
        <v>249</v>
      </c>
      <c r="M337" s="20" t="s">
        <v>407</v>
      </c>
      <c r="N337" s="20" t="s">
        <v>33</v>
      </c>
      <c r="O337" s="20">
        <v>2</v>
      </c>
      <c r="P337" s="20">
        <v>3</v>
      </c>
      <c r="Q337" s="13">
        <v>0.5625647207386173</v>
      </c>
      <c r="R337" s="20" t="s">
        <v>248</v>
      </c>
      <c r="S337" s="20">
        <v>0.16</v>
      </c>
      <c r="T337" s="20" t="s">
        <v>249</v>
      </c>
      <c r="U337" s="20" t="s">
        <v>36</v>
      </c>
      <c r="V337" s="20">
        <v>3</v>
      </c>
      <c r="W337" s="20">
        <v>2</v>
      </c>
      <c r="X337" s="20" t="s">
        <v>490</v>
      </c>
      <c r="Y337" s="20" t="s">
        <v>292</v>
      </c>
      <c r="Z337" s="20" t="s">
        <v>60</v>
      </c>
      <c r="AA337" s="20" t="s">
        <v>491</v>
      </c>
    </row>
    <row r="338" spans="1:27" x14ac:dyDescent="0.2">
      <c r="A338" s="1">
        <v>45983</v>
      </c>
      <c r="B338" s="20" t="s">
        <v>328</v>
      </c>
      <c r="C338" s="20" t="s">
        <v>32</v>
      </c>
      <c r="D338" s="20" t="s">
        <v>14</v>
      </c>
      <c r="E338" s="20" t="s">
        <v>355</v>
      </c>
      <c r="F338" s="20" t="s">
        <v>14</v>
      </c>
      <c r="G338" s="20">
        <v>3</v>
      </c>
      <c r="H338" s="20">
        <v>4</v>
      </c>
      <c r="I338" s="13">
        <v>0.53547883597883605</v>
      </c>
      <c r="J338" s="20" t="s">
        <v>249</v>
      </c>
      <c r="K338" s="18">
        <v>0.40500000000000003</v>
      </c>
      <c r="L338" s="20" t="s">
        <v>249</v>
      </c>
      <c r="M338" s="20" t="s">
        <v>406</v>
      </c>
      <c r="N338" s="20" t="s">
        <v>14</v>
      </c>
      <c r="O338" s="20">
        <v>2</v>
      </c>
      <c r="P338" s="20">
        <v>4</v>
      </c>
      <c r="Q338" s="13">
        <v>0.62760419841259008</v>
      </c>
      <c r="R338" s="20" t="s">
        <v>249</v>
      </c>
      <c r="S338" s="20">
        <v>0.56000000000000005</v>
      </c>
      <c r="T338" s="20" t="s">
        <v>249</v>
      </c>
      <c r="U338" s="20" t="s">
        <v>32</v>
      </c>
      <c r="V338" s="20">
        <v>3</v>
      </c>
      <c r="W338" s="20">
        <v>2</v>
      </c>
      <c r="X338" s="20" t="s">
        <v>496</v>
      </c>
      <c r="Y338" s="20" t="s">
        <v>292</v>
      </c>
      <c r="Z338" s="20" t="s">
        <v>60</v>
      </c>
      <c r="AA338" s="20" t="s">
        <v>491</v>
      </c>
    </row>
    <row r="339" spans="1:27" x14ac:dyDescent="0.2">
      <c r="A339" s="1">
        <v>45983</v>
      </c>
      <c r="B339" s="20" t="s">
        <v>328</v>
      </c>
      <c r="C339" s="20" t="s">
        <v>24</v>
      </c>
      <c r="D339" s="20" t="s">
        <v>27</v>
      </c>
      <c r="E339" s="20" t="s">
        <v>354</v>
      </c>
      <c r="F339" s="20" t="s">
        <v>24</v>
      </c>
      <c r="G339" s="20">
        <v>4</v>
      </c>
      <c r="H339" s="20">
        <v>3</v>
      </c>
      <c r="I339" s="13">
        <v>0.63601404151404162</v>
      </c>
      <c r="J339" s="20" t="s">
        <v>249</v>
      </c>
      <c r="K339" s="18">
        <v>0.44</v>
      </c>
      <c r="L339" s="20" t="s">
        <v>249</v>
      </c>
      <c r="M339" s="20" t="s">
        <v>405</v>
      </c>
      <c r="N339" s="20" t="s">
        <v>24</v>
      </c>
      <c r="O339" s="20">
        <v>2</v>
      </c>
      <c r="P339" s="20">
        <v>4</v>
      </c>
      <c r="Q339" s="13">
        <v>0.55265687829531895</v>
      </c>
      <c r="R339" s="20" t="s">
        <v>249</v>
      </c>
      <c r="S339" s="20">
        <v>-0.63</v>
      </c>
      <c r="T339" s="20" t="s">
        <v>249</v>
      </c>
      <c r="U339" s="20" t="s">
        <v>27</v>
      </c>
      <c r="V339" s="20">
        <v>3</v>
      </c>
      <c r="W339" s="20">
        <v>6</v>
      </c>
      <c r="X339" s="20" t="s">
        <v>490</v>
      </c>
      <c r="Y339" s="20" t="s">
        <v>292</v>
      </c>
      <c r="Z339" s="20" t="s">
        <v>60</v>
      </c>
      <c r="AA339" s="20" t="s">
        <v>491</v>
      </c>
    </row>
    <row r="340" spans="1:27" x14ac:dyDescent="0.2">
      <c r="A340" s="1">
        <v>45983</v>
      </c>
      <c r="B340" s="20" t="s">
        <v>328</v>
      </c>
      <c r="C340" s="20" t="s">
        <v>17</v>
      </c>
      <c r="D340" s="20" t="s">
        <v>11</v>
      </c>
      <c r="E340" s="20" t="s">
        <v>349</v>
      </c>
      <c r="F340" s="20" t="s">
        <v>11</v>
      </c>
      <c r="G340" s="20">
        <v>3</v>
      </c>
      <c r="H340" s="20">
        <v>4</v>
      </c>
      <c r="I340" s="13">
        <v>0.71271640211640208</v>
      </c>
      <c r="J340" s="20" t="s">
        <v>249</v>
      </c>
      <c r="K340" s="18">
        <v>0.317</v>
      </c>
      <c r="L340" s="20" t="s">
        <v>249</v>
      </c>
      <c r="M340" s="20" t="s">
        <v>403</v>
      </c>
      <c r="N340" s="20" t="s">
        <v>11</v>
      </c>
      <c r="O340" s="20">
        <v>2</v>
      </c>
      <c r="P340" s="20">
        <v>4</v>
      </c>
      <c r="Q340" s="13">
        <v>0.7567456775048037</v>
      </c>
      <c r="R340" s="20" t="s">
        <v>249</v>
      </c>
      <c r="S340" s="20">
        <v>1</v>
      </c>
      <c r="T340" s="20" t="s">
        <v>249</v>
      </c>
      <c r="U340" s="20" t="s">
        <v>17</v>
      </c>
      <c r="V340" s="20">
        <v>6</v>
      </c>
      <c r="W340" s="20">
        <v>3</v>
      </c>
      <c r="X340" s="20" t="s">
        <v>490</v>
      </c>
      <c r="Y340" s="20" t="s">
        <v>292</v>
      </c>
      <c r="Z340" s="20" t="s">
        <v>60</v>
      </c>
      <c r="AA340" s="20" t="s">
        <v>491</v>
      </c>
    </row>
    <row r="341" spans="1:27" x14ac:dyDescent="0.2">
      <c r="A341" s="1">
        <v>45983</v>
      </c>
      <c r="B341" s="20" t="s">
        <v>324</v>
      </c>
      <c r="C341" s="20" t="s">
        <v>12</v>
      </c>
      <c r="D341" s="20" t="s">
        <v>29</v>
      </c>
      <c r="E341" s="20" t="s">
        <v>351</v>
      </c>
      <c r="F341" s="20" t="s">
        <v>12</v>
      </c>
      <c r="G341" s="20">
        <v>4</v>
      </c>
      <c r="H341" s="20">
        <v>3</v>
      </c>
      <c r="I341" s="13">
        <v>0.79329100529100538</v>
      </c>
      <c r="J341" s="20" t="s">
        <v>249</v>
      </c>
      <c r="K341" s="18">
        <v>0.34200000000000003</v>
      </c>
      <c r="L341" s="20" t="s">
        <v>248</v>
      </c>
      <c r="M341" s="20" t="s">
        <v>361</v>
      </c>
      <c r="N341" s="20" t="s">
        <v>12</v>
      </c>
      <c r="O341" s="20">
        <v>1</v>
      </c>
      <c r="P341" s="20">
        <v>6</v>
      </c>
      <c r="Q341" s="13">
        <v>0.93629488580979003</v>
      </c>
      <c r="R341" s="20" t="s">
        <v>249</v>
      </c>
      <c r="S341" s="20">
        <v>-2.83</v>
      </c>
      <c r="T341" s="20" t="s">
        <v>248</v>
      </c>
      <c r="U341" s="20" t="s">
        <v>12</v>
      </c>
      <c r="V341" s="20">
        <v>3</v>
      </c>
      <c r="W341" s="20">
        <v>0</v>
      </c>
      <c r="X341" s="20" t="s">
        <v>490</v>
      </c>
      <c r="Y341" s="20" t="s">
        <v>292</v>
      </c>
      <c r="Z341" s="20" t="s">
        <v>60</v>
      </c>
      <c r="AA341" s="20" t="s">
        <v>491</v>
      </c>
    </row>
    <row r="342" spans="1:27" x14ac:dyDescent="0.2">
      <c r="A342" s="1">
        <v>45983</v>
      </c>
      <c r="B342" s="20" t="s">
        <v>328</v>
      </c>
      <c r="C342" s="20" t="s">
        <v>19</v>
      </c>
      <c r="D342" s="20" t="s">
        <v>18</v>
      </c>
      <c r="E342" s="20" t="s">
        <v>350</v>
      </c>
      <c r="F342" s="20" t="s">
        <v>18</v>
      </c>
      <c r="G342" s="20">
        <v>4</v>
      </c>
      <c r="H342" s="20">
        <v>5</v>
      </c>
      <c r="I342" s="13">
        <v>0.53974867724867714</v>
      </c>
      <c r="J342" s="20" t="s">
        <v>249</v>
      </c>
      <c r="K342" s="18">
        <v>0.46300000000000002</v>
      </c>
      <c r="L342" s="20" t="s">
        <v>248</v>
      </c>
      <c r="M342" s="20" t="s">
        <v>360</v>
      </c>
      <c r="N342" s="20" t="s">
        <v>18</v>
      </c>
      <c r="O342" s="20">
        <v>2</v>
      </c>
      <c r="P342" s="20">
        <v>3</v>
      </c>
      <c r="Q342" s="13">
        <v>0.55269401670466733</v>
      </c>
      <c r="R342" s="20" t="s">
        <v>248</v>
      </c>
      <c r="S342" s="20">
        <v>0.09</v>
      </c>
      <c r="T342" s="20" t="s">
        <v>248</v>
      </c>
      <c r="U342" s="20" t="s">
        <v>18</v>
      </c>
      <c r="V342" s="20">
        <v>2</v>
      </c>
      <c r="W342" s="20">
        <v>5</v>
      </c>
      <c r="X342" s="20" t="s">
        <v>490</v>
      </c>
      <c r="Y342" s="20" t="s">
        <v>292</v>
      </c>
      <c r="Z342" s="20" t="s">
        <v>60</v>
      </c>
      <c r="AA342" s="20" t="s">
        <v>491</v>
      </c>
    </row>
    <row r="343" spans="1:27" x14ac:dyDescent="0.2">
      <c r="A343" s="1">
        <v>45983</v>
      </c>
      <c r="B343" s="20" t="s">
        <v>347</v>
      </c>
      <c r="C343" s="20" t="s">
        <v>28</v>
      </c>
      <c r="D343" s="20" t="s">
        <v>26</v>
      </c>
      <c r="E343" s="20" t="s">
        <v>348</v>
      </c>
      <c r="F343" s="20" t="s">
        <v>26</v>
      </c>
      <c r="G343" s="20">
        <v>2</v>
      </c>
      <c r="H343" s="20">
        <v>3</v>
      </c>
      <c r="I343" s="13">
        <v>0.70020214957327953</v>
      </c>
      <c r="J343" s="20" t="s">
        <v>249</v>
      </c>
      <c r="K343" s="18">
        <v>0.36799999999999999</v>
      </c>
      <c r="L343" s="20" t="s">
        <v>248</v>
      </c>
      <c r="M343" s="20" t="s">
        <v>307</v>
      </c>
      <c r="N343" s="20" t="s">
        <v>28</v>
      </c>
      <c r="O343" s="20">
        <v>2</v>
      </c>
      <c r="P343" s="20">
        <v>3</v>
      </c>
      <c r="Q343" s="13">
        <v>0.46548155836437699</v>
      </c>
      <c r="R343" s="20" t="s">
        <v>248</v>
      </c>
      <c r="S343" s="20">
        <v>-0.03</v>
      </c>
      <c r="T343" s="20" t="s">
        <v>249</v>
      </c>
      <c r="U343" s="20" t="s">
        <v>26</v>
      </c>
      <c r="V343" s="20">
        <v>3</v>
      </c>
      <c r="W343" s="20">
        <v>4</v>
      </c>
      <c r="X343" s="20" t="s">
        <v>496</v>
      </c>
      <c r="Y343" s="20" t="s">
        <v>292</v>
      </c>
      <c r="Z343" s="20" t="s">
        <v>60</v>
      </c>
      <c r="AA343" s="20" t="s">
        <v>491</v>
      </c>
    </row>
    <row r="344" spans="1:27" x14ac:dyDescent="0.2">
      <c r="A344" s="1">
        <v>45983</v>
      </c>
      <c r="B344" s="20" t="s">
        <v>322</v>
      </c>
      <c r="C344" s="20" t="s">
        <v>20</v>
      </c>
      <c r="D344" s="20" t="s">
        <v>31</v>
      </c>
      <c r="E344" s="20" t="s">
        <v>345</v>
      </c>
      <c r="F344" s="20" t="s">
        <v>31</v>
      </c>
      <c r="G344" s="20">
        <v>3</v>
      </c>
      <c r="H344" s="20">
        <v>4</v>
      </c>
      <c r="I344" s="13">
        <v>0.7439365079365079</v>
      </c>
      <c r="J344" s="20" t="s">
        <v>248</v>
      </c>
      <c r="K344" s="18">
        <v>0.59399999999999997</v>
      </c>
      <c r="L344" s="20" t="s">
        <v>248</v>
      </c>
      <c r="M344" s="20" t="s">
        <v>291</v>
      </c>
      <c r="N344" s="20" t="s">
        <v>31</v>
      </c>
      <c r="O344" s="20">
        <v>2</v>
      </c>
      <c r="P344" s="20">
        <v>3</v>
      </c>
      <c r="Q344" s="13">
        <v>0.63411411850668342</v>
      </c>
      <c r="R344" s="20" t="s">
        <v>249</v>
      </c>
      <c r="S344" s="20">
        <v>0.35</v>
      </c>
      <c r="T344" s="20" t="s">
        <v>248</v>
      </c>
      <c r="U344" s="20" t="s">
        <v>31</v>
      </c>
      <c r="V344" s="20">
        <v>3</v>
      </c>
      <c r="W344" s="20">
        <v>4</v>
      </c>
      <c r="X344" s="20" t="s">
        <v>496</v>
      </c>
      <c r="Y344" s="20" t="s">
        <v>292</v>
      </c>
      <c r="Z344" s="20" t="s">
        <v>60</v>
      </c>
      <c r="AA344" s="20" t="s">
        <v>491</v>
      </c>
    </row>
    <row r="345" spans="1:27" x14ac:dyDescent="0.2">
      <c r="A345" s="1">
        <v>45983</v>
      </c>
      <c r="B345" s="20" t="s">
        <v>352</v>
      </c>
      <c r="C345" s="20" t="s">
        <v>35</v>
      </c>
      <c r="D345" s="20" t="s">
        <v>30</v>
      </c>
      <c r="E345" s="20" t="s">
        <v>353</v>
      </c>
      <c r="F345" s="20" t="s">
        <v>30</v>
      </c>
      <c r="G345" s="20">
        <v>3</v>
      </c>
      <c r="H345" s="20">
        <v>4</v>
      </c>
      <c r="I345" s="13">
        <v>0.82961190476190472</v>
      </c>
      <c r="J345" s="20" t="s">
        <v>249</v>
      </c>
      <c r="K345" s="18">
        <v>0.44800000000000001</v>
      </c>
      <c r="L345" s="20" t="s">
        <v>249</v>
      </c>
      <c r="M345" s="20" t="s">
        <v>404</v>
      </c>
      <c r="N345" s="20" t="s">
        <v>30</v>
      </c>
      <c r="O345" s="20">
        <v>1</v>
      </c>
      <c r="P345" s="20">
        <v>5</v>
      </c>
      <c r="Q345" s="13">
        <v>0.83238050643354911</v>
      </c>
      <c r="R345" s="20" t="s">
        <v>249</v>
      </c>
      <c r="S345" s="20">
        <v>2.02</v>
      </c>
      <c r="T345" s="20" t="s">
        <v>249</v>
      </c>
      <c r="U345" s="20" t="s">
        <v>35</v>
      </c>
      <c r="V345" s="20">
        <v>2</v>
      </c>
      <c r="W345" s="20">
        <v>1</v>
      </c>
      <c r="X345" s="20" t="s">
        <v>490</v>
      </c>
      <c r="Y345" s="20" t="s">
        <v>292</v>
      </c>
      <c r="Z345" s="20" t="s">
        <v>60</v>
      </c>
      <c r="AA345" s="20" t="s">
        <v>491</v>
      </c>
    </row>
    <row r="346" spans="1:27" x14ac:dyDescent="0.2">
      <c r="A346" s="1">
        <v>45983</v>
      </c>
      <c r="B346" s="20" t="s">
        <v>328</v>
      </c>
      <c r="C346" s="20" t="s">
        <v>37</v>
      </c>
      <c r="D346" s="20" t="s">
        <v>22</v>
      </c>
      <c r="E346" s="20" t="s">
        <v>358</v>
      </c>
      <c r="F346" s="20" t="s">
        <v>22</v>
      </c>
      <c r="G346" s="20">
        <v>3</v>
      </c>
      <c r="H346" s="20">
        <v>4</v>
      </c>
      <c r="I346" s="13">
        <v>0.64363278171788785</v>
      </c>
      <c r="J346" s="20" t="s">
        <v>248</v>
      </c>
      <c r="K346" s="18">
        <v>0.54700000000000004</v>
      </c>
      <c r="L346" s="20" t="s">
        <v>249</v>
      </c>
      <c r="M346" s="20" t="s">
        <v>408</v>
      </c>
      <c r="N346" s="20" t="s">
        <v>22</v>
      </c>
      <c r="O346" s="20">
        <v>2</v>
      </c>
      <c r="P346" s="20">
        <v>3</v>
      </c>
      <c r="Q346" s="13">
        <v>0.5417979763641656</v>
      </c>
      <c r="R346" s="20" t="s">
        <v>249</v>
      </c>
      <c r="S346" s="20">
        <v>0.32</v>
      </c>
      <c r="T346" s="20" t="s">
        <v>249</v>
      </c>
      <c r="U346" s="20" t="s">
        <v>37</v>
      </c>
      <c r="V346" s="20">
        <v>5</v>
      </c>
      <c r="W346" s="20">
        <v>3</v>
      </c>
      <c r="X346" s="20" t="s">
        <v>490</v>
      </c>
      <c r="Y346" s="20" t="s">
        <v>292</v>
      </c>
      <c r="Z346" s="20" t="s">
        <v>60</v>
      </c>
      <c r="AA346" s="20" t="s">
        <v>491</v>
      </c>
    </row>
    <row r="347" spans="1:27" x14ac:dyDescent="0.2">
      <c r="A347" s="1">
        <v>45983</v>
      </c>
      <c r="B347" s="20" t="s">
        <v>322</v>
      </c>
      <c r="C347" s="20" t="s">
        <v>39</v>
      </c>
      <c r="D347" s="20" t="s">
        <v>16</v>
      </c>
      <c r="E347" s="20" t="s">
        <v>346</v>
      </c>
      <c r="F347" s="20" t="s">
        <v>39</v>
      </c>
      <c r="G347" s="20">
        <v>5</v>
      </c>
      <c r="H347" s="20">
        <v>4</v>
      </c>
      <c r="I347" s="13">
        <v>0.59559788359788357</v>
      </c>
      <c r="J347" s="20" t="s">
        <v>249</v>
      </c>
      <c r="K347" s="18">
        <v>0.39600000000000002</v>
      </c>
      <c r="L347" s="20" t="s">
        <v>249</v>
      </c>
      <c r="M347" s="20" t="s">
        <v>402</v>
      </c>
      <c r="N347" s="20" t="s">
        <v>39</v>
      </c>
      <c r="O347" s="20">
        <v>2</v>
      </c>
      <c r="P347" s="20">
        <v>4</v>
      </c>
      <c r="Q347" s="13">
        <v>0.75479145950448245</v>
      </c>
      <c r="R347" s="20" t="s">
        <v>249</v>
      </c>
      <c r="S347" s="20">
        <v>-1.31</v>
      </c>
      <c r="T347" s="20" t="s">
        <v>249</v>
      </c>
      <c r="U347" s="20" t="s">
        <v>16</v>
      </c>
      <c r="V347" s="20">
        <v>2</v>
      </c>
      <c r="W347" s="20">
        <v>3</v>
      </c>
      <c r="X347" s="20" t="s">
        <v>496</v>
      </c>
      <c r="Y347" s="20" t="s">
        <v>292</v>
      </c>
      <c r="Z347" s="20" t="s">
        <v>60</v>
      </c>
      <c r="AA347" s="20" t="s">
        <v>491</v>
      </c>
    </row>
    <row r="348" spans="1:27" x14ac:dyDescent="0.2">
      <c r="A348" s="1">
        <v>45984</v>
      </c>
      <c r="B348" s="20" t="s">
        <v>347</v>
      </c>
      <c r="C348" s="20" t="s">
        <v>25</v>
      </c>
      <c r="D348" s="20" t="s">
        <v>23</v>
      </c>
      <c r="E348" s="20" t="s">
        <v>363</v>
      </c>
      <c r="F348" s="20" t="s">
        <v>25</v>
      </c>
      <c r="G348" s="20">
        <v>4</v>
      </c>
      <c r="H348" s="20">
        <v>3</v>
      </c>
      <c r="I348" s="13">
        <v>0.746</v>
      </c>
      <c r="J348" s="20" t="s">
        <v>249</v>
      </c>
      <c r="K348" s="18">
        <v>0.33900000000000002</v>
      </c>
      <c r="L348" s="20" t="s">
        <v>249</v>
      </c>
      <c r="M348" s="20" t="s">
        <v>409</v>
      </c>
      <c r="N348" s="20" t="s">
        <v>25</v>
      </c>
      <c r="O348" s="20">
        <v>4</v>
      </c>
      <c r="P348" s="20">
        <v>2</v>
      </c>
      <c r="Q348" s="13">
        <v>0.70099999999999996</v>
      </c>
      <c r="R348" s="20" t="s">
        <v>249</v>
      </c>
      <c r="S348" s="20">
        <v>-1.1599999999999999</v>
      </c>
      <c r="T348" s="20" t="s">
        <v>249</v>
      </c>
      <c r="U348" s="20" t="s">
        <v>23</v>
      </c>
      <c r="V348" s="20">
        <v>1</v>
      </c>
      <c r="W348" s="20">
        <v>4</v>
      </c>
      <c r="X348" s="20" t="s">
        <v>490</v>
      </c>
      <c r="Y348" s="20" t="s">
        <v>292</v>
      </c>
      <c r="Z348" s="20" t="s">
        <v>359</v>
      </c>
      <c r="AA348" s="20" t="s">
        <v>491</v>
      </c>
    </row>
    <row r="349" spans="1:27" x14ac:dyDescent="0.2">
      <c r="A349" s="1">
        <v>45984</v>
      </c>
      <c r="B349" s="20" t="s">
        <v>328</v>
      </c>
      <c r="C349" s="20" t="s">
        <v>12</v>
      </c>
      <c r="D349" s="20" t="s">
        <v>10</v>
      </c>
      <c r="E349" s="20" t="s">
        <v>364</v>
      </c>
      <c r="F349" s="20" t="s">
        <v>12</v>
      </c>
      <c r="G349" s="20">
        <v>5</v>
      </c>
      <c r="H349" s="20">
        <v>4</v>
      </c>
      <c r="I349" s="13">
        <v>0.65200000000000002</v>
      </c>
      <c r="J349" s="20" t="s">
        <v>248</v>
      </c>
      <c r="K349" s="18">
        <v>0.53400000000000003</v>
      </c>
      <c r="L349" s="20" t="s">
        <v>248</v>
      </c>
      <c r="M349" s="20" t="s">
        <v>361</v>
      </c>
      <c r="N349" s="20" t="s">
        <v>12</v>
      </c>
      <c r="O349" s="20">
        <v>4</v>
      </c>
      <c r="P349" s="20">
        <v>2</v>
      </c>
      <c r="Q349" s="13">
        <v>0.73299999999999998</v>
      </c>
      <c r="R349" s="20" t="s">
        <v>249</v>
      </c>
      <c r="S349" s="20">
        <v>-1.5</v>
      </c>
      <c r="T349" s="20" t="s">
        <v>248</v>
      </c>
      <c r="U349" s="20" t="s">
        <v>12</v>
      </c>
      <c r="V349" s="20">
        <v>1</v>
      </c>
      <c r="W349" s="20">
        <v>0</v>
      </c>
      <c r="X349" s="20" t="s">
        <v>490</v>
      </c>
      <c r="Y349" s="20" t="s">
        <v>292</v>
      </c>
      <c r="Z349" s="20" t="s">
        <v>359</v>
      </c>
      <c r="AA349" s="20" t="s">
        <v>491</v>
      </c>
    </row>
    <row r="350" spans="1:27" x14ac:dyDescent="0.2">
      <c r="A350" s="1">
        <v>45984</v>
      </c>
      <c r="B350" s="20" t="s">
        <v>365</v>
      </c>
      <c r="C350" s="20" t="s">
        <v>32</v>
      </c>
      <c r="D350" s="20" t="s">
        <v>30</v>
      </c>
      <c r="E350" s="20" t="s">
        <v>366</v>
      </c>
      <c r="F350" s="20" t="s">
        <v>32</v>
      </c>
      <c r="G350" s="20">
        <v>5</v>
      </c>
      <c r="H350" s="20">
        <v>4</v>
      </c>
      <c r="I350" s="13">
        <v>0.57899999999999996</v>
      </c>
      <c r="J350" s="20" t="s">
        <v>249</v>
      </c>
      <c r="K350" s="18">
        <v>0.48799999999999999</v>
      </c>
      <c r="L350" s="20" t="s">
        <v>249</v>
      </c>
      <c r="M350" s="20" t="s">
        <v>410</v>
      </c>
      <c r="N350" s="20" t="s">
        <v>30</v>
      </c>
      <c r="O350" s="20">
        <v>2</v>
      </c>
      <c r="P350" s="20">
        <v>4</v>
      </c>
      <c r="Q350" s="13">
        <v>0.61299999999999999</v>
      </c>
      <c r="R350" s="20" t="s">
        <v>249</v>
      </c>
      <c r="S350" s="20">
        <v>0.56999999999999995</v>
      </c>
      <c r="T350" s="20" t="s">
        <v>248</v>
      </c>
      <c r="U350" s="20" t="s">
        <v>30</v>
      </c>
      <c r="V350" s="20">
        <v>0</v>
      </c>
      <c r="W350" s="20">
        <v>1</v>
      </c>
      <c r="X350" s="20" t="s">
        <v>496</v>
      </c>
      <c r="Y350" s="20" t="s">
        <v>292</v>
      </c>
      <c r="Z350" s="20" t="s">
        <v>359</v>
      </c>
      <c r="AA350" s="20" t="s">
        <v>491</v>
      </c>
    </row>
    <row r="351" spans="1:27" x14ac:dyDescent="0.2">
      <c r="A351" s="1">
        <v>45984</v>
      </c>
      <c r="B351" s="20" t="s">
        <v>324</v>
      </c>
      <c r="C351" s="20" t="s">
        <v>21</v>
      </c>
      <c r="D351" s="20" t="s">
        <v>33</v>
      </c>
      <c r="E351" s="20" t="s">
        <v>367</v>
      </c>
      <c r="F351" s="20" t="s">
        <v>33</v>
      </c>
      <c r="G351" s="20">
        <v>3</v>
      </c>
      <c r="H351" s="20">
        <v>4</v>
      </c>
      <c r="I351" s="13">
        <v>0.51900000000000002</v>
      </c>
      <c r="J351" s="20" t="s">
        <v>249</v>
      </c>
      <c r="K351" s="18">
        <v>0.27900000000000003</v>
      </c>
      <c r="L351" s="20" t="s">
        <v>248</v>
      </c>
      <c r="M351" s="20" t="s">
        <v>309</v>
      </c>
      <c r="N351" s="20" t="s">
        <v>21</v>
      </c>
      <c r="O351" s="20">
        <v>3</v>
      </c>
      <c r="P351" s="20">
        <v>2</v>
      </c>
      <c r="Q351" s="13">
        <v>0.49399999999999999</v>
      </c>
      <c r="R351" s="20" t="s">
        <v>248</v>
      </c>
      <c r="S351" s="20">
        <v>-0.26</v>
      </c>
      <c r="T351" s="20" t="s">
        <v>249</v>
      </c>
      <c r="U351" s="20" t="s">
        <v>33</v>
      </c>
      <c r="V351" s="20">
        <v>1</v>
      </c>
      <c r="W351" s="20">
        <v>3</v>
      </c>
      <c r="X351" s="20" t="s">
        <v>490</v>
      </c>
      <c r="Y351" s="20" t="s">
        <v>292</v>
      </c>
      <c r="Z351" s="20" t="s">
        <v>359</v>
      </c>
      <c r="AA351" s="20" t="s">
        <v>491</v>
      </c>
    </row>
    <row r="352" spans="1:27" x14ac:dyDescent="0.2">
      <c r="A352" s="1">
        <v>45984</v>
      </c>
      <c r="B352" s="20" t="s">
        <v>326</v>
      </c>
      <c r="C352" s="20" t="s">
        <v>16</v>
      </c>
      <c r="D352" s="20" t="s">
        <v>38</v>
      </c>
      <c r="E352" s="20" t="s">
        <v>368</v>
      </c>
      <c r="F352" s="20" t="s">
        <v>16</v>
      </c>
      <c r="G352" s="20">
        <v>4</v>
      </c>
      <c r="H352" s="20">
        <v>2</v>
      </c>
      <c r="I352" s="13">
        <v>0.53600000000000003</v>
      </c>
      <c r="J352" s="20" t="s">
        <v>249</v>
      </c>
      <c r="K352" s="18">
        <v>0.182</v>
      </c>
      <c r="L352" s="20" t="s">
        <v>248</v>
      </c>
      <c r="M352" s="20" t="s">
        <v>372</v>
      </c>
      <c r="N352" s="20" t="s">
        <v>38</v>
      </c>
      <c r="O352" s="20">
        <v>2</v>
      </c>
      <c r="P352" s="20">
        <v>3</v>
      </c>
      <c r="Q352" s="13">
        <v>0.59</v>
      </c>
      <c r="R352" s="20" t="s">
        <v>249</v>
      </c>
      <c r="S352" s="20">
        <v>0.39</v>
      </c>
      <c r="T352" s="20" t="s">
        <v>249</v>
      </c>
      <c r="U352" s="20" t="s">
        <v>16</v>
      </c>
      <c r="V352" s="20">
        <v>5</v>
      </c>
      <c r="W352" s="20">
        <v>2</v>
      </c>
      <c r="X352" s="20" t="s">
        <v>490</v>
      </c>
      <c r="Y352" s="20" t="s">
        <v>292</v>
      </c>
      <c r="Z352" s="20" t="s">
        <v>359</v>
      </c>
      <c r="AA352" s="20" t="s">
        <v>491</v>
      </c>
    </row>
    <row r="353" spans="1:27" x14ac:dyDescent="0.2">
      <c r="A353" s="1">
        <v>45984</v>
      </c>
      <c r="B353" s="20" t="s">
        <v>369</v>
      </c>
      <c r="C353" s="20" t="s">
        <v>34</v>
      </c>
      <c r="D353" s="20" t="s">
        <v>40</v>
      </c>
      <c r="E353" s="20" t="s">
        <v>370</v>
      </c>
      <c r="F353" s="20" t="s">
        <v>40</v>
      </c>
      <c r="G353" s="20">
        <v>3</v>
      </c>
      <c r="H353" s="20">
        <v>4</v>
      </c>
      <c r="I353" s="13">
        <v>0.78</v>
      </c>
      <c r="J353" s="20" t="s">
        <v>249</v>
      </c>
      <c r="K353" s="18">
        <v>0.24199999999999999</v>
      </c>
      <c r="L353" s="20" t="s">
        <v>249</v>
      </c>
      <c r="M353" s="20" t="s">
        <v>411</v>
      </c>
      <c r="N353" s="20" t="s">
        <v>40</v>
      </c>
      <c r="O353" s="20">
        <v>2</v>
      </c>
      <c r="P353" s="20">
        <v>4</v>
      </c>
      <c r="Q353" s="13">
        <v>0.63400000000000001</v>
      </c>
      <c r="R353" s="20" t="s">
        <v>249</v>
      </c>
      <c r="S353" s="20">
        <v>0.53</v>
      </c>
      <c r="T353" s="20" t="s">
        <v>249</v>
      </c>
      <c r="U353" s="20" t="s">
        <v>34</v>
      </c>
      <c r="V353" s="20">
        <v>3</v>
      </c>
      <c r="W353" s="20">
        <v>0</v>
      </c>
      <c r="X353" s="20" t="s">
        <v>490</v>
      </c>
      <c r="Y353" s="20" t="s">
        <v>292</v>
      </c>
      <c r="Z353" s="20" t="s">
        <v>359</v>
      </c>
      <c r="AA353" s="20" t="s">
        <v>491</v>
      </c>
    </row>
    <row r="354" spans="1:27" x14ac:dyDescent="0.2">
      <c r="A354" s="1">
        <v>45985</v>
      </c>
      <c r="B354" s="20" t="s">
        <v>326</v>
      </c>
      <c r="C354" s="20" t="s">
        <v>36</v>
      </c>
      <c r="D354" s="20" t="s">
        <v>13</v>
      </c>
      <c r="E354" s="20" t="s">
        <v>373</v>
      </c>
      <c r="F354" s="20" t="s">
        <v>36</v>
      </c>
      <c r="G354" s="20">
        <v>5</v>
      </c>
      <c r="H354" s="20">
        <v>4</v>
      </c>
      <c r="I354" s="13">
        <v>0.60899999999999999</v>
      </c>
      <c r="J354" s="20" t="s">
        <v>249</v>
      </c>
      <c r="K354" s="18">
        <v>0.40400000000000003</v>
      </c>
      <c r="L354" s="20" t="s">
        <v>249</v>
      </c>
      <c r="M354" s="20" t="s">
        <v>903</v>
      </c>
      <c r="N354" s="20" t="s">
        <v>13</v>
      </c>
      <c r="O354" s="20">
        <v>2</v>
      </c>
      <c r="P354" s="20">
        <v>3</v>
      </c>
      <c r="Q354" s="13">
        <v>0.53200000000000003</v>
      </c>
      <c r="R354" s="20" t="s">
        <v>248</v>
      </c>
      <c r="S354" s="20">
        <v>0.09</v>
      </c>
      <c r="T354" s="20" t="s">
        <v>248</v>
      </c>
      <c r="U354" s="20" t="s">
        <v>13</v>
      </c>
      <c r="V354" s="20">
        <v>1</v>
      </c>
      <c r="W354" s="20">
        <v>2</v>
      </c>
      <c r="X354" s="20" t="s">
        <v>490</v>
      </c>
      <c r="Y354" s="20" t="s">
        <v>292</v>
      </c>
      <c r="Z354" s="20" t="s">
        <v>371</v>
      </c>
      <c r="AA354" s="20" t="s">
        <v>491</v>
      </c>
    </row>
    <row r="355" spans="1:27" x14ac:dyDescent="0.2">
      <c r="A355" s="1">
        <v>45985</v>
      </c>
      <c r="B355" s="20" t="s">
        <v>328</v>
      </c>
      <c r="C355" s="20" t="s">
        <v>26</v>
      </c>
      <c r="D355" s="20" t="s">
        <v>24</v>
      </c>
      <c r="E355" s="20" t="s">
        <v>374</v>
      </c>
      <c r="F355" s="20" t="s">
        <v>24</v>
      </c>
      <c r="G355" s="20">
        <v>3</v>
      </c>
      <c r="H355" s="20">
        <v>4</v>
      </c>
      <c r="I355" s="13">
        <v>0.77800000000000002</v>
      </c>
      <c r="J355" s="20" t="s">
        <v>249</v>
      </c>
      <c r="K355" s="18">
        <v>0.39800000000000002</v>
      </c>
      <c r="L355" s="20" t="s">
        <v>248</v>
      </c>
      <c r="M355" s="20" t="s">
        <v>449</v>
      </c>
      <c r="N355" s="20" t="s">
        <v>24</v>
      </c>
      <c r="O355" s="20">
        <v>2</v>
      </c>
      <c r="P355" s="20">
        <v>4</v>
      </c>
      <c r="Q355" s="13">
        <v>0.71599999999999997</v>
      </c>
      <c r="R355" s="20" t="s">
        <v>249</v>
      </c>
      <c r="S355" s="20">
        <v>0.78</v>
      </c>
      <c r="T355" s="20" t="s">
        <v>248</v>
      </c>
      <c r="U355" s="20" t="s">
        <v>24</v>
      </c>
      <c r="V355" s="20">
        <v>3</v>
      </c>
      <c r="W355" s="20">
        <v>4</v>
      </c>
      <c r="X355" s="20" t="s">
        <v>490</v>
      </c>
      <c r="Y355" s="20" t="s">
        <v>292</v>
      </c>
      <c r="Z355" s="20" t="s">
        <v>371</v>
      </c>
      <c r="AA355" s="20" t="s">
        <v>491</v>
      </c>
    </row>
    <row r="356" spans="1:27" x14ac:dyDescent="0.2">
      <c r="A356" s="1">
        <v>45985</v>
      </c>
      <c r="B356" s="20" t="s">
        <v>324</v>
      </c>
      <c r="C356" s="20" t="s">
        <v>11</v>
      </c>
      <c r="D356" s="20" t="s">
        <v>29</v>
      </c>
      <c r="E356" s="20" t="s">
        <v>375</v>
      </c>
      <c r="F356" s="20" t="s">
        <v>11</v>
      </c>
      <c r="G356" s="20">
        <v>5</v>
      </c>
      <c r="H356" s="20">
        <v>4</v>
      </c>
      <c r="I356" s="13">
        <v>0.50600000000000001</v>
      </c>
      <c r="J356" s="20" t="s">
        <v>249</v>
      </c>
      <c r="K356" s="18">
        <v>0.22700000000000001</v>
      </c>
      <c r="L356" s="20" t="s">
        <v>248</v>
      </c>
      <c r="M356" s="20" t="s">
        <v>391</v>
      </c>
      <c r="N356" s="20" t="s">
        <v>11</v>
      </c>
      <c r="O356" s="20">
        <v>4</v>
      </c>
      <c r="P356" s="20">
        <v>2</v>
      </c>
      <c r="Q356" s="13">
        <v>0.59099999999999997</v>
      </c>
      <c r="R356" s="20" t="s">
        <v>249</v>
      </c>
      <c r="S356" s="20">
        <v>-0.98</v>
      </c>
      <c r="T356" s="20" t="s">
        <v>248</v>
      </c>
      <c r="U356" s="20" t="s">
        <v>11</v>
      </c>
      <c r="V356" s="20">
        <v>8</v>
      </c>
      <c r="W356" s="20">
        <v>3</v>
      </c>
      <c r="X356" s="20" t="s">
        <v>490</v>
      </c>
      <c r="Y356" s="20" t="s">
        <v>292</v>
      </c>
      <c r="Z356" s="20" t="s">
        <v>371</v>
      </c>
      <c r="AA356" s="20" t="s">
        <v>491</v>
      </c>
    </row>
    <row r="357" spans="1:27" x14ac:dyDescent="0.2">
      <c r="A357" s="1">
        <v>45985</v>
      </c>
      <c r="B357" s="20" t="s">
        <v>328</v>
      </c>
      <c r="C357" s="20" t="s">
        <v>35</v>
      </c>
      <c r="D357" s="20" t="s">
        <v>15</v>
      </c>
      <c r="E357" s="20" t="s">
        <v>376</v>
      </c>
      <c r="F357" s="20" t="s">
        <v>15</v>
      </c>
      <c r="G357" s="20">
        <v>3</v>
      </c>
      <c r="H357" s="20">
        <v>4</v>
      </c>
      <c r="I357" s="13">
        <v>0.63800000000000001</v>
      </c>
      <c r="J357" s="20" t="s">
        <v>249</v>
      </c>
      <c r="K357" s="18">
        <v>0.35499999999999998</v>
      </c>
      <c r="L357" s="20" t="s">
        <v>248</v>
      </c>
      <c r="M357" s="20" t="s">
        <v>518</v>
      </c>
      <c r="N357" s="20" t="s">
        <v>15</v>
      </c>
      <c r="O357" s="20">
        <v>2</v>
      </c>
      <c r="P357" s="20">
        <v>4</v>
      </c>
      <c r="Q357" s="13">
        <v>0.7</v>
      </c>
      <c r="R357" s="20" t="s">
        <v>249</v>
      </c>
      <c r="S357" s="20">
        <v>1.2</v>
      </c>
      <c r="T357" s="20" t="s">
        <v>248</v>
      </c>
      <c r="U357" s="20" t="s">
        <v>15</v>
      </c>
      <c r="V357" s="20">
        <v>2</v>
      </c>
      <c r="W357" s="20">
        <v>3</v>
      </c>
      <c r="X357" s="20" t="s">
        <v>490</v>
      </c>
      <c r="Y357" s="20" t="s">
        <v>292</v>
      </c>
      <c r="Z357" s="20" t="s">
        <v>371</v>
      </c>
      <c r="AA357" s="20" t="s">
        <v>491</v>
      </c>
    </row>
    <row r="358" spans="1:27" x14ac:dyDescent="0.2">
      <c r="A358" s="1">
        <v>45985</v>
      </c>
      <c r="B358" s="20" t="s">
        <v>328</v>
      </c>
      <c r="C358" s="20" t="s">
        <v>27</v>
      </c>
      <c r="D358" s="20" t="s">
        <v>37</v>
      </c>
      <c r="E358" s="20" t="s">
        <v>377</v>
      </c>
      <c r="F358" s="20" t="s">
        <v>37</v>
      </c>
      <c r="G358" s="20">
        <v>2</v>
      </c>
      <c r="H358" s="20">
        <v>3</v>
      </c>
      <c r="I358" s="13">
        <v>0.71899999999999997</v>
      </c>
      <c r="J358" s="20" t="s">
        <v>248</v>
      </c>
      <c r="K358" s="18">
        <v>0.501</v>
      </c>
      <c r="L358" s="20" t="s">
        <v>248</v>
      </c>
      <c r="M358" s="20" t="s">
        <v>395</v>
      </c>
      <c r="N358" s="20" t="s">
        <v>37</v>
      </c>
      <c r="O358" s="20">
        <v>2</v>
      </c>
      <c r="P358" s="20">
        <v>4</v>
      </c>
      <c r="Q358" s="13">
        <v>0.627</v>
      </c>
      <c r="R358" s="20" t="s">
        <v>249</v>
      </c>
      <c r="S358" s="20">
        <v>0.63</v>
      </c>
      <c r="T358" s="20" t="s">
        <v>248</v>
      </c>
      <c r="U358" s="20" t="s">
        <v>37</v>
      </c>
      <c r="V358" s="20">
        <v>0</v>
      </c>
      <c r="W358" s="20">
        <v>3</v>
      </c>
      <c r="X358" s="20" t="s">
        <v>490</v>
      </c>
      <c r="Y358" s="20" t="s">
        <v>292</v>
      </c>
      <c r="Z358" s="20" t="s">
        <v>371</v>
      </c>
      <c r="AA358" s="20" t="s">
        <v>491</v>
      </c>
    </row>
    <row r="359" spans="1:27" x14ac:dyDescent="0.2">
      <c r="A359" s="1">
        <v>45985</v>
      </c>
      <c r="B359" s="20" t="s">
        <v>326</v>
      </c>
      <c r="C359" s="20" t="s">
        <v>20</v>
      </c>
      <c r="D359" s="20" t="s">
        <v>55</v>
      </c>
      <c r="E359" s="20" t="s">
        <v>337</v>
      </c>
      <c r="F359" s="20" t="s">
        <v>55</v>
      </c>
      <c r="G359" s="20">
        <v>3</v>
      </c>
      <c r="H359" s="20">
        <v>4</v>
      </c>
      <c r="I359" s="13">
        <v>0.754</v>
      </c>
      <c r="J359" s="20" t="s">
        <v>249</v>
      </c>
      <c r="K359" s="18">
        <v>0.438</v>
      </c>
      <c r="L359" s="20" t="s">
        <v>248</v>
      </c>
      <c r="M359" s="20" t="s">
        <v>362</v>
      </c>
      <c r="N359" s="20" t="s">
        <v>20</v>
      </c>
      <c r="O359" s="20">
        <v>3</v>
      </c>
      <c r="P359" s="20">
        <v>2</v>
      </c>
      <c r="Q359" s="13">
        <v>0.46800000000000003</v>
      </c>
      <c r="R359" s="20" t="s">
        <v>248</v>
      </c>
      <c r="S359" s="20">
        <v>-0.28999999999999998</v>
      </c>
      <c r="T359" s="20" t="s">
        <v>249</v>
      </c>
      <c r="U359" s="20" t="s">
        <v>55</v>
      </c>
      <c r="V359" s="20">
        <v>1</v>
      </c>
      <c r="W359" s="20">
        <v>5</v>
      </c>
      <c r="X359" s="20" t="s">
        <v>490</v>
      </c>
      <c r="Y359" s="20" t="s">
        <v>292</v>
      </c>
      <c r="Z359" s="20" t="s">
        <v>371</v>
      </c>
      <c r="AA359" s="20" t="s">
        <v>491</v>
      </c>
    </row>
    <row r="360" spans="1:27" x14ac:dyDescent="0.2">
      <c r="A360" s="1">
        <v>45985</v>
      </c>
      <c r="B360" s="20" t="s">
        <v>328</v>
      </c>
      <c r="C360" s="20" t="s">
        <v>28</v>
      </c>
      <c r="D360" s="20" t="s">
        <v>22</v>
      </c>
      <c r="E360" s="20" t="s">
        <v>378</v>
      </c>
      <c r="F360" s="20" t="s">
        <v>22</v>
      </c>
      <c r="G360" s="20">
        <v>3</v>
      </c>
      <c r="H360" s="20">
        <v>4</v>
      </c>
      <c r="I360" s="13">
        <v>0.59399999999999997</v>
      </c>
      <c r="J360" s="20" t="s">
        <v>249</v>
      </c>
      <c r="K360" s="18">
        <v>0.48699999999999999</v>
      </c>
      <c r="L360" s="20" t="s">
        <v>248</v>
      </c>
      <c r="M360" s="20" t="s">
        <v>321</v>
      </c>
      <c r="N360" s="20" t="s">
        <v>22</v>
      </c>
      <c r="O360" s="20">
        <v>2</v>
      </c>
      <c r="P360" s="20">
        <v>4</v>
      </c>
      <c r="Q360" s="13">
        <v>0.64500000000000002</v>
      </c>
      <c r="R360" s="20" t="s">
        <v>249</v>
      </c>
      <c r="S360" s="20">
        <v>0.8</v>
      </c>
      <c r="T360" s="20" t="s">
        <v>248</v>
      </c>
      <c r="U360" s="20" t="s">
        <v>22</v>
      </c>
      <c r="V360" s="20">
        <v>1</v>
      </c>
      <c r="W360" s="20">
        <v>5</v>
      </c>
      <c r="X360" s="20" t="s">
        <v>490</v>
      </c>
      <c r="Y360" s="20" t="s">
        <v>292</v>
      </c>
      <c r="Z360" s="20" t="s">
        <v>371</v>
      </c>
      <c r="AA360" s="20" t="s">
        <v>491</v>
      </c>
    </row>
    <row r="361" spans="1:27" x14ac:dyDescent="0.2">
      <c r="A361" s="1">
        <v>45986</v>
      </c>
      <c r="B361" s="20" t="s">
        <v>326</v>
      </c>
      <c r="C361" s="20" t="s">
        <v>39</v>
      </c>
      <c r="D361" s="20" t="s">
        <v>17</v>
      </c>
      <c r="E361" s="20" t="s">
        <v>904</v>
      </c>
      <c r="F361" s="20" t="s">
        <v>39</v>
      </c>
      <c r="G361" s="20">
        <v>2</v>
      </c>
      <c r="H361" s="20">
        <v>3</v>
      </c>
      <c r="I361" s="13">
        <v>0.6</v>
      </c>
      <c r="J361" s="20" t="s">
        <v>249</v>
      </c>
      <c r="L361" s="20" t="s">
        <v>248</v>
      </c>
      <c r="M361" s="20" t="s">
        <v>398</v>
      </c>
      <c r="N361" s="20" t="s">
        <v>39</v>
      </c>
      <c r="O361" s="20">
        <v>2</v>
      </c>
      <c r="P361" s="20">
        <v>3</v>
      </c>
      <c r="Q361" s="13">
        <v>0.69272737782519755</v>
      </c>
      <c r="R361" s="20" t="s">
        <v>249</v>
      </c>
      <c r="S361" s="20">
        <v>-1.1812884171694791</v>
      </c>
      <c r="T361" s="20" t="s">
        <v>248</v>
      </c>
      <c r="U361" s="20" t="s">
        <v>39</v>
      </c>
      <c r="V361" s="20">
        <v>8</v>
      </c>
      <c r="W361" s="20">
        <v>3</v>
      </c>
      <c r="X361" s="20" t="s">
        <v>490</v>
      </c>
      <c r="Y361" s="20" t="s">
        <v>292</v>
      </c>
      <c r="Z361" s="20" t="s">
        <v>60</v>
      </c>
      <c r="AA361" s="20" t="s">
        <v>491</v>
      </c>
    </row>
    <row r="362" spans="1:27" x14ac:dyDescent="0.2">
      <c r="A362" s="1">
        <v>45987</v>
      </c>
      <c r="B362" s="20" t="s">
        <v>328</v>
      </c>
      <c r="C362" s="20" t="s">
        <v>40</v>
      </c>
      <c r="D362" s="20" t="s">
        <v>22</v>
      </c>
      <c r="E362" s="20" t="s">
        <v>429</v>
      </c>
      <c r="F362" s="20" t="s">
        <v>22</v>
      </c>
      <c r="G362" s="20">
        <v>3</v>
      </c>
      <c r="H362" s="20">
        <v>4</v>
      </c>
      <c r="I362" s="13">
        <v>0.56299999999999994</v>
      </c>
      <c r="J362" s="20" t="s">
        <v>248</v>
      </c>
      <c r="K362" s="18">
        <v>0.53500000000000003</v>
      </c>
      <c r="L362" s="20" t="s">
        <v>248</v>
      </c>
      <c r="M362" s="20" t="s">
        <v>321</v>
      </c>
      <c r="N362" s="20" t="s">
        <v>22</v>
      </c>
      <c r="O362" s="20">
        <v>2</v>
      </c>
      <c r="P362" s="20">
        <v>3</v>
      </c>
      <c r="Q362" s="13">
        <v>0.53600000000000003</v>
      </c>
      <c r="R362" s="20" t="s">
        <v>249</v>
      </c>
      <c r="S362" s="20">
        <v>0.45</v>
      </c>
      <c r="T362" s="20" t="s">
        <v>248</v>
      </c>
      <c r="U362" s="20" t="s">
        <v>22</v>
      </c>
      <c r="V362" s="20">
        <v>3</v>
      </c>
      <c r="W362" s="20">
        <v>4</v>
      </c>
      <c r="X362" s="20" t="s">
        <v>490</v>
      </c>
      <c r="Y362" s="20" t="s">
        <v>292</v>
      </c>
      <c r="Z362" s="20" t="s">
        <v>430</v>
      </c>
      <c r="AA362" s="20" t="s">
        <v>491</v>
      </c>
    </row>
    <row r="363" spans="1:27" x14ac:dyDescent="0.2">
      <c r="A363" s="1">
        <v>45987</v>
      </c>
      <c r="B363" s="20" t="s">
        <v>328</v>
      </c>
      <c r="C363" s="20" t="s">
        <v>29</v>
      </c>
      <c r="D363" s="20" t="s">
        <v>26</v>
      </c>
      <c r="E363" s="20" t="s">
        <v>419</v>
      </c>
      <c r="F363" s="20" t="s">
        <v>26</v>
      </c>
      <c r="G363" s="20">
        <v>3</v>
      </c>
      <c r="H363" s="20">
        <v>4</v>
      </c>
      <c r="I363" s="13">
        <v>0.89500000000000002</v>
      </c>
      <c r="J363" s="20" t="s">
        <v>249</v>
      </c>
      <c r="K363" s="18">
        <v>0.44</v>
      </c>
      <c r="L363" s="20" t="s">
        <v>249</v>
      </c>
      <c r="M363" s="20" t="s">
        <v>905</v>
      </c>
      <c r="N363" s="20" t="s">
        <v>26</v>
      </c>
      <c r="O363" s="20">
        <v>2</v>
      </c>
      <c r="P363" s="20">
        <v>4</v>
      </c>
      <c r="Q363" s="13">
        <v>0.73499999999999999</v>
      </c>
      <c r="R363" s="20" t="s">
        <v>249</v>
      </c>
      <c r="S363" s="20">
        <v>1.17</v>
      </c>
      <c r="T363" s="20" t="s">
        <v>249</v>
      </c>
      <c r="U363" s="20" t="s">
        <v>29</v>
      </c>
      <c r="V363" s="20">
        <v>6</v>
      </c>
      <c r="W363" s="20">
        <v>3</v>
      </c>
      <c r="X363" s="20" t="s">
        <v>490</v>
      </c>
      <c r="Y363" s="20" t="s">
        <v>292</v>
      </c>
      <c r="Z363" s="20" t="s">
        <v>430</v>
      </c>
      <c r="AA363" s="20" t="s">
        <v>491</v>
      </c>
    </row>
    <row r="364" spans="1:27" x14ac:dyDescent="0.2">
      <c r="A364" s="1">
        <v>45987</v>
      </c>
      <c r="B364" s="20" t="s">
        <v>328</v>
      </c>
      <c r="C364" s="20" t="s">
        <v>15</v>
      </c>
      <c r="D364" s="20" t="s">
        <v>25</v>
      </c>
      <c r="E364" s="20" t="s">
        <v>414</v>
      </c>
      <c r="F364" s="20" t="s">
        <v>15</v>
      </c>
      <c r="G364" s="20">
        <v>5</v>
      </c>
      <c r="H364" s="20">
        <v>4</v>
      </c>
      <c r="I364" s="13">
        <v>0.54400000000000004</v>
      </c>
      <c r="J364" s="20" t="s">
        <v>249</v>
      </c>
      <c r="K364" s="18">
        <v>0.38300000000000001</v>
      </c>
      <c r="L364" s="20" t="s">
        <v>248</v>
      </c>
      <c r="M364" s="20" t="s">
        <v>518</v>
      </c>
      <c r="N364" s="20" t="s">
        <v>25</v>
      </c>
      <c r="O364" s="20">
        <v>2</v>
      </c>
      <c r="P364" s="20">
        <v>4</v>
      </c>
      <c r="Q364" s="13">
        <v>0.66</v>
      </c>
      <c r="R364" s="20" t="s">
        <v>249</v>
      </c>
      <c r="S364" s="20">
        <v>1.0900000000000001</v>
      </c>
      <c r="T364" s="20" t="s">
        <v>249</v>
      </c>
      <c r="U364" s="20" t="s">
        <v>15</v>
      </c>
      <c r="V364" s="20">
        <v>4</v>
      </c>
      <c r="W364" s="20">
        <v>2</v>
      </c>
      <c r="X364" s="20" t="s">
        <v>490</v>
      </c>
      <c r="Y364" s="20" t="s">
        <v>292</v>
      </c>
      <c r="Z364" s="20" t="s">
        <v>430</v>
      </c>
      <c r="AA364" s="20" t="s">
        <v>491</v>
      </c>
    </row>
    <row r="365" spans="1:27" x14ac:dyDescent="0.2">
      <c r="A365" s="1">
        <v>45987</v>
      </c>
      <c r="B365" s="20" t="s">
        <v>322</v>
      </c>
      <c r="C365" s="20" t="s">
        <v>38</v>
      </c>
      <c r="D365" s="20" t="s">
        <v>31</v>
      </c>
      <c r="E365" s="20" t="s">
        <v>413</v>
      </c>
      <c r="F365" s="20" t="s">
        <v>31</v>
      </c>
      <c r="G365" s="20">
        <v>3</v>
      </c>
      <c r="H365" s="20">
        <v>5</v>
      </c>
      <c r="I365" s="13">
        <v>0.73499999999999999</v>
      </c>
      <c r="J365" s="20" t="s">
        <v>249</v>
      </c>
      <c r="K365" s="18">
        <v>0.44500000000000001</v>
      </c>
      <c r="L365" s="20" t="s">
        <v>249</v>
      </c>
      <c r="M365" s="20" t="s">
        <v>906</v>
      </c>
      <c r="N365" s="20" t="s">
        <v>31</v>
      </c>
      <c r="O365" s="20">
        <v>2</v>
      </c>
      <c r="P365" s="20">
        <v>5</v>
      </c>
      <c r="Q365" s="13">
        <v>0.84299999999999997</v>
      </c>
      <c r="R365" s="20" t="s">
        <v>249</v>
      </c>
      <c r="S365" s="20">
        <v>1.64</v>
      </c>
      <c r="T365" s="20" t="s">
        <v>249</v>
      </c>
      <c r="U365" s="20" t="s">
        <v>38</v>
      </c>
      <c r="V365" s="20">
        <v>5</v>
      </c>
      <c r="W365" s="20">
        <v>4</v>
      </c>
      <c r="X365" s="20" t="s">
        <v>490</v>
      </c>
      <c r="Y365" s="20" t="s">
        <v>292</v>
      </c>
      <c r="Z365" s="20" t="s">
        <v>430</v>
      </c>
      <c r="AA365" s="20" t="s">
        <v>491</v>
      </c>
    </row>
    <row r="366" spans="1:27" x14ac:dyDescent="0.2">
      <c r="A366" s="1">
        <v>45987</v>
      </c>
      <c r="B366" s="20" t="s">
        <v>426</v>
      </c>
      <c r="C366" s="20" t="s">
        <v>18</v>
      </c>
      <c r="D366" s="20" t="s">
        <v>55</v>
      </c>
      <c r="E366" s="20" t="s">
        <v>427</v>
      </c>
      <c r="F366" s="20" t="s">
        <v>55</v>
      </c>
      <c r="G366" s="20">
        <v>3</v>
      </c>
      <c r="H366" s="20">
        <v>4</v>
      </c>
      <c r="I366" s="13">
        <v>0.81100000000000005</v>
      </c>
      <c r="J366" s="20" t="s">
        <v>249</v>
      </c>
      <c r="K366" s="18">
        <v>0.45600000000000002</v>
      </c>
      <c r="L366" s="20" t="s">
        <v>249</v>
      </c>
      <c r="M366" s="20" t="s">
        <v>827</v>
      </c>
      <c r="N366" s="20" t="s">
        <v>55</v>
      </c>
      <c r="O366" s="20">
        <v>2</v>
      </c>
      <c r="P366" s="20">
        <v>4</v>
      </c>
      <c r="Q366" s="13">
        <v>0.66600000000000004</v>
      </c>
      <c r="R366" s="20" t="s">
        <v>249</v>
      </c>
      <c r="S366" s="20">
        <v>0.78</v>
      </c>
      <c r="T366" s="20" t="s">
        <v>249</v>
      </c>
      <c r="U366" s="20" t="s">
        <v>18</v>
      </c>
      <c r="V366" s="20">
        <v>4</v>
      </c>
      <c r="W366" s="20">
        <v>3</v>
      </c>
      <c r="X366" s="20" t="s">
        <v>490</v>
      </c>
      <c r="Y366" s="20" t="s">
        <v>292</v>
      </c>
      <c r="Z366" s="20" t="s">
        <v>430</v>
      </c>
      <c r="AA366" s="20" t="s">
        <v>491</v>
      </c>
    </row>
    <row r="367" spans="1:27" x14ac:dyDescent="0.2">
      <c r="A367" s="1">
        <v>45987</v>
      </c>
      <c r="B367" s="20" t="s">
        <v>328</v>
      </c>
      <c r="C367" s="20" t="s">
        <v>16</v>
      </c>
      <c r="D367" s="20" t="s">
        <v>37</v>
      </c>
      <c r="E367" s="20" t="s">
        <v>425</v>
      </c>
      <c r="F367" s="20" t="s">
        <v>37</v>
      </c>
      <c r="G367" s="20">
        <v>2</v>
      </c>
      <c r="H367" s="20">
        <v>3</v>
      </c>
      <c r="I367" s="13">
        <v>0.86699999999999999</v>
      </c>
      <c r="J367" s="20" t="s">
        <v>248</v>
      </c>
      <c r="K367" s="18">
        <v>0.72199999999999998</v>
      </c>
      <c r="L367" s="20" t="s">
        <v>248</v>
      </c>
      <c r="M367" s="20" t="s">
        <v>395</v>
      </c>
      <c r="N367" s="20" t="s">
        <v>37</v>
      </c>
      <c r="O367" s="20">
        <v>2</v>
      </c>
      <c r="P367" s="20">
        <v>4</v>
      </c>
      <c r="Q367" s="13">
        <v>0.76200000000000001</v>
      </c>
      <c r="R367" s="20" t="s">
        <v>249</v>
      </c>
      <c r="S367" s="20">
        <v>1.46</v>
      </c>
      <c r="T367" s="20" t="s">
        <v>248</v>
      </c>
      <c r="U367" s="20" t="s">
        <v>37</v>
      </c>
      <c r="V367" s="20">
        <v>1</v>
      </c>
      <c r="W367" s="20">
        <v>5</v>
      </c>
      <c r="X367" s="20" t="s">
        <v>490</v>
      </c>
      <c r="Y367" s="20" t="s">
        <v>292</v>
      </c>
      <c r="Z367" s="20" t="s">
        <v>430</v>
      </c>
      <c r="AA367" s="20" t="s">
        <v>491</v>
      </c>
    </row>
    <row r="368" spans="1:27" x14ac:dyDescent="0.2">
      <c r="A368" s="1">
        <v>45987</v>
      </c>
      <c r="B368" s="20" t="s">
        <v>322</v>
      </c>
      <c r="C368" s="20" t="s">
        <v>39</v>
      </c>
      <c r="D368" s="20" t="s">
        <v>32</v>
      </c>
      <c r="E368" s="20" t="s">
        <v>424</v>
      </c>
      <c r="F368" s="20" t="s">
        <v>32</v>
      </c>
      <c r="G368" s="20">
        <v>4</v>
      </c>
      <c r="H368" s="20">
        <v>5</v>
      </c>
      <c r="I368" s="13">
        <v>0.60299999999999998</v>
      </c>
      <c r="J368" s="20" t="s">
        <v>249</v>
      </c>
      <c r="K368" s="18">
        <v>0.44900000000000001</v>
      </c>
      <c r="L368" s="20" t="s">
        <v>249</v>
      </c>
      <c r="M368" s="20" t="s">
        <v>907</v>
      </c>
      <c r="N368" s="20" t="s">
        <v>39</v>
      </c>
      <c r="O368" s="20">
        <v>3</v>
      </c>
      <c r="P368" s="20">
        <v>2</v>
      </c>
      <c r="Q368" s="13">
        <v>0.56799999999999995</v>
      </c>
      <c r="R368" s="20" t="s">
        <v>249</v>
      </c>
      <c r="S368" s="20">
        <v>-0.3</v>
      </c>
      <c r="T368" s="20" t="s">
        <v>248</v>
      </c>
      <c r="U368" s="20" t="s">
        <v>39</v>
      </c>
      <c r="V368" s="20">
        <v>3</v>
      </c>
      <c r="W368" s="20">
        <v>2</v>
      </c>
      <c r="X368" s="20" t="s">
        <v>490</v>
      </c>
      <c r="Y368" s="20" t="s">
        <v>292</v>
      </c>
      <c r="Z368" s="20" t="s">
        <v>430</v>
      </c>
      <c r="AA368" s="20" t="s">
        <v>491</v>
      </c>
    </row>
    <row r="369" spans="1:27" x14ac:dyDescent="0.2">
      <c r="A369" s="1">
        <v>45987</v>
      </c>
      <c r="B369" s="20" t="s">
        <v>328</v>
      </c>
      <c r="C369" s="20" t="s">
        <v>21</v>
      </c>
      <c r="D369" s="20" t="s">
        <v>30</v>
      </c>
      <c r="E369" s="20" t="s">
        <v>422</v>
      </c>
      <c r="F369" s="20" t="s">
        <v>30</v>
      </c>
      <c r="G369" s="20">
        <v>2</v>
      </c>
      <c r="H369" s="20">
        <v>5</v>
      </c>
      <c r="I369" s="13">
        <v>0.85799999999999998</v>
      </c>
      <c r="J369" s="20" t="s">
        <v>249</v>
      </c>
      <c r="K369" s="18">
        <v>0.38900000000000001</v>
      </c>
      <c r="L369" s="20" t="s">
        <v>249</v>
      </c>
      <c r="M369" s="20" t="s">
        <v>780</v>
      </c>
      <c r="N369" s="20" t="s">
        <v>30</v>
      </c>
      <c r="O369" s="20">
        <v>2</v>
      </c>
      <c r="P369" s="20">
        <v>3</v>
      </c>
      <c r="Q369" s="13">
        <v>0.57999999999999996</v>
      </c>
      <c r="R369" s="20" t="s">
        <v>248</v>
      </c>
      <c r="S369" s="20">
        <v>0.28999999999999998</v>
      </c>
      <c r="T369" s="20" t="s">
        <v>249</v>
      </c>
      <c r="U369" s="20" t="s">
        <v>21</v>
      </c>
      <c r="V369" s="20">
        <v>3</v>
      </c>
      <c r="W369" s="20">
        <v>1</v>
      </c>
      <c r="X369" s="20" t="s">
        <v>490</v>
      </c>
      <c r="Y369" s="20" t="s">
        <v>292</v>
      </c>
      <c r="Z369" s="20" t="s">
        <v>430</v>
      </c>
      <c r="AA369" s="20" t="s">
        <v>491</v>
      </c>
    </row>
    <row r="370" spans="1:27" x14ac:dyDescent="0.2">
      <c r="A370" s="1">
        <v>45987</v>
      </c>
      <c r="B370" s="20" t="s">
        <v>328</v>
      </c>
      <c r="C370" s="20" t="s">
        <v>23</v>
      </c>
      <c r="D370" s="20" t="s">
        <v>14</v>
      </c>
      <c r="E370" s="20" t="s">
        <v>423</v>
      </c>
      <c r="F370" s="20" t="s">
        <v>14</v>
      </c>
      <c r="G370" s="20">
        <v>3</v>
      </c>
      <c r="H370" s="20">
        <v>4</v>
      </c>
      <c r="I370" s="13">
        <v>0.76300000000000001</v>
      </c>
      <c r="J370" s="20" t="s">
        <v>249</v>
      </c>
      <c r="K370" s="18">
        <v>0.495</v>
      </c>
      <c r="L370" s="20" t="s">
        <v>248</v>
      </c>
      <c r="M370" s="20" t="s">
        <v>451</v>
      </c>
      <c r="N370" s="20" t="s">
        <v>14</v>
      </c>
      <c r="O370" s="20">
        <v>2</v>
      </c>
      <c r="P370" s="20">
        <v>3</v>
      </c>
      <c r="Q370" s="13">
        <v>0.60099999999999998</v>
      </c>
      <c r="R370" s="20" t="s">
        <v>249</v>
      </c>
      <c r="S370" s="20">
        <v>0.44</v>
      </c>
      <c r="T370" s="20" t="s">
        <v>248</v>
      </c>
      <c r="U370" s="20" t="s">
        <v>14</v>
      </c>
      <c r="V370" s="20">
        <v>2</v>
      </c>
      <c r="W370" s="20">
        <v>4</v>
      </c>
      <c r="X370" s="20" t="s">
        <v>490</v>
      </c>
      <c r="Y370" s="20" t="s">
        <v>292</v>
      </c>
      <c r="Z370" s="20" t="s">
        <v>430</v>
      </c>
      <c r="AA370" s="20" t="s">
        <v>491</v>
      </c>
    </row>
    <row r="371" spans="1:27" x14ac:dyDescent="0.2">
      <c r="A371" s="1">
        <v>45987</v>
      </c>
      <c r="B371" s="20" t="s">
        <v>328</v>
      </c>
      <c r="C371" s="20" t="s">
        <v>27</v>
      </c>
      <c r="D371" s="20" t="s">
        <v>11</v>
      </c>
      <c r="E371" s="20" t="s">
        <v>420</v>
      </c>
      <c r="F371" s="20" t="s">
        <v>11</v>
      </c>
      <c r="G371" s="20">
        <v>3</v>
      </c>
      <c r="H371" s="20">
        <v>4</v>
      </c>
      <c r="I371" s="13">
        <v>0.78400000000000003</v>
      </c>
      <c r="J371" s="20" t="s">
        <v>248</v>
      </c>
      <c r="K371" s="18">
        <v>0.67900000000000005</v>
      </c>
      <c r="L371" s="20" t="s">
        <v>249</v>
      </c>
      <c r="M371" s="20" t="s">
        <v>908</v>
      </c>
      <c r="N371" s="20" t="s">
        <v>11</v>
      </c>
      <c r="O371" s="20">
        <v>2</v>
      </c>
      <c r="P371" s="20">
        <v>3</v>
      </c>
      <c r="Q371" s="13">
        <v>0.66</v>
      </c>
      <c r="R371" s="20" t="s">
        <v>249</v>
      </c>
      <c r="S371" s="20">
        <v>0.49</v>
      </c>
      <c r="T371" s="20" t="s">
        <v>249</v>
      </c>
      <c r="U371" s="20" t="s">
        <v>27</v>
      </c>
      <c r="V371" s="20">
        <v>4</v>
      </c>
      <c r="W371" s="20">
        <v>2</v>
      </c>
      <c r="X371" s="20" t="s">
        <v>490</v>
      </c>
      <c r="Y371" s="20" t="s">
        <v>292</v>
      </c>
      <c r="Z371" s="20" t="s">
        <v>430</v>
      </c>
      <c r="AA371" s="20" t="s">
        <v>491</v>
      </c>
    </row>
    <row r="372" spans="1:27" x14ac:dyDescent="0.2">
      <c r="A372" s="1">
        <v>45987</v>
      </c>
      <c r="B372" s="20" t="s">
        <v>322</v>
      </c>
      <c r="C372" s="20" t="s">
        <v>36</v>
      </c>
      <c r="D372" s="20" t="s">
        <v>20</v>
      </c>
      <c r="E372" s="20" t="s">
        <v>428</v>
      </c>
      <c r="F372" s="20" t="s">
        <v>36</v>
      </c>
      <c r="G372" s="20">
        <v>4</v>
      </c>
      <c r="H372" s="20">
        <v>2</v>
      </c>
      <c r="I372" s="13">
        <v>0.64300000000000002</v>
      </c>
      <c r="J372" s="20" t="s">
        <v>249</v>
      </c>
      <c r="K372" s="18">
        <v>0.42599999999999999</v>
      </c>
      <c r="L372" s="20" t="s">
        <v>248</v>
      </c>
      <c r="M372" s="20" t="s">
        <v>582</v>
      </c>
      <c r="N372" s="20" t="s">
        <v>20</v>
      </c>
      <c r="O372" s="20">
        <v>2</v>
      </c>
      <c r="P372" s="20">
        <v>3</v>
      </c>
      <c r="Q372" s="13">
        <v>0.60499999999999998</v>
      </c>
      <c r="R372" s="20" t="s">
        <v>249</v>
      </c>
      <c r="S372" s="20">
        <v>0.47</v>
      </c>
      <c r="T372" s="20" t="s">
        <v>249</v>
      </c>
      <c r="U372" s="20" t="s">
        <v>36</v>
      </c>
      <c r="V372" s="20">
        <v>4</v>
      </c>
      <c r="W372" s="20">
        <v>3</v>
      </c>
      <c r="X372" s="20" t="s">
        <v>496</v>
      </c>
      <c r="Y372" s="20" t="s">
        <v>292</v>
      </c>
      <c r="Z372" s="20" t="s">
        <v>430</v>
      </c>
      <c r="AA372" s="20" t="s">
        <v>491</v>
      </c>
    </row>
    <row r="373" spans="1:27" x14ac:dyDescent="0.2">
      <c r="A373" s="1">
        <v>45987</v>
      </c>
      <c r="B373" s="20" t="s">
        <v>326</v>
      </c>
      <c r="C373" s="20" t="s">
        <v>33</v>
      </c>
      <c r="D373" s="20" t="s">
        <v>12</v>
      </c>
      <c r="E373" s="20" t="s">
        <v>418</v>
      </c>
      <c r="F373" s="20" t="s">
        <v>12</v>
      </c>
      <c r="G373" s="20">
        <v>2</v>
      </c>
      <c r="H373" s="20">
        <v>4</v>
      </c>
      <c r="I373" s="13">
        <v>0.84299999999999997</v>
      </c>
      <c r="J373" s="20" t="s">
        <v>249</v>
      </c>
      <c r="K373" s="18">
        <v>0.34399999999999997</v>
      </c>
      <c r="L373" s="20" t="s">
        <v>248</v>
      </c>
      <c r="M373" s="20" t="s">
        <v>361</v>
      </c>
      <c r="N373" s="20" t="s">
        <v>12</v>
      </c>
      <c r="O373" s="20">
        <v>2</v>
      </c>
      <c r="P373" s="20">
        <v>5</v>
      </c>
      <c r="Q373" s="13">
        <v>0.90800000000000003</v>
      </c>
      <c r="R373" s="20" t="s">
        <v>249</v>
      </c>
      <c r="S373" s="20">
        <v>1.97</v>
      </c>
      <c r="T373" s="20" t="s">
        <v>248</v>
      </c>
      <c r="U373" s="20" t="s">
        <v>12</v>
      </c>
      <c r="V373" s="20">
        <v>0</v>
      </c>
      <c r="W373" s="20">
        <v>6</v>
      </c>
      <c r="X373" s="20" t="s">
        <v>490</v>
      </c>
      <c r="Y373" s="20" t="s">
        <v>292</v>
      </c>
      <c r="Z373" s="20" t="s">
        <v>430</v>
      </c>
      <c r="AA373" s="20" t="s">
        <v>491</v>
      </c>
    </row>
    <row r="374" spans="1:27" x14ac:dyDescent="0.2">
      <c r="A374" s="1">
        <v>45987</v>
      </c>
      <c r="B374" s="20" t="s">
        <v>416</v>
      </c>
      <c r="C374" s="20" t="s">
        <v>34</v>
      </c>
      <c r="D374" s="20" t="s">
        <v>10</v>
      </c>
      <c r="E374" s="20" t="s">
        <v>417</v>
      </c>
      <c r="F374" s="20" t="s">
        <v>34</v>
      </c>
      <c r="G374" s="20">
        <v>4</v>
      </c>
      <c r="H374" s="20">
        <v>3</v>
      </c>
      <c r="I374" s="13">
        <v>0.57699999999999996</v>
      </c>
      <c r="J374" s="20" t="s">
        <v>249</v>
      </c>
      <c r="K374" s="18">
        <v>0.313</v>
      </c>
      <c r="L374" s="20" t="s">
        <v>248</v>
      </c>
      <c r="M374" s="20" t="s">
        <v>343</v>
      </c>
      <c r="N374" s="20" t="s">
        <v>10</v>
      </c>
      <c r="O374" s="20">
        <v>2</v>
      </c>
      <c r="P374" s="20">
        <v>3</v>
      </c>
      <c r="Q374" s="13">
        <v>0.54800000000000004</v>
      </c>
      <c r="R374" s="20" t="s">
        <v>248</v>
      </c>
      <c r="S374" s="20">
        <v>0.2</v>
      </c>
      <c r="T374" s="20" t="s">
        <v>249</v>
      </c>
      <c r="U374" s="20" t="s">
        <v>34</v>
      </c>
      <c r="V374" s="20">
        <v>4</v>
      </c>
      <c r="W374" s="20">
        <v>3</v>
      </c>
      <c r="X374" s="20" t="s">
        <v>496</v>
      </c>
      <c r="Y374" s="20" t="s">
        <v>292</v>
      </c>
      <c r="Z374" s="20" t="s">
        <v>430</v>
      </c>
      <c r="AA374" s="20" t="s">
        <v>491</v>
      </c>
    </row>
    <row r="375" spans="1:27" x14ac:dyDescent="0.2">
      <c r="A375" s="1">
        <v>45987</v>
      </c>
      <c r="B375" s="20" t="s">
        <v>328</v>
      </c>
      <c r="C375" s="20" t="s">
        <v>19</v>
      </c>
      <c r="D375" s="20" t="s">
        <v>28</v>
      </c>
      <c r="E375" s="20" t="s">
        <v>415</v>
      </c>
      <c r="F375" s="20" t="s">
        <v>28</v>
      </c>
      <c r="G375" s="20">
        <v>4</v>
      </c>
      <c r="H375" s="20">
        <v>5</v>
      </c>
      <c r="I375" s="13">
        <v>0.81299999999999994</v>
      </c>
      <c r="J375" s="20" t="s">
        <v>249</v>
      </c>
      <c r="K375" s="18">
        <v>0.442</v>
      </c>
      <c r="L375" s="20" t="s">
        <v>249</v>
      </c>
      <c r="M375" s="20" t="s">
        <v>909</v>
      </c>
      <c r="N375" s="20" t="s">
        <v>28</v>
      </c>
      <c r="O375" s="20">
        <v>2</v>
      </c>
      <c r="P375" s="20">
        <v>3</v>
      </c>
      <c r="Q375" s="13">
        <v>0.60199999999999998</v>
      </c>
      <c r="R375" s="20" t="s">
        <v>249</v>
      </c>
      <c r="S375" s="20">
        <v>0.4</v>
      </c>
      <c r="T375" s="20" t="s">
        <v>249</v>
      </c>
      <c r="U375" s="20" t="s">
        <v>19</v>
      </c>
      <c r="V375" s="20">
        <v>2</v>
      </c>
      <c r="W375" s="20">
        <v>1</v>
      </c>
      <c r="X375" s="20" t="s">
        <v>496</v>
      </c>
      <c r="Y375" s="20" t="s">
        <v>292</v>
      </c>
      <c r="Z375" s="20" t="s">
        <v>430</v>
      </c>
      <c r="AA375" s="20" t="s">
        <v>491</v>
      </c>
    </row>
    <row r="376" spans="1:27" x14ac:dyDescent="0.2">
      <c r="A376" s="1">
        <v>45987</v>
      </c>
      <c r="B376" s="20" t="s">
        <v>328</v>
      </c>
      <c r="C376" s="20" t="s">
        <v>35</v>
      </c>
      <c r="D376" s="20" t="s">
        <v>24</v>
      </c>
      <c r="E376" s="20" t="s">
        <v>421</v>
      </c>
      <c r="F376" s="20" t="s">
        <v>24</v>
      </c>
      <c r="G376" s="20">
        <v>3</v>
      </c>
      <c r="H376" s="20">
        <v>4</v>
      </c>
      <c r="I376" s="13">
        <v>0.872</v>
      </c>
      <c r="J376" s="20" t="s">
        <v>249</v>
      </c>
      <c r="K376" s="18">
        <v>0.25900000000000001</v>
      </c>
      <c r="L376" s="20" t="s">
        <v>248</v>
      </c>
      <c r="M376" s="20" t="s">
        <v>449</v>
      </c>
      <c r="N376" s="20" t="s">
        <v>24</v>
      </c>
      <c r="O376" s="20">
        <v>2</v>
      </c>
      <c r="P376" s="20">
        <v>5</v>
      </c>
      <c r="Q376" s="13">
        <v>0.90100000000000002</v>
      </c>
      <c r="R376" s="20" t="s">
        <v>249</v>
      </c>
      <c r="S376" s="20">
        <v>1.74</v>
      </c>
      <c r="T376" s="20" t="s">
        <v>248</v>
      </c>
      <c r="U376" s="20" t="s">
        <v>24</v>
      </c>
      <c r="V376" s="20">
        <v>2</v>
      </c>
      <c r="W376" s="20">
        <v>3</v>
      </c>
      <c r="X376" s="20" t="s">
        <v>496</v>
      </c>
      <c r="Y376" s="20" t="s">
        <v>292</v>
      </c>
      <c r="Z376" s="20" t="s">
        <v>430</v>
      </c>
      <c r="AA376" s="20" t="s">
        <v>491</v>
      </c>
    </row>
    <row r="377" spans="1:27" x14ac:dyDescent="0.2">
      <c r="A377" s="1">
        <v>45989</v>
      </c>
      <c r="B377" s="20" t="s">
        <v>369</v>
      </c>
      <c r="C377" s="20" t="s">
        <v>27</v>
      </c>
      <c r="D377" s="20" t="s">
        <v>30</v>
      </c>
      <c r="E377" s="20" t="s">
        <v>443</v>
      </c>
      <c r="F377" s="20" t="s">
        <v>27</v>
      </c>
      <c r="G377" s="20">
        <v>4</v>
      </c>
      <c r="H377" s="20">
        <v>3</v>
      </c>
      <c r="I377" s="13">
        <v>0.53200000000000003</v>
      </c>
      <c r="J377" s="20" t="s">
        <v>249</v>
      </c>
      <c r="K377" s="18">
        <v>0.42499999999999999</v>
      </c>
      <c r="L377" s="20" t="s">
        <v>248</v>
      </c>
      <c r="M377" s="20" t="s">
        <v>393</v>
      </c>
      <c r="N377" s="20" t="s">
        <v>30</v>
      </c>
      <c r="O377" s="20">
        <v>2</v>
      </c>
      <c r="P377" s="20">
        <v>3</v>
      </c>
      <c r="Q377" s="13">
        <v>0.59199999999999997</v>
      </c>
      <c r="R377" s="20" t="s">
        <v>249</v>
      </c>
      <c r="S377" s="20">
        <v>0.41</v>
      </c>
      <c r="T377" s="20" t="s">
        <v>249</v>
      </c>
      <c r="U377" s="20" t="s">
        <v>27</v>
      </c>
      <c r="V377" s="20">
        <v>4</v>
      </c>
      <c r="W377" s="20">
        <v>3</v>
      </c>
      <c r="X377" s="20" t="s">
        <v>496</v>
      </c>
      <c r="Y377" s="20" t="s">
        <v>292</v>
      </c>
      <c r="Z377" s="20" t="s">
        <v>432</v>
      </c>
      <c r="AA377" s="20" t="s">
        <v>491</v>
      </c>
    </row>
    <row r="378" spans="1:27" x14ac:dyDescent="0.2">
      <c r="A378" s="1">
        <v>45989</v>
      </c>
      <c r="B378" s="20" t="s">
        <v>365</v>
      </c>
      <c r="C378" s="20" t="s">
        <v>19</v>
      </c>
      <c r="D378" s="20" t="s">
        <v>22</v>
      </c>
      <c r="E378" s="20" t="s">
        <v>447</v>
      </c>
      <c r="F378" s="20" t="s">
        <v>22</v>
      </c>
      <c r="G378" s="20">
        <v>3</v>
      </c>
      <c r="H378" s="20">
        <v>4</v>
      </c>
      <c r="I378" s="13">
        <v>0.80500000000000005</v>
      </c>
      <c r="J378" s="20" t="s">
        <v>249</v>
      </c>
      <c r="K378" s="18">
        <v>0.29899999999999999</v>
      </c>
      <c r="L378" s="20" t="s">
        <v>248</v>
      </c>
      <c r="M378" s="20" t="s">
        <v>321</v>
      </c>
      <c r="N378" s="20" t="s">
        <v>22</v>
      </c>
      <c r="O378" s="20">
        <v>2</v>
      </c>
      <c r="P378" s="20">
        <v>4</v>
      </c>
      <c r="Q378" s="13">
        <v>0.71199999999999997</v>
      </c>
      <c r="R378" s="20" t="s">
        <v>249</v>
      </c>
      <c r="S378" s="20">
        <v>1.25</v>
      </c>
      <c r="T378" s="20" t="s">
        <v>248</v>
      </c>
      <c r="U378" s="20" t="s">
        <v>22</v>
      </c>
      <c r="V378" s="20">
        <v>2</v>
      </c>
      <c r="W378" s="20">
        <v>4</v>
      </c>
      <c r="X378" s="20" t="s">
        <v>490</v>
      </c>
      <c r="Y378" s="20" t="s">
        <v>292</v>
      </c>
      <c r="Z378" s="20" t="s">
        <v>432</v>
      </c>
      <c r="AA378" s="20" t="s">
        <v>491</v>
      </c>
    </row>
    <row r="379" spans="1:27" x14ac:dyDescent="0.2">
      <c r="A379" s="1">
        <v>45989</v>
      </c>
      <c r="B379" s="20" t="s">
        <v>369</v>
      </c>
      <c r="C379" s="20" t="s">
        <v>36</v>
      </c>
      <c r="D379" s="20" t="s">
        <v>35</v>
      </c>
      <c r="E379" s="20" t="s">
        <v>445</v>
      </c>
      <c r="F379" s="20" t="s">
        <v>36</v>
      </c>
      <c r="G379" s="20">
        <v>5</v>
      </c>
      <c r="H379" s="20">
        <v>4</v>
      </c>
      <c r="I379" s="13">
        <v>0.80500000000000005</v>
      </c>
      <c r="J379" s="20" t="s">
        <v>249</v>
      </c>
      <c r="K379" s="18">
        <v>0.46300000000000002</v>
      </c>
      <c r="L379" s="20" t="s">
        <v>249</v>
      </c>
      <c r="M379" s="20" t="s">
        <v>910</v>
      </c>
      <c r="N379" s="20" t="s">
        <v>36</v>
      </c>
      <c r="O379" s="20">
        <v>4</v>
      </c>
      <c r="P379" s="20">
        <v>2</v>
      </c>
      <c r="Q379" s="13">
        <v>0.626</v>
      </c>
      <c r="R379" s="20" t="s">
        <v>249</v>
      </c>
      <c r="S379" s="20">
        <v>-1.1499999999999999</v>
      </c>
      <c r="T379" s="20" t="s">
        <v>249</v>
      </c>
      <c r="U379" s="20" t="s">
        <v>35</v>
      </c>
      <c r="V379" s="20">
        <v>3</v>
      </c>
      <c r="W379" s="20">
        <v>4</v>
      </c>
      <c r="X379" s="20" t="s">
        <v>490</v>
      </c>
      <c r="Y379" s="20" t="s">
        <v>292</v>
      </c>
      <c r="Z379" s="20" t="s">
        <v>432</v>
      </c>
      <c r="AA379" s="20" t="s">
        <v>491</v>
      </c>
    </row>
    <row r="380" spans="1:27" x14ac:dyDescent="0.2">
      <c r="A380" s="1">
        <v>45989</v>
      </c>
      <c r="B380" s="20" t="s">
        <v>369</v>
      </c>
      <c r="C380" s="20" t="s">
        <v>38</v>
      </c>
      <c r="D380" s="20" t="s">
        <v>33</v>
      </c>
      <c r="E380" s="20" t="s">
        <v>444</v>
      </c>
      <c r="F380" s="20" t="s">
        <v>33</v>
      </c>
      <c r="G380" s="20">
        <v>3</v>
      </c>
      <c r="H380" s="20">
        <v>4</v>
      </c>
      <c r="I380" s="13">
        <v>0.54800000000000004</v>
      </c>
      <c r="J380" s="20" t="s">
        <v>249</v>
      </c>
      <c r="K380" s="18">
        <v>0.36899999999999999</v>
      </c>
      <c r="L380" s="20" t="s">
        <v>248</v>
      </c>
      <c r="M380" s="20" t="s">
        <v>309</v>
      </c>
      <c r="N380" s="20" t="s">
        <v>33</v>
      </c>
      <c r="O380" s="20">
        <v>2</v>
      </c>
      <c r="P380" s="20">
        <v>4</v>
      </c>
      <c r="Q380" s="13">
        <v>0.57399999999999995</v>
      </c>
      <c r="R380" s="20" t="s">
        <v>249</v>
      </c>
      <c r="S380" s="20">
        <v>0.57999999999999996</v>
      </c>
      <c r="T380" s="20" t="s">
        <v>248</v>
      </c>
      <c r="U380" s="20" t="s">
        <v>33</v>
      </c>
      <c r="V380" s="20">
        <v>2</v>
      </c>
      <c r="W380" s="20">
        <v>3</v>
      </c>
      <c r="X380" s="20" t="s">
        <v>490</v>
      </c>
      <c r="Y380" s="20" t="s">
        <v>292</v>
      </c>
      <c r="Z380" s="20" t="s">
        <v>432</v>
      </c>
      <c r="AA380" s="20" t="s">
        <v>491</v>
      </c>
    </row>
    <row r="381" spans="1:27" x14ac:dyDescent="0.2">
      <c r="A381" s="1">
        <v>45989</v>
      </c>
      <c r="B381" s="20" t="s">
        <v>352</v>
      </c>
      <c r="C381" s="20" t="s">
        <v>12</v>
      </c>
      <c r="D381" s="20" t="s">
        <v>34</v>
      </c>
      <c r="E381" s="20" t="s">
        <v>442</v>
      </c>
      <c r="F381" s="20" t="s">
        <v>12</v>
      </c>
      <c r="G381" s="20">
        <v>5</v>
      </c>
      <c r="H381" s="20">
        <v>4</v>
      </c>
      <c r="I381" s="13">
        <v>0.72299999999999998</v>
      </c>
      <c r="J381" s="20" t="s">
        <v>249</v>
      </c>
      <c r="K381" s="18">
        <v>0.371</v>
      </c>
      <c r="L381" s="20" t="s">
        <v>249</v>
      </c>
      <c r="M381" s="20" t="s">
        <v>911</v>
      </c>
      <c r="N381" s="20" t="s">
        <v>12</v>
      </c>
      <c r="O381" s="20">
        <v>5</v>
      </c>
      <c r="P381" s="20">
        <v>2</v>
      </c>
      <c r="Q381" s="13">
        <v>0.75900000000000001</v>
      </c>
      <c r="R381" s="20" t="s">
        <v>249</v>
      </c>
      <c r="S381" s="20">
        <v>-1.63</v>
      </c>
      <c r="T381" s="20" t="s">
        <v>249</v>
      </c>
      <c r="U381" s="20" t="s">
        <v>34</v>
      </c>
      <c r="V381" s="20">
        <v>2</v>
      </c>
      <c r="W381" s="20">
        <v>3</v>
      </c>
      <c r="X381" s="20" t="s">
        <v>496</v>
      </c>
      <c r="Y381" s="20" t="s">
        <v>292</v>
      </c>
      <c r="Z381" s="20" t="s">
        <v>432</v>
      </c>
      <c r="AA381" s="20" t="s">
        <v>491</v>
      </c>
    </row>
    <row r="382" spans="1:27" x14ac:dyDescent="0.2">
      <c r="A382" s="1">
        <v>45989</v>
      </c>
      <c r="B382" s="20" t="s">
        <v>369</v>
      </c>
      <c r="C382" s="20" t="s">
        <v>18</v>
      </c>
      <c r="D382" s="20" t="s">
        <v>20</v>
      </c>
      <c r="E382" s="20" t="s">
        <v>446</v>
      </c>
      <c r="F382" s="20" t="s">
        <v>18</v>
      </c>
      <c r="G382" s="20">
        <v>4</v>
      </c>
      <c r="H382" s="20">
        <v>3</v>
      </c>
      <c r="I382" s="13">
        <v>0.70499999999999996</v>
      </c>
      <c r="J382" s="20" t="s">
        <v>249</v>
      </c>
      <c r="K382" s="18">
        <v>0.44800000000000001</v>
      </c>
      <c r="L382" s="20" t="s">
        <v>248</v>
      </c>
      <c r="M382" s="20" t="s">
        <v>360</v>
      </c>
      <c r="N382" s="20" t="s">
        <v>20</v>
      </c>
      <c r="O382" s="20">
        <v>2</v>
      </c>
      <c r="P382" s="20">
        <v>4</v>
      </c>
      <c r="Q382" s="13">
        <v>0.55400000000000005</v>
      </c>
      <c r="R382" s="20" t="s">
        <v>249</v>
      </c>
      <c r="S382" s="20">
        <v>0.63</v>
      </c>
      <c r="T382" s="20" t="s">
        <v>249</v>
      </c>
      <c r="U382" s="20" t="s">
        <v>18</v>
      </c>
      <c r="V382" s="20">
        <v>4</v>
      </c>
      <c r="W382" s="20">
        <v>1</v>
      </c>
      <c r="X382" s="20" t="s">
        <v>490</v>
      </c>
      <c r="Y382" s="20" t="s">
        <v>292</v>
      </c>
      <c r="Z382" s="20" t="s">
        <v>432</v>
      </c>
      <c r="AA382" s="20" t="s">
        <v>491</v>
      </c>
    </row>
    <row r="383" spans="1:27" x14ac:dyDescent="0.2">
      <c r="A383" s="1">
        <v>45989</v>
      </c>
      <c r="B383" s="20" t="s">
        <v>439</v>
      </c>
      <c r="C383" s="20" t="s">
        <v>37</v>
      </c>
      <c r="D383" s="20" t="s">
        <v>26</v>
      </c>
      <c r="E383" s="20" t="s">
        <v>440</v>
      </c>
      <c r="F383" s="20" t="s">
        <v>37</v>
      </c>
      <c r="G383" s="20">
        <v>4</v>
      </c>
      <c r="H383" s="20">
        <v>3</v>
      </c>
      <c r="I383" s="13">
        <v>0.68200000000000005</v>
      </c>
      <c r="J383" s="20" t="s">
        <v>249</v>
      </c>
      <c r="K383" s="18">
        <v>0.311</v>
      </c>
      <c r="L383" s="20" t="s">
        <v>248</v>
      </c>
      <c r="M383" s="20" t="s">
        <v>395</v>
      </c>
      <c r="N383" s="20" t="s">
        <v>37</v>
      </c>
      <c r="O383" s="20">
        <v>4</v>
      </c>
      <c r="P383" s="20">
        <v>2</v>
      </c>
      <c r="Q383" s="13">
        <v>0.64600000000000002</v>
      </c>
      <c r="R383" s="20" t="s">
        <v>249</v>
      </c>
      <c r="S383" s="20">
        <v>-1.06</v>
      </c>
      <c r="T383" s="20" t="s">
        <v>248</v>
      </c>
      <c r="U383" s="20" t="s">
        <v>37</v>
      </c>
      <c r="V383" s="20">
        <v>6</v>
      </c>
      <c r="W383" s="20">
        <v>3</v>
      </c>
      <c r="X383" s="20" t="s">
        <v>490</v>
      </c>
      <c r="Y383" s="20" t="s">
        <v>292</v>
      </c>
      <c r="Z383" s="20" t="s">
        <v>432</v>
      </c>
      <c r="AA383" s="20" t="s">
        <v>491</v>
      </c>
    </row>
    <row r="384" spans="1:27" x14ac:dyDescent="0.2">
      <c r="A384" s="1">
        <v>45989</v>
      </c>
      <c r="B384" s="20" t="s">
        <v>347</v>
      </c>
      <c r="C384" s="20" t="s">
        <v>15</v>
      </c>
      <c r="D384" s="20" t="s">
        <v>21</v>
      </c>
      <c r="E384" s="20" t="s">
        <v>433</v>
      </c>
      <c r="F384" s="20" t="s">
        <v>21</v>
      </c>
      <c r="G384" s="20">
        <v>2</v>
      </c>
      <c r="H384" s="20">
        <v>5</v>
      </c>
      <c r="I384" s="13">
        <v>0.66300000000000003</v>
      </c>
      <c r="J384" s="20" t="s">
        <v>249</v>
      </c>
      <c r="K384" s="18">
        <v>0.41599999999999998</v>
      </c>
      <c r="L384" s="20" t="s">
        <v>249</v>
      </c>
      <c r="M384" s="20" t="s">
        <v>912</v>
      </c>
      <c r="N384" s="20" t="s">
        <v>21</v>
      </c>
      <c r="O384" s="20">
        <v>2</v>
      </c>
      <c r="P384" s="20">
        <v>3</v>
      </c>
      <c r="Q384" s="13">
        <v>0.55900000000000005</v>
      </c>
      <c r="R384" s="20" t="s">
        <v>249</v>
      </c>
      <c r="S384" s="20">
        <v>0.46</v>
      </c>
      <c r="T384" s="20" t="s">
        <v>249</v>
      </c>
      <c r="U384" s="20" t="s">
        <v>15</v>
      </c>
      <c r="V384" s="20">
        <v>6</v>
      </c>
      <c r="W384" s="20">
        <v>2</v>
      </c>
      <c r="X384" s="20" t="s">
        <v>490</v>
      </c>
      <c r="Y384" s="20" t="s">
        <v>292</v>
      </c>
      <c r="Z384" s="20" t="s">
        <v>432</v>
      </c>
      <c r="AA384" s="20" t="s">
        <v>491</v>
      </c>
    </row>
    <row r="385" spans="1:27" x14ac:dyDescent="0.2">
      <c r="A385" s="1">
        <v>45989</v>
      </c>
      <c r="B385" s="20" t="s">
        <v>369</v>
      </c>
      <c r="C385" s="20" t="s">
        <v>16</v>
      </c>
      <c r="D385" s="20" t="s">
        <v>11</v>
      </c>
      <c r="E385" s="20" t="s">
        <v>441</v>
      </c>
      <c r="F385" s="20" t="s">
        <v>11</v>
      </c>
      <c r="G385" s="20">
        <v>3</v>
      </c>
      <c r="H385" s="20">
        <v>4</v>
      </c>
      <c r="I385" s="13">
        <v>0.83899999999999997</v>
      </c>
      <c r="J385" s="20" t="s">
        <v>249</v>
      </c>
      <c r="K385" s="18">
        <v>0.47299999999999998</v>
      </c>
      <c r="L385" s="20" t="s">
        <v>249</v>
      </c>
      <c r="M385" s="20" t="s">
        <v>913</v>
      </c>
      <c r="N385" s="20" t="s">
        <v>11</v>
      </c>
      <c r="O385" s="20">
        <v>2</v>
      </c>
      <c r="P385" s="20">
        <v>4</v>
      </c>
      <c r="Q385" s="13">
        <v>0.7</v>
      </c>
      <c r="R385" s="20" t="s">
        <v>249</v>
      </c>
      <c r="S385" s="20">
        <v>1.01</v>
      </c>
      <c r="T385" s="20" t="s">
        <v>249</v>
      </c>
      <c r="U385" s="20" t="s">
        <v>16</v>
      </c>
      <c r="V385" s="20">
        <v>5</v>
      </c>
      <c r="W385" s="20">
        <v>3</v>
      </c>
      <c r="X385" s="20" t="s">
        <v>490</v>
      </c>
      <c r="Y385" s="20" t="s">
        <v>292</v>
      </c>
      <c r="Z385" s="20" t="s">
        <v>432</v>
      </c>
      <c r="AA385" s="20" t="s">
        <v>491</v>
      </c>
    </row>
    <row r="386" spans="1:27" x14ac:dyDescent="0.2">
      <c r="A386" s="1">
        <v>45989</v>
      </c>
      <c r="B386" s="20" t="s">
        <v>369</v>
      </c>
      <c r="C386" s="20" t="s">
        <v>24</v>
      </c>
      <c r="D386" s="20" t="s">
        <v>23</v>
      </c>
      <c r="E386" s="20" t="s">
        <v>434</v>
      </c>
      <c r="F386" s="20" t="s">
        <v>24</v>
      </c>
      <c r="G386" s="20">
        <v>4</v>
      </c>
      <c r="H386" s="20">
        <v>3</v>
      </c>
      <c r="I386" s="13">
        <v>0.60199999999999998</v>
      </c>
      <c r="J386" s="20" t="s">
        <v>249</v>
      </c>
      <c r="K386" s="18">
        <v>0.48499999999999999</v>
      </c>
      <c r="L386" s="20" t="s">
        <v>248</v>
      </c>
      <c r="M386" s="20" t="s">
        <v>449</v>
      </c>
      <c r="N386" s="20" t="s">
        <v>24</v>
      </c>
      <c r="O386" s="20">
        <v>3</v>
      </c>
      <c r="P386" s="20">
        <v>2</v>
      </c>
      <c r="Q386" s="13">
        <v>0.501</v>
      </c>
      <c r="R386" s="20" t="s">
        <v>249</v>
      </c>
      <c r="S386" s="20">
        <v>-0.43</v>
      </c>
      <c r="T386" s="20" t="s">
        <v>248</v>
      </c>
      <c r="U386" s="20" t="s">
        <v>24</v>
      </c>
      <c r="V386" s="20">
        <v>5</v>
      </c>
      <c r="W386" s="20">
        <v>0</v>
      </c>
      <c r="X386" s="20" t="s">
        <v>490</v>
      </c>
      <c r="Y386" s="20" t="s">
        <v>292</v>
      </c>
      <c r="Z386" s="20" t="s">
        <v>432</v>
      </c>
      <c r="AA386" s="20" t="s">
        <v>491</v>
      </c>
    </row>
    <row r="387" spans="1:27" x14ac:dyDescent="0.2">
      <c r="A387" s="1">
        <v>45989</v>
      </c>
      <c r="B387" s="20" t="s">
        <v>324</v>
      </c>
      <c r="C387" s="20" t="s">
        <v>29</v>
      </c>
      <c r="D387" s="20" t="s">
        <v>10</v>
      </c>
      <c r="E387" s="20" t="s">
        <v>437</v>
      </c>
      <c r="F387" s="20" t="s">
        <v>10</v>
      </c>
      <c r="G387" s="20">
        <v>2</v>
      </c>
      <c r="H387" s="20">
        <v>4</v>
      </c>
      <c r="I387" s="13">
        <v>0.82499999999999996</v>
      </c>
      <c r="J387" s="20" t="s">
        <v>249</v>
      </c>
      <c r="K387" s="18">
        <v>0.28999999999999998</v>
      </c>
      <c r="L387" s="20" t="s">
        <v>249</v>
      </c>
      <c r="M387" s="20" t="s">
        <v>914</v>
      </c>
      <c r="N387" s="20" t="s">
        <v>10</v>
      </c>
      <c r="O387" s="20">
        <v>2</v>
      </c>
      <c r="P387" s="20">
        <v>4</v>
      </c>
      <c r="Q387" s="13">
        <v>0.71199999999999997</v>
      </c>
      <c r="R387" s="20" t="s">
        <v>249</v>
      </c>
      <c r="S387" s="20">
        <v>1.36</v>
      </c>
      <c r="T387" s="20" t="s">
        <v>249</v>
      </c>
      <c r="U387" s="20" t="s">
        <v>29</v>
      </c>
      <c r="V387" s="20">
        <v>4</v>
      </c>
      <c r="W387" s="20">
        <v>3</v>
      </c>
      <c r="X387" s="20" t="s">
        <v>490</v>
      </c>
      <c r="Y387" s="20" t="s">
        <v>292</v>
      </c>
      <c r="Z387" s="20" t="s">
        <v>432</v>
      </c>
      <c r="AA387" s="20" t="s">
        <v>491</v>
      </c>
    </row>
    <row r="388" spans="1:27" x14ac:dyDescent="0.2">
      <c r="A388" s="1">
        <v>45989</v>
      </c>
      <c r="B388" s="20" t="s">
        <v>328</v>
      </c>
      <c r="C388" s="20" t="s">
        <v>14</v>
      </c>
      <c r="D388" s="20" t="s">
        <v>28</v>
      </c>
      <c r="E388" s="20" t="s">
        <v>436</v>
      </c>
      <c r="F388" s="20" t="s">
        <v>14</v>
      </c>
      <c r="G388" s="20">
        <v>4</v>
      </c>
      <c r="H388" s="20">
        <v>3</v>
      </c>
      <c r="I388" s="13">
        <v>0.55700000000000005</v>
      </c>
      <c r="J388" s="20" t="s">
        <v>248</v>
      </c>
      <c r="K388" s="18">
        <v>0.51500000000000001</v>
      </c>
      <c r="L388" s="20" t="s">
        <v>248</v>
      </c>
      <c r="M388" s="20" t="s">
        <v>451</v>
      </c>
      <c r="N388" s="20" t="s">
        <v>14</v>
      </c>
      <c r="O388" s="20">
        <v>4</v>
      </c>
      <c r="P388" s="20">
        <v>2</v>
      </c>
      <c r="Q388" s="13">
        <v>0.52700000000000002</v>
      </c>
      <c r="R388" s="20" t="s">
        <v>249</v>
      </c>
      <c r="S388" s="20">
        <v>-0.53</v>
      </c>
      <c r="T388" s="20" t="s">
        <v>248</v>
      </c>
      <c r="U388" s="20" t="s">
        <v>14</v>
      </c>
      <c r="V388" s="20">
        <v>4</v>
      </c>
      <c r="W388" s="20">
        <v>3</v>
      </c>
      <c r="X388" s="20" t="s">
        <v>496</v>
      </c>
      <c r="Y388" s="20" t="s">
        <v>292</v>
      </c>
      <c r="Z388" s="20" t="s">
        <v>432</v>
      </c>
      <c r="AA388" s="20" t="s">
        <v>491</v>
      </c>
    </row>
    <row r="389" spans="1:27" x14ac:dyDescent="0.2">
      <c r="A389" s="1">
        <v>45989</v>
      </c>
      <c r="B389" s="20" t="s">
        <v>324</v>
      </c>
      <c r="C389" s="20" t="s">
        <v>55</v>
      </c>
      <c r="D389" s="20" t="s">
        <v>39</v>
      </c>
      <c r="E389" s="20" t="s">
        <v>438</v>
      </c>
      <c r="F389" s="20" t="s">
        <v>39</v>
      </c>
      <c r="G389" s="20">
        <v>3</v>
      </c>
      <c r="H389" s="20">
        <v>4</v>
      </c>
      <c r="I389" s="13">
        <v>0.85899999999999999</v>
      </c>
      <c r="J389" s="20" t="s">
        <v>249</v>
      </c>
      <c r="K389" s="18">
        <v>0.42599999999999999</v>
      </c>
      <c r="L389" s="20" t="s">
        <v>248</v>
      </c>
      <c r="M389" s="20" t="s">
        <v>398</v>
      </c>
      <c r="N389" s="20" t="s">
        <v>39</v>
      </c>
      <c r="O389" s="20">
        <v>2</v>
      </c>
      <c r="P389" s="20">
        <v>4</v>
      </c>
      <c r="Q389" s="13">
        <v>0.61</v>
      </c>
      <c r="R389" s="20" t="s">
        <v>249</v>
      </c>
      <c r="S389" s="20">
        <v>0.54</v>
      </c>
      <c r="T389" s="20" t="s">
        <v>248</v>
      </c>
      <c r="U389" s="20" t="s">
        <v>39</v>
      </c>
      <c r="V389" s="20">
        <v>3</v>
      </c>
      <c r="W389" s="20">
        <v>4</v>
      </c>
      <c r="X389" s="20" t="s">
        <v>490</v>
      </c>
      <c r="Y389" s="20" t="s">
        <v>292</v>
      </c>
      <c r="Z389" s="20" t="s">
        <v>432</v>
      </c>
      <c r="AA389" s="20" t="s">
        <v>491</v>
      </c>
    </row>
    <row r="390" spans="1:27" x14ac:dyDescent="0.2">
      <c r="A390" s="1">
        <v>45989</v>
      </c>
      <c r="B390" s="20" t="s">
        <v>365</v>
      </c>
      <c r="C390" s="20" t="s">
        <v>40</v>
      </c>
      <c r="D390" s="20" t="s">
        <v>25</v>
      </c>
      <c r="E390" s="20" t="s">
        <v>435</v>
      </c>
      <c r="F390" s="20" t="s">
        <v>25</v>
      </c>
      <c r="G390" s="20">
        <v>3</v>
      </c>
      <c r="H390" s="20">
        <v>4</v>
      </c>
      <c r="I390" s="13">
        <v>0.64400000000000002</v>
      </c>
      <c r="J390" s="20" t="s">
        <v>248</v>
      </c>
      <c r="K390" s="18">
        <v>0.52600000000000002</v>
      </c>
      <c r="L390" s="20" t="s">
        <v>248</v>
      </c>
      <c r="M390" s="20" t="s">
        <v>450</v>
      </c>
      <c r="N390" s="20" t="s">
        <v>25</v>
      </c>
      <c r="O390" s="20">
        <v>2</v>
      </c>
      <c r="P390" s="20">
        <v>3</v>
      </c>
      <c r="Q390" s="13">
        <v>0.58699999999999997</v>
      </c>
      <c r="R390" s="20" t="s">
        <v>249</v>
      </c>
      <c r="S390" s="20">
        <v>0.5</v>
      </c>
      <c r="T390" s="20" t="s">
        <v>248</v>
      </c>
      <c r="U390" s="20" t="s">
        <v>25</v>
      </c>
      <c r="V390" s="20">
        <v>1</v>
      </c>
      <c r="W390" s="20">
        <v>5</v>
      </c>
      <c r="X390" s="20" t="s">
        <v>490</v>
      </c>
      <c r="Y390" s="20" t="s">
        <v>292</v>
      </c>
      <c r="Z390" s="20" t="s">
        <v>432</v>
      </c>
      <c r="AA390" s="20" t="s">
        <v>491</v>
      </c>
    </row>
    <row r="391" spans="1:27" x14ac:dyDescent="0.2">
      <c r="A391" s="1">
        <v>45989</v>
      </c>
      <c r="B391" s="20" t="s">
        <v>369</v>
      </c>
      <c r="C391" s="20" t="s">
        <v>13</v>
      </c>
      <c r="D391" s="20" t="s">
        <v>31</v>
      </c>
      <c r="E391" s="20" t="s">
        <v>431</v>
      </c>
      <c r="F391" s="20" t="s">
        <v>31</v>
      </c>
      <c r="G391" s="20">
        <v>3</v>
      </c>
      <c r="H391" s="20">
        <v>4</v>
      </c>
      <c r="I391" s="13">
        <v>0.748</v>
      </c>
      <c r="J391" s="20" t="s">
        <v>249</v>
      </c>
      <c r="K391" s="18">
        <v>0.36399999999999999</v>
      </c>
      <c r="L391" s="20" t="s">
        <v>248</v>
      </c>
      <c r="M391" s="20" t="s">
        <v>291</v>
      </c>
      <c r="N391" s="20" t="s">
        <v>31</v>
      </c>
      <c r="O391" s="20">
        <v>2</v>
      </c>
      <c r="P391" s="20">
        <v>4</v>
      </c>
      <c r="Q391" s="13">
        <v>0.61399999999999999</v>
      </c>
      <c r="R391" s="20" t="s">
        <v>249</v>
      </c>
      <c r="S391" s="20">
        <v>0.66</v>
      </c>
      <c r="T391" s="20" t="s">
        <v>248</v>
      </c>
      <c r="U391" s="20" t="s">
        <v>31</v>
      </c>
      <c r="V391" s="20">
        <v>4</v>
      </c>
      <c r="W391" s="20">
        <v>5</v>
      </c>
      <c r="X391" s="20" t="s">
        <v>496</v>
      </c>
      <c r="Y391" s="20" t="s">
        <v>292</v>
      </c>
      <c r="Z391" s="20" t="s">
        <v>432</v>
      </c>
      <c r="AA391" s="20" t="s">
        <v>491</v>
      </c>
    </row>
    <row r="392" spans="1:27" x14ac:dyDescent="0.2">
      <c r="A392" s="1">
        <v>45990</v>
      </c>
      <c r="B392" s="20" t="s">
        <v>324</v>
      </c>
      <c r="C392" s="20" t="s">
        <v>55</v>
      </c>
      <c r="D392" s="20" t="s">
        <v>35</v>
      </c>
      <c r="E392" s="20" t="s">
        <v>463</v>
      </c>
      <c r="F392" s="20" t="s">
        <v>55</v>
      </c>
      <c r="G392" s="20">
        <v>6</v>
      </c>
      <c r="H392" s="20">
        <v>5</v>
      </c>
      <c r="I392" s="13">
        <v>0.52800000000000002</v>
      </c>
      <c r="J392" s="20" t="s">
        <v>249</v>
      </c>
      <c r="K392" s="18">
        <v>0.34599999999999997</v>
      </c>
      <c r="L392" s="20" t="s">
        <v>249</v>
      </c>
      <c r="M392" s="20" t="s">
        <v>915</v>
      </c>
      <c r="N392" s="20" t="s">
        <v>55</v>
      </c>
      <c r="O392" s="20">
        <v>4</v>
      </c>
      <c r="P392" s="20">
        <v>2</v>
      </c>
      <c r="Q392" s="13">
        <v>0.58799999999999997</v>
      </c>
      <c r="R392" s="20" t="s">
        <v>249</v>
      </c>
      <c r="S392" s="20">
        <v>-1.1000000000000001</v>
      </c>
      <c r="T392" s="20" t="s">
        <v>249</v>
      </c>
      <c r="U392" s="20" t="s">
        <v>35</v>
      </c>
      <c r="V392" s="20">
        <v>0</v>
      </c>
      <c r="W392" s="20">
        <v>1</v>
      </c>
      <c r="X392" s="20" t="s">
        <v>490</v>
      </c>
      <c r="Y392" s="20" t="s">
        <v>292</v>
      </c>
      <c r="Z392" s="20" t="s">
        <v>448</v>
      </c>
      <c r="AA392" s="20" t="s">
        <v>491</v>
      </c>
    </row>
    <row r="393" spans="1:27" x14ac:dyDescent="0.2">
      <c r="A393" s="1">
        <v>45990</v>
      </c>
      <c r="B393" s="20" t="s">
        <v>328</v>
      </c>
      <c r="C393" s="20" t="s">
        <v>19</v>
      </c>
      <c r="D393" s="20" t="s">
        <v>14</v>
      </c>
      <c r="E393" s="20" t="s">
        <v>461</v>
      </c>
      <c r="F393" s="20" t="s">
        <v>14</v>
      </c>
      <c r="G393" s="20">
        <v>4</v>
      </c>
      <c r="H393" s="20">
        <v>5</v>
      </c>
      <c r="I393" s="13">
        <v>0.72599999999999998</v>
      </c>
      <c r="J393" s="20" t="s">
        <v>249</v>
      </c>
      <c r="K393" s="18">
        <v>0.32500000000000001</v>
      </c>
      <c r="L393" s="20" t="s">
        <v>249</v>
      </c>
      <c r="M393" s="20" t="s">
        <v>779</v>
      </c>
      <c r="N393" s="20" t="s">
        <v>14</v>
      </c>
      <c r="O393" s="20">
        <v>2</v>
      </c>
      <c r="P393" s="20">
        <v>4</v>
      </c>
      <c r="Q393" s="13">
        <v>0.64800000000000002</v>
      </c>
      <c r="R393" s="20" t="s">
        <v>249</v>
      </c>
      <c r="S393" s="20">
        <v>0.91</v>
      </c>
      <c r="T393" s="20" t="s">
        <v>249</v>
      </c>
      <c r="U393" s="20" t="s">
        <v>19</v>
      </c>
      <c r="V393" s="20">
        <v>7</v>
      </c>
      <c r="W393" s="20">
        <v>2</v>
      </c>
      <c r="X393" s="20" t="s">
        <v>490</v>
      </c>
      <c r="Y393" s="20" t="s">
        <v>292</v>
      </c>
      <c r="Z393" s="20" t="s">
        <v>448</v>
      </c>
      <c r="AA393" s="20" t="s">
        <v>491</v>
      </c>
    </row>
    <row r="394" spans="1:27" x14ac:dyDescent="0.2">
      <c r="A394" s="1">
        <v>45990</v>
      </c>
      <c r="B394" s="20" t="s">
        <v>459</v>
      </c>
      <c r="C394" s="20" t="s">
        <v>37</v>
      </c>
      <c r="D394" s="20" t="s">
        <v>15</v>
      </c>
      <c r="E394" s="20" t="s">
        <v>460</v>
      </c>
      <c r="F394" s="20" t="s">
        <v>37</v>
      </c>
      <c r="G394" s="20">
        <v>4</v>
      </c>
      <c r="H394" s="20">
        <v>2</v>
      </c>
      <c r="I394" s="13">
        <v>0.63800000000000001</v>
      </c>
      <c r="J394" s="20" t="s">
        <v>249</v>
      </c>
      <c r="K394" s="18">
        <v>0.39400000000000002</v>
      </c>
      <c r="L394" s="20" t="s">
        <v>248</v>
      </c>
      <c r="M394" s="20" t="s">
        <v>395</v>
      </c>
      <c r="N394" s="20" t="s">
        <v>37</v>
      </c>
      <c r="O394" s="20">
        <v>4</v>
      </c>
      <c r="P394" s="20">
        <v>2</v>
      </c>
      <c r="Q394" s="13">
        <v>0.60399999999999998</v>
      </c>
      <c r="R394" s="20" t="s">
        <v>249</v>
      </c>
      <c r="S394" s="20">
        <v>-0.54</v>
      </c>
      <c r="T394" s="20" t="s">
        <v>248</v>
      </c>
      <c r="U394" s="20" t="s">
        <v>37</v>
      </c>
      <c r="V394" s="20">
        <v>4</v>
      </c>
      <c r="W394" s="20">
        <v>1</v>
      </c>
      <c r="X394" s="20" t="s">
        <v>490</v>
      </c>
      <c r="Y394" s="20" t="s">
        <v>292</v>
      </c>
      <c r="Z394" s="20" t="s">
        <v>448</v>
      </c>
      <c r="AA394" s="20" t="s">
        <v>491</v>
      </c>
    </row>
    <row r="395" spans="1:27" x14ac:dyDescent="0.2">
      <c r="A395" s="1">
        <v>45990</v>
      </c>
      <c r="B395" s="20" t="s">
        <v>322</v>
      </c>
      <c r="C395" s="20" t="s">
        <v>33</v>
      </c>
      <c r="D395" s="20" t="s">
        <v>20</v>
      </c>
      <c r="E395" s="20" t="s">
        <v>464</v>
      </c>
      <c r="F395" s="20" t="s">
        <v>33</v>
      </c>
      <c r="G395" s="20">
        <v>4</v>
      </c>
      <c r="H395" s="20">
        <v>3</v>
      </c>
      <c r="I395" s="13">
        <v>0.54700000000000004</v>
      </c>
      <c r="J395" s="20" t="s">
        <v>249</v>
      </c>
      <c r="K395" s="18">
        <v>0.35399999999999998</v>
      </c>
      <c r="L395" s="20" t="s">
        <v>249</v>
      </c>
      <c r="M395" s="20" t="s">
        <v>916</v>
      </c>
      <c r="N395" s="20" t="s">
        <v>20</v>
      </c>
      <c r="O395" s="20">
        <v>2</v>
      </c>
      <c r="P395" s="20">
        <v>3</v>
      </c>
      <c r="Q395" s="13">
        <v>0.57799999999999996</v>
      </c>
      <c r="R395" s="20" t="s">
        <v>249</v>
      </c>
      <c r="S395" s="20">
        <v>0.32</v>
      </c>
      <c r="T395" s="20" t="s">
        <v>248</v>
      </c>
      <c r="U395" s="20" t="s">
        <v>20</v>
      </c>
      <c r="V395" s="20">
        <v>3</v>
      </c>
      <c r="W395" s="20">
        <v>4</v>
      </c>
      <c r="X395" s="20" t="s">
        <v>490</v>
      </c>
      <c r="Y395" s="20" t="s">
        <v>292</v>
      </c>
      <c r="Z395" s="20" t="s">
        <v>448</v>
      </c>
      <c r="AA395" s="20" t="s">
        <v>491</v>
      </c>
    </row>
    <row r="396" spans="1:27" x14ac:dyDescent="0.2">
      <c r="A396" s="1">
        <v>45990</v>
      </c>
      <c r="B396" s="20" t="s">
        <v>328</v>
      </c>
      <c r="C396" s="20" t="s">
        <v>27</v>
      </c>
      <c r="D396" s="20" t="s">
        <v>24</v>
      </c>
      <c r="E396" s="20" t="s">
        <v>457</v>
      </c>
      <c r="F396" s="20" t="s">
        <v>24</v>
      </c>
      <c r="G396" s="20">
        <v>3</v>
      </c>
      <c r="H396" s="20">
        <v>4</v>
      </c>
      <c r="I396" s="13">
        <v>0.64200000000000002</v>
      </c>
      <c r="J396" s="20" t="s">
        <v>249</v>
      </c>
      <c r="K396" s="18">
        <v>0.35899999999999999</v>
      </c>
      <c r="L396" s="20" t="s">
        <v>249</v>
      </c>
      <c r="M396" s="20" t="s">
        <v>405</v>
      </c>
      <c r="N396" s="20" t="s">
        <v>24</v>
      </c>
      <c r="O396" s="20">
        <v>2</v>
      </c>
      <c r="P396" s="20">
        <v>4</v>
      </c>
      <c r="Q396" s="13">
        <v>0.70699999999999996</v>
      </c>
      <c r="R396" s="20" t="s">
        <v>249</v>
      </c>
      <c r="S396" s="20">
        <v>0.55000000000000004</v>
      </c>
      <c r="T396" s="20" t="s">
        <v>249</v>
      </c>
      <c r="U396" s="20" t="s">
        <v>27</v>
      </c>
      <c r="V396" s="20">
        <v>5</v>
      </c>
      <c r="W396" s="20">
        <v>3</v>
      </c>
      <c r="X396" s="20" t="s">
        <v>490</v>
      </c>
      <c r="Y396" s="20" t="s">
        <v>292</v>
      </c>
      <c r="Z396" s="20" t="s">
        <v>448</v>
      </c>
      <c r="AA396" s="20" t="s">
        <v>491</v>
      </c>
    </row>
    <row r="397" spans="1:27" x14ac:dyDescent="0.2">
      <c r="A397" s="1">
        <v>45990</v>
      </c>
      <c r="B397" s="20" t="s">
        <v>324</v>
      </c>
      <c r="C397" s="20" t="s">
        <v>23</v>
      </c>
      <c r="D397" s="20" t="s">
        <v>34</v>
      </c>
      <c r="E397" s="20" t="s">
        <v>456</v>
      </c>
      <c r="F397" s="20" t="s">
        <v>34</v>
      </c>
      <c r="G397" s="20">
        <v>3</v>
      </c>
      <c r="H397" s="20">
        <v>4</v>
      </c>
      <c r="I397" s="13">
        <v>0.70699999999999996</v>
      </c>
      <c r="J397" s="20" t="s">
        <v>249</v>
      </c>
      <c r="K397" s="18">
        <v>0.40600000000000003</v>
      </c>
      <c r="L397" s="20" t="s">
        <v>249</v>
      </c>
      <c r="M397" s="20" t="s">
        <v>917</v>
      </c>
      <c r="N397" s="20" t="s">
        <v>34</v>
      </c>
      <c r="O397" s="20">
        <v>2</v>
      </c>
      <c r="P397" s="20">
        <v>4</v>
      </c>
      <c r="Q397" s="13">
        <v>0.65100000000000002</v>
      </c>
      <c r="R397" s="20" t="s">
        <v>249</v>
      </c>
      <c r="S397" s="20">
        <v>0.83</v>
      </c>
      <c r="T397" s="20" t="s">
        <v>249</v>
      </c>
      <c r="U397" s="20" t="s">
        <v>23</v>
      </c>
      <c r="V397" s="20">
        <v>3</v>
      </c>
      <c r="W397" s="20">
        <v>2</v>
      </c>
      <c r="X397" s="20" t="s">
        <v>496</v>
      </c>
      <c r="Y397" s="20" t="s">
        <v>292</v>
      </c>
      <c r="Z397" s="20" t="s">
        <v>448</v>
      </c>
      <c r="AA397" s="20" t="s">
        <v>491</v>
      </c>
    </row>
    <row r="398" spans="1:27" x14ac:dyDescent="0.2">
      <c r="A398" s="1">
        <v>45990</v>
      </c>
      <c r="B398" s="20" t="s">
        <v>322</v>
      </c>
      <c r="C398" s="20" t="s">
        <v>38</v>
      </c>
      <c r="D398" s="20" t="s">
        <v>13</v>
      </c>
      <c r="E398" s="20" t="s">
        <v>455</v>
      </c>
      <c r="F398" s="20" t="s">
        <v>38</v>
      </c>
      <c r="G398" s="20">
        <v>4</v>
      </c>
      <c r="H398" s="20">
        <v>2</v>
      </c>
      <c r="I398" s="13">
        <v>0.51700000000000002</v>
      </c>
      <c r="J398" s="20" t="s">
        <v>249</v>
      </c>
      <c r="K398" s="18">
        <v>0.27600000000000002</v>
      </c>
      <c r="L398" s="20" t="s">
        <v>249</v>
      </c>
      <c r="M398" s="20" t="s">
        <v>918</v>
      </c>
      <c r="N398" s="20" t="s">
        <v>13</v>
      </c>
      <c r="O398" s="20">
        <v>2</v>
      </c>
      <c r="P398" s="20">
        <v>4</v>
      </c>
      <c r="Q398" s="13">
        <v>0.60199999999999998</v>
      </c>
      <c r="R398" s="20" t="s">
        <v>249</v>
      </c>
      <c r="S398" s="20">
        <v>0.71</v>
      </c>
      <c r="T398" s="20" t="s">
        <v>248</v>
      </c>
      <c r="U398" s="20" t="s">
        <v>13</v>
      </c>
      <c r="V398" s="20">
        <v>1</v>
      </c>
      <c r="W398" s="20">
        <v>2</v>
      </c>
      <c r="X398" s="20" t="s">
        <v>496</v>
      </c>
      <c r="Y398" s="20" t="s">
        <v>292</v>
      </c>
      <c r="Z398" s="20" t="s">
        <v>448</v>
      </c>
      <c r="AA398" s="20" t="s">
        <v>491</v>
      </c>
    </row>
    <row r="399" spans="1:27" x14ac:dyDescent="0.2">
      <c r="A399" s="1">
        <v>45990</v>
      </c>
      <c r="B399" s="20" t="s">
        <v>453</v>
      </c>
      <c r="C399" s="20" t="s">
        <v>18</v>
      </c>
      <c r="D399" s="20" t="s">
        <v>12</v>
      </c>
      <c r="E399" s="20" t="s">
        <v>454</v>
      </c>
      <c r="F399" s="20" t="s">
        <v>12</v>
      </c>
      <c r="G399" s="20">
        <v>2</v>
      </c>
      <c r="H399" s="20">
        <v>3</v>
      </c>
      <c r="I399" s="13">
        <v>0.88</v>
      </c>
      <c r="J399" s="20" t="s">
        <v>248</v>
      </c>
      <c r="K399" s="18">
        <v>0.54900000000000004</v>
      </c>
      <c r="L399" s="20" t="s">
        <v>248</v>
      </c>
      <c r="M399" s="20" t="s">
        <v>361</v>
      </c>
      <c r="N399" s="20" t="s">
        <v>12</v>
      </c>
      <c r="O399" s="20">
        <v>1</v>
      </c>
      <c r="P399" s="20">
        <v>5</v>
      </c>
      <c r="Q399" s="13">
        <v>0.80500000000000005</v>
      </c>
      <c r="R399" s="20" t="s">
        <v>249</v>
      </c>
      <c r="S399" s="20">
        <v>2.08</v>
      </c>
      <c r="T399" s="20" t="s">
        <v>248</v>
      </c>
      <c r="U399" s="20" t="s">
        <v>12</v>
      </c>
      <c r="V399" s="20">
        <v>2</v>
      </c>
      <c r="W399" s="20">
        <v>7</v>
      </c>
      <c r="X399" s="20" t="s">
        <v>490</v>
      </c>
      <c r="Y399" s="20" t="s">
        <v>292</v>
      </c>
      <c r="Z399" s="20" t="s">
        <v>448</v>
      </c>
      <c r="AA399" s="20" t="s">
        <v>491</v>
      </c>
    </row>
    <row r="400" spans="1:27" x14ac:dyDescent="0.2">
      <c r="A400" s="1">
        <v>45990</v>
      </c>
      <c r="B400" s="20" t="s">
        <v>328</v>
      </c>
      <c r="C400" s="20" t="s">
        <v>26</v>
      </c>
      <c r="D400" s="20" t="s">
        <v>21</v>
      </c>
      <c r="E400" s="20" t="s">
        <v>452</v>
      </c>
      <c r="F400" s="20" t="s">
        <v>21</v>
      </c>
      <c r="G400" s="20">
        <v>3</v>
      </c>
      <c r="H400" s="20">
        <v>4</v>
      </c>
      <c r="I400" s="13">
        <v>0.64900000000000002</v>
      </c>
      <c r="J400" s="20" t="s">
        <v>249</v>
      </c>
      <c r="K400" s="18">
        <v>0.433</v>
      </c>
      <c r="L400" s="20" t="s">
        <v>248</v>
      </c>
      <c r="M400" s="20" t="s">
        <v>465</v>
      </c>
      <c r="N400" s="20" t="s">
        <v>21</v>
      </c>
      <c r="O400" s="20">
        <v>2</v>
      </c>
      <c r="P400" s="20">
        <v>4</v>
      </c>
      <c r="Q400" s="13">
        <v>0.63800000000000001</v>
      </c>
      <c r="R400" s="20" t="s">
        <v>249</v>
      </c>
      <c r="S400" s="20">
        <v>0.74</v>
      </c>
      <c r="T400" s="20" t="s">
        <v>248</v>
      </c>
      <c r="U400" s="20" t="s">
        <v>21</v>
      </c>
      <c r="V400" s="20">
        <v>2</v>
      </c>
      <c r="W400" s="20">
        <v>3</v>
      </c>
      <c r="X400" s="20" t="s">
        <v>496</v>
      </c>
      <c r="Y400" s="20" t="s">
        <v>292</v>
      </c>
      <c r="Z400" s="20" t="s">
        <v>448</v>
      </c>
      <c r="AA400" s="20" t="s">
        <v>491</v>
      </c>
    </row>
    <row r="401" spans="1:27" x14ac:dyDescent="0.2">
      <c r="A401" s="1">
        <v>45990</v>
      </c>
      <c r="B401" s="20" t="s">
        <v>328</v>
      </c>
      <c r="C401" s="20" t="s">
        <v>40</v>
      </c>
      <c r="D401" s="20" t="s">
        <v>29</v>
      </c>
      <c r="E401" s="20" t="s">
        <v>458</v>
      </c>
      <c r="F401" s="20" t="s">
        <v>40</v>
      </c>
      <c r="G401" s="20">
        <v>4</v>
      </c>
      <c r="H401" s="20">
        <v>3</v>
      </c>
      <c r="I401" s="13">
        <v>0.70499999999999996</v>
      </c>
      <c r="J401" s="20" t="s">
        <v>248</v>
      </c>
      <c r="K401" s="18">
        <v>0.53300000000000003</v>
      </c>
      <c r="L401" s="20" t="s">
        <v>248</v>
      </c>
      <c r="M401" s="20" t="s">
        <v>315</v>
      </c>
      <c r="N401" s="20" t="s">
        <v>40</v>
      </c>
      <c r="O401" s="20">
        <v>4</v>
      </c>
      <c r="P401" s="20">
        <v>2</v>
      </c>
      <c r="Q401" s="13">
        <v>0.6</v>
      </c>
      <c r="R401" s="20" t="s">
        <v>249</v>
      </c>
      <c r="S401" s="20">
        <v>-1.02</v>
      </c>
      <c r="T401" s="20" t="s">
        <v>248</v>
      </c>
      <c r="U401" s="20" t="s">
        <v>40</v>
      </c>
      <c r="V401" s="20">
        <v>5</v>
      </c>
      <c r="W401" s="20">
        <v>2</v>
      </c>
      <c r="X401" s="20" t="s">
        <v>490</v>
      </c>
      <c r="Y401" s="20" t="s">
        <v>292</v>
      </c>
      <c r="Z401" s="20" t="s">
        <v>448</v>
      </c>
      <c r="AA401" s="20" t="s">
        <v>491</v>
      </c>
    </row>
    <row r="402" spans="1:27" x14ac:dyDescent="0.2">
      <c r="A402" s="1">
        <v>45990</v>
      </c>
      <c r="B402" s="20" t="s">
        <v>369</v>
      </c>
      <c r="C402" s="20" t="s">
        <v>17</v>
      </c>
      <c r="D402" s="20" t="s">
        <v>32</v>
      </c>
      <c r="E402" s="20" t="s">
        <v>462</v>
      </c>
      <c r="F402" s="20" t="s">
        <v>32</v>
      </c>
      <c r="G402" s="20">
        <v>4</v>
      </c>
      <c r="H402" s="20">
        <v>5</v>
      </c>
      <c r="I402" s="13">
        <v>0.71599999999999997</v>
      </c>
      <c r="J402" s="20" t="s">
        <v>249</v>
      </c>
      <c r="K402" s="18">
        <v>0.308</v>
      </c>
      <c r="L402" s="20" t="s">
        <v>249</v>
      </c>
      <c r="M402" s="20" t="s">
        <v>919</v>
      </c>
      <c r="N402" s="20" t="s">
        <v>32</v>
      </c>
      <c r="O402" s="20">
        <v>2</v>
      </c>
      <c r="P402" s="20">
        <v>4</v>
      </c>
      <c r="Q402" s="13">
        <v>0.61199999999999999</v>
      </c>
      <c r="R402" s="20" t="s">
        <v>249</v>
      </c>
      <c r="S402" s="20">
        <v>0.59</v>
      </c>
      <c r="T402" s="20" t="s">
        <v>249</v>
      </c>
      <c r="U402" s="20" t="s">
        <v>17</v>
      </c>
      <c r="V402" s="20">
        <v>4</v>
      </c>
      <c r="W402" s="20">
        <v>0</v>
      </c>
      <c r="X402" s="20" t="s">
        <v>490</v>
      </c>
      <c r="Y402" s="20" t="s">
        <v>292</v>
      </c>
      <c r="Z402" s="20" t="s">
        <v>448</v>
      </c>
      <c r="AA402" s="20" t="s">
        <v>491</v>
      </c>
    </row>
    <row r="403" spans="1:27" x14ac:dyDescent="0.2">
      <c r="A403" s="1">
        <v>45991</v>
      </c>
      <c r="B403" s="20" t="s">
        <v>365</v>
      </c>
      <c r="C403" s="20" t="s">
        <v>16</v>
      </c>
      <c r="D403" s="20" t="s">
        <v>25</v>
      </c>
      <c r="E403" s="20" t="s">
        <v>467</v>
      </c>
      <c r="F403" s="20" t="s">
        <v>25</v>
      </c>
      <c r="G403" s="20">
        <v>2</v>
      </c>
      <c r="H403" s="20">
        <v>4</v>
      </c>
      <c r="I403" s="13">
        <v>0.77100000000000002</v>
      </c>
      <c r="J403" s="20" t="s">
        <v>249</v>
      </c>
      <c r="K403" s="18">
        <v>0.29799999999999999</v>
      </c>
      <c r="L403" s="20" t="s">
        <v>248</v>
      </c>
      <c r="M403" s="20" t="s">
        <v>450</v>
      </c>
      <c r="N403" s="20" t="s">
        <v>25</v>
      </c>
      <c r="O403" s="20">
        <v>2</v>
      </c>
      <c r="P403" s="20">
        <v>5</v>
      </c>
      <c r="Q403" s="13">
        <v>0.76700000000000002</v>
      </c>
      <c r="R403" s="20" t="s">
        <v>249</v>
      </c>
      <c r="S403" s="20">
        <v>1.57</v>
      </c>
      <c r="T403" s="20" t="s">
        <v>248</v>
      </c>
      <c r="U403" s="20" t="s">
        <v>25</v>
      </c>
      <c r="V403" s="20">
        <v>0</v>
      </c>
      <c r="W403" s="20">
        <v>1</v>
      </c>
      <c r="X403" s="20" t="s">
        <v>496</v>
      </c>
      <c r="Y403" s="20" t="s">
        <v>292</v>
      </c>
      <c r="Z403" s="20" t="s">
        <v>466</v>
      </c>
      <c r="AA403" s="20" t="s">
        <v>491</v>
      </c>
    </row>
    <row r="404" spans="1:27" x14ac:dyDescent="0.2">
      <c r="A404" s="1">
        <v>45991</v>
      </c>
      <c r="B404" s="20" t="s">
        <v>352</v>
      </c>
      <c r="C404" s="20" t="s">
        <v>31</v>
      </c>
      <c r="D404" s="20" t="s">
        <v>10</v>
      </c>
      <c r="E404" s="20" t="s">
        <v>468</v>
      </c>
      <c r="F404" s="20" t="s">
        <v>31</v>
      </c>
      <c r="G404" s="20">
        <v>5</v>
      </c>
      <c r="H404" s="20">
        <v>4</v>
      </c>
      <c r="I404" s="13">
        <v>0.78800000000000003</v>
      </c>
      <c r="J404" s="20" t="s">
        <v>249</v>
      </c>
      <c r="K404" s="18">
        <v>0.20899999999999999</v>
      </c>
      <c r="L404" s="20" t="s">
        <v>249</v>
      </c>
      <c r="M404" s="20" t="s">
        <v>611</v>
      </c>
      <c r="N404" s="20" t="s">
        <v>31</v>
      </c>
      <c r="O404" s="20">
        <v>3</v>
      </c>
      <c r="P404" s="20">
        <v>2</v>
      </c>
      <c r="Q404" s="13">
        <v>0.53200000000000003</v>
      </c>
      <c r="R404" s="20" t="s">
        <v>249</v>
      </c>
      <c r="S404" s="20">
        <v>-0.43</v>
      </c>
      <c r="T404" s="20" t="s">
        <v>249</v>
      </c>
      <c r="U404" s="20" t="s">
        <v>10</v>
      </c>
      <c r="V404" s="20">
        <v>3</v>
      </c>
      <c r="W404" s="20">
        <v>5</v>
      </c>
      <c r="X404" s="20" t="s">
        <v>490</v>
      </c>
      <c r="Y404" s="20" t="s">
        <v>292</v>
      </c>
      <c r="Z404" s="20" t="s">
        <v>466</v>
      </c>
      <c r="AA404" s="20" t="s">
        <v>491</v>
      </c>
    </row>
    <row r="405" spans="1:27" x14ac:dyDescent="0.2">
      <c r="A405" s="1">
        <v>45991</v>
      </c>
      <c r="B405" s="20" t="s">
        <v>469</v>
      </c>
      <c r="C405" s="20" t="s">
        <v>36</v>
      </c>
      <c r="D405" s="20" t="s">
        <v>39</v>
      </c>
      <c r="E405" s="20" t="s">
        <v>470</v>
      </c>
      <c r="F405" s="20" t="s">
        <v>39</v>
      </c>
      <c r="G405" s="20">
        <v>3</v>
      </c>
      <c r="H405" s="20">
        <v>4</v>
      </c>
      <c r="I405" s="13">
        <v>0.73099999999999998</v>
      </c>
      <c r="J405" s="20" t="s">
        <v>249</v>
      </c>
      <c r="K405" s="18">
        <v>0.307</v>
      </c>
      <c r="L405" s="20" t="s">
        <v>248</v>
      </c>
      <c r="M405" s="20" t="s">
        <v>398</v>
      </c>
      <c r="N405" s="20" t="s">
        <v>39</v>
      </c>
      <c r="O405" s="20">
        <v>2</v>
      </c>
      <c r="P405" s="20">
        <v>4</v>
      </c>
      <c r="Q405" s="13">
        <v>0.63900000000000001</v>
      </c>
      <c r="R405" s="20" t="s">
        <v>249</v>
      </c>
      <c r="S405" s="20">
        <v>0.68</v>
      </c>
      <c r="T405" s="20" t="s">
        <v>248</v>
      </c>
      <c r="U405" s="20" t="s">
        <v>39</v>
      </c>
      <c r="V405" s="20">
        <v>1</v>
      </c>
      <c r="W405" s="20">
        <v>6</v>
      </c>
      <c r="X405" s="20" t="s">
        <v>490</v>
      </c>
      <c r="Y405" s="20" t="s">
        <v>292</v>
      </c>
      <c r="Z405" s="20" t="s">
        <v>466</v>
      </c>
      <c r="AA405" s="20" t="s">
        <v>491</v>
      </c>
    </row>
    <row r="406" spans="1:27" x14ac:dyDescent="0.2">
      <c r="A406" s="1">
        <v>45991</v>
      </c>
      <c r="B406" s="20" t="s">
        <v>347</v>
      </c>
      <c r="C406" s="20" t="s">
        <v>22</v>
      </c>
      <c r="D406" s="20" t="s">
        <v>30</v>
      </c>
      <c r="E406" s="20" t="s">
        <v>471</v>
      </c>
      <c r="F406" s="20" t="s">
        <v>22</v>
      </c>
      <c r="G406" s="20">
        <v>4</v>
      </c>
      <c r="H406" s="20">
        <v>3</v>
      </c>
      <c r="I406" s="13">
        <v>0.78800000000000003</v>
      </c>
      <c r="J406" s="20" t="s">
        <v>248</v>
      </c>
      <c r="K406" s="18">
        <v>0.61799999999999999</v>
      </c>
      <c r="L406" s="20" t="s">
        <v>248</v>
      </c>
      <c r="M406" s="20" t="s">
        <v>321</v>
      </c>
      <c r="N406" s="20" t="s">
        <v>22</v>
      </c>
      <c r="O406" s="20">
        <v>3</v>
      </c>
      <c r="P406" s="20">
        <v>2</v>
      </c>
      <c r="Q406" s="13">
        <v>0.53200000000000003</v>
      </c>
      <c r="R406" s="20" t="s">
        <v>249</v>
      </c>
      <c r="S406" s="20">
        <v>-0.43</v>
      </c>
      <c r="T406" s="20" t="s">
        <v>248</v>
      </c>
      <c r="U406" s="20" t="s">
        <v>22</v>
      </c>
      <c r="V406" s="20">
        <v>4</v>
      </c>
      <c r="W406" s="20">
        <v>1</v>
      </c>
      <c r="X406" s="20" t="s">
        <v>490</v>
      </c>
      <c r="Y406" s="20" t="s">
        <v>292</v>
      </c>
      <c r="Z406" s="20" t="s">
        <v>466</v>
      </c>
      <c r="AA406" s="20" t="s">
        <v>491</v>
      </c>
    </row>
    <row r="407" spans="1:27" x14ac:dyDescent="0.2">
      <c r="A407" s="1">
        <v>45992</v>
      </c>
      <c r="B407" s="20" t="s">
        <v>334</v>
      </c>
      <c r="C407" s="20" t="s">
        <v>40</v>
      </c>
      <c r="D407" s="20" t="s">
        <v>23</v>
      </c>
      <c r="E407" s="20" t="s">
        <v>472</v>
      </c>
      <c r="F407" s="20" t="s">
        <v>23</v>
      </c>
      <c r="G407" s="20">
        <v>3</v>
      </c>
      <c r="H407" s="20">
        <v>4</v>
      </c>
      <c r="I407" s="13">
        <v>0.61</v>
      </c>
      <c r="J407" s="20" t="s">
        <v>249</v>
      </c>
      <c r="K407" s="18">
        <v>0.40400000000000003</v>
      </c>
      <c r="L407" s="20" t="s">
        <v>248</v>
      </c>
      <c r="M407" s="20" t="s">
        <v>296</v>
      </c>
      <c r="N407" s="20" t="s">
        <v>40</v>
      </c>
      <c r="O407" s="20">
        <v>3</v>
      </c>
      <c r="P407" s="20">
        <v>2</v>
      </c>
      <c r="Q407" s="13">
        <v>0.55300000000000005</v>
      </c>
      <c r="R407" s="20" t="s">
        <v>249</v>
      </c>
      <c r="S407" s="20">
        <v>-0.44</v>
      </c>
      <c r="T407" s="20" t="s">
        <v>249</v>
      </c>
      <c r="U407" s="20" t="s">
        <v>23</v>
      </c>
      <c r="V407" s="20">
        <v>1</v>
      </c>
      <c r="W407" s="20">
        <v>5</v>
      </c>
      <c r="X407" s="20" t="s">
        <v>490</v>
      </c>
      <c r="Y407" s="20" t="s">
        <v>292</v>
      </c>
      <c r="Z407" s="20" t="s">
        <v>473</v>
      </c>
      <c r="AA407" s="20" t="s">
        <v>491</v>
      </c>
    </row>
    <row r="408" spans="1:27" x14ac:dyDescent="0.2">
      <c r="A408" s="1">
        <v>45992</v>
      </c>
      <c r="B408" s="20" t="s">
        <v>328</v>
      </c>
      <c r="C408" s="20" t="s">
        <v>28</v>
      </c>
      <c r="D408" s="20" t="s">
        <v>24</v>
      </c>
      <c r="E408" s="20" t="s">
        <v>474</v>
      </c>
      <c r="F408" s="20" t="s">
        <v>24</v>
      </c>
      <c r="G408" s="20">
        <v>4</v>
      </c>
      <c r="H408" s="20">
        <v>5</v>
      </c>
      <c r="I408" s="13">
        <v>0.79800000000000004</v>
      </c>
      <c r="J408" s="20" t="s">
        <v>249</v>
      </c>
      <c r="K408" s="18">
        <v>0.28899999999999998</v>
      </c>
      <c r="L408" s="20" t="s">
        <v>249</v>
      </c>
      <c r="M408" s="20" t="s">
        <v>920</v>
      </c>
      <c r="N408" s="20" t="s">
        <v>24</v>
      </c>
      <c r="O408" s="20">
        <v>2</v>
      </c>
      <c r="P408" s="20">
        <v>4</v>
      </c>
      <c r="Q408" s="13">
        <v>0.74399999999999999</v>
      </c>
      <c r="R408" s="20" t="s">
        <v>249</v>
      </c>
      <c r="S408" s="20">
        <v>0.86</v>
      </c>
      <c r="T408" s="20" t="s">
        <v>249</v>
      </c>
      <c r="U408" s="20" t="s">
        <v>28</v>
      </c>
      <c r="V408" s="20">
        <v>5</v>
      </c>
      <c r="W408" s="20">
        <v>3</v>
      </c>
      <c r="X408" s="20" t="s">
        <v>490</v>
      </c>
      <c r="Y408" s="20" t="s">
        <v>292</v>
      </c>
      <c r="Z408" s="20" t="s">
        <v>473</v>
      </c>
      <c r="AA408" s="20" t="s">
        <v>491</v>
      </c>
    </row>
    <row r="409" spans="1:27" x14ac:dyDescent="0.2">
      <c r="A409" s="1">
        <v>45992</v>
      </c>
      <c r="B409" s="20" t="s">
        <v>328</v>
      </c>
      <c r="C409" s="20" t="s">
        <v>14</v>
      </c>
      <c r="D409" s="20" t="s">
        <v>27</v>
      </c>
      <c r="E409" s="20" t="s">
        <v>475</v>
      </c>
      <c r="F409" s="20" t="s">
        <v>27</v>
      </c>
      <c r="G409" s="20">
        <v>2</v>
      </c>
      <c r="H409" s="20">
        <v>3</v>
      </c>
      <c r="I409" s="13">
        <v>0.52700000000000002</v>
      </c>
      <c r="J409" s="20" t="s">
        <v>248</v>
      </c>
      <c r="K409" s="18">
        <v>0.59</v>
      </c>
      <c r="L409" s="20" t="s">
        <v>249</v>
      </c>
      <c r="M409" s="20" t="s">
        <v>921</v>
      </c>
      <c r="N409" s="20" t="s">
        <v>27</v>
      </c>
      <c r="O409" s="20">
        <v>2</v>
      </c>
      <c r="P409" s="20">
        <v>3</v>
      </c>
      <c r="Q409" s="13">
        <v>0.57099999999999995</v>
      </c>
      <c r="R409" s="20" t="s">
        <v>248</v>
      </c>
      <c r="S409" s="20">
        <v>0.16</v>
      </c>
      <c r="T409" s="20" t="s">
        <v>249</v>
      </c>
      <c r="U409" s="20" t="s">
        <v>14</v>
      </c>
      <c r="V409" s="20">
        <v>5</v>
      </c>
      <c r="W409" s="20">
        <v>1</v>
      </c>
      <c r="X409" s="20" t="s">
        <v>490</v>
      </c>
      <c r="Y409" s="20" t="s">
        <v>292</v>
      </c>
      <c r="Z409" s="20" t="s">
        <v>473</v>
      </c>
      <c r="AA409" s="20" t="s">
        <v>491</v>
      </c>
    </row>
    <row r="410" spans="1:27" x14ac:dyDescent="0.2">
      <c r="A410" s="1">
        <v>45992</v>
      </c>
      <c r="B410" s="20" t="s">
        <v>322</v>
      </c>
      <c r="C410" s="20" t="s">
        <v>55</v>
      </c>
      <c r="D410" s="20" t="s">
        <v>33</v>
      </c>
      <c r="E410" s="20" t="s">
        <v>308</v>
      </c>
      <c r="F410" s="20" t="s">
        <v>33</v>
      </c>
      <c r="G410" s="20">
        <v>2</v>
      </c>
      <c r="H410" s="20">
        <v>3</v>
      </c>
      <c r="I410" s="13">
        <v>0.78100000000000003</v>
      </c>
      <c r="J410" s="20" t="s">
        <v>248</v>
      </c>
      <c r="K410" s="18">
        <v>0.61499999999999999</v>
      </c>
      <c r="L410" s="20" t="s">
        <v>248</v>
      </c>
      <c r="M410" s="20" t="s">
        <v>309</v>
      </c>
      <c r="N410" s="20" t="s">
        <v>55</v>
      </c>
      <c r="O410" s="20">
        <v>3</v>
      </c>
      <c r="P410" s="20">
        <v>2</v>
      </c>
      <c r="Q410" s="13">
        <v>0.48399999999999999</v>
      </c>
      <c r="R410" s="20" t="s">
        <v>248</v>
      </c>
      <c r="S410" s="20">
        <v>-0.2</v>
      </c>
      <c r="T410" s="20" t="s">
        <v>249</v>
      </c>
      <c r="U410" s="20" t="s">
        <v>33</v>
      </c>
      <c r="V410" s="20">
        <v>3</v>
      </c>
      <c r="W410" s="20">
        <v>6</v>
      </c>
      <c r="X410" s="20" t="s">
        <v>490</v>
      </c>
      <c r="Y410" s="20" t="s">
        <v>292</v>
      </c>
      <c r="Z410" s="20" t="s">
        <v>473</v>
      </c>
      <c r="AA410" s="20" t="s">
        <v>491</v>
      </c>
    </row>
    <row r="411" spans="1:27" x14ac:dyDescent="0.2">
      <c r="A411" s="1">
        <v>45992</v>
      </c>
      <c r="B411" s="20" t="s">
        <v>324</v>
      </c>
      <c r="C411" s="20" t="s">
        <v>31</v>
      </c>
      <c r="D411" s="20" t="s">
        <v>35</v>
      </c>
      <c r="E411" s="20" t="s">
        <v>476</v>
      </c>
      <c r="F411" s="20" t="s">
        <v>31</v>
      </c>
      <c r="G411" s="20">
        <v>4</v>
      </c>
      <c r="H411" s="20">
        <v>3</v>
      </c>
      <c r="I411" s="13">
        <v>0.66100000000000003</v>
      </c>
      <c r="J411" s="20" t="s">
        <v>249</v>
      </c>
      <c r="K411" s="18">
        <v>0.309</v>
      </c>
      <c r="L411" s="20" t="s">
        <v>248</v>
      </c>
      <c r="M411" s="20" t="s">
        <v>291</v>
      </c>
      <c r="N411" s="20" t="s">
        <v>31</v>
      </c>
      <c r="O411" s="20">
        <v>4</v>
      </c>
      <c r="P411" s="20">
        <v>2</v>
      </c>
      <c r="Q411" s="13">
        <v>0.63</v>
      </c>
      <c r="R411" s="20" t="s">
        <v>249</v>
      </c>
      <c r="S411" s="20">
        <v>-1.4</v>
      </c>
      <c r="T411" s="20" t="s">
        <v>248</v>
      </c>
      <c r="U411" s="20" t="s">
        <v>31</v>
      </c>
      <c r="V411" s="20">
        <v>4</v>
      </c>
      <c r="W411" s="20">
        <v>1</v>
      </c>
      <c r="X411" s="20" t="s">
        <v>490</v>
      </c>
      <c r="Y411" s="20" t="s">
        <v>292</v>
      </c>
      <c r="Z411" s="20" t="s">
        <v>473</v>
      </c>
      <c r="AA411" s="20" t="s">
        <v>491</v>
      </c>
    </row>
    <row r="412" spans="1:27" x14ac:dyDescent="0.2">
      <c r="A412" s="1">
        <v>45993</v>
      </c>
      <c r="B412" s="20" t="s">
        <v>328</v>
      </c>
      <c r="C412" s="20" t="s">
        <v>39</v>
      </c>
      <c r="D412" s="20" t="s">
        <v>15</v>
      </c>
      <c r="E412" s="20" t="s">
        <v>486</v>
      </c>
      <c r="F412" s="20" t="s">
        <v>39</v>
      </c>
      <c r="G412" s="20">
        <v>5</v>
      </c>
      <c r="H412" s="20">
        <v>3</v>
      </c>
      <c r="I412" s="13">
        <v>0.69599999999999995</v>
      </c>
      <c r="J412" s="20" t="s">
        <v>249</v>
      </c>
      <c r="K412" s="18">
        <v>0.22800000000000001</v>
      </c>
      <c r="L412" s="20" t="s">
        <v>60</v>
      </c>
      <c r="M412" s="20" t="s">
        <v>60</v>
      </c>
      <c r="N412" s="20" t="s">
        <v>39</v>
      </c>
      <c r="O412" s="20">
        <v>4</v>
      </c>
      <c r="P412" s="20">
        <v>2</v>
      </c>
      <c r="Q412" s="13">
        <v>0.63800000000000001</v>
      </c>
      <c r="R412" s="20" t="s">
        <v>249</v>
      </c>
      <c r="S412" s="20">
        <v>-0.65</v>
      </c>
      <c r="T412" s="20" t="s">
        <v>60</v>
      </c>
      <c r="U412" s="20" t="s">
        <v>60</v>
      </c>
      <c r="V412" s="20"/>
      <c r="W412" s="20"/>
      <c r="X412" s="20" t="s">
        <v>60</v>
      </c>
      <c r="Y412" s="20" t="s">
        <v>412</v>
      </c>
      <c r="Z412" s="20" t="s">
        <v>477</v>
      </c>
      <c r="AA412" s="20" t="s">
        <v>60</v>
      </c>
    </row>
    <row r="413" spans="1:27" x14ac:dyDescent="0.2">
      <c r="A413" s="1">
        <v>45993</v>
      </c>
      <c r="B413" s="20" t="s">
        <v>322</v>
      </c>
      <c r="C413" s="20" t="s">
        <v>10</v>
      </c>
      <c r="D413" s="20" t="s">
        <v>20</v>
      </c>
      <c r="E413" s="20" t="s">
        <v>487</v>
      </c>
      <c r="F413" s="20" t="s">
        <v>10</v>
      </c>
      <c r="G413" s="20">
        <v>5</v>
      </c>
      <c r="H413" s="20">
        <v>4</v>
      </c>
      <c r="I413" s="13">
        <v>0.61099999999999999</v>
      </c>
      <c r="J413" s="20" t="s">
        <v>249</v>
      </c>
      <c r="K413" s="18">
        <v>0.47</v>
      </c>
      <c r="L413" s="20" t="s">
        <v>60</v>
      </c>
      <c r="M413" s="20" t="s">
        <v>60</v>
      </c>
      <c r="N413" s="20" t="s">
        <v>10</v>
      </c>
      <c r="O413" s="20">
        <v>3</v>
      </c>
      <c r="P413" s="20">
        <v>2</v>
      </c>
      <c r="Q413" s="13">
        <v>0.46200000000000002</v>
      </c>
      <c r="R413" s="20" t="s">
        <v>248</v>
      </c>
      <c r="S413" s="20">
        <v>-0.02</v>
      </c>
      <c r="T413" s="20" t="s">
        <v>60</v>
      </c>
      <c r="U413" s="20" t="s">
        <v>60</v>
      </c>
      <c r="V413" s="20"/>
      <c r="W413" s="20"/>
      <c r="X413" s="20" t="s">
        <v>60</v>
      </c>
      <c r="Y413" s="20" t="s">
        <v>412</v>
      </c>
      <c r="Z413" s="20" t="s">
        <v>477</v>
      </c>
      <c r="AA413" s="20" t="s">
        <v>60</v>
      </c>
    </row>
    <row r="414" spans="1:27" x14ac:dyDescent="0.2">
      <c r="A414" s="1">
        <v>45993</v>
      </c>
      <c r="B414" s="20" t="s">
        <v>326</v>
      </c>
      <c r="C414" s="20" t="s">
        <v>38</v>
      </c>
      <c r="D414" s="20" t="s">
        <v>12</v>
      </c>
      <c r="E414" s="20" t="s">
        <v>478</v>
      </c>
      <c r="F414" s="20" t="s">
        <v>12</v>
      </c>
      <c r="G414" s="20">
        <v>3</v>
      </c>
      <c r="H414" s="20">
        <v>4</v>
      </c>
      <c r="I414" s="13">
        <v>0.74</v>
      </c>
      <c r="J414" s="20" t="s">
        <v>249</v>
      </c>
      <c r="K414" s="18">
        <v>0.157</v>
      </c>
      <c r="L414" s="20" t="s">
        <v>60</v>
      </c>
      <c r="M414" s="20" t="s">
        <v>60</v>
      </c>
      <c r="N414" s="20" t="s">
        <v>12</v>
      </c>
      <c r="O414" s="20">
        <v>1</v>
      </c>
      <c r="P414" s="20">
        <v>6</v>
      </c>
      <c r="Q414" s="13">
        <v>0.94799999999999995</v>
      </c>
      <c r="R414" s="20" t="s">
        <v>249</v>
      </c>
      <c r="S414" s="20">
        <v>2.63</v>
      </c>
      <c r="T414" s="20" t="s">
        <v>60</v>
      </c>
      <c r="U414" s="20" t="s">
        <v>60</v>
      </c>
      <c r="V414" s="20"/>
      <c r="W414" s="20"/>
      <c r="X414" s="20" t="s">
        <v>60</v>
      </c>
      <c r="Y414" s="20" t="s">
        <v>412</v>
      </c>
      <c r="Z414" s="20" t="s">
        <v>477</v>
      </c>
      <c r="AA414" s="20" t="s">
        <v>60</v>
      </c>
    </row>
    <row r="415" spans="1:27" x14ac:dyDescent="0.2">
      <c r="A415" s="1">
        <v>45993</v>
      </c>
      <c r="B415" s="20" t="s">
        <v>328</v>
      </c>
      <c r="C415" s="20" t="s">
        <v>21</v>
      </c>
      <c r="D415" s="20" t="s">
        <v>26</v>
      </c>
      <c r="E415" s="20" t="s">
        <v>479</v>
      </c>
      <c r="F415" s="20" t="s">
        <v>21</v>
      </c>
      <c r="G415" s="20">
        <v>4</v>
      </c>
      <c r="H415" s="20">
        <v>3</v>
      </c>
      <c r="I415" s="13">
        <v>0.51300000000000001</v>
      </c>
      <c r="J415" s="20" t="s">
        <v>249</v>
      </c>
      <c r="K415" s="18">
        <v>0.315</v>
      </c>
      <c r="L415" s="20" t="s">
        <v>60</v>
      </c>
      <c r="M415" s="20" t="s">
        <v>60</v>
      </c>
      <c r="N415" s="20" t="s">
        <v>21</v>
      </c>
      <c r="O415" s="20">
        <v>4</v>
      </c>
      <c r="P415" s="20">
        <v>2</v>
      </c>
      <c r="Q415" s="13">
        <v>0.53200000000000003</v>
      </c>
      <c r="R415" s="20" t="s">
        <v>249</v>
      </c>
      <c r="S415" s="20">
        <v>-0.61</v>
      </c>
      <c r="T415" s="20" t="s">
        <v>60</v>
      </c>
      <c r="U415" s="20" t="s">
        <v>60</v>
      </c>
      <c r="V415" s="20"/>
      <c r="W415" s="20"/>
      <c r="X415" s="20" t="s">
        <v>60</v>
      </c>
      <c r="Y415" s="20" t="s">
        <v>412</v>
      </c>
      <c r="Z415" s="20" t="s">
        <v>477</v>
      </c>
      <c r="AA415" s="20" t="s">
        <v>60</v>
      </c>
    </row>
    <row r="416" spans="1:27" x14ac:dyDescent="0.2">
      <c r="A416" s="1">
        <v>45993</v>
      </c>
      <c r="B416" s="20" t="s">
        <v>326</v>
      </c>
      <c r="C416" s="20" t="s">
        <v>34</v>
      </c>
      <c r="D416" s="20" t="s">
        <v>17</v>
      </c>
      <c r="E416" s="20" t="s">
        <v>480</v>
      </c>
      <c r="F416" s="20" t="s">
        <v>17</v>
      </c>
      <c r="G416" s="20">
        <v>4</v>
      </c>
      <c r="H416" s="20">
        <v>5</v>
      </c>
      <c r="I416" s="13">
        <v>0.625</v>
      </c>
      <c r="J416" s="20" t="s">
        <v>249</v>
      </c>
      <c r="K416" s="18">
        <v>0.33</v>
      </c>
      <c r="L416" s="20" t="s">
        <v>60</v>
      </c>
      <c r="M416" s="20" t="s">
        <v>60</v>
      </c>
      <c r="N416" s="20" t="s">
        <v>34</v>
      </c>
      <c r="O416" s="20">
        <v>4</v>
      </c>
      <c r="P416" s="20">
        <v>2</v>
      </c>
      <c r="Q416" s="13">
        <v>0.57899999999999996</v>
      </c>
      <c r="R416" s="20" t="s">
        <v>249</v>
      </c>
      <c r="S416" s="20">
        <v>-0.71</v>
      </c>
      <c r="T416" s="20" t="s">
        <v>60</v>
      </c>
      <c r="U416" s="20" t="s">
        <v>60</v>
      </c>
      <c r="V416" s="20"/>
      <c r="W416" s="20"/>
      <c r="X416" s="20" t="s">
        <v>60</v>
      </c>
      <c r="Y416" s="20" t="s">
        <v>412</v>
      </c>
      <c r="Z416" s="20" t="s">
        <v>477</v>
      </c>
      <c r="AA416" s="20" t="s">
        <v>60</v>
      </c>
    </row>
    <row r="417" spans="1:27" x14ac:dyDescent="0.2">
      <c r="A417" s="1">
        <v>45993</v>
      </c>
      <c r="B417" s="20" t="s">
        <v>334</v>
      </c>
      <c r="C417" s="20" t="s">
        <v>19</v>
      </c>
      <c r="D417" s="20" t="s">
        <v>11</v>
      </c>
      <c r="E417" s="20" t="s">
        <v>481</v>
      </c>
      <c r="F417" s="20" t="s">
        <v>11</v>
      </c>
      <c r="G417" s="20">
        <v>3</v>
      </c>
      <c r="H417" s="20">
        <v>4</v>
      </c>
      <c r="I417" s="13">
        <v>0.72799999999999998</v>
      </c>
      <c r="J417" s="20" t="s">
        <v>248</v>
      </c>
      <c r="K417" s="18">
        <v>0.71799999999999997</v>
      </c>
      <c r="L417" s="20" t="s">
        <v>60</v>
      </c>
      <c r="M417" s="20" t="s">
        <v>60</v>
      </c>
      <c r="N417" s="20" t="s">
        <v>11</v>
      </c>
      <c r="O417" s="20">
        <v>2</v>
      </c>
      <c r="P417" s="20">
        <v>3</v>
      </c>
      <c r="Q417" s="13">
        <v>0.58799999999999997</v>
      </c>
      <c r="R417" s="20" t="s">
        <v>248</v>
      </c>
      <c r="S417" s="20">
        <v>0.28999999999999998</v>
      </c>
      <c r="T417" s="20" t="s">
        <v>60</v>
      </c>
      <c r="U417" s="20" t="s">
        <v>60</v>
      </c>
      <c r="V417" s="20"/>
      <c r="W417" s="20"/>
      <c r="X417" s="20" t="s">
        <v>60</v>
      </c>
      <c r="Y417" s="20" t="s">
        <v>412</v>
      </c>
      <c r="Z417" s="20" t="s">
        <v>477</v>
      </c>
      <c r="AA417" s="20" t="s">
        <v>60</v>
      </c>
    </row>
    <row r="418" spans="1:27" x14ac:dyDescent="0.2">
      <c r="A418" s="1">
        <v>45993</v>
      </c>
      <c r="B418" s="20" t="s">
        <v>340</v>
      </c>
      <c r="C418" s="20" t="s">
        <v>22</v>
      </c>
      <c r="D418" s="20" t="s">
        <v>13</v>
      </c>
      <c r="E418" s="20" t="s">
        <v>482</v>
      </c>
      <c r="F418" s="20" t="s">
        <v>22</v>
      </c>
      <c r="G418" s="20">
        <v>6</v>
      </c>
      <c r="H418" s="20">
        <v>5</v>
      </c>
      <c r="I418" s="13">
        <v>0.76700000000000002</v>
      </c>
      <c r="J418" s="20" t="s">
        <v>249</v>
      </c>
      <c r="K418" s="18">
        <v>0.29699999999999999</v>
      </c>
      <c r="L418" s="20" t="s">
        <v>60</v>
      </c>
      <c r="M418" s="20" t="s">
        <v>60</v>
      </c>
      <c r="N418" s="20" t="s">
        <v>22</v>
      </c>
      <c r="O418" s="20">
        <v>4</v>
      </c>
      <c r="P418" s="20">
        <v>2</v>
      </c>
      <c r="Q418" s="13">
        <v>0.58799999999999997</v>
      </c>
      <c r="R418" s="20" t="s">
        <v>249</v>
      </c>
      <c r="S418" s="20">
        <v>-0.73</v>
      </c>
      <c r="T418" s="20" t="s">
        <v>60</v>
      </c>
      <c r="U418" s="20" t="s">
        <v>60</v>
      </c>
      <c r="V418" s="20"/>
      <c r="W418" s="20"/>
      <c r="X418" s="20" t="s">
        <v>60</v>
      </c>
      <c r="Y418" s="20" t="s">
        <v>412</v>
      </c>
      <c r="Z418" s="20" t="s">
        <v>477</v>
      </c>
      <c r="AA418" s="20" t="s">
        <v>60</v>
      </c>
    </row>
    <row r="419" spans="1:27" x14ac:dyDescent="0.2">
      <c r="A419" s="1">
        <v>45993</v>
      </c>
      <c r="B419" s="20" t="s">
        <v>328</v>
      </c>
      <c r="C419" s="20" t="s">
        <v>36</v>
      </c>
      <c r="D419" s="20" t="s">
        <v>18</v>
      </c>
      <c r="E419" s="20" t="s">
        <v>483</v>
      </c>
      <c r="F419" s="20" t="s">
        <v>36</v>
      </c>
      <c r="G419" s="20">
        <v>4</v>
      </c>
      <c r="H419" s="20">
        <v>3</v>
      </c>
      <c r="I419" s="13">
        <v>0.67800000000000005</v>
      </c>
      <c r="J419" s="20" t="s">
        <v>248</v>
      </c>
      <c r="K419" s="18">
        <v>0.65100000000000002</v>
      </c>
      <c r="L419" s="20" t="s">
        <v>60</v>
      </c>
      <c r="M419" s="20" t="s">
        <v>60</v>
      </c>
      <c r="N419" s="20" t="s">
        <v>36</v>
      </c>
      <c r="O419" s="20">
        <v>3</v>
      </c>
      <c r="P419" s="20">
        <v>2</v>
      </c>
      <c r="Q419" s="13">
        <v>0.46100000000000002</v>
      </c>
      <c r="R419" s="20" t="s">
        <v>248</v>
      </c>
      <c r="S419" s="20">
        <v>-0.01</v>
      </c>
      <c r="T419" s="20" t="s">
        <v>60</v>
      </c>
      <c r="U419" s="20" t="s">
        <v>60</v>
      </c>
      <c r="V419" s="20"/>
      <c r="W419" s="20"/>
      <c r="X419" s="20" t="s">
        <v>60</v>
      </c>
      <c r="Y419" s="20" t="s">
        <v>412</v>
      </c>
      <c r="Z419" s="20" t="s">
        <v>477</v>
      </c>
      <c r="AA419" s="20" t="s">
        <v>60</v>
      </c>
    </row>
    <row r="420" spans="1:27" x14ac:dyDescent="0.2">
      <c r="A420" s="1">
        <v>45993</v>
      </c>
      <c r="B420" s="20" t="s">
        <v>324</v>
      </c>
      <c r="C420" s="20" t="s">
        <v>16</v>
      </c>
      <c r="D420" s="20" t="s">
        <v>29</v>
      </c>
      <c r="E420" s="20" t="s">
        <v>484</v>
      </c>
      <c r="F420" s="20" t="s">
        <v>16</v>
      </c>
      <c r="G420" s="20">
        <v>4</v>
      </c>
      <c r="H420" s="20">
        <v>3</v>
      </c>
      <c r="I420" s="13">
        <v>0.73</v>
      </c>
      <c r="J420" s="20" t="s">
        <v>248</v>
      </c>
      <c r="K420" s="18">
        <v>0.72099999999999997</v>
      </c>
      <c r="L420" s="20" t="s">
        <v>60</v>
      </c>
      <c r="M420" s="20" t="s">
        <v>60</v>
      </c>
      <c r="N420" s="20" t="s">
        <v>16</v>
      </c>
      <c r="O420" s="20">
        <v>3</v>
      </c>
      <c r="P420" s="20">
        <v>2</v>
      </c>
      <c r="Q420" s="13">
        <v>0.49099999999999999</v>
      </c>
      <c r="R420" s="20" t="s">
        <v>248</v>
      </c>
      <c r="S420" s="20">
        <v>-0.27</v>
      </c>
      <c r="T420" s="20" t="s">
        <v>60</v>
      </c>
      <c r="U420" s="20" t="s">
        <v>60</v>
      </c>
      <c r="V420" s="20"/>
      <c r="W420" s="20"/>
      <c r="X420" s="20" t="s">
        <v>60</v>
      </c>
      <c r="Y420" s="20" t="s">
        <v>412</v>
      </c>
      <c r="Z420" s="20" t="s">
        <v>477</v>
      </c>
      <c r="AA420" s="20" t="s">
        <v>60</v>
      </c>
    </row>
    <row r="421" spans="1:27" x14ac:dyDescent="0.2">
      <c r="A421" s="1">
        <v>45993</v>
      </c>
      <c r="B421" s="20" t="s">
        <v>328</v>
      </c>
      <c r="C421" s="20" t="s">
        <v>37</v>
      </c>
      <c r="D421" s="20" t="s">
        <v>30</v>
      </c>
      <c r="E421" s="20" t="s">
        <v>485</v>
      </c>
      <c r="F421" s="20" t="s">
        <v>37</v>
      </c>
      <c r="G421" s="20">
        <v>5</v>
      </c>
      <c r="H421" s="20">
        <v>4</v>
      </c>
      <c r="I421" s="13">
        <v>0.87</v>
      </c>
      <c r="J421" s="20" t="s">
        <v>249</v>
      </c>
      <c r="K421" s="18">
        <v>0.26100000000000001</v>
      </c>
      <c r="L421" s="20" t="s">
        <v>60</v>
      </c>
      <c r="M421" s="20" t="s">
        <v>60</v>
      </c>
      <c r="N421" s="20" t="s">
        <v>37</v>
      </c>
      <c r="O421" s="20">
        <v>4</v>
      </c>
      <c r="P421" s="20">
        <v>2</v>
      </c>
      <c r="Q421" s="13">
        <v>0.63400000000000001</v>
      </c>
      <c r="R421" s="20" t="s">
        <v>249</v>
      </c>
      <c r="S421" s="20">
        <v>-0.7</v>
      </c>
      <c r="T421" s="20" t="s">
        <v>60</v>
      </c>
      <c r="U421" s="20" t="s">
        <v>60</v>
      </c>
      <c r="V421" s="20"/>
      <c r="W421" s="20"/>
      <c r="X421" s="20" t="s">
        <v>60</v>
      </c>
      <c r="Y421" s="20" t="s">
        <v>412</v>
      </c>
      <c r="Z421" s="20" t="s">
        <v>477</v>
      </c>
      <c r="AA421" s="20" t="s">
        <v>60</v>
      </c>
    </row>
    <row r="422" spans="1:27" x14ac:dyDescent="0.2">
      <c r="A422" s="1">
        <v>45994</v>
      </c>
      <c r="B422" s="20" t="s">
        <v>322</v>
      </c>
      <c r="C422" s="20" t="s">
        <v>22</v>
      </c>
      <c r="D422" s="20" t="s">
        <v>33</v>
      </c>
      <c r="E422" s="20" t="s">
        <v>922</v>
      </c>
      <c r="F422" s="20" t="s">
        <v>22</v>
      </c>
      <c r="G422" s="20">
        <v>2</v>
      </c>
      <c r="H422" s="20">
        <v>3</v>
      </c>
      <c r="I422" s="13">
        <v>0.6</v>
      </c>
      <c r="J422" s="20" t="s">
        <v>249</v>
      </c>
      <c r="L422" s="20" t="s">
        <v>60</v>
      </c>
      <c r="M422" s="20" t="s">
        <v>60</v>
      </c>
      <c r="N422" s="20" t="s">
        <v>22</v>
      </c>
      <c r="O422" s="20">
        <v>2</v>
      </c>
      <c r="P422" s="20">
        <v>3</v>
      </c>
      <c r="Q422" s="13">
        <v>0.59063967172929266</v>
      </c>
      <c r="R422" s="20" t="s">
        <v>249</v>
      </c>
      <c r="S422" s="20">
        <v>-0.84213747631283775</v>
      </c>
      <c r="T422" s="20" t="s">
        <v>60</v>
      </c>
      <c r="U422" s="20" t="s">
        <v>60</v>
      </c>
      <c r="V422" s="20"/>
      <c r="W422" s="20"/>
      <c r="X422" s="20" t="s">
        <v>60</v>
      </c>
      <c r="Y422" s="20" t="s">
        <v>412</v>
      </c>
      <c r="Z422" s="20" t="s">
        <v>60</v>
      </c>
      <c r="AA422" s="20" t="s">
        <v>491</v>
      </c>
    </row>
    <row r="423" spans="1:27" x14ac:dyDescent="0.2">
      <c r="A423" s="1">
        <v>45994</v>
      </c>
      <c r="B423" s="20" t="s">
        <v>328</v>
      </c>
      <c r="C423" s="20" t="s">
        <v>39</v>
      </c>
      <c r="D423" s="20" t="s">
        <v>24</v>
      </c>
      <c r="E423" s="20" t="s">
        <v>923</v>
      </c>
      <c r="F423" s="20" t="s">
        <v>39</v>
      </c>
      <c r="G423" s="20">
        <v>2</v>
      </c>
      <c r="H423" s="20">
        <v>3</v>
      </c>
      <c r="I423" s="13">
        <v>0.6</v>
      </c>
      <c r="J423" s="20" t="s">
        <v>249</v>
      </c>
      <c r="L423" s="20" t="s">
        <v>60</v>
      </c>
      <c r="M423" s="20" t="s">
        <v>60</v>
      </c>
      <c r="N423" s="20" t="s">
        <v>39</v>
      </c>
      <c r="O423" s="20">
        <v>2</v>
      </c>
      <c r="P423" s="20">
        <v>3</v>
      </c>
      <c r="Q423" s="13">
        <v>0.5222701857864821</v>
      </c>
      <c r="R423" s="20" t="s">
        <v>249</v>
      </c>
      <c r="S423" s="20">
        <v>-0.36201150216735312</v>
      </c>
      <c r="T423" s="20" t="s">
        <v>60</v>
      </c>
      <c r="U423" s="20" t="s">
        <v>60</v>
      </c>
      <c r="V423" s="20"/>
      <c r="W423" s="20"/>
      <c r="X423" s="20" t="s">
        <v>60</v>
      </c>
      <c r="Y423" s="20" t="s">
        <v>412</v>
      </c>
      <c r="Z423" s="20" t="s">
        <v>60</v>
      </c>
      <c r="AA423" s="20" t="s">
        <v>491</v>
      </c>
    </row>
    <row r="424" spans="1:27" x14ac:dyDescent="0.2">
      <c r="A424" s="1">
        <v>45994</v>
      </c>
      <c r="B424" s="20" t="s">
        <v>334</v>
      </c>
      <c r="C424" s="20" t="s">
        <v>23</v>
      </c>
      <c r="D424" s="20" t="s">
        <v>27</v>
      </c>
      <c r="E424" s="20" t="s">
        <v>924</v>
      </c>
      <c r="F424" s="20" t="s">
        <v>27</v>
      </c>
      <c r="G424" s="20">
        <v>2</v>
      </c>
      <c r="H424" s="20">
        <v>3</v>
      </c>
      <c r="I424" s="13">
        <v>0.6</v>
      </c>
      <c r="J424" s="20" t="s">
        <v>249</v>
      </c>
      <c r="L424" s="20" t="s">
        <v>60</v>
      </c>
      <c r="M424" s="20" t="s">
        <v>60</v>
      </c>
      <c r="N424" s="20" t="s">
        <v>27</v>
      </c>
      <c r="O424" s="20">
        <v>2</v>
      </c>
      <c r="P424" s="20">
        <v>3</v>
      </c>
      <c r="Q424" s="13">
        <v>0.57103760636902878</v>
      </c>
      <c r="R424" s="20" t="s">
        <v>249</v>
      </c>
      <c r="S424" s="20">
        <v>0.14577160115743609</v>
      </c>
      <c r="T424" s="20" t="s">
        <v>60</v>
      </c>
      <c r="U424" s="20" t="s">
        <v>60</v>
      </c>
      <c r="V424" s="20"/>
      <c r="W424" s="20"/>
      <c r="X424" s="20" t="s">
        <v>60</v>
      </c>
      <c r="Y424" s="20" t="s">
        <v>412</v>
      </c>
      <c r="Z424" s="20" t="s">
        <v>60</v>
      </c>
      <c r="AA424" s="20" t="s">
        <v>491</v>
      </c>
    </row>
    <row r="425" spans="1:27" x14ac:dyDescent="0.2">
      <c r="A425" s="1">
        <v>45994</v>
      </c>
      <c r="B425" s="20" t="s">
        <v>322</v>
      </c>
      <c r="C425" s="20" t="s">
        <v>55</v>
      </c>
      <c r="D425" s="20" t="s">
        <v>31</v>
      </c>
      <c r="E425" s="20" t="s">
        <v>290</v>
      </c>
      <c r="F425" s="20" t="s">
        <v>31</v>
      </c>
      <c r="G425" s="20">
        <v>2</v>
      </c>
      <c r="H425" s="20">
        <v>3</v>
      </c>
      <c r="I425" s="13">
        <v>0.6</v>
      </c>
      <c r="J425" s="20" t="s">
        <v>249</v>
      </c>
      <c r="L425" s="20" t="s">
        <v>60</v>
      </c>
      <c r="M425" s="20" t="s">
        <v>60</v>
      </c>
      <c r="N425" s="20" t="s">
        <v>31</v>
      </c>
      <c r="O425" s="20">
        <v>2</v>
      </c>
      <c r="P425" s="20">
        <v>3</v>
      </c>
      <c r="Q425" s="13">
        <v>0.69359816859950485</v>
      </c>
      <c r="R425" s="20" t="s">
        <v>249</v>
      </c>
      <c r="S425" s="20">
        <v>0.63172705978361121</v>
      </c>
      <c r="T425" s="20" t="s">
        <v>60</v>
      </c>
      <c r="U425" s="20" t="s">
        <v>60</v>
      </c>
      <c r="V425" s="20"/>
      <c r="W425" s="20"/>
      <c r="X425" s="20" t="s">
        <v>60</v>
      </c>
      <c r="Y425" s="20" t="s">
        <v>412</v>
      </c>
      <c r="Z425" s="20" t="s">
        <v>60</v>
      </c>
      <c r="AA425" s="20" t="s">
        <v>491</v>
      </c>
    </row>
    <row r="426" spans="1:27" x14ac:dyDescent="0.2">
      <c r="A426" s="1">
        <v>45994</v>
      </c>
      <c r="B426" s="20" t="s">
        <v>334</v>
      </c>
      <c r="C426" s="20" t="s">
        <v>40</v>
      </c>
      <c r="D426" s="20" t="s">
        <v>18</v>
      </c>
      <c r="E426" s="20" t="s">
        <v>925</v>
      </c>
      <c r="F426" s="20" t="s">
        <v>40</v>
      </c>
      <c r="G426" s="20">
        <v>2</v>
      </c>
      <c r="H426" s="20">
        <v>3</v>
      </c>
      <c r="I426" s="13">
        <v>0.6</v>
      </c>
      <c r="J426" s="20" t="s">
        <v>249</v>
      </c>
      <c r="L426" s="20" t="s">
        <v>60</v>
      </c>
      <c r="M426" s="20" t="s">
        <v>60</v>
      </c>
      <c r="N426" s="20" t="s">
        <v>40</v>
      </c>
      <c r="O426" s="20">
        <v>2</v>
      </c>
      <c r="P426" s="20">
        <v>3</v>
      </c>
      <c r="Q426" s="13">
        <v>0.50759559033131352</v>
      </c>
      <c r="R426" s="20" t="s">
        <v>249</v>
      </c>
      <c r="S426" s="20">
        <v>-0.2297470555678712</v>
      </c>
      <c r="T426" s="20" t="s">
        <v>60</v>
      </c>
      <c r="U426" s="20" t="s">
        <v>60</v>
      </c>
      <c r="V426" s="20"/>
      <c r="W426" s="20"/>
      <c r="X426" s="20" t="s">
        <v>60</v>
      </c>
      <c r="Y426" s="20" t="s">
        <v>412</v>
      </c>
      <c r="Z426" s="20" t="s">
        <v>60</v>
      </c>
      <c r="AA426" s="20" t="s">
        <v>491</v>
      </c>
    </row>
    <row r="427" spans="1:27" x14ac:dyDescent="0.2">
      <c r="A427" s="1">
        <v>45995</v>
      </c>
      <c r="B427" s="20" t="s">
        <v>328</v>
      </c>
      <c r="C427" s="20" t="s">
        <v>35</v>
      </c>
      <c r="D427" s="20" t="s">
        <v>21</v>
      </c>
      <c r="E427" s="20" t="s">
        <v>926</v>
      </c>
      <c r="F427" s="20" t="s">
        <v>21</v>
      </c>
      <c r="G427" s="20">
        <v>2</v>
      </c>
      <c r="H427" s="20">
        <v>3</v>
      </c>
      <c r="I427" s="13">
        <v>0.6</v>
      </c>
      <c r="J427" s="20" t="s">
        <v>249</v>
      </c>
      <c r="L427" s="20" t="s">
        <v>60</v>
      </c>
      <c r="M427" s="20" t="s">
        <v>60</v>
      </c>
      <c r="N427" s="20" t="s">
        <v>21</v>
      </c>
      <c r="O427" s="20">
        <v>2</v>
      </c>
      <c r="P427" s="20">
        <v>3</v>
      </c>
      <c r="Q427" s="13">
        <v>0.72589277117775375</v>
      </c>
      <c r="R427" s="20" t="s">
        <v>249</v>
      </c>
      <c r="S427" s="20">
        <v>1.2246093604231529</v>
      </c>
      <c r="T427" s="20" t="s">
        <v>60</v>
      </c>
      <c r="U427" s="20" t="s">
        <v>60</v>
      </c>
      <c r="V427" s="20"/>
      <c r="W427" s="20"/>
      <c r="X427" s="20" t="s">
        <v>60</v>
      </c>
      <c r="Y427" s="20" t="s">
        <v>412</v>
      </c>
      <c r="Z427" s="20" t="s">
        <v>60</v>
      </c>
      <c r="AA427" s="20" t="s">
        <v>491</v>
      </c>
    </row>
    <row r="428" spans="1:27" x14ac:dyDescent="0.2">
      <c r="A428" s="1">
        <v>45995</v>
      </c>
      <c r="B428" s="20" t="s">
        <v>334</v>
      </c>
      <c r="C428" s="20" t="s">
        <v>19</v>
      </c>
      <c r="D428" s="20" t="s">
        <v>25</v>
      </c>
      <c r="E428" s="20" t="s">
        <v>927</v>
      </c>
      <c r="F428" s="20" t="s">
        <v>25</v>
      </c>
      <c r="G428" s="20">
        <v>2</v>
      </c>
      <c r="H428" s="20">
        <v>3</v>
      </c>
      <c r="I428" s="13">
        <v>0.6</v>
      </c>
      <c r="J428" s="20" t="s">
        <v>249</v>
      </c>
      <c r="L428" s="20" t="s">
        <v>60</v>
      </c>
      <c r="M428" s="20" t="s">
        <v>60</v>
      </c>
      <c r="N428" s="20" t="s">
        <v>25</v>
      </c>
      <c r="O428" s="20">
        <v>2</v>
      </c>
      <c r="P428" s="20">
        <v>3</v>
      </c>
      <c r="Q428" s="13">
        <v>0.72133121982254167</v>
      </c>
      <c r="R428" s="20" t="s">
        <v>249</v>
      </c>
      <c r="S428" s="20">
        <v>1.110054477570696</v>
      </c>
      <c r="T428" s="20" t="s">
        <v>60</v>
      </c>
      <c r="U428" s="20" t="s">
        <v>60</v>
      </c>
      <c r="V428" s="20"/>
      <c r="W428" s="20"/>
      <c r="X428" s="20" t="s">
        <v>60</v>
      </c>
      <c r="Y428" s="20" t="s">
        <v>412</v>
      </c>
      <c r="Z428" s="20" t="s">
        <v>60</v>
      </c>
      <c r="AA428" s="20" t="s">
        <v>491</v>
      </c>
    </row>
    <row r="429" spans="1:27" x14ac:dyDescent="0.2">
      <c r="A429" s="1">
        <v>45995</v>
      </c>
      <c r="B429" s="20" t="s">
        <v>328</v>
      </c>
      <c r="C429" s="20" t="s">
        <v>26</v>
      </c>
      <c r="D429" s="20" t="s">
        <v>28</v>
      </c>
      <c r="E429" s="20" t="s">
        <v>928</v>
      </c>
      <c r="F429" s="20" t="s">
        <v>28</v>
      </c>
      <c r="G429" s="20">
        <v>2</v>
      </c>
      <c r="H429" s="20">
        <v>3</v>
      </c>
      <c r="I429" s="13">
        <v>0.6</v>
      </c>
      <c r="J429" s="20" t="s">
        <v>249</v>
      </c>
      <c r="L429" s="20" t="s">
        <v>60</v>
      </c>
      <c r="M429" s="20" t="s">
        <v>60</v>
      </c>
      <c r="N429" s="20" t="s">
        <v>28</v>
      </c>
      <c r="O429" s="20">
        <v>2</v>
      </c>
      <c r="P429" s="20">
        <v>3</v>
      </c>
      <c r="Q429" s="13">
        <v>0.57856166785192853</v>
      </c>
      <c r="R429" s="20" t="s">
        <v>249</v>
      </c>
      <c r="S429" s="20">
        <v>0.33025090960493159</v>
      </c>
      <c r="T429" s="20" t="s">
        <v>60</v>
      </c>
      <c r="U429" s="20" t="s">
        <v>60</v>
      </c>
      <c r="V429" s="20"/>
      <c r="W429" s="20"/>
      <c r="X429" s="20" t="s">
        <v>60</v>
      </c>
      <c r="Y429" s="20" t="s">
        <v>412</v>
      </c>
      <c r="Z429" s="20" t="s">
        <v>60</v>
      </c>
      <c r="AA429" s="20" t="s">
        <v>491</v>
      </c>
    </row>
    <row r="430" spans="1:27" x14ac:dyDescent="0.2">
      <c r="A430" s="1">
        <v>45995</v>
      </c>
      <c r="B430" s="20" t="s">
        <v>326</v>
      </c>
      <c r="C430" s="20" t="s">
        <v>34</v>
      </c>
      <c r="D430" s="20" t="s">
        <v>16</v>
      </c>
      <c r="E430" s="20" t="s">
        <v>929</v>
      </c>
      <c r="F430" s="20" t="s">
        <v>34</v>
      </c>
      <c r="G430" s="20">
        <v>2</v>
      </c>
      <c r="H430" s="20">
        <v>3</v>
      </c>
      <c r="I430" s="13">
        <v>0.6</v>
      </c>
      <c r="J430" s="20" t="s">
        <v>249</v>
      </c>
      <c r="L430" s="20" t="s">
        <v>60</v>
      </c>
      <c r="M430" s="20" t="s">
        <v>60</v>
      </c>
      <c r="N430" s="20" t="s">
        <v>34</v>
      </c>
      <c r="O430" s="20">
        <v>2</v>
      </c>
      <c r="P430" s="20">
        <v>3</v>
      </c>
      <c r="Q430" s="13">
        <v>0.61469497551376429</v>
      </c>
      <c r="R430" s="20" t="s">
        <v>249</v>
      </c>
      <c r="S430" s="20">
        <v>-0.96075574267197961</v>
      </c>
      <c r="T430" s="20" t="s">
        <v>60</v>
      </c>
      <c r="U430" s="20" t="s">
        <v>60</v>
      </c>
      <c r="V430" s="20"/>
      <c r="W430" s="20"/>
      <c r="X430" s="20" t="s">
        <v>60</v>
      </c>
      <c r="Y430" s="20" t="s">
        <v>412</v>
      </c>
      <c r="Z430" s="20" t="s">
        <v>60</v>
      </c>
      <c r="AA430" s="20" t="s">
        <v>491</v>
      </c>
    </row>
    <row r="431" spans="1:27" x14ac:dyDescent="0.2">
      <c r="A431" s="1">
        <v>45995</v>
      </c>
      <c r="B431" s="20" t="s">
        <v>326</v>
      </c>
      <c r="C431" s="20" t="s">
        <v>32</v>
      </c>
      <c r="D431" s="20" t="s">
        <v>17</v>
      </c>
      <c r="E431" s="20" t="s">
        <v>930</v>
      </c>
      <c r="F431" s="20" t="s">
        <v>32</v>
      </c>
      <c r="G431" s="20">
        <v>2</v>
      </c>
      <c r="H431" s="20">
        <v>3</v>
      </c>
      <c r="I431" s="13">
        <v>0.6</v>
      </c>
      <c r="J431" s="20" t="s">
        <v>249</v>
      </c>
      <c r="L431" s="20" t="s">
        <v>60</v>
      </c>
      <c r="M431" s="20" t="s">
        <v>60</v>
      </c>
      <c r="N431" s="20" t="s">
        <v>32</v>
      </c>
      <c r="O431" s="20">
        <v>2</v>
      </c>
      <c r="P431" s="20">
        <v>3</v>
      </c>
      <c r="Q431" s="13">
        <v>0.46678701500720537</v>
      </c>
      <c r="R431" s="20" t="s">
        <v>249</v>
      </c>
      <c r="S431" s="20">
        <v>-0.1184686800362693</v>
      </c>
      <c r="T431" s="20" t="s">
        <v>60</v>
      </c>
      <c r="U431" s="20" t="s">
        <v>60</v>
      </c>
      <c r="V431" s="20"/>
      <c r="W431" s="20"/>
      <c r="X431" s="20" t="s">
        <v>60</v>
      </c>
      <c r="Y431" s="20" t="s">
        <v>412</v>
      </c>
      <c r="Z431" s="20" t="s">
        <v>60</v>
      </c>
      <c r="AA431" s="20" t="s">
        <v>491</v>
      </c>
    </row>
    <row r="432" spans="1:27" x14ac:dyDescent="0.2">
      <c r="A432" s="1">
        <v>45995</v>
      </c>
      <c r="B432" s="20" t="s">
        <v>328</v>
      </c>
      <c r="C432" s="20" t="s">
        <v>29</v>
      </c>
      <c r="D432" s="20" t="s">
        <v>11</v>
      </c>
      <c r="E432" s="20" t="s">
        <v>931</v>
      </c>
      <c r="F432" s="20" t="s">
        <v>11</v>
      </c>
      <c r="G432" s="20">
        <v>2</v>
      </c>
      <c r="H432" s="20">
        <v>3</v>
      </c>
      <c r="I432" s="13">
        <v>0.6</v>
      </c>
      <c r="J432" s="20" t="s">
        <v>249</v>
      </c>
      <c r="L432" s="20" t="s">
        <v>60</v>
      </c>
      <c r="M432" s="20" t="s">
        <v>60</v>
      </c>
      <c r="N432" s="20" t="s">
        <v>11</v>
      </c>
      <c r="O432" s="20">
        <v>2</v>
      </c>
      <c r="P432" s="20">
        <v>3</v>
      </c>
      <c r="Q432" s="13">
        <v>0.67518338069360018</v>
      </c>
      <c r="R432" s="20" t="s">
        <v>249</v>
      </c>
      <c r="S432" s="20">
        <v>1.0376997416691169</v>
      </c>
      <c r="T432" s="20" t="s">
        <v>60</v>
      </c>
      <c r="U432" s="20" t="s">
        <v>60</v>
      </c>
      <c r="V432" s="20"/>
      <c r="W432" s="20"/>
      <c r="X432" s="20" t="s">
        <v>60</v>
      </c>
      <c r="Y432" s="20" t="s">
        <v>412</v>
      </c>
      <c r="Z432" s="20" t="s">
        <v>60</v>
      </c>
      <c r="AA432" s="20" t="s">
        <v>491</v>
      </c>
    </row>
    <row r="433" spans="1:27" x14ac:dyDescent="0.2">
      <c r="A433" s="1">
        <v>45995</v>
      </c>
      <c r="B433" s="20" t="s">
        <v>322</v>
      </c>
      <c r="C433" s="20" t="s">
        <v>10</v>
      </c>
      <c r="D433" s="20" t="s">
        <v>13</v>
      </c>
      <c r="E433" s="20" t="s">
        <v>932</v>
      </c>
      <c r="F433" s="20" t="s">
        <v>10</v>
      </c>
      <c r="G433" s="20">
        <v>2</v>
      </c>
      <c r="H433" s="20">
        <v>3</v>
      </c>
      <c r="I433" s="13">
        <v>0.6</v>
      </c>
      <c r="J433" s="20" t="s">
        <v>249</v>
      </c>
      <c r="L433" s="20" t="s">
        <v>60</v>
      </c>
      <c r="M433" s="20" t="s">
        <v>60</v>
      </c>
      <c r="N433" s="20" t="s">
        <v>10</v>
      </c>
      <c r="O433" s="20">
        <v>2</v>
      </c>
      <c r="P433" s="20">
        <v>3</v>
      </c>
      <c r="Q433" s="13">
        <v>0.4730994406719799</v>
      </c>
      <c r="R433" s="20" t="s">
        <v>249</v>
      </c>
      <c r="S433" s="20">
        <v>-0.1121865945697376</v>
      </c>
      <c r="T433" s="20" t="s">
        <v>60</v>
      </c>
      <c r="U433" s="20" t="s">
        <v>60</v>
      </c>
      <c r="V433" s="20"/>
      <c r="W433" s="20"/>
      <c r="X433" s="20" t="s">
        <v>60</v>
      </c>
      <c r="Y433" s="20" t="s">
        <v>412</v>
      </c>
      <c r="Z433" s="20" t="s">
        <v>60</v>
      </c>
      <c r="AA433" s="20" t="s">
        <v>491</v>
      </c>
    </row>
    <row r="434" spans="1:27" x14ac:dyDescent="0.2">
      <c r="A434" s="1">
        <v>45995</v>
      </c>
      <c r="B434" s="20" t="s">
        <v>328</v>
      </c>
      <c r="C434" s="20" t="s">
        <v>12</v>
      </c>
      <c r="D434" s="20" t="s">
        <v>30</v>
      </c>
      <c r="E434" s="20" t="s">
        <v>933</v>
      </c>
      <c r="F434" s="20" t="s">
        <v>12</v>
      </c>
      <c r="G434" s="20">
        <v>2</v>
      </c>
      <c r="H434" s="20">
        <v>3</v>
      </c>
      <c r="I434" s="13">
        <v>0.6</v>
      </c>
      <c r="J434" s="20" t="s">
        <v>249</v>
      </c>
      <c r="L434" s="20" t="s">
        <v>60</v>
      </c>
      <c r="M434" s="20" t="s">
        <v>60</v>
      </c>
      <c r="N434" s="20" t="s">
        <v>12</v>
      </c>
      <c r="O434" s="20">
        <v>2</v>
      </c>
      <c r="P434" s="20">
        <v>3</v>
      </c>
      <c r="Q434" s="13">
        <v>0.74547772409272217</v>
      </c>
      <c r="R434" s="20" t="s">
        <v>249</v>
      </c>
      <c r="S434" s="20">
        <v>-1.8229349069451459</v>
      </c>
      <c r="T434" s="20" t="s">
        <v>60</v>
      </c>
      <c r="U434" s="20" t="s">
        <v>60</v>
      </c>
      <c r="V434" s="20"/>
      <c r="W434" s="20"/>
      <c r="X434" s="20" t="s">
        <v>60</v>
      </c>
      <c r="Y434" s="20" t="s">
        <v>412</v>
      </c>
      <c r="Z434" s="20" t="s">
        <v>60</v>
      </c>
      <c r="AA434" s="20" t="s">
        <v>491</v>
      </c>
    </row>
    <row r="435" spans="1:27" x14ac:dyDescent="0.2">
      <c r="A435" s="1">
        <v>45995</v>
      </c>
      <c r="B435" s="20" t="s">
        <v>328</v>
      </c>
      <c r="C435" s="20" t="s">
        <v>15</v>
      </c>
      <c r="D435" s="20" t="s">
        <v>36</v>
      </c>
      <c r="E435" s="20" t="s">
        <v>934</v>
      </c>
      <c r="F435" s="20" t="s">
        <v>15</v>
      </c>
      <c r="G435" s="20">
        <v>2</v>
      </c>
      <c r="H435" s="20">
        <v>3</v>
      </c>
      <c r="I435" s="13">
        <v>0.6</v>
      </c>
      <c r="J435" s="20" t="s">
        <v>249</v>
      </c>
      <c r="L435" s="20" t="s">
        <v>60</v>
      </c>
      <c r="M435" s="20" t="s">
        <v>60</v>
      </c>
      <c r="N435" s="20" t="s">
        <v>15</v>
      </c>
      <c r="O435" s="20">
        <v>2</v>
      </c>
      <c r="P435" s="20">
        <v>3</v>
      </c>
      <c r="Q435" s="13">
        <v>0.57995728592132423</v>
      </c>
      <c r="R435" s="20" t="s">
        <v>249</v>
      </c>
      <c r="S435" s="20">
        <v>-0.19144131745773349</v>
      </c>
      <c r="T435" s="20" t="s">
        <v>60</v>
      </c>
      <c r="U435" s="20" t="s">
        <v>60</v>
      </c>
      <c r="V435" s="20"/>
      <c r="W435" s="20"/>
      <c r="X435" s="20" t="s">
        <v>60</v>
      </c>
      <c r="Y435" s="20" t="s">
        <v>412</v>
      </c>
      <c r="Z435" s="20" t="s">
        <v>60</v>
      </c>
      <c r="AA435" s="20" t="s">
        <v>491</v>
      </c>
    </row>
    <row r="436" spans="1:27" x14ac:dyDescent="0.2">
      <c r="A436" s="1">
        <v>45995</v>
      </c>
      <c r="B436" s="20" t="s">
        <v>328</v>
      </c>
      <c r="C436" s="20" t="s">
        <v>14</v>
      </c>
      <c r="D436" s="20" t="s">
        <v>37</v>
      </c>
      <c r="E436" s="20" t="s">
        <v>935</v>
      </c>
      <c r="F436" s="20" t="s">
        <v>37</v>
      </c>
      <c r="G436" s="20">
        <v>2</v>
      </c>
      <c r="H436" s="20">
        <v>3</v>
      </c>
      <c r="I436" s="13">
        <v>0.6</v>
      </c>
      <c r="J436" s="20" t="s">
        <v>249</v>
      </c>
      <c r="L436" s="20" t="s">
        <v>60</v>
      </c>
      <c r="M436" s="20" t="s">
        <v>60</v>
      </c>
      <c r="N436" s="20" t="s">
        <v>37</v>
      </c>
      <c r="O436" s="20">
        <v>2</v>
      </c>
      <c r="P436" s="20">
        <v>3</v>
      </c>
      <c r="Q436" s="13">
        <v>0.61538041683836375</v>
      </c>
      <c r="R436" s="20" t="s">
        <v>249</v>
      </c>
      <c r="S436" s="20">
        <v>0.70266991723525674</v>
      </c>
      <c r="T436" s="20" t="s">
        <v>60</v>
      </c>
      <c r="U436" s="20" t="s">
        <v>60</v>
      </c>
      <c r="V436" s="20"/>
      <c r="W436" s="20"/>
      <c r="X436" s="20" t="s">
        <v>60</v>
      </c>
      <c r="Y436" s="20" t="s">
        <v>412</v>
      </c>
      <c r="Z436" s="20" t="s">
        <v>60</v>
      </c>
      <c r="AA436" s="20" t="s">
        <v>491</v>
      </c>
    </row>
    <row r="437" spans="1:27" x14ac:dyDescent="0.2">
      <c r="A437" s="1">
        <v>45996</v>
      </c>
      <c r="B437" s="20" t="s">
        <v>326</v>
      </c>
      <c r="C437" s="20" t="s">
        <v>55</v>
      </c>
      <c r="D437" s="20" t="s">
        <v>38</v>
      </c>
      <c r="E437" s="20" t="s">
        <v>936</v>
      </c>
      <c r="F437" s="20" t="s">
        <v>55</v>
      </c>
      <c r="G437" s="20">
        <v>2</v>
      </c>
      <c r="H437" s="20">
        <v>3</v>
      </c>
      <c r="I437" s="13">
        <v>0.6</v>
      </c>
      <c r="J437" s="20" t="s">
        <v>249</v>
      </c>
      <c r="L437" s="20" t="s">
        <v>60</v>
      </c>
      <c r="M437" s="20" t="s">
        <v>60</v>
      </c>
      <c r="N437" s="20" t="s">
        <v>55</v>
      </c>
      <c r="O437" s="20">
        <v>2</v>
      </c>
      <c r="P437" s="20">
        <v>3</v>
      </c>
      <c r="Q437" s="13">
        <v>0.51775812204700111</v>
      </c>
      <c r="R437" s="20" t="s">
        <v>249</v>
      </c>
      <c r="S437" s="20">
        <v>-0.49465371716645917</v>
      </c>
      <c r="T437" s="20" t="s">
        <v>60</v>
      </c>
      <c r="U437" s="20" t="s">
        <v>60</v>
      </c>
      <c r="V437" s="20"/>
      <c r="W437" s="20"/>
      <c r="X437" s="20" t="s">
        <v>60</v>
      </c>
      <c r="Y437" s="20" t="s">
        <v>412</v>
      </c>
      <c r="Z437" s="20" t="s">
        <v>60</v>
      </c>
      <c r="AA437" s="20" t="s">
        <v>491</v>
      </c>
    </row>
    <row r="438" spans="1:27" x14ac:dyDescent="0.2">
      <c r="A438" s="1">
        <v>45996</v>
      </c>
      <c r="B438" s="20" t="s">
        <v>328</v>
      </c>
      <c r="C438" s="20" t="s">
        <v>20</v>
      </c>
      <c r="D438" s="20" t="s">
        <v>24</v>
      </c>
      <c r="E438" s="20" t="s">
        <v>937</v>
      </c>
      <c r="F438" s="20" t="s">
        <v>24</v>
      </c>
      <c r="G438" s="20">
        <v>2</v>
      </c>
      <c r="H438" s="20">
        <v>3</v>
      </c>
      <c r="I438" s="13">
        <v>0.6</v>
      </c>
      <c r="J438" s="20" t="s">
        <v>249</v>
      </c>
      <c r="L438" s="20" t="s">
        <v>60</v>
      </c>
      <c r="M438" s="20" t="s">
        <v>60</v>
      </c>
      <c r="N438" s="20" t="s">
        <v>24</v>
      </c>
      <c r="O438" s="20">
        <v>2</v>
      </c>
      <c r="P438" s="20">
        <v>3</v>
      </c>
      <c r="Q438" s="13">
        <v>0.65438211365383414</v>
      </c>
      <c r="R438" s="20" t="s">
        <v>249</v>
      </c>
      <c r="S438" s="20">
        <v>0.29587183000840322</v>
      </c>
      <c r="T438" s="20" t="s">
        <v>60</v>
      </c>
      <c r="U438" s="20" t="s">
        <v>60</v>
      </c>
      <c r="V438" s="20"/>
      <c r="W438" s="20"/>
      <c r="X438" s="20" t="s">
        <v>60</v>
      </c>
      <c r="Y438" s="20" t="s">
        <v>412</v>
      </c>
      <c r="Z438" s="20" t="s">
        <v>60</v>
      </c>
      <c r="AA438" s="20" t="s">
        <v>491</v>
      </c>
    </row>
    <row r="439" spans="1:27" x14ac:dyDescent="0.2">
      <c r="A439" s="1">
        <v>45996</v>
      </c>
      <c r="B439" s="20" t="s">
        <v>328</v>
      </c>
      <c r="C439" s="20" t="s">
        <v>23</v>
      </c>
      <c r="D439" s="20" t="s">
        <v>40</v>
      </c>
      <c r="E439" s="20" t="s">
        <v>938</v>
      </c>
      <c r="F439" s="20" t="s">
        <v>40</v>
      </c>
      <c r="G439" s="20">
        <v>2</v>
      </c>
      <c r="H439" s="20">
        <v>3</v>
      </c>
      <c r="I439" s="13">
        <v>0.6</v>
      </c>
      <c r="J439" s="20" t="s">
        <v>249</v>
      </c>
      <c r="L439" s="20" t="s">
        <v>60</v>
      </c>
      <c r="M439" s="20" t="s">
        <v>60</v>
      </c>
      <c r="N439" s="20" t="s">
        <v>40</v>
      </c>
      <c r="O439" s="20">
        <v>2</v>
      </c>
      <c r="P439" s="20">
        <v>3</v>
      </c>
      <c r="Q439" s="13">
        <v>0.56733944233883604</v>
      </c>
      <c r="R439" s="20" t="s">
        <v>249</v>
      </c>
      <c r="S439" s="20">
        <v>0.2127693608809606</v>
      </c>
      <c r="T439" s="20" t="s">
        <v>60</v>
      </c>
      <c r="U439" s="20" t="s">
        <v>60</v>
      </c>
      <c r="V439" s="20"/>
      <c r="W439" s="20"/>
      <c r="X439" s="20" t="s">
        <v>60</v>
      </c>
      <c r="Y439" s="20" t="s">
        <v>412</v>
      </c>
      <c r="Z439" s="20" t="s">
        <v>60</v>
      </c>
      <c r="AA439" s="20" t="s">
        <v>491</v>
      </c>
    </row>
    <row r="440" spans="1:27" x14ac:dyDescent="0.2">
      <c r="A440" s="1">
        <v>45996</v>
      </c>
      <c r="B440" s="20" t="s">
        <v>322</v>
      </c>
      <c r="C440" s="20" t="s">
        <v>22</v>
      </c>
      <c r="D440" s="20" t="s">
        <v>31</v>
      </c>
      <c r="E440" s="20" t="s">
        <v>939</v>
      </c>
      <c r="F440" s="20" t="s">
        <v>22</v>
      </c>
      <c r="G440" s="20">
        <v>2</v>
      </c>
      <c r="H440" s="20">
        <v>3</v>
      </c>
      <c r="I440" s="13">
        <v>0.6</v>
      </c>
      <c r="J440" s="20" t="s">
        <v>249</v>
      </c>
      <c r="L440" s="20" t="s">
        <v>60</v>
      </c>
      <c r="M440" s="20" t="s">
        <v>60</v>
      </c>
      <c r="N440" s="20" t="s">
        <v>22</v>
      </c>
      <c r="O440" s="20">
        <v>2</v>
      </c>
      <c r="P440" s="20">
        <v>3</v>
      </c>
      <c r="Q440" s="13">
        <v>0.44581884120178911</v>
      </c>
      <c r="R440" s="20" t="s">
        <v>249</v>
      </c>
      <c r="S440" s="20">
        <v>-0.21210346209132819</v>
      </c>
      <c r="T440" s="20" t="s">
        <v>60</v>
      </c>
      <c r="U440" s="20" t="s">
        <v>60</v>
      </c>
      <c r="V440" s="20"/>
      <c r="W440" s="20"/>
      <c r="X440" s="20" t="s">
        <v>60</v>
      </c>
      <c r="Y440" s="20" t="s">
        <v>412</v>
      </c>
      <c r="Z440" s="20" t="s">
        <v>60</v>
      </c>
      <c r="AA440" s="20" t="s">
        <v>491</v>
      </c>
    </row>
    <row r="441" spans="1:27" x14ac:dyDescent="0.2">
      <c r="A441" s="1">
        <v>45996</v>
      </c>
      <c r="B441" s="20" t="s">
        <v>324</v>
      </c>
      <c r="C441" s="20" t="s">
        <v>33</v>
      </c>
      <c r="D441" s="20" t="s">
        <v>39</v>
      </c>
      <c r="E441" s="20" t="s">
        <v>940</v>
      </c>
      <c r="F441" s="20" t="s">
        <v>39</v>
      </c>
      <c r="G441" s="20">
        <v>2</v>
      </c>
      <c r="H441" s="20">
        <v>3</v>
      </c>
      <c r="I441" s="13">
        <v>0.6</v>
      </c>
      <c r="J441" s="20" t="s">
        <v>249</v>
      </c>
      <c r="L441" s="20" t="s">
        <v>60</v>
      </c>
      <c r="M441" s="20" t="s">
        <v>60</v>
      </c>
      <c r="N441" s="20" t="s">
        <v>39</v>
      </c>
      <c r="O441" s="20">
        <v>2</v>
      </c>
      <c r="P441" s="20">
        <v>3</v>
      </c>
      <c r="Q441" s="13">
        <v>0.67904778332563698</v>
      </c>
      <c r="R441" s="20" t="s">
        <v>249</v>
      </c>
      <c r="S441" s="20">
        <v>0.9146742431605257</v>
      </c>
      <c r="T441" s="20" t="s">
        <v>60</v>
      </c>
      <c r="U441" s="20" t="s">
        <v>60</v>
      </c>
      <c r="V441" s="20"/>
      <c r="W441" s="20"/>
      <c r="X441" s="20" t="s">
        <v>60</v>
      </c>
      <c r="Y441" s="20" t="s">
        <v>412</v>
      </c>
      <c r="Z441" s="20" t="s">
        <v>60</v>
      </c>
      <c r="AA441" s="20" t="s">
        <v>491</v>
      </c>
    </row>
    <row r="442" spans="1:27" x14ac:dyDescent="0.2">
      <c r="A442" s="1">
        <v>45997</v>
      </c>
      <c r="B442" s="20" t="s">
        <v>322</v>
      </c>
      <c r="C442" s="20" t="s">
        <v>34</v>
      </c>
      <c r="D442" s="20" t="s">
        <v>38</v>
      </c>
      <c r="E442" s="20" t="s">
        <v>941</v>
      </c>
      <c r="F442" s="20" t="s">
        <v>34</v>
      </c>
      <c r="G442" s="20">
        <v>2</v>
      </c>
      <c r="H442" s="20">
        <v>3</v>
      </c>
      <c r="I442" s="13">
        <v>0.6</v>
      </c>
      <c r="J442" s="20" t="s">
        <v>249</v>
      </c>
      <c r="L442" s="20" t="s">
        <v>60</v>
      </c>
      <c r="M442" s="20" t="s">
        <v>60</v>
      </c>
      <c r="N442" s="20" t="s">
        <v>34</v>
      </c>
      <c r="O442" s="20">
        <v>2</v>
      </c>
      <c r="P442" s="20">
        <v>3</v>
      </c>
      <c r="Q442" s="13">
        <v>0.60090464601088334</v>
      </c>
      <c r="R442" s="20" t="s">
        <v>249</v>
      </c>
      <c r="S442" s="20">
        <v>-0.84265221873816287</v>
      </c>
      <c r="T442" s="20" t="s">
        <v>60</v>
      </c>
      <c r="U442" s="20" t="s">
        <v>60</v>
      </c>
      <c r="V442" s="20"/>
      <c r="W442" s="20"/>
      <c r="X442" s="20" t="s">
        <v>60</v>
      </c>
      <c r="Y442" s="20" t="s">
        <v>412</v>
      </c>
      <c r="Z442" s="20" t="s">
        <v>60</v>
      </c>
      <c r="AA442" s="20" t="s">
        <v>491</v>
      </c>
    </row>
    <row r="443" spans="1:27" x14ac:dyDescent="0.2">
      <c r="A443" s="1">
        <v>45997</v>
      </c>
      <c r="B443" s="20" t="s">
        <v>328</v>
      </c>
      <c r="C443" s="20" t="s">
        <v>18</v>
      </c>
      <c r="D443" s="20" t="s">
        <v>19</v>
      </c>
      <c r="E443" s="20" t="s">
        <v>497</v>
      </c>
      <c r="F443" s="20" t="s">
        <v>19</v>
      </c>
      <c r="G443" s="20">
        <v>2</v>
      </c>
      <c r="H443" s="20">
        <v>3</v>
      </c>
      <c r="I443" s="13">
        <v>0.6</v>
      </c>
      <c r="J443" s="20" t="s">
        <v>249</v>
      </c>
      <c r="L443" s="20" t="s">
        <v>60</v>
      </c>
      <c r="M443" s="20" t="s">
        <v>60</v>
      </c>
      <c r="N443" s="20" t="s">
        <v>19</v>
      </c>
      <c r="O443" s="20">
        <v>2</v>
      </c>
      <c r="P443" s="20">
        <v>3</v>
      </c>
      <c r="Q443" s="13">
        <v>0.48168268984656842</v>
      </c>
      <c r="R443" s="20" t="s">
        <v>249</v>
      </c>
      <c r="S443" s="20">
        <v>8.3117858780070719E-3</v>
      </c>
      <c r="T443" s="20" t="s">
        <v>60</v>
      </c>
      <c r="U443" s="20" t="s">
        <v>60</v>
      </c>
      <c r="V443" s="20"/>
      <c r="W443" s="20"/>
      <c r="X443" s="20" t="s">
        <v>60</v>
      </c>
      <c r="Y443" s="20" t="s">
        <v>412</v>
      </c>
      <c r="Z443" s="20" t="s">
        <v>60</v>
      </c>
      <c r="AA443" s="20" t="s">
        <v>491</v>
      </c>
    </row>
    <row r="444" spans="1:27" x14ac:dyDescent="0.2">
      <c r="A444" s="1">
        <v>45997</v>
      </c>
      <c r="B444" s="20" t="s">
        <v>328</v>
      </c>
      <c r="C444" s="20" t="s">
        <v>30</v>
      </c>
      <c r="D444" s="20" t="s">
        <v>37</v>
      </c>
      <c r="E444" s="20" t="s">
        <v>942</v>
      </c>
      <c r="F444" s="20" t="s">
        <v>37</v>
      </c>
      <c r="G444" s="20">
        <v>2</v>
      </c>
      <c r="H444" s="20">
        <v>3</v>
      </c>
      <c r="I444" s="13">
        <v>0.6</v>
      </c>
      <c r="J444" s="20" t="s">
        <v>249</v>
      </c>
      <c r="L444" s="20" t="s">
        <v>60</v>
      </c>
      <c r="M444" s="20" t="s">
        <v>60</v>
      </c>
      <c r="N444" s="20" t="s">
        <v>37</v>
      </c>
      <c r="O444" s="20">
        <v>2</v>
      </c>
      <c r="P444" s="20">
        <v>3</v>
      </c>
      <c r="Q444" s="13">
        <v>0.5935680025709742</v>
      </c>
      <c r="R444" s="20" t="s">
        <v>249</v>
      </c>
      <c r="S444" s="20">
        <v>0.80133769311109937</v>
      </c>
      <c r="T444" s="20" t="s">
        <v>60</v>
      </c>
      <c r="U444" s="20" t="s">
        <v>60</v>
      </c>
      <c r="V444" s="20"/>
      <c r="W444" s="20"/>
      <c r="X444" s="20" t="s">
        <v>60</v>
      </c>
      <c r="Y444" s="20" t="s">
        <v>412</v>
      </c>
      <c r="Z444" s="20" t="s">
        <v>60</v>
      </c>
      <c r="AA444" s="20" t="s">
        <v>491</v>
      </c>
    </row>
    <row r="445" spans="1:27" x14ac:dyDescent="0.2">
      <c r="A445" s="1">
        <v>45997</v>
      </c>
      <c r="B445" s="20" t="s">
        <v>322</v>
      </c>
      <c r="C445" s="20" t="s">
        <v>26</v>
      </c>
      <c r="D445" s="20" t="s">
        <v>32</v>
      </c>
      <c r="E445" s="20" t="s">
        <v>943</v>
      </c>
      <c r="F445" s="20" t="s">
        <v>32</v>
      </c>
      <c r="G445" s="20">
        <v>2</v>
      </c>
      <c r="H445" s="20">
        <v>3</v>
      </c>
      <c r="I445" s="13">
        <v>0.6</v>
      </c>
      <c r="J445" s="20" t="s">
        <v>249</v>
      </c>
      <c r="L445" s="20" t="s">
        <v>60</v>
      </c>
      <c r="M445" s="20" t="s">
        <v>60</v>
      </c>
      <c r="N445" s="20" t="s">
        <v>32</v>
      </c>
      <c r="O445" s="20">
        <v>2</v>
      </c>
      <c r="P445" s="20">
        <v>3</v>
      </c>
      <c r="Q445" s="13">
        <v>0.57221108588404257</v>
      </c>
      <c r="R445" s="20" t="s">
        <v>249</v>
      </c>
      <c r="S445" s="20">
        <v>0.27586307867738191</v>
      </c>
      <c r="T445" s="20" t="s">
        <v>60</v>
      </c>
      <c r="U445" s="20" t="s">
        <v>60</v>
      </c>
      <c r="V445" s="20"/>
      <c r="W445" s="20"/>
      <c r="X445" s="20" t="s">
        <v>60</v>
      </c>
      <c r="Y445" s="20" t="s">
        <v>412</v>
      </c>
      <c r="Z445" s="20" t="s">
        <v>60</v>
      </c>
      <c r="AA445" s="20" t="s">
        <v>491</v>
      </c>
    </row>
    <row r="446" spans="1:27" x14ac:dyDescent="0.2">
      <c r="A446" s="1">
        <v>45997</v>
      </c>
      <c r="B446" s="20" t="s">
        <v>328</v>
      </c>
      <c r="C446" s="20" t="s">
        <v>35</v>
      </c>
      <c r="D446" s="20" t="s">
        <v>36</v>
      </c>
      <c r="E446" s="20" t="s">
        <v>944</v>
      </c>
      <c r="F446" s="20" t="s">
        <v>36</v>
      </c>
      <c r="G446" s="20">
        <v>2</v>
      </c>
      <c r="H446" s="20">
        <v>3</v>
      </c>
      <c r="I446" s="13">
        <v>0.6</v>
      </c>
      <c r="J446" s="20" t="s">
        <v>249</v>
      </c>
      <c r="L446" s="20" t="s">
        <v>60</v>
      </c>
      <c r="M446" s="20" t="s">
        <v>60</v>
      </c>
      <c r="N446" s="20" t="s">
        <v>36</v>
      </c>
      <c r="O446" s="20">
        <v>2</v>
      </c>
      <c r="P446" s="20">
        <v>3</v>
      </c>
      <c r="Q446" s="13">
        <v>0.64910206259113834</v>
      </c>
      <c r="R446" s="20" t="s">
        <v>249</v>
      </c>
      <c r="S446" s="20">
        <v>0.9130030700060463</v>
      </c>
      <c r="T446" s="20" t="s">
        <v>60</v>
      </c>
      <c r="U446" s="20" t="s">
        <v>60</v>
      </c>
      <c r="V446" s="20"/>
      <c r="W446" s="20"/>
      <c r="X446" s="20" t="s">
        <v>60</v>
      </c>
      <c r="Y446" s="20" t="s">
        <v>412</v>
      </c>
      <c r="Z446" s="20" t="s">
        <v>60</v>
      </c>
      <c r="AA446" s="20" t="s">
        <v>491</v>
      </c>
    </row>
    <row r="447" spans="1:27" x14ac:dyDescent="0.2">
      <c r="A447" s="1">
        <v>45997</v>
      </c>
      <c r="B447" s="20" t="s">
        <v>555</v>
      </c>
      <c r="C447" s="20" t="s">
        <v>12</v>
      </c>
      <c r="D447" s="20" t="s">
        <v>15</v>
      </c>
      <c r="E447" s="20" t="s">
        <v>945</v>
      </c>
      <c r="F447" s="20" t="s">
        <v>12</v>
      </c>
      <c r="G447" s="20">
        <v>2</v>
      </c>
      <c r="H447" s="20">
        <v>3</v>
      </c>
      <c r="I447" s="13">
        <v>0.6</v>
      </c>
      <c r="J447" s="20" t="s">
        <v>249</v>
      </c>
      <c r="L447" s="20" t="s">
        <v>60</v>
      </c>
      <c r="M447" s="20" t="s">
        <v>60</v>
      </c>
      <c r="N447" s="20" t="s">
        <v>12</v>
      </c>
      <c r="O447" s="20">
        <v>2</v>
      </c>
      <c r="P447" s="20">
        <v>3</v>
      </c>
      <c r="Q447" s="13">
        <v>0.75121110577355354</v>
      </c>
      <c r="R447" s="20" t="s">
        <v>249</v>
      </c>
      <c r="S447" s="20">
        <v>-1.8720368939877561</v>
      </c>
      <c r="T447" s="20" t="s">
        <v>60</v>
      </c>
      <c r="U447" s="20" t="s">
        <v>60</v>
      </c>
      <c r="V447" s="20"/>
      <c r="W447" s="20"/>
      <c r="X447" s="20" t="s">
        <v>60</v>
      </c>
      <c r="Y447" s="20" t="s">
        <v>412</v>
      </c>
      <c r="Z447" s="20" t="s">
        <v>60</v>
      </c>
      <c r="AA447" s="20" t="s">
        <v>491</v>
      </c>
    </row>
    <row r="448" spans="1:27" x14ac:dyDescent="0.2">
      <c r="A448" s="1">
        <v>45997</v>
      </c>
      <c r="B448" s="20" t="s">
        <v>352</v>
      </c>
      <c r="C448" s="20" t="s">
        <v>28</v>
      </c>
      <c r="D448" s="20" t="s">
        <v>11</v>
      </c>
      <c r="E448" s="20" t="s">
        <v>946</v>
      </c>
      <c r="F448" s="20" t="s">
        <v>11</v>
      </c>
      <c r="G448" s="20">
        <v>2</v>
      </c>
      <c r="H448" s="20">
        <v>3</v>
      </c>
      <c r="I448" s="13">
        <v>0.6</v>
      </c>
      <c r="J448" s="20" t="s">
        <v>249</v>
      </c>
      <c r="L448" s="20" t="s">
        <v>60</v>
      </c>
      <c r="M448" s="20" t="s">
        <v>60</v>
      </c>
      <c r="N448" s="20" t="s">
        <v>11</v>
      </c>
      <c r="O448" s="20">
        <v>2</v>
      </c>
      <c r="P448" s="20">
        <v>3</v>
      </c>
      <c r="Q448" s="13">
        <v>0.57938973736099397</v>
      </c>
      <c r="R448" s="20" t="s">
        <v>249</v>
      </c>
      <c r="S448" s="20">
        <v>0.24777186220959621</v>
      </c>
      <c r="T448" s="20" t="s">
        <v>60</v>
      </c>
      <c r="U448" s="20" t="s">
        <v>60</v>
      </c>
      <c r="V448" s="20"/>
      <c r="W448" s="20"/>
      <c r="X448" s="20" t="s">
        <v>60</v>
      </c>
      <c r="Y448" s="20" t="s">
        <v>412</v>
      </c>
      <c r="Z448" s="20" t="s">
        <v>60</v>
      </c>
      <c r="AA448" s="20" t="s">
        <v>491</v>
      </c>
    </row>
    <row r="449" spans="1:27" x14ac:dyDescent="0.2">
      <c r="A449" s="1">
        <v>45997</v>
      </c>
      <c r="B449" s="20" t="s">
        <v>322</v>
      </c>
      <c r="C449" s="20" t="s">
        <v>40</v>
      </c>
      <c r="D449" s="20" t="s">
        <v>17</v>
      </c>
      <c r="E449" s="20" t="s">
        <v>947</v>
      </c>
      <c r="F449" s="20" t="s">
        <v>40</v>
      </c>
      <c r="G449" s="20">
        <v>2</v>
      </c>
      <c r="H449" s="20">
        <v>3</v>
      </c>
      <c r="I449" s="13">
        <v>0.6</v>
      </c>
      <c r="J449" s="20" t="s">
        <v>249</v>
      </c>
      <c r="L449" s="20" t="s">
        <v>60</v>
      </c>
      <c r="M449" s="20" t="s">
        <v>60</v>
      </c>
      <c r="N449" s="20" t="s">
        <v>40</v>
      </c>
      <c r="O449" s="20">
        <v>2</v>
      </c>
      <c r="P449" s="20">
        <v>3</v>
      </c>
      <c r="Q449" s="13">
        <v>0.52676594769015561</v>
      </c>
      <c r="R449" s="20" t="s">
        <v>249</v>
      </c>
      <c r="S449" s="20">
        <v>-0.45460409153156772</v>
      </c>
      <c r="T449" s="20" t="s">
        <v>60</v>
      </c>
      <c r="U449" s="20" t="s">
        <v>60</v>
      </c>
      <c r="V449" s="20"/>
      <c r="W449" s="20"/>
      <c r="X449" s="20" t="s">
        <v>60</v>
      </c>
      <c r="Y449" s="20" t="s">
        <v>412</v>
      </c>
      <c r="Z449" s="20" t="s">
        <v>60</v>
      </c>
      <c r="AA449" s="20" t="s">
        <v>491</v>
      </c>
    </row>
    <row r="450" spans="1:27" x14ac:dyDescent="0.2">
      <c r="A450" s="1">
        <v>45997</v>
      </c>
      <c r="B450" s="20" t="s">
        <v>328</v>
      </c>
      <c r="C450" s="20" t="s">
        <v>55</v>
      </c>
      <c r="D450" s="20" t="s">
        <v>16</v>
      </c>
      <c r="E450" s="20" t="s">
        <v>948</v>
      </c>
      <c r="F450" s="20" t="s">
        <v>55</v>
      </c>
      <c r="G450" s="20">
        <v>2</v>
      </c>
      <c r="H450" s="20">
        <v>3</v>
      </c>
      <c r="I450" s="13">
        <v>0.6</v>
      </c>
      <c r="J450" s="20" t="s">
        <v>249</v>
      </c>
      <c r="L450" s="20" t="s">
        <v>60</v>
      </c>
      <c r="M450" s="20" t="s">
        <v>60</v>
      </c>
      <c r="N450" s="20" t="s">
        <v>55</v>
      </c>
      <c r="O450" s="20">
        <v>2</v>
      </c>
      <c r="P450" s="20">
        <v>3</v>
      </c>
      <c r="Q450" s="13">
        <v>0.53154845154988206</v>
      </c>
      <c r="R450" s="20" t="s">
        <v>249</v>
      </c>
      <c r="S450" s="20">
        <v>-0.61275724110027596</v>
      </c>
      <c r="T450" s="20" t="s">
        <v>60</v>
      </c>
      <c r="U450" s="20" t="s">
        <v>60</v>
      </c>
      <c r="V450" s="20"/>
      <c r="W450" s="20"/>
      <c r="X450" s="20" t="s">
        <v>60</v>
      </c>
      <c r="Y450" s="20" t="s">
        <v>412</v>
      </c>
      <c r="Z450" s="20" t="s">
        <v>60</v>
      </c>
      <c r="AA450" s="20" t="s">
        <v>491</v>
      </c>
    </row>
    <row r="451" spans="1:27" x14ac:dyDescent="0.2">
      <c r="A451" s="1">
        <v>45997</v>
      </c>
      <c r="B451" s="20" t="s">
        <v>328</v>
      </c>
      <c r="C451" s="20" t="s">
        <v>29</v>
      </c>
      <c r="D451" s="20" t="s">
        <v>25</v>
      </c>
      <c r="E451" s="20" t="s">
        <v>949</v>
      </c>
      <c r="F451" s="20" t="s">
        <v>25</v>
      </c>
      <c r="G451" s="20">
        <v>2</v>
      </c>
      <c r="H451" s="20">
        <v>3</v>
      </c>
      <c r="I451" s="13">
        <v>0.6</v>
      </c>
      <c r="J451" s="20" t="s">
        <v>249</v>
      </c>
      <c r="L451" s="20" t="s">
        <v>60</v>
      </c>
      <c r="M451" s="20" t="s">
        <v>60</v>
      </c>
      <c r="N451" s="20" t="s">
        <v>25</v>
      </c>
      <c r="O451" s="20">
        <v>2</v>
      </c>
      <c r="P451" s="20">
        <v>3</v>
      </c>
      <c r="Q451" s="13">
        <v>0.80895601285549457</v>
      </c>
      <c r="R451" s="20" t="s">
        <v>249</v>
      </c>
      <c r="S451" s="20">
        <v>1.8604931700617759</v>
      </c>
      <c r="T451" s="20" t="s">
        <v>60</v>
      </c>
      <c r="U451" s="20" t="s">
        <v>60</v>
      </c>
      <c r="V451" s="20"/>
      <c r="W451" s="20"/>
      <c r="X451" s="20" t="s">
        <v>60</v>
      </c>
      <c r="Y451" s="20" t="s">
        <v>412</v>
      </c>
      <c r="Z451" s="20" t="s">
        <v>60</v>
      </c>
      <c r="AA451" s="20" t="s">
        <v>491</v>
      </c>
    </row>
    <row r="452" spans="1:27" x14ac:dyDescent="0.2">
      <c r="A452" s="1">
        <v>45997</v>
      </c>
      <c r="B452" s="20" t="s">
        <v>328</v>
      </c>
      <c r="C452" s="20" t="s">
        <v>24</v>
      </c>
      <c r="D452" s="20" t="s">
        <v>21</v>
      </c>
      <c r="E452" s="20" t="s">
        <v>950</v>
      </c>
      <c r="F452" s="20" t="s">
        <v>24</v>
      </c>
      <c r="G452" s="20">
        <v>2</v>
      </c>
      <c r="H452" s="20">
        <v>3</v>
      </c>
      <c r="I452" s="13">
        <v>0.6</v>
      </c>
      <c r="J452" s="20" t="s">
        <v>249</v>
      </c>
      <c r="L452" s="20" t="s">
        <v>60</v>
      </c>
      <c r="M452" s="20" t="s">
        <v>60</v>
      </c>
      <c r="N452" s="20" t="s">
        <v>24</v>
      </c>
      <c r="O452" s="20">
        <v>2</v>
      </c>
      <c r="P452" s="20">
        <v>3</v>
      </c>
      <c r="Q452" s="13">
        <v>0.45751339354482728</v>
      </c>
      <c r="R452" s="20" t="s">
        <v>249</v>
      </c>
      <c r="S452" s="20">
        <v>-0.1713992622891734</v>
      </c>
      <c r="T452" s="20" t="s">
        <v>60</v>
      </c>
      <c r="U452" s="20" t="s">
        <v>60</v>
      </c>
      <c r="V452" s="20"/>
      <c r="W452" s="20"/>
      <c r="X452" s="20" t="s">
        <v>60</v>
      </c>
      <c r="Y452" s="20" t="s">
        <v>412</v>
      </c>
      <c r="Z452" s="20" t="s">
        <v>60</v>
      </c>
      <c r="AA452" s="20" t="s">
        <v>491</v>
      </c>
    </row>
    <row r="453" spans="1:27" x14ac:dyDescent="0.2">
      <c r="A453" s="1">
        <v>45997</v>
      </c>
      <c r="B453" s="20" t="s">
        <v>326</v>
      </c>
      <c r="C453" s="20" t="s">
        <v>10</v>
      </c>
      <c r="D453" s="20" t="s">
        <v>13</v>
      </c>
      <c r="E453" s="20" t="s">
        <v>932</v>
      </c>
      <c r="F453" s="20" t="s">
        <v>10</v>
      </c>
      <c r="G453" s="20">
        <v>2</v>
      </c>
      <c r="H453" s="20">
        <v>3</v>
      </c>
      <c r="I453" s="13">
        <v>0.6</v>
      </c>
      <c r="J453" s="20" t="s">
        <v>249</v>
      </c>
      <c r="L453" s="20" t="s">
        <v>60</v>
      </c>
      <c r="M453" s="20" t="s">
        <v>60</v>
      </c>
      <c r="N453" s="20" t="s">
        <v>10</v>
      </c>
      <c r="O453" s="20">
        <v>2</v>
      </c>
      <c r="P453" s="20">
        <v>3</v>
      </c>
      <c r="Q453" s="13">
        <v>0.4730994406719799</v>
      </c>
      <c r="R453" s="20" t="s">
        <v>249</v>
      </c>
      <c r="S453" s="20">
        <v>-0.1121865945697376</v>
      </c>
      <c r="T453" s="20" t="s">
        <v>60</v>
      </c>
      <c r="U453" s="20" t="s">
        <v>60</v>
      </c>
      <c r="V453" s="20"/>
      <c r="W453" s="20"/>
      <c r="X453" s="20" t="s">
        <v>60</v>
      </c>
      <c r="Y453" s="20" t="s">
        <v>412</v>
      </c>
      <c r="Z453" s="20" t="s">
        <v>60</v>
      </c>
      <c r="AA453" s="20" t="s">
        <v>491</v>
      </c>
    </row>
    <row r="454" spans="1:27" x14ac:dyDescent="0.2">
      <c r="A454" s="1">
        <v>45998</v>
      </c>
      <c r="B454" s="20" t="s">
        <v>328</v>
      </c>
      <c r="C454" s="20" t="s">
        <v>20</v>
      </c>
      <c r="D454" s="20" t="s">
        <v>15</v>
      </c>
      <c r="E454" s="20" t="s">
        <v>951</v>
      </c>
      <c r="F454" s="20" t="s">
        <v>15</v>
      </c>
      <c r="G454" s="20">
        <v>2</v>
      </c>
      <c r="H454" s="20">
        <v>3</v>
      </c>
      <c r="I454" s="13">
        <v>0.6</v>
      </c>
      <c r="J454" s="20" t="s">
        <v>249</v>
      </c>
      <c r="L454" s="20" t="s">
        <v>60</v>
      </c>
      <c r="M454" s="20" t="s">
        <v>60</v>
      </c>
      <c r="N454" s="20" t="s">
        <v>15</v>
      </c>
      <c r="O454" s="20">
        <v>2</v>
      </c>
      <c r="P454" s="20">
        <v>3</v>
      </c>
      <c r="Q454" s="13">
        <v>0.54050297526377444</v>
      </c>
      <c r="R454" s="20" t="s">
        <v>249</v>
      </c>
      <c r="S454" s="20">
        <v>4.3075947598562592E-3</v>
      </c>
      <c r="T454" s="20" t="s">
        <v>60</v>
      </c>
      <c r="U454" s="20" t="s">
        <v>60</v>
      </c>
      <c r="V454" s="20"/>
      <c r="W454" s="20"/>
      <c r="X454" s="20" t="s">
        <v>60</v>
      </c>
      <c r="Y454" s="20" t="s">
        <v>412</v>
      </c>
      <c r="Z454" s="20" t="s">
        <v>60</v>
      </c>
      <c r="AA454" s="20" t="s">
        <v>491</v>
      </c>
    </row>
    <row r="455" spans="1:27" x14ac:dyDescent="0.2">
      <c r="A455" s="1">
        <v>45998</v>
      </c>
      <c r="B455" s="20" t="s">
        <v>347</v>
      </c>
      <c r="C455" s="20" t="s">
        <v>12</v>
      </c>
      <c r="D455" s="20" t="s">
        <v>27</v>
      </c>
      <c r="E455" s="20" t="s">
        <v>952</v>
      </c>
      <c r="F455" s="20" t="s">
        <v>12</v>
      </c>
      <c r="G455" s="20">
        <v>2</v>
      </c>
      <c r="H455" s="20">
        <v>3</v>
      </c>
      <c r="I455" s="13">
        <v>0.6</v>
      </c>
      <c r="J455" s="20" t="s">
        <v>249</v>
      </c>
      <c r="L455" s="20" t="s">
        <v>60</v>
      </c>
      <c r="M455" s="20" t="s">
        <v>60</v>
      </c>
      <c r="N455" s="20" t="s">
        <v>12</v>
      </c>
      <c r="O455" s="20">
        <v>2</v>
      </c>
      <c r="P455" s="20">
        <v>3</v>
      </c>
      <c r="Q455" s="13">
        <v>0.74763929020970066</v>
      </c>
      <c r="R455" s="20" t="s">
        <v>249</v>
      </c>
      <c r="S455" s="20">
        <v>-1.9622424930101301</v>
      </c>
      <c r="T455" s="20" t="s">
        <v>60</v>
      </c>
      <c r="U455" s="20" t="s">
        <v>60</v>
      </c>
      <c r="V455" s="20"/>
      <c r="W455" s="20"/>
      <c r="X455" s="20" t="s">
        <v>60</v>
      </c>
      <c r="Y455" s="20" t="s">
        <v>412</v>
      </c>
      <c r="Z455" s="20" t="s">
        <v>60</v>
      </c>
      <c r="AA455" s="20" t="s">
        <v>491</v>
      </c>
    </row>
    <row r="456" spans="1:27" x14ac:dyDescent="0.2">
      <c r="A456" s="1">
        <v>45998</v>
      </c>
      <c r="B456" s="20" t="s">
        <v>328</v>
      </c>
      <c r="C456" s="20" t="s">
        <v>28</v>
      </c>
      <c r="D456" s="20" t="s">
        <v>22</v>
      </c>
      <c r="E456" s="20" t="s">
        <v>378</v>
      </c>
      <c r="F456" s="20" t="s">
        <v>22</v>
      </c>
      <c r="G456" s="20">
        <v>2</v>
      </c>
      <c r="H456" s="20">
        <v>3</v>
      </c>
      <c r="I456" s="13">
        <v>0.6</v>
      </c>
      <c r="J456" s="20" t="s">
        <v>249</v>
      </c>
      <c r="L456" s="20" t="s">
        <v>60</v>
      </c>
      <c r="M456" s="20" t="s">
        <v>60</v>
      </c>
      <c r="N456" s="20" t="s">
        <v>22</v>
      </c>
      <c r="O456" s="20">
        <v>2</v>
      </c>
      <c r="P456" s="20">
        <v>3</v>
      </c>
      <c r="Q456" s="13">
        <v>0.68925951710427547</v>
      </c>
      <c r="R456" s="20" t="s">
        <v>249</v>
      </c>
      <c r="S456" s="20">
        <v>1.0855973861274599</v>
      </c>
      <c r="T456" s="20" t="s">
        <v>60</v>
      </c>
      <c r="U456" s="20" t="s">
        <v>60</v>
      </c>
      <c r="V456" s="20"/>
      <c r="W456" s="20"/>
      <c r="X456" s="20" t="s">
        <v>60</v>
      </c>
      <c r="Y456" s="20" t="s">
        <v>412</v>
      </c>
      <c r="Z456" s="20" t="s">
        <v>60</v>
      </c>
      <c r="AA456" s="20" t="s">
        <v>491</v>
      </c>
    </row>
    <row r="457" spans="1:27" x14ac:dyDescent="0.2">
      <c r="A457" s="1">
        <v>45998</v>
      </c>
      <c r="B457" s="20" t="s">
        <v>328</v>
      </c>
      <c r="C457" s="20" t="s">
        <v>35</v>
      </c>
      <c r="D457" s="20" t="s">
        <v>18</v>
      </c>
      <c r="E457" s="20" t="s">
        <v>953</v>
      </c>
      <c r="F457" s="20" t="s">
        <v>18</v>
      </c>
      <c r="G457" s="20">
        <v>2</v>
      </c>
      <c r="H457" s="20">
        <v>3</v>
      </c>
      <c r="I457" s="13">
        <v>0.6</v>
      </c>
      <c r="J457" s="20" t="s">
        <v>249</v>
      </c>
      <c r="L457" s="20" t="s">
        <v>60</v>
      </c>
      <c r="M457" s="20" t="s">
        <v>60</v>
      </c>
      <c r="N457" s="20" t="s">
        <v>18</v>
      </c>
      <c r="O457" s="20">
        <v>2</v>
      </c>
      <c r="P457" s="20">
        <v>3</v>
      </c>
      <c r="Q457" s="13">
        <v>0.63942396534869261</v>
      </c>
      <c r="R457" s="20" t="s">
        <v>249</v>
      </c>
      <c r="S457" s="20">
        <v>0.85148949259705975</v>
      </c>
      <c r="T457" s="20" t="s">
        <v>60</v>
      </c>
      <c r="U457" s="20" t="s">
        <v>60</v>
      </c>
      <c r="V457" s="20"/>
      <c r="W457" s="20"/>
      <c r="X457" s="20" t="s">
        <v>60</v>
      </c>
      <c r="Y457" s="20" t="s">
        <v>412</v>
      </c>
      <c r="Z457" s="20" t="s">
        <v>60</v>
      </c>
      <c r="AA457" s="20" t="s">
        <v>491</v>
      </c>
    </row>
    <row r="458" spans="1:27" x14ac:dyDescent="0.2">
      <c r="A458" s="1">
        <v>45998</v>
      </c>
      <c r="B458" s="20" t="s">
        <v>365</v>
      </c>
      <c r="C458" s="20" t="s">
        <v>33</v>
      </c>
      <c r="D458" s="20" t="s">
        <v>25</v>
      </c>
      <c r="E458" s="20" t="s">
        <v>954</v>
      </c>
      <c r="F458" s="20" t="s">
        <v>25</v>
      </c>
      <c r="G458" s="20">
        <v>2</v>
      </c>
      <c r="H458" s="20">
        <v>3</v>
      </c>
      <c r="I458" s="13">
        <v>0.6</v>
      </c>
      <c r="J458" s="20" t="s">
        <v>249</v>
      </c>
      <c r="L458" s="20" t="s">
        <v>60</v>
      </c>
      <c r="M458" s="20" t="s">
        <v>60</v>
      </c>
      <c r="N458" s="20" t="s">
        <v>25</v>
      </c>
      <c r="O458" s="20">
        <v>2</v>
      </c>
      <c r="P458" s="20">
        <v>3</v>
      </c>
      <c r="Q458" s="13">
        <v>0.69994603458103766</v>
      </c>
      <c r="R458" s="20" t="s">
        <v>249</v>
      </c>
      <c r="S458" s="20">
        <v>0.92690687863395849</v>
      </c>
      <c r="T458" s="20" t="s">
        <v>60</v>
      </c>
      <c r="U458" s="20" t="s">
        <v>60</v>
      </c>
      <c r="V458" s="20"/>
      <c r="W458" s="20"/>
      <c r="X458" s="20" t="s">
        <v>60</v>
      </c>
      <c r="Y458" s="20" t="s">
        <v>412</v>
      </c>
      <c r="Z458" s="20" t="s">
        <v>60</v>
      </c>
      <c r="AA458" s="20" t="s">
        <v>491</v>
      </c>
    </row>
    <row r="459" spans="1:27" x14ac:dyDescent="0.2">
      <c r="A459" s="1">
        <v>45998</v>
      </c>
      <c r="B459" s="20" t="s">
        <v>469</v>
      </c>
      <c r="C459" s="20" t="s">
        <v>14</v>
      </c>
      <c r="D459" s="20" t="s">
        <v>39</v>
      </c>
      <c r="E459" s="20" t="s">
        <v>955</v>
      </c>
      <c r="F459" s="20" t="s">
        <v>39</v>
      </c>
      <c r="G459" s="20">
        <v>2</v>
      </c>
      <c r="H459" s="20">
        <v>3</v>
      </c>
      <c r="I459" s="13">
        <v>0.6</v>
      </c>
      <c r="J459" s="20" t="s">
        <v>249</v>
      </c>
      <c r="L459" s="20" t="s">
        <v>60</v>
      </c>
      <c r="M459" s="20" t="s">
        <v>60</v>
      </c>
      <c r="N459" s="20" t="s">
        <v>39</v>
      </c>
      <c r="O459" s="20">
        <v>2</v>
      </c>
      <c r="P459" s="20">
        <v>3</v>
      </c>
      <c r="Q459" s="13">
        <v>0.60404694385783808</v>
      </c>
      <c r="R459" s="20" t="s">
        <v>249</v>
      </c>
      <c r="S459" s="20">
        <v>0.60560747234377232</v>
      </c>
      <c r="T459" s="20" t="s">
        <v>60</v>
      </c>
      <c r="U459" s="20" t="s">
        <v>60</v>
      </c>
      <c r="V459" s="20"/>
      <c r="W459" s="20"/>
      <c r="X459" s="20" t="s">
        <v>60</v>
      </c>
      <c r="Y459" s="20" t="s">
        <v>412</v>
      </c>
      <c r="Z459" s="20" t="s">
        <v>60</v>
      </c>
      <c r="AA459" s="20" t="s">
        <v>491</v>
      </c>
    </row>
    <row r="460" spans="1:27" x14ac:dyDescent="0.2">
      <c r="A460" s="1">
        <v>45998</v>
      </c>
      <c r="B460" s="20" t="s">
        <v>324</v>
      </c>
      <c r="C460" s="20" t="s">
        <v>10</v>
      </c>
      <c r="D460" s="20" t="s">
        <v>31</v>
      </c>
      <c r="E460" s="20" t="s">
        <v>956</v>
      </c>
      <c r="F460" s="20" t="s">
        <v>31</v>
      </c>
      <c r="G460" s="20">
        <v>2</v>
      </c>
      <c r="H460" s="20">
        <v>3</v>
      </c>
      <c r="I460" s="13">
        <v>0.6</v>
      </c>
      <c r="J460" s="20" t="s">
        <v>249</v>
      </c>
      <c r="L460" s="20" t="s">
        <v>60</v>
      </c>
      <c r="M460" s="20" t="s">
        <v>60</v>
      </c>
      <c r="N460" s="20" t="s">
        <v>31</v>
      </c>
      <c r="O460" s="20">
        <v>2</v>
      </c>
      <c r="P460" s="20">
        <v>3</v>
      </c>
      <c r="Q460" s="13">
        <v>0.66710108819506675</v>
      </c>
      <c r="R460" s="20" t="s">
        <v>249</v>
      </c>
      <c r="S460" s="20">
        <v>0.40480002594674241</v>
      </c>
      <c r="T460" s="20" t="s">
        <v>60</v>
      </c>
      <c r="U460" s="20" t="s">
        <v>60</v>
      </c>
      <c r="V460" s="20"/>
      <c r="W460" s="20"/>
      <c r="X460" s="20" t="s">
        <v>60</v>
      </c>
      <c r="Y460" s="20" t="s">
        <v>412</v>
      </c>
      <c r="Z460" s="20" t="s">
        <v>60</v>
      </c>
      <c r="AA460" s="20" t="s">
        <v>491</v>
      </c>
    </row>
    <row r="461" spans="1:27" x14ac:dyDescent="0.2">
      <c r="A461" s="1">
        <v>45998</v>
      </c>
      <c r="B461" s="20" t="s">
        <v>365</v>
      </c>
      <c r="C461" s="20" t="s">
        <v>30</v>
      </c>
      <c r="D461" s="20" t="s">
        <v>11</v>
      </c>
      <c r="E461" s="20" t="s">
        <v>957</v>
      </c>
      <c r="F461" s="20" t="s">
        <v>30</v>
      </c>
      <c r="G461" s="20">
        <v>2</v>
      </c>
      <c r="H461" s="20">
        <v>3</v>
      </c>
      <c r="I461" s="13">
        <v>0.6</v>
      </c>
      <c r="J461" s="20" t="s">
        <v>249</v>
      </c>
      <c r="L461" s="20" t="s">
        <v>60</v>
      </c>
      <c r="M461" s="20" t="s">
        <v>60</v>
      </c>
      <c r="N461" s="20" t="s">
        <v>30</v>
      </c>
      <c r="O461" s="20">
        <v>2</v>
      </c>
      <c r="P461" s="20">
        <v>3</v>
      </c>
      <c r="Q461" s="13">
        <v>0.53092892452488105</v>
      </c>
      <c r="R461" s="20" t="s">
        <v>249</v>
      </c>
      <c r="S461" s="20">
        <v>-0.10628554469961141</v>
      </c>
      <c r="T461" s="20" t="s">
        <v>60</v>
      </c>
      <c r="U461" s="20" t="s">
        <v>60</v>
      </c>
      <c r="V461" s="20"/>
      <c r="W461" s="20"/>
      <c r="X461" s="20" t="s">
        <v>60</v>
      </c>
      <c r="Y461" s="20" t="s">
        <v>412</v>
      </c>
      <c r="Z461" s="20" t="s">
        <v>60</v>
      </c>
      <c r="AA461" s="20" t="s">
        <v>491</v>
      </c>
    </row>
    <row r="462" spans="1:27" x14ac:dyDescent="0.2">
      <c r="A462" s="1">
        <v>45999</v>
      </c>
      <c r="B462" s="20" t="s">
        <v>326</v>
      </c>
      <c r="C462" s="20" t="s">
        <v>23</v>
      </c>
      <c r="D462" s="20" t="s">
        <v>16</v>
      </c>
      <c r="E462" s="20" t="s">
        <v>958</v>
      </c>
      <c r="F462" s="20" t="s">
        <v>23</v>
      </c>
      <c r="G462" s="20">
        <v>2</v>
      </c>
      <c r="H462" s="20">
        <v>3</v>
      </c>
      <c r="I462" s="13">
        <v>0.6</v>
      </c>
      <c r="J462" s="20" t="s">
        <v>249</v>
      </c>
      <c r="L462" s="20" t="s">
        <v>60</v>
      </c>
      <c r="M462" s="20" t="s">
        <v>60</v>
      </c>
      <c r="N462" s="20" t="s">
        <v>23</v>
      </c>
      <c r="O462" s="20">
        <v>2</v>
      </c>
      <c r="P462" s="20">
        <v>3</v>
      </c>
      <c r="Q462" s="13">
        <v>0.52302612495698741</v>
      </c>
      <c r="R462" s="20" t="s">
        <v>249</v>
      </c>
      <c r="S462" s="20">
        <v>-0.53977009438086876</v>
      </c>
      <c r="T462" s="20" t="s">
        <v>60</v>
      </c>
      <c r="U462" s="20" t="s">
        <v>60</v>
      </c>
      <c r="V462" s="20"/>
      <c r="W462" s="20"/>
      <c r="X462" s="20" t="s">
        <v>60</v>
      </c>
      <c r="Y462" s="20" t="s">
        <v>412</v>
      </c>
      <c r="Z462" s="20" t="s">
        <v>60</v>
      </c>
      <c r="AA462" s="20" t="s">
        <v>491</v>
      </c>
    </row>
    <row r="463" spans="1:27" x14ac:dyDescent="0.2">
      <c r="A463" s="1">
        <v>45999</v>
      </c>
      <c r="B463" s="20" t="s">
        <v>322</v>
      </c>
      <c r="C463" s="20" t="s">
        <v>34</v>
      </c>
      <c r="D463" s="20" t="s">
        <v>32</v>
      </c>
      <c r="E463" s="20" t="s">
        <v>959</v>
      </c>
      <c r="F463" s="20" t="s">
        <v>34</v>
      </c>
      <c r="G463" s="20">
        <v>2</v>
      </c>
      <c r="H463" s="20">
        <v>3</v>
      </c>
      <c r="I463" s="13">
        <v>0.6</v>
      </c>
      <c r="J463" s="20" t="s">
        <v>249</v>
      </c>
      <c r="L463" s="20" t="s">
        <v>60</v>
      </c>
      <c r="M463" s="20" t="s">
        <v>60</v>
      </c>
      <c r="N463" s="20" t="s">
        <v>34</v>
      </c>
      <c r="O463" s="20">
        <v>2</v>
      </c>
      <c r="P463" s="20">
        <v>3</v>
      </c>
      <c r="Q463" s="13">
        <v>0.56607365771895912</v>
      </c>
      <c r="R463" s="20" t="s">
        <v>249</v>
      </c>
      <c r="S463" s="20">
        <v>-0.54435169890544877</v>
      </c>
      <c r="T463" s="20" t="s">
        <v>60</v>
      </c>
      <c r="U463" s="20" t="s">
        <v>60</v>
      </c>
      <c r="V463" s="20"/>
      <c r="W463" s="20"/>
      <c r="X463" s="20" t="s">
        <v>60</v>
      </c>
      <c r="Y463" s="20" t="s">
        <v>412</v>
      </c>
      <c r="Z463" s="20" t="s">
        <v>60</v>
      </c>
      <c r="AA463" s="20" t="s">
        <v>491</v>
      </c>
    </row>
    <row r="464" spans="1:27" x14ac:dyDescent="0.2">
      <c r="A464" s="1">
        <v>45999</v>
      </c>
      <c r="B464" s="20" t="s">
        <v>334</v>
      </c>
      <c r="C464" s="20" t="s">
        <v>37</v>
      </c>
      <c r="D464" s="20" t="s">
        <v>19</v>
      </c>
      <c r="E464" s="20" t="s">
        <v>960</v>
      </c>
      <c r="F464" s="20" t="s">
        <v>37</v>
      </c>
      <c r="G464" s="20">
        <v>2</v>
      </c>
      <c r="H464" s="20">
        <v>3</v>
      </c>
      <c r="I464" s="13">
        <v>0.6</v>
      </c>
      <c r="J464" s="20" t="s">
        <v>249</v>
      </c>
      <c r="L464" s="20" t="s">
        <v>60</v>
      </c>
      <c r="M464" s="20" t="s">
        <v>60</v>
      </c>
      <c r="N464" s="20" t="s">
        <v>37</v>
      </c>
      <c r="O464" s="20">
        <v>2</v>
      </c>
      <c r="P464" s="20">
        <v>3</v>
      </c>
      <c r="Q464" s="13">
        <v>0.6803532657461332</v>
      </c>
      <c r="R464" s="20" t="s">
        <v>249</v>
      </c>
      <c r="S464" s="20">
        <v>-1.095082789142422</v>
      </c>
      <c r="T464" s="20" t="s">
        <v>60</v>
      </c>
      <c r="U464" s="20" t="s">
        <v>60</v>
      </c>
      <c r="V464" s="20"/>
      <c r="W464" s="20"/>
      <c r="X464" s="20" t="s">
        <v>60</v>
      </c>
      <c r="Y464" s="20" t="s">
        <v>412</v>
      </c>
      <c r="Z464" s="20" t="s">
        <v>60</v>
      </c>
      <c r="AA464" s="20" t="s">
        <v>491</v>
      </c>
    </row>
    <row r="465" spans="1:27" x14ac:dyDescent="0.2">
      <c r="A465" s="1">
        <v>45999</v>
      </c>
      <c r="B465" s="20" t="s">
        <v>326</v>
      </c>
      <c r="C465" s="20" t="s">
        <v>13</v>
      </c>
      <c r="D465" s="20" t="s">
        <v>55</v>
      </c>
      <c r="E465" s="20" t="s">
        <v>961</v>
      </c>
      <c r="F465" s="20" t="s">
        <v>13</v>
      </c>
      <c r="G465" s="20">
        <v>2</v>
      </c>
      <c r="H465" s="20">
        <v>3</v>
      </c>
      <c r="I465" s="13">
        <v>0.6</v>
      </c>
      <c r="J465" s="20" t="s">
        <v>249</v>
      </c>
      <c r="L465" s="20" t="s">
        <v>60</v>
      </c>
      <c r="M465" s="20" t="s">
        <v>60</v>
      </c>
      <c r="N465" s="20" t="s">
        <v>13</v>
      </c>
      <c r="O465" s="20">
        <v>2</v>
      </c>
      <c r="P465" s="20">
        <v>3</v>
      </c>
      <c r="Q465" s="13">
        <v>0.48703845954097719</v>
      </c>
      <c r="R465" s="20" t="s">
        <v>249</v>
      </c>
      <c r="S465" s="20">
        <v>-1.4938941420806319E-2</v>
      </c>
      <c r="T465" s="20" t="s">
        <v>60</v>
      </c>
      <c r="U465" s="20" t="s">
        <v>60</v>
      </c>
      <c r="V465" s="20"/>
      <c r="W465" s="20"/>
      <c r="X465" s="20" t="s">
        <v>60</v>
      </c>
      <c r="Y465" s="20" t="s">
        <v>412</v>
      </c>
      <c r="Z465" s="20" t="s">
        <v>60</v>
      </c>
      <c r="AA465" s="20" t="s">
        <v>491</v>
      </c>
    </row>
    <row r="466" spans="1:27" x14ac:dyDescent="0.2">
      <c r="A466" s="1">
        <v>45999</v>
      </c>
      <c r="B466" s="20" t="s">
        <v>322</v>
      </c>
      <c r="C466" s="20" t="s">
        <v>26</v>
      </c>
      <c r="D466" s="20" t="s">
        <v>38</v>
      </c>
      <c r="E466" s="20" t="s">
        <v>962</v>
      </c>
      <c r="F466" s="20" t="s">
        <v>26</v>
      </c>
      <c r="G466" s="20">
        <v>2</v>
      </c>
      <c r="H466" s="20">
        <v>3</v>
      </c>
      <c r="I466" s="13">
        <v>0.6</v>
      </c>
      <c r="J466" s="20" t="s">
        <v>249</v>
      </c>
      <c r="L466" s="20" t="s">
        <v>60</v>
      </c>
      <c r="M466" s="20" t="s">
        <v>60</v>
      </c>
      <c r="N466" s="20" t="s">
        <v>26</v>
      </c>
      <c r="O466" s="20">
        <v>2</v>
      </c>
      <c r="P466" s="20">
        <v>3</v>
      </c>
      <c r="Q466" s="13">
        <v>0.46261990240788181</v>
      </c>
      <c r="R466" s="20" t="s">
        <v>249</v>
      </c>
      <c r="S466" s="20">
        <v>-2.243744115533219E-2</v>
      </c>
      <c r="T466" s="20" t="s">
        <v>60</v>
      </c>
      <c r="U466" s="20" t="s">
        <v>60</v>
      </c>
      <c r="V466" s="20"/>
      <c r="W466" s="20"/>
      <c r="X466" s="20" t="s">
        <v>60</v>
      </c>
      <c r="Y466" s="20" t="s">
        <v>412</v>
      </c>
      <c r="Z466" s="20" t="s">
        <v>60</v>
      </c>
      <c r="AA466" s="20" t="s">
        <v>491</v>
      </c>
    </row>
    <row r="467" spans="1:27" x14ac:dyDescent="0.2">
      <c r="A467" s="1">
        <v>46000</v>
      </c>
      <c r="B467" s="20" t="s">
        <v>328</v>
      </c>
      <c r="C467" s="20" t="s">
        <v>33</v>
      </c>
      <c r="D467" s="20" t="s">
        <v>27</v>
      </c>
      <c r="E467" s="20" t="s">
        <v>963</v>
      </c>
      <c r="F467" s="20" t="s">
        <v>27</v>
      </c>
      <c r="G467" s="20">
        <v>2</v>
      </c>
      <c r="H467" s="20">
        <v>3</v>
      </c>
      <c r="I467" s="13">
        <v>0.6</v>
      </c>
      <c r="J467" s="20" t="s">
        <v>249</v>
      </c>
      <c r="L467" s="20" t="s">
        <v>60</v>
      </c>
      <c r="M467" s="20" t="s">
        <v>60</v>
      </c>
      <c r="N467" s="20" t="s">
        <v>27</v>
      </c>
      <c r="O467" s="20">
        <v>2</v>
      </c>
      <c r="P467" s="20">
        <v>3</v>
      </c>
      <c r="Q467" s="13">
        <v>0.56814424063845959</v>
      </c>
      <c r="R467" s="20" t="s">
        <v>249</v>
      </c>
      <c r="S467" s="20">
        <v>0.1209921577990898</v>
      </c>
      <c r="T467" s="20" t="s">
        <v>60</v>
      </c>
      <c r="U467" s="20" t="s">
        <v>60</v>
      </c>
      <c r="V467" s="20"/>
      <c r="W467" s="20"/>
      <c r="X467" s="20" t="s">
        <v>60</v>
      </c>
      <c r="Y467" s="20" t="s">
        <v>412</v>
      </c>
      <c r="Z467" s="20" t="s">
        <v>60</v>
      </c>
      <c r="AA467" s="20" t="s">
        <v>491</v>
      </c>
    </row>
    <row r="468" spans="1:27" x14ac:dyDescent="0.2">
      <c r="A468" s="1">
        <v>46000</v>
      </c>
      <c r="B468" s="20" t="s">
        <v>324</v>
      </c>
      <c r="C468" s="20" t="s">
        <v>21</v>
      </c>
      <c r="D468" s="20" t="s">
        <v>35</v>
      </c>
      <c r="E468" s="20" t="s">
        <v>964</v>
      </c>
      <c r="F468" s="20" t="s">
        <v>21</v>
      </c>
      <c r="G468" s="20">
        <v>2</v>
      </c>
      <c r="H468" s="20">
        <v>3</v>
      </c>
      <c r="I468" s="13">
        <v>0.6</v>
      </c>
      <c r="J468" s="20" t="s">
        <v>249</v>
      </c>
      <c r="L468" s="20" t="s">
        <v>60</v>
      </c>
      <c r="M468" s="20" t="s">
        <v>60</v>
      </c>
      <c r="N468" s="20" t="s">
        <v>21</v>
      </c>
      <c r="O468" s="20">
        <v>2</v>
      </c>
      <c r="P468" s="20">
        <v>3</v>
      </c>
      <c r="Q468" s="13">
        <v>0.59216741202262646</v>
      </c>
      <c r="R468" s="20" t="s">
        <v>249</v>
      </c>
      <c r="S468" s="20">
        <v>-1.124807862576829</v>
      </c>
      <c r="T468" s="20" t="s">
        <v>60</v>
      </c>
      <c r="U468" s="20" t="s">
        <v>60</v>
      </c>
      <c r="V468" s="20"/>
      <c r="W468" s="20"/>
      <c r="X468" s="20" t="s">
        <v>60</v>
      </c>
      <c r="Y468" s="20" t="s">
        <v>412</v>
      </c>
      <c r="Z468" s="20" t="s">
        <v>60</v>
      </c>
      <c r="AA468" s="20" t="s">
        <v>491</v>
      </c>
    </row>
    <row r="469" spans="1:27" x14ac:dyDescent="0.2">
      <c r="A469" s="1">
        <v>46000</v>
      </c>
      <c r="B469" s="20" t="s">
        <v>328</v>
      </c>
      <c r="C469" s="20" t="s">
        <v>31</v>
      </c>
      <c r="D469" s="20" t="s">
        <v>14</v>
      </c>
      <c r="E469" s="20" t="s">
        <v>965</v>
      </c>
      <c r="F469" s="20" t="s">
        <v>31</v>
      </c>
      <c r="G469" s="20">
        <v>2</v>
      </c>
      <c r="H469" s="20">
        <v>3</v>
      </c>
      <c r="I469" s="13">
        <v>0.6</v>
      </c>
      <c r="J469" s="20" t="s">
        <v>249</v>
      </c>
      <c r="L469" s="20" t="s">
        <v>60</v>
      </c>
      <c r="M469" s="20" t="s">
        <v>60</v>
      </c>
      <c r="N469" s="20" t="s">
        <v>31</v>
      </c>
      <c r="O469" s="20">
        <v>2</v>
      </c>
      <c r="P469" s="20">
        <v>3</v>
      </c>
      <c r="Q469" s="13">
        <v>0.51242024465588476</v>
      </c>
      <c r="R469" s="20" t="s">
        <v>249</v>
      </c>
      <c r="S469" s="20">
        <v>-0.27106649448159392</v>
      </c>
      <c r="T469" s="20" t="s">
        <v>60</v>
      </c>
      <c r="U469" s="20" t="s">
        <v>60</v>
      </c>
      <c r="V469" s="20"/>
      <c r="W469" s="20"/>
      <c r="X469" s="20" t="s">
        <v>60</v>
      </c>
      <c r="Y469" s="20" t="s">
        <v>412</v>
      </c>
      <c r="Z469" s="20" t="s">
        <v>60</v>
      </c>
      <c r="AA469" s="20" t="s">
        <v>491</v>
      </c>
    </row>
    <row r="470" spans="1:27" x14ac:dyDescent="0.2">
      <c r="A470" s="1">
        <v>46000</v>
      </c>
      <c r="B470" s="20" t="s">
        <v>328</v>
      </c>
      <c r="C470" s="20" t="s">
        <v>24</v>
      </c>
      <c r="D470" s="20" t="s">
        <v>36</v>
      </c>
      <c r="E470" s="20" t="s">
        <v>966</v>
      </c>
      <c r="F470" s="20" t="s">
        <v>24</v>
      </c>
      <c r="G470" s="20">
        <v>2</v>
      </c>
      <c r="H470" s="20">
        <v>3</v>
      </c>
      <c r="I470" s="13">
        <v>0.6</v>
      </c>
      <c r="J470" s="20" t="s">
        <v>249</v>
      </c>
      <c r="L470" s="20" t="s">
        <v>60</v>
      </c>
      <c r="M470" s="20" t="s">
        <v>60</v>
      </c>
      <c r="N470" s="20" t="s">
        <v>24</v>
      </c>
      <c r="O470" s="20">
        <v>2</v>
      </c>
      <c r="P470" s="20">
        <v>3</v>
      </c>
      <c r="Q470" s="13">
        <v>0.53465889649685494</v>
      </c>
      <c r="R470" s="20" t="s">
        <v>249</v>
      </c>
      <c r="S470" s="20">
        <v>-0.48300555270628043</v>
      </c>
      <c r="T470" s="20" t="s">
        <v>60</v>
      </c>
      <c r="U470" s="20" t="s">
        <v>60</v>
      </c>
      <c r="V470" s="20"/>
      <c r="W470" s="20"/>
      <c r="X470" s="20" t="s">
        <v>60</v>
      </c>
      <c r="Y470" s="20" t="s">
        <v>412</v>
      </c>
      <c r="Z470" s="20" t="s">
        <v>60</v>
      </c>
      <c r="AA470" s="20" t="s">
        <v>491</v>
      </c>
    </row>
    <row r="471" spans="1:27" x14ac:dyDescent="0.2">
      <c r="A471" s="1">
        <v>46000</v>
      </c>
      <c r="B471" s="20" t="s">
        <v>324</v>
      </c>
      <c r="C471" s="20" t="s">
        <v>39</v>
      </c>
      <c r="D471" s="20" t="s">
        <v>40</v>
      </c>
      <c r="E471" s="20" t="s">
        <v>504</v>
      </c>
      <c r="F471" s="20" t="s">
        <v>39</v>
      </c>
      <c r="G471" s="20">
        <v>2</v>
      </c>
      <c r="H471" s="20">
        <v>3</v>
      </c>
      <c r="I471" s="13">
        <v>0.6</v>
      </c>
      <c r="J471" s="20" t="s">
        <v>249</v>
      </c>
      <c r="L471" s="20" t="s">
        <v>60</v>
      </c>
      <c r="M471" s="20" t="s">
        <v>60</v>
      </c>
      <c r="N471" s="20" t="s">
        <v>39</v>
      </c>
      <c r="O471" s="20">
        <v>2</v>
      </c>
      <c r="P471" s="20">
        <v>3</v>
      </c>
      <c r="Q471" s="13">
        <v>0.63834650509244772</v>
      </c>
      <c r="R471" s="20" t="s">
        <v>249</v>
      </c>
      <c r="S471" s="20">
        <v>-0.67678357671474887</v>
      </c>
      <c r="T471" s="20" t="s">
        <v>60</v>
      </c>
      <c r="U471" s="20" t="s">
        <v>60</v>
      </c>
      <c r="V471" s="20"/>
      <c r="W471" s="20"/>
      <c r="X471" s="20" t="s">
        <v>60</v>
      </c>
      <c r="Y471" s="20" t="s">
        <v>412</v>
      </c>
      <c r="Z471" s="20" t="s">
        <v>60</v>
      </c>
      <c r="AA471" s="20" t="s">
        <v>491</v>
      </c>
    </row>
    <row r="472" spans="1:27" x14ac:dyDescent="0.2">
      <c r="A472" s="1">
        <v>46000</v>
      </c>
      <c r="B472" s="20" t="s">
        <v>426</v>
      </c>
      <c r="C472" s="20" t="s">
        <v>12</v>
      </c>
      <c r="D472" s="20" t="s">
        <v>29</v>
      </c>
      <c r="E472" s="20" t="s">
        <v>351</v>
      </c>
      <c r="F472" s="20" t="s">
        <v>12</v>
      </c>
      <c r="G472" s="20">
        <v>2</v>
      </c>
      <c r="H472" s="20">
        <v>3</v>
      </c>
      <c r="I472" s="13">
        <v>0.6</v>
      </c>
      <c r="J472" s="20" t="s">
        <v>249</v>
      </c>
      <c r="L472" s="20" t="s">
        <v>60</v>
      </c>
      <c r="M472" s="20" t="s">
        <v>60</v>
      </c>
      <c r="N472" s="20" t="s">
        <v>12</v>
      </c>
      <c r="O472" s="20">
        <v>2</v>
      </c>
      <c r="P472" s="20">
        <v>3</v>
      </c>
      <c r="Q472" s="13">
        <v>0.8790548902940698</v>
      </c>
      <c r="R472" s="20" t="s">
        <v>249</v>
      </c>
      <c r="S472" s="20">
        <v>-2.9669201933138751</v>
      </c>
      <c r="T472" s="20" t="s">
        <v>60</v>
      </c>
      <c r="U472" s="20" t="s">
        <v>60</v>
      </c>
      <c r="V472" s="20"/>
      <c r="W472" s="20"/>
      <c r="X472" s="20" t="s">
        <v>60</v>
      </c>
      <c r="Y472" s="20" t="s">
        <v>412</v>
      </c>
      <c r="Z472" s="20" t="s">
        <v>60</v>
      </c>
      <c r="AA472" s="20" t="s">
        <v>491</v>
      </c>
    </row>
    <row r="473" spans="1:27" x14ac:dyDescent="0.2">
      <c r="A473" s="1">
        <v>46000</v>
      </c>
      <c r="B473" s="20" t="s">
        <v>328</v>
      </c>
      <c r="C473" s="20" t="s">
        <v>37</v>
      </c>
      <c r="D473" s="20" t="s">
        <v>18</v>
      </c>
      <c r="E473" s="20" t="s">
        <v>967</v>
      </c>
      <c r="F473" s="20" t="s">
        <v>37</v>
      </c>
      <c r="G473" s="20">
        <v>2</v>
      </c>
      <c r="H473" s="20">
        <v>3</v>
      </c>
      <c r="I473" s="13">
        <v>0.6</v>
      </c>
      <c r="J473" s="20" t="s">
        <v>249</v>
      </c>
      <c r="L473" s="20" t="s">
        <v>60</v>
      </c>
      <c r="M473" s="20" t="s">
        <v>60</v>
      </c>
      <c r="N473" s="20" t="s">
        <v>37</v>
      </c>
      <c r="O473" s="20">
        <v>2</v>
      </c>
      <c r="P473" s="20">
        <v>3</v>
      </c>
      <c r="Q473" s="13">
        <v>0.67549714050132492</v>
      </c>
      <c r="R473" s="20" t="s">
        <v>249</v>
      </c>
      <c r="S473" s="20">
        <v>-1.053493826097267</v>
      </c>
      <c r="T473" s="20" t="s">
        <v>60</v>
      </c>
      <c r="U473" s="20" t="s">
        <v>60</v>
      </c>
      <c r="V473" s="20"/>
      <c r="W473" s="20"/>
      <c r="X473" s="20" t="s">
        <v>60</v>
      </c>
      <c r="Y473" s="20" t="s">
        <v>412</v>
      </c>
      <c r="Z473" s="20" t="s">
        <v>60</v>
      </c>
      <c r="AA473" s="20" t="s">
        <v>491</v>
      </c>
    </row>
    <row r="474" spans="1:27" x14ac:dyDescent="0.2">
      <c r="A474" s="1">
        <v>46000</v>
      </c>
      <c r="B474" s="20" t="s">
        <v>326</v>
      </c>
      <c r="C474" s="20" t="s">
        <v>23</v>
      </c>
      <c r="D474" s="20" t="s">
        <v>17</v>
      </c>
      <c r="E474" s="20" t="s">
        <v>968</v>
      </c>
      <c r="F474" s="20" t="s">
        <v>23</v>
      </c>
      <c r="G474" s="20">
        <v>2</v>
      </c>
      <c r="H474" s="20">
        <v>3</v>
      </c>
      <c r="I474" s="13">
        <v>0.6</v>
      </c>
      <c r="J474" s="20" t="s">
        <v>249</v>
      </c>
      <c r="L474" s="20" t="s">
        <v>60</v>
      </c>
      <c r="M474" s="20" t="s">
        <v>60</v>
      </c>
      <c r="N474" s="20" t="s">
        <v>23</v>
      </c>
      <c r="O474" s="20">
        <v>2</v>
      </c>
      <c r="P474" s="20">
        <v>3</v>
      </c>
      <c r="Q474" s="13">
        <v>0.48701847108865748</v>
      </c>
      <c r="R474" s="20" t="s">
        <v>249</v>
      </c>
      <c r="S474" s="20">
        <v>-0.29173547957376961</v>
      </c>
      <c r="T474" s="20" t="s">
        <v>60</v>
      </c>
      <c r="U474" s="20" t="s">
        <v>60</v>
      </c>
      <c r="V474" s="20"/>
      <c r="W474" s="20"/>
      <c r="X474" s="20" t="s">
        <v>60</v>
      </c>
      <c r="Y474" s="20" t="s">
        <v>412</v>
      </c>
      <c r="Z474" s="20" t="s">
        <v>60</v>
      </c>
      <c r="AA474" s="20" t="s">
        <v>491</v>
      </c>
    </row>
    <row r="475" spans="1:27" x14ac:dyDescent="0.2">
      <c r="A475" s="1">
        <v>46000</v>
      </c>
      <c r="B475" s="20" t="s">
        <v>334</v>
      </c>
      <c r="C475" s="20" t="s">
        <v>28</v>
      </c>
      <c r="D475" s="20" t="s">
        <v>25</v>
      </c>
      <c r="E475" s="20" t="s">
        <v>969</v>
      </c>
      <c r="F475" s="20" t="s">
        <v>25</v>
      </c>
      <c r="G475" s="20">
        <v>2</v>
      </c>
      <c r="H475" s="20">
        <v>3</v>
      </c>
      <c r="I475" s="13">
        <v>0.6</v>
      </c>
      <c r="J475" s="20" t="s">
        <v>249</v>
      </c>
      <c r="L475" s="20" t="s">
        <v>60</v>
      </c>
      <c r="M475" s="20" t="s">
        <v>60</v>
      </c>
      <c r="N475" s="20" t="s">
        <v>25</v>
      </c>
      <c r="O475" s="20">
        <v>2</v>
      </c>
      <c r="P475" s="20">
        <v>3</v>
      </c>
      <c r="Q475" s="13">
        <v>0.71323959221145916</v>
      </c>
      <c r="R475" s="20" t="s">
        <v>249</v>
      </c>
      <c r="S475" s="20">
        <v>1.0705652906022549</v>
      </c>
      <c r="T475" s="20" t="s">
        <v>60</v>
      </c>
      <c r="U475" s="20" t="s">
        <v>60</v>
      </c>
      <c r="V475" s="20"/>
      <c r="W475" s="20"/>
      <c r="X475" s="20" t="s">
        <v>60</v>
      </c>
      <c r="Y475" s="20" t="s">
        <v>412</v>
      </c>
      <c r="Z475" s="20" t="s">
        <v>60</v>
      </c>
      <c r="AA475" s="20" t="s">
        <v>491</v>
      </c>
    </row>
    <row r="476" spans="1:27" x14ac:dyDescent="0.2">
      <c r="A476" s="1">
        <v>46000</v>
      </c>
      <c r="B476" s="20" t="s">
        <v>328</v>
      </c>
      <c r="C476" s="20" t="s">
        <v>20</v>
      </c>
      <c r="D476" s="20" t="s">
        <v>30</v>
      </c>
      <c r="E476" s="20" t="s">
        <v>970</v>
      </c>
      <c r="F476" s="20" t="s">
        <v>30</v>
      </c>
      <c r="G476" s="20">
        <v>2</v>
      </c>
      <c r="H476" s="20">
        <v>3</v>
      </c>
      <c r="I476" s="13">
        <v>0.6</v>
      </c>
      <c r="J476" s="20" t="s">
        <v>249</v>
      </c>
      <c r="L476" s="20" t="s">
        <v>60</v>
      </c>
      <c r="M476" s="20" t="s">
        <v>60</v>
      </c>
      <c r="N476" s="20" t="s">
        <v>30</v>
      </c>
      <c r="O476" s="20">
        <v>2</v>
      </c>
      <c r="P476" s="20">
        <v>3</v>
      </c>
      <c r="Q476" s="13">
        <v>0.54623635694460582</v>
      </c>
      <c r="R476" s="20" t="s">
        <v>249</v>
      </c>
      <c r="S476" s="20">
        <v>5.3409581802466237E-2</v>
      </c>
      <c r="T476" s="20" t="s">
        <v>60</v>
      </c>
      <c r="U476" s="20" t="s">
        <v>60</v>
      </c>
      <c r="V476" s="20"/>
      <c r="W476" s="20"/>
      <c r="X476" s="20" t="s">
        <v>60</v>
      </c>
      <c r="Y476" s="20" t="s">
        <v>412</v>
      </c>
      <c r="Z476" s="20" t="s">
        <v>60</v>
      </c>
      <c r="AA476" s="20" t="s">
        <v>491</v>
      </c>
    </row>
    <row r="477" spans="1:27" x14ac:dyDescent="0.2">
      <c r="A477" s="1">
        <v>46001</v>
      </c>
      <c r="B477" s="20" t="s">
        <v>416</v>
      </c>
      <c r="C477" s="20" t="s">
        <v>26</v>
      </c>
      <c r="D477" s="20" t="s">
        <v>16</v>
      </c>
      <c r="E477" s="20" t="s">
        <v>971</v>
      </c>
      <c r="F477" s="20" t="s">
        <v>26</v>
      </c>
      <c r="G477" s="20">
        <v>2</v>
      </c>
      <c r="H477" s="20">
        <v>3</v>
      </c>
      <c r="I477" s="13">
        <v>0.6</v>
      </c>
      <c r="J477" s="20" t="s">
        <v>249</v>
      </c>
      <c r="L477" s="20" t="s">
        <v>60</v>
      </c>
      <c r="M477" s="20" t="s">
        <v>60</v>
      </c>
      <c r="N477" s="20" t="s">
        <v>26</v>
      </c>
      <c r="O477" s="20">
        <v>2</v>
      </c>
      <c r="P477" s="20">
        <v>3</v>
      </c>
      <c r="Q477" s="13">
        <v>0.47641023191076259</v>
      </c>
      <c r="R477" s="20" t="s">
        <v>249</v>
      </c>
      <c r="S477" s="20">
        <v>-0.1405409650891489</v>
      </c>
      <c r="T477" s="20" t="s">
        <v>60</v>
      </c>
      <c r="U477" s="20" t="s">
        <v>60</v>
      </c>
      <c r="V477" s="20"/>
      <c r="W477" s="20"/>
      <c r="X477" s="20" t="s">
        <v>60</v>
      </c>
      <c r="Y477" s="20" t="s">
        <v>412</v>
      </c>
      <c r="Z477" s="20" t="s">
        <v>60</v>
      </c>
      <c r="AA477" s="20" t="s">
        <v>491</v>
      </c>
    </row>
    <row r="478" spans="1:27" x14ac:dyDescent="0.2">
      <c r="A478" s="1">
        <v>46001</v>
      </c>
      <c r="B478" s="20" t="s">
        <v>334</v>
      </c>
      <c r="C478" s="20" t="s">
        <v>15</v>
      </c>
      <c r="D478" s="20" t="s">
        <v>10</v>
      </c>
      <c r="E478" s="20" t="s">
        <v>972</v>
      </c>
      <c r="F478" s="20" t="s">
        <v>10</v>
      </c>
      <c r="G478" s="20">
        <v>2</v>
      </c>
      <c r="H478" s="20">
        <v>3</v>
      </c>
      <c r="I478" s="13">
        <v>0.6</v>
      </c>
      <c r="J478" s="20" t="s">
        <v>249</v>
      </c>
      <c r="L478" s="20" t="s">
        <v>60</v>
      </c>
      <c r="M478" s="20" t="s">
        <v>60</v>
      </c>
      <c r="N478" s="20" t="s">
        <v>10</v>
      </c>
      <c r="O478" s="20">
        <v>2</v>
      </c>
      <c r="P478" s="20">
        <v>3</v>
      </c>
      <c r="Q478" s="13">
        <v>0.45903741754486188</v>
      </c>
      <c r="R478" s="20" t="s">
        <v>249</v>
      </c>
      <c r="S478" s="20">
        <v>0.16373847822279139</v>
      </c>
      <c r="T478" s="20" t="s">
        <v>60</v>
      </c>
      <c r="U478" s="20" t="s">
        <v>60</v>
      </c>
      <c r="V478" s="20"/>
      <c r="W478" s="20"/>
      <c r="X478" s="20" t="s">
        <v>60</v>
      </c>
      <c r="Y478" s="20" t="s">
        <v>412</v>
      </c>
      <c r="Z478" s="20" t="s">
        <v>60</v>
      </c>
      <c r="AA478" s="20" t="s">
        <v>491</v>
      </c>
    </row>
    <row r="479" spans="1:27" x14ac:dyDescent="0.2">
      <c r="A479" s="1">
        <v>46001</v>
      </c>
      <c r="B479" s="20" t="s">
        <v>322</v>
      </c>
      <c r="C479" s="20" t="s">
        <v>13</v>
      </c>
      <c r="D479" s="20" t="s">
        <v>32</v>
      </c>
      <c r="E479" s="20" t="s">
        <v>973</v>
      </c>
      <c r="F479" s="20" t="s">
        <v>13</v>
      </c>
      <c r="G479" s="20">
        <v>2</v>
      </c>
      <c r="H479" s="20">
        <v>3</v>
      </c>
      <c r="I479" s="13">
        <v>0.6</v>
      </c>
      <c r="J479" s="20" t="s">
        <v>249</v>
      </c>
      <c r="L479" s="20" t="s">
        <v>60</v>
      </c>
      <c r="M479" s="20" t="s">
        <v>60</v>
      </c>
      <c r="N479" s="20" t="s">
        <v>13</v>
      </c>
      <c r="O479" s="20">
        <v>2</v>
      </c>
      <c r="P479" s="20">
        <v>3</v>
      </c>
      <c r="Q479" s="13">
        <v>0.55681391404194935</v>
      </c>
      <c r="R479" s="20" t="s">
        <v>249</v>
      </c>
      <c r="S479" s="20">
        <v>-0.26119288767771393</v>
      </c>
      <c r="T479" s="20" t="s">
        <v>60</v>
      </c>
      <c r="U479" s="20" t="s">
        <v>60</v>
      </c>
      <c r="V479" s="20"/>
      <c r="W479" s="20"/>
      <c r="X479" s="20" t="s">
        <v>60</v>
      </c>
      <c r="Y479" s="20" t="s">
        <v>412</v>
      </c>
      <c r="Z479" s="20" t="s">
        <v>60</v>
      </c>
      <c r="AA479" s="20" t="s">
        <v>491</v>
      </c>
    </row>
    <row r="480" spans="1:27" x14ac:dyDescent="0.2">
      <c r="A480" s="1">
        <v>46001</v>
      </c>
      <c r="B480" s="20" t="s">
        <v>326</v>
      </c>
      <c r="C480" s="20" t="s">
        <v>11</v>
      </c>
      <c r="D480" s="20" t="s">
        <v>55</v>
      </c>
      <c r="E480" s="20" t="s">
        <v>974</v>
      </c>
      <c r="F480" s="20" t="s">
        <v>55</v>
      </c>
      <c r="G480" s="20">
        <v>2</v>
      </c>
      <c r="H480" s="20">
        <v>3</v>
      </c>
      <c r="I480" s="13">
        <v>0.6</v>
      </c>
      <c r="J480" s="20" t="s">
        <v>249</v>
      </c>
      <c r="L480" s="20" t="s">
        <v>60</v>
      </c>
      <c r="M480" s="20" t="s">
        <v>60</v>
      </c>
      <c r="N480" s="20" t="s">
        <v>55</v>
      </c>
      <c r="O480" s="20">
        <v>2</v>
      </c>
      <c r="P480" s="20">
        <v>3</v>
      </c>
      <c r="Q480" s="13">
        <v>0.58555665422643954</v>
      </c>
      <c r="R480" s="20" t="s">
        <v>249</v>
      </c>
      <c r="S480" s="20">
        <v>4.3895750966086562E-2</v>
      </c>
      <c r="T480" s="20" t="s">
        <v>60</v>
      </c>
      <c r="U480" s="20" t="s">
        <v>60</v>
      </c>
      <c r="V480" s="20"/>
      <c r="W480" s="20"/>
      <c r="X480" s="20" t="s">
        <v>60</v>
      </c>
      <c r="Y480" s="20" t="s">
        <v>412</v>
      </c>
      <c r="Z480" s="20" t="s">
        <v>60</v>
      </c>
      <c r="AA480" s="20" t="s">
        <v>491</v>
      </c>
    </row>
    <row r="481" spans="1:27" x14ac:dyDescent="0.2">
      <c r="A481" s="1">
        <v>46002</v>
      </c>
      <c r="B481" s="20" t="s">
        <v>328</v>
      </c>
      <c r="C481" s="20" t="s">
        <v>25</v>
      </c>
      <c r="D481" s="20" t="s">
        <v>22</v>
      </c>
      <c r="E481" s="20" t="s">
        <v>975</v>
      </c>
      <c r="F481" s="20" t="s">
        <v>22</v>
      </c>
      <c r="G481" s="20">
        <v>2</v>
      </c>
      <c r="H481" s="20">
        <v>3</v>
      </c>
      <c r="I481" s="13">
        <v>0.6</v>
      </c>
      <c r="J481" s="20" t="s">
        <v>249</v>
      </c>
      <c r="L481" s="20" t="s">
        <v>60</v>
      </c>
      <c r="M481" s="20" t="s">
        <v>60</v>
      </c>
      <c r="N481" s="20" t="s">
        <v>22</v>
      </c>
      <c r="O481" s="20">
        <v>2</v>
      </c>
      <c r="P481" s="20">
        <v>3</v>
      </c>
      <c r="Q481" s="13">
        <v>0.50125275400568248</v>
      </c>
      <c r="R481" s="20" t="s">
        <v>249</v>
      </c>
      <c r="S481" s="20">
        <v>6.4932844448366722E-2</v>
      </c>
      <c r="T481" s="20" t="s">
        <v>60</v>
      </c>
      <c r="U481" s="20" t="s">
        <v>60</v>
      </c>
      <c r="V481" s="20"/>
      <c r="W481" s="20"/>
      <c r="X481" s="20" t="s">
        <v>60</v>
      </c>
      <c r="Y481" s="20" t="s">
        <v>412</v>
      </c>
      <c r="Z481" s="20" t="s">
        <v>60</v>
      </c>
      <c r="AA481" s="20" t="s">
        <v>491</v>
      </c>
    </row>
    <row r="482" spans="1:27" x14ac:dyDescent="0.2">
      <c r="A482" s="1">
        <v>46002</v>
      </c>
      <c r="B482" s="20" t="s">
        <v>324</v>
      </c>
      <c r="C482" s="20" t="s">
        <v>21</v>
      </c>
      <c r="D482" s="20" t="s">
        <v>40</v>
      </c>
      <c r="E482" s="20" t="s">
        <v>976</v>
      </c>
      <c r="F482" s="20" t="s">
        <v>21</v>
      </c>
      <c r="G482" s="20">
        <v>2</v>
      </c>
      <c r="H482" s="20">
        <v>3</v>
      </c>
      <c r="I482" s="13">
        <v>0.6</v>
      </c>
      <c r="J482" s="20" t="s">
        <v>249</v>
      </c>
      <c r="L482" s="20" t="s">
        <v>60</v>
      </c>
      <c r="M482" s="20" t="s">
        <v>60</v>
      </c>
      <c r="N482" s="20" t="s">
        <v>21</v>
      </c>
      <c r="O482" s="20">
        <v>2</v>
      </c>
      <c r="P482" s="20">
        <v>3</v>
      </c>
      <c r="Q482" s="13">
        <v>0.4634209273576268</v>
      </c>
      <c r="R482" s="20" t="s">
        <v>249</v>
      </c>
      <c r="S482" s="20">
        <v>-4.3571314411897488E-2</v>
      </c>
      <c r="T482" s="20" t="s">
        <v>60</v>
      </c>
      <c r="U482" s="20" t="s">
        <v>60</v>
      </c>
      <c r="V482" s="20"/>
      <c r="W482" s="20"/>
      <c r="X482" s="20" t="s">
        <v>60</v>
      </c>
      <c r="Y482" s="20" t="s">
        <v>412</v>
      </c>
      <c r="Z482" s="20" t="s">
        <v>60</v>
      </c>
      <c r="AA482" s="20" t="s">
        <v>491</v>
      </c>
    </row>
    <row r="483" spans="1:27" x14ac:dyDescent="0.2">
      <c r="A483" s="1">
        <v>46002</v>
      </c>
      <c r="B483" s="20" t="s">
        <v>328</v>
      </c>
      <c r="C483" s="20" t="s">
        <v>33</v>
      </c>
      <c r="D483" s="20" t="s">
        <v>19</v>
      </c>
      <c r="E483" s="20" t="s">
        <v>977</v>
      </c>
      <c r="F483" s="20" t="s">
        <v>33</v>
      </c>
      <c r="G483" s="20">
        <v>2</v>
      </c>
      <c r="H483" s="20">
        <v>3</v>
      </c>
      <c r="I483" s="13">
        <v>0.6</v>
      </c>
      <c r="J483" s="20" t="s">
        <v>249</v>
      </c>
      <c r="L483" s="20" t="s">
        <v>60</v>
      </c>
      <c r="M483" s="20" t="s">
        <v>60</v>
      </c>
      <c r="N483" s="20" t="s">
        <v>33</v>
      </c>
      <c r="O483" s="20">
        <v>2</v>
      </c>
      <c r="P483" s="20">
        <v>3</v>
      </c>
      <c r="Q483" s="13">
        <v>0.47555853632223422</v>
      </c>
      <c r="R483" s="20" t="s">
        <v>249</v>
      </c>
      <c r="S483" s="20">
        <v>-0.1332468500135747</v>
      </c>
      <c r="T483" s="20" t="s">
        <v>60</v>
      </c>
      <c r="U483" s="20" t="s">
        <v>60</v>
      </c>
      <c r="V483" s="20"/>
      <c r="W483" s="20"/>
      <c r="X483" s="20" t="s">
        <v>60</v>
      </c>
      <c r="Y483" s="20" t="s">
        <v>412</v>
      </c>
      <c r="Z483" s="20" t="s">
        <v>60</v>
      </c>
      <c r="AA483" s="20" t="s">
        <v>491</v>
      </c>
    </row>
    <row r="484" spans="1:27" x14ac:dyDescent="0.2">
      <c r="A484" s="1">
        <v>46002</v>
      </c>
      <c r="B484" s="20" t="s">
        <v>328</v>
      </c>
      <c r="C484" s="20" t="s">
        <v>18</v>
      </c>
      <c r="D484" s="20" t="s">
        <v>14</v>
      </c>
      <c r="E484" s="20" t="s">
        <v>978</v>
      </c>
      <c r="F484" s="20" t="s">
        <v>14</v>
      </c>
      <c r="G484" s="20">
        <v>2</v>
      </c>
      <c r="H484" s="20">
        <v>3</v>
      </c>
      <c r="I484" s="13">
        <v>0.6</v>
      </c>
      <c r="J484" s="20" t="s">
        <v>249</v>
      </c>
      <c r="L484" s="20" t="s">
        <v>60</v>
      </c>
      <c r="M484" s="20" t="s">
        <v>60</v>
      </c>
      <c r="N484" s="20" t="s">
        <v>14</v>
      </c>
      <c r="O484" s="20">
        <v>2</v>
      </c>
      <c r="P484" s="20">
        <v>3</v>
      </c>
      <c r="Q484" s="13">
        <v>0.53915598208090709</v>
      </c>
      <c r="R484" s="20" t="s">
        <v>249</v>
      </c>
      <c r="S484" s="20">
        <v>0.5005261556314976</v>
      </c>
      <c r="T484" s="20" t="s">
        <v>60</v>
      </c>
      <c r="U484" s="20" t="s">
        <v>60</v>
      </c>
      <c r="V484" s="20"/>
      <c r="W484" s="20"/>
      <c r="X484" s="20" t="s">
        <v>60</v>
      </c>
      <c r="Y484" s="20" t="s">
        <v>412</v>
      </c>
      <c r="Z484" s="20" t="s">
        <v>60</v>
      </c>
      <c r="AA484" s="20" t="s">
        <v>491</v>
      </c>
    </row>
    <row r="485" spans="1:27" x14ac:dyDescent="0.2">
      <c r="A485" s="1">
        <v>46002</v>
      </c>
      <c r="B485" s="20" t="s">
        <v>328</v>
      </c>
      <c r="C485" s="20" t="s">
        <v>20</v>
      </c>
      <c r="D485" s="20" t="s">
        <v>27</v>
      </c>
      <c r="E485" s="20" t="s">
        <v>979</v>
      </c>
      <c r="F485" s="20" t="s">
        <v>20</v>
      </c>
      <c r="G485" s="20">
        <v>2</v>
      </c>
      <c r="H485" s="20">
        <v>3</v>
      </c>
      <c r="I485" s="13">
        <v>0.6</v>
      </c>
      <c r="J485" s="20" t="s">
        <v>249</v>
      </c>
      <c r="L485" s="20" t="s">
        <v>60</v>
      </c>
      <c r="M485" s="20" t="s">
        <v>60</v>
      </c>
      <c r="N485" s="20" t="s">
        <v>20</v>
      </c>
      <c r="O485" s="20">
        <v>2</v>
      </c>
      <c r="P485" s="20">
        <v>3</v>
      </c>
      <c r="Q485" s="13">
        <v>0.45601323926309539</v>
      </c>
      <c r="R485" s="20" t="s">
        <v>249</v>
      </c>
      <c r="S485" s="20">
        <v>-8.5898004262517119E-2</v>
      </c>
      <c r="T485" s="20" t="s">
        <v>60</v>
      </c>
      <c r="U485" s="20" t="s">
        <v>60</v>
      </c>
      <c r="V485" s="20"/>
      <c r="W485" s="20"/>
      <c r="X485" s="20" t="s">
        <v>60</v>
      </c>
      <c r="Y485" s="20" t="s">
        <v>412</v>
      </c>
      <c r="Z485" s="20" t="s">
        <v>60</v>
      </c>
      <c r="AA485" s="20" t="s">
        <v>491</v>
      </c>
    </row>
    <row r="486" spans="1:27" x14ac:dyDescent="0.2">
      <c r="A486" s="1">
        <v>46002</v>
      </c>
      <c r="B486" s="20" t="s">
        <v>328</v>
      </c>
      <c r="C486" s="20" t="s">
        <v>31</v>
      </c>
      <c r="D486" s="20" t="s">
        <v>30</v>
      </c>
      <c r="E486" s="20" t="s">
        <v>980</v>
      </c>
      <c r="F486" s="20" t="s">
        <v>31</v>
      </c>
      <c r="G486" s="20">
        <v>2</v>
      </c>
      <c r="H486" s="20">
        <v>3</v>
      </c>
      <c r="I486" s="13">
        <v>0.6</v>
      </c>
      <c r="J486" s="20" t="s">
        <v>249</v>
      </c>
      <c r="L486" s="20" t="s">
        <v>60</v>
      </c>
      <c r="M486" s="20" t="s">
        <v>60</v>
      </c>
      <c r="N486" s="20" t="s">
        <v>31</v>
      </c>
      <c r="O486" s="20">
        <v>2</v>
      </c>
      <c r="P486" s="20">
        <v>3</v>
      </c>
      <c r="Q486" s="13">
        <v>0.52394116372182864</v>
      </c>
      <c r="R486" s="20" t="s">
        <v>249</v>
      </c>
      <c r="S486" s="20">
        <v>-0.36973427035743639</v>
      </c>
      <c r="T486" s="20" t="s">
        <v>60</v>
      </c>
      <c r="U486" s="20" t="s">
        <v>60</v>
      </c>
      <c r="V486" s="20"/>
      <c r="W486" s="20"/>
      <c r="X486" s="20" t="s">
        <v>60</v>
      </c>
      <c r="Y486" s="20" t="s">
        <v>412</v>
      </c>
      <c r="Z486" s="20" t="s">
        <v>60</v>
      </c>
      <c r="AA486" s="20" t="s">
        <v>491</v>
      </c>
    </row>
    <row r="487" spans="1:27" x14ac:dyDescent="0.2">
      <c r="A487" s="1">
        <v>46002</v>
      </c>
      <c r="B487" s="20" t="s">
        <v>322</v>
      </c>
      <c r="C487" s="20" t="s">
        <v>23</v>
      </c>
      <c r="D487" s="20" t="s">
        <v>38</v>
      </c>
      <c r="E487" s="20" t="s">
        <v>981</v>
      </c>
      <c r="F487" s="20" t="s">
        <v>23</v>
      </c>
      <c r="G487" s="20">
        <v>2</v>
      </c>
      <c r="H487" s="20">
        <v>3</v>
      </c>
      <c r="I487" s="13">
        <v>0.6</v>
      </c>
      <c r="J487" s="20" t="s">
        <v>249</v>
      </c>
      <c r="L487" s="20" t="s">
        <v>60</v>
      </c>
      <c r="M487" s="20" t="s">
        <v>60</v>
      </c>
      <c r="N487" s="20" t="s">
        <v>23</v>
      </c>
      <c r="O487" s="20">
        <v>2</v>
      </c>
      <c r="P487" s="20">
        <v>3</v>
      </c>
      <c r="Q487" s="13">
        <v>0.50923579545410647</v>
      </c>
      <c r="R487" s="20" t="s">
        <v>249</v>
      </c>
      <c r="S487" s="20">
        <v>-0.42166657044705202</v>
      </c>
      <c r="T487" s="20" t="s">
        <v>60</v>
      </c>
      <c r="U487" s="20" t="s">
        <v>60</v>
      </c>
      <c r="V487" s="20"/>
      <c r="W487" s="20"/>
      <c r="X487" s="20" t="s">
        <v>60</v>
      </c>
      <c r="Y487" s="20" t="s">
        <v>412</v>
      </c>
      <c r="Z487" s="20" t="s">
        <v>60</v>
      </c>
      <c r="AA487" s="20" t="s">
        <v>491</v>
      </c>
    </row>
    <row r="488" spans="1:27" x14ac:dyDescent="0.2">
      <c r="A488" s="1">
        <v>46002</v>
      </c>
      <c r="B488" s="20" t="s">
        <v>328</v>
      </c>
      <c r="C488" s="20" t="s">
        <v>37</v>
      </c>
      <c r="D488" s="20" t="s">
        <v>24</v>
      </c>
      <c r="E488" s="20" t="s">
        <v>982</v>
      </c>
      <c r="F488" s="20" t="s">
        <v>37</v>
      </c>
      <c r="G488" s="20">
        <v>2</v>
      </c>
      <c r="H488" s="20">
        <v>3</v>
      </c>
      <c r="I488" s="13">
        <v>0.6</v>
      </c>
      <c r="J488" s="20" t="s">
        <v>249</v>
      </c>
      <c r="L488" s="20" t="s">
        <v>60</v>
      </c>
      <c r="M488" s="20" t="s">
        <v>60</v>
      </c>
      <c r="N488" s="20" t="s">
        <v>37</v>
      </c>
      <c r="O488" s="20">
        <v>2</v>
      </c>
      <c r="P488" s="20">
        <v>3</v>
      </c>
      <c r="Q488" s="13">
        <v>0.52419189406112554</v>
      </c>
      <c r="R488" s="20" t="s">
        <v>249</v>
      </c>
      <c r="S488" s="20">
        <v>-0.45907394705883758</v>
      </c>
      <c r="T488" s="20" t="s">
        <v>60</v>
      </c>
      <c r="U488" s="20" t="s">
        <v>60</v>
      </c>
      <c r="V488" s="20"/>
      <c r="W488" s="20"/>
      <c r="X488" s="20" t="s">
        <v>60</v>
      </c>
      <c r="Y488" s="20" t="s">
        <v>412</v>
      </c>
      <c r="Z488" s="20" t="s">
        <v>60</v>
      </c>
      <c r="AA488" s="20" t="s">
        <v>491</v>
      </c>
    </row>
    <row r="489" spans="1:27" x14ac:dyDescent="0.2">
      <c r="A489" s="1">
        <v>46002</v>
      </c>
      <c r="B489" s="20" t="s">
        <v>324</v>
      </c>
      <c r="C489" s="20" t="s">
        <v>39</v>
      </c>
      <c r="D489" s="20" t="s">
        <v>34</v>
      </c>
      <c r="E489" s="20" t="s">
        <v>983</v>
      </c>
      <c r="F489" s="20" t="s">
        <v>39</v>
      </c>
      <c r="G489" s="20">
        <v>2</v>
      </c>
      <c r="H489" s="20">
        <v>3</v>
      </c>
      <c r="I489" s="13">
        <v>0.6</v>
      </c>
      <c r="J489" s="20" t="s">
        <v>249</v>
      </c>
      <c r="L489" s="20" t="s">
        <v>60</v>
      </c>
      <c r="M489" s="20" t="s">
        <v>60</v>
      </c>
      <c r="N489" s="20" t="s">
        <v>39</v>
      </c>
      <c r="O489" s="20">
        <v>2</v>
      </c>
      <c r="P489" s="20">
        <v>3</v>
      </c>
      <c r="Q489" s="13">
        <v>0.61068325047565086</v>
      </c>
      <c r="R489" s="20" t="s">
        <v>249</v>
      </c>
      <c r="S489" s="20">
        <v>-0.41866654038143608</v>
      </c>
      <c r="T489" s="20" t="s">
        <v>60</v>
      </c>
      <c r="U489" s="20" t="s">
        <v>60</v>
      </c>
      <c r="V489" s="20"/>
      <c r="W489" s="20"/>
      <c r="X489" s="20" t="s">
        <v>60</v>
      </c>
      <c r="Y489" s="20" t="s">
        <v>412</v>
      </c>
      <c r="Z489" s="20" t="s">
        <v>60</v>
      </c>
      <c r="AA489" s="20" t="s">
        <v>491</v>
      </c>
    </row>
    <row r="490" spans="1:27" x14ac:dyDescent="0.2">
      <c r="A490" s="1">
        <v>46002</v>
      </c>
      <c r="B490" s="20" t="s">
        <v>326</v>
      </c>
      <c r="C490" s="20" t="s">
        <v>26</v>
      </c>
      <c r="D490" s="20" t="s">
        <v>17</v>
      </c>
      <c r="E490" s="20" t="s">
        <v>984</v>
      </c>
      <c r="F490" s="20" t="s">
        <v>17</v>
      </c>
      <c r="G490" s="20">
        <v>2</v>
      </c>
      <c r="H490" s="20">
        <v>3</v>
      </c>
      <c r="I490" s="13">
        <v>0.6</v>
      </c>
      <c r="J490" s="20" t="s">
        <v>249</v>
      </c>
      <c r="L490" s="20" t="s">
        <v>60</v>
      </c>
      <c r="M490" s="20" t="s">
        <v>60</v>
      </c>
      <c r="N490" s="20" t="s">
        <v>17</v>
      </c>
      <c r="O490" s="20">
        <v>2</v>
      </c>
      <c r="P490" s="20">
        <v>3</v>
      </c>
      <c r="Q490" s="13">
        <v>0.55959742195756734</v>
      </c>
      <c r="R490" s="20" t="s">
        <v>249</v>
      </c>
      <c r="S490" s="20">
        <v>0.1074936497179502</v>
      </c>
      <c r="T490" s="20" t="s">
        <v>60</v>
      </c>
      <c r="U490" s="20" t="s">
        <v>60</v>
      </c>
      <c r="V490" s="20"/>
      <c r="W490" s="20"/>
      <c r="X490" s="20" t="s">
        <v>60</v>
      </c>
      <c r="Y490" s="20" t="s">
        <v>412</v>
      </c>
      <c r="Z490" s="20" t="s">
        <v>60</v>
      </c>
      <c r="AA490" s="20" t="s">
        <v>491</v>
      </c>
    </row>
    <row r="491" spans="1:27" x14ac:dyDescent="0.2">
      <c r="A491" s="1">
        <v>46002</v>
      </c>
      <c r="B491" s="20" t="s">
        <v>326</v>
      </c>
      <c r="C491" s="20" t="s">
        <v>11</v>
      </c>
      <c r="D491" s="20" t="s">
        <v>12</v>
      </c>
      <c r="E491" s="20" t="s">
        <v>985</v>
      </c>
      <c r="F491" s="20" t="s">
        <v>12</v>
      </c>
      <c r="G491" s="20">
        <v>2</v>
      </c>
      <c r="H491" s="20">
        <v>3</v>
      </c>
      <c r="I491" s="13">
        <v>0.6</v>
      </c>
      <c r="J491" s="20" t="s">
        <v>249</v>
      </c>
      <c r="L491" s="20" t="s">
        <v>60</v>
      </c>
      <c r="M491" s="20" t="s">
        <v>60</v>
      </c>
      <c r="N491" s="20" t="s">
        <v>12</v>
      </c>
      <c r="O491" s="20">
        <v>2</v>
      </c>
      <c r="P491" s="20">
        <v>3</v>
      </c>
      <c r="Q491" s="13">
        <v>0.88707480465625443</v>
      </c>
      <c r="R491" s="20" t="s">
        <v>249</v>
      </c>
      <c r="S491" s="20">
        <v>2.078922698414245</v>
      </c>
      <c r="T491" s="20" t="s">
        <v>60</v>
      </c>
      <c r="U491" s="20" t="s">
        <v>60</v>
      </c>
      <c r="V491" s="20"/>
      <c r="W491" s="20"/>
      <c r="X491" s="20" t="s">
        <v>60</v>
      </c>
      <c r="Y491" s="20" t="s">
        <v>412</v>
      </c>
      <c r="Z491" s="20" t="s">
        <v>60</v>
      </c>
      <c r="AA491" s="20" t="s">
        <v>491</v>
      </c>
    </row>
    <row r="492" spans="1:27" x14ac:dyDescent="0.2">
      <c r="A492" s="1">
        <v>46002</v>
      </c>
      <c r="B492" s="20" t="s">
        <v>328</v>
      </c>
      <c r="C492" s="20" t="s">
        <v>36</v>
      </c>
      <c r="D492" s="20" t="s">
        <v>28</v>
      </c>
      <c r="E492" s="20" t="s">
        <v>986</v>
      </c>
      <c r="F492" s="20" t="s">
        <v>36</v>
      </c>
      <c r="G492" s="20">
        <v>2</v>
      </c>
      <c r="H492" s="20">
        <v>3</v>
      </c>
      <c r="I492" s="13">
        <v>0.6</v>
      </c>
      <c r="J492" s="20" t="s">
        <v>249</v>
      </c>
      <c r="L492" s="20" t="s">
        <v>60</v>
      </c>
      <c r="M492" s="20" t="s">
        <v>60</v>
      </c>
      <c r="N492" s="20" t="s">
        <v>36</v>
      </c>
      <c r="O492" s="20">
        <v>2</v>
      </c>
      <c r="P492" s="20">
        <v>3</v>
      </c>
      <c r="Q492" s="13">
        <v>0.46160114896627552</v>
      </c>
      <c r="R492" s="20" t="s">
        <v>249</v>
      </c>
      <c r="S492" s="20">
        <v>-1.3712604562539201E-2</v>
      </c>
      <c r="T492" s="20" t="s">
        <v>60</v>
      </c>
      <c r="U492" s="20" t="s">
        <v>60</v>
      </c>
      <c r="V492" s="20"/>
      <c r="W492" s="20"/>
      <c r="X492" s="20" t="s">
        <v>60</v>
      </c>
      <c r="Y492" s="20" t="s">
        <v>412</v>
      </c>
      <c r="Z492" s="20" t="s">
        <v>60</v>
      </c>
      <c r="AA492" s="20" t="s">
        <v>491</v>
      </c>
    </row>
    <row r="493" spans="1:27" x14ac:dyDescent="0.2">
      <c r="A493" s="1">
        <v>46002</v>
      </c>
      <c r="B493" s="20" t="s">
        <v>324</v>
      </c>
      <c r="C493" s="20" t="s">
        <v>35</v>
      </c>
      <c r="D493" s="20" t="s">
        <v>29</v>
      </c>
      <c r="E493" s="20" t="s">
        <v>987</v>
      </c>
      <c r="F493" s="20" t="s">
        <v>29</v>
      </c>
      <c r="G493" s="20">
        <v>2</v>
      </c>
      <c r="H493" s="20">
        <v>3</v>
      </c>
      <c r="I493" s="13">
        <v>0.6</v>
      </c>
      <c r="J493" s="20" t="s">
        <v>249</v>
      </c>
      <c r="L493" s="20" t="s">
        <v>60</v>
      </c>
      <c r="M493" s="20" t="s">
        <v>60</v>
      </c>
      <c r="N493" s="20" t="s">
        <v>29</v>
      </c>
      <c r="O493" s="20">
        <v>2</v>
      </c>
      <c r="P493" s="20">
        <v>3</v>
      </c>
      <c r="Q493" s="13">
        <v>0.54694304707093155</v>
      </c>
      <c r="R493" s="20" t="s">
        <v>249</v>
      </c>
      <c r="S493" s="20">
        <v>5.9461837060823967E-2</v>
      </c>
      <c r="T493" s="20" t="s">
        <v>60</v>
      </c>
      <c r="U493" s="20" t="s">
        <v>60</v>
      </c>
      <c r="V493" s="20"/>
      <c r="W493" s="20"/>
      <c r="X493" s="20" t="s">
        <v>60</v>
      </c>
      <c r="Y493" s="20" t="s">
        <v>412</v>
      </c>
      <c r="Z493" s="20" t="s">
        <v>60</v>
      </c>
      <c r="AA493" s="20" t="s">
        <v>491</v>
      </c>
    </row>
    <row r="494" spans="1:27" x14ac:dyDescent="0.2">
      <c r="A494" s="1">
        <v>46003</v>
      </c>
      <c r="B494" s="20" t="s">
        <v>324</v>
      </c>
      <c r="C494" s="20" t="s">
        <v>10</v>
      </c>
      <c r="D494" s="20" t="s">
        <v>35</v>
      </c>
      <c r="E494" s="20" t="s">
        <v>568</v>
      </c>
      <c r="F494" s="20" t="s">
        <v>10</v>
      </c>
      <c r="G494" s="20">
        <v>2</v>
      </c>
      <c r="H494" s="20">
        <v>3</v>
      </c>
      <c r="I494" s="13">
        <v>0.6</v>
      </c>
      <c r="J494" s="20" t="s">
        <v>249</v>
      </c>
      <c r="L494" s="20" t="s">
        <v>60</v>
      </c>
      <c r="M494" s="20" t="s">
        <v>60</v>
      </c>
      <c r="N494" s="20" t="s">
        <v>10</v>
      </c>
      <c r="O494" s="20">
        <v>2</v>
      </c>
      <c r="P494" s="20">
        <v>3</v>
      </c>
      <c r="Q494" s="13">
        <v>0.59642576877361209</v>
      </c>
      <c r="R494" s="20" t="s">
        <v>249</v>
      </c>
      <c r="S494" s="20">
        <v>-1.1683813678402459</v>
      </c>
      <c r="T494" s="20" t="s">
        <v>60</v>
      </c>
      <c r="U494" s="20" t="s">
        <v>60</v>
      </c>
      <c r="V494" s="20"/>
      <c r="W494" s="20"/>
      <c r="X494" s="20" t="s">
        <v>60</v>
      </c>
      <c r="Y494" s="20" t="s">
        <v>412</v>
      </c>
      <c r="Z494" s="20" t="s">
        <v>60</v>
      </c>
      <c r="AA494" s="20" t="s">
        <v>491</v>
      </c>
    </row>
    <row r="495" spans="1:27" x14ac:dyDescent="0.2">
      <c r="A495" s="1">
        <v>46003</v>
      </c>
      <c r="B495" s="20" t="s">
        <v>326</v>
      </c>
      <c r="C495" s="20" t="s">
        <v>32</v>
      </c>
      <c r="D495" s="20" t="s">
        <v>55</v>
      </c>
      <c r="E495" s="20" t="s">
        <v>988</v>
      </c>
      <c r="F495" s="20" t="s">
        <v>55</v>
      </c>
      <c r="G495" s="20">
        <v>2</v>
      </c>
      <c r="H495" s="20">
        <v>3</v>
      </c>
      <c r="I495" s="13">
        <v>0.6</v>
      </c>
      <c r="J495" s="20" t="s">
        <v>249</v>
      </c>
      <c r="L495" s="20" t="s">
        <v>60</v>
      </c>
      <c r="M495" s="20" t="s">
        <v>60</v>
      </c>
      <c r="N495" s="20" t="s">
        <v>55</v>
      </c>
      <c r="O495" s="20">
        <v>2</v>
      </c>
      <c r="P495" s="20">
        <v>3</v>
      </c>
      <c r="Q495" s="13">
        <v>0.6150116090397193</v>
      </c>
      <c r="R495" s="20" t="s">
        <v>249</v>
      </c>
      <c r="S495" s="20">
        <v>0.29615469518006998</v>
      </c>
      <c r="T495" s="20" t="s">
        <v>60</v>
      </c>
      <c r="U495" s="20" t="s">
        <v>60</v>
      </c>
      <c r="V495" s="20"/>
      <c r="W495" s="20"/>
      <c r="X495" s="20" t="s">
        <v>60</v>
      </c>
      <c r="Y495" s="20" t="s">
        <v>412</v>
      </c>
      <c r="Z495" s="20" t="s">
        <v>60</v>
      </c>
      <c r="AA495" s="20" t="s">
        <v>491</v>
      </c>
    </row>
    <row r="496" spans="1:27" x14ac:dyDescent="0.2">
      <c r="A496" s="1">
        <v>46004</v>
      </c>
      <c r="B496" s="20" t="s">
        <v>328</v>
      </c>
      <c r="C496" s="20" t="s">
        <v>22</v>
      </c>
      <c r="D496" s="20" t="s">
        <v>40</v>
      </c>
      <c r="E496" s="20" t="s">
        <v>989</v>
      </c>
      <c r="F496" s="20" t="s">
        <v>22</v>
      </c>
      <c r="G496" s="20">
        <v>2</v>
      </c>
      <c r="H496" s="20">
        <v>3</v>
      </c>
      <c r="I496" s="13">
        <v>0.6</v>
      </c>
      <c r="J496" s="20" t="s">
        <v>249</v>
      </c>
      <c r="L496" s="20" t="s">
        <v>60</v>
      </c>
      <c r="M496" s="20" t="s">
        <v>60</v>
      </c>
      <c r="N496" s="20" t="s">
        <v>22</v>
      </c>
      <c r="O496" s="20">
        <v>2</v>
      </c>
      <c r="P496" s="20">
        <v>3</v>
      </c>
      <c r="Q496" s="13">
        <v>0.58220803093694351</v>
      </c>
      <c r="R496" s="20" t="s">
        <v>249</v>
      </c>
      <c r="S496" s="20">
        <v>-0.704048307713386</v>
      </c>
      <c r="T496" s="20" t="s">
        <v>60</v>
      </c>
      <c r="U496" s="20" t="s">
        <v>60</v>
      </c>
      <c r="V496" s="20"/>
      <c r="W496" s="20"/>
      <c r="X496" s="20" t="s">
        <v>60</v>
      </c>
      <c r="Y496" s="20" t="s">
        <v>412</v>
      </c>
      <c r="Z496" s="20" t="s">
        <v>60</v>
      </c>
      <c r="AA496" s="20" t="s">
        <v>491</v>
      </c>
    </row>
    <row r="497" spans="1:27" x14ac:dyDescent="0.2">
      <c r="A497" s="1">
        <v>46004</v>
      </c>
      <c r="B497" s="20" t="s">
        <v>328</v>
      </c>
      <c r="C497" s="20" t="s">
        <v>17</v>
      </c>
      <c r="D497" s="20" t="s">
        <v>19</v>
      </c>
      <c r="E497" s="20" t="s">
        <v>990</v>
      </c>
      <c r="F497" s="20" t="s">
        <v>19</v>
      </c>
      <c r="G497" s="20">
        <v>2</v>
      </c>
      <c r="H497" s="20">
        <v>3</v>
      </c>
      <c r="I497" s="13">
        <v>0.6</v>
      </c>
      <c r="J497" s="20" t="s">
        <v>249</v>
      </c>
      <c r="L497" s="20" t="s">
        <v>60</v>
      </c>
      <c r="M497" s="20" t="s">
        <v>60</v>
      </c>
      <c r="N497" s="20" t="s">
        <v>19</v>
      </c>
      <c r="O497" s="20">
        <v>2</v>
      </c>
      <c r="P497" s="20">
        <v>3</v>
      </c>
      <c r="Q497" s="13">
        <v>0.56722590127621864</v>
      </c>
      <c r="R497" s="20" t="s">
        <v>249</v>
      </c>
      <c r="S497" s="20">
        <v>0.23316882184170359</v>
      </c>
      <c r="T497" s="20" t="s">
        <v>60</v>
      </c>
      <c r="U497" s="20" t="s">
        <v>60</v>
      </c>
      <c r="V497" s="20"/>
      <c r="W497" s="20"/>
      <c r="X497" s="20" t="s">
        <v>60</v>
      </c>
      <c r="Y497" s="20" t="s">
        <v>412</v>
      </c>
      <c r="Z497" s="20" t="s">
        <v>60</v>
      </c>
      <c r="AA497" s="20" t="s">
        <v>491</v>
      </c>
    </row>
    <row r="498" spans="1:27" x14ac:dyDescent="0.2">
      <c r="A498" s="1">
        <v>46004</v>
      </c>
      <c r="B498" s="20" t="s">
        <v>453</v>
      </c>
      <c r="C498" s="20" t="s">
        <v>33</v>
      </c>
      <c r="D498" s="20" t="s">
        <v>14</v>
      </c>
      <c r="E498" s="20" t="s">
        <v>991</v>
      </c>
      <c r="F498" s="20" t="s">
        <v>14</v>
      </c>
      <c r="G498" s="20">
        <v>2</v>
      </c>
      <c r="H498" s="20">
        <v>3</v>
      </c>
      <c r="I498" s="13">
        <v>0.6</v>
      </c>
      <c r="J498" s="20" t="s">
        <v>249</v>
      </c>
      <c r="L498" s="20" t="s">
        <v>60</v>
      </c>
      <c r="M498" s="20" t="s">
        <v>60</v>
      </c>
      <c r="N498" s="20" t="s">
        <v>14</v>
      </c>
      <c r="O498" s="20">
        <v>2</v>
      </c>
      <c r="P498" s="20">
        <v>3</v>
      </c>
      <c r="Q498" s="13">
        <v>0.58191475591210462</v>
      </c>
      <c r="R498" s="20" t="s">
        <v>249</v>
      </c>
      <c r="S498" s="20">
        <v>0.35896751973991581</v>
      </c>
      <c r="T498" s="20" t="s">
        <v>60</v>
      </c>
      <c r="U498" s="20" t="s">
        <v>60</v>
      </c>
      <c r="V498" s="20"/>
      <c r="W498" s="20"/>
      <c r="X498" s="20" t="s">
        <v>60</v>
      </c>
      <c r="Y498" s="20" t="s">
        <v>412</v>
      </c>
      <c r="Z498" s="20" t="s">
        <v>60</v>
      </c>
      <c r="AA498" s="20" t="s">
        <v>491</v>
      </c>
    </row>
    <row r="499" spans="1:27" x14ac:dyDescent="0.2">
      <c r="A499" s="1">
        <v>46004</v>
      </c>
      <c r="B499" s="20" t="s">
        <v>328</v>
      </c>
      <c r="C499" s="20" t="s">
        <v>25</v>
      </c>
      <c r="D499" s="20" t="s">
        <v>27</v>
      </c>
      <c r="E499" s="20" t="s">
        <v>992</v>
      </c>
      <c r="F499" s="20" t="s">
        <v>25</v>
      </c>
      <c r="G499" s="20">
        <v>2</v>
      </c>
      <c r="H499" s="20">
        <v>3</v>
      </c>
      <c r="I499" s="13">
        <v>0.6</v>
      </c>
      <c r="J499" s="20" t="s">
        <v>249</v>
      </c>
      <c r="L499" s="20" t="s">
        <v>60</v>
      </c>
      <c r="M499" s="20" t="s">
        <v>60</v>
      </c>
      <c r="N499" s="20" t="s">
        <v>25</v>
      </c>
      <c r="O499" s="20">
        <v>2</v>
      </c>
      <c r="P499" s="20">
        <v>3</v>
      </c>
      <c r="Q499" s="13">
        <v>0.60679430770908094</v>
      </c>
      <c r="R499" s="20" t="s">
        <v>249</v>
      </c>
      <c r="S499" s="20">
        <v>-0.75601397191170627</v>
      </c>
      <c r="T499" s="20" t="s">
        <v>60</v>
      </c>
      <c r="U499" s="20" t="s">
        <v>60</v>
      </c>
      <c r="V499" s="20"/>
      <c r="W499" s="20"/>
      <c r="X499" s="20" t="s">
        <v>60</v>
      </c>
      <c r="Y499" s="20" t="s">
        <v>412</v>
      </c>
      <c r="Z499" s="20" t="s">
        <v>60</v>
      </c>
      <c r="AA499" s="20" t="s">
        <v>491</v>
      </c>
    </row>
    <row r="500" spans="1:27" x14ac:dyDescent="0.2">
      <c r="A500" s="1">
        <v>46004</v>
      </c>
      <c r="B500" s="20" t="s">
        <v>328</v>
      </c>
      <c r="C500" s="20" t="s">
        <v>18</v>
      </c>
      <c r="D500" s="20" t="s">
        <v>15</v>
      </c>
      <c r="E500" s="20" t="s">
        <v>993</v>
      </c>
      <c r="F500" s="20" t="s">
        <v>15</v>
      </c>
      <c r="G500" s="20">
        <v>2</v>
      </c>
      <c r="H500" s="20">
        <v>3</v>
      </c>
      <c r="I500" s="13">
        <v>0.6</v>
      </c>
      <c r="J500" s="20" t="s">
        <v>249</v>
      </c>
      <c r="L500" s="20" t="s">
        <v>60</v>
      </c>
      <c r="M500" s="20" t="s">
        <v>60</v>
      </c>
      <c r="N500" s="20" t="s">
        <v>15</v>
      </c>
      <c r="O500" s="20">
        <v>2</v>
      </c>
      <c r="P500" s="20">
        <v>3</v>
      </c>
      <c r="Q500" s="13">
        <v>0.52190168133413184</v>
      </c>
      <c r="R500" s="20" t="s">
        <v>249</v>
      </c>
      <c r="S500" s="20">
        <v>0.35275639271304499</v>
      </c>
      <c r="T500" s="20" t="s">
        <v>60</v>
      </c>
      <c r="U500" s="20" t="s">
        <v>60</v>
      </c>
      <c r="V500" s="20"/>
      <c r="W500" s="20"/>
      <c r="X500" s="20" t="s">
        <v>60</v>
      </c>
      <c r="Y500" s="20" t="s">
        <v>412</v>
      </c>
      <c r="Z500" s="20" t="s">
        <v>60</v>
      </c>
      <c r="AA500" s="20" t="s">
        <v>491</v>
      </c>
    </row>
    <row r="501" spans="1:27" x14ac:dyDescent="0.2">
      <c r="A501" s="1">
        <v>46004</v>
      </c>
      <c r="B501" s="20" t="s">
        <v>352</v>
      </c>
      <c r="C501" s="20" t="s">
        <v>37</v>
      </c>
      <c r="D501" s="20" t="s">
        <v>30</v>
      </c>
      <c r="E501" s="20" t="s">
        <v>485</v>
      </c>
      <c r="F501" s="20" t="s">
        <v>37</v>
      </c>
      <c r="G501" s="20">
        <v>2</v>
      </c>
      <c r="H501" s="20">
        <v>3</v>
      </c>
      <c r="I501" s="13">
        <v>0.6</v>
      </c>
      <c r="J501" s="20" t="s">
        <v>249</v>
      </c>
      <c r="L501" s="20" t="s">
        <v>60</v>
      </c>
      <c r="M501" s="20" t="s">
        <v>60</v>
      </c>
      <c r="N501" s="20" t="s">
        <v>37</v>
      </c>
      <c r="O501" s="20">
        <v>2</v>
      </c>
      <c r="P501" s="20">
        <v>3</v>
      </c>
      <c r="Q501" s="13">
        <v>0.63440089257773835</v>
      </c>
      <c r="R501" s="20" t="s">
        <v>249</v>
      </c>
      <c r="S501" s="20">
        <v>-0.70153619526477451</v>
      </c>
      <c r="T501" s="20" t="s">
        <v>60</v>
      </c>
      <c r="U501" s="20" t="s">
        <v>60</v>
      </c>
      <c r="V501" s="20"/>
      <c r="W501" s="20"/>
      <c r="X501" s="20" t="s">
        <v>60</v>
      </c>
      <c r="Y501" s="20" t="s">
        <v>412</v>
      </c>
      <c r="Z501" s="20" t="s">
        <v>60</v>
      </c>
      <c r="AA501" s="20" t="s">
        <v>491</v>
      </c>
    </row>
    <row r="502" spans="1:27" x14ac:dyDescent="0.2">
      <c r="A502" s="1">
        <v>46004</v>
      </c>
      <c r="B502" s="20" t="s">
        <v>324</v>
      </c>
      <c r="C502" s="20" t="s">
        <v>11</v>
      </c>
      <c r="D502" s="20" t="s">
        <v>39</v>
      </c>
      <c r="E502" s="20" t="s">
        <v>994</v>
      </c>
      <c r="F502" s="20" t="s">
        <v>39</v>
      </c>
      <c r="G502" s="20">
        <v>2</v>
      </c>
      <c r="H502" s="20">
        <v>3</v>
      </c>
      <c r="I502" s="13">
        <v>0.6</v>
      </c>
      <c r="J502" s="20" t="s">
        <v>249</v>
      </c>
      <c r="L502" s="20" t="s">
        <v>60</v>
      </c>
      <c r="M502" s="20" t="s">
        <v>60</v>
      </c>
      <c r="N502" s="20" t="s">
        <v>39</v>
      </c>
      <c r="O502" s="20">
        <v>2</v>
      </c>
      <c r="P502" s="20">
        <v>3</v>
      </c>
      <c r="Q502" s="13">
        <v>0.67271765032437847</v>
      </c>
      <c r="R502" s="20" t="s">
        <v>249</v>
      </c>
      <c r="S502" s="20">
        <v>0.86046154184238888</v>
      </c>
      <c r="T502" s="20" t="s">
        <v>60</v>
      </c>
      <c r="U502" s="20" t="s">
        <v>60</v>
      </c>
      <c r="V502" s="20"/>
      <c r="W502" s="20"/>
      <c r="X502" s="20" t="s">
        <v>60</v>
      </c>
      <c r="Y502" s="20" t="s">
        <v>412</v>
      </c>
      <c r="Z502" s="20" t="s">
        <v>60</v>
      </c>
      <c r="AA502" s="20" t="s">
        <v>491</v>
      </c>
    </row>
    <row r="503" spans="1:27" x14ac:dyDescent="0.2">
      <c r="A503" s="1">
        <v>46004</v>
      </c>
      <c r="B503" s="20" t="s">
        <v>459</v>
      </c>
      <c r="C503" s="20" t="s">
        <v>36</v>
      </c>
      <c r="D503" s="20" t="s">
        <v>34</v>
      </c>
      <c r="E503" s="20" t="s">
        <v>995</v>
      </c>
      <c r="F503" s="20" t="s">
        <v>34</v>
      </c>
      <c r="G503" s="20">
        <v>2</v>
      </c>
      <c r="H503" s="20">
        <v>3</v>
      </c>
      <c r="I503" s="13">
        <v>0.6</v>
      </c>
      <c r="J503" s="20" t="s">
        <v>249</v>
      </c>
      <c r="L503" s="20" t="s">
        <v>60</v>
      </c>
      <c r="M503" s="20" t="s">
        <v>60</v>
      </c>
      <c r="N503" s="20" t="s">
        <v>34</v>
      </c>
      <c r="O503" s="20">
        <v>2</v>
      </c>
      <c r="P503" s="20">
        <v>3</v>
      </c>
      <c r="Q503" s="13">
        <v>0.60143601288999726</v>
      </c>
      <c r="R503" s="20" t="s">
        <v>249</v>
      </c>
      <c r="S503" s="20">
        <v>0.52615201233852227</v>
      </c>
      <c r="T503" s="20" t="s">
        <v>60</v>
      </c>
      <c r="U503" s="20" t="s">
        <v>60</v>
      </c>
      <c r="V503" s="20"/>
      <c r="W503" s="20"/>
      <c r="X503" s="20" t="s">
        <v>60</v>
      </c>
      <c r="Y503" s="20" t="s">
        <v>412</v>
      </c>
      <c r="Z503" s="20" t="s">
        <v>60</v>
      </c>
      <c r="AA503" s="20" t="s">
        <v>491</v>
      </c>
    </row>
    <row r="504" spans="1:27" x14ac:dyDescent="0.2">
      <c r="A504" s="1">
        <v>46004</v>
      </c>
      <c r="B504" s="20" t="s">
        <v>322</v>
      </c>
      <c r="C504" s="20" t="s">
        <v>16</v>
      </c>
      <c r="D504" s="20" t="s">
        <v>13</v>
      </c>
      <c r="E504" s="20" t="s">
        <v>996</v>
      </c>
      <c r="F504" s="20" t="s">
        <v>13</v>
      </c>
      <c r="G504" s="20">
        <v>2</v>
      </c>
      <c r="H504" s="20">
        <v>3</v>
      </c>
      <c r="I504" s="13">
        <v>0.6</v>
      </c>
      <c r="J504" s="20" t="s">
        <v>249</v>
      </c>
      <c r="L504" s="20" t="s">
        <v>60</v>
      </c>
      <c r="M504" s="20" t="s">
        <v>60</v>
      </c>
      <c r="N504" s="20" t="s">
        <v>13</v>
      </c>
      <c r="O504" s="20">
        <v>2</v>
      </c>
      <c r="P504" s="20">
        <v>3</v>
      </c>
      <c r="Q504" s="13">
        <v>0.63077274020161012</v>
      </c>
      <c r="R504" s="20" t="s">
        <v>249</v>
      </c>
      <c r="S504" s="20">
        <v>0.77739842929056957</v>
      </c>
      <c r="T504" s="20" t="s">
        <v>60</v>
      </c>
      <c r="U504" s="20" t="s">
        <v>60</v>
      </c>
      <c r="V504" s="20"/>
      <c r="W504" s="20"/>
      <c r="X504" s="20" t="s">
        <v>60</v>
      </c>
      <c r="Y504" s="20" t="s">
        <v>412</v>
      </c>
      <c r="Z504" s="20" t="s">
        <v>60</v>
      </c>
      <c r="AA504" s="20" t="s">
        <v>491</v>
      </c>
    </row>
    <row r="505" spans="1:27" x14ac:dyDescent="0.2">
      <c r="A505" s="1">
        <v>46004</v>
      </c>
      <c r="B505" s="20" t="s">
        <v>326</v>
      </c>
      <c r="C505" s="20" t="s">
        <v>29</v>
      </c>
      <c r="D505" s="20" t="s">
        <v>12</v>
      </c>
      <c r="E505" s="20" t="s">
        <v>997</v>
      </c>
      <c r="F505" s="20" t="s">
        <v>12</v>
      </c>
      <c r="G505" s="20">
        <v>2</v>
      </c>
      <c r="H505" s="20">
        <v>3</v>
      </c>
      <c r="I505" s="13">
        <v>0.6</v>
      </c>
      <c r="J505" s="20" t="s">
        <v>249</v>
      </c>
      <c r="L505" s="20" t="s">
        <v>60</v>
      </c>
      <c r="M505" s="20" t="s">
        <v>60</v>
      </c>
      <c r="N505" s="20" t="s">
        <v>12</v>
      </c>
      <c r="O505" s="20">
        <v>2</v>
      </c>
      <c r="P505" s="20">
        <v>3</v>
      </c>
      <c r="Q505" s="13">
        <v>1</v>
      </c>
      <c r="R505" s="20" t="s">
        <v>249</v>
      </c>
      <c r="S505" s="20">
        <v>3.0667216911602</v>
      </c>
      <c r="T505" s="20" t="s">
        <v>60</v>
      </c>
      <c r="U505" s="20" t="s">
        <v>60</v>
      </c>
      <c r="V505" s="20"/>
      <c r="W505" s="20"/>
      <c r="X505" s="20" t="s">
        <v>60</v>
      </c>
      <c r="Y505" s="20" t="s">
        <v>412</v>
      </c>
      <c r="Z505" s="20" t="s">
        <v>60</v>
      </c>
      <c r="AA505" s="20" t="s">
        <v>491</v>
      </c>
    </row>
    <row r="506" spans="1:27" x14ac:dyDescent="0.2">
      <c r="A506" s="1">
        <v>46004</v>
      </c>
      <c r="B506" s="20" t="s">
        <v>324</v>
      </c>
      <c r="C506" s="20" t="s">
        <v>26</v>
      </c>
      <c r="D506" s="20" t="s">
        <v>10</v>
      </c>
      <c r="E506" s="20" t="s">
        <v>998</v>
      </c>
      <c r="F506" s="20" t="s">
        <v>10</v>
      </c>
      <c r="G506" s="20">
        <v>2</v>
      </c>
      <c r="H506" s="20">
        <v>3</v>
      </c>
      <c r="I506" s="13">
        <v>0.6</v>
      </c>
      <c r="J506" s="20" t="s">
        <v>249</v>
      </c>
      <c r="L506" s="20" t="s">
        <v>60</v>
      </c>
      <c r="M506" s="20" t="s">
        <v>60</v>
      </c>
      <c r="N506" s="20" t="s">
        <v>10</v>
      </c>
      <c r="O506" s="20">
        <v>2</v>
      </c>
      <c r="P506" s="20">
        <v>3</v>
      </c>
      <c r="Q506" s="13">
        <v>0.62746194896282725</v>
      </c>
      <c r="R506" s="20" t="s">
        <v>249</v>
      </c>
      <c r="S506" s="20">
        <v>0.74904405877115832</v>
      </c>
      <c r="T506" s="20" t="s">
        <v>60</v>
      </c>
      <c r="U506" s="20" t="s">
        <v>60</v>
      </c>
      <c r="V506" s="20"/>
      <c r="W506" s="20"/>
      <c r="X506" s="20" t="s">
        <v>60</v>
      </c>
      <c r="Y506" s="20" t="s">
        <v>412</v>
      </c>
      <c r="Z506" s="20" t="s">
        <v>60</v>
      </c>
      <c r="AA506" s="20" t="s">
        <v>491</v>
      </c>
    </row>
    <row r="507" spans="1:27" x14ac:dyDescent="0.2">
      <c r="A507" s="1">
        <v>46004</v>
      </c>
      <c r="B507" s="20" t="s">
        <v>328</v>
      </c>
      <c r="C507" s="20" t="s">
        <v>20</v>
      </c>
      <c r="D507" s="20" t="s">
        <v>28</v>
      </c>
      <c r="E507" s="20" t="s">
        <v>999</v>
      </c>
      <c r="F507" s="20" t="s">
        <v>20</v>
      </c>
      <c r="G507" s="20">
        <v>2</v>
      </c>
      <c r="H507" s="20">
        <v>3</v>
      </c>
      <c r="I507" s="13">
        <v>0.6</v>
      </c>
      <c r="J507" s="20" t="s">
        <v>249</v>
      </c>
      <c r="L507" s="20" t="s">
        <v>60</v>
      </c>
      <c r="M507" s="20" t="s">
        <v>60</v>
      </c>
      <c r="N507" s="20" t="s">
        <v>20</v>
      </c>
      <c r="O507" s="20">
        <v>2</v>
      </c>
      <c r="P507" s="20">
        <v>3</v>
      </c>
      <c r="Q507" s="13">
        <v>0.4951050708264203</v>
      </c>
      <c r="R507" s="20" t="s">
        <v>249</v>
      </c>
      <c r="S507" s="20">
        <v>-0.30064782510674137</v>
      </c>
      <c r="T507" s="20" t="s">
        <v>60</v>
      </c>
      <c r="U507" s="20" t="s">
        <v>60</v>
      </c>
      <c r="V507" s="20"/>
      <c r="W507" s="20"/>
      <c r="X507" s="20" t="s">
        <v>60</v>
      </c>
      <c r="Y507" s="20" t="s">
        <v>412</v>
      </c>
      <c r="Z507" s="20" t="s">
        <v>60</v>
      </c>
      <c r="AA507" s="20" t="s">
        <v>491</v>
      </c>
    </row>
    <row r="508" spans="1:27" x14ac:dyDescent="0.2">
      <c r="A508" s="1">
        <v>46004</v>
      </c>
      <c r="B508" s="20" t="s">
        <v>555</v>
      </c>
      <c r="C508" s="20" t="s">
        <v>31</v>
      </c>
      <c r="D508" s="20" t="s">
        <v>24</v>
      </c>
      <c r="E508" s="20" t="s">
        <v>1000</v>
      </c>
      <c r="F508" s="20" t="s">
        <v>31</v>
      </c>
      <c r="G508" s="20">
        <v>2</v>
      </c>
      <c r="H508" s="20">
        <v>3</v>
      </c>
      <c r="I508" s="13">
        <v>0.6</v>
      </c>
      <c r="J508" s="20" t="s">
        <v>249</v>
      </c>
      <c r="L508" s="20" t="s">
        <v>60</v>
      </c>
      <c r="M508" s="20" t="s">
        <v>60</v>
      </c>
      <c r="N508" s="20" t="s">
        <v>31</v>
      </c>
      <c r="O508" s="20">
        <v>2</v>
      </c>
      <c r="P508" s="20">
        <v>3</v>
      </c>
      <c r="Q508" s="13">
        <v>0.41486088698717127</v>
      </c>
      <c r="R508" s="20" t="s">
        <v>249</v>
      </c>
      <c r="S508" s="20">
        <v>-0.1272720221514996</v>
      </c>
      <c r="T508" s="20" t="s">
        <v>60</v>
      </c>
      <c r="U508" s="20" t="s">
        <v>60</v>
      </c>
      <c r="V508" s="20"/>
      <c r="W508" s="20"/>
      <c r="X508" s="20" t="s">
        <v>60</v>
      </c>
      <c r="Y508" s="20" t="s">
        <v>412</v>
      </c>
      <c r="Z508" s="20" t="s">
        <v>60</v>
      </c>
      <c r="AA508" s="20" t="s">
        <v>491</v>
      </c>
    </row>
    <row r="509" spans="1:27" x14ac:dyDescent="0.2">
      <c r="A509" s="1">
        <v>46005</v>
      </c>
      <c r="B509" s="20" t="s">
        <v>324</v>
      </c>
      <c r="C509" s="20" t="s">
        <v>23</v>
      </c>
      <c r="D509" s="20" t="s">
        <v>32</v>
      </c>
      <c r="E509" s="20" t="s">
        <v>1001</v>
      </c>
      <c r="F509" s="20" t="s">
        <v>23</v>
      </c>
      <c r="G509" s="20">
        <v>2</v>
      </c>
      <c r="H509" s="20">
        <v>3</v>
      </c>
      <c r="I509" s="13">
        <v>0.6</v>
      </c>
      <c r="J509" s="20" t="s">
        <v>249</v>
      </c>
      <c r="L509" s="20" t="s">
        <v>60</v>
      </c>
      <c r="M509" s="20" t="s">
        <v>60</v>
      </c>
      <c r="N509" s="20" t="s">
        <v>23</v>
      </c>
      <c r="O509" s="20">
        <v>2</v>
      </c>
      <c r="P509" s="20">
        <v>3</v>
      </c>
      <c r="Q509" s="13">
        <v>0.4744048071621822</v>
      </c>
      <c r="R509" s="20" t="s">
        <v>249</v>
      </c>
      <c r="S509" s="20">
        <v>-0.1233660506143379</v>
      </c>
      <c r="T509" s="20" t="s">
        <v>60</v>
      </c>
      <c r="U509" s="20" t="s">
        <v>60</v>
      </c>
      <c r="V509" s="20"/>
      <c r="W509" s="20"/>
      <c r="X509" s="20" t="s">
        <v>60</v>
      </c>
      <c r="Y509" s="20" t="s">
        <v>412</v>
      </c>
      <c r="Z509" s="20" t="s">
        <v>60</v>
      </c>
      <c r="AA509" s="20" t="s">
        <v>491</v>
      </c>
    </row>
    <row r="510" spans="1:27" x14ac:dyDescent="0.2">
      <c r="A510" s="1">
        <v>46005</v>
      </c>
      <c r="B510" s="20" t="s">
        <v>555</v>
      </c>
      <c r="C510" s="20" t="s">
        <v>38</v>
      </c>
      <c r="D510" s="20" t="s">
        <v>24</v>
      </c>
      <c r="E510" s="20" t="s">
        <v>1002</v>
      </c>
      <c r="F510" s="20" t="s">
        <v>24</v>
      </c>
      <c r="G510" s="20">
        <v>2</v>
      </c>
      <c r="H510" s="20">
        <v>3</v>
      </c>
      <c r="I510" s="13">
        <v>0.6</v>
      </c>
      <c r="J510" s="20" t="s">
        <v>249</v>
      </c>
      <c r="L510" s="20" t="s">
        <v>60</v>
      </c>
      <c r="M510" s="20" t="s">
        <v>60</v>
      </c>
      <c r="N510" s="20" t="s">
        <v>24</v>
      </c>
      <c r="O510" s="20">
        <v>2</v>
      </c>
      <c r="P510" s="20">
        <v>3</v>
      </c>
      <c r="Q510" s="13">
        <v>0.73309904907991641</v>
      </c>
      <c r="R510" s="20" t="s">
        <v>249</v>
      </c>
      <c r="S510" s="20">
        <v>0.99910875479857086</v>
      </c>
      <c r="T510" s="20" t="s">
        <v>60</v>
      </c>
      <c r="U510" s="20" t="s">
        <v>60</v>
      </c>
      <c r="V510" s="20"/>
      <c r="W510" s="20"/>
      <c r="X510" s="20" t="s">
        <v>60</v>
      </c>
      <c r="Y510" s="20" t="s">
        <v>412</v>
      </c>
      <c r="Z510" s="20" t="s">
        <v>60</v>
      </c>
      <c r="AA510" s="20" t="s">
        <v>491</v>
      </c>
    </row>
    <row r="511" spans="1:27" x14ac:dyDescent="0.2">
      <c r="A511" s="1">
        <v>46005</v>
      </c>
      <c r="B511" s="20" t="s">
        <v>453</v>
      </c>
      <c r="C511" s="20" t="s">
        <v>55</v>
      </c>
      <c r="D511" s="20" t="s">
        <v>14</v>
      </c>
      <c r="E511" s="20" t="s">
        <v>1003</v>
      </c>
      <c r="F511" s="20" t="s">
        <v>14</v>
      </c>
      <c r="G511" s="20">
        <v>2</v>
      </c>
      <c r="H511" s="20">
        <v>3</v>
      </c>
      <c r="I511" s="13">
        <v>0.6</v>
      </c>
      <c r="J511" s="20" t="s">
        <v>249</v>
      </c>
      <c r="L511" s="20" t="s">
        <v>60</v>
      </c>
      <c r="M511" s="20" t="s">
        <v>60</v>
      </c>
      <c r="N511" s="20" t="s">
        <v>14</v>
      </c>
      <c r="O511" s="20">
        <v>2</v>
      </c>
      <c r="P511" s="20">
        <v>3</v>
      </c>
      <c r="Q511" s="13">
        <v>0.57628579504977917</v>
      </c>
      <c r="R511" s="20" t="s">
        <v>249</v>
      </c>
      <c r="S511" s="20">
        <v>0.31075981637885491</v>
      </c>
      <c r="T511" s="20" t="s">
        <v>60</v>
      </c>
      <c r="U511" s="20" t="s">
        <v>60</v>
      </c>
      <c r="V511" s="20"/>
      <c r="W511" s="20"/>
      <c r="X511" s="20" t="s">
        <v>60</v>
      </c>
      <c r="Y511" s="20" t="s">
        <v>412</v>
      </c>
      <c r="Z511" s="20" t="s">
        <v>60</v>
      </c>
      <c r="AA511" s="20" t="s">
        <v>491</v>
      </c>
    </row>
    <row r="512" spans="1:27" x14ac:dyDescent="0.2">
      <c r="A512" s="1">
        <v>46005</v>
      </c>
      <c r="B512" s="20" t="s">
        <v>469</v>
      </c>
      <c r="C512" s="20" t="s">
        <v>21</v>
      </c>
      <c r="D512" s="20" t="s">
        <v>34</v>
      </c>
      <c r="E512" s="20" t="s">
        <v>1004</v>
      </c>
      <c r="F512" s="20" t="s">
        <v>34</v>
      </c>
      <c r="G512" s="20">
        <v>2</v>
      </c>
      <c r="H512" s="20">
        <v>3</v>
      </c>
      <c r="I512" s="13">
        <v>0.6</v>
      </c>
      <c r="J512" s="20" t="s">
        <v>249</v>
      </c>
      <c r="L512" s="20" t="s">
        <v>60</v>
      </c>
      <c r="M512" s="20" t="s">
        <v>60</v>
      </c>
      <c r="N512" s="20" t="s">
        <v>34</v>
      </c>
      <c r="O512" s="20">
        <v>2</v>
      </c>
      <c r="P512" s="20">
        <v>3</v>
      </c>
      <c r="Q512" s="13">
        <v>0.56422188641562931</v>
      </c>
      <c r="R512" s="20" t="s">
        <v>249</v>
      </c>
      <c r="S512" s="20">
        <v>0.21454572192141519</v>
      </c>
      <c r="T512" s="20" t="s">
        <v>60</v>
      </c>
      <c r="U512" s="20" t="s">
        <v>60</v>
      </c>
      <c r="V512" s="20"/>
      <c r="W512" s="20"/>
      <c r="X512" s="20" t="s">
        <v>60</v>
      </c>
      <c r="Y512" s="20" t="s">
        <v>412</v>
      </c>
      <c r="Z512" s="20" t="s">
        <v>60</v>
      </c>
      <c r="AA512" s="20" t="s">
        <v>491</v>
      </c>
    </row>
    <row r="513" spans="1:27" x14ac:dyDescent="0.2">
      <c r="A513" s="1">
        <v>46005</v>
      </c>
      <c r="B513" s="20" t="s">
        <v>365</v>
      </c>
      <c r="C513" s="20" t="s">
        <v>27</v>
      </c>
      <c r="D513" s="20" t="s">
        <v>25</v>
      </c>
      <c r="E513" s="20" t="s">
        <v>530</v>
      </c>
      <c r="F513" s="20" t="s">
        <v>25</v>
      </c>
      <c r="G513" s="20">
        <v>2</v>
      </c>
      <c r="H513" s="20">
        <v>3</v>
      </c>
      <c r="I513" s="13">
        <v>0.6</v>
      </c>
      <c r="J513" s="20" t="s">
        <v>249</v>
      </c>
      <c r="L513" s="20" t="s">
        <v>60</v>
      </c>
      <c r="M513" s="20" t="s">
        <v>60</v>
      </c>
      <c r="N513" s="20" t="s">
        <v>25</v>
      </c>
      <c r="O513" s="20">
        <v>2</v>
      </c>
      <c r="P513" s="20">
        <v>3</v>
      </c>
      <c r="Q513" s="13">
        <v>0.64992908702910213</v>
      </c>
      <c r="R513" s="20" t="s">
        <v>249</v>
      </c>
      <c r="S513" s="20">
        <v>0.85581546975803113</v>
      </c>
      <c r="T513" s="20" t="s">
        <v>60</v>
      </c>
      <c r="U513" s="20" t="s">
        <v>60</v>
      </c>
      <c r="V513" s="20"/>
      <c r="W513" s="20"/>
      <c r="X513" s="20" t="s">
        <v>60</v>
      </c>
      <c r="Y513" s="20" t="s">
        <v>412</v>
      </c>
      <c r="Z513" s="20" t="s">
        <v>60</v>
      </c>
      <c r="AA513" s="20" t="s">
        <v>491</v>
      </c>
    </row>
    <row r="514" spans="1:27" x14ac:dyDescent="0.2">
      <c r="A514" s="1">
        <v>46005</v>
      </c>
      <c r="B514" s="20" t="s">
        <v>328</v>
      </c>
      <c r="C514" s="20" t="s">
        <v>17</v>
      </c>
      <c r="D514" s="20" t="s">
        <v>18</v>
      </c>
      <c r="E514" s="20" t="s">
        <v>1005</v>
      </c>
      <c r="F514" s="20" t="s">
        <v>18</v>
      </c>
      <c r="G514" s="20">
        <v>2</v>
      </c>
      <c r="H514" s="20">
        <v>3</v>
      </c>
      <c r="I514" s="13">
        <v>0.6</v>
      </c>
      <c r="J514" s="20" t="s">
        <v>249</v>
      </c>
      <c r="L514" s="20" t="s">
        <v>60</v>
      </c>
      <c r="M514" s="20" t="s">
        <v>60</v>
      </c>
      <c r="N514" s="20" t="s">
        <v>18</v>
      </c>
      <c r="O514" s="20">
        <v>2</v>
      </c>
      <c r="P514" s="20">
        <v>3</v>
      </c>
      <c r="Q514" s="13">
        <v>0.57208202652102691</v>
      </c>
      <c r="R514" s="20" t="s">
        <v>249</v>
      </c>
      <c r="S514" s="20">
        <v>0.27475778488685898</v>
      </c>
      <c r="T514" s="20" t="s">
        <v>60</v>
      </c>
      <c r="U514" s="20" t="s">
        <v>60</v>
      </c>
      <c r="V514" s="20"/>
      <c r="W514" s="20"/>
      <c r="X514" s="20" t="s">
        <v>60</v>
      </c>
      <c r="Y514" s="20" t="s">
        <v>412</v>
      </c>
      <c r="Z514" s="20" t="s">
        <v>60</v>
      </c>
      <c r="AA514" s="20" t="s">
        <v>491</v>
      </c>
    </row>
    <row r="515" spans="1:27" x14ac:dyDescent="0.2">
      <c r="A515" s="1">
        <v>46006</v>
      </c>
      <c r="B515" s="20" t="s">
        <v>324</v>
      </c>
      <c r="C515" s="20" t="s">
        <v>13</v>
      </c>
      <c r="D515" s="20" t="s">
        <v>39</v>
      </c>
      <c r="E515" s="20" t="s">
        <v>659</v>
      </c>
      <c r="F515" s="20" t="s">
        <v>39</v>
      </c>
      <c r="G515" s="20">
        <v>2</v>
      </c>
      <c r="H515" s="20">
        <v>3</v>
      </c>
      <c r="I515" s="13">
        <v>0.6</v>
      </c>
      <c r="J515" s="20" t="s">
        <v>249</v>
      </c>
      <c r="L515" s="20" t="s">
        <v>60</v>
      </c>
      <c r="M515" s="20" t="s">
        <v>60</v>
      </c>
      <c r="N515" s="20" t="s">
        <v>39</v>
      </c>
      <c r="O515" s="20">
        <v>2</v>
      </c>
      <c r="P515" s="20">
        <v>3</v>
      </c>
      <c r="Q515" s="13">
        <v>0.59993087976587611</v>
      </c>
      <c r="R515" s="20" t="s">
        <v>249</v>
      </c>
      <c r="S515" s="20">
        <v>0.80162684945549589</v>
      </c>
      <c r="T515" s="20" t="s">
        <v>60</v>
      </c>
      <c r="U515" s="20" t="s">
        <v>60</v>
      </c>
      <c r="V515" s="20"/>
      <c r="W515" s="20"/>
      <c r="X515" s="20" t="s">
        <v>60</v>
      </c>
      <c r="Y515" s="20" t="s">
        <v>412</v>
      </c>
      <c r="Z515" s="20" t="s">
        <v>60</v>
      </c>
      <c r="AA515" s="20" t="s">
        <v>491</v>
      </c>
    </row>
    <row r="516" spans="1:27" x14ac:dyDescent="0.2">
      <c r="A516" s="1">
        <v>46006</v>
      </c>
      <c r="B516" s="20" t="s">
        <v>328</v>
      </c>
      <c r="C516" s="20" t="s">
        <v>31</v>
      </c>
      <c r="D516" s="20" t="s">
        <v>15</v>
      </c>
      <c r="E516" s="20" t="s">
        <v>1006</v>
      </c>
      <c r="F516" s="20" t="s">
        <v>31</v>
      </c>
      <c r="G516" s="20">
        <v>2</v>
      </c>
      <c r="H516" s="20">
        <v>3</v>
      </c>
      <c r="I516" s="13">
        <v>0.6</v>
      </c>
      <c r="J516" s="20" t="s">
        <v>249</v>
      </c>
      <c r="L516" s="20" t="s">
        <v>60</v>
      </c>
      <c r="M516" s="20" t="s">
        <v>60</v>
      </c>
      <c r="N516" s="20" t="s">
        <v>31</v>
      </c>
      <c r="O516" s="20">
        <v>2</v>
      </c>
      <c r="P516" s="20">
        <v>3</v>
      </c>
      <c r="Q516" s="13">
        <v>0.52967454540266012</v>
      </c>
      <c r="R516" s="20" t="s">
        <v>249</v>
      </c>
      <c r="S516" s="20">
        <v>-0.41883625740004649</v>
      </c>
      <c r="T516" s="20" t="s">
        <v>60</v>
      </c>
      <c r="U516" s="20" t="s">
        <v>60</v>
      </c>
      <c r="V516" s="20"/>
      <c r="W516" s="20"/>
      <c r="X516" s="20" t="s">
        <v>60</v>
      </c>
      <c r="Y516" s="20" t="s">
        <v>412</v>
      </c>
      <c r="Z516" s="20" t="s">
        <v>60</v>
      </c>
      <c r="AA516" s="20" t="s">
        <v>491</v>
      </c>
    </row>
    <row r="517" spans="1:27" x14ac:dyDescent="0.2">
      <c r="A517" s="1">
        <v>46006</v>
      </c>
      <c r="B517" s="20" t="s">
        <v>324</v>
      </c>
      <c r="C517" s="20" t="s">
        <v>29</v>
      </c>
      <c r="D517" s="20" t="s">
        <v>35</v>
      </c>
      <c r="E517" s="20" t="s">
        <v>1007</v>
      </c>
      <c r="F517" s="20" t="s">
        <v>35</v>
      </c>
      <c r="G517" s="20">
        <v>2</v>
      </c>
      <c r="H517" s="20">
        <v>3</v>
      </c>
      <c r="I517" s="13">
        <v>0.6</v>
      </c>
      <c r="J517" s="20" t="s">
        <v>249</v>
      </c>
      <c r="L517" s="20" t="s">
        <v>60</v>
      </c>
      <c r="M517" s="20" t="s">
        <v>60</v>
      </c>
      <c r="N517" s="20" t="s">
        <v>35</v>
      </c>
      <c r="O517" s="20">
        <v>2</v>
      </c>
      <c r="P517" s="20">
        <v>3</v>
      </c>
      <c r="Q517" s="13">
        <v>0.54471025076760826</v>
      </c>
      <c r="R517" s="20" t="s">
        <v>249</v>
      </c>
      <c r="S517" s="20">
        <v>4.0339660785500893E-2</v>
      </c>
      <c r="T517" s="20" t="s">
        <v>60</v>
      </c>
      <c r="U517" s="20" t="s">
        <v>60</v>
      </c>
      <c r="V517" s="20"/>
      <c r="W517" s="20"/>
      <c r="X517" s="20" t="s">
        <v>60</v>
      </c>
      <c r="Y517" s="20" t="s">
        <v>412</v>
      </c>
      <c r="Z517" s="20" t="s">
        <v>60</v>
      </c>
      <c r="AA517" s="20" t="s">
        <v>491</v>
      </c>
    </row>
    <row r="518" spans="1:27" x14ac:dyDescent="0.2">
      <c r="A518" s="1">
        <v>46006</v>
      </c>
      <c r="B518" s="20" t="s">
        <v>328</v>
      </c>
      <c r="C518" s="20" t="s">
        <v>11</v>
      </c>
      <c r="D518" s="20" t="s">
        <v>37</v>
      </c>
      <c r="E518" s="20" t="s">
        <v>1008</v>
      </c>
      <c r="F518" s="20" t="s">
        <v>37</v>
      </c>
      <c r="G518" s="20">
        <v>2</v>
      </c>
      <c r="H518" s="20">
        <v>3</v>
      </c>
      <c r="I518" s="13">
        <v>0.6</v>
      </c>
      <c r="J518" s="20" t="s">
        <v>249</v>
      </c>
      <c r="L518" s="20" t="s">
        <v>60</v>
      </c>
      <c r="M518" s="20" t="s">
        <v>60</v>
      </c>
      <c r="N518" s="20" t="s">
        <v>37</v>
      </c>
      <c r="O518" s="20">
        <v>2</v>
      </c>
      <c r="P518" s="20">
        <v>3</v>
      </c>
      <c r="Q518" s="13">
        <v>0.68405112330490425</v>
      </c>
      <c r="R518" s="20" t="s">
        <v>249</v>
      </c>
      <c r="S518" s="20">
        <v>0.95752398673387329</v>
      </c>
      <c r="T518" s="20" t="s">
        <v>60</v>
      </c>
      <c r="U518" s="20" t="s">
        <v>60</v>
      </c>
      <c r="V518" s="20"/>
      <c r="W518" s="20"/>
      <c r="X518" s="20" t="s">
        <v>60</v>
      </c>
      <c r="Y518" s="20" t="s">
        <v>412</v>
      </c>
      <c r="Z518" s="20" t="s">
        <v>60</v>
      </c>
      <c r="AA518" s="20" t="s">
        <v>491</v>
      </c>
    </row>
    <row r="519" spans="1:27" x14ac:dyDescent="0.2">
      <c r="A519" s="1">
        <v>46006</v>
      </c>
      <c r="B519" s="20" t="s">
        <v>334</v>
      </c>
      <c r="C519" s="20" t="s">
        <v>36</v>
      </c>
      <c r="D519" s="20" t="s">
        <v>40</v>
      </c>
      <c r="E519" s="20" t="s">
        <v>1009</v>
      </c>
      <c r="F519" s="20" t="s">
        <v>40</v>
      </c>
      <c r="G519" s="20">
        <v>2</v>
      </c>
      <c r="H519" s="20">
        <v>3</v>
      </c>
      <c r="I519" s="13">
        <v>0.6</v>
      </c>
      <c r="J519" s="20" t="s">
        <v>249</v>
      </c>
      <c r="L519" s="20" t="s">
        <v>60</v>
      </c>
      <c r="M519" s="20" t="s">
        <v>60</v>
      </c>
      <c r="N519" s="20" t="s">
        <v>40</v>
      </c>
      <c r="O519" s="20">
        <v>2</v>
      </c>
      <c r="P519" s="20">
        <v>3</v>
      </c>
      <c r="Q519" s="13">
        <v>0.57379251856685676</v>
      </c>
      <c r="R519" s="20" t="s">
        <v>249</v>
      </c>
      <c r="S519" s="20">
        <v>0.26803497600520948</v>
      </c>
      <c r="T519" s="20" t="s">
        <v>60</v>
      </c>
      <c r="U519" s="20" t="s">
        <v>60</v>
      </c>
      <c r="V519" s="20"/>
      <c r="W519" s="20"/>
      <c r="X519" s="20" t="s">
        <v>60</v>
      </c>
      <c r="Y519" s="20" t="s">
        <v>412</v>
      </c>
      <c r="Z519" s="20" t="s">
        <v>60</v>
      </c>
      <c r="AA519" s="20" t="s">
        <v>491</v>
      </c>
    </row>
    <row r="520" spans="1:27" x14ac:dyDescent="0.2">
      <c r="A520" s="1">
        <v>46007</v>
      </c>
      <c r="B520" s="20" t="s">
        <v>328</v>
      </c>
      <c r="C520" s="20" t="s">
        <v>10</v>
      </c>
      <c r="D520" s="20" t="s">
        <v>19</v>
      </c>
      <c r="E520" s="20" t="s">
        <v>1010</v>
      </c>
      <c r="F520" s="20" t="s">
        <v>10</v>
      </c>
      <c r="G520" s="20">
        <v>2</v>
      </c>
      <c r="H520" s="20">
        <v>3</v>
      </c>
      <c r="I520" s="13">
        <v>0.6</v>
      </c>
      <c r="J520" s="20" t="s">
        <v>249</v>
      </c>
      <c r="L520" s="20" t="s">
        <v>60</v>
      </c>
      <c r="M520" s="20" t="s">
        <v>60</v>
      </c>
      <c r="N520" s="20" t="s">
        <v>10</v>
      </c>
      <c r="O520" s="20">
        <v>2</v>
      </c>
      <c r="P520" s="20">
        <v>3</v>
      </c>
      <c r="Q520" s="13">
        <v>0.50768457758899765</v>
      </c>
      <c r="R520" s="20" t="s">
        <v>249</v>
      </c>
      <c r="S520" s="20">
        <v>-0.40838158721150453</v>
      </c>
      <c r="T520" s="20" t="s">
        <v>60</v>
      </c>
      <c r="U520" s="20" t="s">
        <v>60</v>
      </c>
      <c r="V520" s="20"/>
      <c r="W520" s="20"/>
      <c r="X520" s="20" t="s">
        <v>60</v>
      </c>
      <c r="Y520" s="20" t="s">
        <v>412</v>
      </c>
      <c r="Z520" s="20" t="s">
        <v>60</v>
      </c>
      <c r="AA520" s="20" t="s">
        <v>491</v>
      </c>
    </row>
    <row r="521" spans="1:27" x14ac:dyDescent="0.2">
      <c r="A521" s="1">
        <v>46007</v>
      </c>
      <c r="B521" s="20" t="s">
        <v>322</v>
      </c>
      <c r="C521" s="20" t="s">
        <v>16</v>
      </c>
      <c r="D521" s="20" t="s">
        <v>33</v>
      </c>
      <c r="E521" s="20" t="s">
        <v>1011</v>
      </c>
      <c r="F521" s="20" t="s">
        <v>33</v>
      </c>
      <c r="G521" s="20">
        <v>2</v>
      </c>
      <c r="H521" s="20">
        <v>3</v>
      </c>
      <c r="I521" s="13">
        <v>0.6</v>
      </c>
      <c r="J521" s="20" t="s">
        <v>249</v>
      </c>
      <c r="L521" s="20" t="s">
        <v>60</v>
      </c>
      <c r="M521" s="20" t="s">
        <v>60</v>
      </c>
      <c r="N521" s="20" t="s">
        <v>33</v>
      </c>
      <c r="O521" s="20">
        <v>2</v>
      </c>
      <c r="P521" s="20">
        <v>3</v>
      </c>
      <c r="Q521" s="13">
        <v>0.62769503791484937</v>
      </c>
      <c r="R521" s="20" t="s">
        <v>249</v>
      </c>
      <c r="S521" s="20">
        <v>0.66435103558553998</v>
      </c>
      <c r="T521" s="20" t="s">
        <v>60</v>
      </c>
      <c r="U521" s="20" t="s">
        <v>60</v>
      </c>
      <c r="V521" s="20"/>
      <c r="W521" s="20"/>
      <c r="X521" s="20" t="s">
        <v>60</v>
      </c>
      <c r="Y521" s="20" t="s">
        <v>412</v>
      </c>
      <c r="Z521" s="20" t="s">
        <v>60</v>
      </c>
      <c r="AA521" s="20" t="s">
        <v>491</v>
      </c>
    </row>
    <row r="522" spans="1:27" x14ac:dyDescent="0.2">
      <c r="A522" s="1">
        <v>46007</v>
      </c>
      <c r="B522" s="20" t="s">
        <v>322</v>
      </c>
      <c r="C522" s="20" t="s">
        <v>12</v>
      </c>
      <c r="D522" s="20" t="s">
        <v>32</v>
      </c>
      <c r="E522" s="20" t="s">
        <v>1012</v>
      </c>
      <c r="F522" s="20" t="s">
        <v>12</v>
      </c>
      <c r="G522" s="20">
        <v>2</v>
      </c>
      <c r="H522" s="20">
        <v>3</v>
      </c>
      <c r="I522" s="13">
        <v>0.6</v>
      </c>
      <c r="J522" s="20" t="s">
        <v>249</v>
      </c>
      <c r="L522" s="20" t="s">
        <v>60</v>
      </c>
      <c r="M522" s="20" t="s">
        <v>60</v>
      </c>
      <c r="N522" s="20" t="s">
        <v>12</v>
      </c>
      <c r="O522" s="20">
        <v>2</v>
      </c>
      <c r="P522" s="20">
        <v>3</v>
      </c>
      <c r="Q522" s="13">
        <v>0.79316973383163425</v>
      </c>
      <c r="R522" s="20" t="s">
        <v>249</v>
      </c>
      <c r="S522" s="20">
        <v>-2.2313801447819031</v>
      </c>
      <c r="T522" s="20" t="s">
        <v>60</v>
      </c>
      <c r="U522" s="20" t="s">
        <v>60</v>
      </c>
      <c r="V522" s="20"/>
      <c r="W522" s="20"/>
      <c r="X522" s="20" t="s">
        <v>60</v>
      </c>
      <c r="Y522" s="20" t="s">
        <v>412</v>
      </c>
      <c r="Z522" s="20" t="s">
        <v>60</v>
      </c>
      <c r="AA522" s="20" t="s">
        <v>491</v>
      </c>
    </row>
    <row r="523" spans="1:27" x14ac:dyDescent="0.2">
      <c r="A523" s="1">
        <v>46007</v>
      </c>
      <c r="B523" s="20" t="s">
        <v>334</v>
      </c>
      <c r="C523" s="20" t="s">
        <v>17</v>
      </c>
      <c r="D523" s="20" t="s">
        <v>14</v>
      </c>
      <c r="E523" s="20" t="s">
        <v>1013</v>
      </c>
      <c r="F523" s="20" t="s">
        <v>14</v>
      </c>
      <c r="G523" s="20">
        <v>2</v>
      </c>
      <c r="H523" s="20">
        <v>3</v>
      </c>
      <c r="I523" s="13">
        <v>0.6</v>
      </c>
      <c r="J523" s="20" t="s">
        <v>249</v>
      </c>
      <c r="L523" s="20" t="s">
        <v>60</v>
      </c>
      <c r="M523" s="20" t="s">
        <v>60</v>
      </c>
      <c r="N523" s="20" t="s">
        <v>14</v>
      </c>
      <c r="O523" s="20">
        <v>2</v>
      </c>
      <c r="P523" s="20">
        <v>3</v>
      </c>
      <c r="Q523" s="13">
        <v>0.62469919351055736</v>
      </c>
      <c r="R523" s="20" t="s">
        <v>249</v>
      </c>
      <c r="S523" s="20">
        <v>0.72538319159519415</v>
      </c>
      <c r="T523" s="20" t="s">
        <v>60</v>
      </c>
      <c r="U523" s="20" t="s">
        <v>60</v>
      </c>
      <c r="V523" s="20"/>
      <c r="W523" s="20"/>
      <c r="X523" s="20" t="s">
        <v>60</v>
      </c>
      <c r="Y523" s="20" t="s">
        <v>412</v>
      </c>
      <c r="Z523" s="20" t="s">
        <v>60</v>
      </c>
      <c r="AA523" s="20" t="s">
        <v>491</v>
      </c>
    </row>
    <row r="524" spans="1:27" x14ac:dyDescent="0.2">
      <c r="A524" s="1">
        <v>46007</v>
      </c>
      <c r="B524" s="20" t="s">
        <v>328</v>
      </c>
      <c r="C524" s="20" t="s">
        <v>38</v>
      </c>
      <c r="D524" s="20" t="s">
        <v>15</v>
      </c>
      <c r="E524" s="20" t="s">
        <v>1014</v>
      </c>
      <c r="F524" s="20" t="s">
        <v>15</v>
      </c>
      <c r="G524" s="20">
        <v>2</v>
      </c>
      <c r="H524" s="20">
        <v>3</v>
      </c>
      <c r="I524" s="13">
        <v>0.6</v>
      </c>
      <c r="J524" s="20" t="s">
        <v>249</v>
      </c>
      <c r="L524" s="20" t="s">
        <v>60</v>
      </c>
      <c r="M524" s="20" t="s">
        <v>60</v>
      </c>
      <c r="N524" s="20" t="s">
        <v>15</v>
      </c>
      <c r="O524" s="20">
        <v>2</v>
      </c>
      <c r="P524" s="20">
        <v>3</v>
      </c>
      <c r="Q524" s="13">
        <v>0.61904010632887752</v>
      </c>
      <c r="R524" s="20" t="s">
        <v>249</v>
      </c>
      <c r="S524" s="20">
        <v>0.70754451955002395</v>
      </c>
      <c r="T524" s="20" t="s">
        <v>60</v>
      </c>
      <c r="U524" s="20" t="s">
        <v>60</v>
      </c>
      <c r="V524" s="20"/>
      <c r="W524" s="20"/>
      <c r="X524" s="20" t="s">
        <v>60</v>
      </c>
      <c r="Y524" s="20" t="s">
        <v>412</v>
      </c>
      <c r="Z524" s="20" t="s">
        <v>60</v>
      </c>
      <c r="AA524" s="20" t="s">
        <v>491</v>
      </c>
    </row>
    <row r="525" spans="1:27" x14ac:dyDescent="0.2">
      <c r="A525" s="1">
        <v>46007</v>
      </c>
      <c r="B525" s="20" t="s">
        <v>328</v>
      </c>
      <c r="C525" s="20" t="s">
        <v>31</v>
      </c>
      <c r="D525" s="20" t="s">
        <v>28</v>
      </c>
      <c r="E525" s="20" t="s">
        <v>1015</v>
      </c>
      <c r="F525" s="20" t="s">
        <v>31</v>
      </c>
      <c r="G525" s="20">
        <v>2</v>
      </c>
      <c r="H525" s="20">
        <v>3</v>
      </c>
      <c r="I525" s="13">
        <v>0.6</v>
      </c>
      <c r="J525" s="20" t="s">
        <v>249</v>
      </c>
      <c r="L525" s="20" t="s">
        <v>60</v>
      </c>
      <c r="M525" s="20" t="s">
        <v>60</v>
      </c>
      <c r="N525" s="20" t="s">
        <v>31</v>
      </c>
      <c r="O525" s="20">
        <v>2</v>
      </c>
      <c r="P525" s="20">
        <v>3</v>
      </c>
      <c r="Q525" s="13">
        <v>0.56528259149285476</v>
      </c>
      <c r="R525" s="20" t="s">
        <v>249</v>
      </c>
      <c r="S525" s="20">
        <v>-0.72379167726664417</v>
      </c>
      <c r="T525" s="20" t="s">
        <v>60</v>
      </c>
      <c r="U525" s="20" t="s">
        <v>60</v>
      </c>
      <c r="V525" s="20"/>
      <c r="W525" s="20"/>
      <c r="X525" s="20" t="s">
        <v>60</v>
      </c>
      <c r="Y525" s="20" t="s">
        <v>412</v>
      </c>
      <c r="Z525" s="20" t="s">
        <v>60</v>
      </c>
      <c r="AA525" s="20" t="s">
        <v>491</v>
      </c>
    </row>
    <row r="526" spans="1:27" x14ac:dyDescent="0.2">
      <c r="A526" s="1">
        <v>46007</v>
      </c>
      <c r="B526" s="20" t="s">
        <v>324</v>
      </c>
      <c r="C526" s="20" t="s">
        <v>22</v>
      </c>
      <c r="D526" s="20" t="s">
        <v>34</v>
      </c>
      <c r="E526" s="20" t="s">
        <v>1016</v>
      </c>
      <c r="F526" s="20" t="s">
        <v>22</v>
      </c>
      <c r="G526" s="20">
        <v>2</v>
      </c>
      <c r="H526" s="20">
        <v>3</v>
      </c>
      <c r="I526" s="13">
        <v>0.6</v>
      </c>
      <c r="J526" s="20" t="s">
        <v>249</v>
      </c>
      <c r="L526" s="20" t="s">
        <v>60</v>
      </c>
      <c r="M526" s="20" t="s">
        <v>60</v>
      </c>
      <c r="N526" s="20" t="s">
        <v>22</v>
      </c>
      <c r="O526" s="20">
        <v>2</v>
      </c>
      <c r="P526" s="20">
        <v>3</v>
      </c>
      <c r="Q526" s="13">
        <v>0.5545816202235333</v>
      </c>
      <c r="R526" s="20" t="s">
        <v>249</v>
      </c>
      <c r="S526" s="20">
        <v>-0.44593127138007332</v>
      </c>
      <c r="T526" s="20" t="s">
        <v>60</v>
      </c>
      <c r="U526" s="20" t="s">
        <v>60</v>
      </c>
      <c r="V526" s="20"/>
      <c r="W526" s="20"/>
      <c r="X526" s="20" t="s">
        <v>60</v>
      </c>
      <c r="Y526" s="20" t="s">
        <v>412</v>
      </c>
      <c r="Z526" s="20" t="s">
        <v>60</v>
      </c>
      <c r="AA526" s="20" t="s">
        <v>491</v>
      </c>
    </row>
    <row r="527" spans="1:27" x14ac:dyDescent="0.2">
      <c r="A527" s="1">
        <v>46007</v>
      </c>
      <c r="B527" s="20" t="s">
        <v>328</v>
      </c>
      <c r="C527" s="20" t="s">
        <v>30</v>
      </c>
      <c r="D527" s="20" t="s">
        <v>26</v>
      </c>
      <c r="E527" s="20" t="s">
        <v>329</v>
      </c>
      <c r="F527" s="20" t="s">
        <v>30</v>
      </c>
      <c r="G527" s="20">
        <v>2</v>
      </c>
      <c r="H527" s="20">
        <v>3</v>
      </c>
      <c r="I527" s="13">
        <v>0.6</v>
      </c>
      <c r="J527" s="20" t="s">
        <v>249</v>
      </c>
      <c r="L527" s="20" t="s">
        <v>60</v>
      </c>
      <c r="M527" s="20" t="s">
        <v>60</v>
      </c>
      <c r="N527" s="20" t="s">
        <v>30</v>
      </c>
      <c r="O527" s="20">
        <v>2</v>
      </c>
      <c r="P527" s="20">
        <v>3</v>
      </c>
      <c r="Q527" s="13">
        <v>0.6008729668922711</v>
      </c>
      <c r="R527" s="20" t="s">
        <v>249</v>
      </c>
      <c r="S527" s="20">
        <v>-0.5845068186678144</v>
      </c>
      <c r="T527" s="20" t="s">
        <v>60</v>
      </c>
      <c r="U527" s="20" t="s">
        <v>60</v>
      </c>
      <c r="V527" s="20"/>
      <c r="W527" s="20"/>
      <c r="X527" s="20" t="s">
        <v>60</v>
      </c>
      <c r="Y527" s="20" t="s">
        <v>412</v>
      </c>
      <c r="Z527" s="20" t="s">
        <v>60</v>
      </c>
      <c r="AA527" s="20" t="s">
        <v>491</v>
      </c>
    </row>
    <row r="528" spans="1:27" x14ac:dyDescent="0.2">
      <c r="A528" s="1">
        <v>46007</v>
      </c>
      <c r="B528" s="20" t="s">
        <v>328</v>
      </c>
      <c r="C528" s="20" t="s">
        <v>55</v>
      </c>
      <c r="D528" s="20" t="s">
        <v>21</v>
      </c>
      <c r="E528" s="20" t="s">
        <v>1017</v>
      </c>
      <c r="F528" s="20" t="s">
        <v>21</v>
      </c>
      <c r="G528" s="20">
        <v>2</v>
      </c>
      <c r="H528" s="20">
        <v>3</v>
      </c>
      <c r="I528" s="13">
        <v>0.6</v>
      </c>
      <c r="J528" s="20" t="s">
        <v>249</v>
      </c>
      <c r="L528" s="20" t="s">
        <v>60</v>
      </c>
      <c r="M528" s="20" t="s">
        <v>60</v>
      </c>
      <c r="N528" s="20" t="s">
        <v>21</v>
      </c>
      <c r="O528" s="20">
        <v>2</v>
      </c>
      <c r="P528" s="20">
        <v>3</v>
      </c>
      <c r="Q528" s="13">
        <v>0.61013743388930985</v>
      </c>
      <c r="R528" s="20" t="s">
        <v>249</v>
      </c>
      <c r="S528" s="20">
        <v>0.23325427749661329</v>
      </c>
      <c r="T528" s="20" t="s">
        <v>60</v>
      </c>
      <c r="U528" s="20" t="s">
        <v>60</v>
      </c>
      <c r="V528" s="20"/>
      <c r="W528" s="20"/>
      <c r="X528" s="20" t="s">
        <v>60</v>
      </c>
      <c r="Y528" s="20" t="s">
        <v>412</v>
      </c>
      <c r="Z528" s="20" t="s">
        <v>60</v>
      </c>
      <c r="AA528" s="20" t="s">
        <v>491</v>
      </c>
    </row>
    <row r="529" spans="1:27" x14ac:dyDescent="0.2">
      <c r="A529" s="1">
        <v>46007</v>
      </c>
      <c r="B529" s="20" t="s">
        <v>328</v>
      </c>
      <c r="C529" s="20" t="s">
        <v>27</v>
      </c>
      <c r="D529" s="20" t="s">
        <v>18</v>
      </c>
      <c r="E529" s="20" t="s">
        <v>783</v>
      </c>
      <c r="F529" s="20" t="s">
        <v>27</v>
      </c>
      <c r="G529" s="20">
        <v>2</v>
      </c>
      <c r="H529" s="20">
        <v>3</v>
      </c>
      <c r="I529" s="13">
        <v>0.6</v>
      </c>
      <c r="J529" s="20" t="s">
        <v>249</v>
      </c>
      <c r="L529" s="20" t="s">
        <v>60</v>
      </c>
      <c r="M529" s="20" t="s">
        <v>60</v>
      </c>
      <c r="N529" s="20" t="s">
        <v>27</v>
      </c>
      <c r="O529" s="20">
        <v>2</v>
      </c>
      <c r="P529" s="20">
        <v>3</v>
      </c>
      <c r="Q529" s="13">
        <v>0.52151594511207089</v>
      </c>
      <c r="R529" s="20" t="s">
        <v>249</v>
      </c>
      <c r="S529" s="20">
        <v>-0.16274929584434669</v>
      </c>
      <c r="T529" s="20" t="s">
        <v>60</v>
      </c>
      <c r="U529" s="20" t="s">
        <v>60</v>
      </c>
      <c r="V529" s="20"/>
      <c r="W529" s="20"/>
      <c r="X529" s="20" t="s">
        <v>60</v>
      </c>
      <c r="Y529" s="20" t="s">
        <v>412</v>
      </c>
      <c r="Z529" s="20" t="s">
        <v>60</v>
      </c>
      <c r="AA529" s="20" t="s">
        <v>491</v>
      </c>
    </row>
    <row r="530" spans="1:27" x14ac:dyDescent="0.2">
      <c r="A530" s="1">
        <v>46008</v>
      </c>
      <c r="B530" s="20" t="s">
        <v>322</v>
      </c>
      <c r="C530" s="20" t="s">
        <v>24</v>
      </c>
      <c r="D530" s="20" t="s">
        <v>20</v>
      </c>
      <c r="E530" s="20" t="s">
        <v>1018</v>
      </c>
      <c r="F530" s="20" t="s">
        <v>24</v>
      </c>
      <c r="G530" s="20">
        <v>2</v>
      </c>
      <c r="H530" s="20">
        <v>3</v>
      </c>
      <c r="I530" s="13">
        <v>0.6</v>
      </c>
      <c r="J530" s="20" t="s">
        <v>249</v>
      </c>
      <c r="L530" s="20" t="s">
        <v>60</v>
      </c>
      <c r="M530" s="20" t="s">
        <v>60</v>
      </c>
      <c r="N530" s="20" t="s">
        <v>24</v>
      </c>
      <c r="O530" s="20">
        <v>2</v>
      </c>
      <c r="P530" s="20">
        <v>3</v>
      </c>
      <c r="Q530" s="13">
        <v>0.50366333584072343</v>
      </c>
      <c r="R530" s="20" t="s">
        <v>249</v>
      </c>
      <c r="S530" s="20">
        <v>-0.1960703321620782</v>
      </c>
      <c r="T530" s="20" t="s">
        <v>60</v>
      </c>
      <c r="U530" s="20" t="s">
        <v>60</v>
      </c>
      <c r="V530" s="20"/>
      <c r="W530" s="20"/>
      <c r="X530" s="20" t="s">
        <v>60</v>
      </c>
      <c r="Y530" s="20" t="s">
        <v>412</v>
      </c>
      <c r="Z530" s="20" t="s">
        <v>60</v>
      </c>
      <c r="AA530" s="20" t="s">
        <v>491</v>
      </c>
    </row>
    <row r="531" spans="1:27" x14ac:dyDescent="0.2">
      <c r="A531" s="1">
        <v>46008</v>
      </c>
      <c r="B531" s="20" t="s">
        <v>324</v>
      </c>
      <c r="C531" s="20" t="s">
        <v>25</v>
      </c>
      <c r="D531" s="20" t="s">
        <v>29</v>
      </c>
      <c r="E531" s="20" t="s">
        <v>1019</v>
      </c>
      <c r="F531" s="20" t="s">
        <v>25</v>
      </c>
      <c r="G531" s="20">
        <v>2</v>
      </c>
      <c r="H531" s="20">
        <v>3</v>
      </c>
      <c r="I531" s="13">
        <v>0.6</v>
      </c>
      <c r="J531" s="20" t="s">
        <v>249</v>
      </c>
      <c r="L531" s="20" t="s">
        <v>60</v>
      </c>
      <c r="M531" s="20" t="s">
        <v>60</v>
      </c>
      <c r="N531" s="20" t="s">
        <v>25</v>
      </c>
      <c r="O531" s="20">
        <v>2</v>
      </c>
      <c r="P531" s="20">
        <v>3</v>
      </c>
      <c r="Q531" s="13">
        <v>0.73820990779345019</v>
      </c>
      <c r="R531" s="20" t="s">
        <v>249</v>
      </c>
      <c r="S531" s="20">
        <v>-1.7606916722154511</v>
      </c>
      <c r="T531" s="20" t="s">
        <v>60</v>
      </c>
      <c r="U531" s="20" t="s">
        <v>60</v>
      </c>
      <c r="V531" s="20"/>
      <c r="W531" s="20"/>
      <c r="X531" s="20" t="s">
        <v>60</v>
      </c>
      <c r="Y531" s="20" t="s">
        <v>412</v>
      </c>
      <c r="Z531" s="20" t="s">
        <v>60</v>
      </c>
      <c r="AA531" s="20" t="s">
        <v>491</v>
      </c>
    </row>
    <row r="532" spans="1:27" x14ac:dyDescent="0.2">
      <c r="A532" s="1">
        <v>46008</v>
      </c>
      <c r="B532" s="20" t="s">
        <v>324</v>
      </c>
      <c r="C532" s="20" t="s">
        <v>40</v>
      </c>
      <c r="D532" s="20" t="s">
        <v>35</v>
      </c>
      <c r="E532" s="20" t="s">
        <v>1020</v>
      </c>
      <c r="F532" s="20" t="s">
        <v>40</v>
      </c>
      <c r="G532" s="20">
        <v>2</v>
      </c>
      <c r="H532" s="20">
        <v>3</v>
      </c>
      <c r="I532" s="13">
        <v>0.6</v>
      </c>
      <c r="J532" s="20" t="s">
        <v>249</v>
      </c>
      <c r="L532" s="20" t="s">
        <v>60</v>
      </c>
      <c r="M532" s="20" t="s">
        <v>60</v>
      </c>
      <c r="N532" s="20" t="s">
        <v>40</v>
      </c>
      <c r="O532" s="20">
        <v>2</v>
      </c>
      <c r="P532" s="20">
        <v>3</v>
      </c>
      <c r="Q532" s="13">
        <v>0.60119290676073633</v>
      </c>
      <c r="R532" s="20" t="s">
        <v>249</v>
      </c>
      <c r="S532" s="20">
        <v>-1.031335799241768</v>
      </c>
      <c r="T532" s="20" t="s">
        <v>60</v>
      </c>
      <c r="U532" s="20" t="s">
        <v>60</v>
      </c>
      <c r="V532" s="20"/>
      <c r="W532" s="20"/>
      <c r="X532" s="20" t="s">
        <v>60</v>
      </c>
      <c r="Y532" s="20" t="s">
        <v>412</v>
      </c>
      <c r="Z532" s="20" t="s">
        <v>60</v>
      </c>
      <c r="AA532" s="20" t="s">
        <v>491</v>
      </c>
    </row>
    <row r="533" spans="1:27" x14ac:dyDescent="0.2">
      <c r="A533" s="1">
        <v>46008</v>
      </c>
      <c r="B533" s="20" t="s">
        <v>334</v>
      </c>
      <c r="C533" s="20" t="s">
        <v>55</v>
      </c>
      <c r="D533" s="20" t="s">
        <v>26</v>
      </c>
      <c r="E533" s="20" t="s">
        <v>1021</v>
      </c>
      <c r="F533" s="20" t="s">
        <v>55</v>
      </c>
      <c r="G533" s="20">
        <v>2</v>
      </c>
      <c r="H533" s="20">
        <v>3</v>
      </c>
      <c r="I533" s="13">
        <v>0.6</v>
      </c>
      <c r="J533" s="20" t="s">
        <v>249</v>
      </c>
      <c r="L533" s="20" t="s">
        <v>60</v>
      </c>
      <c r="M533" s="20" t="s">
        <v>60</v>
      </c>
      <c r="N533" s="20" t="s">
        <v>55</v>
      </c>
      <c r="O533" s="20">
        <v>2</v>
      </c>
      <c r="P533" s="20">
        <v>3</v>
      </c>
      <c r="Q533" s="13">
        <v>0.50931157071984945</v>
      </c>
      <c r="R533" s="20" t="s">
        <v>249</v>
      </c>
      <c r="S533" s="20">
        <v>-0.42231552708796449</v>
      </c>
      <c r="T533" s="20" t="s">
        <v>60</v>
      </c>
      <c r="U533" s="20" t="s">
        <v>60</v>
      </c>
      <c r="V533" s="20"/>
      <c r="W533" s="20"/>
      <c r="X533" s="20" t="s">
        <v>60</v>
      </c>
      <c r="Y533" s="20" t="s">
        <v>412</v>
      </c>
      <c r="Z533" s="20" t="s">
        <v>60</v>
      </c>
      <c r="AA533" s="20" t="s">
        <v>491</v>
      </c>
    </row>
    <row r="534" spans="1:27" x14ac:dyDescent="0.2">
      <c r="A534" s="1">
        <v>46008</v>
      </c>
      <c r="B534" s="20" t="s">
        <v>328</v>
      </c>
      <c r="C534" s="20" t="s">
        <v>13</v>
      </c>
      <c r="D534" s="20" t="s">
        <v>11</v>
      </c>
      <c r="E534" s="20" t="s">
        <v>1022</v>
      </c>
      <c r="F534" s="20" t="s">
        <v>13</v>
      </c>
      <c r="G534" s="20">
        <v>2</v>
      </c>
      <c r="H534" s="20">
        <v>3</v>
      </c>
      <c r="I534" s="13">
        <v>0.6</v>
      </c>
      <c r="J534" s="20" t="s">
        <v>249</v>
      </c>
      <c r="L534" s="20" t="s">
        <v>60</v>
      </c>
      <c r="M534" s="20" t="s">
        <v>60</v>
      </c>
      <c r="N534" s="20" t="s">
        <v>13</v>
      </c>
      <c r="O534" s="20">
        <v>2</v>
      </c>
      <c r="P534" s="20">
        <v>3</v>
      </c>
      <c r="Q534" s="13">
        <v>0.51323829170620494</v>
      </c>
      <c r="R534" s="20" t="s">
        <v>249</v>
      </c>
      <c r="S534" s="20">
        <v>-8.9339434637303872E-3</v>
      </c>
      <c r="T534" s="20" t="s">
        <v>60</v>
      </c>
      <c r="U534" s="20" t="s">
        <v>60</v>
      </c>
      <c r="V534" s="20"/>
      <c r="W534" s="20"/>
      <c r="X534" s="20" t="s">
        <v>60</v>
      </c>
      <c r="Y534" s="20" t="s">
        <v>412</v>
      </c>
      <c r="Z534" s="20" t="s">
        <v>60</v>
      </c>
      <c r="AA534" s="20" t="s">
        <v>491</v>
      </c>
    </row>
    <row r="535" spans="1:27" x14ac:dyDescent="0.2">
      <c r="A535" s="1">
        <v>46009</v>
      </c>
      <c r="B535" s="20" t="s">
        <v>328</v>
      </c>
      <c r="C535" s="20" t="s">
        <v>13</v>
      </c>
      <c r="D535" s="20" t="s">
        <v>37</v>
      </c>
      <c r="E535" s="20" t="s">
        <v>1023</v>
      </c>
      <c r="F535" s="20" t="s">
        <v>37</v>
      </c>
      <c r="G535" s="20">
        <v>2</v>
      </c>
      <c r="H535" s="20">
        <v>3</v>
      </c>
      <c r="I535" s="13">
        <v>0.6</v>
      </c>
      <c r="J535" s="20" t="s">
        <v>249</v>
      </c>
      <c r="L535" s="20" t="s">
        <v>60</v>
      </c>
      <c r="M535" s="20" t="s">
        <v>60</v>
      </c>
      <c r="N535" s="20" t="s">
        <v>37</v>
      </c>
      <c r="O535" s="20">
        <v>2</v>
      </c>
      <c r="P535" s="20">
        <v>3</v>
      </c>
      <c r="Q535" s="13">
        <v>0.6112643527464019</v>
      </c>
      <c r="R535" s="20" t="s">
        <v>249</v>
      </c>
      <c r="S535" s="20">
        <v>0.89868929434698042</v>
      </c>
      <c r="T535" s="20" t="s">
        <v>60</v>
      </c>
      <c r="U535" s="20" t="s">
        <v>60</v>
      </c>
      <c r="V535" s="20"/>
      <c r="W535" s="20"/>
      <c r="X535" s="20" t="s">
        <v>60</v>
      </c>
      <c r="Y535" s="20" t="s">
        <v>412</v>
      </c>
      <c r="Z535" s="20" t="s">
        <v>60</v>
      </c>
      <c r="AA535" s="20" t="s">
        <v>491</v>
      </c>
    </row>
    <row r="536" spans="1:27" x14ac:dyDescent="0.2">
      <c r="A536" s="1">
        <v>46009</v>
      </c>
      <c r="B536" s="20" t="s">
        <v>324</v>
      </c>
      <c r="C536" s="20" t="s">
        <v>15</v>
      </c>
      <c r="D536" s="20" t="s">
        <v>35</v>
      </c>
      <c r="E536" s="20" t="s">
        <v>1024</v>
      </c>
      <c r="F536" s="20" t="s">
        <v>15</v>
      </c>
      <c r="G536" s="20">
        <v>2</v>
      </c>
      <c r="H536" s="20">
        <v>3</v>
      </c>
      <c r="I536" s="13">
        <v>0.6</v>
      </c>
      <c r="J536" s="20" t="s">
        <v>249</v>
      </c>
      <c r="L536" s="20" t="s">
        <v>60</v>
      </c>
      <c r="M536" s="20" t="s">
        <v>60</v>
      </c>
      <c r="N536" s="20" t="s">
        <v>15</v>
      </c>
      <c r="O536" s="20">
        <v>2</v>
      </c>
      <c r="P536" s="20">
        <v>3</v>
      </c>
      <c r="Q536" s="13">
        <v>0.68321500014802006</v>
      </c>
      <c r="R536" s="20" t="s">
        <v>249</v>
      </c>
      <c r="S536" s="20">
        <v>-1.0545436385406179</v>
      </c>
      <c r="T536" s="20" t="s">
        <v>60</v>
      </c>
      <c r="U536" s="20" t="s">
        <v>60</v>
      </c>
      <c r="V536" s="20"/>
      <c r="W536" s="20"/>
      <c r="X536" s="20" t="s">
        <v>60</v>
      </c>
      <c r="Y536" s="20" t="s">
        <v>412</v>
      </c>
      <c r="Z536" s="20" t="s">
        <v>60</v>
      </c>
      <c r="AA536" s="20" t="s">
        <v>491</v>
      </c>
    </row>
    <row r="537" spans="1:27" x14ac:dyDescent="0.2">
      <c r="A537" s="1">
        <v>46009</v>
      </c>
      <c r="B537" s="20" t="s">
        <v>322</v>
      </c>
      <c r="C537" s="20" t="s">
        <v>39</v>
      </c>
      <c r="D537" s="20" t="s">
        <v>33</v>
      </c>
      <c r="E537" s="20" t="s">
        <v>1025</v>
      </c>
      <c r="F537" s="20" t="s">
        <v>39</v>
      </c>
      <c r="G537" s="20">
        <v>2</v>
      </c>
      <c r="H537" s="20">
        <v>3</v>
      </c>
      <c r="I537" s="13">
        <v>0.6</v>
      </c>
      <c r="J537" s="20" t="s">
        <v>249</v>
      </c>
      <c r="L537" s="20" t="s">
        <v>60</v>
      </c>
      <c r="M537" s="20" t="s">
        <v>60</v>
      </c>
      <c r="N537" s="20" t="s">
        <v>39</v>
      </c>
      <c r="O537" s="20">
        <v>2</v>
      </c>
      <c r="P537" s="20">
        <v>3</v>
      </c>
      <c r="Q537" s="13">
        <v>0.64687255760983398</v>
      </c>
      <c r="R537" s="20" t="s">
        <v>249</v>
      </c>
      <c r="S537" s="20">
        <v>-0.81487274531420062</v>
      </c>
      <c r="T537" s="20" t="s">
        <v>60</v>
      </c>
      <c r="U537" s="20" t="s">
        <v>60</v>
      </c>
      <c r="V537" s="20"/>
      <c r="W537" s="20"/>
      <c r="X537" s="20" t="s">
        <v>60</v>
      </c>
      <c r="Y537" s="20" t="s">
        <v>412</v>
      </c>
      <c r="Z537" s="20" t="s">
        <v>60</v>
      </c>
      <c r="AA537" s="20" t="s">
        <v>491</v>
      </c>
    </row>
    <row r="538" spans="1:27" x14ac:dyDescent="0.2">
      <c r="A538" s="1">
        <v>46009</v>
      </c>
      <c r="B538" s="20" t="s">
        <v>328</v>
      </c>
      <c r="C538" s="20" t="s">
        <v>14</v>
      </c>
      <c r="D538" s="20" t="s">
        <v>36</v>
      </c>
      <c r="E538" s="20" t="s">
        <v>1026</v>
      </c>
      <c r="F538" s="20" t="s">
        <v>14</v>
      </c>
      <c r="G538" s="20">
        <v>2</v>
      </c>
      <c r="H538" s="20">
        <v>3</v>
      </c>
      <c r="I538" s="13">
        <v>0.6</v>
      </c>
      <c r="J538" s="20" t="s">
        <v>249</v>
      </c>
      <c r="L538" s="20" t="s">
        <v>60</v>
      </c>
      <c r="M538" s="20" t="s">
        <v>60</v>
      </c>
      <c r="N538" s="20" t="s">
        <v>14</v>
      </c>
      <c r="O538" s="20">
        <v>2</v>
      </c>
      <c r="P538" s="20">
        <v>3</v>
      </c>
      <c r="Q538" s="13">
        <v>0.5363820935805419</v>
      </c>
      <c r="R538" s="20" t="s">
        <v>249</v>
      </c>
      <c r="S538" s="20">
        <v>-0.33921108037618608</v>
      </c>
      <c r="T538" s="20" t="s">
        <v>60</v>
      </c>
      <c r="U538" s="20" t="s">
        <v>60</v>
      </c>
      <c r="V538" s="20"/>
      <c r="W538" s="20"/>
      <c r="X538" s="20" t="s">
        <v>60</v>
      </c>
      <c r="Y538" s="20" t="s">
        <v>412</v>
      </c>
      <c r="Z538" s="20" t="s">
        <v>60</v>
      </c>
      <c r="AA538" s="20" t="s">
        <v>491</v>
      </c>
    </row>
    <row r="539" spans="1:27" x14ac:dyDescent="0.2">
      <c r="A539" s="1">
        <v>46009</v>
      </c>
      <c r="B539" s="20" t="s">
        <v>328</v>
      </c>
      <c r="C539" s="20" t="s">
        <v>19</v>
      </c>
      <c r="D539" s="20" t="s">
        <v>22</v>
      </c>
      <c r="E539" s="20" t="s">
        <v>447</v>
      </c>
      <c r="F539" s="20" t="s">
        <v>22</v>
      </c>
      <c r="G539" s="20">
        <v>2</v>
      </c>
      <c r="H539" s="20">
        <v>3</v>
      </c>
      <c r="I539" s="13">
        <v>0.6</v>
      </c>
      <c r="J539" s="20" t="s">
        <v>249</v>
      </c>
      <c r="L539" s="20" t="s">
        <v>60</v>
      </c>
      <c r="M539" s="20" t="s">
        <v>60</v>
      </c>
      <c r="N539" s="20" t="s">
        <v>22</v>
      </c>
      <c r="O539" s="20">
        <v>2</v>
      </c>
      <c r="P539" s="20">
        <v>3</v>
      </c>
      <c r="Q539" s="13">
        <v>0.69740819835070078</v>
      </c>
      <c r="R539" s="20" t="s">
        <v>249</v>
      </c>
      <c r="S539" s="20">
        <v>1.1250865730959001</v>
      </c>
      <c r="T539" s="20" t="s">
        <v>60</v>
      </c>
      <c r="U539" s="20" t="s">
        <v>60</v>
      </c>
      <c r="V539" s="20"/>
      <c r="W539" s="20"/>
      <c r="X539" s="20" t="s">
        <v>60</v>
      </c>
      <c r="Y539" s="20" t="s">
        <v>412</v>
      </c>
      <c r="Z539" s="20" t="s">
        <v>60</v>
      </c>
      <c r="AA539" s="20" t="s">
        <v>491</v>
      </c>
    </row>
    <row r="540" spans="1:27" x14ac:dyDescent="0.2">
      <c r="A540" s="1">
        <v>46009</v>
      </c>
      <c r="B540" s="20" t="s">
        <v>326</v>
      </c>
      <c r="C540" s="20" t="s">
        <v>32</v>
      </c>
      <c r="D540" s="20" t="s">
        <v>16</v>
      </c>
      <c r="E540" s="20" t="s">
        <v>1027</v>
      </c>
      <c r="F540" s="20" t="s">
        <v>32</v>
      </c>
      <c r="G540" s="20">
        <v>2</v>
      </c>
      <c r="H540" s="20">
        <v>3</v>
      </c>
      <c r="I540" s="13">
        <v>0.6</v>
      </c>
      <c r="J540" s="20" t="s">
        <v>249</v>
      </c>
      <c r="L540" s="20" t="s">
        <v>60</v>
      </c>
      <c r="M540" s="20" t="s">
        <v>60</v>
      </c>
      <c r="N540" s="20" t="s">
        <v>32</v>
      </c>
      <c r="O540" s="20">
        <v>2</v>
      </c>
      <c r="P540" s="20">
        <v>3</v>
      </c>
      <c r="Q540" s="13">
        <v>0.50279466887553537</v>
      </c>
      <c r="R540" s="20" t="s">
        <v>249</v>
      </c>
      <c r="S540" s="20">
        <v>-0.36650329484336841</v>
      </c>
      <c r="T540" s="20" t="s">
        <v>60</v>
      </c>
      <c r="U540" s="20" t="s">
        <v>60</v>
      </c>
      <c r="V540" s="20"/>
      <c r="W540" s="20"/>
      <c r="X540" s="20" t="s">
        <v>60</v>
      </c>
      <c r="Y540" s="20" t="s">
        <v>412</v>
      </c>
      <c r="Z540" s="20" t="s">
        <v>60</v>
      </c>
      <c r="AA540" s="20" t="s">
        <v>491</v>
      </c>
    </row>
    <row r="541" spans="1:27" x14ac:dyDescent="0.2">
      <c r="A541" s="1">
        <v>46009</v>
      </c>
      <c r="B541" s="20" t="s">
        <v>328</v>
      </c>
      <c r="C541" s="20" t="s">
        <v>34</v>
      </c>
      <c r="D541" s="20" t="s">
        <v>28</v>
      </c>
      <c r="E541" s="20" t="s">
        <v>1028</v>
      </c>
      <c r="F541" s="20" t="s">
        <v>34</v>
      </c>
      <c r="G541" s="20">
        <v>2</v>
      </c>
      <c r="H541" s="20">
        <v>3</v>
      </c>
      <c r="I541" s="13">
        <v>0.6</v>
      </c>
      <c r="J541" s="20" t="s">
        <v>249</v>
      </c>
      <c r="L541" s="20" t="s">
        <v>60</v>
      </c>
      <c r="M541" s="20" t="s">
        <v>60</v>
      </c>
      <c r="N541" s="20" t="s">
        <v>34</v>
      </c>
      <c r="O541" s="20">
        <v>2</v>
      </c>
      <c r="P541" s="20">
        <v>3</v>
      </c>
      <c r="Q541" s="13">
        <v>0.55972307575107316</v>
      </c>
      <c r="R541" s="20" t="s">
        <v>249</v>
      </c>
      <c r="S541" s="20">
        <v>-0.48996386797789898</v>
      </c>
      <c r="T541" s="20" t="s">
        <v>60</v>
      </c>
      <c r="U541" s="20" t="s">
        <v>60</v>
      </c>
      <c r="V541" s="20"/>
      <c r="W541" s="20"/>
      <c r="X541" s="20" t="s">
        <v>60</v>
      </c>
      <c r="Y541" s="20" t="s">
        <v>412</v>
      </c>
      <c r="Z541" s="20" t="s">
        <v>60</v>
      </c>
      <c r="AA541" s="20" t="s">
        <v>491</v>
      </c>
    </row>
    <row r="542" spans="1:27" x14ac:dyDescent="0.2">
      <c r="A542" s="1">
        <v>46009</v>
      </c>
      <c r="B542" s="20" t="s">
        <v>334</v>
      </c>
      <c r="C542" s="20" t="s">
        <v>27</v>
      </c>
      <c r="D542" s="20" t="s">
        <v>23</v>
      </c>
      <c r="E542" s="20" t="s">
        <v>1029</v>
      </c>
      <c r="F542" s="20" t="s">
        <v>27</v>
      </c>
      <c r="G542" s="20">
        <v>2</v>
      </c>
      <c r="H542" s="20">
        <v>3</v>
      </c>
      <c r="I542" s="13">
        <v>0.6</v>
      </c>
      <c r="J542" s="20" t="s">
        <v>249</v>
      </c>
      <c r="L542" s="20" t="s">
        <v>60</v>
      </c>
      <c r="M542" s="20" t="s">
        <v>60</v>
      </c>
      <c r="N542" s="20" t="s">
        <v>27</v>
      </c>
      <c r="O542" s="20">
        <v>2</v>
      </c>
      <c r="P542" s="20">
        <v>3</v>
      </c>
      <c r="Q542" s="13">
        <v>0.49767538033956632</v>
      </c>
      <c r="R542" s="20" t="s">
        <v>249</v>
      </c>
      <c r="S542" s="20">
        <v>-4.5970103311111177E-2</v>
      </c>
      <c r="T542" s="20" t="s">
        <v>60</v>
      </c>
      <c r="U542" s="20" t="s">
        <v>60</v>
      </c>
      <c r="V542" s="20"/>
      <c r="W542" s="20"/>
      <c r="X542" s="20" t="s">
        <v>60</v>
      </c>
      <c r="Y542" s="20" t="s">
        <v>412</v>
      </c>
      <c r="Z542" s="20" t="s">
        <v>60</v>
      </c>
      <c r="AA542" s="20" t="s">
        <v>491</v>
      </c>
    </row>
    <row r="543" spans="1:27" x14ac:dyDescent="0.2">
      <c r="A543" s="1">
        <v>46009</v>
      </c>
      <c r="B543" s="20" t="s">
        <v>328</v>
      </c>
      <c r="C543" s="20" t="s">
        <v>17</v>
      </c>
      <c r="D543" s="20" t="s">
        <v>21</v>
      </c>
      <c r="E543" s="20" t="s">
        <v>1030</v>
      </c>
      <c r="F543" s="20" t="s">
        <v>21</v>
      </c>
      <c r="G543" s="20">
        <v>2</v>
      </c>
      <c r="H543" s="20">
        <v>3</v>
      </c>
      <c r="I543" s="13">
        <v>0.6</v>
      </c>
      <c r="J543" s="20" t="s">
        <v>249</v>
      </c>
      <c r="L543" s="20" t="s">
        <v>60</v>
      </c>
      <c r="M543" s="20" t="s">
        <v>60</v>
      </c>
      <c r="N543" s="20" t="s">
        <v>21</v>
      </c>
      <c r="O543" s="20">
        <v>2</v>
      </c>
      <c r="P543" s="20">
        <v>3</v>
      </c>
      <c r="Q543" s="13">
        <v>0.65855083235008804</v>
      </c>
      <c r="R543" s="20" t="s">
        <v>249</v>
      </c>
      <c r="S543" s="20">
        <v>0.64787765271295261</v>
      </c>
      <c r="T543" s="20" t="s">
        <v>60</v>
      </c>
      <c r="U543" s="20" t="s">
        <v>60</v>
      </c>
      <c r="V543" s="20"/>
      <c r="W543" s="20"/>
      <c r="X543" s="20" t="s">
        <v>60</v>
      </c>
      <c r="Y543" s="20" t="s">
        <v>412</v>
      </c>
      <c r="Z543" s="20" t="s">
        <v>60</v>
      </c>
      <c r="AA543" s="20" t="s">
        <v>491</v>
      </c>
    </row>
    <row r="544" spans="1:27" x14ac:dyDescent="0.2">
      <c r="A544" s="1">
        <v>46009</v>
      </c>
      <c r="B544" s="20" t="s">
        <v>328</v>
      </c>
      <c r="C544" s="20" t="s">
        <v>10</v>
      </c>
      <c r="D544" s="20" t="s">
        <v>18</v>
      </c>
      <c r="E544" s="20" t="s">
        <v>1031</v>
      </c>
      <c r="F544" s="20" t="s">
        <v>10</v>
      </c>
      <c r="G544" s="20">
        <v>2</v>
      </c>
      <c r="H544" s="20">
        <v>3</v>
      </c>
      <c r="I544" s="13">
        <v>0.6</v>
      </c>
      <c r="J544" s="20" t="s">
        <v>249</v>
      </c>
      <c r="L544" s="20" t="s">
        <v>60</v>
      </c>
      <c r="M544" s="20" t="s">
        <v>60</v>
      </c>
      <c r="N544" s="20" t="s">
        <v>10</v>
      </c>
      <c r="O544" s="20">
        <v>2</v>
      </c>
      <c r="P544" s="20">
        <v>3</v>
      </c>
      <c r="Q544" s="13">
        <v>0.50282845234418938</v>
      </c>
      <c r="R544" s="20" t="s">
        <v>249</v>
      </c>
      <c r="S544" s="20">
        <v>-0.36679262416634911</v>
      </c>
      <c r="T544" s="20" t="s">
        <v>60</v>
      </c>
      <c r="U544" s="20" t="s">
        <v>60</v>
      </c>
      <c r="V544" s="20"/>
      <c r="W544" s="20"/>
      <c r="X544" s="20" t="s">
        <v>60</v>
      </c>
      <c r="Y544" s="20" t="s">
        <v>412</v>
      </c>
      <c r="Z544" s="20" t="s">
        <v>60</v>
      </c>
      <c r="AA544" s="20" t="s">
        <v>491</v>
      </c>
    </row>
    <row r="545" spans="1:27" x14ac:dyDescent="0.2">
      <c r="A545" s="1">
        <v>46010</v>
      </c>
      <c r="B545" s="20" t="s">
        <v>322</v>
      </c>
      <c r="C545" s="20" t="s">
        <v>39</v>
      </c>
      <c r="D545" s="20" t="s">
        <v>31</v>
      </c>
      <c r="E545" s="20" t="s">
        <v>1032</v>
      </c>
      <c r="F545" s="20" t="s">
        <v>39</v>
      </c>
      <c r="G545" s="20">
        <v>2</v>
      </c>
      <c r="H545" s="20">
        <v>3</v>
      </c>
      <c r="I545" s="13">
        <v>0.6</v>
      </c>
      <c r="J545" s="20" t="s">
        <v>249</v>
      </c>
      <c r="L545" s="20" t="s">
        <v>60</v>
      </c>
      <c r="M545" s="20" t="s">
        <v>60</v>
      </c>
      <c r="N545" s="20" t="s">
        <v>39</v>
      </c>
      <c r="O545" s="20">
        <v>2</v>
      </c>
      <c r="P545" s="20">
        <v>3</v>
      </c>
      <c r="Q545" s="13">
        <v>0.50158264988004087</v>
      </c>
      <c r="R545" s="20" t="s">
        <v>249</v>
      </c>
      <c r="S545" s="20">
        <v>-0.184838731092691</v>
      </c>
      <c r="T545" s="20" t="s">
        <v>60</v>
      </c>
      <c r="U545" s="20" t="s">
        <v>60</v>
      </c>
      <c r="V545" s="20"/>
      <c r="W545" s="20"/>
      <c r="X545" s="20" t="s">
        <v>60</v>
      </c>
      <c r="Y545" s="20" t="s">
        <v>412</v>
      </c>
      <c r="Z545" s="20" t="s">
        <v>60</v>
      </c>
      <c r="AA545" s="20" t="s">
        <v>491</v>
      </c>
    </row>
    <row r="546" spans="1:27" x14ac:dyDescent="0.2">
      <c r="A546" s="1">
        <v>46010</v>
      </c>
      <c r="B546" s="20" t="s">
        <v>326</v>
      </c>
      <c r="C546" s="20" t="s">
        <v>40</v>
      </c>
      <c r="D546" s="20" t="s">
        <v>12</v>
      </c>
      <c r="E546" s="20" t="s">
        <v>1033</v>
      </c>
      <c r="F546" s="20" t="s">
        <v>12</v>
      </c>
      <c r="G546" s="20">
        <v>2</v>
      </c>
      <c r="H546" s="20">
        <v>3</v>
      </c>
      <c r="I546" s="13">
        <v>0.6</v>
      </c>
      <c r="J546" s="20" t="s">
        <v>249</v>
      </c>
      <c r="L546" s="20" t="s">
        <v>60</v>
      </c>
      <c r="M546" s="20" t="s">
        <v>60</v>
      </c>
      <c r="N546" s="20" t="s">
        <v>12</v>
      </c>
      <c r="O546" s="20">
        <v>2</v>
      </c>
      <c r="P546" s="20">
        <v>3</v>
      </c>
      <c r="Q546" s="13">
        <v>0.85795109226563959</v>
      </c>
      <c r="R546" s="20" t="s">
        <v>249</v>
      </c>
      <c r="S546" s="20">
        <v>1.99504623113293</v>
      </c>
      <c r="T546" s="20" t="s">
        <v>60</v>
      </c>
      <c r="U546" s="20" t="s">
        <v>60</v>
      </c>
      <c r="V546" s="20"/>
      <c r="W546" s="20"/>
      <c r="X546" s="20" t="s">
        <v>60</v>
      </c>
      <c r="Y546" s="20" t="s">
        <v>412</v>
      </c>
      <c r="Z546" s="20" t="s">
        <v>60</v>
      </c>
      <c r="AA546" s="20" t="s">
        <v>491</v>
      </c>
    </row>
    <row r="547" spans="1:27" x14ac:dyDescent="0.2">
      <c r="A547" s="1">
        <v>46010</v>
      </c>
      <c r="B547" s="20" t="s">
        <v>328</v>
      </c>
      <c r="C547" s="20" t="s">
        <v>25</v>
      </c>
      <c r="D547" s="20" t="s">
        <v>11</v>
      </c>
      <c r="E547" s="20" t="s">
        <v>1034</v>
      </c>
      <c r="F547" s="20" t="s">
        <v>25</v>
      </c>
      <c r="G547" s="20">
        <v>2</v>
      </c>
      <c r="H547" s="20">
        <v>3</v>
      </c>
      <c r="I547" s="13">
        <v>0.6</v>
      </c>
      <c r="J547" s="20" t="s">
        <v>249</v>
      </c>
      <c r="L547" s="20" t="s">
        <v>60</v>
      </c>
      <c r="M547" s="20" t="s">
        <v>60</v>
      </c>
      <c r="N547" s="20" t="s">
        <v>25</v>
      </c>
      <c r="O547" s="20">
        <v>2</v>
      </c>
      <c r="P547" s="20">
        <v>3</v>
      </c>
      <c r="Q547" s="13">
        <v>0.60876514592839726</v>
      </c>
      <c r="R547" s="20" t="s">
        <v>249</v>
      </c>
      <c r="S547" s="20">
        <v>-0.7728926794694968</v>
      </c>
      <c r="T547" s="20" t="s">
        <v>60</v>
      </c>
      <c r="U547" s="20" t="s">
        <v>60</v>
      </c>
      <c r="V547" s="20"/>
      <c r="W547" s="20"/>
      <c r="X547" s="20" t="s">
        <v>60</v>
      </c>
      <c r="Y547" s="20" t="s">
        <v>412</v>
      </c>
      <c r="Z547" s="20" t="s">
        <v>60</v>
      </c>
      <c r="AA547" s="20" t="s">
        <v>491</v>
      </c>
    </row>
    <row r="548" spans="1:27" x14ac:dyDescent="0.2">
      <c r="A548" s="1">
        <v>46010</v>
      </c>
      <c r="B548" s="20" t="s">
        <v>328</v>
      </c>
      <c r="C548" s="20" t="s">
        <v>38</v>
      </c>
      <c r="D548" s="20" t="s">
        <v>30</v>
      </c>
      <c r="E548" s="20" t="s">
        <v>1035</v>
      </c>
      <c r="F548" s="20" t="s">
        <v>30</v>
      </c>
      <c r="G548" s="20">
        <v>2</v>
      </c>
      <c r="H548" s="20">
        <v>3</v>
      </c>
      <c r="I548" s="13">
        <v>0.6</v>
      </c>
      <c r="J548" s="20" t="s">
        <v>249</v>
      </c>
      <c r="L548" s="20" t="s">
        <v>60</v>
      </c>
      <c r="M548" s="20" t="s">
        <v>60</v>
      </c>
      <c r="N548" s="20" t="s">
        <v>30</v>
      </c>
      <c r="O548" s="20">
        <v>2</v>
      </c>
      <c r="P548" s="20">
        <v>3</v>
      </c>
      <c r="Q548" s="13">
        <v>0.62477348800970889</v>
      </c>
      <c r="R548" s="20" t="s">
        <v>249</v>
      </c>
      <c r="S548" s="20">
        <v>0.75664650659263388</v>
      </c>
      <c r="T548" s="20" t="s">
        <v>60</v>
      </c>
      <c r="U548" s="20" t="s">
        <v>60</v>
      </c>
      <c r="V548" s="20"/>
      <c r="W548" s="20"/>
      <c r="X548" s="20" t="s">
        <v>60</v>
      </c>
      <c r="Y548" s="20" t="s">
        <v>412</v>
      </c>
      <c r="Z548" s="20" t="s">
        <v>60</v>
      </c>
      <c r="AA548" s="20" t="s">
        <v>491</v>
      </c>
    </row>
    <row r="549" spans="1:27" x14ac:dyDescent="0.2">
      <c r="A549" s="1">
        <v>46010</v>
      </c>
      <c r="B549" s="20" t="s">
        <v>326</v>
      </c>
      <c r="C549" s="20" t="s">
        <v>24</v>
      </c>
      <c r="D549" s="20" t="s">
        <v>55</v>
      </c>
      <c r="E549" s="20" t="s">
        <v>1036</v>
      </c>
      <c r="F549" s="20" t="s">
        <v>24</v>
      </c>
      <c r="G549" s="20">
        <v>2</v>
      </c>
      <c r="H549" s="20">
        <v>3</v>
      </c>
      <c r="I549" s="13">
        <v>0.6</v>
      </c>
      <c r="J549" s="20" t="s">
        <v>249</v>
      </c>
      <c r="L549" s="20" t="s">
        <v>60</v>
      </c>
      <c r="M549" s="20" t="s">
        <v>60</v>
      </c>
      <c r="N549" s="20" t="s">
        <v>24</v>
      </c>
      <c r="O549" s="20">
        <v>2</v>
      </c>
      <c r="P549" s="20">
        <v>3</v>
      </c>
      <c r="Q549" s="13">
        <v>0.48142262411072217</v>
      </c>
      <c r="R549" s="20" t="s">
        <v>249</v>
      </c>
      <c r="S549" s="20">
        <v>-0.35475279086262429</v>
      </c>
      <c r="T549" s="20" t="s">
        <v>60</v>
      </c>
      <c r="U549" s="20" t="s">
        <v>60</v>
      </c>
      <c r="V549" s="20"/>
      <c r="W549" s="20"/>
      <c r="X549" s="20" t="s">
        <v>60</v>
      </c>
      <c r="Y549" s="20" t="s">
        <v>412</v>
      </c>
      <c r="Z549" s="20" t="s">
        <v>60</v>
      </c>
      <c r="AA549" s="20" t="s">
        <v>491</v>
      </c>
    </row>
    <row r="550" spans="1:27" x14ac:dyDescent="0.2">
      <c r="A550" s="1">
        <v>46011</v>
      </c>
      <c r="B550" s="20" t="s">
        <v>328</v>
      </c>
      <c r="C550" s="20" t="s">
        <v>19</v>
      </c>
      <c r="D550" s="20" t="s">
        <v>29</v>
      </c>
      <c r="E550" s="20" t="s">
        <v>1037</v>
      </c>
      <c r="F550" s="20" t="s">
        <v>19</v>
      </c>
      <c r="G550" s="20">
        <v>2</v>
      </c>
      <c r="H550" s="20">
        <v>3</v>
      </c>
      <c r="I550" s="13">
        <v>0.6</v>
      </c>
      <c r="J550" s="20" t="s">
        <v>249</v>
      </c>
      <c r="L550" s="20" t="s">
        <v>60</v>
      </c>
      <c r="M550" s="20" t="s">
        <v>60</v>
      </c>
      <c r="N550" s="20" t="s">
        <v>19</v>
      </c>
      <c r="O550" s="20">
        <v>2</v>
      </c>
      <c r="P550" s="20">
        <v>3</v>
      </c>
      <c r="Q550" s="13">
        <v>0.54179814411368299</v>
      </c>
      <c r="R550" s="20" t="s">
        <v>249</v>
      </c>
      <c r="S550" s="20">
        <v>-0.70053794356791799</v>
      </c>
      <c r="T550" s="20" t="s">
        <v>60</v>
      </c>
      <c r="U550" s="20" t="s">
        <v>60</v>
      </c>
      <c r="V550" s="20"/>
      <c r="W550" s="20"/>
      <c r="X550" s="20" t="s">
        <v>60</v>
      </c>
      <c r="Y550" s="20" t="s">
        <v>412</v>
      </c>
      <c r="Z550" s="20" t="s">
        <v>60</v>
      </c>
      <c r="AA550" s="20" t="s">
        <v>491</v>
      </c>
    </row>
    <row r="551" spans="1:27" x14ac:dyDescent="0.2">
      <c r="A551" s="1">
        <v>46011</v>
      </c>
      <c r="B551" s="20" t="s">
        <v>555</v>
      </c>
      <c r="C551" s="20" t="s">
        <v>26</v>
      </c>
      <c r="D551" s="20" t="s">
        <v>22</v>
      </c>
      <c r="E551" s="20" t="s">
        <v>1038</v>
      </c>
      <c r="F551" s="20" t="s">
        <v>22</v>
      </c>
      <c r="G551" s="20">
        <v>2</v>
      </c>
      <c r="H551" s="20">
        <v>3</v>
      </c>
      <c r="I551" s="13">
        <v>0.6</v>
      </c>
      <c r="J551" s="20" t="s">
        <v>249</v>
      </c>
      <c r="L551" s="20" t="s">
        <v>60</v>
      </c>
      <c r="M551" s="20" t="s">
        <v>60</v>
      </c>
      <c r="N551" s="20" t="s">
        <v>22</v>
      </c>
      <c r="O551" s="20">
        <v>2</v>
      </c>
      <c r="P551" s="20">
        <v>3</v>
      </c>
      <c r="Q551" s="13">
        <v>0.72553227188599068</v>
      </c>
      <c r="R551" s="20" t="s">
        <v>249</v>
      </c>
      <c r="S551" s="20">
        <v>1.365947546809229</v>
      </c>
      <c r="T551" s="20" t="s">
        <v>60</v>
      </c>
      <c r="U551" s="20" t="s">
        <v>60</v>
      </c>
      <c r="V551" s="20"/>
      <c r="W551" s="20"/>
      <c r="X551" s="20" t="s">
        <v>60</v>
      </c>
      <c r="Y551" s="20" t="s">
        <v>412</v>
      </c>
      <c r="Z551" s="20" t="s">
        <v>60</v>
      </c>
      <c r="AA551" s="20" t="s">
        <v>491</v>
      </c>
    </row>
    <row r="552" spans="1:27" x14ac:dyDescent="0.2">
      <c r="A552" s="1">
        <v>46011</v>
      </c>
      <c r="B552" s="20" t="s">
        <v>322</v>
      </c>
      <c r="C552" s="20" t="s">
        <v>32</v>
      </c>
      <c r="D552" s="20" t="s">
        <v>33</v>
      </c>
      <c r="E552" s="20" t="s">
        <v>1039</v>
      </c>
      <c r="F552" s="20" t="s">
        <v>33</v>
      </c>
      <c r="G552" s="20">
        <v>2</v>
      </c>
      <c r="H552" s="20">
        <v>3</v>
      </c>
      <c r="I552" s="13">
        <v>0.6</v>
      </c>
      <c r="J552" s="20" t="s">
        <v>249</v>
      </c>
      <c r="L552" s="20" t="s">
        <v>60</v>
      </c>
      <c r="M552" s="20" t="s">
        <v>60</v>
      </c>
      <c r="N552" s="20" t="s">
        <v>33</v>
      </c>
      <c r="O552" s="20">
        <v>2</v>
      </c>
      <c r="P552" s="20">
        <v>3</v>
      </c>
      <c r="Q552" s="13">
        <v>0.57907372012004421</v>
      </c>
      <c r="R552" s="20" t="s">
        <v>249</v>
      </c>
      <c r="S552" s="20">
        <v>0.24794699181900909</v>
      </c>
      <c r="T552" s="20" t="s">
        <v>60</v>
      </c>
      <c r="U552" s="20" t="s">
        <v>60</v>
      </c>
      <c r="V552" s="20"/>
      <c r="W552" s="20"/>
      <c r="X552" s="20" t="s">
        <v>60</v>
      </c>
      <c r="Y552" s="20" t="s">
        <v>412</v>
      </c>
      <c r="Z552" s="20" t="s">
        <v>60</v>
      </c>
      <c r="AA552" s="20" t="s">
        <v>491</v>
      </c>
    </row>
    <row r="553" spans="1:27" x14ac:dyDescent="0.2">
      <c r="A553" s="1">
        <v>46011</v>
      </c>
      <c r="B553" s="20" t="s">
        <v>453</v>
      </c>
      <c r="C553" s="20" t="s">
        <v>10</v>
      </c>
      <c r="D553" s="20" t="s">
        <v>36</v>
      </c>
      <c r="E553" s="20" t="s">
        <v>1040</v>
      </c>
      <c r="F553" s="20" t="s">
        <v>10</v>
      </c>
      <c r="G553" s="20">
        <v>2</v>
      </c>
      <c r="H553" s="20">
        <v>3</v>
      </c>
      <c r="I553" s="13">
        <v>0.6</v>
      </c>
      <c r="J553" s="20" t="s">
        <v>249</v>
      </c>
      <c r="L553" s="20" t="s">
        <v>60</v>
      </c>
      <c r="M553" s="20" t="s">
        <v>60</v>
      </c>
      <c r="N553" s="20" t="s">
        <v>10</v>
      </c>
      <c r="O553" s="20">
        <v>2</v>
      </c>
      <c r="P553" s="20">
        <v>3</v>
      </c>
      <c r="Q553" s="13">
        <v>0.4931503551017436</v>
      </c>
      <c r="R553" s="20" t="s">
        <v>249</v>
      </c>
      <c r="S553" s="20">
        <v>-0.3052790467573625</v>
      </c>
      <c r="T553" s="20" t="s">
        <v>60</v>
      </c>
      <c r="U553" s="20" t="s">
        <v>60</v>
      </c>
      <c r="V553" s="20"/>
      <c r="W553" s="20"/>
      <c r="X553" s="20" t="s">
        <v>60</v>
      </c>
      <c r="Y553" s="20" t="s">
        <v>412</v>
      </c>
      <c r="Z553" s="20" t="s">
        <v>60</v>
      </c>
      <c r="AA553" s="20" t="s">
        <v>491</v>
      </c>
    </row>
    <row r="554" spans="1:27" x14ac:dyDescent="0.2">
      <c r="A554" s="1">
        <v>46011</v>
      </c>
      <c r="B554" s="20" t="s">
        <v>555</v>
      </c>
      <c r="C554" s="20" t="s">
        <v>27</v>
      </c>
      <c r="D554" s="20" t="s">
        <v>15</v>
      </c>
      <c r="E554" s="20" t="s">
        <v>1041</v>
      </c>
      <c r="F554" s="20" t="s">
        <v>15</v>
      </c>
      <c r="G554" s="20">
        <v>2</v>
      </c>
      <c r="H554" s="20">
        <v>3</v>
      </c>
      <c r="I554" s="13">
        <v>0.6</v>
      </c>
      <c r="J554" s="20" t="s">
        <v>249</v>
      </c>
      <c r="L554" s="20" t="s">
        <v>60</v>
      </c>
      <c r="M554" s="20" t="s">
        <v>60</v>
      </c>
      <c r="N554" s="20" t="s">
        <v>15</v>
      </c>
      <c r="O554" s="20">
        <v>2</v>
      </c>
      <c r="P554" s="20">
        <v>3</v>
      </c>
      <c r="Q554" s="13">
        <v>0.51384692113068431</v>
      </c>
      <c r="R554" s="20" t="s">
        <v>249</v>
      </c>
      <c r="S554" s="20">
        <v>0.14010634794553589</v>
      </c>
      <c r="T554" s="20" t="s">
        <v>60</v>
      </c>
      <c r="U554" s="20" t="s">
        <v>60</v>
      </c>
      <c r="V554" s="20"/>
      <c r="W554" s="20"/>
      <c r="X554" s="20" t="s">
        <v>60</v>
      </c>
      <c r="Y554" s="20" t="s">
        <v>412</v>
      </c>
      <c r="Z554" s="20" t="s">
        <v>60</v>
      </c>
      <c r="AA554" s="20" t="s">
        <v>491</v>
      </c>
    </row>
    <row r="555" spans="1:27" x14ac:dyDescent="0.2">
      <c r="A555" s="1">
        <v>46011</v>
      </c>
      <c r="B555" s="20" t="s">
        <v>328</v>
      </c>
      <c r="C555" s="20" t="s">
        <v>14</v>
      </c>
      <c r="D555" s="20" t="s">
        <v>18</v>
      </c>
      <c r="E555" s="20" t="s">
        <v>1042</v>
      </c>
      <c r="F555" s="20" t="s">
        <v>14</v>
      </c>
      <c r="G555" s="20">
        <v>2</v>
      </c>
      <c r="H555" s="20">
        <v>3</v>
      </c>
      <c r="I555" s="13">
        <v>0.6</v>
      </c>
      <c r="J555" s="20" t="s">
        <v>249</v>
      </c>
      <c r="L555" s="20" t="s">
        <v>60</v>
      </c>
      <c r="M555" s="20" t="s">
        <v>60</v>
      </c>
      <c r="N555" s="20" t="s">
        <v>14</v>
      </c>
      <c r="O555" s="20">
        <v>2</v>
      </c>
      <c r="P555" s="20">
        <v>3</v>
      </c>
      <c r="Q555" s="13">
        <v>0.54607725130849172</v>
      </c>
      <c r="R555" s="20" t="s">
        <v>249</v>
      </c>
      <c r="S555" s="20">
        <v>-0.40072465778517269</v>
      </c>
      <c r="T555" s="20" t="s">
        <v>60</v>
      </c>
      <c r="U555" s="20" t="s">
        <v>60</v>
      </c>
      <c r="V555" s="20"/>
      <c r="W555" s="20"/>
      <c r="X555" s="20" t="s">
        <v>60</v>
      </c>
      <c r="Y555" s="20" t="s">
        <v>412</v>
      </c>
      <c r="Z555" s="20" t="s">
        <v>60</v>
      </c>
      <c r="AA555" s="20" t="s">
        <v>491</v>
      </c>
    </row>
    <row r="556" spans="1:27" x14ac:dyDescent="0.2">
      <c r="A556" s="1">
        <v>46011</v>
      </c>
      <c r="B556" s="20" t="s">
        <v>328</v>
      </c>
      <c r="C556" s="20" t="s">
        <v>25</v>
      </c>
      <c r="D556" s="20" t="s">
        <v>37</v>
      </c>
      <c r="E556" s="20" t="s">
        <v>1043</v>
      </c>
      <c r="F556" s="20" t="s">
        <v>37</v>
      </c>
      <c r="G556" s="20">
        <v>2</v>
      </c>
      <c r="H556" s="20">
        <v>3</v>
      </c>
      <c r="I556" s="13">
        <v>0.6</v>
      </c>
      <c r="J556" s="20" t="s">
        <v>249</v>
      </c>
      <c r="L556" s="20" t="s">
        <v>60</v>
      </c>
      <c r="M556" s="20" t="s">
        <v>60</v>
      </c>
      <c r="N556" s="20" t="s">
        <v>37</v>
      </c>
      <c r="O556" s="20">
        <v>2</v>
      </c>
      <c r="P556" s="20">
        <v>3</v>
      </c>
      <c r="Q556" s="13">
        <v>0.5157317811674581</v>
      </c>
      <c r="R556" s="20" t="s">
        <v>249</v>
      </c>
      <c r="S556" s="20">
        <v>0.13473055834121411</v>
      </c>
      <c r="T556" s="20" t="s">
        <v>60</v>
      </c>
      <c r="U556" s="20" t="s">
        <v>60</v>
      </c>
      <c r="V556" s="20"/>
      <c r="W556" s="20"/>
      <c r="X556" s="20" t="s">
        <v>60</v>
      </c>
      <c r="Y556" s="20" t="s">
        <v>412</v>
      </c>
      <c r="Z556" s="20" t="s">
        <v>60</v>
      </c>
      <c r="AA556" s="20" t="s">
        <v>491</v>
      </c>
    </row>
    <row r="557" spans="1:27" x14ac:dyDescent="0.2">
      <c r="A557" s="1">
        <v>46011</v>
      </c>
      <c r="B557" s="20" t="s">
        <v>469</v>
      </c>
      <c r="C557" s="20" t="s">
        <v>35</v>
      </c>
      <c r="D557" s="20" t="s">
        <v>11</v>
      </c>
      <c r="E557" s="20" t="s">
        <v>1044</v>
      </c>
      <c r="F557" s="20" t="s">
        <v>11</v>
      </c>
      <c r="G557" s="20">
        <v>2</v>
      </c>
      <c r="H557" s="20">
        <v>3</v>
      </c>
      <c r="I557" s="13">
        <v>0.6</v>
      </c>
      <c r="J557" s="20" t="s">
        <v>249</v>
      </c>
      <c r="L557" s="20" t="s">
        <v>60</v>
      </c>
      <c r="M557" s="20" t="s">
        <v>60</v>
      </c>
      <c r="N557" s="20" t="s">
        <v>11</v>
      </c>
      <c r="O557" s="20">
        <v>2</v>
      </c>
      <c r="P557" s="20">
        <v>3</v>
      </c>
      <c r="Q557" s="13">
        <v>0.67629977884526182</v>
      </c>
      <c r="R557" s="20" t="s">
        <v>249</v>
      </c>
      <c r="S557" s="20">
        <v>1.047260829806778</v>
      </c>
      <c r="T557" s="20" t="s">
        <v>60</v>
      </c>
      <c r="U557" s="20" t="s">
        <v>60</v>
      </c>
      <c r="V557" s="20"/>
      <c r="W557" s="20"/>
      <c r="X557" s="20" t="s">
        <v>60</v>
      </c>
      <c r="Y557" s="20" t="s">
        <v>412</v>
      </c>
      <c r="Z557" s="20" t="s">
        <v>60</v>
      </c>
      <c r="AA557" s="20" t="s">
        <v>491</v>
      </c>
    </row>
    <row r="558" spans="1:27" x14ac:dyDescent="0.2">
      <c r="A558" s="1">
        <v>46011</v>
      </c>
      <c r="B558" s="20" t="s">
        <v>322</v>
      </c>
      <c r="C558" s="20" t="s">
        <v>28</v>
      </c>
      <c r="D558" s="20" t="s">
        <v>31</v>
      </c>
      <c r="E558" s="20" t="s">
        <v>1045</v>
      </c>
      <c r="F558" s="20" t="s">
        <v>31</v>
      </c>
      <c r="G558" s="20">
        <v>2</v>
      </c>
      <c r="H558" s="20">
        <v>3</v>
      </c>
      <c r="I558" s="13">
        <v>0.6</v>
      </c>
      <c r="J558" s="20" t="s">
        <v>249</v>
      </c>
      <c r="L558" s="20" t="s">
        <v>60</v>
      </c>
      <c r="M558" s="20" t="s">
        <v>60</v>
      </c>
      <c r="N558" s="20" t="s">
        <v>31</v>
      </c>
      <c r="O558" s="20">
        <v>2</v>
      </c>
      <c r="P558" s="20">
        <v>3</v>
      </c>
      <c r="Q558" s="13">
        <v>0.71260501472654725</v>
      </c>
      <c r="R558" s="20" t="s">
        <v>249</v>
      </c>
      <c r="S558" s="20">
        <v>0.82359317511296903</v>
      </c>
      <c r="T558" s="20" t="s">
        <v>60</v>
      </c>
      <c r="U558" s="20" t="s">
        <v>60</v>
      </c>
      <c r="V558" s="20"/>
      <c r="W558" s="20"/>
      <c r="X558" s="20" t="s">
        <v>60</v>
      </c>
      <c r="Y558" s="20" t="s">
        <v>412</v>
      </c>
      <c r="Z558" s="20" t="s">
        <v>60</v>
      </c>
      <c r="AA558" s="20" t="s">
        <v>491</v>
      </c>
    </row>
    <row r="559" spans="1:27" x14ac:dyDescent="0.2">
      <c r="A559" s="1">
        <v>46011</v>
      </c>
      <c r="B559" s="20" t="s">
        <v>328</v>
      </c>
      <c r="C559" s="20" t="s">
        <v>38</v>
      </c>
      <c r="D559" s="20" t="s">
        <v>21</v>
      </c>
      <c r="E559" s="20" t="s">
        <v>1046</v>
      </c>
      <c r="F559" s="20" t="s">
        <v>21</v>
      </c>
      <c r="G559" s="20">
        <v>2</v>
      </c>
      <c r="H559" s="20">
        <v>3</v>
      </c>
      <c r="I559" s="13">
        <v>0.6</v>
      </c>
      <c r="J559" s="20" t="s">
        <v>249</v>
      </c>
      <c r="L559" s="20" t="s">
        <v>60</v>
      </c>
      <c r="M559" s="20" t="s">
        <v>60</v>
      </c>
      <c r="N559" s="20" t="s">
        <v>21</v>
      </c>
      <c r="O559" s="20">
        <v>2</v>
      </c>
      <c r="P559" s="20">
        <v>3</v>
      </c>
      <c r="Q559" s="13">
        <v>0.67021979208233717</v>
      </c>
      <c r="R559" s="20" t="s">
        <v>249</v>
      </c>
      <c r="S559" s="20">
        <v>0.77780874358623497</v>
      </c>
      <c r="T559" s="20" t="s">
        <v>60</v>
      </c>
      <c r="U559" s="20" t="s">
        <v>60</v>
      </c>
      <c r="V559" s="20"/>
      <c r="W559" s="20"/>
      <c r="X559" s="20" t="s">
        <v>60</v>
      </c>
      <c r="Y559" s="20" t="s">
        <v>412</v>
      </c>
      <c r="Z559" s="20" t="s">
        <v>60</v>
      </c>
      <c r="AA559" s="20" t="s">
        <v>491</v>
      </c>
    </row>
    <row r="560" spans="1:27" x14ac:dyDescent="0.2">
      <c r="A560" s="1">
        <v>46011</v>
      </c>
      <c r="B560" s="20" t="s">
        <v>453</v>
      </c>
      <c r="C560" s="20" t="s">
        <v>17</v>
      </c>
      <c r="D560" s="20" t="s">
        <v>34</v>
      </c>
      <c r="E560" s="20" t="s">
        <v>1047</v>
      </c>
      <c r="F560" s="20" t="s">
        <v>34</v>
      </c>
      <c r="G560" s="20">
        <v>2</v>
      </c>
      <c r="H560" s="20">
        <v>3</v>
      </c>
      <c r="I560" s="13">
        <v>0.6</v>
      </c>
      <c r="J560" s="20" t="s">
        <v>249</v>
      </c>
      <c r="L560" s="20" t="s">
        <v>60</v>
      </c>
      <c r="M560" s="20" t="s">
        <v>60</v>
      </c>
      <c r="N560" s="20" t="s">
        <v>34</v>
      </c>
      <c r="O560" s="20">
        <v>2</v>
      </c>
      <c r="P560" s="20">
        <v>3</v>
      </c>
      <c r="Q560" s="13">
        <v>0.63487400852986009</v>
      </c>
      <c r="R560" s="20" t="s">
        <v>249</v>
      </c>
      <c r="S560" s="20">
        <v>0.81252262571120537</v>
      </c>
      <c r="T560" s="20" t="s">
        <v>60</v>
      </c>
      <c r="U560" s="20" t="s">
        <v>60</v>
      </c>
      <c r="V560" s="20"/>
      <c r="W560" s="20"/>
      <c r="X560" s="20" t="s">
        <v>60</v>
      </c>
      <c r="Y560" s="20" t="s">
        <v>412</v>
      </c>
      <c r="Z560" s="20" t="s">
        <v>60</v>
      </c>
      <c r="AA560" s="20" t="s">
        <v>491</v>
      </c>
    </row>
    <row r="561" spans="1:27" x14ac:dyDescent="0.2">
      <c r="A561" s="1">
        <v>46011</v>
      </c>
      <c r="B561" s="20" t="s">
        <v>322</v>
      </c>
      <c r="C561" s="20" t="s">
        <v>20</v>
      </c>
      <c r="D561" s="20" t="s">
        <v>16</v>
      </c>
      <c r="E561" s="20" t="s">
        <v>564</v>
      </c>
      <c r="F561" s="20" t="s">
        <v>20</v>
      </c>
      <c r="G561" s="20">
        <v>2</v>
      </c>
      <c r="H561" s="20">
        <v>3</v>
      </c>
      <c r="I561" s="13">
        <v>0.6</v>
      </c>
      <c r="J561" s="20" t="s">
        <v>249</v>
      </c>
      <c r="L561" s="20" t="s">
        <v>60</v>
      </c>
      <c r="M561" s="20" t="s">
        <v>60</v>
      </c>
      <c r="N561" s="20" t="s">
        <v>20</v>
      </c>
      <c r="O561" s="20">
        <v>2</v>
      </c>
      <c r="P561" s="20">
        <v>3</v>
      </c>
      <c r="Q561" s="13">
        <v>0.55007697058911142</v>
      </c>
      <c r="R561" s="20" t="s">
        <v>249</v>
      </c>
      <c r="S561" s="20">
        <v>-0.77143969980082194</v>
      </c>
      <c r="T561" s="20" t="s">
        <v>60</v>
      </c>
      <c r="U561" s="20" t="s">
        <v>60</v>
      </c>
      <c r="V561" s="20"/>
      <c r="W561" s="20"/>
      <c r="X561" s="20" t="s">
        <v>60</v>
      </c>
      <c r="Y561" s="20" t="s">
        <v>412</v>
      </c>
      <c r="Z561" s="20" t="s">
        <v>60</v>
      </c>
      <c r="AA561" s="20" t="s">
        <v>491</v>
      </c>
    </row>
    <row r="562" spans="1:27" x14ac:dyDescent="0.2">
      <c r="A562" s="1">
        <v>46011</v>
      </c>
      <c r="B562" s="20" t="s">
        <v>365</v>
      </c>
      <c r="C562" s="20" t="s">
        <v>30</v>
      </c>
      <c r="D562" s="20" t="s">
        <v>23</v>
      </c>
      <c r="E562" s="20" t="s">
        <v>1048</v>
      </c>
      <c r="F562" s="20" t="s">
        <v>30</v>
      </c>
      <c r="G562" s="20">
        <v>2</v>
      </c>
      <c r="H562" s="20">
        <v>3</v>
      </c>
      <c r="I562" s="13">
        <v>0.6</v>
      </c>
      <c r="J562" s="20" t="s">
        <v>249</v>
      </c>
      <c r="L562" s="20" t="s">
        <v>60</v>
      </c>
      <c r="M562" s="20" t="s">
        <v>60</v>
      </c>
      <c r="N562" s="20" t="s">
        <v>30</v>
      </c>
      <c r="O562" s="20">
        <v>2</v>
      </c>
      <c r="P562" s="20">
        <v>3</v>
      </c>
      <c r="Q562" s="13">
        <v>0.54408288433002694</v>
      </c>
      <c r="R562" s="20" t="s">
        <v>249</v>
      </c>
      <c r="S562" s="20">
        <v>-0.1852776893760946</v>
      </c>
      <c r="T562" s="20" t="s">
        <v>60</v>
      </c>
      <c r="U562" s="20" t="s">
        <v>60</v>
      </c>
      <c r="V562" s="20"/>
      <c r="W562" s="20"/>
      <c r="X562" s="20" t="s">
        <v>60</v>
      </c>
      <c r="Y562" s="20" t="s">
        <v>412</v>
      </c>
      <c r="Z562" s="20" t="s">
        <v>60</v>
      </c>
      <c r="AA562" s="20" t="s">
        <v>491</v>
      </c>
    </row>
    <row r="563" spans="1:27" x14ac:dyDescent="0.2">
      <c r="A563" s="1">
        <v>46012</v>
      </c>
      <c r="B563" s="20" t="s">
        <v>328</v>
      </c>
      <c r="C563" s="20" t="s">
        <v>36</v>
      </c>
      <c r="D563" s="20" t="s">
        <v>21</v>
      </c>
      <c r="E563" s="20" t="s">
        <v>809</v>
      </c>
      <c r="F563" s="20" t="s">
        <v>21</v>
      </c>
      <c r="G563" s="20">
        <v>2</v>
      </c>
      <c r="H563" s="20">
        <v>3</v>
      </c>
      <c r="I563" s="13">
        <v>0.6</v>
      </c>
      <c r="J563" s="20" t="s">
        <v>249</v>
      </c>
      <c r="L563" s="20" t="s">
        <v>60</v>
      </c>
      <c r="M563" s="20" t="s">
        <v>60</v>
      </c>
      <c r="N563" s="20" t="s">
        <v>21</v>
      </c>
      <c r="O563" s="20">
        <v>2</v>
      </c>
      <c r="P563" s="20">
        <v>3</v>
      </c>
      <c r="Q563" s="13">
        <v>0.62511283671022522</v>
      </c>
      <c r="R563" s="20" t="s">
        <v>249</v>
      </c>
      <c r="S563" s="20">
        <v>0.36150703934026951</v>
      </c>
      <c r="T563" s="20" t="s">
        <v>60</v>
      </c>
      <c r="U563" s="20" t="s">
        <v>60</v>
      </c>
      <c r="V563" s="20"/>
      <c r="W563" s="20"/>
      <c r="X563" s="20" t="s">
        <v>60</v>
      </c>
      <c r="Y563" s="20" t="s">
        <v>412</v>
      </c>
      <c r="Z563" s="20" t="s">
        <v>60</v>
      </c>
      <c r="AA563" s="20" t="s">
        <v>491</v>
      </c>
    </row>
    <row r="564" spans="1:27" x14ac:dyDescent="0.2">
      <c r="A564" s="1">
        <v>46012</v>
      </c>
      <c r="B564" s="20" t="s">
        <v>328</v>
      </c>
      <c r="C564" s="20" t="s">
        <v>18</v>
      </c>
      <c r="D564" s="20" t="s">
        <v>14</v>
      </c>
      <c r="E564" s="20" t="s">
        <v>978</v>
      </c>
      <c r="F564" s="20" t="s">
        <v>14</v>
      </c>
      <c r="G564" s="20">
        <v>2</v>
      </c>
      <c r="H564" s="20">
        <v>3</v>
      </c>
      <c r="I564" s="13">
        <v>0.6</v>
      </c>
      <c r="J564" s="20" t="s">
        <v>249</v>
      </c>
      <c r="L564" s="20" t="s">
        <v>60</v>
      </c>
      <c r="M564" s="20" t="s">
        <v>60</v>
      </c>
      <c r="N564" s="20" t="s">
        <v>14</v>
      </c>
      <c r="O564" s="20">
        <v>2</v>
      </c>
      <c r="P564" s="20">
        <v>3</v>
      </c>
      <c r="Q564" s="13">
        <v>0.53915598208090709</v>
      </c>
      <c r="R564" s="20" t="s">
        <v>249</v>
      </c>
      <c r="S564" s="20">
        <v>0.5005261556314976</v>
      </c>
      <c r="T564" s="20" t="s">
        <v>60</v>
      </c>
      <c r="U564" s="20" t="s">
        <v>60</v>
      </c>
      <c r="V564" s="20"/>
      <c r="W564" s="20"/>
      <c r="X564" s="20" t="s">
        <v>60</v>
      </c>
      <c r="Y564" s="20" t="s">
        <v>412</v>
      </c>
      <c r="Z564" s="20" t="s">
        <v>60</v>
      </c>
      <c r="AA564" s="20" t="s">
        <v>491</v>
      </c>
    </row>
    <row r="565" spans="1:27" x14ac:dyDescent="0.2">
      <c r="A565" s="1">
        <v>46012</v>
      </c>
      <c r="B565" s="20" t="s">
        <v>328</v>
      </c>
      <c r="C565" s="20" t="s">
        <v>15</v>
      </c>
      <c r="D565" s="20" t="s">
        <v>29</v>
      </c>
      <c r="E565" s="20" t="s">
        <v>1049</v>
      </c>
      <c r="F565" s="20" t="s">
        <v>15</v>
      </c>
      <c r="G565" s="20">
        <v>2</v>
      </c>
      <c r="H565" s="20">
        <v>3</v>
      </c>
      <c r="I565" s="13">
        <v>0.6</v>
      </c>
      <c r="J565" s="20" t="s">
        <v>249</v>
      </c>
      <c r="L565" s="20" t="s">
        <v>60</v>
      </c>
      <c r="M565" s="20" t="s">
        <v>60</v>
      </c>
      <c r="N565" s="20" t="s">
        <v>15</v>
      </c>
      <c r="O565" s="20">
        <v>2</v>
      </c>
      <c r="P565" s="20">
        <v>3</v>
      </c>
      <c r="Q565" s="13">
        <v>0.68209860199635841</v>
      </c>
      <c r="R565" s="20" t="s">
        <v>249</v>
      </c>
      <c r="S565" s="20">
        <v>-1.044982550402956</v>
      </c>
      <c r="T565" s="20" t="s">
        <v>60</v>
      </c>
      <c r="U565" s="20" t="s">
        <v>60</v>
      </c>
      <c r="V565" s="20"/>
      <c r="W565" s="20"/>
      <c r="X565" s="20" t="s">
        <v>60</v>
      </c>
      <c r="Y565" s="20" t="s">
        <v>412</v>
      </c>
      <c r="Z565" s="20" t="s">
        <v>60</v>
      </c>
      <c r="AA565" s="20" t="s">
        <v>491</v>
      </c>
    </row>
    <row r="566" spans="1:27" x14ac:dyDescent="0.2">
      <c r="A566" s="1">
        <v>46012</v>
      </c>
      <c r="B566" s="20" t="s">
        <v>328</v>
      </c>
      <c r="C566" s="20" t="s">
        <v>23</v>
      </c>
      <c r="D566" s="20" t="s">
        <v>24</v>
      </c>
      <c r="E566" s="20" t="s">
        <v>1050</v>
      </c>
      <c r="F566" s="20" t="s">
        <v>24</v>
      </c>
      <c r="G566" s="20">
        <v>2</v>
      </c>
      <c r="H566" s="20">
        <v>3</v>
      </c>
      <c r="I566" s="13">
        <v>0.6</v>
      </c>
      <c r="J566" s="20" t="s">
        <v>249</v>
      </c>
      <c r="L566" s="20" t="s">
        <v>60</v>
      </c>
      <c r="M566" s="20" t="s">
        <v>60</v>
      </c>
      <c r="N566" s="20" t="s">
        <v>24</v>
      </c>
      <c r="O566" s="20">
        <v>2</v>
      </c>
      <c r="P566" s="20">
        <v>3</v>
      </c>
      <c r="Q566" s="13">
        <v>0.68143295928595826</v>
      </c>
      <c r="R566" s="20" t="s">
        <v>249</v>
      </c>
      <c r="S566" s="20">
        <v>0.52754143542835641</v>
      </c>
      <c r="T566" s="20" t="s">
        <v>60</v>
      </c>
      <c r="U566" s="20" t="s">
        <v>60</v>
      </c>
      <c r="V566" s="20"/>
      <c r="W566" s="20"/>
      <c r="X566" s="20" t="s">
        <v>60</v>
      </c>
      <c r="Y566" s="20" t="s">
        <v>412</v>
      </c>
      <c r="Z566" s="20" t="s">
        <v>60</v>
      </c>
      <c r="AA566" s="20" t="s">
        <v>491</v>
      </c>
    </row>
    <row r="567" spans="1:27" x14ac:dyDescent="0.2">
      <c r="A567" s="1">
        <v>46012</v>
      </c>
      <c r="B567" s="20" t="s">
        <v>328</v>
      </c>
      <c r="C567" s="20" t="s">
        <v>40</v>
      </c>
      <c r="D567" s="20" t="s">
        <v>55</v>
      </c>
      <c r="E567" s="20" t="s">
        <v>1051</v>
      </c>
      <c r="F567" s="20" t="s">
        <v>40</v>
      </c>
      <c r="G567" s="20">
        <v>2</v>
      </c>
      <c r="H567" s="20">
        <v>3</v>
      </c>
      <c r="I567" s="13">
        <v>0.6</v>
      </c>
      <c r="J567" s="20" t="s">
        <v>249</v>
      </c>
      <c r="L567" s="20" t="s">
        <v>60</v>
      </c>
      <c r="M567" s="20" t="s">
        <v>60</v>
      </c>
      <c r="N567" s="20" t="s">
        <v>40</v>
      </c>
      <c r="O567" s="20">
        <v>2</v>
      </c>
      <c r="P567" s="20">
        <v>3</v>
      </c>
      <c r="Q567" s="13">
        <v>0.44466833870306172</v>
      </c>
      <c r="R567" s="20" t="s">
        <v>249</v>
      </c>
      <c r="S567" s="20">
        <v>-3.9980716315228433E-2</v>
      </c>
      <c r="T567" s="20" t="s">
        <v>60</v>
      </c>
      <c r="U567" s="20" t="s">
        <v>60</v>
      </c>
      <c r="V567" s="20"/>
      <c r="W567" s="20"/>
      <c r="X567" s="20" t="s">
        <v>60</v>
      </c>
      <c r="Y567" s="20" t="s">
        <v>412</v>
      </c>
      <c r="Z567" s="20" t="s">
        <v>60</v>
      </c>
      <c r="AA567" s="20" t="s">
        <v>491</v>
      </c>
    </row>
    <row r="568" spans="1:27" x14ac:dyDescent="0.2">
      <c r="A568" s="1">
        <v>46012</v>
      </c>
      <c r="B568" s="20" t="s">
        <v>324</v>
      </c>
      <c r="C568" s="20" t="s">
        <v>20</v>
      </c>
      <c r="D568" s="20" t="s">
        <v>17</v>
      </c>
      <c r="E568" s="20" t="s">
        <v>1052</v>
      </c>
      <c r="F568" s="20" t="s">
        <v>20</v>
      </c>
      <c r="G568" s="20">
        <v>2</v>
      </c>
      <c r="H568" s="20">
        <v>3</v>
      </c>
      <c r="I568" s="13">
        <v>0.6</v>
      </c>
      <c r="J568" s="20" t="s">
        <v>249</v>
      </c>
      <c r="L568" s="20" t="s">
        <v>60</v>
      </c>
      <c r="M568" s="20" t="s">
        <v>60</v>
      </c>
      <c r="N568" s="20" t="s">
        <v>20</v>
      </c>
      <c r="O568" s="20">
        <v>2</v>
      </c>
      <c r="P568" s="20">
        <v>3</v>
      </c>
      <c r="Q568" s="13">
        <v>0.5140693167207816</v>
      </c>
      <c r="R568" s="20" t="s">
        <v>249</v>
      </c>
      <c r="S568" s="20">
        <v>-0.52340508499372285</v>
      </c>
      <c r="T568" s="20" t="s">
        <v>60</v>
      </c>
      <c r="U568" s="20" t="s">
        <v>60</v>
      </c>
      <c r="V568" s="20"/>
      <c r="W568" s="20"/>
      <c r="X568" s="20" t="s">
        <v>60</v>
      </c>
      <c r="Y568" s="20" t="s">
        <v>412</v>
      </c>
      <c r="Z568" s="20" t="s">
        <v>60</v>
      </c>
      <c r="AA568" s="20" t="s">
        <v>491</v>
      </c>
    </row>
    <row r="569" spans="1:27" x14ac:dyDescent="0.2">
      <c r="A569" s="1">
        <v>46012</v>
      </c>
      <c r="B569" s="20" t="s">
        <v>347</v>
      </c>
      <c r="C569" s="20" t="s">
        <v>22</v>
      </c>
      <c r="D569" s="20" t="s">
        <v>26</v>
      </c>
      <c r="E569" s="20" t="s">
        <v>1053</v>
      </c>
      <c r="F569" s="20" t="s">
        <v>22</v>
      </c>
      <c r="G569" s="20">
        <v>2</v>
      </c>
      <c r="H569" s="20">
        <v>3</v>
      </c>
      <c r="I569" s="13">
        <v>0.6</v>
      </c>
      <c r="J569" s="20" t="s">
        <v>249</v>
      </c>
      <c r="L569" s="20" t="s">
        <v>60</v>
      </c>
      <c r="M569" s="20" t="s">
        <v>60</v>
      </c>
      <c r="N569" s="20" t="s">
        <v>22</v>
      </c>
      <c r="O569" s="20">
        <v>2</v>
      </c>
      <c r="P569" s="20">
        <v>3</v>
      </c>
      <c r="Q569" s="13">
        <v>0.65035380101246465</v>
      </c>
      <c r="R569" s="20" t="s">
        <v>249</v>
      </c>
      <c r="S569" s="20">
        <v>-1.2661460489629039</v>
      </c>
      <c r="T569" s="20" t="s">
        <v>60</v>
      </c>
      <c r="U569" s="20" t="s">
        <v>60</v>
      </c>
      <c r="V569" s="20"/>
      <c r="W569" s="20"/>
      <c r="X569" s="20" t="s">
        <v>60</v>
      </c>
      <c r="Y569" s="20" t="s">
        <v>412</v>
      </c>
      <c r="Z569" s="20" t="s">
        <v>60</v>
      </c>
      <c r="AA569" s="20" t="s">
        <v>491</v>
      </c>
    </row>
    <row r="570" spans="1:27" x14ac:dyDescent="0.2">
      <c r="A570" s="1">
        <v>46012</v>
      </c>
      <c r="B570" s="20" t="s">
        <v>328</v>
      </c>
      <c r="C570" s="20" t="s">
        <v>19</v>
      </c>
      <c r="D570" s="20" t="s">
        <v>39</v>
      </c>
      <c r="E570" s="20" t="s">
        <v>1054</v>
      </c>
      <c r="F570" s="20" t="s">
        <v>39</v>
      </c>
      <c r="G570" s="20">
        <v>2</v>
      </c>
      <c r="H570" s="20">
        <v>3</v>
      </c>
      <c r="I570" s="13">
        <v>0.6</v>
      </c>
      <c r="J570" s="20" t="s">
        <v>249</v>
      </c>
      <c r="L570" s="20" t="s">
        <v>60</v>
      </c>
      <c r="M570" s="20" t="s">
        <v>60</v>
      </c>
      <c r="N570" s="20" t="s">
        <v>39</v>
      </c>
      <c r="O570" s="20">
        <v>2</v>
      </c>
      <c r="P570" s="20">
        <v>3</v>
      </c>
      <c r="Q570" s="13">
        <v>0.70043296856714099</v>
      </c>
      <c r="R570" s="20" t="s">
        <v>249</v>
      </c>
      <c r="S570" s="20">
        <v>1.097821842097263</v>
      </c>
      <c r="T570" s="20" t="s">
        <v>60</v>
      </c>
      <c r="U570" s="20" t="s">
        <v>60</v>
      </c>
      <c r="V570" s="20"/>
      <c r="W570" s="20"/>
      <c r="X570" s="20" t="s">
        <v>60</v>
      </c>
      <c r="Y570" s="20" t="s">
        <v>412</v>
      </c>
      <c r="Z570" s="20" t="s">
        <v>60</v>
      </c>
      <c r="AA570" s="20" t="s">
        <v>491</v>
      </c>
    </row>
    <row r="571" spans="1:27" x14ac:dyDescent="0.2">
      <c r="A571" s="1">
        <v>46012</v>
      </c>
      <c r="B571" s="20" t="s">
        <v>469</v>
      </c>
      <c r="C571" s="20" t="s">
        <v>12</v>
      </c>
      <c r="D571" s="20" t="s">
        <v>34</v>
      </c>
      <c r="E571" s="20" t="s">
        <v>442</v>
      </c>
      <c r="F571" s="20" t="s">
        <v>12</v>
      </c>
      <c r="G571" s="20">
        <v>2</v>
      </c>
      <c r="H571" s="20">
        <v>3</v>
      </c>
      <c r="I571" s="13">
        <v>0.6</v>
      </c>
      <c r="J571" s="20" t="s">
        <v>249</v>
      </c>
      <c r="L571" s="20" t="s">
        <v>60</v>
      </c>
      <c r="M571" s="20" t="s">
        <v>60</v>
      </c>
      <c r="N571" s="20" t="s">
        <v>12</v>
      </c>
      <c r="O571" s="20">
        <v>2</v>
      </c>
      <c r="P571" s="20">
        <v>3</v>
      </c>
      <c r="Q571" s="13">
        <v>0.72378199000747556</v>
      </c>
      <c r="R571" s="20" t="s">
        <v>249</v>
      </c>
      <c r="S571" s="20">
        <v>-1.6371276969532931</v>
      </c>
      <c r="T571" s="20" t="s">
        <v>60</v>
      </c>
      <c r="U571" s="20" t="s">
        <v>60</v>
      </c>
      <c r="V571" s="20"/>
      <c r="W571" s="20"/>
      <c r="X571" s="20" t="s">
        <v>60</v>
      </c>
      <c r="Y571" s="20" t="s">
        <v>412</v>
      </c>
      <c r="Z571" s="20" t="s">
        <v>60</v>
      </c>
      <c r="AA571" s="20" t="s">
        <v>491</v>
      </c>
    </row>
    <row r="572" spans="1:27" x14ac:dyDescent="0.2">
      <c r="A572" s="1">
        <v>46013</v>
      </c>
      <c r="B572" s="20" t="s">
        <v>322</v>
      </c>
      <c r="C572" s="20" t="s">
        <v>28</v>
      </c>
      <c r="D572" s="20" t="s">
        <v>13</v>
      </c>
      <c r="E572" s="20" t="s">
        <v>1055</v>
      </c>
      <c r="F572" s="20" t="s">
        <v>13</v>
      </c>
      <c r="G572" s="20">
        <v>2</v>
      </c>
      <c r="H572" s="20">
        <v>3</v>
      </c>
      <c r="I572" s="13">
        <v>0.6</v>
      </c>
      <c r="J572" s="20" t="s">
        <v>249</v>
      </c>
      <c r="L572" s="20" t="s">
        <v>60</v>
      </c>
      <c r="M572" s="20" t="s">
        <v>60</v>
      </c>
      <c r="N572" s="20" t="s">
        <v>13</v>
      </c>
      <c r="O572" s="20">
        <v>2</v>
      </c>
      <c r="P572" s="20">
        <v>3</v>
      </c>
      <c r="Q572" s="13">
        <v>0.57222468149852157</v>
      </c>
      <c r="R572" s="20" t="s">
        <v>249</v>
      </c>
      <c r="S572" s="20">
        <v>0.30660655459648911</v>
      </c>
      <c r="T572" s="20" t="s">
        <v>60</v>
      </c>
      <c r="U572" s="20" t="s">
        <v>60</v>
      </c>
      <c r="V572" s="20"/>
      <c r="W572" s="20"/>
      <c r="X572" s="20" t="s">
        <v>60</v>
      </c>
      <c r="Y572" s="20" t="s">
        <v>412</v>
      </c>
      <c r="Z572" s="20" t="s">
        <v>60</v>
      </c>
      <c r="AA572" s="20" t="s">
        <v>491</v>
      </c>
    </row>
    <row r="573" spans="1:27" x14ac:dyDescent="0.2">
      <c r="A573" s="1">
        <v>46013</v>
      </c>
      <c r="B573" s="20" t="s">
        <v>334</v>
      </c>
      <c r="C573" s="20" t="s">
        <v>38</v>
      </c>
      <c r="D573" s="20" t="s">
        <v>27</v>
      </c>
      <c r="E573" s="20" t="s">
        <v>1056</v>
      </c>
      <c r="F573" s="20" t="s">
        <v>27</v>
      </c>
      <c r="G573" s="20">
        <v>2</v>
      </c>
      <c r="H573" s="20">
        <v>3</v>
      </c>
      <c r="I573" s="13">
        <v>0.6</v>
      </c>
      <c r="J573" s="20" t="s">
        <v>249</v>
      </c>
      <c r="L573" s="20" t="s">
        <v>60</v>
      </c>
      <c r="M573" s="20" t="s">
        <v>60</v>
      </c>
      <c r="N573" s="20" t="s">
        <v>27</v>
      </c>
      <c r="O573" s="20">
        <v>2</v>
      </c>
      <c r="P573" s="20">
        <v>3</v>
      </c>
      <c r="Q573" s="13">
        <v>0.62254214584012046</v>
      </c>
      <c r="R573" s="20" t="s">
        <v>249</v>
      </c>
      <c r="S573" s="20">
        <v>0.61733892052765049</v>
      </c>
      <c r="T573" s="20" t="s">
        <v>60</v>
      </c>
      <c r="U573" s="20" t="s">
        <v>60</v>
      </c>
      <c r="V573" s="20"/>
      <c r="W573" s="20"/>
      <c r="X573" s="20" t="s">
        <v>60</v>
      </c>
      <c r="Y573" s="20" t="s">
        <v>412</v>
      </c>
      <c r="Z573" s="20" t="s">
        <v>60</v>
      </c>
      <c r="AA573" s="20" t="s">
        <v>491</v>
      </c>
    </row>
    <row r="574" spans="1:27" x14ac:dyDescent="0.2">
      <c r="A574" s="1">
        <v>46013</v>
      </c>
      <c r="B574" s="20" t="s">
        <v>328</v>
      </c>
      <c r="C574" s="20" t="s">
        <v>35</v>
      </c>
      <c r="D574" s="20" t="s">
        <v>37</v>
      </c>
      <c r="E574" s="20" t="s">
        <v>1057</v>
      </c>
      <c r="F574" s="20" t="s">
        <v>37</v>
      </c>
      <c r="G574" s="20">
        <v>2</v>
      </c>
      <c r="H574" s="20">
        <v>3</v>
      </c>
      <c r="I574" s="13">
        <v>0.6</v>
      </c>
      <c r="J574" s="20" t="s">
        <v>249</v>
      </c>
      <c r="L574" s="20" t="s">
        <v>60</v>
      </c>
      <c r="M574" s="20" t="s">
        <v>60</v>
      </c>
      <c r="N574" s="20" t="s">
        <v>37</v>
      </c>
      <c r="O574" s="20">
        <v>2</v>
      </c>
      <c r="P574" s="20">
        <v>3</v>
      </c>
      <c r="Q574" s="13">
        <v>0.8005076327322812</v>
      </c>
      <c r="R574" s="20" t="s">
        <v>249</v>
      </c>
      <c r="S574" s="20">
        <v>1.954884067617489</v>
      </c>
      <c r="T574" s="20" t="s">
        <v>60</v>
      </c>
      <c r="U574" s="20" t="s">
        <v>60</v>
      </c>
      <c r="V574" s="20"/>
      <c r="W574" s="20"/>
      <c r="X574" s="20" t="s">
        <v>60</v>
      </c>
      <c r="Y574" s="20" t="s">
        <v>412</v>
      </c>
      <c r="Z574" s="20" t="s">
        <v>60</v>
      </c>
      <c r="AA574" s="20" t="s">
        <v>491</v>
      </c>
    </row>
    <row r="575" spans="1:27" x14ac:dyDescent="0.2">
      <c r="A575" s="1">
        <v>46013</v>
      </c>
      <c r="B575" s="20" t="s">
        <v>322</v>
      </c>
      <c r="C575" s="20" t="s">
        <v>32</v>
      </c>
      <c r="D575" s="20" t="s">
        <v>31</v>
      </c>
      <c r="E575" s="20" t="s">
        <v>1058</v>
      </c>
      <c r="F575" s="20" t="s">
        <v>31</v>
      </c>
      <c r="G575" s="20">
        <v>2</v>
      </c>
      <c r="H575" s="20">
        <v>3</v>
      </c>
      <c r="I575" s="13">
        <v>0.6</v>
      </c>
      <c r="J575" s="20" t="s">
        <v>249</v>
      </c>
      <c r="L575" s="20" t="s">
        <v>60</v>
      </c>
      <c r="M575" s="20" t="s">
        <v>60</v>
      </c>
      <c r="N575" s="20" t="s">
        <v>31</v>
      </c>
      <c r="O575" s="20">
        <v>2</v>
      </c>
      <c r="P575" s="20">
        <v>3</v>
      </c>
      <c r="Q575" s="13">
        <v>0.72235195127385143</v>
      </c>
      <c r="R575" s="20" t="s">
        <v>249</v>
      </c>
      <c r="S575" s="20">
        <v>0.87798100604051876</v>
      </c>
      <c r="T575" s="20" t="s">
        <v>60</v>
      </c>
      <c r="U575" s="20" t="s">
        <v>60</v>
      </c>
      <c r="V575" s="20"/>
      <c r="W575" s="20"/>
      <c r="X575" s="20" t="s">
        <v>60</v>
      </c>
      <c r="Y575" s="20" t="s">
        <v>412</v>
      </c>
      <c r="Z575" s="20" t="s">
        <v>60</v>
      </c>
      <c r="AA575" s="20" t="s">
        <v>491</v>
      </c>
    </row>
    <row r="576" spans="1:27" x14ac:dyDescent="0.2">
      <c r="A576" s="1">
        <v>46014</v>
      </c>
      <c r="B576" s="20" t="s">
        <v>324</v>
      </c>
      <c r="C576" s="20" t="s">
        <v>29</v>
      </c>
      <c r="D576" s="20" t="s">
        <v>34</v>
      </c>
      <c r="E576" s="20" t="s">
        <v>789</v>
      </c>
      <c r="F576" s="20" t="s">
        <v>34</v>
      </c>
      <c r="G576" s="20">
        <v>2</v>
      </c>
      <c r="H576" s="20">
        <v>3</v>
      </c>
      <c r="I576" s="13">
        <v>0.6</v>
      </c>
      <c r="J576" s="20" t="s">
        <v>249</v>
      </c>
      <c r="L576" s="20" t="s">
        <v>60</v>
      </c>
      <c r="M576" s="20" t="s">
        <v>60</v>
      </c>
      <c r="N576" s="20" t="s">
        <v>34</v>
      </c>
      <c r="O576" s="20">
        <v>2</v>
      </c>
      <c r="P576" s="20">
        <v>3</v>
      </c>
      <c r="Q576" s="13">
        <v>0.70109954920586415</v>
      </c>
      <c r="R576" s="20" t="s">
        <v>249</v>
      </c>
      <c r="S576" s="20">
        <v>1.379693245283744</v>
      </c>
      <c r="T576" s="20" t="s">
        <v>60</v>
      </c>
      <c r="U576" s="20" t="s">
        <v>60</v>
      </c>
      <c r="V576" s="20"/>
      <c r="W576" s="20"/>
      <c r="X576" s="20" t="s">
        <v>60</v>
      </c>
      <c r="Y576" s="20" t="s">
        <v>412</v>
      </c>
      <c r="Z576" s="20" t="s">
        <v>60</v>
      </c>
      <c r="AA576" s="20" t="s">
        <v>491</v>
      </c>
    </row>
    <row r="577" spans="1:27" x14ac:dyDescent="0.2">
      <c r="A577" s="1">
        <v>46014</v>
      </c>
      <c r="B577" s="20" t="s">
        <v>328</v>
      </c>
      <c r="C577" s="20" t="s">
        <v>15</v>
      </c>
      <c r="D577" s="20" t="s">
        <v>22</v>
      </c>
      <c r="E577" s="20" t="s">
        <v>1059</v>
      </c>
      <c r="F577" s="20" t="s">
        <v>22</v>
      </c>
      <c r="G577" s="20">
        <v>2</v>
      </c>
      <c r="H577" s="20">
        <v>3</v>
      </c>
      <c r="I577" s="13">
        <v>0.6</v>
      </c>
      <c r="J577" s="20" t="s">
        <v>249</v>
      </c>
      <c r="L577" s="20" t="s">
        <v>60</v>
      </c>
      <c r="M577" s="20" t="s">
        <v>60</v>
      </c>
      <c r="N577" s="20" t="s">
        <v>22</v>
      </c>
      <c r="O577" s="20">
        <v>2</v>
      </c>
      <c r="P577" s="20">
        <v>3</v>
      </c>
      <c r="Q577" s="13">
        <v>0.55717088848980889</v>
      </c>
      <c r="R577" s="20" t="s">
        <v>249</v>
      </c>
      <c r="S577" s="20">
        <v>0.78064196626086202</v>
      </c>
      <c r="T577" s="20" t="s">
        <v>60</v>
      </c>
      <c r="U577" s="20" t="s">
        <v>60</v>
      </c>
      <c r="V577" s="20"/>
      <c r="W577" s="20"/>
      <c r="X577" s="20" t="s">
        <v>60</v>
      </c>
      <c r="Y577" s="20" t="s">
        <v>412</v>
      </c>
      <c r="Z577" s="20" t="s">
        <v>60</v>
      </c>
      <c r="AA577" s="20" t="s">
        <v>491</v>
      </c>
    </row>
    <row r="578" spans="1:27" x14ac:dyDescent="0.2">
      <c r="A578" s="1">
        <v>46014</v>
      </c>
      <c r="B578" s="20" t="s">
        <v>322</v>
      </c>
      <c r="C578" s="20" t="s">
        <v>33</v>
      </c>
      <c r="D578" s="20" t="s">
        <v>20</v>
      </c>
      <c r="E578" s="20" t="s">
        <v>464</v>
      </c>
      <c r="F578" s="20" t="s">
        <v>20</v>
      </c>
      <c r="G578" s="20">
        <v>2</v>
      </c>
      <c r="H578" s="20">
        <v>3</v>
      </c>
      <c r="I578" s="13">
        <v>0.6</v>
      </c>
      <c r="J578" s="20" t="s">
        <v>249</v>
      </c>
      <c r="L578" s="20" t="s">
        <v>60</v>
      </c>
      <c r="M578" s="20" t="s">
        <v>60</v>
      </c>
      <c r="N578" s="20" t="s">
        <v>20</v>
      </c>
      <c r="O578" s="20">
        <v>2</v>
      </c>
      <c r="P578" s="20">
        <v>3</v>
      </c>
      <c r="Q578" s="13">
        <v>0.56998412882082472</v>
      </c>
      <c r="R578" s="20" t="s">
        <v>249</v>
      </c>
      <c r="S578" s="20">
        <v>0.25679091098476942</v>
      </c>
      <c r="T578" s="20" t="s">
        <v>60</v>
      </c>
      <c r="U578" s="20" t="s">
        <v>60</v>
      </c>
      <c r="V578" s="20"/>
      <c r="W578" s="20"/>
      <c r="X578" s="20" t="s">
        <v>60</v>
      </c>
      <c r="Y578" s="20" t="s">
        <v>412</v>
      </c>
      <c r="Z578" s="20" t="s">
        <v>60</v>
      </c>
      <c r="AA578" s="20" t="s">
        <v>491</v>
      </c>
    </row>
    <row r="579" spans="1:27" x14ac:dyDescent="0.2">
      <c r="A579" s="1">
        <v>46014</v>
      </c>
      <c r="B579" s="20" t="s">
        <v>369</v>
      </c>
      <c r="C579" s="20" t="s">
        <v>14</v>
      </c>
      <c r="D579" s="20" t="s">
        <v>19</v>
      </c>
      <c r="E579" s="20" t="s">
        <v>778</v>
      </c>
      <c r="F579" s="20" t="s">
        <v>14</v>
      </c>
      <c r="G579" s="20">
        <v>2</v>
      </c>
      <c r="H579" s="20">
        <v>3</v>
      </c>
      <c r="I579" s="13">
        <v>0.6</v>
      </c>
      <c r="J579" s="20" t="s">
        <v>249</v>
      </c>
      <c r="L579" s="20" t="s">
        <v>60</v>
      </c>
      <c r="M579" s="20" t="s">
        <v>60</v>
      </c>
      <c r="N579" s="20" t="s">
        <v>14</v>
      </c>
      <c r="O579" s="20">
        <v>2</v>
      </c>
      <c r="P579" s="20">
        <v>3</v>
      </c>
      <c r="Q579" s="13">
        <v>0.55093337655329999</v>
      </c>
      <c r="R579" s="20" t="s">
        <v>249</v>
      </c>
      <c r="S579" s="20">
        <v>-0.4423136208303281</v>
      </c>
      <c r="T579" s="20" t="s">
        <v>60</v>
      </c>
      <c r="U579" s="20" t="s">
        <v>60</v>
      </c>
      <c r="V579" s="20"/>
      <c r="W579" s="20"/>
      <c r="X579" s="20" t="s">
        <v>60</v>
      </c>
      <c r="Y579" s="20" t="s">
        <v>412</v>
      </c>
      <c r="Z579" s="20" t="s">
        <v>60</v>
      </c>
      <c r="AA579" s="20" t="s">
        <v>491</v>
      </c>
    </row>
    <row r="580" spans="1:27" x14ac:dyDescent="0.2">
      <c r="A580" s="1">
        <v>46014</v>
      </c>
      <c r="B580" s="20" t="s">
        <v>328</v>
      </c>
      <c r="C580" s="20" t="s">
        <v>23</v>
      </c>
      <c r="D580" s="20" t="s">
        <v>36</v>
      </c>
      <c r="E580" s="20" t="s">
        <v>1060</v>
      </c>
      <c r="F580" s="20" t="s">
        <v>23</v>
      </c>
      <c r="G580" s="20">
        <v>2</v>
      </c>
      <c r="H580" s="20">
        <v>3</v>
      </c>
      <c r="I580" s="13">
        <v>0.6</v>
      </c>
      <c r="J580" s="20" t="s">
        <v>249</v>
      </c>
      <c r="L580" s="20" t="s">
        <v>60</v>
      </c>
      <c r="M580" s="20" t="s">
        <v>60</v>
      </c>
      <c r="N580" s="20" t="s">
        <v>23</v>
      </c>
      <c r="O580" s="20">
        <v>2</v>
      </c>
      <c r="P580" s="20">
        <v>3</v>
      </c>
      <c r="Q580" s="13">
        <v>0.45813094810441091</v>
      </c>
      <c r="R580" s="20" t="s">
        <v>249</v>
      </c>
      <c r="S580" s="20">
        <v>-5.364866201086449E-3</v>
      </c>
      <c r="T580" s="20" t="s">
        <v>60</v>
      </c>
      <c r="U580" s="20" t="s">
        <v>60</v>
      </c>
      <c r="V580" s="20"/>
      <c r="W580" s="20"/>
      <c r="X580" s="20" t="s">
        <v>60</v>
      </c>
      <c r="Y580" s="20" t="s">
        <v>412</v>
      </c>
      <c r="Z580" s="20" t="s">
        <v>60</v>
      </c>
      <c r="AA580" s="20" t="s">
        <v>491</v>
      </c>
    </row>
    <row r="581" spans="1:27" x14ac:dyDescent="0.2">
      <c r="A581" s="1">
        <v>46014</v>
      </c>
      <c r="B581" s="20" t="s">
        <v>328</v>
      </c>
      <c r="C581" s="20" t="s">
        <v>24</v>
      </c>
      <c r="D581" s="20" t="s">
        <v>30</v>
      </c>
      <c r="E581" s="20" t="s">
        <v>1061</v>
      </c>
      <c r="F581" s="20" t="s">
        <v>24</v>
      </c>
      <c r="G581" s="20">
        <v>2</v>
      </c>
      <c r="H581" s="20">
        <v>3</v>
      </c>
      <c r="I581" s="13">
        <v>0.6</v>
      </c>
      <c r="J581" s="20" t="s">
        <v>249</v>
      </c>
      <c r="L581" s="20" t="s">
        <v>60</v>
      </c>
      <c r="M581" s="20" t="s">
        <v>60</v>
      </c>
      <c r="N581" s="20" t="s">
        <v>24</v>
      </c>
      <c r="O581" s="20">
        <v>2</v>
      </c>
      <c r="P581" s="20">
        <v>3</v>
      </c>
      <c r="Q581" s="13">
        <v>0.50325362781538752</v>
      </c>
      <c r="R581" s="20" t="s">
        <v>249</v>
      </c>
      <c r="S581" s="20">
        <v>-0.19256149928277441</v>
      </c>
      <c r="T581" s="20" t="s">
        <v>60</v>
      </c>
      <c r="U581" s="20" t="s">
        <v>60</v>
      </c>
      <c r="V581" s="20"/>
      <c r="W581" s="20"/>
      <c r="X581" s="20" t="s">
        <v>60</v>
      </c>
      <c r="Y581" s="20" t="s">
        <v>412</v>
      </c>
      <c r="Z581" s="20" t="s">
        <v>60</v>
      </c>
      <c r="AA581" s="20" t="s">
        <v>491</v>
      </c>
    </row>
    <row r="582" spans="1:27" x14ac:dyDescent="0.2">
      <c r="A582" s="1">
        <v>46014</v>
      </c>
      <c r="B582" s="20" t="s">
        <v>322</v>
      </c>
      <c r="C582" s="20" t="s">
        <v>32</v>
      </c>
      <c r="D582" s="20" t="s">
        <v>13</v>
      </c>
      <c r="E582" s="20" t="s">
        <v>1062</v>
      </c>
      <c r="F582" s="20" t="s">
        <v>13</v>
      </c>
      <c r="G582" s="20">
        <v>2</v>
      </c>
      <c r="H582" s="20">
        <v>3</v>
      </c>
      <c r="I582" s="13">
        <v>0.6</v>
      </c>
      <c r="J582" s="20" t="s">
        <v>249</v>
      </c>
      <c r="L582" s="20" t="s">
        <v>60</v>
      </c>
      <c r="M582" s="20" t="s">
        <v>60</v>
      </c>
      <c r="N582" s="20" t="s">
        <v>13</v>
      </c>
      <c r="O582" s="20">
        <v>2</v>
      </c>
      <c r="P582" s="20">
        <v>3</v>
      </c>
      <c r="Q582" s="13">
        <v>0.58215142240680495</v>
      </c>
      <c r="R582" s="20" t="s">
        <v>249</v>
      </c>
      <c r="S582" s="20">
        <v>0.36099438552403879</v>
      </c>
      <c r="T582" s="20" t="s">
        <v>60</v>
      </c>
      <c r="U582" s="20" t="s">
        <v>60</v>
      </c>
      <c r="V582" s="20"/>
      <c r="W582" s="20"/>
      <c r="X582" s="20" t="s">
        <v>60</v>
      </c>
      <c r="Y582" s="20" t="s">
        <v>412</v>
      </c>
      <c r="Z582" s="20" t="s">
        <v>60</v>
      </c>
      <c r="AA582" s="20" t="s">
        <v>491</v>
      </c>
    </row>
    <row r="583" spans="1:27" x14ac:dyDescent="0.2">
      <c r="A583" s="1">
        <v>46014</v>
      </c>
      <c r="B583" s="20" t="s">
        <v>725</v>
      </c>
      <c r="C583" s="20" t="s">
        <v>39</v>
      </c>
      <c r="D583" s="20" t="s">
        <v>26</v>
      </c>
      <c r="E583" s="20" t="s">
        <v>1063</v>
      </c>
      <c r="F583" s="20" t="s">
        <v>39</v>
      </c>
      <c r="G583" s="20">
        <v>2</v>
      </c>
      <c r="H583" s="20">
        <v>3</v>
      </c>
      <c r="I583" s="13">
        <v>0.6</v>
      </c>
      <c r="J583" s="20" t="s">
        <v>249</v>
      </c>
      <c r="L583" s="20" t="s">
        <v>60</v>
      </c>
      <c r="M583" s="20" t="s">
        <v>60</v>
      </c>
      <c r="N583" s="20" t="s">
        <v>39</v>
      </c>
      <c r="O583" s="20">
        <v>2</v>
      </c>
      <c r="P583" s="20">
        <v>3</v>
      </c>
      <c r="Q583" s="13">
        <v>0.70645543126458221</v>
      </c>
      <c r="R583" s="20" t="s">
        <v>249</v>
      </c>
      <c r="S583" s="20">
        <v>-1.238881317964267</v>
      </c>
      <c r="T583" s="20" t="s">
        <v>60</v>
      </c>
      <c r="U583" s="20" t="s">
        <v>60</v>
      </c>
      <c r="V583" s="20"/>
      <c r="W583" s="20"/>
      <c r="X583" s="20" t="s">
        <v>60</v>
      </c>
      <c r="Y583" s="20" t="s">
        <v>412</v>
      </c>
      <c r="Z583" s="20" t="s">
        <v>60</v>
      </c>
      <c r="AA583" s="20" t="s">
        <v>491</v>
      </c>
    </row>
    <row r="584" spans="1:27" x14ac:dyDescent="0.2">
      <c r="A584" s="1">
        <v>46014</v>
      </c>
      <c r="B584" s="20" t="s">
        <v>326</v>
      </c>
      <c r="C584" s="20" t="s">
        <v>55</v>
      </c>
      <c r="D584" s="20" t="s">
        <v>12</v>
      </c>
      <c r="E584" s="20" t="s">
        <v>514</v>
      </c>
      <c r="F584" s="20" t="s">
        <v>12</v>
      </c>
      <c r="G584" s="20">
        <v>2</v>
      </c>
      <c r="H584" s="20">
        <v>3</v>
      </c>
      <c r="I584" s="13">
        <v>0.6</v>
      </c>
      <c r="J584" s="20" t="s">
        <v>249</v>
      </c>
      <c r="L584" s="20" t="s">
        <v>60</v>
      </c>
      <c r="M584" s="20" t="s">
        <v>60</v>
      </c>
      <c r="N584" s="20" t="s">
        <v>12</v>
      </c>
      <c r="O584" s="20">
        <v>2</v>
      </c>
      <c r="P584" s="20">
        <v>3</v>
      </c>
      <c r="Q584" s="13">
        <v>0.88777597679518749</v>
      </c>
      <c r="R584" s="20" t="s">
        <v>249</v>
      </c>
      <c r="S584" s="20">
        <v>2.084927696371321</v>
      </c>
      <c r="T584" s="20" t="s">
        <v>60</v>
      </c>
      <c r="U584" s="20" t="s">
        <v>60</v>
      </c>
      <c r="V584" s="20"/>
      <c r="W584" s="20"/>
      <c r="X584" s="20" t="s">
        <v>60</v>
      </c>
      <c r="Y584" s="20" t="s">
        <v>412</v>
      </c>
      <c r="Z584" s="20" t="s">
        <v>60</v>
      </c>
      <c r="AA584" s="20" t="s">
        <v>491</v>
      </c>
    </row>
    <row r="585" spans="1:27" x14ac:dyDescent="0.2">
      <c r="A585" s="1">
        <v>46014</v>
      </c>
      <c r="B585" s="20" t="s">
        <v>326</v>
      </c>
      <c r="C585" s="20" t="s">
        <v>27</v>
      </c>
      <c r="D585" s="20" t="s">
        <v>10</v>
      </c>
      <c r="E585" s="20" t="s">
        <v>1064</v>
      </c>
      <c r="F585" s="20" t="s">
        <v>10</v>
      </c>
      <c r="G585" s="20">
        <v>2</v>
      </c>
      <c r="H585" s="20">
        <v>3</v>
      </c>
      <c r="I585" s="13">
        <v>0.6</v>
      </c>
      <c r="J585" s="20" t="s">
        <v>249</v>
      </c>
      <c r="L585" s="20" t="s">
        <v>60</v>
      </c>
      <c r="M585" s="20" t="s">
        <v>60</v>
      </c>
      <c r="N585" s="20" t="s">
        <v>10</v>
      </c>
      <c r="O585" s="20">
        <v>2</v>
      </c>
      <c r="P585" s="20">
        <v>3</v>
      </c>
      <c r="Q585" s="13">
        <v>0.52713915615138829</v>
      </c>
      <c r="R585" s="20" t="s">
        <v>249</v>
      </c>
      <c r="S585" s="20">
        <v>0.25394407724516488</v>
      </c>
      <c r="T585" s="20" t="s">
        <v>60</v>
      </c>
      <c r="U585" s="20" t="s">
        <v>60</v>
      </c>
      <c r="V585" s="20"/>
      <c r="W585" s="20"/>
      <c r="X585" s="20" t="s">
        <v>60</v>
      </c>
      <c r="Y585" s="20" t="s">
        <v>412</v>
      </c>
      <c r="Z585" s="20" t="s">
        <v>60</v>
      </c>
      <c r="AA585" s="20" t="s">
        <v>491</v>
      </c>
    </row>
    <row r="586" spans="1:27" x14ac:dyDescent="0.2">
      <c r="A586" s="1">
        <v>46014</v>
      </c>
      <c r="B586" s="20" t="s">
        <v>328</v>
      </c>
      <c r="C586" s="20" t="s">
        <v>11</v>
      </c>
      <c r="D586" s="20" t="s">
        <v>25</v>
      </c>
      <c r="E586" s="20" t="s">
        <v>1065</v>
      </c>
      <c r="F586" s="20" t="s">
        <v>25</v>
      </c>
      <c r="G586" s="20">
        <v>2</v>
      </c>
      <c r="H586" s="20">
        <v>3</v>
      </c>
      <c r="I586" s="13">
        <v>0.6</v>
      </c>
      <c r="J586" s="20" t="s">
        <v>249</v>
      </c>
      <c r="L586" s="20" t="s">
        <v>60</v>
      </c>
      <c r="M586" s="20" t="s">
        <v>60</v>
      </c>
      <c r="N586" s="20" t="s">
        <v>25</v>
      </c>
      <c r="O586" s="20">
        <v>2</v>
      </c>
      <c r="P586" s="20">
        <v>3</v>
      </c>
      <c r="Q586" s="13">
        <v>0.69361590157977926</v>
      </c>
      <c r="R586" s="20" t="s">
        <v>249</v>
      </c>
      <c r="S586" s="20">
        <v>0.87269417731582166</v>
      </c>
      <c r="T586" s="20" t="s">
        <v>60</v>
      </c>
      <c r="U586" s="20" t="s">
        <v>60</v>
      </c>
      <c r="V586" s="20"/>
      <c r="W586" s="20"/>
      <c r="X586" s="20" t="s">
        <v>60</v>
      </c>
      <c r="Y586" s="20" t="s">
        <v>412</v>
      </c>
      <c r="Z586" s="20" t="s">
        <v>60</v>
      </c>
      <c r="AA586" s="20" t="s">
        <v>491</v>
      </c>
    </row>
    <row r="587" spans="1:27" x14ac:dyDescent="0.2">
      <c r="A587" s="1">
        <v>46014</v>
      </c>
      <c r="B587" s="20" t="s">
        <v>328</v>
      </c>
      <c r="C587" s="20" t="s">
        <v>18</v>
      </c>
      <c r="D587" s="20" t="s">
        <v>21</v>
      </c>
      <c r="E587" s="20" t="s">
        <v>1066</v>
      </c>
      <c r="F587" s="20" t="s">
        <v>21</v>
      </c>
      <c r="G587" s="20">
        <v>2</v>
      </c>
      <c r="H587" s="20">
        <v>3</v>
      </c>
      <c r="I587" s="13">
        <v>0.6</v>
      </c>
      <c r="J587" s="20" t="s">
        <v>249</v>
      </c>
      <c r="L587" s="20" t="s">
        <v>60</v>
      </c>
      <c r="M587" s="20" t="s">
        <v>60</v>
      </c>
      <c r="N587" s="20" t="s">
        <v>21</v>
      </c>
      <c r="O587" s="20">
        <v>2</v>
      </c>
      <c r="P587" s="20">
        <v>3</v>
      </c>
      <c r="Q587" s="13">
        <v>0.57366574500438006</v>
      </c>
      <c r="R587" s="20" t="s">
        <v>249</v>
      </c>
      <c r="S587" s="20">
        <v>0.42302061674925612</v>
      </c>
      <c r="T587" s="20" t="s">
        <v>60</v>
      </c>
      <c r="U587" s="20" t="s">
        <v>60</v>
      </c>
      <c r="V587" s="20"/>
      <c r="W587" s="20"/>
      <c r="X587" s="20" t="s">
        <v>60</v>
      </c>
      <c r="Y587" s="20" t="s">
        <v>412</v>
      </c>
      <c r="Z587" s="20" t="s">
        <v>60</v>
      </c>
      <c r="AA587" s="20" t="s">
        <v>491</v>
      </c>
    </row>
    <row r="588" spans="1:27" x14ac:dyDescent="0.2">
      <c r="A588" s="1">
        <v>46014</v>
      </c>
      <c r="B588" s="20" t="s">
        <v>326</v>
      </c>
      <c r="C588" s="20" t="s">
        <v>16</v>
      </c>
      <c r="D588" s="20" t="s">
        <v>17</v>
      </c>
      <c r="E588" s="20" t="s">
        <v>494</v>
      </c>
      <c r="F588" s="20" t="s">
        <v>17</v>
      </c>
      <c r="G588" s="20">
        <v>2</v>
      </c>
      <c r="H588" s="20">
        <v>3</v>
      </c>
      <c r="I588" s="13">
        <v>0.6</v>
      </c>
      <c r="J588" s="20" t="s">
        <v>249</v>
      </c>
      <c r="L588" s="20" t="s">
        <v>60</v>
      </c>
      <c r="M588" s="20" t="s">
        <v>60</v>
      </c>
      <c r="N588" s="20" t="s">
        <v>17</v>
      </c>
      <c r="O588" s="20">
        <v>2</v>
      </c>
      <c r="P588" s="20">
        <v>3</v>
      </c>
      <c r="Q588" s="13">
        <v>0.58183430278759984</v>
      </c>
      <c r="R588" s="20" t="s">
        <v>249</v>
      </c>
      <c r="S588" s="20">
        <v>0.29793536373026153</v>
      </c>
      <c r="T588" s="20" t="s">
        <v>60</v>
      </c>
      <c r="U588" s="20" t="s">
        <v>60</v>
      </c>
      <c r="V588" s="20"/>
      <c r="W588" s="20"/>
      <c r="X588" s="20" t="s">
        <v>60</v>
      </c>
      <c r="Y588" s="20" t="s">
        <v>412</v>
      </c>
      <c r="Z588" s="20" t="s">
        <v>60</v>
      </c>
      <c r="AA588" s="20" t="s">
        <v>491</v>
      </c>
    </row>
    <row r="589" spans="1:27" x14ac:dyDescent="0.2">
      <c r="A589" s="1">
        <v>46018</v>
      </c>
      <c r="B589" s="20" t="s">
        <v>328</v>
      </c>
      <c r="C589" s="20" t="s">
        <v>34</v>
      </c>
      <c r="D589" s="20" t="s">
        <v>40</v>
      </c>
      <c r="E589" s="20" t="s">
        <v>370</v>
      </c>
      <c r="F589" s="20" t="s">
        <v>34</v>
      </c>
      <c r="G589" s="20">
        <v>2</v>
      </c>
      <c r="H589" s="20">
        <v>3</v>
      </c>
      <c r="I589" s="13">
        <v>0.6</v>
      </c>
      <c r="J589" s="20" t="s">
        <v>249</v>
      </c>
      <c r="L589" s="20" t="s">
        <v>60</v>
      </c>
      <c r="M589" s="20" t="s">
        <v>60</v>
      </c>
      <c r="N589" s="20" t="s">
        <v>34</v>
      </c>
      <c r="O589" s="20">
        <v>2</v>
      </c>
      <c r="P589" s="20">
        <v>3</v>
      </c>
      <c r="Q589" s="13">
        <v>0.52431232460821053</v>
      </c>
      <c r="R589" s="20" t="s">
        <v>249</v>
      </c>
      <c r="S589" s="20">
        <v>-0.20821628741015019</v>
      </c>
      <c r="T589" s="20" t="s">
        <v>60</v>
      </c>
      <c r="U589" s="20" t="s">
        <v>60</v>
      </c>
      <c r="V589" s="20"/>
      <c r="W589" s="20"/>
      <c r="X589" s="20" t="s">
        <v>60</v>
      </c>
      <c r="Y589" s="20" t="s">
        <v>412</v>
      </c>
      <c r="Z589" s="20" t="s">
        <v>60</v>
      </c>
      <c r="AA589" s="20" t="s">
        <v>491</v>
      </c>
    </row>
    <row r="590" spans="1:27" x14ac:dyDescent="0.2">
      <c r="A590" s="1">
        <v>46018</v>
      </c>
      <c r="B590" s="20" t="s">
        <v>322</v>
      </c>
      <c r="C590" s="20" t="s">
        <v>12</v>
      </c>
      <c r="D590" s="20" t="s">
        <v>20</v>
      </c>
      <c r="E590" s="20" t="s">
        <v>746</v>
      </c>
      <c r="F590" s="20" t="s">
        <v>12</v>
      </c>
      <c r="G590" s="20">
        <v>2</v>
      </c>
      <c r="H590" s="20">
        <v>3</v>
      </c>
      <c r="I590" s="13">
        <v>0.6</v>
      </c>
      <c r="J590" s="20" t="s">
        <v>249</v>
      </c>
      <c r="L590" s="20" t="s">
        <v>60</v>
      </c>
      <c r="M590" s="20" t="s">
        <v>60</v>
      </c>
      <c r="N590" s="20" t="s">
        <v>12</v>
      </c>
      <c r="O590" s="20">
        <v>2</v>
      </c>
      <c r="P590" s="20">
        <v>3</v>
      </c>
      <c r="Q590" s="13">
        <v>0.74588743211805819</v>
      </c>
      <c r="R590" s="20" t="s">
        <v>249</v>
      </c>
      <c r="S590" s="20">
        <v>-1.82644373982445</v>
      </c>
      <c r="T590" s="20" t="s">
        <v>60</v>
      </c>
      <c r="U590" s="20" t="s">
        <v>60</v>
      </c>
      <c r="V590" s="20"/>
      <c r="W590" s="20"/>
      <c r="X590" s="20" t="s">
        <v>60</v>
      </c>
      <c r="Y590" s="20" t="s">
        <v>412</v>
      </c>
      <c r="Z590" s="20" t="s">
        <v>60</v>
      </c>
      <c r="AA590" s="20" t="s">
        <v>491</v>
      </c>
    </row>
    <row r="591" spans="1:27" x14ac:dyDescent="0.2">
      <c r="A591" s="1">
        <v>46018</v>
      </c>
      <c r="B591" s="20" t="s">
        <v>322</v>
      </c>
      <c r="C591" s="20" t="s">
        <v>33</v>
      </c>
      <c r="D591" s="20" t="s">
        <v>38</v>
      </c>
      <c r="E591" s="20" t="s">
        <v>1067</v>
      </c>
      <c r="F591" s="20" t="s">
        <v>33</v>
      </c>
      <c r="G591" s="20">
        <v>2</v>
      </c>
      <c r="H591" s="20">
        <v>3</v>
      </c>
      <c r="I591" s="13">
        <v>0.6</v>
      </c>
      <c r="J591" s="20" t="s">
        <v>249</v>
      </c>
      <c r="L591" s="20" t="s">
        <v>60</v>
      </c>
      <c r="M591" s="20" t="s">
        <v>60</v>
      </c>
      <c r="N591" s="20" t="s">
        <v>33</v>
      </c>
      <c r="O591" s="20">
        <v>2</v>
      </c>
      <c r="P591" s="20">
        <v>3</v>
      </c>
      <c r="Q591" s="13">
        <v>0.51212916118467577</v>
      </c>
      <c r="R591" s="20" t="s">
        <v>249</v>
      </c>
      <c r="S591" s="20">
        <v>-0.44644601380539828</v>
      </c>
      <c r="T591" s="20" t="s">
        <v>60</v>
      </c>
      <c r="U591" s="20" t="s">
        <v>60</v>
      </c>
      <c r="V591" s="20"/>
      <c r="W591" s="20"/>
      <c r="X591" s="20" t="s">
        <v>60</v>
      </c>
      <c r="Y591" s="20" t="s">
        <v>412</v>
      </c>
      <c r="Z591" s="20" t="s">
        <v>60</v>
      </c>
      <c r="AA591" s="20" t="s">
        <v>491</v>
      </c>
    </row>
    <row r="592" spans="1:27" x14ac:dyDescent="0.2">
      <c r="A592" s="1">
        <v>46018</v>
      </c>
      <c r="B592" s="20" t="s">
        <v>328</v>
      </c>
      <c r="C592" s="20" t="s">
        <v>36</v>
      </c>
      <c r="D592" s="20" t="s">
        <v>19</v>
      </c>
      <c r="E592" s="20" t="s">
        <v>1068</v>
      </c>
      <c r="F592" s="20" t="s">
        <v>36</v>
      </c>
      <c r="G592" s="20">
        <v>2</v>
      </c>
      <c r="H592" s="20">
        <v>3</v>
      </c>
      <c r="I592" s="13">
        <v>0.6</v>
      </c>
      <c r="J592" s="20" t="s">
        <v>249</v>
      </c>
      <c r="L592" s="20" t="s">
        <v>60</v>
      </c>
      <c r="M592" s="20" t="s">
        <v>60</v>
      </c>
      <c r="N592" s="20" t="s">
        <v>36</v>
      </c>
      <c r="O592" s="20">
        <v>2</v>
      </c>
      <c r="P592" s="20">
        <v>3</v>
      </c>
      <c r="Q592" s="13">
        <v>0.46621209436364419</v>
      </c>
      <c r="R592" s="20" t="s">
        <v>249</v>
      </c>
      <c r="S592" s="20">
        <v>-5.3201791530979481E-2</v>
      </c>
      <c r="T592" s="20" t="s">
        <v>60</v>
      </c>
      <c r="U592" s="20" t="s">
        <v>60</v>
      </c>
      <c r="V592" s="20"/>
      <c r="W592" s="20"/>
      <c r="X592" s="20" t="s">
        <v>60</v>
      </c>
      <c r="Y592" s="20" t="s">
        <v>412</v>
      </c>
      <c r="Z592" s="20" t="s">
        <v>60</v>
      </c>
      <c r="AA592" s="20" t="s">
        <v>491</v>
      </c>
    </row>
    <row r="593" spans="1:27" x14ac:dyDescent="0.2">
      <c r="A593" s="1">
        <v>46018</v>
      </c>
      <c r="B593" s="20" t="s">
        <v>324</v>
      </c>
      <c r="C593" s="20" t="s">
        <v>29</v>
      </c>
      <c r="D593" s="20" t="s">
        <v>35</v>
      </c>
      <c r="E593" s="20" t="s">
        <v>1007</v>
      </c>
      <c r="F593" s="20" t="s">
        <v>35</v>
      </c>
      <c r="G593" s="20">
        <v>2</v>
      </c>
      <c r="H593" s="20">
        <v>3</v>
      </c>
      <c r="I593" s="13">
        <v>0.6</v>
      </c>
      <c r="J593" s="20" t="s">
        <v>249</v>
      </c>
      <c r="L593" s="20" t="s">
        <v>60</v>
      </c>
      <c r="M593" s="20" t="s">
        <v>60</v>
      </c>
      <c r="N593" s="20" t="s">
        <v>35</v>
      </c>
      <c r="O593" s="20">
        <v>2</v>
      </c>
      <c r="P593" s="20">
        <v>3</v>
      </c>
      <c r="Q593" s="13">
        <v>0.54471025076760826</v>
      </c>
      <c r="R593" s="20" t="s">
        <v>249</v>
      </c>
      <c r="S593" s="20">
        <v>4.0339660785500893E-2</v>
      </c>
      <c r="T593" s="20" t="s">
        <v>60</v>
      </c>
      <c r="U593" s="20" t="s">
        <v>60</v>
      </c>
      <c r="V593" s="20"/>
      <c r="W593" s="20"/>
      <c r="X593" s="20" t="s">
        <v>60</v>
      </c>
      <c r="Y593" s="20" t="s">
        <v>412</v>
      </c>
      <c r="Z593" s="20" t="s">
        <v>60</v>
      </c>
      <c r="AA593" s="20" t="s">
        <v>491</v>
      </c>
    </row>
    <row r="594" spans="1:27" x14ac:dyDescent="0.2">
      <c r="A594" s="1">
        <v>46018</v>
      </c>
      <c r="B594" s="20" t="s">
        <v>469</v>
      </c>
      <c r="C594" s="20" t="s">
        <v>15</v>
      </c>
      <c r="D594" s="20" t="s">
        <v>30</v>
      </c>
      <c r="E594" s="20" t="s">
        <v>1069</v>
      </c>
      <c r="F594" s="20" t="s">
        <v>30</v>
      </c>
      <c r="G594" s="20">
        <v>2</v>
      </c>
      <c r="H594" s="20">
        <v>3</v>
      </c>
      <c r="I594" s="13">
        <v>0.6</v>
      </c>
      <c r="J594" s="20" t="s">
        <v>249</v>
      </c>
      <c r="L594" s="20" t="s">
        <v>60</v>
      </c>
      <c r="M594" s="20" t="s">
        <v>60</v>
      </c>
      <c r="N594" s="20" t="s">
        <v>30</v>
      </c>
      <c r="O594" s="20">
        <v>2</v>
      </c>
      <c r="P594" s="20">
        <v>3</v>
      </c>
      <c r="Q594" s="13">
        <v>0.45147856420498927</v>
      </c>
      <c r="R594" s="20" t="s">
        <v>249</v>
      </c>
      <c r="S594" s="20">
        <v>9.9002735965772443E-2</v>
      </c>
      <c r="T594" s="20" t="s">
        <v>60</v>
      </c>
      <c r="U594" s="20" t="s">
        <v>60</v>
      </c>
      <c r="V594" s="20"/>
      <c r="W594" s="20"/>
      <c r="X594" s="20" t="s">
        <v>60</v>
      </c>
      <c r="Y594" s="20" t="s">
        <v>412</v>
      </c>
      <c r="Z594" s="20" t="s">
        <v>60</v>
      </c>
      <c r="AA594" s="20" t="s">
        <v>491</v>
      </c>
    </row>
    <row r="595" spans="1:27" x14ac:dyDescent="0.2">
      <c r="A595" s="1">
        <v>46018</v>
      </c>
      <c r="B595" s="20" t="s">
        <v>328</v>
      </c>
      <c r="C595" s="20" t="s">
        <v>37</v>
      </c>
      <c r="D595" s="20" t="s">
        <v>11</v>
      </c>
      <c r="E595" s="20" t="s">
        <v>894</v>
      </c>
      <c r="F595" s="20" t="s">
        <v>37</v>
      </c>
      <c r="G595" s="20">
        <v>2</v>
      </c>
      <c r="H595" s="20">
        <v>3</v>
      </c>
      <c r="I595" s="13">
        <v>0.6</v>
      </c>
      <c r="J595" s="20" t="s">
        <v>249</v>
      </c>
      <c r="L595" s="20" t="s">
        <v>60</v>
      </c>
      <c r="M595" s="20" t="s">
        <v>60</v>
      </c>
      <c r="N595" s="20" t="s">
        <v>37</v>
      </c>
      <c r="O595" s="20">
        <v>2</v>
      </c>
      <c r="P595" s="20">
        <v>3</v>
      </c>
      <c r="Q595" s="13">
        <v>0.63861329811960532</v>
      </c>
      <c r="R595" s="20" t="s">
        <v>249</v>
      </c>
      <c r="S595" s="20">
        <v>-0.85772248888754832</v>
      </c>
      <c r="T595" s="20" t="s">
        <v>60</v>
      </c>
      <c r="U595" s="20" t="s">
        <v>60</v>
      </c>
      <c r="V595" s="20"/>
      <c r="W595" s="20"/>
      <c r="X595" s="20" t="s">
        <v>60</v>
      </c>
      <c r="Y595" s="20" t="s">
        <v>412</v>
      </c>
      <c r="Z595" s="20" t="s">
        <v>60</v>
      </c>
      <c r="AA595" s="20" t="s">
        <v>491</v>
      </c>
    </row>
    <row r="596" spans="1:27" x14ac:dyDescent="0.2">
      <c r="A596" s="1">
        <v>46018</v>
      </c>
      <c r="B596" s="20" t="s">
        <v>326</v>
      </c>
      <c r="C596" s="20" t="s">
        <v>31</v>
      </c>
      <c r="D596" s="20" t="s">
        <v>13</v>
      </c>
      <c r="E596" s="20" t="s">
        <v>1070</v>
      </c>
      <c r="F596" s="20" t="s">
        <v>31</v>
      </c>
      <c r="G596" s="20">
        <v>2</v>
      </c>
      <c r="H596" s="20">
        <v>3</v>
      </c>
      <c r="I596" s="13">
        <v>0.6</v>
      </c>
      <c r="J596" s="20" t="s">
        <v>249</v>
      </c>
      <c r="L596" s="20" t="s">
        <v>60</v>
      </c>
      <c r="M596" s="20" t="s">
        <v>60</v>
      </c>
      <c r="N596" s="20" t="s">
        <v>31</v>
      </c>
      <c r="O596" s="20">
        <v>2</v>
      </c>
      <c r="P596" s="20">
        <v>3</v>
      </c>
      <c r="Q596" s="13">
        <v>0.53530839997320578</v>
      </c>
      <c r="R596" s="20" t="s">
        <v>249</v>
      </c>
      <c r="S596" s="20">
        <v>-0.46708587159331749</v>
      </c>
      <c r="T596" s="20" t="s">
        <v>60</v>
      </c>
      <c r="U596" s="20" t="s">
        <v>60</v>
      </c>
      <c r="V596" s="20"/>
      <c r="W596" s="20"/>
      <c r="X596" s="20" t="s">
        <v>60</v>
      </c>
      <c r="Y596" s="20" t="s">
        <v>412</v>
      </c>
      <c r="Z596" s="20" t="s">
        <v>60</v>
      </c>
      <c r="AA596" s="20" t="s">
        <v>491</v>
      </c>
    </row>
    <row r="597" spans="1:27" x14ac:dyDescent="0.2">
      <c r="A597" s="1">
        <v>46018</v>
      </c>
      <c r="B597" s="20" t="s">
        <v>324</v>
      </c>
      <c r="C597" s="20" t="s">
        <v>10</v>
      </c>
      <c r="D597" s="20" t="s">
        <v>39</v>
      </c>
      <c r="E597" s="20" t="s">
        <v>1071</v>
      </c>
      <c r="F597" s="20" t="s">
        <v>39</v>
      </c>
      <c r="G597" s="20">
        <v>2</v>
      </c>
      <c r="H597" s="20">
        <v>3</v>
      </c>
      <c r="I597" s="13">
        <v>0.6</v>
      </c>
      <c r="J597" s="20" t="s">
        <v>249</v>
      </c>
      <c r="L597" s="20" t="s">
        <v>60</v>
      </c>
      <c r="M597" s="20" t="s">
        <v>60</v>
      </c>
      <c r="N597" s="20" t="s">
        <v>39</v>
      </c>
      <c r="O597" s="20">
        <v>2</v>
      </c>
      <c r="P597" s="20">
        <v>3</v>
      </c>
      <c r="Q597" s="13">
        <v>0.64692174205887343</v>
      </c>
      <c r="R597" s="20" t="s">
        <v>249</v>
      </c>
      <c r="S597" s="20">
        <v>0.6395395059625959</v>
      </c>
      <c r="T597" s="20" t="s">
        <v>60</v>
      </c>
      <c r="U597" s="20" t="s">
        <v>60</v>
      </c>
      <c r="V597" s="20"/>
      <c r="W597" s="20"/>
      <c r="X597" s="20" t="s">
        <v>60</v>
      </c>
      <c r="Y597" s="20" t="s">
        <v>412</v>
      </c>
      <c r="Z597" s="20" t="s">
        <v>60</v>
      </c>
      <c r="AA597" s="20" t="s">
        <v>491</v>
      </c>
    </row>
    <row r="598" spans="1:27" x14ac:dyDescent="0.2">
      <c r="A598" s="1">
        <v>46018</v>
      </c>
      <c r="B598" s="20" t="s">
        <v>322</v>
      </c>
      <c r="C598" s="20" t="s">
        <v>17</v>
      </c>
      <c r="D598" s="20" t="s">
        <v>16</v>
      </c>
      <c r="E598" s="20" t="s">
        <v>1072</v>
      </c>
      <c r="F598" s="20" t="s">
        <v>17</v>
      </c>
      <c r="G598" s="20">
        <v>2</v>
      </c>
      <c r="H598" s="20">
        <v>3</v>
      </c>
      <c r="I598" s="13">
        <v>0.6</v>
      </c>
      <c r="J598" s="20" t="s">
        <v>249</v>
      </c>
      <c r="L598" s="20" t="s">
        <v>60</v>
      </c>
      <c r="M598" s="20" t="s">
        <v>60</v>
      </c>
      <c r="N598" s="20" t="s">
        <v>17</v>
      </c>
      <c r="O598" s="20">
        <v>2</v>
      </c>
      <c r="P598" s="20">
        <v>3</v>
      </c>
      <c r="Q598" s="13">
        <v>0.48313505308910382</v>
      </c>
      <c r="R598" s="20" t="s">
        <v>249</v>
      </c>
      <c r="S598" s="20">
        <v>-0.19813386588393669</v>
      </c>
      <c r="T598" s="20" t="s">
        <v>60</v>
      </c>
      <c r="U598" s="20" t="s">
        <v>60</v>
      </c>
      <c r="V598" s="20"/>
      <c r="W598" s="20"/>
      <c r="X598" s="20" t="s">
        <v>60</v>
      </c>
      <c r="Y598" s="20" t="s">
        <v>412</v>
      </c>
      <c r="Z598" s="20" t="s">
        <v>60</v>
      </c>
      <c r="AA598" s="20" t="s">
        <v>491</v>
      </c>
    </row>
    <row r="599" spans="1:27" x14ac:dyDescent="0.2">
      <c r="A599" s="1">
        <v>46018</v>
      </c>
      <c r="B599" s="20" t="s">
        <v>328</v>
      </c>
      <c r="C599" s="20" t="s">
        <v>26</v>
      </c>
      <c r="D599" s="20" t="s">
        <v>25</v>
      </c>
      <c r="E599" s="20" t="s">
        <v>1073</v>
      </c>
      <c r="F599" s="20" t="s">
        <v>25</v>
      </c>
      <c r="G599" s="20">
        <v>2</v>
      </c>
      <c r="H599" s="20">
        <v>3</v>
      </c>
      <c r="I599" s="13">
        <v>0.6</v>
      </c>
      <c r="J599" s="20" t="s">
        <v>249</v>
      </c>
      <c r="L599" s="20" t="s">
        <v>60</v>
      </c>
      <c r="M599" s="20" t="s">
        <v>60</v>
      </c>
      <c r="N599" s="20" t="s">
        <v>25</v>
      </c>
      <c r="O599" s="20">
        <v>2</v>
      </c>
      <c r="P599" s="20">
        <v>3</v>
      </c>
      <c r="Q599" s="13">
        <v>0.74945529335783156</v>
      </c>
      <c r="R599" s="20" t="s">
        <v>249</v>
      </c>
      <c r="S599" s="20">
        <v>1.3509154512840249</v>
      </c>
      <c r="T599" s="20" t="s">
        <v>60</v>
      </c>
      <c r="U599" s="20" t="s">
        <v>60</v>
      </c>
      <c r="V599" s="20"/>
      <c r="W599" s="20"/>
      <c r="X599" s="20" t="s">
        <v>60</v>
      </c>
      <c r="Y599" s="20" t="s">
        <v>412</v>
      </c>
      <c r="Z599" s="20" t="s">
        <v>60</v>
      </c>
      <c r="AA599" s="20" t="s">
        <v>491</v>
      </c>
    </row>
    <row r="600" spans="1:27" x14ac:dyDescent="0.2">
      <c r="A600" s="1">
        <v>46018</v>
      </c>
      <c r="B600" s="20" t="s">
        <v>328</v>
      </c>
      <c r="C600" s="20" t="s">
        <v>21</v>
      </c>
      <c r="D600" s="20" t="s">
        <v>23</v>
      </c>
      <c r="E600" s="20" t="s">
        <v>1074</v>
      </c>
      <c r="F600" s="20" t="s">
        <v>21</v>
      </c>
      <c r="G600" s="20">
        <v>2</v>
      </c>
      <c r="H600" s="20">
        <v>3</v>
      </c>
      <c r="I600" s="13">
        <v>0.6</v>
      </c>
      <c r="J600" s="20" t="s">
        <v>249</v>
      </c>
      <c r="L600" s="20" t="s">
        <v>60</v>
      </c>
      <c r="M600" s="20" t="s">
        <v>60</v>
      </c>
      <c r="N600" s="20" t="s">
        <v>21</v>
      </c>
      <c r="O600" s="20">
        <v>2</v>
      </c>
      <c r="P600" s="20">
        <v>3</v>
      </c>
      <c r="Q600" s="13">
        <v>0.47480913359163229</v>
      </c>
      <c r="R600" s="20" t="s">
        <v>249</v>
      </c>
      <c r="S600" s="20">
        <v>-0.2064399263696956</v>
      </c>
      <c r="T600" s="20" t="s">
        <v>60</v>
      </c>
      <c r="U600" s="20" t="s">
        <v>60</v>
      </c>
      <c r="V600" s="20"/>
      <c r="W600" s="20"/>
      <c r="X600" s="20" t="s">
        <v>60</v>
      </c>
      <c r="Y600" s="20" t="s">
        <v>412</v>
      </c>
      <c r="Z600" s="20" t="s">
        <v>60</v>
      </c>
      <c r="AA600" s="20" t="s">
        <v>491</v>
      </c>
    </row>
    <row r="601" spans="1:27" x14ac:dyDescent="0.2">
      <c r="A601" s="1">
        <v>46018</v>
      </c>
      <c r="B601" s="20" t="s">
        <v>328</v>
      </c>
      <c r="C601" s="20" t="s">
        <v>22</v>
      </c>
      <c r="D601" s="20" t="s">
        <v>24</v>
      </c>
      <c r="E601" s="20" t="s">
        <v>1075</v>
      </c>
      <c r="F601" s="20" t="s">
        <v>22</v>
      </c>
      <c r="G601" s="20">
        <v>2</v>
      </c>
      <c r="H601" s="20">
        <v>3</v>
      </c>
      <c r="I601" s="13">
        <v>0.6</v>
      </c>
      <c r="J601" s="20" t="s">
        <v>249</v>
      </c>
      <c r="L601" s="20" t="s">
        <v>60</v>
      </c>
      <c r="M601" s="20" t="s">
        <v>60</v>
      </c>
      <c r="N601" s="20" t="s">
        <v>22</v>
      </c>
      <c r="O601" s="20">
        <v>2</v>
      </c>
      <c r="P601" s="20">
        <v>3</v>
      </c>
      <c r="Q601" s="13">
        <v>0.46650637710823029</v>
      </c>
      <c r="R601" s="20" t="s">
        <v>249</v>
      </c>
      <c r="S601" s="20">
        <v>-0.38927623316599019</v>
      </c>
      <c r="T601" s="20" t="s">
        <v>60</v>
      </c>
      <c r="U601" s="20" t="s">
        <v>60</v>
      </c>
      <c r="V601" s="20"/>
      <c r="W601" s="20"/>
      <c r="X601" s="20" t="s">
        <v>60</v>
      </c>
      <c r="Y601" s="20" t="s">
        <v>412</v>
      </c>
      <c r="Z601" s="20" t="s">
        <v>60</v>
      </c>
      <c r="AA601" s="20" t="s">
        <v>491</v>
      </c>
    </row>
    <row r="602" spans="1:27" x14ac:dyDescent="0.2">
      <c r="A602" s="1">
        <v>46019</v>
      </c>
      <c r="B602" s="20" t="s">
        <v>365</v>
      </c>
      <c r="C602" s="20" t="s">
        <v>18</v>
      </c>
      <c r="D602" s="20" t="s">
        <v>37</v>
      </c>
      <c r="E602" s="20" t="s">
        <v>1076</v>
      </c>
      <c r="F602" s="20" t="s">
        <v>37</v>
      </c>
      <c r="G602" s="20">
        <v>2</v>
      </c>
      <c r="H602" s="20">
        <v>3</v>
      </c>
      <c r="I602" s="13">
        <v>0.6</v>
      </c>
      <c r="J602" s="20" t="s">
        <v>249</v>
      </c>
      <c r="L602" s="20" t="s">
        <v>60</v>
      </c>
      <c r="M602" s="20" t="s">
        <v>60</v>
      </c>
      <c r="N602" s="20" t="s">
        <v>37</v>
      </c>
      <c r="O602" s="20">
        <v>2</v>
      </c>
      <c r="P602" s="20">
        <v>3</v>
      </c>
      <c r="Q602" s="13">
        <v>0.64803323445177996</v>
      </c>
      <c r="R602" s="20" t="s">
        <v>249</v>
      </c>
      <c r="S602" s="20">
        <v>1.1532953239435919</v>
      </c>
      <c r="T602" s="20" t="s">
        <v>60</v>
      </c>
      <c r="U602" s="20" t="s">
        <v>60</v>
      </c>
      <c r="V602" s="20"/>
      <c r="W602" s="20"/>
      <c r="X602" s="20" t="s">
        <v>60</v>
      </c>
      <c r="Y602" s="20" t="s">
        <v>412</v>
      </c>
      <c r="Z602" s="20" t="s">
        <v>60</v>
      </c>
      <c r="AA602" s="20" t="s">
        <v>491</v>
      </c>
    </row>
    <row r="603" spans="1:27" x14ac:dyDescent="0.2">
      <c r="A603" s="1">
        <v>46019</v>
      </c>
      <c r="B603" s="20" t="s">
        <v>324</v>
      </c>
      <c r="C603" s="20" t="s">
        <v>27</v>
      </c>
      <c r="D603" s="20" t="s">
        <v>32</v>
      </c>
      <c r="E603" s="20" t="s">
        <v>1077</v>
      </c>
      <c r="F603" s="20" t="s">
        <v>27</v>
      </c>
      <c r="G603" s="20">
        <v>2</v>
      </c>
      <c r="H603" s="20">
        <v>3</v>
      </c>
      <c r="I603" s="13">
        <v>0.6</v>
      </c>
      <c r="J603" s="20" t="s">
        <v>249</v>
      </c>
      <c r="L603" s="20" t="s">
        <v>60</v>
      </c>
      <c r="M603" s="20" t="s">
        <v>60</v>
      </c>
      <c r="N603" s="20" t="s">
        <v>27</v>
      </c>
      <c r="O603" s="20">
        <v>2</v>
      </c>
      <c r="P603" s="20">
        <v>3</v>
      </c>
      <c r="Q603" s="13">
        <v>0.5281117069273964</v>
      </c>
      <c r="R603" s="20" t="s">
        <v>249</v>
      </c>
      <c r="S603" s="20">
        <v>-0.2192369028486115</v>
      </c>
      <c r="T603" s="20" t="s">
        <v>60</v>
      </c>
      <c r="U603" s="20" t="s">
        <v>60</v>
      </c>
      <c r="V603" s="20"/>
      <c r="W603" s="20"/>
      <c r="X603" s="20" t="s">
        <v>60</v>
      </c>
      <c r="Y603" s="20" t="s">
        <v>412</v>
      </c>
      <c r="Z603" s="20" t="s">
        <v>60</v>
      </c>
      <c r="AA603" s="20" t="s">
        <v>491</v>
      </c>
    </row>
    <row r="604" spans="1:27" x14ac:dyDescent="0.2">
      <c r="A604" s="1">
        <v>46019</v>
      </c>
      <c r="B604" s="20" t="s">
        <v>328</v>
      </c>
      <c r="C604" s="20" t="s">
        <v>14</v>
      </c>
      <c r="D604" s="20" t="s">
        <v>10</v>
      </c>
      <c r="E604" s="20" t="s">
        <v>1078</v>
      </c>
      <c r="F604" s="20" t="s">
        <v>10</v>
      </c>
      <c r="G604" s="20">
        <v>2</v>
      </c>
      <c r="H604" s="20">
        <v>3</v>
      </c>
      <c r="I604" s="13">
        <v>0.6</v>
      </c>
      <c r="J604" s="20" t="s">
        <v>249</v>
      </c>
      <c r="L604" s="20" t="s">
        <v>60</v>
      </c>
      <c r="M604" s="20" t="s">
        <v>60</v>
      </c>
      <c r="N604" s="20" t="s">
        <v>10</v>
      </c>
      <c r="O604" s="20">
        <v>2</v>
      </c>
      <c r="P604" s="20">
        <v>3</v>
      </c>
      <c r="Q604" s="13">
        <v>0.50257784995496757</v>
      </c>
      <c r="R604" s="20" t="s">
        <v>249</v>
      </c>
      <c r="S604" s="20">
        <v>1.5968715304338851E-2</v>
      </c>
      <c r="T604" s="20" t="s">
        <v>60</v>
      </c>
      <c r="U604" s="20" t="s">
        <v>60</v>
      </c>
      <c r="V604" s="20"/>
      <c r="W604" s="20"/>
      <c r="X604" s="20" t="s">
        <v>60</v>
      </c>
      <c r="Y604" s="20" t="s">
        <v>412</v>
      </c>
      <c r="Z604" s="20" t="s">
        <v>60</v>
      </c>
      <c r="AA604" s="20" t="s">
        <v>491</v>
      </c>
    </row>
    <row r="605" spans="1:27" x14ac:dyDescent="0.2">
      <c r="A605" s="1">
        <v>46019</v>
      </c>
      <c r="B605" s="20" t="s">
        <v>365</v>
      </c>
      <c r="C605" s="20" t="s">
        <v>30</v>
      </c>
      <c r="D605" s="20" t="s">
        <v>28</v>
      </c>
      <c r="E605" s="20" t="s">
        <v>1079</v>
      </c>
      <c r="F605" s="20" t="s">
        <v>30</v>
      </c>
      <c r="G605" s="20">
        <v>2</v>
      </c>
      <c r="H605" s="20">
        <v>3</v>
      </c>
      <c r="I605" s="13">
        <v>0.6</v>
      </c>
      <c r="J605" s="20" t="s">
        <v>249</v>
      </c>
      <c r="L605" s="20" t="s">
        <v>60</v>
      </c>
      <c r="M605" s="20" t="s">
        <v>60</v>
      </c>
      <c r="N605" s="20" t="s">
        <v>30</v>
      </c>
      <c r="O605" s="20">
        <v>2</v>
      </c>
      <c r="P605" s="20">
        <v>3</v>
      </c>
      <c r="Q605" s="13">
        <v>0.56813794795961248</v>
      </c>
      <c r="R605" s="20" t="s">
        <v>249</v>
      </c>
      <c r="S605" s="20">
        <v>-0.30415665798604519</v>
      </c>
      <c r="T605" s="20" t="s">
        <v>60</v>
      </c>
      <c r="U605" s="20" t="s">
        <v>60</v>
      </c>
      <c r="V605" s="20"/>
      <c r="W605" s="20"/>
      <c r="X605" s="20" t="s">
        <v>60</v>
      </c>
      <c r="Y605" s="20" t="s">
        <v>412</v>
      </c>
      <c r="Z605" s="20" t="s">
        <v>60</v>
      </c>
      <c r="AA605" s="20" t="s">
        <v>491</v>
      </c>
    </row>
    <row r="606" spans="1:27" x14ac:dyDescent="0.2">
      <c r="A606" s="1">
        <v>46019</v>
      </c>
      <c r="B606" s="20" t="s">
        <v>328</v>
      </c>
      <c r="C606" s="20" t="s">
        <v>19</v>
      </c>
      <c r="D606" s="20" t="s">
        <v>26</v>
      </c>
      <c r="E606" s="20" t="s">
        <v>522</v>
      </c>
      <c r="F606" s="20" t="s">
        <v>19</v>
      </c>
      <c r="G606" s="20">
        <v>2</v>
      </c>
      <c r="H606" s="20">
        <v>3</v>
      </c>
      <c r="I606" s="13">
        <v>0.6</v>
      </c>
      <c r="J606" s="20" t="s">
        <v>249</v>
      </c>
      <c r="L606" s="20" t="s">
        <v>60</v>
      </c>
      <c r="M606" s="20" t="s">
        <v>60</v>
      </c>
      <c r="N606" s="20" t="s">
        <v>19</v>
      </c>
      <c r="O606" s="20">
        <v>2</v>
      </c>
      <c r="P606" s="20">
        <v>3</v>
      </c>
      <c r="Q606" s="13">
        <v>0.48229742461601999</v>
      </c>
      <c r="R606" s="20" t="s">
        <v>249</v>
      </c>
      <c r="S606" s="20">
        <v>-0.1909602247901665</v>
      </c>
      <c r="T606" s="20" t="s">
        <v>60</v>
      </c>
      <c r="U606" s="20" t="s">
        <v>60</v>
      </c>
      <c r="V606" s="20"/>
      <c r="W606" s="20"/>
      <c r="X606" s="20" t="s">
        <v>60</v>
      </c>
      <c r="Y606" s="20" t="s">
        <v>412</v>
      </c>
      <c r="Z606" s="20" t="s">
        <v>60</v>
      </c>
      <c r="AA606" s="20" t="s">
        <v>491</v>
      </c>
    </row>
    <row r="607" spans="1:27" x14ac:dyDescent="0.2">
      <c r="A607" s="1">
        <v>46020</v>
      </c>
      <c r="B607" s="20" t="s">
        <v>322</v>
      </c>
      <c r="C607" s="20" t="s">
        <v>33</v>
      </c>
      <c r="D607" s="20" t="s">
        <v>31</v>
      </c>
      <c r="E607" s="20" t="s">
        <v>1080</v>
      </c>
      <c r="F607" s="20" t="s">
        <v>31</v>
      </c>
      <c r="G607" s="20">
        <v>2</v>
      </c>
      <c r="H607" s="20">
        <v>3</v>
      </c>
      <c r="I607" s="13">
        <v>0.6</v>
      </c>
      <c r="J607" s="20" t="s">
        <v>249</v>
      </c>
      <c r="L607" s="20" t="s">
        <v>60</v>
      </c>
      <c r="M607" s="20" t="s">
        <v>60</v>
      </c>
      <c r="N607" s="20" t="s">
        <v>31</v>
      </c>
      <c r="O607" s="20">
        <v>2</v>
      </c>
      <c r="P607" s="20">
        <v>3</v>
      </c>
      <c r="Q607" s="13">
        <v>0.69922712946183019</v>
      </c>
      <c r="R607" s="20" t="s">
        <v>249</v>
      </c>
      <c r="S607" s="20">
        <v>0.67993476314467216</v>
      </c>
      <c r="T607" s="20" t="s">
        <v>60</v>
      </c>
      <c r="U607" s="20" t="s">
        <v>60</v>
      </c>
      <c r="V607" s="20"/>
      <c r="W607" s="20"/>
      <c r="X607" s="20" t="s">
        <v>60</v>
      </c>
      <c r="Y607" s="20" t="s">
        <v>412</v>
      </c>
      <c r="Z607" s="20" t="s">
        <v>60</v>
      </c>
      <c r="AA607" s="20" t="s">
        <v>491</v>
      </c>
    </row>
    <row r="608" spans="1:27" x14ac:dyDescent="0.2">
      <c r="A608" s="1">
        <v>46020</v>
      </c>
      <c r="B608" s="20" t="s">
        <v>326</v>
      </c>
      <c r="C608" s="20" t="s">
        <v>29</v>
      </c>
      <c r="D608" s="20" t="s">
        <v>55</v>
      </c>
      <c r="E608" s="20" t="s">
        <v>1081</v>
      </c>
      <c r="F608" s="20" t="s">
        <v>55</v>
      </c>
      <c r="G608" s="20">
        <v>2</v>
      </c>
      <c r="H608" s="20">
        <v>3</v>
      </c>
      <c r="I608" s="13">
        <v>0.6</v>
      </c>
      <c r="J608" s="20" t="s">
        <v>249</v>
      </c>
      <c r="L608" s="20" t="s">
        <v>60</v>
      </c>
      <c r="M608" s="20" t="s">
        <v>60</v>
      </c>
      <c r="N608" s="20" t="s">
        <v>55</v>
      </c>
      <c r="O608" s="20">
        <v>2</v>
      </c>
      <c r="P608" s="20">
        <v>3</v>
      </c>
      <c r="Q608" s="13">
        <v>0.70089676550215485</v>
      </c>
      <c r="R608" s="20" t="s">
        <v>249</v>
      </c>
      <c r="S608" s="20">
        <v>1.031694743712041</v>
      </c>
      <c r="T608" s="20" t="s">
        <v>60</v>
      </c>
      <c r="U608" s="20" t="s">
        <v>60</v>
      </c>
      <c r="V608" s="20"/>
      <c r="W608" s="20"/>
      <c r="X608" s="20" t="s">
        <v>60</v>
      </c>
      <c r="Y608" s="20" t="s">
        <v>412</v>
      </c>
      <c r="Z608" s="20" t="s">
        <v>60</v>
      </c>
      <c r="AA608" s="20" t="s">
        <v>491</v>
      </c>
    </row>
    <row r="609" spans="1:27" x14ac:dyDescent="0.2">
      <c r="A609" s="1">
        <v>46020</v>
      </c>
      <c r="B609" s="20" t="s">
        <v>324</v>
      </c>
      <c r="C609" s="20" t="s">
        <v>23</v>
      </c>
      <c r="D609" s="20" t="s">
        <v>35</v>
      </c>
      <c r="E609" s="20" t="s">
        <v>1082</v>
      </c>
      <c r="F609" s="20" t="s">
        <v>23</v>
      </c>
      <c r="G609" s="20">
        <v>2</v>
      </c>
      <c r="H609" s="20">
        <v>3</v>
      </c>
      <c r="I609" s="13">
        <v>0.6</v>
      </c>
      <c r="J609" s="20" t="s">
        <v>249</v>
      </c>
      <c r="L609" s="20" t="s">
        <v>60</v>
      </c>
      <c r="M609" s="20" t="s">
        <v>60</v>
      </c>
      <c r="N609" s="20" t="s">
        <v>23</v>
      </c>
      <c r="O609" s="20">
        <v>2</v>
      </c>
      <c r="P609" s="20">
        <v>3</v>
      </c>
      <c r="Q609" s="13">
        <v>0.56140636177627945</v>
      </c>
      <c r="R609" s="20" t="s">
        <v>249</v>
      </c>
      <c r="S609" s="20">
        <v>-0.86846718728397043</v>
      </c>
      <c r="T609" s="20" t="s">
        <v>60</v>
      </c>
      <c r="U609" s="20" t="s">
        <v>60</v>
      </c>
      <c r="V609" s="20"/>
      <c r="W609" s="20"/>
      <c r="X609" s="20" t="s">
        <v>60</v>
      </c>
      <c r="Y609" s="20" t="s">
        <v>412</v>
      </c>
      <c r="Z609" s="20" t="s">
        <v>60</v>
      </c>
      <c r="AA609" s="20" t="s">
        <v>491</v>
      </c>
    </row>
    <row r="610" spans="1:27" x14ac:dyDescent="0.2">
      <c r="A610" s="1">
        <v>46020</v>
      </c>
      <c r="B610" s="20" t="s">
        <v>322</v>
      </c>
      <c r="C610" s="20" t="s">
        <v>38</v>
      </c>
      <c r="D610" s="20" t="s">
        <v>32</v>
      </c>
      <c r="E610" s="20" t="s">
        <v>1083</v>
      </c>
      <c r="F610" s="20" t="s">
        <v>32</v>
      </c>
      <c r="G610" s="20">
        <v>2</v>
      </c>
      <c r="H610" s="20">
        <v>3</v>
      </c>
      <c r="I610" s="13">
        <v>0.6</v>
      </c>
      <c r="J610" s="20" t="s">
        <v>249</v>
      </c>
      <c r="L610" s="20" t="s">
        <v>60</v>
      </c>
      <c r="M610" s="20" t="s">
        <v>60</v>
      </c>
      <c r="N610" s="20" t="s">
        <v>32</v>
      </c>
      <c r="O610" s="20">
        <v>2</v>
      </c>
      <c r="P610" s="20">
        <v>3</v>
      </c>
      <c r="Q610" s="13">
        <v>0.57708147827079681</v>
      </c>
      <c r="R610" s="20" t="s">
        <v>249</v>
      </c>
      <c r="S610" s="20">
        <v>0.34820126875587648</v>
      </c>
      <c r="T610" s="20" t="s">
        <v>60</v>
      </c>
      <c r="U610" s="20" t="s">
        <v>60</v>
      </c>
      <c r="V610" s="20"/>
      <c r="W610" s="20"/>
      <c r="X610" s="20" t="s">
        <v>60</v>
      </c>
      <c r="Y610" s="20" t="s">
        <v>412</v>
      </c>
      <c r="Z610" s="20" t="s">
        <v>60</v>
      </c>
      <c r="AA610" s="20" t="s">
        <v>491</v>
      </c>
    </row>
    <row r="611" spans="1:27" x14ac:dyDescent="0.2">
      <c r="A611" s="1">
        <v>46020</v>
      </c>
      <c r="B611" s="20" t="s">
        <v>328</v>
      </c>
      <c r="C611" s="20" t="s">
        <v>28</v>
      </c>
      <c r="D611" s="20" t="s">
        <v>36</v>
      </c>
      <c r="E611" s="20" t="s">
        <v>1084</v>
      </c>
      <c r="F611" s="20" t="s">
        <v>36</v>
      </c>
      <c r="G611" s="20">
        <v>2</v>
      </c>
      <c r="H611" s="20">
        <v>3</v>
      </c>
      <c r="I611" s="13">
        <v>0.6</v>
      </c>
      <c r="J611" s="20" t="s">
        <v>249</v>
      </c>
      <c r="L611" s="20" t="s">
        <v>60</v>
      </c>
      <c r="M611" s="20" t="s">
        <v>60</v>
      </c>
      <c r="N611" s="20" t="s">
        <v>36</v>
      </c>
      <c r="O611" s="20">
        <v>2</v>
      </c>
      <c r="P611" s="20">
        <v>3</v>
      </c>
      <c r="Q611" s="13">
        <v>0.55217660249343792</v>
      </c>
      <c r="R611" s="20" t="s">
        <v>249</v>
      </c>
      <c r="S611" s="20">
        <v>0.1135141024088641</v>
      </c>
      <c r="T611" s="20" t="s">
        <v>60</v>
      </c>
      <c r="U611" s="20" t="s">
        <v>60</v>
      </c>
      <c r="V611" s="20"/>
      <c r="W611" s="20"/>
      <c r="X611" s="20" t="s">
        <v>60</v>
      </c>
      <c r="Y611" s="20" t="s">
        <v>412</v>
      </c>
      <c r="Z611" s="20" t="s">
        <v>60</v>
      </c>
      <c r="AA611" s="20" t="s">
        <v>491</v>
      </c>
    </row>
    <row r="612" spans="1:27" x14ac:dyDescent="0.2">
      <c r="A612" s="1">
        <v>46020</v>
      </c>
      <c r="B612" s="20" t="s">
        <v>334</v>
      </c>
      <c r="C612" s="20" t="s">
        <v>17</v>
      </c>
      <c r="D612" s="20" t="s">
        <v>40</v>
      </c>
      <c r="E612" s="20" t="s">
        <v>1085</v>
      </c>
      <c r="F612" s="20" t="s">
        <v>40</v>
      </c>
      <c r="G612" s="20">
        <v>2</v>
      </c>
      <c r="H612" s="20">
        <v>3</v>
      </c>
      <c r="I612" s="13">
        <v>0.6</v>
      </c>
      <c r="J612" s="20" t="s">
        <v>249</v>
      </c>
      <c r="L612" s="20" t="s">
        <v>60</v>
      </c>
      <c r="M612" s="20" t="s">
        <v>60</v>
      </c>
      <c r="N612" s="20" t="s">
        <v>40</v>
      </c>
      <c r="O612" s="20">
        <v>2</v>
      </c>
      <c r="P612" s="20">
        <v>3</v>
      </c>
      <c r="Q612" s="13">
        <v>0.60723051420671958</v>
      </c>
      <c r="R612" s="20" t="s">
        <v>249</v>
      </c>
      <c r="S612" s="20">
        <v>0.55440558937789264</v>
      </c>
      <c r="T612" s="20" t="s">
        <v>60</v>
      </c>
      <c r="U612" s="20" t="s">
        <v>60</v>
      </c>
      <c r="V612" s="20"/>
      <c r="W612" s="20"/>
      <c r="X612" s="20" t="s">
        <v>60</v>
      </c>
      <c r="Y612" s="20" t="s">
        <v>412</v>
      </c>
      <c r="Z612" s="20" t="s">
        <v>60</v>
      </c>
      <c r="AA612" s="20" t="s">
        <v>491</v>
      </c>
    </row>
    <row r="613" spans="1:27" x14ac:dyDescent="0.2">
      <c r="A613" s="1">
        <v>46020</v>
      </c>
      <c r="B613" s="20" t="s">
        <v>326</v>
      </c>
      <c r="C613" s="20" t="s">
        <v>13</v>
      </c>
      <c r="D613" s="20" t="s">
        <v>12</v>
      </c>
      <c r="E613" s="20" t="s">
        <v>1086</v>
      </c>
      <c r="F613" s="20" t="s">
        <v>12</v>
      </c>
      <c r="G613" s="20">
        <v>2</v>
      </c>
      <c r="H613" s="20">
        <v>3</v>
      </c>
      <c r="I613" s="13">
        <v>0.6</v>
      </c>
      <c r="J613" s="20" t="s">
        <v>249</v>
      </c>
      <c r="L613" s="20" t="s">
        <v>60</v>
      </c>
      <c r="M613" s="20" t="s">
        <v>60</v>
      </c>
      <c r="N613" s="20" t="s">
        <v>12</v>
      </c>
      <c r="O613" s="20">
        <v>2</v>
      </c>
      <c r="P613" s="20">
        <v>3</v>
      </c>
      <c r="Q613" s="13">
        <v>0.81727043791199216</v>
      </c>
      <c r="R613" s="20" t="s">
        <v>249</v>
      </c>
      <c r="S613" s="20">
        <v>2.0200880060273518</v>
      </c>
      <c r="T613" s="20" t="s">
        <v>60</v>
      </c>
      <c r="U613" s="20" t="s">
        <v>60</v>
      </c>
      <c r="V613" s="20"/>
      <c r="W613" s="20"/>
      <c r="X613" s="20" t="s">
        <v>60</v>
      </c>
      <c r="Y613" s="20" t="s">
        <v>412</v>
      </c>
      <c r="Z613" s="20" t="s">
        <v>60</v>
      </c>
      <c r="AA613" s="20" t="s">
        <v>491</v>
      </c>
    </row>
    <row r="614" spans="1:27" x14ac:dyDescent="0.2">
      <c r="A614" s="1">
        <v>46020</v>
      </c>
      <c r="B614" s="20" t="s">
        <v>326</v>
      </c>
      <c r="C614" s="20" t="s">
        <v>21</v>
      </c>
      <c r="D614" s="20" t="s">
        <v>16</v>
      </c>
      <c r="E614" s="20" t="s">
        <v>1087</v>
      </c>
      <c r="F614" s="20" t="s">
        <v>21</v>
      </c>
      <c r="G614" s="20">
        <v>2</v>
      </c>
      <c r="H614" s="20">
        <v>3</v>
      </c>
      <c r="I614" s="13">
        <v>0.6</v>
      </c>
      <c r="J614" s="20" t="s">
        <v>249</v>
      </c>
      <c r="L614" s="20" t="s">
        <v>60</v>
      </c>
      <c r="M614" s="20" t="s">
        <v>60</v>
      </c>
      <c r="N614" s="20" t="s">
        <v>21</v>
      </c>
      <c r="O614" s="20">
        <v>2</v>
      </c>
      <c r="P614" s="20">
        <v>3</v>
      </c>
      <c r="Q614" s="13">
        <v>0.55378717520333443</v>
      </c>
      <c r="R614" s="20" t="s">
        <v>249</v>
      </c>
      <c r="S614" s="20">
        <v>-0.79611076967372685</v>
      </c>
      <c r="T614" s="20" t="s">
        <v>60</v>
      </c>
      <c r="U614" s="20" t="s">
        <v>60</v>
      </c>
      <c r="V614" s="20"/>
      <c r="W614" s="20"/>
      <c r="X614" s="20" t="s">
        <v>60</v>
      </c>
      <c r="Y614" s="20" t="s">
        <v>412</v>
      </c>
      <c r="Z614" s="20" t="s">
        <v>60</v>
      </c>
      <c r="AA614" s="20" t="s">
        <v>491</v>
      </c>
    </row>
    <row r="615" spans="1:27" x14ac:dyDescent="0.2">
      <c r="A615" s="1">
        <v>46020</v>
      </c>
      <c r="B615" s="20" t="s">
        <v>328</v>
      </c>
      <c r="C615" s="20" t="s">
        <v>15</v>
      </c>
      <c r="D615" s="20" t="s">
        <v>25</v>
      </c>
      <c r="E615" s="20" t="s">
        <v>414</v>
      </c>
      <c r="F615" s="20" t="s">
        <v>25</v>
      </c>
      <c r="G615" s="20">
        <v>2</v>
      </c>
      <c r="H615" s="20">
        <v>3</v>
      </c>
      <c r="I615" s="13">
        <v>0.6</v>
      </c>
      <c r="J615" s="20" t="s">
        <v>249</v>
      </c>
      <c r="L615" s="20" t="s">
        <v>60</v>
      </c>
      <c r="M615" s="20" t="s">
        <v>60</v>
      </c>
      <c r="N615" s="20" t="s">
        <v>25</v>
      </c>
      <c r="O615" s="20">
        <v>2</v>
      </c>
      <c r="P615" s="20">
        <v>3</v>
      </c>
      <c r="Q615" s="13">
        <v>0.58170394431130978</v>
      </c>
      <c r="R615" s="20" t="s">
        <v>249</v>
      </c>
      <c r="S615" s="20">
        <v>0.76560987073565778</v>
      </c>
      <c r="T615" s="20" t="s">
        <v>60</v>
      </c>
      <c r="U615" s="20" t="s">
        <v>60</v>
      </c>
      <c r="V615" s="20"/>
      <c r="W615" s="20"/>
      <c r="X615" s="20" t="s">
        <v>60</v>
      </c>
      <c r="Y615" s="20" t="s">
        <v>412</v>
      </c>
      <c r="Z615" s="20" t="s">
        <v>60</v>
      </c>
      <c r="AA615" s="20" t="s">
        <v>491</v>
      </c>
    </row>
    <row r="616" spans="1:27" x14ac:dyDescent="0.2">
      <c r="A616" s="1">
        <v>46020</v>
      </c>
      <c r="B616" s="20" t="s">
        <v>328</v>
      </c>
      <c r="C616" s="20" t="s">
        <v>22</v>
      </c>
      <c r="D616" s="20" t="s">
        <v>11</v>
      </c>
      <c r="E616" s="20" t="s">
        <v>868</v>
      </c>
      <c r="F616" s="20" t="s">
        <v>22</v>
      </c>
      <c r="G616" s="20">
        <v>2</v>
      </c>
      <c r="H616" s="20">
        <v>3</v>
      </c>
      <c r="I616" s="13">
        <v>0.6</v>
      </c>
      <c r="J616" s="20" t="s">
        <v>249</v>
      </c>
      <c r="L616" s="20" t="s">
        <v>60</v>
      </c>
      <c r="M616" s="20" t="s">
        <v>60</v>
      </c>
      <c r="N616" s="20" t="s">
        <v>22</v>
      </c>
      <c r="O616" s="20">
        <v>2</v>
      </c>
      <c r="P616" s="20">
        <v>3</v>
      </c>
      <c r="Q616" s="13">
        <v>0.58037393944359772</v>
      </c>
      <c r="R616" s="20" t="s">
        <v>249</v>
      </c>
      <c r="S616" s="20">
        <v>-0.78792477499470093</v>
      </c>
      <c r="T616" s="20" t="s">
        <v>60</v>
      </c>
      <c r="U616" s="20" t="s">
        <v>60</v>
      </c>
      <c r="V616" s="20"/>
      <c r="W616" s="20"/>
      <c r="X616" s="20" t="s">
        <v>60</v>
      </c>
      <c r="Y616" s="20" t="s">
        <v>412</v>
      </c>
      <c r="Z616" s="20" t="s">
        <v>60</v>
      </c>
      <c r="AA616" s="20" t="s">
        <v>491</v>
      </c>
    </row>
    <row r="617" spans="1:27" x14ac:dyDescent="0.2">
      <c r="A617" s="1">
        <v>46020</v>
      </c>
      <c r="B617" s="20" t="s">
        <v>322</v>
      </c>
      <c r="C617" s="20" t="s">
        <v>34</v>
      </c>
      <c r="D617" s="20" t="s">
        <v>20</v>
      </c>
      <c r="E617" s="20" t="s">
        <v>1088</v>
      </c>
      <c r="F617" s="20" t="s">
        <v>34</v>
      </c>
      <c r="G617" s="20">
        <v>2</v>
      </c>
      <c r="H617" s="20">
        <v>3</v>
      </c>
      <c r="I617" s="13">
        <v>0.6</v>
      </c>
      <c r="J617" s="20" t="s">
        <v>249</v>
      </c>
      <c r="L617" s="20" t="s">
        <v>60</v>
      </c>
      <c r="M617" s="20" t="s">
        <v>60</v>
      </c>
      <c r="N617" s="20" t="s">
        <v>34</v>
      </c>
      <c r="O617" s="20">
        <v>2</v>
      </c>
      <c r="P617" s="20">
        <v>3</v>
      </c>
      <c r="Q617" s="13">
        <v>0.51879135600538295</v>
      </c>
      <c r="R617" s="20" t="s">
        <v>249</v>
      </c>
      <c r="S617" s="20">
        <v>-0.13941529394799509</v>
      </c>
      <c r="T617" s="20" t="s">
        <v>60</v>
      </c>
      <c r="U617" s="20" t="s">
        <v>60</v>
      </c>
      <c r="V617" s="20"/>
      <c r="W617" s="20"/>
      <c r="X617" s="20" t="s">
        <v>60</v>
      </c>
      <c r="Y617" s="20" t="s">
        <v>412</v>
      </c>
      <c r="Z617" s="20" t="s">
        <v>60</v>
      </c>
      <c r="AA617" s="20" t="s">
        <v>491</v>
      </c>
    </row>
    <row r="618" spans="1:27" x14ac:dyDescent="0.2">
      <c r="A618" s="1">
        <v>46021</v>
      </c>
      <c r="B618" s="20" t="s">
        <v>416</v>
      </c>
      <c r="C618" s="20" t="s">
        <v>30</v>
      </c>
      <c r="D618" s="20" t="s">
        <v>10</v>
      </c>
      <c r="E618" s="20" t="s">
        <v>1089</v>
      </c>
      <c r="F618" s="20" t="s">
        <v>10</v>
      </c>
      <c r="G618" s="20">
        <v>2</v>
      </c>
      <c r="H618" s="20">
        <v>3</v>
      </c>
      <c r="I618" s="13">
        <v>0.6</v>
      </c>
      <c r="J618" s="20" t="s">
        <v>249</v>
      </c>
      <c r="L618" s="20" t="s">
        <v>60</v>
      </c>
      <c r="M618" s="20" t="s">
        <v>60</v>
      </c>
      <c r="N618" s="20" t="s">
        <v>10</v>
      </c>
      <c r="O618" s="20">
        <v>2</v>
      </c>
      <c r="P618" s="20">
        <v>3</v>
      </c>
      <c r="Q618" s="13">
        <v>0.48076233315128641</v>
      </c>
      <c r="R618" s="20" t="s">
        <v>249</v>
      </c>
      <c r="S618" s="20">
        <v>0.1146364911801815</v>
      </c>
      <c r="T618" s="20" t="s">
        <v>60</v>
      </c>
      <c r="U618" s="20" t="s">
        <v>60</v>
      </c>
      <c r="V618" s="20"/>
      <c r="W618" s="20"/>
      <c r="X618" s="20" t="s">
        <v>60</v>
      </c>
      <c r="Y618" s="20" t="s">
        <v>412</v>
      </c>
      <c r="Z618" s="20" t="s">
        <v>60</v>
      </c>
      <c r="AA618" s="20" t="s">
        <v>491</v>
      </c>
    </row>
    <row r="619" spans="1:27" x14ac:dyDescent="0.2">
      <c r="A619" s="1">
        <v>46021</v>
      </c>
      <c r="B619" s="20" t="s">
        <v>328</v>
      </c>
      <c r="C619" s="20" t="s">
        <v>18</v>
      </c>
      <c r="D619" s="20" t="s">
        <v>11</v>
      </c>
      <c r="E619" s="20" t="s">
        <v>1090</v>
      </c>
      <c r="F619" s="20" t="s">
        <v>11</v>
      </c>
      <c r="G619" s="20">
        <v>2</v>
      </c>
      <c r="H619" s="20">
        <v>3</v>
      </c>
      <c r="I619" s="13">
        <v>0.6</v>
      </c>
      <c r="J619" s="20" t="s">
        <v>249</v>
      </c>
      <c r="L619" s="20" t="s">
        <v>60</v>
      </c>
      <c r="M619" s="20" t="s">
        <v>60</v>
      </c>
      <c r="N619" s="20" t="s">
        <v>11</v>
      </c>
      <c r="O619" s="20">
        <v>2</v>
      </c>
      <c r="P619" s="20">
        <v>3</v>
      </c>
      <c r="Q619" s="13">
        <v>0.52353120274196641</v>
      </c>
      <c r="R619" s="20" t="s">
        <v>249</v>
      </c>
      <c r="S619" s="20">
        <v>0.24567208613288111</v>
      </c>
      <c r="T619" s="20" t="s">
        <v>60</v>
      </c>
      <c r="U619" s="20" t="s">
        <v>60</v>
      </c>
      <c r="V619" s="20"/>
      <c r="W619" s="20"/>
      <c r="X619" s="20" t="s">
        <v>60</v>
      </c>
      <c r="Y619" s="20" t="s">
        <v>412</v>
      </c>
      <c r="Z619" s="20" t="s">
        <v>60</v>
      </c>
      <c r="AA619" s="20" t="s">
        <v>491</v>
      </c>
    </row>
    <row r="620" spans="1:27" x14ac:dyDescent="0.2">
      <c r="A620" s="1">
        <v>46021</v>
      </c>
      <c r="B620" s="20" t="s">
        <v>328</v>
      </c>
      <c r="C620" s="20" t="s">
        <v>25</v>
      </c>
      <c r="D620" s="20" t="s">
        <v>14</v>
      </c>
      <c r="E620" s="20" t="s">
        <v>1091</v>
      </c>
      <c r="F620" s="20" t="s">
        <v>25</v>
      </c>
      <c r="G620" s="20">
        <v>2</v>
      </c>
      <c r="H620" s="20">
        <v>3</v>
      </c>
      <c r="I620" s="13">
        <v>0.6</v>
      </c>
      <c r="J620" s="20" t="s">
        <v>249</v>
      </c>
      <c r="L620" s="20" t="s">
        <v>60</v>
      </c>
      <c r="M620" s="20" t="s">
        <v>60</v>
      </c>
      <c r="N620" s="20" t="s">
        <v>25</v>
      </c>
      <c r="O620" s="20">
        <v>2</v>
      </c>
      <c r="P620" s="20">
        <v>3</v>
      </c>
      <c r="Q620" s="13">
        <v>0.59311182252615857</v>
      </c>
      <c r="R620" s="20" t="s">
        <v>249</v>
      </c>
      <c r="S620" s="20">
        <v>-0.51803860997088025</v>
      </c>
      <c r="T620" s="20" t="s">
        <v>60</v>
      </c>
      <c r="U620" s="20" t="s">
        <v>60</v>
      </c>
      <c r="V620" s="20"/>
      <c r="W620" s="20"/>
      <c r="X620" s="20" t="s">
        <v>60</v>
      </c>
      <c r="Y620" s="20" t="s">
        <v>412</v>
      </c>
      <c r="Z620" s="20" t="s">
        <v>60</v>
      </c>
      <c r="AA620" s="20" t="s">
        <v>491</v>
      </c>
    </row>
    <row r="621" spans="1:27" x14ac:dyDescent="0.2">
      <c r="A621" s="1">
        <v>46021</v>
      </c>
      <c r="B621" s="20" t="s">
        <v>328</v>
      </c>
      <c r="C621" s="20" t="s">
        <v>24</v>
      </c>
      <c r="D621" s="20" t="s">
        <v>19</v>
      </c>
      <c r="E621" s="20" t="s">
        <v>639</v>
      </c>
      <c r="F621" s="20" t="s">
        <v>24</v>
      </c>
      <c r="G621" s="20">
        <v>2</v>
      </c>
      <c r="H621" s="20">
        <v>3</v>
      </c>
      <c r="I621" s="13">
        <v>0.6</v>
      </c>
      <c r="J621" s="20" t="s">
        <v>249</v>
      </c>
      <c r="L621" s="20" t="s">
        <v>60</v>
      </c>
      <c r="M621" s="20" t="s">
        <v>60</v>
      </c>
      <c r="N621" s="20" t="s">
        <v>24</v>
      </c>
      <c r="O621" s="20">
        <v>2</v>
      </c>
      <c r="P621" s="20">
        <v>3</v>
      </c>
      <c r="Q621" s="13">
        <v>0.54920600098378236</v>
      </c>
      <c r="R621" s="20" t="s">
        <v>249</v>
      </c>
      <c r="S621" s="20">
        <v>-0.58610809316042234</v>
      </c>
      <c r="T621" s="20" t="s">
        <v>60</v>
      </c>
      <c r="U621" s="20" t="s">
        <v>60</v>
      </c>
      <c r="V621" s="20"/>
      <c r="W621" s="20"/>
      <c r="X621" s="20" t="s">
        <v>60</v>
      </c>
      <c r="Y621" s="20" t="s">
        <v>412</v>
      </c>
      <c r="Z621" s="20" t="s">
        <v>60</v>
      </c>
      <c r="AA621" s="20" t="s">
        <v>491</v>
      </c>
    </row>
    <row r="622" spans="1:27" x14ac:dyDescent="0.2">
      <c r="A622" s="1">
        <v>46021</v>
      </c>
      <c r="B622" s="20" t="s">
        <v>322</v>
      </c>
      <c r="C622" s="20" t="s">
        <v>27</v>
      </c>
      <c r="D622" s="20" t="s">
        <v>38</v>
      </c>
      <c r="E622" s="20" t="s">
        <v>1092</v>
      </c>
      <c r="F622" s="20" t="s">
        <v>27</v>
      </c>
      <c r="G622" s="20">
        <v>2</v>
      </c>
      <c r="H622" s="20">
        <v>3</v>
      </c>
      <c r="I622" s="13">
        <v>0.6</v>
      </c>
      <c r="J622" s="20" t="s">
        <v>249</v>
      </c>
      <c r="L622" s="20" t="s">
        <v>60</v>
      </c>
      <c r="M622" s="20" t="s">
        <v>60</v>
      </c>
      <c r="N622" s="20" t="s">
        <v>27</v>
      </c>
      <c r="O622" s="20">
        <v>2</v>
      </c>
      <c r="P622" s="20">
        <v>3</v>
      </c>
      <c r="Q622" s="13">
        <v>0.56294269521932072</v>
      </c>
      <c r="R622" s="20" t="s">
        <v>249</v>
      </c>
      <c r="S622" s="20">
        <v>-0.51753742268132563</v>
      </c>
      <c r="T622" s="20" t="s">
        <v>60</v>
      </c>
      <c r="U622" s="20" t="s">
        <v>60</v>
      </c>
      <c r="V622" s="20"/>
      <c r="W622" s="20"/>
      <c r="X622" s="20" t="s">
        <v>60</v>
      </c>
      <c r="Y622" s="20" t="s">
        <v>412</v>
      </c>
      <c r="Z622" s="20" t="s">
        <v>60</v>
      </c>
      <c r="AA622" s="20" t="s">
        <v>491</v>
      </c>
    </row>
    <row r="623" spans="1:27" x14ac:dyDescent="0.2">
      <c r="A623" s="1">
        <v>46022</v>
      </c>
      <c r="B623" s="20" t="s">
        <v>725</v>
      </c>
      <c r="C623" s="20" t="s">
        <v>40</v>
      </c>
      <c r="D623" s="20" t="s">
        <v>26</v>
      </c>
      <c r="E623" s="20" t="s">
        <v>1093</v>
      </c>
      <c r="F623" s="20" t="s">
        <v>40</v>
      </c>
      <c r="G623" s="20">
        <v>2</v>
      </c>
      <c r="H623" s="20">
        <v>3</v>
      </c>
      <c r="I623" s="13">
        <v>0.6</v>
      </c>
      <c r="J623" s="20" t="s">
        <v>249</v>
      </c>
      <c r="L623" s="20" t="s">
        <v>60</v>
      </c>
      <c r="M623" s="20" t="s">
        <v>60</v>
      </c>
      <c r="N623" s="20" t="s">
        <v>40</v>
      </c>
      <c r="O623" s="20">
        <v>2</v>
      </c>
      <c r="P623" s="20">
        <v>3</v>
      </c>
      <c r="Q623" s="13">
        <v>0.54057578911141169</v>
      </c>
      <c r="R623" s="20" t="s">
        <v>249</v>
      </c>
      <c r="S623" s="20">
        <v>-0.5121969923263554</v>
      </c>
      <c r="T623" s="20" t="s">
        <v>60</v>
      </c>
      <c r="U623" s="20" t="s">
        <v>60</v>
      </c>
      <c r="V623" s="20"/>
      <c r="W623" s="20"/>
      <c r="X623" s="20" t="s">
        <v>60</v>
      </c>
      <c r="Y623" s="20" t="s">
        <v>412</v>
      </c>
      <c r="Z623" s="20" t="s">
        <v>60</v>
      </c>
      <c r="AA623" s="20" t="s">
        <v>491</v>
      </c>
    </row>
    <row r="624" spans="1:27" x14ac:dyDescent="0.2">
      <c r="A624" s="1">
        <v>46022</v>
      </c>
      <c r="B624" s="20" t="s">
        <v>555</v>
      </c>
      <c r="C624" s="20" t="s">
        <v>15</v>
      </c>
      <c r="D624" s="20" t="s">
        <v>22</v>
      </c>
      <c r="E624" s="20" t="s">
        <v>1059</v>
      </c>
      <c r="F624" s="20" t="s">
        <v>22</v>
      </c>
      <c r="G624" s="20">
        <v>2</v>
      </c>
      <c r="H624" s="20">
        <v>3</v>
      </c>
      <c r="I624" s="13">
        <v>0.6</v>
      </c>
      <c r="J624" s="20" t="s">
        <v>249</v>
      </c>
      <c r="L624" s="20" t="s">
        <v>60</v>
      </c>
      <c r="M624" s="20" t="s">
        <v>60</v>
      </c>
      <c r="N624" s="20" t="s">
        <v>22</v>
      </c>
      <c r="O624" s="20">
        <v>2</v>
      </c>
      <c r="P624" s="20">
        <v>3</v>
      </c>
      <c r="Q624" s="13">
        <v>0.55717088848980889</v>
      </c>
      <c r="R624" s="20" t="s">
        <v>249</v>
      </c>
      <c r="S624" s="20">
        <v>0.78064196626086202</v>
      </c>
      <c r="T624" s="20" t="s">
        <v>60</v>
      </c>
      <c r="U624" s="20" t="s">
        <v>60</v>
      </c>
      <c r="V624" s="20"/>
      <c r="W624" s="20"/>
      <c r="X624" s="20" t="s">
        <v>60</v>
      </c>
      <c r="Y624" s="20" t="s">
        <v>412</v>
      </c>
      <c r="Z624" s="20" t="s">
        <v>60</v>
      </c>
      <c r="AA624" s="20" t="s">
        <v>491</v>
      </c>
    </row>
    <row r="625" spans="1:27" x14ac:dyDescent="0.2">
      <c r="A625" s="1">
        <v>46022</v>
      </c>
      <c r="B625" s="20" t="s">
        <v>453</v>
      </c>
      <c r="C625" s="20" t="s">
        <v>29</v>
      </c>
      <c r="D625" s="20" t="s">
        <v>20</v>
      </c>
      <c r="E625" s="20" t="s">
        <v>1094</v>
      </c>
      <c r="F625" s="20" t="s">
        <v>20</v>
      </c>
      <c r="G625" s="20">
        <v>2</v>
      </c>
      <c r="H625" s="20">
        <v>3</v>
      </c>
      <c r="I625" s="13">
        <v>0.6</v>
      </c>
      <c r="J625" s="20" t="s">
        <v>249</v>
      </c>
      <c r="L625" s="20" t="s">
        <v>60</v>
      </c>
      <c r="M625" s="20" t="s">
        <v>60</v>
      </c>
      <c r="N625" s="20" t="s">
        <v>20</v>
      </c>
      <c r="O625" s="20">
        <v>2</v>
      </c>
      <c r="P625" s="20">
        <v>3</v>
      </c>
      <c r="Q625" s="13">
        <v>0.67899410709528163</v>
      </c>
      <c r="R625" s="20" t="s">
        <v>249</v>
      </c>
      <c r="S625" s="20">
        <v>1.1903772024125869</v>
      </c>
      <c r="T625" s="20" t="s">
        <v>60</v>
      </c>
      <c r="U625" s="20" t="s">
        <v>60</v>
      </c>
      <c r="V625" s="20"/>
      <c r="W625" s="20"/>
      <c r="X625" s="20" t="s">
        <v>60</v>
      </c>
      <c r="Y625" s="20" t="s">
        <v>412</v>
      </c>
      <c r="Z625" s="20" t="s">
        <v>60</v>
      </c>
      <c r="AA625" s="20" t="s">
        <v>491</v>
      </c>
    </row>
    <row r="626" spans="1:27" x14ac:dyDescent="0.2">
      <c r="A626" s="1">
        <v>46022</v>
      </c>
      <c r="B626" s="20" t="s">
        <v>369</v>
      </c>
      <c r="C626" s="20" t="s">
        <v>34</v>
      </c>
      <c r="D626" s="20" t="s">
        <v>33</v>
      </c>
      <c r="E626" s="20" t="s">
        <v>1095</v>
      </c>
      <c r="F626" s="20" t="s">
        <v>34</v>
      </c>
      <c r="G626" s="20">
        <v>2</v>
      </c>
      <c r="H626" s="20">
        <v>3</v>
      </c>
      <c r="I626" s="13">
        <v>0.6</v>
      </c>
      <c r="J626" s="20" t="s">
        <v>249</v>
      </c>
      <c r="L626" s="20" t="s">
        <v>60</v>
      </c>
      <c r="M626" s="20" t="s">
        <v>60</v>
      </c>
      <c r="N626" s="20" t="s">
        <v>34</v>
      </c>
      <c r="O626" s="20">
        <v>2</v>
      </c>
      <c r="P626" s="20">
        <v>3</v>
      </c>
      <c r="Q626" s="13">
        <v>0.53274396540055979</v>
      </c>
      <c r="R626" s="20" t="s">
        <v>249</v>
      </c>
      <c r="S626" s="20">
        <v>-0.34630545600960211</v>
      </c>
      <c r="T626" s="20" t="s">
        <v>60</v>
      </c>
      <c r="U626" s="20" t="s">
        <v>60</v>
      </c>
      <c r="V626" s="20"/>
      <c r="W626" s="20"/>
      <c r="X626" s="20" t="s">
        <v>60</v>
      </c>
      <c r="Y626" s="20" t="s">
        <v>412</v>
      </c>
      <c r="Z626" s="20" t="s">
        <v>60</v>
      </c>
      <c r="AA626" s="20" t="s">
        <v>491</v>
      </c>
    </row>
    <row r="627" spans="1:27" x14ac:dyDescent="0.2">
      <c r="A627" s="1">
        <v>46022</v>
      </c>
      <c r="B627" s="20" t="s">
        <v>426</v>
      </c>
      <c r="C627" s="20" t="s">
        <v>21</v>
      </c>
      <c r="D627" s="20" t="s">
        <v>17</v>
      </c>
      <c r="E627" s="20" t="s">
        <v>1096</v>
      </c>
      <c r="F627" s="20" t="s">
        <v>21</v>
      </c>
      <c r="G627" s="20">
        <v>2</v>
      </c>
      <c r="H627" s="20">
        <v>3</v>
      </c>
      <c r="I627" s="13">
        <v>0.6</v>
      </c>
      <c r="J627" s="20" t="s">
        <v>249</v>
      </c>
      <c r="L627" s="20" t="s">
        <v>60</v>
      </c>
      <c r="M627" s="20" t="s">
        <v>60</v>
      </c>
      <c r="N627" s="20" t="s">
        <v>21</v>
      </c>
      <c r="O627" s="20">
        <v>2</v>
      </c>
      <c r="P627" s="20">
        <v>3</v>
      </c>
      <c r="Q627" s="13">
        <v>0.51777749271244533</v>
      </c>
      <c r="R627" s="20" t="s">
        <v>249</v>
      </c>
      <c r="S627" s="20">
        <v>-0.54807615486662775</v>
      </c>
      <c r="T627" s="20" t="s">
        <v>60</v>
      </c>
      <c r="U627" s="20" t="s">
        <v>60</v>
      </c>
      <c r="V627" s="20"/>
      <c r="W627" s="20"/>
      <c r="X627" s="20" t="s">
        <v>60</v>
      </c>
      <c r="Y627" s="20" t="s">
        <v>412</v>
      </c>
      <c r="Z627" s="20" t="s">
        <v>60</v>
      </c>
      <c r="AA627" s="20" t="s">
        <v>491</v>
      </c>
    </row>
    <row r="628" spans="1:27" x14ac:dyDescent="0.2">
      <c r="A628" s="1">
        <v>46022</v>
      </c>
      <c r="B628" s="20" t="s">
        <v>324</v>
      </c>
      <c r="C628" s="20" t="s">
        <v>23</v>
      </c>
      <c r="D628" s="20" t="s">
        <v>39</v>
      </c>
      <c r="E628" s="20" t="s">
        <v>1097</v>
      </c>
      <c r="F628" s="20" t="s">
        <v>39</v>
      </c>
      <c r="G628" s="20">
        <v>2</v>
      </c>
      <c r="H628" s="20">
        <v>3</v>
      </c>
      <c r="I628" s="13">
        <v>0.6</v>
      </c>
      <c r="J628" s="20" t="s">
        <v>249</v>
      </c>
      <c r="L628" s="20" t="s">
        <v>60</v>
      </c>
      <c r="M628" s="20" t="s">
        <v>60</v>
      </c>
      <c r="N628" s="20" t="s">
        <v>39</v>
      </c>
      <c r="O628" s="20">
        <v>2</v>
      </c>
      <c r="P628" s="20">
        <v>3</v>
      </c>
      <c r="Q628" s="13">
        <v>0.68194114905620618</v>
      </c>
      <c r="R628" s="20" t="s">
        <v>249</v>
      </c>
      <c r="S628" s="20">
        <v>0.93945368651887196</v>
      </c>
      <c r="T628" s="20" t="s">
        <v>60</v>
      </c>
      <c r="U628" s="20" t="s">
        <v>60</v>
      </c>
      <c r="V628" s="20"/>
      <c r="W628" s="20"/>
      <c r="X628" s="20" t="s">
        <v>60</v>
      </c>
      <c r="Y628" s="20" t="s">
        <v>412</v>
      </c>
      <c r="Z628" s="20" t="s">
        <v>60</v>
      </c>
      <c r="AA628" s="20" t="s">
        <v>491</v>
      </c>
    </row>
    <row r="629" spans="1:27" x14ac:dyDescent="0.2">
      <c r="A629" s="1">
        <v>46022</v>
      </c>
      <c r="B629" s="20" t="s">
        <v>426</v>
      </c>
      <c r="C629" s="20" t="s">
        <v>27</v>
      </c>
      <c r="D629" s="20" t="s">
        <v>16</v>
      </c>
      <c r="E629" s="20" t="s">
        <v>1098</v>
      </c>
      <c r="F629" s="20" t="s">
        <v>27</v>
      </c>
      <c r="G629" s="20">
        <v>2</v>
      </c>
      <c r="H629" s="20">
        <v>3</v>
      </c>
      <c r="I629" s="13">
        <v>0.6</v>
      </c>
      <c r="J629" s="20" t="s">
        <v>249</v>
      </c>
      <c r="L629" s="20" t="s">
        <v>60</v>
      </c>
      <c r="M629" s="20" t="s">
        <v>60</v>
      </c>
      <c r="N629" s="20" t="s">
        <v>27</v>
      </c>
      <c r="O629" s="20">
        <v>2</v>
      </c>
      <c r="P629" s="20">
        <v>3</v>
      </c>
      <c r="Q629" s="13">
        <v>0.57673302472220156</v>
      </c>
      <c r="R629" s="20" t="s">
        <v>249</v>
      </c>
      <c r="S629" s="20">
        <v>-0.63564094661514237</v>
      </c>
      <c r="T629" s="20" t="s">
        <v>60</v>
      </c>
      <c r="U629" s="20" t="s">
        <v>60</v>
      </c>
      <c r="V629" s="20"/>
      <c r="W629" s="20"/>
      <c r="X629" s="20" t="s">
        <v>60</v>
      </c>
      <c r="Y629" s="20" t="s">
        <v>412</v>
      </c>
      <c r="Z629" s="20" t="s">
        <v>60</v>
      </c>
      <c r="AA629" s="20" t="s">
        <v>491</v>
      </c>
    </row>
    <row r="630" spans="1:27" x14ac:dyDescent="0.2">
      <c r="A630" s="1">
        <v>46022</v>
      </c>
      <c r="B630" s="20" t="s">
        <v>328</v>
      </c>
      <c r="C630" s="20" t="s">
        <v>24</v>
      </c>
      <c r="D630" s="20" t="s">
        <v>28</v>
      </c>
      <c r="E630" s="20" t="s">
        <v>553</v>
      </c>
      <c r="F630" s="20" t="s">
        <v>24</v>
      </c>
      <c r="G630" s="20">
        <v>2</v>
      </c>
      <c r="H630" s="20">
        <v>3</v>
      </c>
      <c r="I630" s="13">
        <v>0.6</v>
      </c>
      <c r="J630" s="20" t="s">
        <v>249</v>
      </c>
      <c r="L630" s="20" t="s">
        <v>60</v>
      </c>
      <c r="M630" s="20" t="s">
        <v>60</v>
      </c>
      <c r="N630" s="20" t="s">
        <v>24</v>
      </c>
      <c r="O630" s="20">
        <v>2</v>
      </c>
      <c r="P630" s="20">
        <v>3</v>
      </c>
      <c r="Q630" s="13">
        <v>0.54459505558641363</v>
      </c>
      <c r="R630" s="20" t="s">
        <v>249</v>
      </c>
      <c r="S630" s="20">
        <v>-0.54661890619198206</v>
      </c>
      <c r="T630" s="20" t="s">
        <v>60</v>
      </c>
      <c r="U630" s="20" t="s">
        <v>60</v>
      </c>
      <c r="V630" s="20"/>
      <c r="W630" s="20"/>
      <c r="X630" s="20" t="s">
        <v>60</v>
      </c>
      <c r="Y630" s="20" t="s">
        <v>412</v>
      </c>
      <c r="Z630" s="20" t="s">
        <v>60</v>
      </c>
      <c r="AA630" s="20" t="s">
        <v>491</v>
      </c>
    </row>
    <row r="631" spans="1:27" x14ac:dyDescent="0.2">
      <c r="A631" s="1">
        <v>46022</v>
      </c>
      <c r="B631" s="20" t="s">
        <v>369</v>
      </c>
      <c r="C631" s="20" t="s">
        <v>37</v>
      </c>
      <c r="D631" s="20" t="s">
        <v>31</v>
      </c>
      <c r="E631" s="20" t="s">
        <v>1099</v>
      </c>
      <c r="F631" s="20" t="s">
        <v>37</v>
      </c>
      <c r="G631" s="20">
        <v>2</v>
      </c>
      <c r="H631" s="20">
        <v>3</v>
      </c>
      <c r="I631" s="13">
        <v>0.6</v>
      </c>
      <c r="J631" s="20" t="s">
        <v>249</v>
      </c>
      <c r="L631" s="20" t="s">
        <v>60</v>
      </c>
      <c r="M631" s="20" t="s">
        <v>60</v>
      </c>
      <c r="N631" s="20" t="s">
        <v>37</v>
      </c>
      <c r="O631" s="20">
        <v>2</v>
      </c>
      <c r="P631" s="20">
        <v>3</v>
      </c>
      <c r="Q631" s="13">
        <v>0.50350435815468431</v>
      </c>
      <c r="R631" s="20" t="s">
        <v>249</v>
      </c>
      <c r="S631" s="20">
        <v>-0.28190117598417552</v>
      </c>
      <c r="T631" s="20" t="s">
        <v>60</v>
      </c>
      <c r="U631" s="20" t="s">
        <v>60</v>
      </c>
      <c r="V631" s="20"/>
      <c r="W631" s="20"/>
      <c r="X631" s="20" t="s">
        <v>60</v>
      </c>
      <c r="Y631" s="20" t="s">
        <v>412</v>
      </c>
      <c r="Z631" s="20" t="s">
        <v>60</v>
      </c>
      <c r="AA631" s="20" t="s">
        <v>491</v>
      </c>
    </row>
    <row r="632" spans="1:27" x14ac:dyDescent="0.2">
      <c r="A632" s="1">
        <v>46022</v>
      </c>
      <c r="B632" s="20" t="s">
        <v>326</v>
      </c>
      <c r="C632" s="20" t="s">
        <v>35</v>
      </c>
      <c r="D632" s="20" t="s">
        <v>12</v>
      </c>
      <c r="E632" s="20" t="s">
        <v>1100</v>
      </c>
      <c r="F632" s="20" t="s">
        <v>12</v>
      </c>
      <c r="G632" s="20">
        <v>2</v>
      </c>
      <c r="H632" s="20">
        <v>3</v>
      </c>
      <c r="I632" s="13">
        <v>0.6</v>
      </c>
      <c r="J632" s="20" t="s">
        <v>249</v>
      </c>
      <c r="L632" s="20" t="s">
        <v>60</v>
      </c>
      <c r="M632" s="20" t="s">
        <v>60</v>
      </c>
      <c r="N632" s="20" t="s">
        <v>12</v>
      </c>
      <c r="O632" s="20">
        <v>2</v>
      </c>
      <c r="P632" s="20">
        <v>3</v>
      </c>
      <c r="Q632" s="13">
        <v>1</v>
      </c>
      <c r="R632" s="20" t="s">
        <v>249</v>
      </c>
      <c r="S632" s="20">
        <v>3.0762827792978609</v>
      </c>
      <c r="T632" s="20" t="s">
        <v>60</v>
      </c>
      <c r="U632" s="20" t="s">
        <v>60</v>
      </c>
      <c r="V632" s="20"/>
      <c r="W632" s="20"/>
      <c r="X632" s="20" t="s">
        <v>60</v>
      </c>
      <c r="Y632" s="20" t="s">
        <v>412</v>
      </c>
      <c r="Z632" s="20" t="s">
        <v>60</v>
      </c>
      <c r="AA632" s="20" t="s">
        <v>491</v>
      </c>
    </row>
    <row r="633" spans="1:27" x14ac:dyDescent="0.2">
      <c r="A633" s="1">
        <v>46023</v>
      </c>
      <c r="B633" s="20" t="s">
        <v>328</v>
      </c>
      <c r="C633" s="20" t="s">
        <v>40</v>
      </c>
      <c r="D633" s="20" t="s">
        <v>19</v>
      </c>
      <c r="E633" s="20" t="s">
        <v>1101</v>
      </c>
      <c r="F633" s="20" t="s">
        <v>40</v>
      </c>
      <c r="G633" s="20">
        <v>2</v>
      </c>
      <c r="H633" s="20">
        <v>3</v>
      </c>
      <c r="I633" s="13">
        <v>0.6</v>
      </c>
      <c r="J633" s="20" t="s">
        <v>249</v>
      </c>
      <c r="L633" s="20" t="s">
        <v>60</v>
      </c>
      <c r="M633" s="20" t="s">
        <v>60</v>
      </c>
      <c r="N633" s="20" t="s">
        <v>40</v>
      </c>
      <c r="O633" s="20">
        <v>2</v>
      </c>
      <c r="P633" s="20">
        <v>3</v>
      </c>
      <c r="Q633" s="13">
        <v>0.51245171557612179</v>
      </c>
      <c r="R633" s="20" t="s">
        <v>249</v>
      </c>
      <c r="S633" s="20">
        <v>-0.27133601861302648</v>
      </c>
      <c r="T633" s="20" t="s">
        <v>60</v>
      </c>
      <c r="U633" s="20" t="s">
        <v>60</v>
      </c>
      <c r="V633" s="20"/>
      <c r="W633" s="20"/>
      <c r="X633" s="20" t="s">
        <v>60</v>
      </c>
      <c r="Y633" s="20" t="s">
        <v>412</v>
      </c>
      <c r="Z633" s="20" t="s">
        <v>60</v>
      </c>
      <c r="AA633" s="20" t="s">
        <v>491</v>
      </c>
    </row>
    <row r="634" spans="1:27" x14ac:dyDescent="0.2">
      <c r="A634" s="1">
        <v>46023</v>
      </c>
      <c r="B634" s="20" t="s">
        <v>328</v>
      </c>
      <c r="C634" s="20" t="s">
        <v>26</v>
      </c>
      <c r="D634" s="20" t="s">
        <v>14</v>
      </c>
      <c r="E634" s="20" t="s">
        <v>1102</v>
      </c>
      <c r="F634" s="20" t="s">
        <v>14</v>
      </c>
      <c r="G634" s="20">
        <v>2</v>
      </c>
      <c r="H634" s="20">
        <v>3</v>
      </c>
      <c r="I634" s="13">
        <v>0.6</v>
      </c>
      <c r="J634" s="20" t="s">
        <v>249</v>
      </c>
      <c r="L634" s="20" t="s">
        <v>60</v>
      </c>
      <c r="M634" s="20" t="s">
        <v>60</v>
      </c>
      <c r="N634" s="20" t="s">
        <v>14</v>
      </c>
      <c r="O634" s="20">
        <v>2</v>
      </c>
      <c r="P634" s="20">
        <v>3</v>
      </c>
      <c r="Q634" s="13">
        <v>0.63142401468889853</v>
      </c>
      <c r="R634" s="20" t="s">
        <v>249</v>
      </c>
      <c r="S634" s="20">
        <v>0.78297609238998189</v>
      </c>
      <c r="T634" s="20" t="s">
        <v>60</v>
      </c>
      <c r="U634" s="20" t="s">
        <v>60</v>
      </c>
      <c r="V634" s="20"/>
      <c r="W634" s="20"/>
      <c r="X634" s="20" t="s">
        <v>60</v>
      </c>
      <c r="Y634" s="20" t="s">
        <v>412</v>
      </c>
      <c r="Z634" s="20" t="s">
        <v>60</v>
      </c>
      <c r="AA634" s="20" t="s">
        <v>491</v>
      </c>
    </row>
    <row r="635" spans="1:27" x14ac:dyDescent="0.2">
      <c r="A635" s="1">
        <v>46023</v>
      </c>
      <c r="B635" s="20" t="s">
        <v>347</v>
      </c>
      <c r="C635" s="20" t="s">
        <v>22</v>
      </c>
      <c r="D635" s="20" t="s">
        <v>36</v>
      </c>
      <c r="E635" s="20" t="s">
        <v>1103</v>
      </c>
      <c r="F635" s="20" t="s">
        <v>22</v>
      </c>
      <c r="G635" s="20">
        <v>2</v>
      </c>
      <c r="H635" s="20">
        <v>3</v>
      </c>
      <c r="I635" s="13">
        <v>0.6</v>
      </c>
      <c r="J635" s="20" t="s">
        <v>249</v>
      </c>
      <c r="L635" s="20" t="s">
        <v>60</v>
      </c>
      <c r="M635" s="20" t="s">
        <v>60</v>
      </c>
      <c r="N635" s="20" t="s">
        <v>22</v>
      </c>
      <c r="O635" s="20">
        <v>2</v>
      </c>
      <c r="P635" s="20">
        <v>3</v>
      </c>
      <c r="Q635" s="13">
        <v>0.60767842138019035</v>
      </c>
      <c r="R635" s="20" t="s">
        <v>249</v>
      </c>
      <c r="S635" s="20">
        <v>-0.92218253479543311</v>
      </c>
      <c r="T635" s="20" t="s">
        <v>60</v>
      </c>
      <c r="U635" s="20" t="s">
        <v>60</v>
      </c>
      <c r="V635" s="20"/>
      <c r="W635" s="20"/>
      <c r="X635" s="20" t="s">
        <v>60</v>
      </c>
      <c r="Y635" s="20" t="s">
        <v>412</v>
      </c>
      <c r="Z635" s="20" t="s">
        <v>60</v>
      </c>
      <c r="AA635" s="20" t="s">
        <v>491</v>
      </c>
    </row>
    <row r="636" spans="1:27" x14ac:dyDescent="0.2">
      <c r="A636" s="1">
        <v>46023</v>
      </c>
      <c r="B636" s="20" t="s">
        <v>322</v>
      </c>
      <c r="C636" s="20" t="s">
        <v>29</v>
      </c>
      <c r="D636" s="20" t="s">
        <v>32</v>
      </c>
      <c r="E636" s="20" t="s">
        <v>1104</v>
      </c>
      <c r="F636" s="20" t="s">
        <v>32</v>
      </c>
      <c r="G636" s="20">
        <v>2</v>
      </c>
      <c r="H636" s="20">
        <v>3</v>
      </c>
      <c r="I636" s="13">
        <v>0.6</v>
      </c>
      <c r="J636" s="20" t="s">
        <v>249</v>
      </c>
      <c r="L636" s="20" t="s">
        <v>60</v>
      </c>
      <c r="M636" s="20" t="s">
        <v>60</v>
      </c>
      <c r="N636" s="20" t="s">
        <v>32</v>
      </c>
      <c r="O636" s="20">
        <v>2</v>
      </c>
      <c r="P636" s="20">
        <v>3</v>
      </c>
      <c r="Q636" s="13">
        <v>0.63171180538170546</v>
      </c>
      <c r="R636" s="20" t="s">
        <v>249</v>
      </c>
      <c r="S636" s="20">
        <v>0.7854407974551334</v>
      </c>
      <c r="T636" s="20" t="s">
        <v>60</v>
      </c>
      <c r="U636" s="20" t="s">
        <v>60</v>
      </c>
      <c r="V636" s="20"/>
      <c r="W636" s="20"/>
      <c r="X636" s="20" t="s">
        <v>60</v>
      </c>
      <c r="Y636" s="20" t="s">
        <v>412</v>
      </c>
      <c r="Z636" s="20" t="s">
        <v>60</v>
      </c>
      <c r="AA636" s="20" t="s">
        <v>491</v>
      </c>
    </row>
    <row r="637" spans="1:27" x14ac:dyDescent="0.2">
      <c r="A637" s="1">
        <v>46023</v>
      </c>
      <c r="B637" s="20" t="s">
        <v>328</v>
      </c>
      <c r="C637" s="20" t="s">
        <v>37</v>
      </c>
      <c r="D637" s="20" t="s">
        <v>13</v>
      </c>
      <c r="E637" s="20" t="s">
        <v>1105</v>
      </c>
      <c r="F637" s="20" t="s">
        <v>37</v>
      </c>
      <c r="G637" s="20">
        <v>2</v>
      </c>
      <c r="H637" s="20">
        <v>3</v>
      </c>
      <c r="I637" s="13">
        <v>0.6</v>
      </c>
      <c r="J637" s="20" t="s">
        <v>249</v>
      </c>
      <c r="L637" s="20" t="s">
        <v>60</v>
      </c>
      <c r="M637" s="20" t="s">
        <v>60</v>
      </c>
      <c r="N637" s="20" t="s">
        <v>37</v>
      </c>
      <c r="O637" s="20">
        <v>2</v>
      </c>
      <c r="P637" s="20">
        <v>3</v>
      </c>
      <c r="Q637" s="13">
        <v>0.6457681288291155</v>
      </c>
      <c r="R637" s="20" t="s">
        <v>249</v>
      </c>
      <c r="S637" s="20">
        <v>-0.79888779650065556</v>
      </c>
      <c r="T637" s="20" t="s">
        <v>60</v>
      </c>
      <c r="U637" s="20" t="s">
        <v>60</v>
      </c>
      <c r="V637" s="20"/>
      <c r="W637" s="20"/>
      <c r="X637" s="20" t="s">
        <v>60</v>
      </c>
      <c r="Y637" s="20" t="s">
        <v>412</v>
      </c>
      <c r="Z637" s="20" t="s">
        <v>60</v>
      </c>
      <c r="AA637" s="20" t="s">
        <v>491</v>
      </c>
    </row>
    <row r="638" spans="1:27" x14ac:dyDescent="0.2">
      <c r="A638" s="1">
        <v>46023</v>
      </c>
      <c r="B638" s="20" t="s">
        <v>416</v>
      </c>
      <c r="C638" s="20" t="s">
        <v>39</v>
      </c>
      <c r="D638" s="20" t="s">
        <v>10</v>
      </c>
      <c r="E638" s="20" t="s">
        <v>1106</v>
      </c>
      <c r="F638" s="20" t="s">
        <v>39</v>
      </c>
      <c r="G638" s="20">
        <v>2</v>
      </c>
      <c r="H638" s="20">
        <v>3</v>
      </c>
      <c r="I638" s="13">
        <v>0.6</v>
      </c>
      <c r="J638" s="20" t="s">
        <v>249</v>
      </c>
      <c r="L638" s="20" t="s">
        <v>60</v>
      </c>
      <c r="M638" s="20" t="s">
        <v>60</v>
      </c>
      <c r="N638" s="20" t="s">
        <v>39</v>
      </c>
      <c r="O638" s="20">
        <v>2</v>
      </c>
      <c r="P638" s="20">
        <v>3</v>
      </c>
      <c r="Q638" s="13">
        <v>0.62482013122102475</v>
      </c>
      <c r="R638" s="20" t="s">
        <v>249</v>
      </c>
      <c r="S638" s="20">
        <v>-0.53973800811627093</v>
      </c>
      <c r="T638" s="20" t="s">
        <v>60</v>
      </c>
      <c r="U638" s="20" t="s">
        <v>60</v>
      </c>
      <c r="V638" s="20"/>
      <c r="W638" s="20"/>
      <c r="X638" s="20" t="s">
        <v>60</v>
      </c>
      <c r="Y638" s="20" t="s">
        <v>412</v>
      </c>
      <c r="Z638" s="20" t="s">
        <v>60</v>
      </c>
      <c r="AA638" s="20" t="s">
        <v>491</v>
      </c>
    </row>
    <row r="639" spans="1:27" x14ac:dyDescent="0.2">
      <c r="A639" s="1">
        <v>46023</v>
      </c>
      <c r="B639" s="20" t="s">
        <v>328</v>
      </c>
      <c r="C639" s="20" t="s">
        <v>18</v>
      </c>
      <c r="D639" s="20" t="s">
        <v>25</v>
      </c>
      <c r="E639" s="20" t="s">
        <v>1107</v>
      </c>
      <c r="F639" s="20" t="s">
        <v>25</v>
      </c>
      <c r="G639" s="20">
        <v>2</v>
      </c>
      <c r="H639" s="20">
        <v>3</v>
      </c>
      <c r="I639" s="13">
        <v>0.6</v>
      </c>
      <c r="J639" s="20" t="s">
        <v>249</v>
      </c>
      <c r="L639" s="20" t="s">
        <v>60</v>
      </c>
      <c r="M639" s="20" t="s">
        <v>60</v>
      </c>
      <c r="N639" s="20" t="s">
        <v>25</v>
      </c>
      <c r="O639" s="20">
        <v>2</v>
      </c>
      <c r="P639" s="20">
        <v>3</v>
      </c>
      <c r="Q639" s="13">
        <v>0.65809245157970586</v>
      </c>
      <c r="R639" s="20" t="s">
        <v>249</v>
      </c>
      <c r="S639" s="20">
        <v>1.0684655145255399</v>
      </c>
      <c r="T639" s="20" t="s">
        <v>60</v>
      </c>
      <c r="U639" s="20" t="s">
        <v>60</v>
      </c>
      <c r="V639" s="20"/>
      <c r="W639" s="20"/>
      <c r="X639" s="20" t="s">
        <v>60</v>
      </c>
      <c r="Y639" s="20" t="s">
        <v>412</v>
      </c>
      <c r="Z639" s="20" t="s">
        <v>60</v>
      </c>
      <c r="AA639" s="20" t="s">
        <v>491</v>
      </c>
    </row>
    <row r="640" spans="1:27" x14ac:dyDescent="0.2">
      <c r="A640" s="1">
        <v>46023</v>
      </c>
      <c r="B640" s="20" t="s">
        <v>453</v>
      </c>
      <c r="C640" s="20" t="s">
        <v>55</v>
      </c>
      <c r="D640" s="20" t="s">
        <v>30</v>
      </c>
      <c r="E640" s="20" t="s">
        <v>1108</v>
      </c>
      <c r="F640" s="20" t="s">
        <v>30</v>
      </c>
      <c r="G640" s="20">
        <v>2</v>
      </c>
      <c r="H640" s="20">
        <v>3</v>
      </c>
      <c r="I640" s="13">
        <v>0.6</v>
      </c>
      <c r="J640" s="20" t="s">
        <v>249</v>
      </c>
      <c r="L640" s="20" t="s">
        <v>60</v>
      </c>
      <c r="M640" s="20" t="s">
        <v>60</v>
      </c>
      <c r="N640" s="20" t="s">
        <v>30</v>
      </c>
      <c r="O640" s="20">
        <v>2</v>
      </c>
      <c r="P640" s="20">
        <v>3</v>
      </c>
      <c r="Q640" s="13">
        <v>0.56476487598383529</v>
      </c>
      <c r="R640" s="20" t="s">
        <v>249</v>
      </c>
      <c r="S640" s="20">
        <v>0.21209204050301231</v>
      </c>
      <c r="T640" s="20" t="s">
        <v>60</v>
      </c>
      <c r="U640" s="20" t="s">
        <v>60</v>
      </c>
      <c r="V640" s="20"/>
      <c r="W640" s="20"/>
      <c r="X640" s="20" t="s">
        <v>60</v>
      </c>
      <c r="Y640" s="20" t="s">
        <v>412</v>
      </c>
      <c r="Z640" s="20" t="s">
        <v>60</v>
      </c>
      <c r="AA640" s="20" t="s">
        <v>491</v>
      </c>
    </row>
    <row r="641" spans="1:27" x14ac:dyDescent="0.2">
      <c r="A641" s="1">
        <v>46024</v>
      </c>
      <c r="B641" s="20" t="s">
        <v>340</v>
      </c>
      <c r="C641" s="20" t="s">
        <v>34</v>
      </c>
      <c r="D641" s="20" t="s">
        <v>31</v>
      </c>
      <c r="E641" s="20" t="s">
        <v>1109</v>
      </c>
      <c r="F641" s="20" t="s">
        <v>31</v>
      </c>
      <c r="G641" s="20">
        <v>2</v>
      </c>
      <c r="H641" s="20">
        <v>3</v>
      </c>
      <c r="I641" s="13">
        <v>0.6</v>
      </c>
      <c r="J641" s="20" t="s">
        <v>249</v>
      </c>
      <c r="L641" s="20" t="s">
        <v>60</v>
      </c>
      <c r="M641" s="20" t="s">
        <v>60</v>
      </c>
      <c r="N641" s="20" t="s">
        <v>31</v>
      </c>
      <c r="O641" s="20">
        <v>2</v>
      </c>
      <c r="P641" s="20">
        <v>3</v>
      </c>
      <c r="Q641" s="13">
        <v>0.61207686512694381</v>
      </c>
      <c r="R641" s="20" t="s">
        <v>249</v>
      </c>
      <c r="S641" s="20">
        <v>0.28372855821190762</v>
      </c>
      <c r="T641" s="20" t="s">
        <v>60</v>
      </c>
      <c r="U641" s="20" t="s">
        <v>60</v>
      </c>
      <c r="V641" s="20"/>
      <c r="W641" s="20"/>
      <c r="X641" s="20" t="s">
        <v>60</v>
      </c>
      <c r="Y641" s="20" t="s">
        <v>412</v>
      </c>
      <c r="Z641" s="20" t="s">
        <v>60</v>
      </c>
      <c r="AA641" s="20" t="s">
        <v>491</v>
      </c>
    </row>
    <row r="642" spans="1:27" x14ac:dyDescent="0.2">
      <c r="A642" s="1">
        <v>46024</v>
      </c>
      <c r="B642" s="20" t="s">
        <v>324</v>
      </c>
      <c r="C642" s="20" t="s">
        <v>15</v>
      </c>
      <c r="D642" s="20" t="s">
        <v>11</v>
      </c>
      <c r="E642" s="20" t="s">
        <v>1110</v>
      </c>
      <c r="F642" s="20" t="s">
        <v>15</v>
      </c>
      <c r="G642" s="20">
        <v>2</v>
      </c>
      <c r="H642" s="20">
        <v>3</v>
      </c>
      <c r="I642" s="13">
        <v>0.6</v>
      </c>
      <c r="J642" s="20" t="s">
        <v>249</v>
      </c>
      <c r="L642" s="20" t="s">
        <v>60</v>
      </c>
      <c r="M642" s="20" t="s">
        <v>60</v>
      </c>
      <c r="N642" s="20" t="s">
        <v>15</v>
      </c>
      <c r="O642" s="20">
        <v>2</v>
      </c>
      <c r="P642" s="20">
        <v>3</v>
      </c>
      <c r="Q642" s="13">
        <v>0.55277631510567293</v>
      </c>
      <c r="R642" s="20" t="s">
        <v>249</v>
      </c>
      <c r="S642" s="20">
        <v>-5.7183557657001449E-2</v>
      </c>
      <c r="T642" s="20" t="s">
        <v>60</v>
      </c>
      <c r="U642" s="20" t="s">
        <v>60</v>
      </c>
      <c r="V642" s="20"/>
      <c r="W642" s="20"/>
      <c r="X642" s="20" t="s">
        <v>60</v>
      </c>
      <c r="Y642" s="20" t="s">
        <v>412</v>
      </c>
      <c r="Z642" s="20" t="s">
        <v>60</v>
      </c>
      <c r="AA642" s="20" t="s">
        <v>491</v>
      </c>
    </row>
    <row r="643" spans="1:27" x14ac:dyDescent="0.2">
      <c r="A643" s="1">
        <v>46024</v>
      </c>
      <c r="B643" s="20" t="s">
        <v>453</v>
      </c>
      <c r="C643" s="20" t="s">
        <v>20</v>
      </c>
      <c r="D643" s="20" t="s">
        <v>35</v>
      </c>
      <c r="E643" s="20" t="s">
        <v>882</v>
      </c>
      <c r="F643" s="20" t="s">
        <v>20</v>
      </c>
      <c r="G643" s="20">
        <v>2</v>
      </c>
      <c r="H643" s="20">
        <v>3</v>
      </c>
      <c r="I643" s="13">
        <v>0.6</v>
      </c>
      <c r="J643" s="20" t="s">
        <v>249</v>
      </c>
      <c r="L643" s="20" t="s">
        <v>60</v>
      </c>
      <c r="M643" s="20" t="s">
        <v>60</v>
      </c>
      <c r="N643" s="20" t="s">
        <v>20</v>
      </c>
      <c r="O643" s="20">
        <v>2</v>
      </c>
      <c r="P643" s="20">
        <v>3</v>
      </c>
      <c r="Q643" s="13">
        <v>0.58845720740840357</v>
      </c>
      <c r="R643" s="20" t="s">
        <v>249</v>
      </c>
      <c r="S643" s="20">
        <v>-1.1001367927039241</v>
      </c>
      <c r="T643" s="20" t="s">
        <v>60</v>
      </c>
      <c r="U643" s="20" t="s">
        <v>60</v>
      </c>
      <c r="V643" s="20"/>
      <c r="W643" s="20"/>
      <c r="X643" s="20" t="s">
        <v>60</v>
      </c>
      <c r="Y643" s="20" t="s">
        <v>412</v>
      </c>
      <c r="Z643" s="20" t="s">
        <v>60</v>
      </c>
      <c r="AA643" s="20" t="s">
        <v>491</v>
      </c>
    </row>
    <row r="644" spans="1:27" x14ac:dyDescent="0.2">
      <c r="A644" s="1">
        <v>46024</v>
      </c>
      <c r="B644" s="20" t="s">
        <v>340</v>
      </c>
      <c r="C644" s="20" t="s">
        <v>32</v>
      </c>
      <c r="D644" s="20" t="s">
        <v>38</v>
      </c>
      <c r="E644" s="20" t="s">
        <v>1111</v>
      </c>
      <c r="F644" s="20" t="s">
        <v>32</v>
      </c>
      <c r="G644" s="20">
        <v>2</v>
      </c>
      <c r="H644" s="20">
        <v>3</v>
      </c>
      <c r="I644" s="13">
        <v>0.6</v>
      </c>
      <c r="J644" s="20" t="s">
        <v>249</v>
      </c>
      <c r="L644" s="20" t="s">
        <v>60</v>
      </c>
      <c r="M644" s="20" t="s">
        <v>60</v>
      </c>
      <c r="N644" s="20" t="s">
        <v>32</v>
      </c>
      <c r="O644" s="20">
        <v>2</v>
      </c>
      <c r="P644" s="20">
        <v>3</v>
      </c>
      <c r="Q644" s="13">
        <v>0.48900433937265447</v>
      </c>
      <c r="R644" s="20" t="s">
        <v>249</v>
      </c>
      <c r="S644" s="20">
        <v>-0.2483997709095517</v>
      </c>
      <c r="T644" s="20" t="s">
        <v>60</v>
      </c>
      <c r="U644" s="20" t="s">
        <v>60</v>
      </c>
      <c r="V644" s="20"/>
      <c r="W644" s="20"/>
      <c r="X644" s="20" t="s">
        <v>60</v>
      </c>
      <c r="Y644" s="20" t="s">
        <v>412</v>
      </c>
      <c r="Z644" s="20" t="s">
        <v>60</v>
      </c>
      <c r="AA644" s="20" t="s">
        <v>491</v>
      </c>
    </row>
    <row r="645" spans="1:27" x14ac:dyDescent="0.2">
      <c r="A645" s="1">
        <v>46025</v>
      </c>
      <c r="B645" s="20" t="s">
        <v>328</v>
      </c>
      <c r="C645" s="20" t="s">
        <v>19</v>
      </c>
      <c r="D645" s="20" t="s">
        <v>30</v>
      </c>
      <c r="E645" s="20" t="s">
        <v>1112</v>
      </c>
      <c r="F645" s="20" t="s">
        <v>30</v>
      </c>
      <c r="G645" s="20">
        <v>2</v>
      </c>
      <c r="H645" s="20">
        <v>3</v>
      </c>
      <c r="I645" s="13">
        <v>0.6</v>
      </c>
      <c r="J645" s="20" t="s">
        <v>249</v>
      </c>
      <c r="L645" s="20" t="s">
        <v>60</v>
      </c>
      <c r="M645" s="20" t="s">
        <v>60</v>
      </c>
      <c r="N645" s="20" t="s">
        <v>30</v>
      </c>
      <c r="O645" s="20">
        <v>2</v>
      </c>
      <c r="P645" s="20">
        <v>3</v>
      </c>
      <c r="Q645" s="13">
        <v>0.59177902208766475</v>
      </c>
      <c r="R645" s="20" t="s">
        <v>249</v>
      </c>
      <c r="S645" s="20">
        <v>0.44344734280081027</v>
      </c>
      <c r="T645" s="20" t="s">
        <v>60</v>
      </c>
      <c r="U645" s="20" t="s">
        <v>60</v>
      </c>
      <c r="V645" s="20"/>
      <c r="W645" s="20"/>
      <c r="X645" s="20" t="s">
        <v>60</v>
      </c>
      <c r="Y645" s="20" t="s">
        <v>412</v>
      </c>
      <c r="Z645" s="20" t="s">
        <v>60</v>
      </c>
      <c r="AA645" s="20" t="s">
        <v>491</v>
      </c>
    </row>
    <row r="646" spans="1:27" x14ac:dyDescent="0.2">
      <c r="A646" s="1">
        <v>46025</v>
      </c>
      <c r="B646" s="20" t="s">
        <v>322</v>
      </c>
      <c r="C646" s="20" t="s">
        <v>21</v>
      </c>
      <c r="D646" s="20" t="s">
        <v>38</v>
      </c>
      <c r="E646" s="20" t="s">
        <v>1113</v>
      </c>
      <c r="F646" s="20" t="s">
        <v>21</v>
      </c>
      <c r="G646" s="20">
        <v>2</v>
      </c>
      <c r="H646" s="20">
        <v>3</v>
      </c>
      <c r="I646" s="13">
        <v>0.6</v>
      </c>
      <c r="J646" s="20" t="s">
        <v>249</v>
      </c>
      <c r="L646" s="20" t="s">
        <v>60</v>
      </c>
      <c r="M646" s="20" t="s">
        <v>60</v>
      </c>
      <c r="N646" s="20" t="s">
        <v>21</v>
      </c>
      <c r="O646" s="20">
        <v>2</v>
      </c>
      <c r="P646" s="20">
        <v>3</v>
      </c>
      <c r="Q646" s="13">
        <v>0.53999684570045359</v>
      </c>
      <c r="R646" s="20" t="s">
        <v>249</v>
      </c>
      <c r="S646" s="20">
        <v>-0.67800724573991</v>
      </c>
      <c r="T646" s="20" t="s">
        <v>60</v>
      </c>
      <c r="U646" s="20" t="s">
        <v>60</v>
      </c>
      <c r="V646" s="20"/>
      <c r="W646" s="20"/>
      <c r="X646" s="20" t="s">
        <v>60</v>
      </c>
      <c r="Y646" s="20" t="s">
        <v>412</v>
      </c>
      <c r="Z646" s="20" t="s">
        <v>60</v>
      </c>
      <c r="AA646" s="20" t="s">
        <v>491</v>
      </c>
    </row>
    <row r="647" spans="1:27" x14ac:dyDescent="0.2">
      <c r="A647" s="1">
        <v>46025</v>
      </c>
      <c r="B647" s="20" t="s">
        <v>369</v>
      </c>
      <c r="C647" s="20" t="s">
        <v>18</v>
      </c>
      <c r="D647" s="20" t="s">
        <v>35</v>
      </c>
      <c r="E647" s="20" t="s">
        <v>1114</v>
      </c>
      <c r="F647" s="20" t="s">
        <v>18</v>
      </c>
      <c r="G647" s="20">
        <v>2</v>
      </c>
      <c r="H647" s="20">
        <v>3</v>
      </c>
      <c r="I647" s="13">
        <v>0.6</v>
      </c>
      <c r="J647" s="20" t="s">
        <v>249</v>
      </c>
      <c r="L647" s="20" t="s">
        <v>60</v>
      </c>
      <c r="M647" s="20" t="s">
        <v>60</v>
      </c>
      <c r="N647" s="20" t="s">
        <v>18</v>
      </c>
      <c r="O647" s="20">
        <v>2</v>
      </c>
      <c r="P647" s="20">
        <v>3</v>
      </c>
      <c r="Q647" s="13">
        <v>0.60705850133804595</v>
      </c>
      <c r="R647" s="20" t="s">
        <v>249</v>
      </c>
      <c r="S647" s="20">
        <v>-0.75168799475073489</v>
      </c>
      <c r="T647" s="20" t="s">
        <v>60</v>
      </c>
      <c r="U647" s="20" t="s">
        <v>60</v>
      </c>
      <c r="V647" s="20"/>
      <c r="W647" s="20"/>
      <c r="X647" s="20" t="s">
        <v>60</v>
      </c>
      <c r="Y647" s="20" t="s">
        <v>412</v>
      </c>
      <c r="Z647" s="20" t="s">
        <v>60</v>
      </c>
      <c r="AA647" s="20" t="s">
        <v>491</v>
      </c>
    </row>
    <row r="648" spans="1:27" x14ac:dyDescent="0.2">
      <c r="A648" s="1">
        <v>46025</v>
      </c>
      <c r="B648" s="20" t="s">
        <v>369</v>
      </c>
      <c r="C648" s="20" t="s">
        <v>37</v>
      </c>
      <c r="D648" s="20" t="s">
        <v>33</v>
      </c>
      <c r="E648" s="20" t="s">
        <v>1115</v>
      </c>
      <c r="F648" s="20" t="s">
        <v>37</v>
      </c>
      <c r="G648" s="20">
        <v>2</v>
      </c>
      <c r="H648" s="20">
        <v>3</v>
      </c>
      <c r="I648" s="13">
        <v>0.6</v>
      </c>
      <c r="J648" s="20" t="s">
        <v>249</v>
      </c>
      <c r="L648" s="20" t="s">
        <v>60</v>
      </c>
      <c r="M648" s="20" t="s">
        <v>60</v>
      </c>
      <c r="N648" s="20" t="s">
        <v>37</v>
      </c>
      <c r="O648" s="20">
        <v>2</v>
      </c>
      <c r="P648" s="20">
        <v>3</v>
      </c>
      <c r="Q648" s="13">
        <v>0.64885477401525748</v>
      </c>
      <c r="R648" s="20" t="s">
        <v>249</v>
      </c>
      <c r="S648" s="20">
        <v>-0.91193519020568514</v>
      </c>
      <c r="T648" s="20" t="s">
        <v>60</v>
      </c>
      <c r="U648" s="20" t="s">
        <v>60</v>
      </c>
      <c r="V648" s="20"/>
      <c r="W648" s="20"/>
      <c r="X648" s="20" t="s">
        <v>60</v>
      </c>
      <c r="Y648" s="20" t="s">
        <v>412</v>
      </c>
      <c r="Z648" s="20" t="s">
        <v>60</v>
      </c>
      <c r="AA648" s="20" t="s">
        <v>491</v>
      </c>
    </row>
    <row r="649" spans="1:27" x14ac:dyDescent="0.2">
      <c r="A649" s="1">
        <v>46025</v>
      </c>
      <c r="B649" s="20" t="s">
        <v>328</v>
      </c>
      <c r="C649" s="20" t="s">
        <v>40</v>
      </c>
      <c r="D649" s="20" t="s">
        <v>36</v>
      </c>
      <c r="E649" s="20" t="s">
        <v>1116</v>
      </c>
      <c r="F649" s="20" t="s">
        <v>40</v>
      </c>
      <c r="G649" s="20">
        <v>2</v>
      </c>
      <c r="H649" s="20">
        <v>3</v>
      </c>
      <c r="I649" s="13">
        <v>0.6</v>
      </c>
      <c r="J649" s="20" t="s">
        <v>249</v>
      </c>
      <c r="L649" s="20" t="s">
        <v>60</v>
      </c>
      <c r="M649" s="20" t="s">
        <v>60</v>
      </c>
      <c r="N649" s="20" t="s">
        <v>40</v>
      </c>
      <c r="O649" s="20">
        <v>2</v>
      </c>
      <c r="P649" s="20">
        <v>3</v>
      </c>
      <c r="Q649" s="13">
        <v>0.49790461108919443</v>
      </c>
      <c r="R649" s="20" t="s">
        <v>249</v>
      </c>
      <c r="S649" s="20">
        <v>-0.16823347815888459</v>
      </c>
      <c r="T649" s="20" t="s">
        <v>60</v>
      </c>
      <c r="U649" s="20" t="s">
        <v>60</v>
      </c>
      <c r="V649" s="20"/>
      <c r="W649" s="20"/>
      <c r="X649" s="20" t="s">
        <v>60</v>
      </c>
      <c r="Y649" s="20" t="s">
        <v>412</v>
      </c>
      <c r="Z649" s="20" t="s">
        <v>60</v>
      </c>
      <c r="AA649" s="20" t="s">
        <v>491</v>
      </c>
    </row>
    <row r="650" spans="1:27" x14ac:dyDescent="0.2">
      <c r="A650" s="1">
        <v>46025</v>
      </c>
      <c r="B650" s="20" t="s">
        <v>453</v>
      </c>
      <c r="C650" s="20" t="s">
        <v>55</v>
      </c>
      <c r="D650" s="20" t="s">
        <v>24</v>
      </c>
      <c r="E650" s="20" t="s">
        <v>1117</v>
      </c>
      <c r="F650" s="20" t="s">
        <v>24</v>
      </c>
      <c r="G650" s="20">
        <v>2</v>
      </c>
      <c r="H650" s="20">
        <v>3</v>
      </c>
      <c r="I650" s="13">
        <v>0.6</v>
      </c>
      <c r="J650" s="20" t="s">
        <v>249</v>
      </c>
      <c r="L650" s="20" t="s">
        <v>60</v>
      </c>
      <c r="M650" s="20" t="s">
        <v>60</v>
      </c>
      <c r="N650" s="20" t="s">
        <v>24</v>
      </c>
      <c r="O650" s="20">
        <v>2</v>
      </c>
      <c r="P650" s="20">
        <v>3</v>
      </c>
      <c r="Q650" s="13">
        <v>0.67291063269306362</v>
      </c>
      <c r="R650" s="20" t="s">
        <v>249</v>
      </c>
      <c r="S650" s="20">
        <v>0.45455428870894921</v>
      </c>
      <c r="T650" s="20" t="s">
        <v>60</v>
      </c>
      <c r="U650" s="20" t="s">
        <v>60</v>
      </c>
      <c r="V650" s="20"/>
      <c r="W650" s="20"/>
      <c r="X650" s="20" t="s">
        <v>60</v>
      </c>
      <c r="Y650" s="20" t="s">
        <v>412</v>
      </c>
      <c r="Z650" s="20" t="s">
        <v>60</v>
      </c>
      <c r="AA650" s="20" t="s">
        <v>491</v>
      </c>
    </row>
    <row r="651" spans="1:27" x14ac:dyDescent="0.2">
      <c r="A651" s="1">
        <v>46025</v>
      </c>
      <c r="B651" s="20" t="s">
        <v>328</v>
      </c>
      <c r="C651" s="20" t="s">
        <v>10</v>
      </c>
      <c r="D651" s="20" t="s">
        <v>22</v>
      </c>
      <c r="E651" s="20" t="s">
        <v>1118</v>
      </c>
      <c r="F651" s="20" t="s">
        <v>22</v>
      </c>
      <c r="G651" s="20">
        <v>2</v>
      </c>
      <c r="H651" s="20">
        <v>3</v>
      </c>
      <c r="I651" s="13">
        <v>0.6</v>
      </c>
      <c r="J651" s="20" t="s">
        <v>249</v>
      </c>
      <c r="L651" s="20" t="s">
        <v>60</v>
      </c>
      <c r="M651" s="20" t="s">
        <v>60</v>
      </c>
      <c r="N651" s="20" t="s">
        <v>22</v>
      </c>
      <c r="O651" s="20">
        <v>2</v>
      </c>
      <c r="P651" s="20">
        <v>3</v>
      </c>
      <c r="Q651" s="13">
        <v>0.64389697184243333</v>
      </c>
      <c r="R651" s="20" t="s">
        <v>249</v>
      </c>
      <c r="S651" s="20">
        <v>0.66680423696123303</v>
      </c>
      <c r="T651" s="20" t="s">
        <v>60</v>
      </c>
      <c r="U651" s="20" t="s">
        <v>60</v>
      </c>
      <c r="V651" s="20"/>
      <c r="W651" s="20"/>
      <c r="X651" s="20" t="s">
        <v>60</v>
      </c>
      <c r="Y651" s="20" t="s">
        <v>412</v>
      </c>
      <c r="Z651" s="20" t="s">
        <v>60</v>
      </c>
      <c r="AA651" s="20" t="s">
        <v>491</v>
      </c>
    </row>
    <row r="652" spans="1:27" x14ac:dyDescent="0.2">
      <c r="A652" s="1">
        <v>46025</v>
      </c>
      <c r="B652" s="20" t="s">
        <v>352</v>
      </c>
      <c r="C652" s="20" t="s">
        <v>27</v>
      </c>
      <c r="D652" s="20" t="s">
        <v>17</v>
      </c>
      <c r="E652" s="20" t="s">
        <v>1119</v>
      </c>
      <c r="F652" s="20" t="s">
        <v>27</v>
      </c>
      <c r="G652" s="20">
        <v>2</v>
      </c>
      <c r="H652" s="20">
        <v>3</v>
      </c>
      <c r="I652" s="13">
        <v>0.6</v>
      </c>
      <c r="J652" s="20" t="s">
        <v>249</v>
      </c>
      <c r="L652" s="20" t="s">
        <v>60</v>
      </c>
      <c r="M652" s="20" t="s">
        <v>60</v>
      </c>
      <c r="N652" s="20" t="s">
        <v>27</v>
      </c>
      <c r="O652" s="20">
        <v>2</v>
      </c>
      <c r="P652" s="20">
        <v>3</v>
      </c>
      <c r="Q652" s="13">
        <v>0.54067160393645486</v>
      </c>
      <c r="R652" s="20" t="s">
        <v>249</v>
      </c>
      <c r="S652" s="20">
        <v>-0.38760633180804333</v>
      </c>
      <c r="T652" s="20" t="s">
        <v>60</v>
      </c>
      <c r="U652" s="20" t="s">
        <v>60</v>
      </c>
      <c r="V652" s="20"/>
      <c r="W652" s="20"/>
      <c r="X652" s="20" t="s">
        <v>60</v>
      </c>
      <c r="Y652" s="20" t="s">
        <v>412</v>
      </c>
      <c r="Z652" s="20" t="s">
        <v>60</v>
      </c>
      <c r="AA652" s="20" t="s">
        <v>491</v>
      </c>
    </row>
    <row r="653" spans="1:27" x14ac:dyDescent="0.2">
      <c r="A653" s="1">
        <v>46025</v>
      </c>
      <c r="B653" s="20" t="s">
        <v>439</v>
      </c>
      <c r="C653" s="20" t="s">
        <v>14</v>
      </c>
      <c r="D653" s="20" t="s">
        <v>26</v>
      </c>
      <c r="E653" s="20" t="s">
        <v>1120</v>
      </c>
      <c r="F653" s="20" t="s">
        <v>14</v>
      </c>
      <c r="G653" s="20">
        <v>2</v>
      </c>
      <c r="H653" s="20">
        <v>3</v>
      </c>
      <c r="I653" s="13">
        <v>0.6</v>
      </c>
      <c r="J653" s="20" t="s">
        <v>249</v>
      </c>
      <c r="L653" s="20" t="s">
        <v>60</v>
      </c>
      <c r="M653" s="20" t="s">
        <v>60</v>
      </c>
      <c r="N653" s="20" t="s">
        <v>14</v>
      </c>
      <c r="O653" s="20">
        <v>2</v>
      </c>
      <c r="P653" s="20">
        <v>3</v>
      </c>
      <c r="Q653" s="13">
        <v>0.57905745008858989</v>
      </c>
      <c r="R653" s="20" t="s">
        <v>249</v>
      </c>
      <c r="S653" s="20">
        <v>-0.68317459454365703</v>
      </c>
      <c r="T653" s="20" t="s">
        <v>60</v>
      </c>
      <c r="U653" s="20" t="s">
        <v>60</v>
      </c>
      <c r="V653" s="20"/>
      <c r="W653" s="20"/>
      <c r="X653" s="20" t="s">
        <v>60</v>
      </c>
      <c r="Y653" s="20" t="s">
        <v>412</v>
      </c>
      <c r="Z653" s="20" t="s">
        <v>60</v>
      </c>
      <c r="AA653" s="20" t="s">
        <v>491</v>
      </c>
    </row>
    <row r="654" spans="1:27" x14ac:dyDescent="0.2">
      <c r="A654" s="1">
        <v>46025</v>
      </c>
      <c r="B654" s="20" t="s">
        <v>328</v>
      </c>
      <c r="C654" s="20" t="s">
        <v>29</v>
      </c>
      <c r="D654" s="20" t="s">
        <v>16</v>
      </c>
      <c r="E654" s="20" t="s">
        <v>1121</v>
      </c>
      <c r="F654" s="20" t="s">
        <v>16</v>
      </c>
      <c r="G654" s="20">
        <v>2</v>
      </c>
      <c r="H654" s="20">
        <v>3</v>
      </c>
      <c r="I654" s="13">
        <v>0.6</v>
      </c>
      <c r="J654" s="20" t="s">
        <v>249</v>
      </c>
      <c r="L654" s="20" t="s">
        <v>60</v>
      </c>
      <c r="M654" s="20" t="s">
        <v>60</v>
      </c>
      <c r="N654" s="20" t="s">
        <v>16</v>
      </c>
      <c r="O654" s="20">
        <v>2</v>
      </c>
      <c r="P654" s="20">
        <v>3</v>
      </c>
      <c r="Q654" s="13">
        <v>0.5830904875869003</v>
      </c>
      <c r="R654" s="20" t="s">
        <v>249</v>
      </c>
      <c r="S654" s="20">
        <v>0.36903675368860261</v>
      </c>
      <c r="T654" s="20" t="s">
        <v>60</v>
      </c>
      <c r="U654" s="20" t="s">
        <v>60</v>
      </c>
      <c r="V654" s="20"/>
      <c r="W654" s="20"/>
      <c r="X654" s="20" t="s">
        <v>60</v>
      </c>
      <c r="Y654" s="20" t="s">
        <v>412</v>
      </c>
      <c r="Z654" s="20" t="s">
        <v>60</v>
      </c>
      <c r="AA654" s="20" t="s">
        <v>491</v>
      </c>
    </row>
    <row r="655" spans="1:27" x14ac:dyDescent="0.2">
      <c r="A655" s="1">
        <v>46025</v>
      </c>
      <c r="B655" s="20" t="s">
        <v>453</v>
      </c>
      <c r="C655" s="20" t="s">
        <v>23</v>
      </c>
      <c r="D655" s="20" t="s">
        <v>28</v>
      </c>
      <c r="E655" s="20" t="s">
        <v>1122</v>
      </c>
      <c r="F655" s="20" t="s">
        <v>23</v>
      </c>
      <c r="G655" s="20">
        <v>2</v>
      </c>
      <c r="H655" s="20">
        <v>3</v>
      </c>
      <c r="I655" s="13">
        <v>0.6</v>
      </c>
      <c r="J655" s="20" t="s">
        <v>249</v>
      </c>
      <c r="L655" s="20" t="s">
        <v>60</v>
      </c>
      <c r="M655" s="20" t="s">
        <v>60</v>
      </c>
      <c r="N655" s="20" t="s">
        <v>23</v>
      </c>
      <c r="O655" s="20">
        <v>2</v>
      </c>
      <c r="P655" s="20">
        <v>3</v>
      </c>
      <c r="Q655" s="13">
        <v>0.46805422519429618</v>
      </c>
      <c r="R655" s="20" t="s">
        <v>249</v>
      </c>
      <c r="S655" s="20">
        <v>-6.8978219686788134E-2</v>
      </c>
      <c r="T655" s="20" t="s">
        <v>60</v>
      </c>
      <c r="U655" s="20" t="s">
        <v>60</v>
      </c>
      <c r="V655" s="20"/>
      <c r="W655" s="20"/>
      <c r="X655" s="20" t="s">
        <v>60</v>
      </c>
      <c r="Y655" s="20" t="s">
        <v>412</v>
      </c>
      <c r="Z655" s="20" t="s">
        <v>60</v>
      </c>
      <c r="AA655" s="20" t="s">
        <v>491</v>
      </c>
    </row>
    <row r="656" spans="1:27" x14ac:dyDescent="0.2">
      <c r="A656" s="1">
        <v>46025</v>
      </c>
      <c r="B656" s="20" t="s">
        <v>328</v>
      </c>
      <c r="C656" s="20" t="s">
        <v>12</v>
      </c>
      <c r="D656" s="20" t="s">
        <v>25</v>
      </c>
      <c r="E656" s="20" t="s">
        <v>1123</v>
      </c>
      <c r="F656" s="20" t="s">
        <v>12</v>
      </c>
      <c r="G656" s="20">
        <v>2</v>
      </c>
      <c r="H656" s="20">
        <v>3</v>
      </c>
      <c r="I656" s="13">
        <v>0.6</v>
      </c>
      <c r="J656" s="20" t="s">
        <v>249</v>
      </c>
      <c r="L656" s="20" t="s">
        <v>60</v>
      </c>
      <c r="M656" s="20" t="s">
        <v>60</v>
      </c>
      <c r="N656" s="20" t="s">
        <v>12</v>
      </c>
      <c r="O656" s="20">
        <v>2</v>
      </c>
      <c r="P656" s="20">
        <v>3</v>
      </c>
      <c r="Q656" s="13">
        <v>0.61501833358134994</v>
      </c>
      <c r="R656" s="20" t="s">
        <v>249</v>
      </c>
      <c r="S656" s="20">
        <v>-1.1563277721752609</v>
      </c>
      <c r="T656" s="20" t="s">
        <v>60</v>
      </c>
      <c r="U656" s="20" t="s">
        <v>60</v>
      </c>
      <c r="V656" s="20"/>
      <c r="W656" s="20"/>
      <c r="X656" s="20" t="s">
        <v>60</v>
      </c>
      <c r="Y656" s="20" t="s">
        <v>412</v>
      </c>
      <c r="Z656" s="20" t="s">
        <v>60</v>
      </c>
      <c r="AA656" s="20" t="s">
        <v>491</v>
      </c>
    </row>
    <row r="657" spans="1:27" x14ac:dyDescent="0.2">
      <c r="A657" s="1">
        <v>46025</v>
      </c>
      <c r="B657" s="20" t="s">
        <v>326</v>
      </c>
      <c r="C657" s="20" t="s">
        <v>34</v>
      </c>
      <c r="D657" s="20" t="s">
        <v>13</v>
      </c>
      <c r="E657" s="20" t="s">
        <v>1124</v>
      </c>
      <c r="F657" s="20" t="s">
        <v>34</v>
      </c>
      <c r="G657" s="20">
        <v>2</v>
      </c>
      <c r="H657" s="20">
        <v>3</v>
      </c>
      <c r="I657" s="13">
        <v>0.6</v>
      </c>
      <c r="J657" s="20" t="s">
        <v>249</v>
      </c>
      <c r="L657" s="20" t="s">
        <v>60</v>
      </c>
      <c r="M657" s="20" t="s">
        <v>60</v>
      </c>
      <c r="N657" s="20" t="s">
        <v>34</v>
      </c>
      <c r="O657" s="20">
        <v>2</v>
      </c>
      <c r="P657" s="20">
        <v>3</v>
      </c>
      <c r="Q657" s="13">
        <v>0.52974888423142408</v>
      </c>
      <c r="R657" s="20" t="s">
        <v>249</v>
      </c>
      <c r="S657" s="20">
        <v>-0.23325806230457241</v>
      </c>
      <c r="T657" s="20" t="s">
        <v>60</v>
      </c>
      <c r="U657" s="20" t="s">
        <v>60</v>
      </c>
      <c r="V657" s="20"/>
      <c r="W657" s="20"/>
      <c r="X657" s="20" t="s">
        <v>60</v>
      </c>
      <c r="Y657" s="20" t="s">
        <v>412</v>
      </c>
      <c r="Z657" s="20" t="s">
        <v>60</v>
      </c>
      <c r="AA657" s="20" t="s">
        <v>491</v>
      </c>
    </row>
    <row r="658" spans="1:27" x14ac:dyDescent="0.2">
      <c r="A658" s="1">
        <v>46026</v>
      </c>
      <c r="B658" s="20" t="s">
        <v>365</v>
      </c>
      <c r="C658" s="20" t="s">
        <v>12</v>
      </c>
      <c r="D658" s="20" t="s">
        <v>11</v>
      </c>
      <c r="E658" s="20" t="s">
        <v>1125</v>
      </c>
      <c r="F658" s="20" t="s">
        <v>12</v>
      </c>
      <c r="G658" s="20">
        <v>2</v>
      </c>
      <c r="H658" s="20">
        <v>3</v>
      </c>
      <c r="I658" s="13">
        <v>0.6</v>
      </c>
      <c r="J658" s="20" t="s">
        <v>249</v>
      </c>
      <c r="L658" s="20" t="s">
        <v>60</v>
      </c>
      <c r="M658" s="20" t="s">
        <v>60</v>
      </c>
      <c r="N658" s="20" t="s">
        <v>12</v>
      </c>
      <c r="O658" s="20">
        <v>2</v>
      </c>
      <c r="P658" s="20">
        <v>3</v>
      </c>
      <c r="Q658" s="13">
        <v>0.74961012842901686</v>
      </c>
      <c r="R658" s="20" t="s">
        <v>249</v>
      </c>
      <c r="S658" s="20">
        <v>-1.97912120056792</v>
      </c>
      <c r="T658" s="20" t="s">
        <v>60</v>
      </c>
      <c r="U658" s="20" t="s">
        <v>60</v>
      </c>
      <c r="V658" s="20"/>
      <c r="W658" s="20"/>
      <c r="X658" s="20" t="s">
        <v>60</v>
      </c>
      <c r="Y658" s="20" t="s">
        <v>412</v>
      </c>
      <c r="Z658" s="20" t="s">
        <v>60</v>
      </c>
      <c r="AA658" s="20" t="s">
        <v>491</v>
      </c>
    </row>
    <row r="659" spans="1:27" x14ac:dyDescent="0.2">
      <c r="A659" s="1">
        <v>46026</v>
      </c>
      <c r="B659" s="20" t="s">
        <v>459</v>
      </c>
      <c r="C659" s="20" t="s">
        <v>18</v>
      </c>
      <c r="D659" s="20" t="s">
        <v>39</v>
      </c>
      <c r="E659" s="20" t="s">
        <v>1126</v>
      </c>
      <c r="F659" s="20" t="s">
        <v>39</v>
      </c>
      <c r="G659" s="20">
        <v>2</v>
      </c>
      <c r="H659" s="20">
        <v>3</v>
      </c>
      <c r="I659" s="13">
        <v>0.6</v>
      </c>
      <c r="J659" s="20" t="s">
        <v>249</v>
      </c>
      <c r="L659" s="20" t="s">
        <v>60</v>
      </c>
      <c r="M659" s="20" t="s">
        <v>60</v>
      </c>
      <c r="N659" s="20" t="s">
        <v>39</v>
      </c>
      <c r="O659" s="20">
        <v>2</v>
      </c>
      <c r="P659" s="20">
        <v>3</v>
      </c>
      <c r="Q659" s="13">
        <v>0.63669976147125429</v>
      </c>
      <c r="R659" s="20" t="s">
        <v>249</v>
      </c>
      <c r="S659" s="20">
        <v>1.0562328790521069</v>
      </c>
      <c r="T659" s="20" t="s">
        <v>60</v>
      </c>
      <c r="U659" s="20" t="s">
        <v>60</v>
      </c>
      <c r="V659" s="20"/>
      <c r="W659" s="20"/>
      <c r="X659" s="20" t="s">
        <v>60</v>
      </c>
      <c r="Y659" s="20" t="s">
        <v>412</v>
      </c>
      <c r="Z659" s="20" t="s">
        <v>60</v>
      </c>
      <c r="AA659" s="20" t="s">
        <v>491</v>
      </c>
    </row>
    <row r="660" spans="1:27" x14ac:dyDescent="0.2">
      <c r="A660" s="1">
        <v>46026</v>
      </c>
      <c r="B660" s="20" t="s">
        <v>328</v>
      </c>
      <c r="C660" s="20" t="s">
        <v>25</v>
      </c>
      <c r="D660" s="20" t="s">
        <v>24</v>
      </c>
      <c r="E660" s="20" t="s">
        <v>1127</v>
      </c>
      <c r="F660" s="20" t="s">
        <v>25</v>
      </c>
      <c r="G660" s="20">
        <v>2</v>
      </c>
      <c r="H660" s="20">
        <v>3</v>
      </c>
      <c r="I660" s="13">
        <v>0.6</v>
      </c>
      <c r="J660" s="20" t="s">
        <v>249</v>
      </c>
      <c r="L660" s="20" t="s">
        <v>60</v>
      </c>
      <c r="M660" s="20" t="s">
        <v>60</v>
      </c>
      <c r="N660" s="20" t="s">
        <v>25</v>
      </c>
      <c r="O660" s="20">
        <v>2</v>
      </c>
      <c r="P660" s="20">
        <v>3</v>
      </c>
      <c r="Q660" s="13">
        <v>0.4944027518709323</v>
      </c>
      <c r="R660" s="20" t="s">
        <v>249</v>
      </c>
      <c r="S660" s="20">
        <v>-0.37424413764078601</v>
      </c>
      <c r="T660" s="20" t="s">
        <v>60</v>
      </c>
      <c r="U660" s="20" t="s">
        <v>60</v>
      </c>
      <c r="V660" s="20"/>
      <c r="W660" s="20"/>
      <c r="X660" s="20" t="s">
        <v>60</v>
      </c>
      <c r="Y660" s="20" t="s">
        <v>412</v>
      </c>
      <c r="Z660" s="20" t="s">
        <v>60</v>
      </c>
      <c r="AA660" s="20" t="s">
        <v>491</v>
      </c>
    </row>
    <row r="661" spans="1:27" x14ac:dyDescent="0.2">
      <c r="A661" s="1">
        <v>46026</v>
      </c>
      <c r="B661" s="20" t="s">
        <v>453</v>
      </c>
      <c r="C661" s="20" t="s">
        <v>14</v>
      </c>
      <c r="D661" s="20" t="s">
        <v>28</v>
      </c>
      <c r="E661" s="20" t="s">
        <v>436</v>
      </c>
      <c r="F661" s="20" t="s">
        <v>14</v>
      </c>
      <c r="G661" s="20">
        <v>2</v>
      </c>
      <c r="H661" s="20">
        <v>3</v>
      </c>
      <c r="I661" s="13">
        <v>0.6</v>
      </c>
      <c r="J661" s="20" t="s">
        <v>249</v>
      </c>
      <c r="L661" s="20" t="s">
        <v>60</v>
      </c>
      <c r="M661" s="20" t="s">
        <v>60</v>
      </c>
      <c r="N661" s="20" t="s">
        <v>14</v>
      </c>
      <c r="O661" s="20">
        <v>2</v>
      </c>
      <c r="P661" s="20">
        <v>3</v>
      </c>
      <c r="Q661" s="13">
        <v>0.54632243115593127</v>
      </c>
      <c r="R661" s="20" t="s">
        <v>249</v>
      </c>
      <c r="S661" s="20">
        <v>-0.40282443386188782</v>
      </c>
      <c r="T661" s="20" t="s">
        <v>60</v>
      </c>
      <c r="U661" s="20" t="s">
        <v>60</v>
      </c>
      <c r="V661" s="20"/>
      <c r="W661" s="20"/>
      <c r="X661" s="20" t="s">
        <v>60</v>
      </c>
      <c r="Y661" s="20" t="s">
        <v>412</v>
      </c>
      <c r="Z661" s="20" t="s">
        <v>60</v>
      </c>
      <c r="AA661" s="20" t="s">
        <v>491</v>
      </c>
    </row>
    <row r="662" spans="1:27" x14ac:dyDescent="0.2">
      <c r="A662" s="1">
        <v>46026</v>
      </c>
      <c r="B662" s="20" t="s">
        <v>328</v>
      </c>
      <c r="C662" s="20" t="s">
        <v>20</v>
      </c>
      <c r="D662" s="20" t="s">
        <v>10</v>
      </c>
      <c r="E662" s="20" t="s">
        <v>1128</v>
      </c>
      <c r="F662" s="20" t="s">
        <v>10</v>
      </c>
      <c r="G662" s="20">
        <v>2</v>
      </c>
      <c r="H662" s="20">
        <v>3</v>
      </c>
      <c r="I662" s="13">
        <v>0.6</v>
      </c>
      <c r="J662" s="20" t="s">
        <v>249</v>
      </c>
      <c r="L662" s="20" t="s">
        <v>60</v>
      </c>
      <c r="M662" s="20" t="s">
        <v>60</v>
      </c>
      <c r="N662" s="20" t="s">
        <v>10</v>
      </c>
      <c r="O662" s="20">
        <v>2</v>
      </c>
      <c r="P662" s="20">
        <v>3</v>
      </c>
      <c r="Q662" s="13">
        <v>0.55379521028447853</v>
      </c>
      <c r="R662" s="20" t="s">
        <v>249</v>
      </c>
      <c r="S662" s="20">
        <v>0.1181453240594852</v>
      </c>
      <c r="T662" s="20" t="s">
        <v>60</v>
      </c>
      <c r="U662" s="20" t="s">
        <v>60</v>
      </c>
      <c r="V662" s="20"/>
      <c r="W662" s="20"/>
      <c r="X662" s="20" t="s">
        <v>60</v>
      </c>
      <c r="Y662" s="20" t="s">
        <v>412</v>
      </c>
      <c r="Z662" s="20" t="s">
        <v>60</v>
      </c>
      <c r="AA662" s="20" t="s">
        <v>491</v>
      </c>
    </row>
    <row r="663" spans="1:27" x14ac:dyDescent="0.2">
      <c r="A663" s="1">
        <v>46027</v>
      </c>
      <c r="B663" s="20" t="s">
        <v>426</v>
      </c>
      <c r="C663" s="20" t="s">
        <v>32</v>
      </c>
      <c r="D663" s="20" t="s">
        <v>16</v>
      </c>
      <c r="E663" s="20" t="s">
        <v>1027</v>
      </c>
      <c r="F663" s="20" t="s">
        <v>32</v>
      </c>
      <c r="G663" s="20">
        <v>2</v>
      </c>
      <c r="H663" s="20">
        <v>3</v>
      </c>
      <c r="I663" s="13">
        <v>0.6</v>
      </c>
      <c r="J663" s="20" t="s">
        <v>249</v>
      </c>
      <c r="L663" s="20" t="s">
        <v>60</v>
      </c>
      <c r="M663" s="20" t="s">
        <v>60</v>
      </c>
      <c r="N663" s="20" t="s">
        <v>32</v>
      </c>
      <c r="O663" s="20">
        <v>2</v>
      </c>
      <c r="P663" s="20">
        <v>3</v>
      </c>
      <c r="Q663" s="13">
        <v>0.50279466887553537</v>
      </c>
      <c r="R663" s="20" t="s">
        <v>249</v>
      </c>
      <c r="S663" s="20">
        <v>-0.36650329484336841</v>
      </c>
      <c r="T663" s="20" t="s">
        <v>60</v>
      </c>
      <c r="U663" s="20" t="s">
        <v>60</v>
      </c>
      <c r="V663" s="20"/>
      <c r="W663" s="20"/>
      <c r="X663" s="20" t="s">
        <v>60</v>
      </c>
      <c r="Y663" s="20" t="s">
        <v>412</v>
      </c>
      <c r="Z663" s="20" t="s">
        <v>60</v>
      </c>
      <c r="AA663" s="20" t="s">
        <v>491</v>
      </c>
    </row>
    <row r="664" spans="1:27" x14ac:dyDescent="0.2">
      <c r="A664" s="1">
        <v>46027</v>
      </c>
      <c r="B664" s="20" t="s">
        <v>340</v>
      </c>
      <c r="C664" s="20" t="s">
        <v>34</v>
      </c>
      <c r="D664" s="20" t="s">
        <v>13</v>
      </c>
      <c r="E664" s="20" t="s">
        <v>1124</v>
      </c>
      <c r="F664" s="20" t="s">
        <v>34</v>
      </c>
      <c r="G664" s="20">
        <v>2</v>
      </c>
      <c r="H664" s="20">
        <v>3</v>
      </c>
      <c r="I664" s="13">
        <v>0.6</v>
      </c>
      <c r="J664" s="20" t="s">
        <v>249</v>
      </c>
      <c r="L664" s="20" t="s">
        <v>60</v>
      </c>
      <c r="M664" s="20" t="s">
        <v>60</v>
      </c>
      <c r="N664" s="20" t="s">
        <v>34</v>
      </c>
      <c r="O664" s="20">
        <v>2</v>
      </c>
      <c r="P664" s="20">
        <v>3</v>
      </c>
      <c r="Q664" s="13">
        <v>0.52974888423142408</v>
      </c>
      <c r="R664" s="20" t="s">
        <v>249</v>
      </c>
      <c r="S664" s="20">
        <v>-0.23325806230457241</v>
      </c>
      <c r="T664" s="20" t="s">
        <v>60</v>
      </c>
      <c r="U664" s="20" t="s">
        <v>60</v>
      </c>
      <c r="V664" s="20"/>
      <c r="W664" s="20"/>
      <c r="X664" s="20" t="s">
        <v>60</v>
      </c>
      <c r="Y664" s="20" t="s">
        <v>412</v>
      </c>
      <c r="Z664" s="20" t="s">
        <v>60</v>
      </c>
      <c r="AA664" s="20" t="s">
        <v>491</v>
      </c>
    </row>
    <row r="665" spans="1:27" x14ac:dyDescent="0.2">
      <c r="A665" s="1">
        <v>46027</v>
      </c>
      <c r="B665" s="20" t="s">
        <v>328</v>
      </c>
      <c r="C665" s="20" t="s">
        <v>55</v>
      </c>
      <c r="D665" s="20" t="s">
        <v>15</v>
      </c>
      <c r="E665" s="20" t="s">
        <v>1129</v>
      </c>
      <c r="F665" s="20" t="s">
        <v>15</v>
      </c>
      <c r="G665" s="20">
        <v>2</v>
      </c>
      <c r="H665" s="20">
        <v>3</v>
      </c>
      <c r="I665" s="13">
        <v>0.6</v>
      </c>
      <c r="J665" s="20" t="s">
        <v>249</v>
      </c>
      <c r="L665" s="20" t="s">
        <v>60</v>
      </c>
      <c r="M665" s="20" t="s">
        <v>60</v>
      </c>
      <c r="N665" s="20" t="s">
        <v>15</v>
      </c>
      <c r="O665" s="20">
        <v>2</v>
      </c>
      <c r="P665" s="20">
        <v>3</v>
      </c>
      <c r="Q665" s="13">
        <v>0.55903149430300392</v>
      </c>
      <c r="R665" s="20" t="s">
        <v>249</v>
      </c>
      <c r="S665" s="20">
        <v>0.1629900534604023</v>
      </c>
      <c r="T665" s="20" t="s">
        <v>60</v>
      </c>
      <c r="U665" s="20" t="s">
        <v>60</v>
      </c>
      <c r="V665" s="20"/>
      <c r="W665" s="20"/>
      <c r="X665" s="20" t="s">
        <v>60</v>
      </c>
      <c r="Y665" s="20" t="s">
        <v>412</v>
      </c>
      <c r="Z665" s="20" t="s">
        <v>60</v>
      </c>
      <c r="AA665" s="20" t="s">
        <v>491</v>
      </c>
    </row>
    <row r="666" spans="1:27" x14ac:dyDescent="0.2">
      <c r="A666" s="1">
        <v>46027</v>
      </c>
      <c r="B666" s="20" t="s">
        <v>334</v>
      </c>
      <c r="C666" s="20" t="s">
        <v>26</v>
      </c>
      <c r="D666" s="20" t="s">
        <v>36</v>
      </c>
      <c r="E666" s="20" t="s">
        <v>1130</v>
      </c>
      <c r="F666" s="20" t="s">
        <v>36</v>
      </c>
      <c r="G666" s="20">
        <v>2</v>
      </c>
      <c r="H666" s="20">
        <v>3</v>
      </c>
      <c r="I666" s="13">
        <v>0.6</v>
      </c>
      <c r="J666" s="20" t="s">
        <v>249</v>
      </c>
      <c r="L666" s="20" t="s">
        <v>60</v>
      </c>
      <c r="M666" s="20" t="s">
        <v>60</v>
      </c>
      <c r="N666" s="20" t="s">
        <v>36</v>
      </c>
      <c r="O666" s="20">
        <v>2</v>
      </c>
      <c r="P666" s="20">
        <v>3</v>
      </c>
      <c r="Q666" s="13">
        <v>0.5884849449418138</v>
      </c>
      <c r="R666" s="20" t="s">
        <v>249</v>
      </c>
      <c r="S666" s="20">
        <v>0.39386426309063333</v>
      </c>
      <c r="T666" s="20" t="s">
        <v>60</v>
      </c>
      <c r="U666" s="20" t="s">
        <v>60</v>
      </c>
      <c r="V666" s="20"/>
      <c r="W666" s="20"/>
      <c r="X666" s="20" t="s">
        <v>60</v>
      </c>
      <c r="Y666" s="20" t="s">
        <v>412</v>
      </c>
      <c r="Z666" s="20" t="s">
        <v>60</v>
      </c>
      <c r="AA666" s="20" t="s">
        <v>491</v>
      </c>
    </row>
    <row r="667" spans="1:27" x14ac:dyDescent="0.2">
      <c r="A667" s="1">
        <v>46027</v>
      </c>
      <c r="B667" s="20" t="s">
        <v>328</v>
      </c>
      <c r="C667" s="20" t="s">
        <v>31</v>
      </c>
      <c r="D667" s="20" t="s">
        <v>22</v>
      </c>
      <c r="E667" s="20" t="s">
        <v>1131</v>
      </c>
      <c r="F667" s="20" t="s">
        <v>22</v>
      </c>
      <c r="G667" s="20">
        <v>2</v>
      </c>
      <c r="H667" s="20">
        <v>3</v>
      </c>
      <c r="I667" s="13">
        <v>0.6</v>
      </c>
      <c r="J667" s="20" t="s">
        <v>249</v>
      </c>
      <c r="L667" s="20" t="s">
        <v>60</v>
      </c>
      <c r="M667" s="20" t="s">
        <v>60</v>
      </c>
      <c r="N667" s="20" t="s">
        <v>22</v>
      </c>
      <c r="O667" s="20">
        <v>2</v>
      </c>
      <c r="P667" s="20">
        <v>3</v>
      </c>
      <c r="Q667" s="13">
        <v>0.58187405291592698</v>
      </c>
      <c r="R667" s="20" t="s">
        <v>249</v>
      </c>
      <c r="S667" s="20">
        <v>0.3119049599376531</v>
      </c>
      <c r="T667" s="20" t="s">
        <v>60</v>
      </c>
      <c r="U667" s="20" t="s">
        <v>60</v>
      </c>
      <c r="V667" s="20"/>
      <c r="W667" s="20"/>
      <c r="X667" s="20" t="s">
        <v>60</v>
      </c>
      <c r="Y667" s="20" t="s">
        <v>412</v>
      </c>
      <c r="Z667" s="20" t="s">
        <v>60</v>
      </c>
      <c r="AA667" s="20" t="s">
        <v>491</v>
      </c>
    </row>
    <row r="668" spans="1:27" x14ac:dyDescent="0.2">
      <c r="A668" s="1">
        <v>46028</v>
      </c>
      <c r="B668" s="20" t="s">
        <v>322</v>
      </c>
      <c r="C668" s="20" t="s">
        <v>28</v>
      </c>
      <c r="D668" s="20" t="s">
        <v>33</v>
      </c>
      <c r="E668" s="20" t="s">
        <v>1132</v>
      </c>
      <c r="F668" s="20" t="s">
        <v>33</v>
      </c>
      <c r="G668" s="20">
        <v>2</v>
      </c>
      <c r="H668" s="20">
        <v>3</v>
      </c>
      <c r="I668" s="13">
        <v>0.6</v>
      </c>
      <c r="J668" s="20" t="s">
        <v>249</v>
      </c>
      <c r="L668" s="20" t="s">
        <v>60</v>
      </c>
      <c r="M668" s="20" t="s">
        <v>60</v>
      </c>
      <c r="N668" s="20" t="s">
        <v>33</v>
      </c>
      <c r="O668" s="20">
        <v>2</v>
      </c>
      <c r="P668" s="20">
        <v>3</v>
      </c>
      <c r="Q668" s="13">
        <v>0.56915959321684639</v>
      </c>
      <c r="R668" s="20" t="s">
        <v>249</v>
      </c>
      <c r="S668" s="20">
        <v>0.19355916089145939</v>
      </c>
      <c r="T668" s="20" t="s">
        <v>60</v>
      </c>
      <c r="U668" s="20" t="s">
        <v>60</v>
      </c>
      <c r="V668" s="20"/>
      <c r="W668" s="20"/>
      <c r="X668" s="20" t="s">
        <v>60</v>
      </c>
      <c r="Y668" s="20" t="s">
        <v>412</v>
      </c>
      <c r="Z668" s="20" t="s">
        <v>60</v>
      </c>
      <c r="AA668" s="20" t="s">
        <v>491</v>
      </c>
    </row>
    <row r="669" spans="1:27" x14ac:dyDescent="0.2">
      <c r="A669" s="1">
        <v>46028</v>
      </c>
      <c r="B669" s="20" t="s">
        <v>324</v>
      </c>
      <c r="C669" s="20" t="s">
        <v>20</v>
      </c>
      <c r="D669" s="20" t="s">
        <v>40</v>
      </c>
      <c r="E669" s="20" t="s">
        <v>1133</v>
      </c>
      <c r="F669" s="20" t="s">
        <v>20</v>
      </c>
      <c r="G669" s="20">
        <v>2</v>
      </c>
      <c r="H669" s="20">
        <v>3</v>
      </c>
      <c r="I669" s="13">
        <v>0.6</v>
      </c>
      <c r="J669" s="20" t="s">
        <v>249</v>
      </c>
      <c r="L669" s="20" t="s">
        <v>60</v>
      </c>
      <c r="M669" s="20" t="s">
        <v>60</v>
      </c>
      <c r="N669" s="20" t="s">
        <v>20</v>
      </c>
      <c r="O669" s="20">
        <v>2</v>
      </c>
      <c r="P669" s="20">
        <v>3</v>
      </c>
      <c r="Q669" s="13">
        <v>0.45971140329328808</v>
      </c>
      <c r="R669" s="20" t="s">
        <v>249</v>
      </c>
      <c r="S669" s="20">
        <v>-1.890024453899267E-2</v>
      </c>
      <c r="T669" s="20" t="s">
        <v>60</v>
      </c>
      <c r="U669" s="20" t="s">
        <v>60</v>
      </c>
      <c r="V669" s="20"/>
      <c r="W669" s="20"/>
      <c r="X669" s="20" t="s">
        <v>60</v>
      </c>
      <c r="Y669" s="20" t="s">
        <v>412</v>
      </c>
      <c r="Z669" s="20" t="s">
        <v>60</v>
      </c>
      <c r="AA669" s="20" t="s">
        <v>491</v>
      </c>
    </row>
    <row r="670" spans="1:27" x14ac:dyDescent="0.2">
      <c r="A670" s="1">
        <v>46028</v>
      </c>
      <c r="B670" s="20" t="s">
        <v>334</v>
      </c>
      <c r="C670" s="20" t="s">
        <v>11</v>
      </c>
      <c r="D670" s="20" t="s">
        <v>19</v>
      </c>
      <c r="E670" s="20" t="s">
        <v>1134</v>
      </c>
      <c r="F670" s="20" t="s">
        <v>11</v>
      </c>
      <c r="G670" s="20">
        <v>2</v>
      </c>
      <c r="H670" s="20">
        <v>3</v>
      </c>
      <c r="I670" s="13">
        <v>0.6</v>
      </c>
      <c r="J670" s="20" t="s">
        <v>249</v>
      </c>
      <c r="L670" s="20" t="s">
        <v>60</v>
      </c>
      <c r="M670" s="20" t="s">
        <v>60</v>
      </c>
      <c r="N670" s="20" t="s">
        <v>11</v>
      </c>
      <c r="O670" s="20">
        <v>2</v>
      </c>
      <c r="P670" s="20">
        <v>3</v>
      </c>
      <c r="Q670" s="13">
        <v>0.48188866932349261</v>
      </c>
      <c r="R670" s="20" t="s">
        <v>249</v>
      </c>
      <c r="S670" s="20">
        <v>-0.18745955133171149</v>
      </c>
      <c r="T670" s="20" t="s">
        <v>60</v>
      </c>
      <c r="U670" s="20" t="s">
        <v>60</v>
      </c>
      <c r="V670" s="20"/>
      <c r="W670" s="20"/>
      <c r="X670" s="20" t="s">
        <v>60</v>
      </c>
      <c r="Y670" s="20" t="s">
        <v>412</v>
      </c>
      <c r="Z670" s="20" t="s">
        <v>60</v>
      </c>
      <c r="AA670" s="20" t="s">
        <v>491</v>
      </c>
    </row>
    <row r="671" spans="1:27" x14ac:dyDescent="0.2">
      <c r="A671" s="1">
        <v>46028</v>
      </c>
      <c r="B671" s="20" t="s">
        <v>328</v>
      </c>
      <c r="C671" s="20" t="s">
        <v>12</v>
      </c>
      <c r="D671" s="20" t="s">
        <v>37</v>
      </c>
      <c r="E671" s="20" t="s">
        <v>1135</v>
      </c>
      <c r="F671" s="20" t="s">
        <v>12</v>
      </c>
      <c r="G671" s="20">
        <v>2</v>
      </c>
      <c r="H671" s="20">
        <v>3</v>
      </c>
      <c r="I671" s="13">
        <v>0.6</v>
      </c>
      <c r="J671" s="20" t="s">
        <v>249</v>
      </c>
      <c r="L671" s="20" t="s">
        <v>60</v>
      </c>
      <c r="M671" s="20" t="s">
        <v>60</v>
      </c>
      <c r="N671" s="20" t="s">
        <v>12</v>
      </c>
      <c r="O671" s="20">
        <v>2</v>
      </c>
      <c r="P671" s="20">
        <v>3</v>
      </c>
      <c r="Q671" s="13">
        <v>0.62511320133316162</v>
      </c>
      <c r="R671" s="20" t="s">
        <v>249</v>
      </c>
      <c r="S671" s="20">
        <v>-1.071497962757209</v>
      </c>
      <c r="T671" s="20" t="s">
        <v>60</v>
      </c>
      <c r="U671" s="20" t="s">
        <v>60</v>
      </c>
      <c r="V671" s="20"/>
      <c r="W671" s="20"/>
      <c r="X671" s="20" t="s">
        <v>60</v>
      </c>
      <c r="Y671" s="20" t="s">
        <v>412</v>
      </c>
      <c r="Z671" s="20" t="s">
        <v>60</v>
      </c>
      <c r="AA671" s="20" t="s">
        <v>491</v>
      </c>
    </row>
    <row r="672" spans="1:27" x14ac:dyDescent="0.2">
      <c r="A672" s="1">
        <v>46028</v>
      </c>
      <c r="B672" s="20" t="s">
        <v>322</v>
      </c>
      <c r="C672" s="20" t="s">
        <v>21</v>
      </c>
      <c r="D672" s="20" t="s">
        <v>32</v>
      </c>
      <c r="E672" s="20" t="s">
        <v>1136</v>
      </c>
      <c r="F672" s="20" t="s">
        <v>21</v>
      </c>
      <c r="G672" s="20">
        <v>2</v>
      </c>
      <c r="H672" s="20">
        <v>3</v>
      </c>
      <c r="I672" s="13">
        <v>0.6</v>
      </c>
      <c r="J672" s="20" t="s">
        <v>249</v>
      </c>
      <c r="L672" s="20" t="s">
        <v>60</v>
      </c>
      <c r="M672" s="20" t="s">
        <v>60</v>
      </c>
      <c r="N672" s="20" t="s">
        <v>21</v>
      </c>
      <c r="O672" s="20">
        <v>2</v>
      </c>
      <c r="P672" s="20">
        <v>3</v>
      </c>
      <c r="Q672" s="13">
        <v>0.50516585740852926</v>
      </c>
      <c r="R672" s="20" t="s">
        <v>249</v>
      </c>
      <c r="S672" s="20">
        <v>-0.37970672590719601</v>
      </c>
      <c r="T672" s="20" t="s">
        <v>60</v>
      </c>
      <c r="U672" s="20" t="s">
        <v>60</v>
      </c>
      <c r="V672" s="20"/>
      <c r="W672" s="20"/>
      <c r="X672" s="20" t="s">
        <v>60</v>
      </c>
      <c r="Y672" s="20" t="s">
        <v>412</v>
      </c>
      <c r="Z672" s="20" t="s">
        <v>60</v>
      </c>
      <c r="AA672" s="20" t="s">
        <v>491</v>
      </c>
    </row>
    <row r="673" spans="1:27" x14ac:dyDescent="0.2">
      <c r="A673" s="1">
        <v>46028</v>
      </c>
      <c r="B673" s="20" t="s">
        <v>328</v>
      </c>
      <c r="C673" s="20" t="s">
        <v>39</v>
      </c>
      <c r="D673" s="20" t="s">
        <v>25</v>
      </c>
      <c r="E673" s="20" t="s">
        <v>1137</v>
      </c>
      <c r="F673" s="20" t="s">
        <v>25</v>
      </c>
      <c r="G673" s="20">
        <v>2</v>
      </c>
      <c r="H673" s="20">
        <v>3</v>
      </c>
      <c r="I673" s="13">
        <v>0.6</v>
      </c>
      <c r="J673" s="20" t="s">
        <v>249</v>
      </c>
      <c r="L673" s="20" t="s">
        <v>60</v>
      </c>
      <c r="M673" s="20" t="s">
        <v>60</v>
      </c>
      <c r="N673" s="20" t="s">
        <v>25</v>
      </c>
      <c r="O673" s="20">
        <v>2</v>
      </c>
      <c r="P673" s="20">
        <v>3</v>
      </c>
      <c r="Q673" s="13">
        <v>0.49782102738745643</v>
      </c>
      <c r="R673" s="20" t="s">
        <v>249</v>
      </c>
      <c r="S673" s="20">
        <v>6.2133384396595381E-2</v>
      </c>
      <c r="T673" s="20" t="s">
        <v>60</v>
      </c>
      <c r="U673" s="20" t="s">
        <v>60</v>
      </c>
      <c r="V673" s="20"/>
      <c r="W673" s="20"/>
      <c r="X673" s="20" t="s">
        <v>60</v>
      </c>
      <c r="Y673" s="20" t="s">
        <v>412</v>
      </c>
      <c r="Z673" s="20" t="s">
        <v>60</v>
      </c>
      <c r="AA673" s="20" t="s">
        <v>491</v>
      </c>
    </row>
    <row r="674" spans="1:27" x14ac:dyDescent="0.2">
      <c r="A674" s="1">
        <v>46028</v>
      </c>
      <c r="B674" s="20" t="s">
        <v>334</v>
      </c>
      <c r="C674" s="20" t="s">
        <v>24</v>
      </c>
      <c r="D674" s="20" t="s">
        <v>30</v>
      </c>
      <c r="E674" s="20" t="s">
        <v>1061</v>
      </c>
      <c r="F674" s="20" t="s">
        <v>24</v>
      </c>
      <c r="G674" s="20">
        <v>2</v>
      </c>
      <c r="H674" s="20">
        <v>3</v>
      </c>
      <c r="I674" s="13">
        <v>0.6</v>
      </c>
      <c r="J674" s="20" t="s">
        <v>249</v>
      </c>
      <c r="L674" s="20" t="s">
        <v>60</v>
      </c>
      <c r="M674" s="20" t="s">
        <v>60</v>
      </c>
      <c r="N674" s="20" t="s">
        <v>24</v>
      </c>
      <c r="O674" s="20">
        <v>2</v>
      </c>
      <c r="P674" s="20">
        <v>3</v>
      </c>
      <c r="Q674" s="13">
        <v>0.50325362781538752</v>
      </c>
      <c r="R674" s="20" t="s">
        <v>249</v>
      </c>
      <c r="S674" s="20">
        <v>-0.19256149928277441</v>
      </c>
      <c r="T674" s="20" t="s">
        <v>60</v>
      </c>
      <c r="U674" s="20" t="s">
        <v>60</v>
      </c>
      <c r="V674" s="20"/>
      <c r="W674" s="20"/>
      <c r="X674" s="20" t="s">
        <v>60</v>
      </c>
      <c r="Y674" s="20" t="s">
        <v>412</v>
      </c>
      <c r="Z674" s="20" t="s">
        <v>60</v>
      </c>
      <c r="AA674" s="20" t="s">
        <v>491</v>
      </c>
    </row>
    <row r="675" spans="1:27" x14ac:dyDescent="0.2">
      <c r="A675" s="1">
        <v>46028</v>
      </c>
      <c r="B675" s="20" t="s">
        <v>326</v>
      </c>
      <c r="C675" s="20" t="s">
        <v>29</v>
      </c>
      <c r="D675" s="20" t="s">
        <v>17</v>
      </c>
      <c r="E675" s="20" t="s">
        <v>1138</v>
      </c>
      <c r="F675" s="20" t="s">
        <v>17</v>
      </c>
      <c r="G675" s="20">
        <v>2</v>
      </c>
      <c r="H675" s="20">
        <v>3</v>
      </c>
      <c r="I675" s="13">
        <v>0.6</v>
      </c>
      <c r="J675" s="20" t="s">
        <v>249</v>
      </c>
      <c r="L675" s="20" t="s">
        <v>60</v>
      </c>
      <c r="M675" s="20" t="s">
        <v>60</v>
      </c>
      <c r="N675" s="20" t="s">
        <v>17</v>
      </c>
      <c r="O675" s="20">
        <v>2</v>
      </c>
      <c r="P675" s="20">
        <v>3</v>
      </c>
      <c r="Q675" s="13">
        <v>0.61909814145523023</v>
      </c>
      <c r="R675" s="20" t="s">
        <v>249</v>
      </c>
      <c r="S675" s="20">
        <v>0.61707136849570166</v>
      </c>
      <c r="T675" s="20" t="s">
        <v>60</v>
      </c>
      <c r="U675" s="20" t="s">
        <v>60</v>
      </c>
      <c r="V675" s="20"/>
      <c r="W675" s="20"/>
      <c r="X675" s="20" t="s">
        <v>60</v>
      </c>
      <c r="Y675" s="20" t="s">
        <v>412</v>
      </c>
      <c r="Z675" s="20" t="s">
        <v>60</v>
      </c>
      <c r="AA675" s="20" t="s">
        <v>491</v>
      </c>
    </row>
    <row r="676" spans="1:27" x14ac:dyDescent="0.2">
      <c r="A676" s="1">
        <v>46028</v>
      </c>
      <c r="B676" s="20" t="s">
        <v>328</v>
      </c>
      <c r="C676" s="20" t="s">
        <v>38</v>
      </c>
      <c r="D676" s="20" t="s">
        <v>23</v>
      </c>
      <c r="E676" s="20" t="s">
        <v>1139</v>
      </c>
      <c r="F676" s="20" t="s">
        <v>23</v>
      </c>
      <c r="G676" s="20">
        <v>2</v>
      </c>
      <c r="H676" s="20">
        <v>3</v>
      </c>
      <c r="I676" s="13">
        <v>0.6</v>
      </c>
      <c r="J676" s="20" t="s">
        <v>249</v>
      </c>
      <c r="L676" s="20" t="s">
        <v>60</v>
      </c>
      <c r="M676" s="20" t="s">
        <v>60</v>
      </c>
      <c r="N676" s="20" t="s">
        <v>23</v>
      </c>
      <c r="O676" s="20">
        <v>2</v>
      </c>
      <c r="P676" s="20">
        <v>3</v>
      </c>
      <c r="Q676" s="13">
        <v>0.60744779774608748</v>
      </c>
      <c r="R676" s="20" t="s">
        <v>249</v>
      </c>
      <c r="S676" s="20">
        <v>0.52146806829337689</v>
      </c>
      <c r="T676" s="20" t="s">
        <v>60</v>
      </c>
      <c r="U676" s="20" t="s">
        <v>60</v>
      </c>
      <c r="V676" s="20"/>
      <c r="W676" s="20"/>
      <c r="X676" s="20" t="s">
        <v>60</v>
      </c>
      <c r="Y676" s="20" t="s">
        <v>412</v>
      </c>
      <c r="Z676" s="20" t="s">
        <v>60</v>
      </c>
      <c r="AA676" s="20" t="s">
        <v>491</v>
      </c>
    </row>
    <row r="677" spans="1:27" x14ac:dyDescent="0.2">
      <c r="A677" s="1">
        <v>46028</v>
      </c>
      <c r="B677" s="20" t="s">
        <v>328</v>
      </c>
      <c r="C677" s="20" t="s">
        <v>31</v>
      </c>
      <c r="D677" s="20" t="s">
        <v>27</v>
      </c>
      <c r="E677" s="20" t="s">
        <v>1140</v>
      </c>
      <c r="F677" s="20" t="s">
        <v>31</v>
      </c>
      <c r="G677" s="20">
        <v>2</v>
      </c>
      <c r="H677" s="20">
        <v>3</v>
      </c>
      <c r="I677" s="13">
        <v>0.6</v>
      </c>
      <c r="J677" s="20" t="s">
        <v>249</v>
      </c>
      <c r="L677" s="20" t="s">
        <v>60</v>
      </c>
      <c r="M677" s="20" t="s">
        <v>60</v>
      </c>
      <c r="N677" s="20" t="s">
        <v>31</v>
      </c>
      <c r="O677" s="20">
        <v>2</v>
      </c>
      <c r="P677" s="20">
        <v>3</v>
      </c>
      <c r="Q677" s="13">
        <v>0.5261048163255807</v>
      </c>
      <c r="R677" s="20" t="s">
        <v>249</v>
      </c>
      <c r="S677" s="20">
        <v>-0.50904185642241984</v>
      </c>
      <c r="T677" s="20" t="s">
        <v>60</v>
      </c>
      <c r="U677" s="20" t="s">
        <v>60</v>
      </c>
      <c r="V677" s="20"/>
      <c r="W677" s="20"/>
      <c r="X677" s="20" t="s">
        <v>60</v>
      </c>
      <c r="Y677" s="20" t="s">
        <v>412</v>
      </c>
      <c r="Z677" s="20" t="s">
        <v>60</v>
      </c>
      <c r="AA677" s="20" t="s">
        <v>491</v>
      </c>
    </row>
    <row r="678" spans="1:27" x14ac:dyDescent="0.2">
      <c r="A678" s="1">
        <v>46029</v>
      </c>
      <c r="B678" s="20" t="s">
        <v>426</v>
      </c>
      <c r="C678" s="20" t="s">
        <v>35</v>
      </c>
      <c r="D678" s="20" t="s">
        <v>10</v>
      </c>
      <c r="E678" s="20" t="s">
        <v>1141</v>
      </c>
      <c r="F678" s="20" t="s">
        <v>10</v>
      </c>
      <c r="G678" s="20">
        <v>2</v>
      </c>
      <c r="H678" s="20">
        <v>3</v>
      </c>
      <c r="I678" s="13">
        <v>0.6</v>
      </c>
      <c r="J678" s="20" t="s">
        <v>249</v>
      </c>
      <c r="L678" s="20" t="s">
        <v>60</v>
      </c>
      <c r="M678" s="20" t="s">
        <v>60</v>
      </c>
      <c r="N678" s="20" t="s">
        <v>10</v>
      </c>
      <c r="O678" s="20">
        <v>2</v>
      </c>
      <c r="P678" s="20">
        <v>3</v>
      </c>
      <c r="Q678" s="13">
        <v>0.6880790666121519</v>
      </c>
      <c r="R678" s="20" t="s">
        <v>249</v>
      </c>
      <c r="S678" s="20">
        <v>1.268182865686571</v>
      </c>
      <c r="T678" s="20" t="s">
        <v>60</v>
      </c>
      <c r="U678" s="20" t="s">
        <v>60</v>
      </c>
      <c r="V678" s="20"/>
      <c r="W678" s="20"/>
      <c r="X678" s="20" t="s">
        <v>60</v>
      </c>
      <c r="Y678" s="20" t="s">
        <v>412</v>
      </c>
      <c r="Z678" s="20" t="s">
        <v>60</v>
      </c>
      <c r="AA678" s="20" t="s">
        <v>491</v>
      </c>
    </row>
    <row r="679" spans="1:27" x14ac:dyDescent="0.2">
      <c r="A679" s="1">
        <v>46029</v>
      </c>
      <c r="B679" s="20" t="s">
        <v>340</v>
      </c>
      <c r="C679" s="20" t="s">
        <v>33</v>
      </c>
      <c r="D679" s="20" t="s">
        <v>13</v>
      </c>
      <c r="E679" s="20" t="s">
        <v>1142</v>
      </c>
      <c r="F679" s="20" t="s">
        <v>13</v>
      </c>
      <c r="G679" s="20">
        <v>2</v>
      </c>
      <c r="H679" s="20">
        <v>3</v>
      </c>
      <c r="I679" s="13">
        <v>0.6</v>
      </c>
      <c r="J679" s="20" t="s">
        <v>249</v>
      </c>
      <c r="L679" s="20" t="s">
        <v>60</v>
      </c>
      <c r="M679" s="20" t="s">
        <v>60</v>
      </c>
      <c r="N679" s="20" t="s">
        <v>13</v>
      </c>
      <c r="O679" s="20">
        <v>2</v>
      </c>
      <c r="P679" s="20">
        <v>3</v>
      </c>
      <c r="Q679" s="13">
        <v>0.5590266005947836</v>
      </c>
      <c r="R679" s="20" t="s">
        <v>249</v>
      </c>
      <c r="S679" s="20">
        <v>0.16294814262819221</v>
      </c>
      <c r="T679" s="20" t="s">
        <v>60</v>
      </c>
      <c r="U679" s="20" t="s">
        <v>60</v>
      </c>
      <c r="V679" s="20"/>
      <c r="W679" s="20"/>
      <c r="X679" s="20" t="s">
        <v>60</v>
      </c>
      <c r="Y679" s="20" t="s">
        <v>412</v>
      </c>
      <c r="Z679" s="20" t="s">
        <v>60</v>
      </c>
      <c r="AA679" s="20" t="s">
        <v>491</v>
      </c>
    </row>
    <row r="680" spans="1:27" x14ac:dyDescent="0.2">
      <c r="A680" s="1">
        <v>46029</v>
      </c>
      <c r="B680" s="20" t="s">
        <v>334</v>
      </c>
      <c r="C680" s="20" t="s">
        <v>16</v>
      </c>
      <c r="D680" s="20" t="s">
        <v>18</v>
      </c>
      <c r="E680" s="20" t="s">
        <v>1143</v>
      </c>
      <c r="F680" s="20" t="s">
        <v>18</v>
      </c>
      <c r="G680" s="20">
        <v>2</v>
      </c>
      <c r="H680" s="20">
        <v>3</v>
      </c>
      <c r="I680" s="13">
        <v>0.6</v>
      </c>
      <c r="J680" s="20" t="s">
        <v>249</v>
      </c>
      <c r="L680" s="20" t="s">
        <v>60</v>
      </c>
      <c r="M680" s="20" t="s">
        <v>60</v>
      </c>
      <c r="N680" s="20" t="s">
        <v>18</v>
      </c>
      <c r="O680" s="20">
        <v>2</v>
      </c>
      <c r="P680" s="20">
        <v>3</v>
      </c>
      <c r="Q680" s="13">
        <v>0.60104372852940058</v>
      </c>
      <c r="R680" s="20" t="s">
        <v>249</v>
      </c>
      <c r="S680" s="20">
        <v>0.52279239969395808</v>
      </c>
      <c r="T680" s="20" t="s">
        <v>60</v>
      </c>
      <c r="U680" s="20" t="s">
        <v>60</v>
      </c>
      <c r="V680" s="20"/>
      <c r="W680" s="20"/>
      <c r="X680" s="20" t="s">
        <v>60</v>
      </c>
      <c r="Y680" s="20" t="s">
        <v>412</v>
      </c>
      <c r="Z680" s="20" t="s">
        <v>60</v>
      </c>
      <c r="AA680" s="20" t="s">
        <v>491</v>
      </c>
    </row>
    <row r="681" spans="1:27" x14ac:dyDescent="0.2">
      <c r="A681" s="1">
        <v>46029</v>
      </c>
      <c r="B681" s="20" t="s">
        <v>426</v>
      </c>
      <c r="C681" s="20" t="s">
        <v>36</v>
      </c>
      <c r="D681" s="20" t="s">
        <v>55</v>
      </c>
      <c r="E681" s="20" t="s">
        <v>1144</v>
      </c>
      <c r="F681" s="20" t="s">
        <v>55</v>
      </c>
      <c r="G681" s="20">
        <v>2</v>
      </c>
      <c r="H681" s="20">
        <v>3</v>
      </c>
      <c r="I681" s="13">
        <v>0.6</v>
      </c>
      <c r="J681" s="20" t="s">
        <v>249</v>
      </c>
      <c r="L681" s="20" t="s">
        <v>60</v>
      </c>
      <c r="M681" s="20" t="s">
        <v>60</v>
      </c>
      <c r="N681" s="20" t="s">
        <v>55</v>
      </c>
      <c r="O681" s="20">
        <v>2</v>
      </c>
      <c r="P681" s="20">
        <v>3</v>
      </c>
      <c r="Q681" s="13">
        <v>0.60123322918628797</v>
      </c>
      <c r="R681" s="20" t="s">
        <v>249</v>
      </c>
      <c r="S681" s="20">
        <v>0.1781535107668186</v>
      </c>
      <c r="T681" s="20" t="s">
        <v>60</v>
      </c>
      <c r="U681" s="20" t="s">
        <v>60</v>
      </c>
      <c r="V681" s="20"/>
      <c r="W681" s="20"/>
      <c r="X681" s="20" t="s">
        <v>60</v>
      </c>
      <c r="Y681" s="20" t="s">
        <v>412</v>
      </c>
      <c r="Z681" s="20" t="s">
        <v>60</v>
      </c>
      <c r="AA681" s="20" t="s">
        <v>491</v>
      </c>
    </row>
    <row r="682" spans="1:27" x14ac:dyDescent="0.2">
      <c r="A682" s="1">
        <v>46029</v>
      </c>
      <c r="B682" s="20" t="s">
        <v>328</v>
      </c>
      <c r="C682" s="20" t="s">
        <v>39</v>
      </c>
      <c r="D682" s="20" t="s">
        <v>22</v>
      </c>
      <c r="E682" s="20" t="s">
        <v>1145</v>
      </c>
      <c r="F682" s="20" t="s">
        <v>22</v>
      </c>
      <c r="G682" s="20">
        <v>2</v>
      </c>
      <c r="H682" s="20">
        <v>3</v>
      </c>
      <c r="I682" s="13">
        <v>0.6</v>
      </c>
      <c r="J682" s="20" t="s">
        <v>249</v>
      </c>
      <c r="L682" s="20" t="s">
        <v>60</v>
      </c>
      <c r="M682" s="20" t="s">
        <v>60</v>
      </c>
      <c r="N682" s="20" t="s">
        <v>22</v>
      </c>
      <c r="O682" s="20">
        <v>2</v>
      </c>
      <c r="P682" s="20">
        <v>3</v>
      </c>
      <c r="Q682" s="13">
        <v>0.47329592294778511</v>
      </c>
      <c r="R682" s="20" t="s">
        <v>249</v>
      </c>
      <c r="S682" s="20">
        <v>7.7165479921799618E-2</v>
      </c>
      <c r="T682" s="20" t="s">
        <v>60</v>
      </c>
      <c r="U682" s="20" t="s">
        <v>60</v>
      </c>
      <c r="V682" s="20"/>
      <c r="W682" s="20"/>
      <c r="X682" s="20" t="s">
        <v>60</v>
      </c>
      <c r="Y682" s="20" t="s">
        <v>412</v>
      </c>
      <c r="Z682" s="20" t="s">
        <v>60</v>
      </c>
      <c r="AA682" s="20" t="s">
        <v>491</v>
      </c>
    </row>
    <row r="683" spans="1:27" x14ac:dyDescent="0.2">
      <c r="A683" s="1">
        <v>46030</v>
      </c>
      <c r="B683" s="20" t="s">
        <v>328</v>
      </c>
      <c r="C683" s="20" t="s">
        <v>24</v>
      </c>
      <c r="D683" s="20" t="s">
        <v>14</v>
      </c>
      <c r="E683" s="20" t="s">
        <v>1146</v>
      </c>
      <c r="F683" s="20" t="s">
        <v>24</v>
      </c>
      <c r="G683" s="20">
        <v>2</v>
      </c>
      <c r="H683" s="20">
        <v>3</v>
      </c>
      <c r="I683" s="13">
        <v>0.6</v>
      </c>
      <c r="J683" s="20" t="s">
        <v>249</v>
      </c>
      <c r="L683" s="20" t="s">
        <v>60</v>
      </c>
      <c r="M683" s="20" t="s">
        <v>60</v>
      </c>
      <c r="N683" s="20" t="s">
        <v>24</v>
      </c>
      <c r="O683" s="20">
        <v>2</v>
      </c>
      <c r="P683" s="20">
        <v>3</v>
      </c>
      <c r="Q683" s="13">
        <v>0.49173270874944358</v>
      </c>
      <c r="R683" s="20" t="s">
        <v>249</v>
      </c>
      <c r="S683" s="20">
        <v>-9.3893723406931848E-2</v>
      </c>
      <c r="T683" s="20" t="s">
        <v>60</v>
      </c>
      <c r="U683" s="20" t="s">
        <v>60</v>
      </c>
      <c r="V683" s="20"/>
      <c r="W683" s="20"/>
      <c r="X683" s="20" t="s">
        <v>60</v>
      </c>
      <c r="Y683" s="20" t="s">
        <v>412</v>
      </c>
      <c r="Z683" s="20" t="s">
        <v>60</v>
      </c>
      <c r="AA683" s="20" t="s">
        <v>491</v>
      </c>
    </row>
    <row r="684" spans="1:27" x14ac:dyDescent="0.2">
      <c r="A684" s="1">
        <v>46030</v>
      </c>
      <c r="B684" s="20" t="s">
        <v>324</v>
      </c>
      <c r="C684" s="20" t="s">
        <v>17</v>
      </c>
      <c r="D684" s="20" t="s">
        <v>40</v>
      </c>
      <c r="E684" s="20" t="s">
        <v>1085</v>
      </c>
      <c r="F684" s="20" t="s">
        <v>40</v>
      </c>
      <c r="G684" s="20">
        <v>2</v>
      </c>
      <c r="H684" s="20">
        <v>3</v>
      </c>
      <c r="I684" s="13">
        <v>0.6</v>
      </c>
      <c r="J684" s="20" t="s">
        <v>249</v>
      </c>
      <c r="L684" s="20" t="s">
        <v>60</v>
      </c>
      <c r="M684" s="20" t="s">
        <v>60</v>
      </c>
      <c r="N684" s="20" t="s">
        <v>40</v>
      </c>
      <c r="O684" s="20">
        <v>2</v>
      </c>
      <c r="P684" s="20">
        <v>3</v>
      </c>
      <c r="Q684" s="13">
        <v>0.60723051420671958</v>
      </c>
      <c r="R684" s="20" t="s">
        <v>249</v>
      </c>
      <c r="S684" s="20">
        <v>0.55440558937789264</v>
      </c>
      <c r="T684" s="20" t="s">
        <v>60</v>
      </c>
      <c r="U684" s="20" t="s">
        <v>60</v>
      </c>
      <c r="V684" s="20"/>
      <c r="W684" s="20"/>
      <c r="X684" s="20" t="s">
        <v>60</v>
      </c>
      <c r="Y684" s="20" t="s">
        <v>412</v>
      </c>
      <c r="Z684" s="20" t="s">
        <v>60</v>
      </c>
      <c r="AA684" s="20" t="s">
        <v>491</v>
      </c>
    </row>
    <row r="685" spans="1:27" x14ac:dyDescent="0.2">
      <c r="A685" s="1">
        <v>46030</v>
      </c>
      <c r="B685" s="20" t="s">
        <v>322</v>
      </c>
      <c r="C685" s="20" t="s">
        <v>28</v>
      </c>
      <c r="D685" s="20" t="s">
        <v>20</v>
      </c>
      <c r="E685" s="20" t="s">
        <v>1147</v>
      </c>
      <c r="F685" s="20" t="s">
        <v>20</v>
      </c>
      <c r="G685" s="20">
        <v>2</v>
      </c>
      <c r="H685" s="20">
        <v>3</v>
      </c>
      <c r="I685" s="13">
        <v>0.6</v>
      </c>
      <c r="J685" s="20" t="s">
        <v>249</v>
      </c>
      <c r="L685" s="20" t="s">
        <v>60</v>
      </c>
      <c r="M685" s="20" t="s">
        <v>60</v>
      </c>
      <c r="N685" s="20" t="s">
        <v>20</v>
      </c>
      <c r="O685" s="20">
        <v>2</v>
      </c>
      <c r="P685" s="20">
        <v>3</v>
      </c>
      <c r="Q685" s="13">
        <v>0.58318220972456269</v>
      </c>
      <c r="R685" s="20" t="s">
        <v>249</v>
      </c>
      <c r="S685" s="20">
        <v>0.40044932295306629</v>
      </c>
      <c r="T685" s="20" t="s">
        <v>60</v>
      </c>
      <c r="U685" s="20" t="s">
        <v>60</v>
      </c>
      <c r="V685" s="20"/>
      <c r="W685" s="20"/>
      <c r="X685" s="20" t="s">
        <v>60</v>
      </c>
      <c r="Y685" s="20" t="s">
        <v>412</v>
      </c>
      <c r="Z685" s="20" t="s">
        <v>60</v>
      </c>
      <c r="AA685" s="20" t="s">
        <v>491</v>
      </c>
    </row>
    <row r="686" spans="1:27" x14ac:dyDescent="0.2">
      <c r="A686" s="1">
        <v>46030</v>
      </c>
      <c r="B686" s="20" t="s">
        <v>322</v>
      </c>
      <c r="C686" s="20" t="s">
        <v>34</v>
      </c>
      <c r="D686" s="20" t="s">
        <v>32</v>
      </c>
      <c r="E686" s="20" t="s">
        <v>959</v>
      </c>
      <c r="F686" s="20" t="s">
        <v>34</v>
      </c>
      <c r="G686" s="20">
        <v>2</v>
      </c>
      <c r="H686" s="20">
        <v>3</v>
      </c>
      <c r="I686" s="13">
        <v>0.6</v>
      </c>
      <c r="J686" s="20" t="s">
        <v>249</v>
      </c>
      <c r="L686" s="20" t="s">
        <v>60</v>
      </c>
      <c r="M686" s="20" t="s">
        <v>60</v>
      </c>
      <c r="N686" s="20" t="s">
        <v>34</v>
      </c>
      <c r="O686" s="20">
        <v>2</v>
      </c>
      <c r="P686" s="20">
        <v>3</v>
      </c>
      <c r="Q686" s="13">
        <v>0.56607365771895912</v>
      </c>
      <c r="R686" s="20" t="s">
        <v>249</v>
      </c>
      <c r="S686" s="20">
        <v>-0.54435169890544877</v>
      </c>
      <c r="T686" s="20" t="s">
        <v>60</v>
      </c>
      <c r="U686" s="20" t="s">
        <v>60</v>
      </c>
      <c r="V686" s="20"/>
      <c r="W686" s="20"/>
      <c r="X686" s="20" t="s">
        <v>60</v>
      </c>
      <c r="Y686" s="20" t="s">
        <v>412</v>
      </c>
      <c r="Z686" s="20" t="s">
        <v>60</v>
      </c>
      <c r="AA686" s="20" t="s">
        <v>491</v>
      </c>
    </row>
    <row r="687" spans="1:27" x14ac:dyDescent="0.2">
      <c r="A687" s="1">
        <v>46030</v>
      </c>
      <c r="B687" s="20" t="s">
        <v>328</v>
      </c>
      <c r="C687" s="20" t="s">
        <v>23</v>
      </c>
      <c r="D687" s="20" t="s">
        <v>15</v>
      </c>
      <c r="E687" s="20" t="s">
        <v>1148</v>
      </c>
      <c r="F687" s="20" t="s">
        <v>15</v>
      </c>
      <c r="G687" s="20">
        <v>2</v>
      </c>
      <c r="H687" s="20">
        <v>3</v>
      </c>
      <c r="I687" s="13">
        <v>0.6</v>
      </c>
      <c r="J687" s="20" t="s">
        <v>249</v>
      </c>
      <c r="L687" s="20" t="s">
        <v>60</v>
      </c>
      <c r="M687" s="20" t="s">
        <v>60</v>
      </c>
      <c r="N687" s="20" t="s">
        <v>15</v>
      </c>
      <c r="O687" s="20">
        <v>2</v>
      </c>
      <c r="P687" s="20">
        <v>3</v>
      </c>
      <c r="Q687" s="13">
        <v>0.56755382089589856</v>
      </c>
      <c r="R687" s="20" t="s">
        <v>249</v>
      </c>
      <c r="S687" s="20">
        <v>0.2359772001798095</v>
      </c>
      <c r="T687" s="20" t="s">
        <v>60</v>
      </c>
      <c r="U687" s="20" t="s">
        <v>60</v>
      </c>
      <c r="V687" s="20"/>
      <c r="W687" s="20"/>
      <c r="X687" s="20" t="s">
        <v>60</v>
      </c>
      <c r="Y687" s="20" t="s">
        <v>412</v>
      </c>
      <c r="Z687" s="20" t="s">
        <v>60</v>
      </c>
      <c r="AA687" s="20" t="s">
        <v>491</v>
      </c>
    </row>
    <row r="688" spans="1:27" x14ac:dyDescent="0.2">
      <c r="A688" s="1">
        <v>46030</v>
      </c>
      <c r="B688" s="20" t="s">
        <v>328</v>
      </c>
      <c r="C688" s="20" t="s">
        <v>19</v>
      </c>
      <c r="D688" s="20" t="s">
        <v>27</v>
      </c>
      <c r="E688" s="20" t="s">
        <v>759</v>
      </c>
      <c r="F688" s="20" t="s">
        <v>27</v>
      </c>
      <c r="G688" s="20">
        <v>2</v>
      </c>
      <c r="H688" s="20">
        <v>3</v>
      </c>
      <c r="I688" s="13">
        <v>0.6</v>
      </c>
      <c r="J688" s="20" t="s">
        <v>249</v>
      </c>
      <c r="L688" s="20" t="s">
        <v>60</v>
      </c>
      <c r="M688" s="20" t="s">
        <v>60</v>
      </c>
      <c r="N688" s="20" t="s">
        <v>27</v>
      </c>
      <c r="O688" s="20">
        <v>2</v>
      </c>
      <c r="P688" s="20">
        <v>3</v>
      </c>
      <c r="Q688" s="13">
        <v>0.5895294258799636</v>
      </c>
      <c r="R688" s="20" t="s">
        <v>249</v>
      </c>
      <c r="S688" s="20">
        <v>0.30413975673582699</v>
      </c>
      <c r="T688" s="20" t="s">
        <v>60</v>
      </c>
      <c r="U688" s="20" t="s">
        <v>60</v>
      </c>
      <c r="V688" s="20"/>
      <c r="W688" s="20"/>
      <c r="X688" s="20" t="s">
        <v>60</v>
      </c>
      <c r="Y688" s="20" t="s">
        <v>412</v>
      </c>
      <c r="Z688" s="20" t="s">
        <v>60</v>
      </c>
      <c r="AA688" s="20" t="s">
        <v>491</v>
      </c>
    </row>
    <row r="689" spans="1:27" x14ac:dyDescent="0.2">
      <c r="A689" s="1">
        <v>46030</v>
      </c>
      <c r="B689" s="20" t="s">
        <v>328</v>
      </c>
      <c r="C689" s="20" t="s">
        <v>11</v>
      </c>
      <c r="D689" s="20" t="s">
        <v>18</v>
      </c>
      <c r="E689" s="20" t="s">
        <v>1149</v>
      </c>
      <c r="F689" s="20" t="s">
        <v>11</v>
      </c>
      <c r="G689" s="20">
        <v>2</v>
      </c>
      <c r="H689" s="20">
        <v>3</v>
      </c>
      <c r="I689" s="13">
        <v>0.6</v>
      </c>
      <c r="J689" s="20" t="s">
        <v>249</v>
      </c>
      <c r="L689" s="20" t="s">
        <v>60</v>
      </c>
      <c r="M689" s="20" t="s">
        <v>60</v>
      </c>
      <c r="N689" s="20" t="s">
        <v>11</v>
      </c>
      <c r="O689" s="20">
        <v>2</v>
      </c>
      <c r="P689" s="20">
        <v>3</v>
      </c>
      <c r="Q689" s="13">
        <v>0.47703254407868428</v>
      </c>
      <c r="R689" s="20" t="s">
        <v>249</v>
      </c>
      <c r="S689" s="20">
        <v>-0.14587058828655619</v>
      </c>
      <c r="T689" s="20" t="s">
        <v>60</v>
      </c>
      <c r="U689" s="20" t="s">
        <v>60</v>
      </c>
      <c r="V689" s="20"/>
      <c r="W689" s="20"/>
      <c r="X689" s="20" t="s">
        <v>60</v>
      </c>
      <c r="Y689" s="20" t="s">
        <v>412</v>
      </c>
      <c r="Z689" s="20" t="s">
        <v>60</v>
      </c>
      <c r="AA689" s="20" t="s">
        <v>491</v>
      </c>
    </row>
    <row r="690" spans="1:27" x14ac:dyDescent="0.2">
      <c r="A690" s="1">
        <v>46030</v>
      </c>
      <c r="B690" s="20" t="s">
        <v>328</v>
      </c>
      <c r="C690" s="20" t="s">
        <v>38</v>
      </c>
      <c r="D690" s="20" t="s">
        <v>26</v>
      </c>
      <c r="E690" s="20" t="s">
        <v>1150</v>
      </c>
      <c r="F690" s="20" t="s">
        <v>26</v>
      </c>
      <c r="G690" s="20">
        <v>2</v>
      </c>
      <c r="H690" s="20">
        <v>3</v>
      </c>
      <c r="I690" s="13">
        <v>0.6</v>
      </c>
      <c r="J690" s="20" t="s">
        <v>249</v>
      </c>
      <c r="L690" s="20" t="s">
        <v>60</v>
      </c>
      <c r="M690" s="20" t="s">
        <v>60</v>
      </c>
      <c r="N690" s="20" t="s">
        <v>26</v>
      </c>
      <c r="O690" s="20">
        <v>2</v>
      </c>
      <c r="P690" s="20">
        <v>3</v>
      </c>
      <c r="Q690" s="13">
        <v>0.55069704130602415</v>
      </c>
      <c r="R690" s="20" t="s">
        <v>249</v>
      </c>
      <c r="S690" s="20">
        <v>0.1222389390016571</v>
      </c>
      <c r="T690" s="20" t="s">
        <v>60</v>
      </c>
      <c r="U690" s="20" t="s">
        <v>60</v>
      </c>
      <c r="V690" s="20"/>
      <c r="W690" s="20"/>
      <c r="X690" s="20" t="s">
        <v>60</v>
      </c>
      <c r="Y690" s="20" t="s">
        <v>412</v>
      </c>
      <c r="Z690" s="20" t="s">
        <v>60</v>
      </c>
      <c r="AA690" s="20" t="s">
        <v>491</v>
      </c>
    </row>
    <row r="691" spans="1:27" x14ac:dyDescent="0.2">
      <c r="A691" s="1">
        <v>46030</v>
      </c>
      <c r="B691" s="20" t="s">
        <v>326</v>
      </c>
      <c r="C691" s="20" t="s">
        <v>36</v>
      </c>
      <c r="D691" s="20" t="s">
        <v>12</v>
      </c>
      <c r="E691" s="20" t="s">
        <v>1151</v>
      </c>
      <c r="F691" s="20" t="s">
        <v>12</v>
      </c>
      <c r="G691" s="20">
        <v>2</v>
      </c>
      <c r="H691" s="20">
        <v>3</v>
      </c>
      <c r="I691" s="13">
        <v>0.6</v>
      </c>
      <c r="J691" s="20" t="s">
        <v>249</v>
      </c>
      <c r="L691" s="20" t="s">
        <v>60</v>
      </c>
      <c r="M691" s="20" t="s">
        <v>60</v>
      </c>
      <c r="N691" s="20" t="s">
        <v>12</v>
      </c>
      <c r="O691" s="20">
        <v>2</v>
      </c>
      <c r="P691" s="20">
        <v>3</v>
      </c>
      <c r="Q691" s="13">
        <v>0.90275137961610274</v>
      </c>
      <c r="R691" s="20" t="s">
        <v>249</v>
      </c>
      <c r="S691" s="20">
        <v>2.213180458214977</v>
      </c>
      <c r="T691" s="20" t="s">
        <v>60</v>
      </c>
      <c r="U691" s="20" t="s">
        <v>60</v>
      </c>
      <c r="V691" s="20"/>
      <c r="W691" s="20"/>
      <c r="X691" s="20" t="s">
        <v>60</v>
      </c>
      <c r="Y691" s="20" t="s">
        <v>412</v>
      </c>
      <c r="Z691" s="20" t="s">
        <v>60</v>
      </c>
      <c r="AA691" s="20" t="s">
        <v>491</v>
      </c>
    </row>
    <row r="692" spans="1:27" x14ac:dyDescent="0.2">
      <c r="A692" s="1">
        <v>46030</v>
      </c>
      <c r="B692" s="20" t="s">
        <v>328</v>
      </c>
      <c r="C692" s="20" t="s">
        <v>31</v>
      </c>
      <c r="D692" s="20" t="s">
        <v>25</v>
      </c>
      <c r="E692" s="20" t="s">
        <v>1152</v>
      </c>
      <c r="F692" s="20" t="s">
        <v>25</v>
      </c>
      <c r="G692" s="20">
        <v>2</v>
      </c>
      <c r="H692" s="20">
        <v>3</v>
      </c>
      <c r="I692" s="13">
        <v>0.6</v>
      </c>
      <c r="J692" s="20" t="s">
        <v>249</v>
      </c>
      <c r="L692" s="20" t="s">
        <v>60</v>
      </c>
      <c r="M692" s="20" t="s">
        <v>60</v>
      </c>
      <c r="N692" s="20" t="s">
        <v>25</v>
      </c>
      <c r="O692" s="20">
        <v>2</v>
      </c>
      <c r="P692" s="20">
        <v>3</v>
      </c>
      <c r="Q692" s="13">
        <v>0.60609285987948969</v>
      </c>
      <c r="R692" s="20" t="s">
        <v>249</v>
      </c>
      <c r="S692" s="20">
        <v>0.29687286441244892</v>
      </c>
      <c r="T692" s="20" t="s">
        <v>60</v>
      </c>
      <c r="U692" s="20" t="s">
        <v>60</v>
      </c>
      <c r="V692" s="20"/>
      <c r="W692" s="20"/>
      <c r="X692" s="20" t="s">
        <v>60</v>
      </c>
      <c r="Y692" s="20" t="s">
        <v>412</v>
      </c>
      <c r="Z692" s="20" t="s">
        <v>60</v>
      </c>
      <c r="AA692" s="20" t="s">
        <v>491</v>
      </c>
    </row>
    <row r="693" spans="1:27" x14ac:dyDescent="0.2">
      <c r="A693" s="1">
        <v>46030</v>
      </c>
      <c r="B693" s="20" t="s">
        <v>328</v>
      </c>
      <c r="C693" s="20" t="s">
        <v>16</v>
      </c>
      <c r="D693" s="20" t="s">
        <v>21</v>
      </c>
      <c r="E693" s="20" t="s">
        <v>1153</v>
      </c>
      <c r="F693" s="20" t="s">
        <v>21</v>
      </c>
      <c r="G693" s="20">
        <v>2</v>
      </c>
      <c r="H693" s="20">
        <v>3</v>
      </c>
      <c r="I693" s="13">
        <v>0.6</v>
      </c>
      <c r="J693" s="20" t="s">
        <v>249</v>
      </c>
      <c r="L693" s="20" t="s">
        <v>60</v>
      </c>
      <c r="M693" s="20" t="s">
        <v>60</v>
      </c>
      <c r="N693" s="20" t="s">
        <v>21</v>
      </c>
      <c r="O693" s="20">
        <v>2</v>
      </c>
      <c r="P693" s="20">
        <v>3</v>
      </c>
      <c r="Q693" s="13">
        <v>0.68751253435846171</v>
      </c>
      <c r="R693" s="20" t="s">
        <v>249</v>
      </c>
      <c r="S693" s="20">
        <v>0.89591226752005171</v>
      </c>
      <c r="T693" s="20" t="s">
        <v>60</v>
      </c>
      <c r="U693" s="20" t="s">
        <v>60</v>
      </c>
      <c r="V693" s="20"/>
      <c r="W693" s="20"/>
      <c r="X693" s="20" t="s">
        <v>60</v>
      </c>
      <c r="Y693" s="20" t="s">
        <v>412</v>
      </c>
      <c r="Z693" s="20" t="s">
        <v>60</v>
      </c>
      <c r="AA693" s="20" t="s">
        <v>491</v>
      </c>
    </row>
    <row r="694" spans="1:27" x14ac:dyDescent="0.2">
      <c r="A694" s="1">
        <v>46030</v>
      </c>
      <c r="B694" s="20" t="s">
        <v>324</v>
      </c>
      <c r="C694" s="20" t="s">
        <v>30</v>
      </c>
      <c r="D694" s="20" t="s">
        <v>29</v>
      </c>
      <c r="E694" s="20" t="s">
        <v>1154</v>
      </c>
      <c r="F694" s="20" t="s">
        <v>30</v>
      </c>
      <c r="G694" s="20">
        <v>2</v>
      </c>
      <c r="H694" s="20">
        <v>3</v>
      </c>
      <c r="I694" s="13">
        <v>0.6</v>
      </c>
      <c r="J694" s="20" t="s">
        <v>249</v>
      </c>
      <c r="L694" s="20" t="s">
        <v>60</v>
      </c>
      <c r="M694" s="20" t="s">
        <v>60</v>
      </c>
      <c r="N694" s="20" t="s">
        <v>30</v>
      </c>
      <c r="O694" s="20">
        <v>2</v>
      </c>
      <c r="P694" s="20">
        <v>3</v>
      </c>
      <c r="Q694" s="13">
        <v>0.6603736863899341</v>
      </c>
      <c r="R694" s="20" t="s">
        <v>249</v>
      </c>
      <c r="S694" s="20">
        <v>-1.0940845374455661</v>
      </c>
      <c r="T694" s="20" t="s">
        <v>60</v>
      </c>
      <c r="U694" s="20" t="s">
        <v>60</v>
      </c>
      <c r="V694" s="20"/>
      <c r="W694" s="20"/>
      <c r="X694" s="20" t="s">
        <v>60</v>
      </c>
      <c r="Y694" s="20" t="s">
        <v>412</v>
      </c>
      <c r="Z694" s="20" t="s">
        <v>60</v>
      </c>
      <c r="AA694" s="20" t="s">
        <v>491</v>
      </c>
    </row>
    <row r="695" spans="1:27" x14ac:dyDescent="0.2">
      <c r="A695" s="1">
        <v>46031</v>
      </c>
      <c r="B695" s="20" t="s">
        <v>324</v>
      </c>
      <c r="C695" s="20" t="s">
        <v>22</v>
      </c>
      <c r="D695" s="20" t="s">
        <v>10</v>
      </c>
      <c r="E695" s="20" t="s">
        <v>1155</v>
      </c>
      <c r="F695" s="20" t="s">
        <v>22</v>
      </c>
      <c r="G695" s="20">
        <v>2</v>
      </c>
      <c r="H695" s="20">
        <v>3</v>
      </c>
      <c r="I695" s="13">
        <v>0.6</v>
      </c>
      <c r="J695" s="20" t="s">
        <v>249</v>
      </c>
      <c r="L695" s="20" t="s">
        <v>60</v>
      </c>
      <c r="M695" s="20" t="s">
        <v>60</v>
      </c>
      <c r="N695" s="20" t="s">
        <v>22</v>
      </c>
      <c r="O695" s="20">
        <v>2</v>
      </c>
      <c r="P695" s="20">
        <v>3</v>
      </c>
      <c r="Q695" s="13">
        <v>0.5687185009689073</v>
      </c>
      <c r="R695" s="20" t="s">
        <v>249</v>
      </c>
      <c r="S695" s="20">
        <v>-0.56700273911490806</v>
      </c>
      <c r="T695" s="20" t="s">
        <v>60</v>
      </c>
      <c r="U695" s="20" t="s">
        <v>60</v>
      </c>
      <c r="V695" s="20"/>
      <c r="W695" s="20"/>
      <c r="X695" s="20" t="s">
        <v>60</v>
      </c>
      <c r="Y695" s="20" t="s">
        <v>412</v>
      </c>
      <c r="Z695" s="20" t="s">
        <v>60</v>
      </c>
      <c r="AA695" s="20" t="s">
        <v>491</v>
      </c>
    </row>
    <row r="696" spans="1:27" x14ac:dyDescent="0.2">
      <c r="A696" s="1">
        <v>46031</v>
      </c>
      <c r="B696" s="20" t="s">
        <v>326</v>
      </c>
      <c r="C696" s="20" t="s">
        <v>35</v>
      </c>
      <c r="D696" s="20" t="s">
        <v>55</v>
      </c>
      <c r="E696" s="20" t="s">
        <v>1156</v>
      </c>
      <c r="F696" s="20" t="s">
        <v>55</v>
      </c>
      <c r="G696" s="20">
        <v>2</v>
      </c>
      <c r="H696" s="20">
        <v>3</v>
      </c>
      <c r="I696" s="13">
        <v>0.6</v>
      </c>
      <c r="J696" s="20" t="s">
        <v>249</v>
      </c>
      <c r="L696" s="20" t="s">
        <v>60</v>
      </c>
      <c r="M696" s="20" t="s">
        <v>60</v>
      </c>
      <c r="N696" s="20" t="s">
        <v>55</v>
      </c>
      <c r="O696" s="20">
        <v>2</v>
      </c>
      <c r="P696" s="20">
        <v>3</v>
      </c>
      <c r="Q696" s="13">
        <v>0.7020131636538165</v>
      </c>
      <c r="R696" s="20" t="s">
        <v>249</v>
      </c>
      <c r="S696" s="20">
        <v>1.0412558318497021</v>
      </c>
      <c r="T696" s="20" t="s">
        <v>60</v>
      </c>
      <c r="U696" s="20" t="s">
        <v>60</v>
      </c>
      <c r="V696" s="20"/>
      <c r="W696" s="20"/>
      <c r="X696" s="20" t="s">
        <v>60</v>
      </c>
      <c r="Y696" s="20" t="s">
        <v>412</v>
      </c>
      <c r="Z696" s="20" t="s">
        <v>60</v>
      </c>
      <c r="AA696" s="20" t="s">
        <v>491</v>
      </c>
    </row>
    <row r="697" spans="1:27" x14ac:dyDescent="0.2">
      <c r="A697" s="1">
        <v>46031</v>
      </c>
      <c r="B697" s="20" t="s">
        <v>324</v>
      </c>
      <c r="C697" s="20" t="s">
        <v>13</v>
      </c>
      <c r="D697" s="20" t="s">
        <v>40</v>
      </c>
      <c r="E697" s="20" t="s">
        <v>543</v>
      </c>
      <c r="F697" s="20" t="s">
        <v>40</v>
      </c>
      <c r="G697" s="20">
        <v>2</v>
      </c>
      <c r="H697" s="20">
        <v>3</v>
      </c>
      <c r="I697" s="13">
        <v>0.6</v>
      </c>
      <c r="J697" s="20" t="s">
        <v>249</v>
      </c>
      <c r="L697" s="20" t="s">
        <v>60</v>
      </c>
      <c r="M697" s="20" t="s">
        <v>60</v>
      </c>
      <c r="N697" s="20" t="s">
        <v>40</v>
      </c>
      <c r="O697" s="20">
        <v>2</v>
      </c>
      <c r="P697" s="20">
        <v>3</v>
      </c>
      <c r="Q697" s="13">
        <v>0.48494112191888922</v>
      </c>
      <c r="R697" s="20" t="s">
        <v>249</v>
      </c>
      <c r="S697" s="20">
        <v>7.4942523817584594E-2</v>
      </c>
      <c r="T697" s="20" t="s">
        <v>60</v>
      </c>
      <c r="U697" s="20" t="s">
        <v>60</v>
      </c>
      <c r="V697" s="20"/>
      <c r="W697" s="20"/>
      <c r="X697" s="20" t="s">
        <v>60</v>
      </c>
      <c r="Y697" s="20" t="s">
        <v>412</v>
      </c>
      <c r="Z697" s="20" t="s">
        <v>60</v>
      </c>
      <c r="AA697" s="20" t="s">
        <v>491</v>
      </c>
    </row>
    <row r="698" spans="1:27" x14ac:dyDescent="0.2">
      <c r="A698" s="1">
        <v>46032</v>
      </c>
      <c r="B698" s="20" t="s">
        <v>322</v>
      </c>
      <c r="C698" s="20" t="s">
        <v>35</v>
      </c>
      <c r="D698" s="20" t="s">
        <v>20</v>
      </c>
      <c r="E698" s="20" t="s">
        <v>1157</v>
      </c>
      <c r="F698" s="20" t="s">
        <v>20</v>
      </c>
      <c r="G698" s="20">
        <v>2</v>
      </c>
      <c r="H698" s="20">
        <v>3</v>
      </c>
      <c r="I698" s="13">
        <v>0.6</v>
      </c>
      <c r="J698" s="20" t="s">
        <v>249</v>
      </c>
      <c r="L698" s="20" t="s">
        <v>60</v>
      </c>
      <c r="M698" s="20" t="s">
        <v>60</v>
      </c>
      <c r="N698" s="20" t="s">
        <v>20</v>
      </c>
      <c r="O698" s="20">
        <v>2</v>
      </c>
      <c r="P698" s="20">
        <v>3</v>
      </c>
      <c r="Q698" s="13">
        <v>0.68011050524694328</v>
      </c>
      <c r="R698" s="20" t="s">
        <v>249</v>
      </c>
      <c r="S698" s="20">
        <v>1.199938290550248</v>
      </c>
      <c r="T698" s="20" t="s">
        <v>60</v>
      </c>
      <c r="U698" s="20" t="s">
        <v>60</v>
      </c>
      <c r="V698" s="20"/>
      <c r="W698" s="20"/>
      <c r="X698" s="20" t="s">
        <v>60</v>
      </c>
      <c r="Y698" s="20" t="s">
        <v>412</v>
      </c>
      <c r="Z698" s="20" t="s">
        <v>60</v>
      </c>
      <c r="AA698" s="20" t="s">
        <v>491</v>
      </c>
    </row>
    <row r="699" spans="1:27" x14ac:dyDescent="0.2">
      <c r="A699" s="1">
        <v>46032</v>
      </c>
      <c r="B699" s="20" t="s">
        <v>328</v>
      </c>
      <c r="C699" s="20" t="s">
        <v>38</v>
      </c>
      <c r="D699" s="20" t="s">
        <v>19</v>
      </c>
      <c r="E699" s="20" t="s">
        <v>1158</v>
      </c>
      <c r="F699" s="20" t="s">
        <v>19</v>
      </c>
      <c r="G699" s="20">
        <v>2</v>
      </c>
      <c r="H699" s="20">
        <v>3</v>
      </c>
      <c r="I699" s="13">
        <v>0.6</v>
      </c>
      <c r="J699" s="20" t="s">
        <v>249</v>
      </c>
      <c r="L699" s="20" t="s">
        <v>60</v>
      </c>
      <c r="M699" s="20" t="s">
        <v>60</v>
      </c>
      <c r="N699" s="20" t="s">
        <v>19</v>
      </c>
      <c r="O699" s="20">
        <v>2</v>
      </c>
      <c r="P699" s="20">
        <v>3</v>
      </c>
      <c r="Q699" s="13">
        <v>0.57882111484131404</v>
      </c>
      <c r="R699" s="20" t="s">
        <v>249</v>
      </c>
      <c r="S699" s="20">
        <v>0.36309991271498598</v>
      </c>
      <c r="T699" s="20" t="s">
        <v>60</v>
      </c>
      <c r="U699" s="20" t="s">
        <v>60</v>
      </c>
      <c r="V699" s="20"/>
      <c r="W699" s="20"/>
      <c r="X699" s="20" t="s">
        <v>60</v>
      </c>
      <c r="Y699" s="20" t="s">
        <v>412</v>
      </c>
      <c r="Z699" s="20" t="s">
        <v>60</v>
      </c>
      <c r="AA699" s="20" t="s">
        <v>491</v>
      </c>
    </row>
    <row r="700" spans="1:27" x14ac:dyDescent="0.2">
      <c r="A700" s="1">
        <v>46032</v>
      </c>
      <c r="B700" s="20" t="s">
        <v>352</v>
      </c>
      <c r="C700" s="20" t="s">
        <v>16</v>
      </c>
      <c r="D700" s="20" t="s">
        <v>14</v>
      </c>
      <c r="E700" s="20" t="s">
        <v>1159</v>
      </c>
      <c r="F700" s="20" t="s">
        <v>14</v>
      </c>
      <c r="G700" s="20">
        <v>2</v>
      </c>
      <c r="H700" s="20">
        <v>3</v>
      </c>
      <c r="I700" s="13">
        <v>0.6</v>
      </c>
      <c r="J700" s="20" t="s">
        <v>249</v>
      </c>
      <c r="L700" s="20" t="s">
        <v>60</v>
      </c>
      <c r="M700" s="20" t="s">
        <v>60</v>
      </c>
      <c r="N700" s="20" t="s">
        <v>14</v>
      </c>
      <c r="O700" s="20">
        <v>2</v>
      </c>
      <c r="P700" s="20">
        <v>3</v>
      </c>
      <c r="Q700" s="13">
        <v>0.65366089551893103</v>
      </c>
      <c r="R700" s="20" t="s">
        <v>249</v>
      </c>
      <c r="S700" s="20">
        <v>0.97341780640229325</v>
      </c>
      <c r="T700" s="20" t="s">
        <v>60</v>
      </c>
      <c r="U700" s="20" t="s">
        <v>60</v>
      </c>
      <c r="V700" s="20"/>
      <c r="W700" s="20"/>
      <c r="X700" s="20" t="s">
        <v>60</v>
      </c>
      <c r="Y700" s="20" t="s">
        <v>412</v>
      </c>
      <c r="Z700" s="20" t="s">
        <v>60</v>
      </c>
      <c r="AA700" s="20" t="s">
        <v>491</v>
      </c>
    </row>
    <row r="701" spans="1:27" x14ac:dyDescent="0.2">
      <c r="A701" s="1">
        <v>46032</v>
      </c>
      <c r="B701" s="20" t="s">
        <v>328</v>
      </c>
      <c r="C701" s="20" t="s">
        <v>37</v>
      </c>
      <c r="D701" s="20" t="s">
        <v>27</v>
      </c>
      <c r="E701" s="20" t="s">
        <v>1160</v>
      </c>
      <c r="F701" s="20" t="s">
        <v>37</v>
      </c>
      <c r="G701" s="20">
        <v>2</v>
      </c>
      <c r="H701" s="20">
        <v>3</v>
      </c>
      <c r="I701" s="13">
        <v>0.6</v>
      </c>
      <c r="J701" s="20" t="s">
        <v>249</v>
      </c>
      <c r="L701" s="20" t="s">
        <v>60</v>
      </c>
      <c r="M701" s="20" t="s">
        <v>60</v>
      </c>
      <c r="N701" s="20" t="s">
        <v>37</v>
      </c>
      <c r="O701" s="20">
        <v>2</v>
      </c>
      <c r="P701" s="20">
        <v>3</v>
      </c>
      <c r="Q701" s="13">
        <v>0.636642459900289</v>
      </c>
      <c r="R701" s="20" t="s">
        <v>249</v>
      </c>
      <c r="S701" s="20">
        <v>-0.84084378132975779</v>
      </c>
      <c r="T701" s="20" t="s">
        <v>60</v>
      </c>
      <c r="U701" s="20" t="s">
        <v>60</v>
      </c>
      <c r="V701" s="20"/>
      <c r="W701" s="20"/>
      <c r="X701" s="20" t="s">
        <v>60</v>
      </c>
      <c r="Y701" s="20" t="s">
        <v>412</v>
      </c>
      <c r="Z701" s="20" t="s">
        <v>60</v>
      </c>
      <c r="AA701" s="20" t="s">
        <v>491</v>
      </c>
    </row>
    <row r="702" spans="1:27" x14ac:dyDescent="0.2">
      <c r="A702" s="1">
        <v>46032</v>
      </c>
      <c r="B702" s="20" t="s">
        <v>328</v>
      </c>
      <c r="C702" s="20" t="s">
        <v>11</v>
      </c>
      <c r="D702" s="20" t="s">
        <v>36</v>
      </c>
      <c r="E702" s="20" t="s">
        <v>1161</v>
      </c>
      <c r="F702" s="20" t="s">
        <v>11</v>
      </c>
      <c r="G702" s="20">
        <v>2</v>
      </c>
      <c r="H702" s="20">
        <v>3</v>
      </c>
      <c r="I702" s="13">
        <v>0.6</v>
      </c>
      <c r="J702" s="20" t="s">
        <v>249</v>
      </c>
      <c r="L702" s="20" t="s">
        <v>60</v>
      </c>
      <c r="M702" s="20" t="s">
        <v>60</v>
      </c>
      <c r="N702" s="20" t="s">
        <v>11</v>
      </c>
      <c r="O702" s="20">
        <v>2</v>
      </c>
      <c r="P702" s="20">
        <v>3</v>
      </c>
      <c r="Q702" s="13">
        <v>0.46735444683623861</v>
      </c>
      <c r="R702" s="20" t="s">
        <v>249</v>
      </c>
      <c r="S702" s="20">
        <v>-8.4357010877569583E-2</v>
      </c>
      <c r="T702" s="20" t="s">
        <v>60</v>
      </c>
      <c r="U702" s="20" t="s">
        <v>60</v>
      </c>
      <c r="V702" s="20"/>
      <c r="W702" s="20"/>
      <c r="X702" s="20" t="s">
        <v>60</v>
      </c>
      <c r="Y702" s="20" t="s">
        <v>412</v>
      </c>
      <c r="Z702" s="20" t="s">
        <v>60</v>
      </c>
      <c r="AA702" s="20" t="s">
        <v>491</v>
      </c>
    </row>
    <row r="703" spans="1:27" x14ac:dyDescent="0.2">
      <c r="A703" s="1">
        <v>46032</v>
      </c>
      <c r="B703" s="20" t="s">
        <v>324</v>
      </c>
      <c r="C703" s="20" t="s">
        <v>10</v>
      </c>
      <c r="D703" s="20" t="s">
        <v>29</v>
      </c>
      <c r="E703" s="20" t="s">
        <v>1162</v>
      </c>
      <c r="F703" s="20" t="s">
        <v>10</v>
      </c>
      <c r="G703" s="20">
        <v>2</v>
      </c>
      <c r="H703" s="20">
        <v>3</v>
      </c>
      <c r="I703" s="13">
        <v>0.6</v>
      </c>
      <c r="J703" s="20" t="s">
        <v>249</v>
      </c>
      <c r="L703" s="20" t="s">
        <v>60</v>
      </c>
      <c r="M703" s="20" t="s">
        <v>60</v>
      </c>
      <c r="N703" s="20" t="s">
        <v>10</v>
      </c>
      <c r="O703" s="20">
        <v>2</v>
      </c>
      <c r="P703" s="20">
        <v>3</v>
      </c>
      <c r="Q703" s="13">
        <v>0.59530937062195044</v>
      </c>
      <c r="R703" s="20" t="s">
        <v>249</v>
      </c>
      <c r="S703" s="20">
        <v>-1.1588202797025851</v>
      </c>
      <c r="T703" s="20" t="s">
        <v>60</v>
      </c>
      <c r="U703" s="20" t="s">
        <v>60</v>
      </c>
      <c r="V703" s="20"/>
      <c r="W703" s="20"/>
      <c r="X703" s="20" t="s">
        <v>60</v>
      </c>
      <c r="Y703" s="20" t="s">
        <v>412</v>
      </c>
      <c r="Z703" s="20" t="s">
        <v>60</v>
      </c>
      <c r="AA703" s="20" t="s">
        <v>491</v>
      </c>
    </row>
    <row r="704" spans="1:27" x14ac:dyDescent="0.2">
      <c r="A704" s="1">
        <v>46032</v>
      </c>
      <c r="B704" s="20" t="s">
        <v>369</v>
      </c>
      <c r="C704" s="20" t="s">
        <v>39</v>
      </c>
      <c r="D704" s="20" t="s">
        <v>33</v>
      </c>
      <c r="E704" s="20" t="s">
        <v>1025</v>
      </c>
      <c r="F704" s="20" t="s">
        <v>39</v>
      </c>
      <c r="G704" s="20">
        <v>2</v>
      </c>
      <c r="H704" s="20">
        <v>3</v>
      </c>
      <c r="I704" s="13">
        <v>0.6</v>
      </c>
      <c r="J704" s="20" t="s">
        <v>249</v>
      </c>
      <c r="L704" s="20" t="s">
        <v>60</v>
      </c>
      <c r="M704" s="20" t="s">
        <v>60</v>
      </c>
      <c r="N704" s="20" t="s">
        <v>39</v>
      </c>
      <c r="O704" s="20">
        <v>2</v>
      </c>
      <c r="P704" s="20">
        <v>3</v>
      </c>
      <c r="Q704" s="13">
        <v>0.64687255760983398</v>
      </c>
      <c r="R704" s="20" t="s">
        <v>249</v>
      </c>
      <c r="S704" s="20">
        <v>-0.81487274531420062</v>
      </c>
      <c r="T704" s="20" t="s">
        <v>60</v>
      </c>
      <c r="U704" s="20" t="s">
        <v>60</v>
      </c>
      <c r="V704" s="20"/>
      <c r="W704" s="20"/>
      <c r="X704" s="20" t="s">
        <v>60</v>
      </c>
      <c r="Y704" s="20" t="s">
        <v>412</v>
      </c>
      <c r="Z704" s="20" t="s">
        <v>60</v>
      </c>
      <c r="AA704" s="20" t="s">
        <v>491</v>
      </c>
    </row>
    <row r="705" spans="1:27" x14ac:dyDescent="0.2">
      <c r="A705" s="1">
        <v>46032</v>
      </c>
      <c r="B705" s="20" t="s">
        <v>324</v>
      </c>
      <c r="C705" s="20" t="s">
        <v>30</v>
      </c>
      <c r="D705" s="20" t="s">
        <v>34</v>
      </c>
      <c r="E705" s="20" t="s">
        <v>1163</v>
      </c>
      <c r="F705" s="20" t="s">
        <v>34</v>
      </c>
      <c r="G705" s="20">
        <v>2</v>
      </c>
      <c r="H705" s="20">
        <v>3</v>
      </c>
      <c r="I705" s="13">
        <v>0.6</v>
      </c>
      <c r="J705" s="20" t="s">
        <v>249</v>
      </c>
      <c r="L705" s="20" t="s">
        <v>60</v>
      </c>
      <c r="M705" s="20" t="s">
        <v>60</v>
      </c>
      <c r="N705" s="20" t="s">
        <v>34</v>
      </c>
      <c r="O705" s="20">
        <v>2</v>
      </c>
      <c r="P705" s="20">
        <v>3</v>
      </c>
      <c r="Q705" s="13">
        <v>0.49489921389666031</v>
      </c>
      <c r="R705" s="20" t="s">
        <v>249</v>
      </c>
      <c r="S705" s="20">
        <v>0.23570795891501631</v>
      </c>
      <c r="T705" s="20" t="s">
        <v>60</v>
      </c>
      <c r="U705" s="20" t="s">
        <v>60</v>
      </c>
      <c r="V705" s="20"/>
      <c r="W705" s="20"/>
      <c r="X705" s="20" t="s">
        <v>60</v>
      </c>
      <c r="Y705" s="20" t="s">
        <v>412</v>
      </c>
      <c r="Z705" s="20" t="s">
        <v>60</v>
      </c>
      <c r="AA705" s="20" t="s">
        <v>491</v>
      </c>
    </row>
    <row r="706" spans="1:27" x14ac:dyDescent="0.2">
      <c r="A706" s="1">
        <v>46032</v>
      </c>
      <c r="B706" s="20" t="s">
        <v>322</v>
      </c>
      <c r="C706" s="20" t="s">
        <v>13</v>
      </c>
      <c r="D706" s="20" t="s">
        <v>17</v>
      </c>
      <c r="E706" s="20" t="s">
        <v>1164</v>
      </c>
      <c r="F706" s="20" t="s">
        <v>13</v>
      </c>
      <c r="G706" s="20">
        <v>2</v>
      </c>
      <c r="H706" s="20">
        <v>3</v>
      </c>
      <c r="I706" s="13">
        <v>0.6</v>
      </c>
      <c r="J706" s="20" t="s">
        <v>249</v>
      </c>
      <c r="L706" s="20" t="s">
        <v>60</v>
      </c>
      <c r="M706" s="20" t="s">
        <v>60</v>
      </c>
      <c r="N706" s="20" t="s">
        <v>13</v>
      </c>
      <c r="O706" s="20">
        <v>2</v>
      </c>
      <c r="P706" s="20">
        <v>3</v>
      </c>
      <c r="Q706" s="13">
        <v>0.56938850958546594</v>
      </c>
      <c r="R706" s="20" t="s">
        <v>249</v>
      </c>
      <c r="S706" s="20">
        <v>-0.42956231663714561</v>
      </c>
      <c r="T706" s="20" t="s">
        <v>60</v>
      </c>
      <c r="U706" s="20" t="s">
        <v>60</v>
      </c>
      <c r="V706" s="20"/>
      <c r="W706" s="20"/>
      <c r="X706" s="20" t="s">
        <v>60</v>
      </c>
      <c r="Y706" s="20" t="s">
        <v>412</v>
      </c>
      <c r="Z706" s="20" t="s">
        <v>60</v>
      </c>
      <c r="AA706" s="20" t="s">
        <v>491</v>
      </c>
    </row>
    <row r="707" spans="1:27" x14ac:dyDescent="0.2">
      <c r="A707" s="1">
        <v>46032</v>
      </c>
      <c r="B707" s="20" t="s">
        <v>369</v>
      </c>
      <c r="C707" s="20" t="s">
        <v>28</v>
      </c>
      <c r="D707" s="20" t="s">
        <v>12</v>
      </c>
      <c r="E707" s="20" t="s">
        <v>1165</v>
      </c>
      <c r="F707" s="20" t="s">
        <v>12</v>
      </c>
      <c r="G707" s="20">
        <v>2</v>
      </c>
      <c r="H707" s="20">
        <v>3</v>
      </c>
      <c r="I707" s="13">
        <v>0.6</v>
      </c>
      <c r="J707" s="20" t="s">
        <v>249</v>
      </c>
      <c r="L707" s="20" t="s">
        <v>60</v>
      </c>
      <c r="M707" s="20" t="s">
        <v>60</v>
      </c>
      <c r="N707" s="20" t="s">
        <v>12</v>
      </c>
      <c r="O707" s="20">
        <v>2</v>
      </c>
      <c r="P707" s="20">
        <v>3</v>
      </c>
      <c r="Q707" s="13">
        <v>0.90687492162007277</v>
      </c>
      <c r="R707" s="20" t="s">
        <v>249</v>
      </c>
      <c r="S707" s="20">
        <v>2.2767938117006792</v>
      </c>
      <c r="T707" s="20" t="s">
        <v>60</v>
      </c>
      <c r="U707" s="20" t="s">
        <v>60</v>
      </c>
      <c r="V707" s="20"/>
      <c r="W707" s="20"/>
      <c r="X707" s="20" t="s">
        <v>60</v>
      </c>
      <c r="Y707" s="20" t="s">
        <v>412</v>
      </c>
      <c r="Z707" s="20" t="s">
        <v>60</v>
      </c>
      <c r="AA707" s="20" t="s">
        <v>491</v>
      </c>
    </row>
    <row r="708" spans="1:27" x14ac:dyDescent="0.2">
      <c r="A708" s="1">
        <v>46032</v>
      </c>
      <c r="B708" s="20" t="s">
        <v>328</v>
      </c>
      <c r="C708" s="20" t="s">
        <v>32</v>
      </c>
      <c r="D708" s="20" t="s">
        <v>25</v>
      </c>
      <c r="E708" s="20" t="s">
        <v>1166</v>
      </c>
      <c r="F708" s="20" t="s">
        <v>25</v>
      </c>
      <c r="G708" s="20">
        <v>2</v>
      </c>
      <c r="H708" s="20">
        <v>3</v>
      </c>
      <c r="I708" s="13">
        <v>0.6</v>
      </c>
      <c r="J708" s="20" t="s">
        <v>249</v>
      </c>
      <c r="L708" s="20" t="s">
        <v>60</v>
      </c>
      <c r="M708" s="20" t="s">
        <v>60</v>
      </c>
      <c r="N708" s="20" t="s">
        <v>25</v>
      </c>
      <c r="O708" s="20">
        <v>2</v>
      </c>
      <c r="P708" s="20">
        <v>3</v>
      </c>
      <c r="Q708" s="13">
        <v>0.72307085639305901</v>
      </c>
      <c r="R708" s="20" t="s">
        <v>249</v>
      </c>
      <c r="S708" s="20">
        <v>1.124953121529805</v>
      </c>
      <c r="T708" s="20" t="s">
        <v>60</v>
      </c>
      <c r="U708" s="20" t="s">
        <v>60</v>
      </c>
      <c r="V708" s="20"/>
      <c r="W708" s="20"/>
      <c r="X708" s="20" t="s">
        <v>60</v>
      </c>
      <c r="Y708" s="20" t="s">
        <v>412</v>
      </c>
      <c r="Z708" s="20" t="s">
        <v>60</v>
      </c>
      <c r="AA708" s="20" t="s">
        <v>491</v>
      </c>
    </row>
    <row r="709" spans="1:27" x14ac:dyDescent="0.2">
      <c r="A709" s="1">
        <v>46032</v>
      </c>
      <c r="B709" s="20" t="s">
        <v>328</v>
      </c>
      <c r="C709" s="20" t="s">
        <v>31</v>
      </c>
      <c r="D709" s="20" t="s">
        <v>23</v>
      </c>
      <c r="E709" s="20" t="s">
        <v>1167</v>
      </c>
      <c r="F709" s="20" t="s">
        <v>31</v>
      </c>
      <c r="G709" s="20">
        <v>2</v>
      </c>
      <c r="H709" s="20">
        <v>3</v>
      </c>
      <c r="I709" s="13">
        <v>0.6</v>
      </c>
      <c r="J709" s="20" t="s">
        <v>249</v>
      </c>
      <c r="L709" s="20" t="s">
        <v>60</v>
      </c>
      <c r="M709" s="20" t="s">
        <v>60</v>
      </c>
      <c r="N709" s="20" t="s">
        <v>31</v>
      </c>
      <c r="O709" s="20">
        <v>2</v>
      </c>
      <c r="P709" s="20">
        <v>3</v>
      </c>
      <c r="Q709" s="13">
        <v>0.54122072190417558</v>
      </c>
      <c r="R709" s="20" t="s">
        <v>249</v>
      </c>
      <c r="S709" s="20">
        <v>-0.60491270865669344</v>
      </c>
      <c r="T709" s="20" t="s">
        <v>60</v>
      </c>
      <c r="U709" s="20" t="s">
        <v>60</v>
      </c>
      <c r="V709" s="20"/>
      <c r="W709" s="20"/>
      <c r="X709" s="20" t="s">
        <v>60</v>
      </c>
      <c r="Y709" s="20" t="s">
        <v>412</v>
      </c>
      <c r="Z709" s="20" t="s">
        <v>60</v>
      </c>
      <c r="AA709" s="20" t="s">
        <v>491</v>
      </c>
    </row>
    <row r="710" spans="1:27" x14ac:dyDescent="0.2">
      <c r="A710" s="1">
        <v>46032</v>
      </c>
      <c r="B710" s="20" t="s">
        <v>347</v>
      </c>
      <c r="C710" s="20" t="s">
        <v>15</v>
      </c>
      <c r="D710" s="20" t="s">
        <v>21</v>
      </c>
      <c r="E710" s="20" t="s">
        <v>433</v>
      </c>
      <c r="F710" s="20" t="s">
        <v>21</v>
      </c>
      <c r="G710" s="20">
        <v>2</v>
      </c>
      <c r="H710" s="20">
        <v>3</v>
      </c>
      <c r="I710" s="13">
        <v>0.6</v>
      </c>
      <c r="J710" s="20" t="s">
        <v>249</v>
      </c>
      <c r="L710" s="20" t="s">
        <v>60</v>
      </c>
      <c r="M710" s="20" t="s">
        <v>60</v>
      </c>
      <c r="N710" s="20" t="s">
        <v>21</v>
      </c>
      <c r="O710" s="20">
        <v>2</v>
      </c>
      <c r="P710" s="20">
        <v>3</v>
      </c>
      <c r="Q710" s="13">
        <v>0.497252510611498</v>
      </c>
      <c r="R710" s="20" t="s">
        <v>249</v>
      </c>
      <c r="S710" s="20">
        <v>0.12016497295937351</v>
      </c>
      <c r="T710" s="20" t="s">
        <v>60</v>
      </c>
      <c r="U710" s="20" t="s">
        <v>60</v>
      </c>
      <c r="V710" s="20"/>
      <c r="W710" s="20"/>
      <c r="X710" s="20" t="s">
        <v>60</v>
      </c>
      <c r="Y710" s="20" t="s">
        <v>412</v>
      </c>
      <c r="Z710" s="20" t="s">
        <v>60</v>
      </c>
      <c r="AA710" s="20" t="s">
        <v>491</v>
      </c>
    </row>
    <row r="711" spans="1:27" x14ac:dyDescent="0.2">
      <c r="A711" s="1">
        <v>46032</v>
      </c>
      <c r="B711" s="20" t="s">
        <v>328</v>
      </c>
      <c r="C711" s="20" t="s">
        <v>26</v>
      </c>
      <c r="D711" s="20" t="s">
        <v>18</v>
      </c>
      <c r="E711" s="20" t="s">
        <v>1168</v>
      </c>
      <c r="F711" s="20" t="s">
        <v>18</v>
      </c>
      <c r="G711" s="20">
        <v>2</v>
      </c>
      <c r="H711" s="20">
        <v>3</v>
      </c>
      <c r="I711" s="13">
        <v>0.6</v>
      </c>
      <c r="J711" s="20" t="s">
        <v>249</v>
      </c>
      <c r="L711" s="20" t="s">
        <v>60</v>
      </c>
      <c r="M711" s="20" t="s">
        <v>60</v>
      </c>
      <c r="N711" s="20" t="s">
        <v>18</v>
      </c>
      <c r="O711" s="20">
        <v>2</v>
      </c>
      <c r="P711" s="20">
        <v>3</v>
      </c>
      <c r="Q711" s="13">
        <v>0.57880684769936808</v>
      </c>
      <c r="R711" s="20" t="s">
        <v>249</v>
      </c>
      <c r="S711" s="20">
        <v>0.33235068568164672</v>
      </c>
      <c r="T711" s="20" t="s">
        <v>60</v>
      </c>
      <c r="U711" s="20" t="s">
        <v>60</v>
      </c>
      <c r="V711" s="20"/>
      <c r="W711" s="20"/>
      <c r="X711" s="20" t="s">
        <v>60</v>
      </c>
      <c r="Y711" s="20" t="s">
        <v>412</v>
      </c>
      <c r="Z711" s="20" t="s">
        <v>60</v>
      </c>
      <c r="AA711" s="20" t="s">
        <v>491</v>
      </c>
    </row>
    <row r="712" spans="1:27" x14ac:dyDescent="0.2">
      <c r="A712" s="1">
        <v>46033</v>
      </c>
      <c r="B712" s="20" t="s">
        <v>365</v>
      </c>
      <c r="C712" s="20" t="s">
        <v>14</v>
      </c>
      <c r="D712" s="20" t="s">
        <v>21</v>
      </c>
      <c r="E712" s="20" t="s">
        <v>1169</v>
      </c>
      <c r="F712" s="20" t="s">
        <v>14</v>
      </c>
      <c r="G712" s="20">
        <v>2</v>
      </c>
      <c r="H712" s="20">
        <v>3</v>
      </c>
      <c r="I712" s="13">
        <v>0.6</v>
      </c>
      <c r="J712" s="20" t="s">
        <v>249</v>
      </c>
      <c r="L712" s="20" t="s">
        <v>60</v>
      </c>
      <c r="M712" s="20" t="s">
        <v>60</v>
      </c>
      <c r="N712" s="20" t="s">
        <v>14</v>
      </c>
      <c r="O712" s="20">
        <v>2</v>
      </c>
      <c r="P712" s="20">
        <v>3</v>
      </c>
      <c r="Q712" s="13">
        <v>0.45903722013371662</v>
      </c>
      <c r="R712" s="20" t="s">
        <v>249</v>
      </c>
      <c r="S712" s="20">
        <v>-2.7604789959079109E-2</v>
      </c>
      <c r="T712" s="20" t="s">
        <v>60</v>
      </c>
      <c r="U712" s="20" t="s">
        <v>60</v>
      </c>
      <c r="V712" s="20"/>
      <c r="W712" s="20"/>
      <c r="X712" s="20" t="s">
        <v>60</v>
      </c>
      <c r="Y712" s="20" t="s">
        <v>412</v>
      </c>
      <c r="Z712" s="20" t="s">
        <v>60</v>
      </c>
      <c r="AA712" s="20" t="s">
        <v>491</v>
      </c>
    </row>
    <row r="713" spans="1:27" x14ac:dyDescent="0.2">
      <c r="A713" s="1">
        <v>46033</v>
      </c>
      <c r="B713" s="20" t="s">
        <v>328</v>
      </c>
      <c r="C713" s="20" t="s">
        <v>22</v>
      </c>
      <c r="D713" s="20" t="s">
        <v>29</v>
      </c>
      <c r="E713" s="20" t="s">
        <v>1170</v>
      </c>
      <c r="F713" s="20" t="s">
        <v>22</v>
      </c>
      <c r="G713" s="20">
        <v>2</v>
      </c>
      <c r="H713" s="20">
        <v>3</v>
      </c>
      <c r="I713" s="13">
        <v>0.6</v>
      </c>
      <c r="J713" s="20" t="s">
        <v>249</v>
      </c>
      <c r="L713" s="20" t="s">
        <v>60</v>
      </c>
      <c r="M713" s="20" t="s">
        <v>60</v>
      </c>
      <c r="N713" s="20" t="s">
        <v>22</v>
      </c>
      <c r="O713" s="20">
        <v>2</v>
      </c>
      <c r="P713" s="20">
        <v>3</v>
      </c>
      <c r="Q713" s="13">
        <v>0.70985452051012765</v>
      </c>
      <c r="R713" s="20" t="s">
        <v>249</v>
      </c>
      <c r="S713" s="20">
        <v>-1.775723767740655</v>
      </c>
      <c r="T713" s="20" t="s">
        <v>60</v>
      </c>
      <c r="U713" s="20" t="s">
        <v>60</v>
      </c>
      <c r="V713" s="20"/>
      <c r="W713" s="20"/>
      <c r="X713" s="20" t="s">
        <v>60</v>
      </c>
      <c r="Y713" s="20" t="s">
        <v>412</v>
      </c>
      <c r="Z713" s="20" t="s">
        <v>60</v>
      </c>
      <c r="AA713" s="20" t="s">
        <v>491</v>
      </c>
    </row>
    <row r="714" spans="1:27" x14ac:dyDescent="0.2">
      <c r="A714" s="1">
        <v>46033</v>
      </c>
      <c r="B714" s="20" t="s">
        <v>324</v>
      </c>
      <c r="C714" s="20" t="s">
        <v>20</v>
      </c>
      <c r="D714" s="20" t="s">
        <v>33</v>
      </c>
      <c r="E714" s="20" t="s">
        <v>509</v>
      </c>
      <c r="F714" s="20" t="s">
        <v>20</v>
      </c>
      <c r="G714" s="20">
        <v>2</v>
      </c>
      <c r="H714" s="20">
        <v>3</v>
      </c>
      <c r="I714" s="13">
        <v>0.6</v>
      </c>
      <c r="J714" s="20" t="s">
        <v>249</v>
      </c>
      <c r="L714" s="20" t="s">
        <v>60</v>
      </c>
      <c r="M714" s="20" t="s">
        <v>60</v>
      </c>
      <c r="N714" s="20" t="s">
        <v>20</v>
      </c>
      <c r="O714" s="20">
        <v>2</v>
      </c>
      <c r="P714" s="20">
        <v>3</v>
      </c>
      <c r="Q714" s="13">
        <v>0.46820858159353201</v>
      </c>
      <c r="R714" s="20" t="s">
        <v>249</v>
      </c>
      <c r="S714" s="20">
        <v>-0.1569894131384445</v>
      </c>
      <c r="T714" s="20" t="s">
        <v>60</v>
      </c>
      <c r="U714" s="20" t="s">
        <v>60</v>
      </c>
      <c r="V714" s="20"/>
      <c r="W714" s="20"/>
      <c r="X714" s="20" t="s">
        <v>60</v>
      </c>
      <c r="Y714" s="20" t="s">
        <v>412</v>
      </c>
      <c r="Z714" s="20" t="s">
        <v>60</v>
      </c>
      <c r="AA714" s="20" t="s">
        <v>491</v>
      </c>
    </row>
    <row r="715" spans="1:27" x14ac:dyDescent="0.2">
      <c r="A715" s="1">
        <v>46033</v>
      </c>
      <c r="B715" s="20" t="s">
        <v>328</v>
      </c>
      <c r="C715" s="20" t="s">
        <v>28</v>
      </c>
      <c r="D715" s="20" t="s">
        <v>55</v>
      </c>
      <c r="E715" s="20" t="s">
        <v>1171</v>
      </c>
      <c r="F715" s="20" t="s">
        <v>55</v>
      </c>
      <c r="G715" s="20">
        <v>2</v>
      </c>
      <c r="H715" s="20">
        <v>3</v>
      </c>
      <c r="I715" s="13">
        <v>0.6</v>
      </c>
      <c r="J715" s="20" t="s">
        <v>249</v>
      </c>
      <c r="L715" s="20" t="s">
        <v>60</v>
      </c>
      <c r="M715" s="20" t="s">
        <v>60</v>
      </c>
      <c r="N715" s="20" t="s">
        <v>55</v>
      </c>
      <c r="O715" s="20">
        <v>2</v>
      </c>
      <c r="P715" s="20">
        <v>3</v>
      </c>
      <c r="Q715" s="13">
        <v>0.60515292654880748</v>
      </c>
      <c r="R715" s="20" t="s">
        <v>249</v>
      </c>
      <c r="S715" s="20">
        <v>0.24176686425252031</v>
      </c>
      <c r="T715" s="20" t="s">
        <v>60</v>
      </c>
      <c r="U715" s="20" t="s">
        <v>60</v>
      </c>
      <c r="V715" s="20"/>
      <c r="W715" s="20"/>
      <c r="X715" s="20" t="s">
        <v>60</v>
      </c>
      <c r="Y715" s="20" t="s">
        <v>412</v>
      </c>
      <c r="Z715" s="20" t="s">
        <v>60</v>
      </c>
      <c r="AA715" s="20" t="s">
        <v>491</v>
      </c>
    </row>
    <row r="716" spans="1:27" x14ac:dyDescent="0.2">
      <c r="A716" s="1">
        <v>46033</v>
      </c>
      <c r="B716" s="20" t="s">
        <v>459</v>
      </c>
      <c r="C716" s="20" t="s">
        <v>24</v>
      </c>
      <c r="D716" s="20" t="s">
        <v>40</v>
      </c>
      <c r="E716" s="20" t="s">
        <v>1172</v>
      </c>
      <c r="F716" s="20" t="s">
        <v>24</v>
      </c>
      <c r="G716" s="20">
        <v>2</v>
      </c>
      <c r="H716" s="20">
        <v>3</v>
      </c>
      <c r="I716" s="13">
        <v>0.6</v>
      </c>
      <c r="J716" s="20" t="s">
        <v>249</v>
      </c>
      <c r="L716" s="20" t="s">
        <v>60</v>
      </c>
      <c r="M716" s="20" t="s">
        <v>60</v>
      </c>
      <c r="N716" s="20" t="s">
        <v>24</v>
      </c>
      <c r="O716" s="20">
        <v>2</v>
      </c>
      <c r="P716" s="20">
        <v>3</v>
      </c>
      <c r="Q716" s="13">
        <v>0.5091885060536081</v>
      </c>
      <c r="R716" s="20" t="s">
        <v>249</v>
      </c>
      <c r="S716" s="20">
        <v>-0.26487132562423338</v>
      </c>
      <c r="T716" s="20" t="s">
        <v>60</v>
      </c>
      <c r="U716" s="20" t="s">
        <v>60</v>
      </c>
      <c r="V716" s="20"/>
      <c r="W716" s="20"/>
      <c r="X716" s="20" t="s">
        <v>60</v>
      </c>
      <c r="Y716" s="20" t="s">
        <v>412</v>
      </c>
      <c r="Z716" s="20" t="s">
        <v>60</v>
      </c>
      <c r="AA716" s="20" t="s">
        <v>491</v>
      </c>
    </row>
    <row r="717" spans="1:27" x14ac:dyDescent="0.2">
      <c r="A717" s="1">
        <v>46034</v>
      </c>
      <c r="B717" s="20" t="s">
        <v>328</v>
      </c>
      <c r="C717" s="20" t="s">
        <v>37</v>
      </c>
      <c r="D717" s="20" t="s">
        <v>27</v>
      </c>
      <c r="E717" s="20" t="s">
        <v>1160</v>
      </c>
      <c r="F717" s="20" t="s">
        <v>37</v>
      </c>
      <c r="G717" s="20">
        <v>2</v>
      </c>
      <c r="H717" s="20">
        <v>3</v>
      </c>
      <c r="I717" s="13">
        <v>0.6</v>
      </c>
      <c r="J717" s="20" t="s">
        <v>249</v>
      </c>
      <c r="L717" s="20" t="s">
        <v>60</v>
      </c>
      <c r="M717" s="20" t="s">
        <v>60</v>
      </c>
      <c r="N717" s="20" t="s">
        <v>37</v>
      </c>
      <c r="O717" s="20">
        <v>2</v>
      </c>
      <c r="P717" s="20">
        <v>3</v>
      </c>
      <c r="Q717" s="13">
        <v>0.636642459900289</v>
      </c>
      <c r="R717" s="20" t="s">
        <v>249</v>
      </c>
      <c r="S717" s="20">
        <v>-0.84084378132975779</v>
      </c>
      <c r="T717" s="20" t="s">
        <v>60</v>
      </c>
      <c r="U717" s="20" t="s">
        <v>60</v>
      </c>
      <c r="V717" s="20"/>
      <c r="W717" s="20"/>
      <c r="X717" s="20" t="s">
        <v>60</v>
      </c>
      <c r="Y717" s="20" t="s">
        <v>412</v>
      </c>
      <c r="Z717" s="20" t="s">
        <v>60</v>
      </c>
      <c r="AA717" s="20" t="s">
        <v>491</v>
      </c>
    </row>
    <row r="718" spans="1:27" x14ac:dyDescent="0.2">
      <c r="A718" s="1">
        <v>46034</v>
      </c>
      <c r="B718" s="20" t="s">
        <v>328</v>
      </c>
      <c r="C718" s="20" t="s">
        <v>32</v>
      </c>
      <c r="D718" s="20" t="s">
        <v>15</v>
      </c>
      <c r="E718" s="20" t="s">
        <v>1173</v>
      </c>
      <c r="F718" s="20" t="s">
        <v>15</v>
      </c>
      <c r="G718" s="20">
        <v>2</v>
      </c>
      <c r="H718" s="20">
        <v>3</v>
      </c>
      <c r="I718" s="13">
        <v>0.6</v>
      </c>
      <c r="J718" s="20" t="s">
        <v>249</v>
      </c>
      <c r="L718" s="20" t="s">
        <v>60</v>
      </c>
      <c r="M718" s="20" t="s">
        <v>60</v>
      </c>
      <c r="N718" s="20" t="s">
        <v>15</v>
      </c>
      <c r="O718" s="20">
        <v>2</v>
      </c>
      <c r="P718" s="20">
        <v>3</v>
      </c>
      <c r="Q718" s="13">
        <v>0.58778527697735061</v>
      </c>
      <c r="R718" s="20" t="s">
        <v>249</v>
      </c>
      <c r="S718" s="20">
        <v>0.40924399971730979</v>
      </c>
      <c r="T718" s="20" t="s">
        <v>60</v>
      </c>
      <c r="U718" s="20" t="s">
        <v>60</v>
      </c>
      <c r="V718" s="20"/>
      <c r="W718" s="20"/>
      <c r="X718" s="20" t="s">
        <v>60</v>
      </c>
      <c r="Y718" s="20" t="s">
        <v>412</v>
      </c>
      <c r="Z718" s="20" t="s">
        <v>60</v>
      </c>
      <c r="AA718" s="20" t="s">
        <v>491</v>
      </c>
    </row>
    <row r="719" spans="1:27" x14ac:dyDescent="0.2">
      <c r="A719" s="1">
        <v>46034</v>
      </c>
      <c r="B719" s="20" t="s">
        <v>334</v>
      </c>
      <c r="C719" s="20" t="s">
        <v>38</v>
      </c>
      <c r="D719" s="20" t="s">
        <v>18</v>
      </c>
      <c r="E719" s="20" t="s">
        <v>1174</v>
      </c>
      <c r="F719" s="20" t="s">
        <v>18</v>
      </c>
      <c r="G719" s="20">
        <v>2</v>
      </c>
      <c r="H719" s="20">
        <v>3</v>
      </c>
      <c r="I719" s="13">
        <v>0.6</v>
      </c>
      <c r="J719" s="20" t="s">
        <v>249</v>
      </c>
      <c r="L719" s="20" t="s">
        <v>60</v>
      </c>
      <c r="M719" s="20" t="s">
        <v>60</v>
      </c>
      <c r="N719" s="20" t="s">
        <v>18</v>
      </c>
      <c r="O719" s="20">
        <v>2</v>
      </c>
      <c r="P719" s="20">
        <v>3</v>
      </c>
      <c r="Q719" s="13">
        <v>0.58367724008612232</v>
      </c>
      <c r="R719" s="20" t="s">
        <v>249</v>
      </c>
      <c r="S719" s="20">
        <v>0.40468887576014129</v>
      </c>
      <c r="T719" s="20" t="s">
        <v>60</v>
      </c>
      <c r="U719" s="20" t="s">
        <v>60</v>
      </c>
      <c r="V719" s="20"/>
      <c r="W719" s="20"/>
      <c r="X719" s="20" t="s">
        <v>60</v>
      </c>
      <c r="Y719" s="20" t="s">
        <v>412</v>
      </c>
      <c r="Z719" s="20" t="s">
        <v>60</v>
      </c>
      <c r="AA719" s="20" t="s">
        <v>491</v>
      </c>
    </row>
    <row r="720" spans="1:27" x14ac:dyDescent="0.2">
      <c r="A720" s="1">
        <v>46034</v>
      </c>
      <c r="B720" s="20" t="s">
        <v>324</v>
      </c>
      <c r="C720" s="20" t="s">
        <v>24</v>
      </c>
      <c r="D720" s="20" t="s">
        <v>34</v>
      </c>
      <c r="E720" s="20" t="s">
        <v>1175</v>
      </c>
      <c r="F720" s="20" t="s">
        <v>24</v>
      </c>
      <c r="G720" s="20">
        <v>2</v>
      </c>
      <c r="H720" s="20">
        <v>3</v>
      </c>
      <c r="I720" s="13">
        <v>0.6</v>
      </c>
      <c r="J720" s="20" t="s">
        <v>249</v>
      </c>
      <c r="L720" s="20" t="s">
        <v>60</v>
      </c>
      <c r="M720" s="20" t="s">
        <v>60</v>
      </c>
      <c r="N720" s="20" t="s">
        <v>24</v>
      </c>
      <c r="O720" s="20">
        <v>2</v>
      </c>
      <c r="P720" s="20">
        <v>3</v>
      </c>
      <c r="Q720" s="13">
        <v>0.48155789373014102</v>
      </c>
      <c r="R720" s="20" t="s">
        <v>249</v>
      </c>
      <c r="S720" s="20">
        <v>-6.754289290920641E-3</v>
      </c>
      <c r="T720" s="20" t="s">
        <v>60</v>
      </c>
      <c r="U720" s="20" t="s">
        <v>60</v>
      </c>
      <c r="V720" s="20"/>
      <c r="W720" s="20"/>
      <c r="X720" s="20" t="s">
        <v>60</v>
      </c>
      <c r="Y720" s="20" t="s">
        <v>412</v>
      </c>
      <c r="Z720" s="20" t="s">
        <v>60</v>
      </c>
      <c r="AA720" s="20" t="s">
        <v>491</v>
      </c>
    </row>
    <row r="721" spans="1:27" x14ac:dyDescent="0.2">
      <c r="A721" s="1">
        <v>46034</v>
      </c>
      <c r="B721" s="20" t="s">
        <v>328</v>
      </c>
      <c r="C721" s="20" t="s">
        <v>11</v>
      </c>
      <c r="D721" s="20" t="s">
        <v>23</v>
      </c>
      <c r="E721" s="20" t="s">
        <v>593</v>
      </c>
      <c r="F721" s="20" t="s">
        <v>11</v>
      </c>
      <c r="G721" s="20">
        <v>2</v>
      </c>
      <c r="H721" s="20">
        <v>3</v>
      </c>
      <c r="I721" s="13">
        <v>0.6</v>
      </c>
      <c r="J721" s="20" t="s">
        <v>249</v>
      </c>
      <c r="L721" s="20" t="s">
        <v>60</v>
      </c>
      <c r="M721" s="20" t="s">
        <v>60</v>
      </c>
      <c r="N721" s="20" t="s">
        <v>11</v>
      </c>
      <c r="O721" s="20">
        <v>2</v>
      </c>
      <c r="P721" s="20">
        <v>3</v>
      </c>
      <c r="Q721" s="13">
        <v>0.45327460042380469</v>
      </c>
      <c r="R721" s="20" t="s">
        <v>249</v>
      </c>
      <c r="S721" s="20">
        <v>-2.9091395753320651E-2</v>
      </c>
      <c r="T721" s="20" t="s">
        <v>60</v>
      </c>
      <c r="U721" s="20" t="s">
        <v>60</v>
      </c>
      <c r="V721" s="20"/>
      <c r="W721" s="20"/>
      <c r="X721" s="20" t="s">
        <v>60</v>
      </c>
      <c r="Y721" s="20" t="s">
        <v>412</v>
      </c>
      <c r="Z721" s="20" t="s">
        <v>60</v>
      </c>
      <c r="AA721" s="20" t="s">
        <v>491</v>
      </c>
    </row>
    <row r="722" spans="1:27" x14ac:dyDescent="0.2">
      <c r="A722" s="1">
        <v>46034</v>
      </c>
      <c r="B722" s="20" t="s">
        <v>328</v>
      </c>
      <c r="C722" s="20" t="s">
        <v>25</v>
      </c>
      <c r="D722" s="20" t="s">
        <v>26</v>
      </c>
      <c r="E722" s="20" t="s">
        <v>1176</v>
      </c>
      <c r="F722" s="20" t="s">
        <v>25</v>
      </c>
      <c r="G722" s="20">
        <v>2</v>
      </c>
      <c r="H722" s="20">
        <v>3</v>
      </c>
      <c r="I722" s="13">
        <v>0.6</v>
      </c>
      <c r="J722" s="20" t="s">
        <v>249</v>
      </c>
      <c r="L722" s="20" t="s">
        <v>60</v>
      </c>
      <c r="M722" s="20" t="s">
        <v>60</v>
      </c>
      <c r="N722" s="20" t="s">
        <v>25</v>
      </c>
      <c r="O722" s="20">
        <v>2</v>
      </c>
      <c r="P722" s="20">
        <v>3</v>
      </c>
      <c r="Q722" s="13">
        <v>0.67870918829578719</v>
      </c>
      <c r="R722" s="20" t="s">
        <v>249</v>
      </c>
      <c r="S722" s="20">
        <v>-1.2511139534377</v>
      </c>
      <c r="T722" s="20" t="s">
        <v>60</v>
      </c>
      <c r="U722" s="20" t="s">
        <v>60</v>
      </c>
      <c r="V722" s="20"/>
      <c r="W722" s="20"/>
      <c r="X722" s="20" t="s">
        <v>60</v>
      </c>
      <c r="Y722" s="20" t="s">
        <v>412</v>
      </c>
      <c r="Z722" s="20" t="s">
        <v>60</v>
      </c>
      <c r="AA722" s="20" t="s">
        <v>491</v>
      </c>
    </row>
    <row r="723" spans="1:27" x14ac:dyDescent="0.2">
      <c r="A723" s="1">
        <v>46034</v>
      </c>
      <c r="B723" s="20" t="s">
        <v>322</v>
      </c>
      <c r="C723" s="20" t="s">
        <v>19</v>
      </c>
      <c r="D723" s="20" t="s">
        <v>12</v>
      </c>
      <c r="E723" s="20" t="s">
        <v>1177</v>
      </c>
      <c r="F723" s="20" t="s">
        <v>12</v>
      </c>
      <c r="G723" s="20">
        <v>2</v>
      </c>
      <c r="H723" s="20">
        <v>3</v>
      </c>
      <c r="I723" s="13">
        <v>0.6</v>
      </c>
      <c r="J723" s="20" t="s">
        <v>249</v>
      </c>
      <c r="L723" s="20" t="s">
        <v>60</v>
      </c>
      <c r="M723" s="20" t="s">
        <v>60</v>
      </c>
      <c r="N723" s="20" t="s">
        <v>12</v>
      </c>
      <c r="O723" s="20">
        <v>2</v>
      </c>
      <c r="P723" s="20">
        <v>3</v>
      </c>
      <c r="Q723" s="13">
        <v>0.91479012289901696</v>
      </c>
      <c r="R723" s="20" t="s">
        <v>249</v>
      </c>
      <c r="S723" s="20">
        <v>2.3162829986691191</v>
      </c>
      <c r="T723" s="20" t="s">
        <v>60</v>
      </c>
      <c r="U723" s="20" t="s">
        <v>60</v>
      </c>
      <c r="V723" s="20"/>
      <c r="W723" s="20"/>
      <c r="X723" s="20" t="s">
        <v>60</v>
      </c>
      <c r="Y723" s="20" t="s">
        <v>412</v>
      </c>
      <c r="Z723" s="20" t="s">
        <v>60</v>
      </c>
      <c r="AA723" s="20" t="s">
        <v>491</v>
      </c>
    </row>
    <row r="724" spans="1:27" x14ac:dyDescent="0.2">
      <c r="A724" s="1">
        <v>46034</v>
      </c>
      <c r="B724" s="20" t="s">
        <v>416</v>
      </c>
      <c r="C724" s="20" t="s">
        <v>17</v>
      </c>
      <c r="D724" s="20" t="s">
        <v>10</v>
      </c>
      <c r="E724" s="20" t="s">
        <v>1178</v>
      </c>
      <c r="F724" s="20" t="s">
        <v>10</v>
      </c>
      <c r="G724" s="20">
        <v>2</v>
      </c>
      <c r="H724" s="20">
        <v>3</v>
      </c>
      <c r="I724" s="13">
        <v>0.6</v>
      </c>
      <c r="J724" s="20" t="s">
        <v>249</v>
      </c>
      <c r="L724" s="20" t="s">
        <v>60</v>
      </c>
      <c r="M724" s="20" t="s">
        <v>60</v>
      </c>
      <c r="N724" s="20" t="s">
        <v>10</v>
      </c>
      <c r="O724" s="20">
        <v>2</v>
      </c>
      <c r="P724" s="20">
        <v>3</v>
      </c>
      <c r="Q724" s="13">
        <v>0.6207371277844862</v>
      </c>
      <c r="R724" s="20" t="s">
        <v>249</v>
      </c>
      <c r="S724" s="20">
        <v>0.69145115797637058</v>
      </c>
      <c r="T724" s="20" t="s">
        <v>60</v>
      </c>
      <c r="U724" s="20" t="s">
        <v>60</v>
      </c>
      <c r="V724" s="20"/>
      <c r="W724" s="20"/>
      <c r="X724" s="20" t="s">
        <v>60</v>
      </c>
      <c r="Y724" s="20" t="s">
        <v>412</v>
      </c>
      <c r="Z724" s="20" t="s">
        <v>60</v>
      </c>
      <c r="AA724" s="20" t="s">
        <v>491</v>
      </c>
    </row>
    <row r="725" spans="1:27" x14ac:dyDescent="0.2">
      <c r="A725" s="1">
        <v>46034</v>
      </c>
      <c r="B725" s="20" t="s">
        <v>322</v>
      </c>
      <c r="C725" s="20" t="s">
        <v>39</v>
      </c>
      <c r="D725" s="20" t="s">
        <v>13</v>
      </c>
      <c r="E725" s="20" t="s">
        <v>1179</v>
      </c>
      <c r="F725" s="20" t="s">
        <v>39</v>
      </c>
      <c r="G725" s="20">
        <v>2</v>
      </c>
      <c r="H725" s="20">
        <v>3</v>
      </c>
      <c r="I725" s="13">
        <v>0.6</v>
      </c>
      <c r="J725" s="20" t="s">
        <v>249</v>
      </c>
      <c r="L725" s="20" t="s">
        <v>60</v>
      </c>
      <c r="M725" s="20" t="s">
        <v>60</v>
      </c>
      <c r="N725" s="20" t="s">
        <v>39</v>
      </c>
      <c r="O725" s="20">
        <v>2</v>
      </c>
      <c r="P725" s="20">
        <v>3</v>
      </c>
      <c r="Q725" s="13">
        <v>0.64374622081227451</v>
      </c>
      <c r="R725" s="20" t="s">
        <v>249</v>
      </c>
      <c r="S725" s="20">
        <v>-0.70182535160917103</v>
      </c>
      <c r="T725" s="20" t="s">
        <v>60</v>
      </c>
      <c r="U725" s="20" t="s">
        <v>60</v>
      </c>
      <c r="V725" s="20"/>
      <c r="W725" s="20"/>
      <c r="X725" s="20" t="s">
        <v>60</v>
      </c>
      <c r="Y725" s="20" t="s">
        <v>412</v>
      </c>
      <c r="Z725" s="20" t="s">
        <v>60</v>
      </c>
      <c r="AA725" s="20" t="s">
        <v>491</v>
      </c>
    </row>
    <row r="726" spans="1:27" x14ac:dyDescent="0.2">
      <c r="A726" s="1">
        <v>46035</v>
      </c>
      <c r="B726" s="20" t="s">
        <v>334</v>
      </c>
      <c r="C726" s="20" t="s">
        <v>25</v>
      </c>
      <c r="D726" s="20" t="s">
        <v>35</v>
      </c>
      <c r="E726" s="20" t="s">
        <v>1180</v>
      </c>
      <c r="F726" s="20" t="s">
        <v>25</v>
      </c>
      <c r="G726" s="20">
        <v>2</v>
      </c>
      <c r="H726" s="20">
        <v>3</v>
      </c>
      <c r="I726" s="13">
        <v>0.6</v>
      </c>
      <c r="J726" s="20" t="s">
        <v>249</v>
      </c>
      <c r="L726" s="20" t="s">
        <v>60</v>
      </c>
      <c r="M726" s="20" t="s">
        <v>60</v>
      </c>
      <c r="N726" s="20" t="s">
        <v>25</v>
      </c>
      <c r="O726" s="20">
        <v>2</v>
      </c>
      <c r="P726" s="20">
        <v>3</v>
      </c>
      <c r="Q726" s="13">
        <v>0.73932630594511184</v>
      </c>
      <c r="R726" s="20" t="s">
        <v>249</v>
      </c>
      <c r="S726" s="20">
        <v>-1.7702527603531131</v>
      </c>
      <c r="T726" s="20" t="s">
        <v>60</v>
      </c>
      <c r="U726" s="20" t="s">
        <v>60</v>
      </c>
      <c r="V726" s="20"/>
      <c r="W726" s="20"/>
      <c r="X726" s="20" t="s">
        <v>60</v>
      </c>
      <c r="Y726" s="20" t="s">
        <v>412</v>
      </c>
      <c r="Z726" s="20" t="s">
        <v>60</v>
      </c>
      <c r="AA726" s="20" t="s">
        <v>491</v>
      </c>
    </row>
    <row r="727" spans="1:27" x14ac:dyDescent="0.2">
      <c r="A727" s="1">
        <v>46035</v>
      </c>
      <c r="B727" s="20" t="s">
        <v>328</v>
      </c>
      <c r="C727" s="20" t="s">
        <v>18</v>
      </c>
      <c r="D727" s="20" t="s">
        <v>22</v>
      </c>
      <c r="E727" s="20" t="s">
        <v>1181</v>
      </c>
      <c r="F727" s="20" t="s">
        <v>22</v>
      </c>
      <c r="G727" s="20">
        <v>2</v>
      </c>
      <c r="H727" s="20">
        <v>3</v>
      </c>
      <c r="I727" s="13">
        <v>0.6</v>
      </c>
      <c r="J727" s="20" t="s">
        <v>249</v>
      </c>
      <c r="L727" s="20" t="s">
        <v>60</v>
      </c>
      <c r="M727" s="20" t="s">
        <v>60</v>
      </c>
      <c r="N727" s="20" t="s">
        <v>22</v>
      </c>
      <c r="O727" s="20">
        <v>2</v>
      </c>
      <c r="P727" s="20">
        <v>3</v>
      </c>
      <c r="Q727" s="13">
        <v>0.63355659077796267</v>
      </c>
      <c r="R727" s="20" t="s">
        <v>249</v>
      </c>
      <c r="S727" s="20">
        <v>1.083497610050745</v>
      </c>
      <c r="T727" s="20" t="s">
        <v>60</v>
      </c>
      <c r="U727" s="20" t="s">
        <v>60</v>
      </c>
      <c r="V727" s="20"/>
      <c r="W727" s="20"/>
      <c r="X727" s="20" t="s">
        <v>60</v>
      </c>
      <c r="Y727" s="20" t="s">
        <v>412</v>
      </c>
      <c r="Z727" s="20" t="s">
        <v>60</v>
      </c>
      <c r="AA727" s="20" t="s">
        <v>491</v>
      </c>
    </row>
    <row r="728" spans="1:27" x14ac:dyDescent="0.2">
      <c r="A728" s="1">
        <v>46035</v>
      </c>
      <c r="B728" s="20" t="s">
        <v>324</v>
      </c>
      <c r="C728" s="20" t="s">
        <v>30</v>
      </c>
      <c r="D728" s="20" t="s">
        <v>40</v>
      </c>
      <c r="E728" s="20" t="s">
        <v>1182</v>
      </c>
      <c r="F728" s="20" t="s">
        <v>30</v>
      </c>
      <c r="G728" s="20">
        <v>2</v>
      </c>
      <c r="H728" s="20">
        <v>3</v>
      </c>
      <c r="I728" s="13">
        <v>0.6</v>
      </c>
      <c r="J728" s="20" t="s">
        <v>249</v>
      </c>
      <c r="L728" s="20" t="s">
        <v>60</v>
      </c>
      <c r="M728" s="20" t="s">
        <v>60</v>
      </c>
      <c r="N728" s="20" t="s">
        <v>30</v>
      </c>
      <c r="O728" s="20">
        <v>2</v>
      </c>
      <c r="P728" s="20">
        <v>3</v>
      </c>
      <c r="Q728" s="13">
        <v>0.53273707245067492</v>
      </c>
      <c r="R728" s="20" t="s">
        <v>249</v>
      </c>
      <c r="S728" s="20">
        <v>-2.2409077418296449E-2</v>
      </c>
      <c r="T728" s="20" t="s">
        <v>60</v>
      </c>
      <c r="U728" s="20" t="s">
        <v>60</v>
      </c>
      <c r="V728" s="20"/>
      <c r="W728" s="20"/>
      <c r="X728" s="20" t="s">
        <v>60</v>
      </c>
      <c r="Y728" s="20" t="s">
        <v>412</v>
      </c>
      <c r="Z728" s="20" t="s">
        <v>60</v>
      </c>
      <c r="AA728" s="20" t="s">
        <v>491</v>
      </c>
    </row>
    <row r="729" spans="1:27" x14ac:dyDescent="0.2">
      <c r="A729" s="1">
        <v>46035</v>
      </c>
      <c r="B729" s="20" t="s">
        <v>328</v>
      </c>
      <c r="C729" s="20" t="s">
        <v>37</v>
      </c>
      <c r="D729" s="20" t="s">
        <v>14</v>
      </c>
      <c r="E729" s="20" t="s">
        <v>1183</v>
      </c>
      <c r="F729" s="20" t="s">
        <v>37</v>
      </c>
      <c r="G729" s="20">
        <v>2</v>
      </c>
      <c r="H729" s="20">
        <v>3</v>
      </c>
      <c r="I729" s="13">
        <v>0.6</v>
      </c>
      <c r="J729" s="20" t="s">
        <v>249</v>
      </c>
      <c r="L729" s="20" t="s">
        <v>60</v>
      </c>
      <c r="M729" s="20" t="s">
        <v>60</v>
      </c>
      <c r="N729" s="20" t="s">
        <v>37</v>
      </c>
      <c r="O729" s="20">
        <v>2</v>
      </c>
      <c r="P729" s="20">
        <v>3</v>
      </c>
      <c r="Q729" s="13">
        <v>0.62287997351179447</v>
      </c>
      <c r="R729" s="20" t="s">
        <v>249</v>
      </c>
      <c r="S729" s="20">
        <v>-0.60286841938893188</v>
      </c>
      <c r="T729" s="20" t="s">
        <v>60</v>
      </c>
      <c r="U729" s="20" t="s">
        <v>60</v>
      </c>
      <c r="V729" s="20"/>
      <c r="W729" s="20"/>
      <c r="X729" s="20" t="s">
        <v>60</v>
      </c>
      <c r="Y729" s="20" t="s">
        <v>412</v>
      </c>
      <c r="Z729" s="20" t="s">
        <v>60</v>
      </c>
      <c r="AA729" s="20" t="s">
        <v>491</v>
      </c>
    </row>
    <row r="730" spans="1:27" x14ac:dyDescent="0.2">
      <c r="A730" s="1">
        <v>46035</v>
      </c>
      <c r="B730" s="20" t="s">
        <v>322</v>
      </c>
      <c r="C730" s="20" t="s">
        <v>19</v>
      </c>
      <c r="D730" s="20" t="s">
        <v>55</v>
      </c>
      <c r="E730" s="20" t="s">
        <v>1184</v>
      </c>
      <c r="F730" s="20" t="s">
        <v>55</v>
      </c>
      <c r="G730" s="20">
        <v>2</v>
      </c>
      <c r="H730" s="20">
        <v>3</v>
      </c>
      <c r="I730" s="13">
        <v>0.6</v>
      </c>
      <c r="J730" s="20" t="s">
        <v>249</v>
      </c>
      <c r="L730" s="20" t="s">
        <v>60</v>
      </c>
      <c r="M730" s="20" t="s">
        <v>60</v>
      </c>
      <c r="N730" s="20" t="s">
        <v>55</v>
      </c>
      <c r="O730" s="20">
        <v>2</v>
      </c>
      <c r="P730" s="20">
        <v>3</v>
      </c>
      <c r="Q730" s="13">
        <v>0.61327197246920206</v>
      </c>
      <c r="R730" s="20" t="s">
        <v>249</v>
      </c>
      <c r="S730" s="20">
        <v>0.28125605122096048</v>
      </c>
      <c r="T730" s="20" t="s">
        <v>60</v>
      </c>
      <c r="U730" s="20" t="s">
        <v>60</v>
      </c>
      <c r="V730" s="20"/>
      <c r="W730" s="20"/>
      <c r="X730" s="20" t="s">
        <v>60</v>
      </c>
      <c r="Y730" s="20" t="s">
        <v>412</v>
      </c>
      <c r="Z730" s="20" t="s">
        <v>60</v>
      </c>
      <c r="AA730" s="20" t="s">
        <v>491</v>
      </c>
    </row>
    <row r="731" spans="1:27" x14ac:dyDescent="0.2">
      <c r="A731" s="1">
        <v>46035</v>
      </c>
      <c r="B731" s="20" t="s">
        <v>324</v>
      </c>
      <c r="C731" s="20" t="s">
        <v>17</v>
      </c>
      <c r="D731" s="20" t="s">
        <v>29</v>
      </c>
      <c r="E731" s="20" t="s">
        <v>1185</v>
      </c>
      <c r="F731" s="20" t="s">
        <v>17</v>
      </c>
      <c r="G731" s="20">
        <v>2</v>
      </c>
      <c r="H731" s="20">
        <v>3</v>
      </c>
      <c r="I731" s="13">
        <v>0.6</v>
      </c>
      <c r="J731" s="20" t="s">
        <v>249</v>
      </c>
      <c r="L731" s="20" t="s">
        <v>60</v>
      </c>
      <c r="M731" s="20" t="s">
        <v>60</v>
      </c>
      <c r="N731" s="20" t="s">
        <v>17</v>
      </c>
      <c r="O731" s="20">
        <v>2</v>
      </c>
      <c r="P731" s="20">
        <v>3</v>
      </c>
      <c r="Q731" s="13">
        <v>0.52039889175673426</v>
      </c>
      <c r="R731" s="20" t="s">
        <v>249</v>
      </c>
      <c r="S731" s="20">
        <v>-0.5172698706493768</v>
      </c>
      <c r="T731" s="20" t="s">
        <v>60</v>
      </c>
      <c r="U731" s="20" t="s">
        <v>60</v>
      </c>
      <c r="V731" s="20"/>
      <c r="W731" s="20"/>
      <c r="X731" s="20" t="s">
        <v>60</v>
      </c>
      <c r="Y731" s="20" t="s">
        <v>412</v>
      </c>
      <c r="Z731" s="20" t="s">
        <v>60</v>
      </c>
      <c r="AA731" s="20" t="s">
        <v>491</v>
      </c>
    </row>
    <row r="732" spans="1:27" x14ac:dyDescent="0.2">
      <c r="A732" s="1">
        <v>46035</v>
      </c>
      <c r="B732" s="20" t="s">
        <v>328</v>
      </c>
      <c r="C732" s="20" t="s">
        <v>16</v>
      </c>
      <c r="D732" s="20" t="s">
        <v>28</v>
      </c>
      <c r="E732" s="20" t="s">
        <v>1186</v>
      </c>
      <c r="F732" s="20" t="s">
        <v>28</v>
      </c>
      <c r="G732" s="20">
        <v>2</v>
      </c>
      <c r="H732" s="20">
        <v>3</v>
      </c>
      <c r="I732" s="13">
        <v>0.6</v>
      </c>
      <c r="J732" s="20" t="s">
        <v>249</v>
      </c>
      <c r="L732" s="20" t="s">
        <v>60</v>
      </c>
      <c r="M732" s="20" t="s">
        <v>60</v>
      </c>
      <c r="N732" s="20" t="s">
        <v>28</v>
      </c>
      <c r="O732" s="20">
        <v>2</v>
      </c>
      <c r="P732" s="20">
        <v>3</v>
      </c>
      <c r="Q732" s="13">
        <v>0.60079854868196103</v>
      </c>
      <c r="R732" s="20" t="s">
        <v>249</v>
      </c>
      <c r="S732" s="20">
        <v>0.520692623617243</v>
      </c>
      <c r="T732" s="20" t="s">
        <v>60</v>
      </c>
      <c r="U732" s="20" t="s">
        <v>60</v>
      </c>
      <c r="V732" s="20"/>
      <c r="W732" s="20"/>
      <c r="X732" s="20" t="s">
        <v>60</v>
      </c>
      <c r="Y732" s="20" t="s">
        <v>412</v>
      </c>
      <c r="Z732" s="20" t="s">
        <v>60</v>
      </c>
      <c r="AA732" s="20" t="s">
        <v>491</v>
      </c>
    </row>
    <row r="733" spans="1:27" x14ac:dyDescent="0.2">
      <c r="A733" s="1">
        <v>46035</v>
      </c>
      <c r="B733" s="20" t="s">
        <v>328</v>
      </c>
      <c r="C733" s="20" t="s">
        <v>38</v>
      </c>
      <c r="D733" s="20" t="s">
        <v>36</v>
      </c>
      <c r="E733" s="20" t="s">
        <v>1187</v>
      </c>
      <c r="F733" s="20" t="s">
        <v>36</v>
      </c>
      <c r="G733" s="20">
        <v>2</v>
      </c>
      <c r="H733" s="20">
        <v>3</v>
      </c>
      <c r="I733" s="13">
        <v>0.6</v>
      </c>
      <c r="J733" s="20" t="s">
        <v>249</v>
      </c>
      <c r="L733" s="20" t="s">
        <v>60</v>
      </c>
      <c r="M733" s="20" t="s">
        <v>60</v>
      </c>
      <c r="N733" s="20" t="s">
        <v>36</v>
      </c>
      <c r="O733" s="20">
        <v>2</v>
      </c>
      <c r="P733" s="20">
        <v>3</v>
      </c>
      <c r="Q733" s="13">
        <v>0.5933581727532482</v>
      </c>
      <c r="R733" s="20" t="s">
        <v>249</v>
      </c>
      <c r="S733" s="20">
        <v>0.46620245316912801</v>
      </c>
      <c r="T733" s="20" t="s">
        <v>60</v>
      </c>
      <c r="U733" s="20" t="s">
        <v>60</v>
      </c>
      <c r="V733" s="20"/>
      <c r="W733" s="20"/>
      <c r="X733" s="20" t="s">
        <v>60</v>
      </c>
      <c r="Y733" s="20" t="s">
        <v>412</v>
      </c>
      <c r="Z733" s="20" t="s">
        <v>60</v>
      </c>
      <c r="AA733" s="20" t="s">
        <v>491</v>
      </c>
    </row>
    <row r="734" spans="1:27" x14ac:dyDescent="0.2">
      <c r="A734" s="1">
        <v>46035</v>
      </c>
      <c r="B734" s="20" t="s">
        <v>334</v>
      </c>
      <c r="C734" s="20" t="s">
        <v>26</v>
      </c>
      <c r="D734" s="20" t="s">
        <v>21</v>
      </c>
      <c r="E734" s="20" t="s">
        <v>452</v>
      </c>
      <c r="F734" s="20" t="s">
        <v>21</v>
      </c>
      <c r="G734" s="20">
        <v>2</v>
      </c>
      <c r="H734" s="20">
        <v>3</v>
      </c>
      <c r="I734" s="13">
        <v>0.6</v>
      </c>
      <c r="J734" s="20" t="s">
        <v>249</v>
      </c>
      <c r="L734" s="20" t="s">
        <v>60</v>
      </c>
      <c r="M734" s="20" t="s">
        <v>60</v>
      </c>
      <c r="N734" s="20" t="s">
        <v>21</v>
      </c>
      <c r="O734" s="20">
        <v>2</v>
      </c>
      <c r="P734" s="20">
        <v>3</v>
      </c>
      <c r="Q734" s="13">
        <v>0.66527565352842921</v>
      </c>
      <c r="R734" s="20" t="s">
        <v>249</v>
      </c>
      <c r="S734" s="20">
        <v>0.70547055350774035</v>
      </c>
      <c r="T734" s="20" t="s">
        <v>60</v>
      </c>
      <c r="U734" s="20" t="s">
        <v>60</v>
      </c>
      <c r="V734" s="20"/>
      <c r="W734" s="20"/>
      <c r="X734" s="20" t="s">
        <v>60</v>
      </c>
      <c r="Y734" s="20" t="s">
        <v>412</v>
      </c>
      <c r="Z734" s="20" t="s">
        <v>60</v>
      </c>
      <c r="AA734" s="20" t="s">
        <v>491</v>
      </c>
    </row>
    <row r="735" spans="1:27" x14ac:dyDescent="0.2">
      <c r="A735" s="1">
        <v>46035</v>
      </c>
      <c r="B735" s="20" t="s">
        <v>322</v>
      </c>
      <c r="C735" s="20" t="s">
        <v>39</v>
      </c>
      <c r="D735" s="20" t="s">
        <v>31</v>
      </c>
      <c r="E735" s="20" t="s">
        <v>1032</v>
      </c>
      <c r="F735" s="20" t="s">
        <v>39</v>
      </c>
      <c r="G735" s="20">
        <v>2</v>
      </c>
      <c r="H735" s="20">
        <v>3</v>
      </c>
      <c r="I735" s="13">
        <v>0.6</v>
      </c>
      <c r="J735" s="20" t="s">
        <v>249</v>
      </c>
      <c r="L735" s="20" t="s">
        <v>60</v>
      </c>
      <c r="M735" s="20" t="s">
        <v>60</v>
      </c>
      <c r="N735" s="20" t="s">
        <v>39</v>
      </c>
      <c r="O735" s="20">
        <v>2</v>
      </c>
      <c r="P735" s="20">
        <v>3</v>
      </c>
      <c r="Q735" s="13">
        <v>0.50158264988004087</v>
      </c>
      <c r="R735" s="20" t="s">
        <v>249</v>
      </c>
      <c r="S735" s="20">
        <v>-0.184838731092691</v>
      </c>
      <c r="T735" s="20" t="s">
        <v>60</v>
      </c>
      <c r="U735" s="20" t="s">
        <v>60</v>
      </c>
      <c r="V735" s="20"/>
      <c r="W735" s="20"/>
      <c r="X735" s="20" t="s">
        <v>60</v>
      </c>
      <c r="Y735" s="20" t="s">
        <v>412</v>
      </c>
      <c r="Z735" s="20" t="s">
        <v>60</v>
      </c>
      <c r="AA735" s="20" t="s">
        <v>491</v>
      </c>
    </row>
    <row r="736" spans="1:27" x14ac:dyDescent="0.2">
      <c r="A736" s="1">
        <v>46036</v>
      </c>
      <c r="B736" s="20" t="s">
        <v>334</v>
      </c>
      <c r="C736" s="20" t="s">
        <v>27</v>
      </c>
      <c r="D736" s="20" t="s">
        <v>23</v>
      </c>
      <c r="E736" s="20" t="s">
        <v>1029</v>
      </c>
      <c r="F736" s="20" t="s">
        <v>27</v>
      </c>
      <c r="G736" s="20">
        <v>2</v>
      </c>
      <c r="H736" s="20">
        <v>3</v>
      </c>
      <c r="I736" s="13">
        <v>0.6</v>
      </c>
      <c r="J736" s="20" t="s">
        <v>249</v>
      </c>
      <c r="L736" s="20" t="s">
        <v>60</v>
      </c>
      <c r="M736" s="20" t="s">
        <v>60</v>
      </c>
      <c r="N736" s="20" t="s">
        <v>27</v>
      </c>
      <c r="O736" s="20">
        <v>2</v>
      </c>
      <c r="P736" s="20">
        <v>3</v>
      </c>
      <c r="Q736" s="13">
        <v>0.49767538033956632</v>
      </c>
      <c r="R736" s="20" t="s">
        <v>249</v>
      </c>
      <c r="S736" s="20">
        <v>-4.5970103311111177E-2</v>
      </c>
      <c r="T736" s="20" t="s">
        <v>60</v>
      </c>
      <c r="U736" s="20" t="s">
        <v>60</v>
      </c>
      <c r="V736" s="20"/>
      <c r="W736" s="20"/>
      <c r="X736" s="20" t="s">
        <v>60</v>
      </c>
      <c r="Y736" s="20" t="s">
        <v>412</v>
      </c>
      <c r="Z736" s="20" t="s">
        <v>60</v>
      </c>
      <c r="AA736" s="20" t="s">
        <v>491</v>
      </c>
    </row>
    <row r="737" spans="1:27" x14ac:dyDescent="0.2">
      <c r="A737" s="1">
        <v>46036</v>
      </c>
      <c r="B737" s="20" t="s">
        <v>322</v>
      </c>
      <c r="C737" s="20" t="s">
        <v>20</v>
      </c>
      <c r="D737" s="20" t="s">
        <v>13</v>
      </c>
      <c r="E737" s="20" t="s">
        <v>1188</v>
      </c>
      <c r="F737" s="20" t="s">
        <v>20</v>
      </c>
      <c r="G737" s="20">
        <v>2</v>
      </c>
      <c r="H737" s="20">
        <v>3</v>
      </c>
      <c r="I737" s="13">
        <v>0.6</v>
      </c>
      <c r="J737" s="20" t="s">
        <v>249</v>
      </c>
      <c r="L737" s="20" t="s">
        <v>60</v>
      </c>
      <c r="M737" s="20" t="s">
        <v>60</v>
      </c>
      <c r="N737" s="20" t="s">
        <v>20</v>
      </c>
      <c r="O737" s="20">
        <v>2</v>
      </c>
      <c r="P737" s="20">
        <v>3</v>
      </c>
      <c r="Q737" s="13">
        <v>0.46513087930677133</v>
      </c>
      <c r="R737" s="20" t="s">
        <v>249</v>
      </c>
      <c r="S737" s="20">
        <v>-4.3942019433414782E-2</v>
      </c>
      <c r="T737" s="20" t="s">
        <v>60</v>
      </c>
      <c r="U737" s="20" t="s">
        <v>60</v>
      </c>
      <c r="V737" s="20"/>
      <c r="W737" s="20"/>
      <c r="X737" s="20" t="s">
        <v>60</v>
      </c>
      <c r="Y737" s="20" t="s">
        <v>412</v>
      </c>
      <c r="Z737" s="20" t="s">
        <v>60</v>
      </c>
      <c r="AA737" s="20" t="s">
        <v>491</v>
      </c>
    </row>
    <row r="738" spans="1:27" x14ac:dyDescent="0.2">
      <c r="A738" s="1">
        <v>46036</v>
      </c>
      <c r="B738" s="20" t="s">
        <v>328</v>
      </c>
      <c r="C738" s="20" t="s">
        <v>32</v>
      </c>
      <c r="D738" s="20" t="s">
        <v>24</v>
      </c>
      <c r="E738" s="20" t="s">
        <v>1189</v>
      </c>
      <c r="F738" s="20" t="s">
        <v>24</v>
      </c>
      <c r="G738" s="20">
        <v>2</v>
      </c>
      <c r="H738" s="20">
        <v>3</v>
      </c>
      <c r="I738" s="13">
        <v>0.6</v>
      </c>
      <c r="J738" s="20" t="s">
        <v>249</v>
      </c>
      <c r="L738" s="20" t="s">
        <v>60</v>
      </c>
      <c r="M738" s="20" t="s">
        <v>60</v>
      </c>
      <c r="N738" s="20" t="s">
        <v>24</v>
      </c>
      <c r="O738" s="20">
        <v>2</v>
      </c>
      <c r="P738" s="20">
        <v>3</v>
      </c>
      <c r="Q738" s="13">
        <v>0.70166441536741031</v>
      </c>
      <c r="R738" s="20" t="s">
        <v>249</v>
      </c>
      <c r="S738" s="20">
        <v>0.70080823496585676</v>
      </c>
      <c r="T738" s="20" t="s">
        <v>60</v>
      </c>
      <c r="U738" s="20" t="s">
        <v>60</v>
      </c>
      <c r="V738" s="20"/>
      <c r="W738" s="20"/>
      <c r="X738" s="20" t="s">
        <v>60</v>
      </c>
      <c r="Y738" s="20" t="s">
        <v>412</v>
      </c>
      <c r="Z738" s="20" t="s">
        <v>60</v>
      </c>
      <c r="AA738" s="20" t="s">
        <v>491</v>
      </c>
    </row>
    <row r="739" spans="1:27" x14ac:dyDescent="0.2">
      <c r="A739" s="1">
        <v>46036</v>
      </c>
      <c r="B739" s="20" t="s">
        <v>334</v>
      </c>
      <c r="C739" s="20" t="s">
        <v>36</v>
      </c>
      <c r="D739" s="20" t="s">
        <v>15</v>
      </c>
      <c r="E739" s="20" t="s">
        <v>1190</v>
      </c>
      <c r="F739" s="20" t="s">
        <v>15</v>
      </c>
      <c r="G739" s="20">
        <v>2</v>
      </c>
      <c r="H739" s="20">
        <v>3</v>
      </c>
      <c r="I739" s="13">
        <v>0.6</v>
      </c>
      <c r="J739" s="20" t="s">
        <v>249</v>
      </c>
      <c r="L739" s="20" t="s">
        <v>60</v>
      </c>
      <c r="M739" s="20" t="s">
        <v>60</v>
      </c>
      <c r="N739" s="20" t="s">
        <v>15</v>
      </c>
      <c r="O739" s="20">
        <v>2</v>
      </c>
      <c r="P739" s="20">
        <v>3</v>
      </c>
      <c r="Q739" s="13">
        <v>0.57400689712391928</v>
      </c>
      <c r="R739" s="20" t="s">
        <v>249</v>
      </c>
      <c r="S739" s="20">
        <v>0.29124281530405849</v>
      </c>
      <c r="T739" s="20" t="s">
        <v>60</v>
      </c>
      <c r="U739" s="20" t="s">
        <v>60</v>
      </c>
      <c r="V739" s="20"/>
      <c r="W739" s="20"/>
      <c r="X739" s="20" t="s">
        <v>60</v>
      </c>
      <c r="Y739" s="20" t="s">
        <v>412</v>
      </c>
      <c r="Z739" s="20" t="s">
        <v>60</v>
      </c>
      <c r="AA739" s="20" t="s">
        <v>491</v>
      </c>
    </row>
    <row r="740" spans="1:27" x14ac:dyDescent="0.2">
      <c r="A740" s="1">
        <v>46037</v>
      </c>
      <c r="B740" s="20" t="s">
        <v>328</v>
      </c>
      <c r="C740" s="20" t="s">
        <v>33</v>
      </c>
      <c r="D740" s="20" t="s">
        <v>22</v>
      </c>
      <c r="E740" s="20" t="s">
        <v>1191</v>
      </c>
      <c r="F740" s="20" t="s">
        <v>22</v>
      </c>
      <c r="G740" s="20">
        <v>2</v>
      </c>
      <c r="H740" s="20">
        <v>3</v>
      </c>
      <c r="I740" s="13">
        <v>0.6</v>
      </c>
      <c r="J740" s="20" t="s">
        <v>249</v>
      </c>
      <c r="L740" s="20" t="s">
        <v>60</v>
      </c>
      <c r="M740" s="20" t="s">
        <v>60</v>
      </c>
      <c r="N740" s="20" t="s">
        <v>22</v>
      </c>
      <c r="O740" s="20">
        <v>2</v>
      </c>
      <c r="P740" s="20">
        <v>3</v>
      </c>
      <c r="Q740" s="13">
        <v>0.67602301310919677</v>
      </c>
      <c r="R740" s="20" t="s">
        <v>249</v>
      </c>
      <c r="S740" s="20">
        <v>0.94193897415916283</v>
      </c>
      <c r="T740" s="20" t="s">
        <v>60</v>
      </c>
      <c r="U740" s="20" t="s">
        <v>60</v>
      </c>
      <c r="V740" s="20"/>
      <c r="W740" s="20"/>
      <c r="X740" s="20" t="s">
        <v>60</v>
      </c>
      <c r="Y740" s="20" t="s">
        <v>412</v>
      </c>
      <c r="Z740" s="20" t="s">
        <v>60</v>
      </c>
      <c r="AA740" s="20" t="s">
        <v>491</v>
      </c>
    </row>
    <row r="741" spans="1:27" x14ac:dyDescent="0.2">
      <c r="A741" s="1">
        <v>46037</v>
      </c>
      <c r="B741" s="20" t="s">
        <v>426</v>
      </c>
      <c r="C741" s="20" t="s">
        <v>19</v>
      </c>
      <c r="D741" s="20" t="s">
        <v>20</v>
      </c>
      <c r="E741" s="20" t="s">
        <v>1192</v>
      </c>
      <c r="F741" s="20" t="s">
        <v>20</v>
      </c>
      <c r="G741" s="20">
        <v>2</v>
      </c>
      <c r="H741" s="20">
        <v>3</v>
      </c>
      <c r="I741" s="13">
        <v>0.6</v>
      </c>
      <c r="J741" s="20" t="s">
        <v>249</v>
      </c>
      <c r="L741" s="20" t="s">
        <v>60</v>
      </c>
      <c r="M741" s="20" t="s">
        <v>60</v>
      </c>
      <c r="N741" s="20" t="s">
        <v>20</v>
      </c>
      <c r="O741" s="20">
        <v>2</v>
      </c>
      <c r="P741" s="20">
        <v>3</v>
      </c>
      <c r="Q741" s="13">
        <v>0.59136931406232884</v>
      </c>
      <c r="R741" s="20" t="s">
        <v>249</v>
      </c>
      <c r="S741" s="20">
        <v>0.43993850992150663</v>
      </c>
      <c r="T741" s="20" t="s">
        <v>60</v>
      </c>
      <c r="U741" s="20" t="s">
        <v>60</v>
      </c>
      <c r="V741" s="20"/>
      <c r="W741" s="20"/>
      <c r="X741" s="20" t="s">
        <v>60</v>
      </c>
      <c r="Y741" s="20" t="s">
        <v>412</v>
      </c>
      <c r="Z741" s="20" t="s">
        <v>60</v>
      </c>
      <c r="AA741" s="20" t="s">
        <v>491</v>
      </c>
    </row>
    <row r="742" spans="1:27" x14ac:dyDescent="0.2">
      <c r="A742" s="1">
        <v>46037</v>
      </c>
      <c r="B742" s="20" t="s">
        <v>326</v>
      </c>
      <c r="C742" s="20" t="s">
        <v>39</v>
      </c>
      <c r="D742" s="20" t="s">
        <v>55</v>
      </c>
      <c r="E742" s="20" t="s">
        <v>1193</v>
      </c>
      <c r="F742" s="20" t="s">
        <v>39</v>
      </c>
      <c r="G742" s="20">
        <v>2</v>
      </c>
      <c r="H742" s="20">
        <v>3</v>
      </c>
      <c r="I742" s="13">
        <v>0.6</v>
      </c>
      <c r="J742" s="20" t="s">
        <v>249</v>
      </c>
      <c r="L742" s="20" t="s">
        <v>60</v>
      </c>
      <c r="M742" s="20" t="s">
        <v>60</v>
      </c>
      <c r="N742" s="20" t="s">
        <v>39</v>
      </c>
      <c r="O742" s="20">
        <v>2</v>
      </c>
      <c r="P742" s="20">
        <v>3</v>
      </c>
      <c r="Q742" s="13">
        <v>0.61057209039542149</v>
      </c>
      <c r="R742" s="20" t="s">
        <v>249</v>
      </c>
      <c r="S742" s="20">
        <v>-0.76666504195313978</v>
      </c>
      <c r="T742" s="20" t="s">
        <v>60</v>
      </c>
      <c r="U742" s="20" t="s">
        <v>60</v>
      </c>
      <c r="V742" s="20"/>
      <c r="W742" s="20"/>
      <c r="X742" s="20" t="s">
        <v>60</v>
      </c>
      <c r="Y742" s="20" t="s">
        <v>412</v>
      </c>
      <c r="Z742" s="20" t="s">
        <v>60</v>
      </c>
      <c r="AA742" s="20" t="s">
        <v>491</v>
      </c>
    </row>
    <row r="743" spans="1:27" x14ac:dyDescent="0.2">
      <c r="A743" s="1">
        <v>46037</v>
      </c>
      <c r="B743" s="20" t="s">
        <v>328</v>
      </c>
      <c r="C743" s="20" t="s">
        <v>27</v>
      </c>
      <c r="D743" s="20" t="s">
        <v>14</v>
      </c>
      <c r="E743" s="20" t="s">
        <v>1194</v>
      </c>
      <c r="F743" s="20" t="s">
        <v>14</v>
      </c>
      <c r="G743" s="20">
        <v>2</v>
      </c>
      <c r="H743" s="20">
        <v>3</v>
      </c>
      <c r="I743" s="13">
        <v>0.6</v>
      </c>
      <c r="J743" s="20" t="s">
        <v>249</v>
      </c>
      <c r="L743" s="20" t="s">
        <v>60</v>
      </c>
      <c r="M743" s="20" t="s">
        <v>60</v>
      </c>
      <c r="N743" s="20" t="s">
        <v>14</v>
      </c>
      <c r="O743" s="20">
        <v>2</v>
      </c>
      <c r="P743" s="20">
        <v>3</v>
      </c>
      <c r="Q743" s="13">
        <v>0.53110122187745956</v>
      </c>
      <c r="R743" s="20" t="s">
        <v>249</v>
      </c>
      <c r="S743" s="20">
        <v>0.28787611086398851</v>
      </c>
      <c r="T743" s="20" t="s">
        <v>60</v>
      </c>
      <c r="U743" s="20" t="s">
        <v>60</v>
      </c>
      <c r="V743" s="20"/>
      <c r="W743" s="20"/>
      <c r="X743" s="20" t="s">
        <v>60</v>
      </c>
      <c r="Y743" s="20" t="s">
        <v>412</v>
      </c>
      <c r="Z743" s="20" t="s">
        <v>60</v>
      </c>
      <c r="AA743" s="20" t="s">
        <v>491</v>
      </c>
    </row>
    <row r="744" spans="1:27" x14ac:dyDescent="0.2">
      <c r="A744" s="1">
        <v>46037</v>
      </c>
      <c r="B744" s="20" t="s">
        <v>324</v>
      </c>
      <c r="C744" s="20" t="s">
        <v>40</v>
      </c>
      <c r="D744" s="20" t="s">
        <v>34</v>
      </c>
      <c r="E744" s="20" t="s">
        <v>714</v>
      </c>
      <c r="F744" s="20" t="s">
        <v>34</v>
      </c>
      <c r="G744" s="20">
        <v>2</v>
      </c>
      <c r="H744" s="20">
        <v>3</v>
      </c>
      <c r="I744" s="13">
        <v>0.6</v>
      </c>
      <c r="J744" s="20" t="s">
        <v>249</v>
      </c>
      <c r="L744" s="20" t="s">
        <v>60</v>
      </c>
      <c r="M744" s="20" t="s">
        <v>60</v>
      </c>
      <c r="N744" s="20" t="s">
        <v>34</v>
      </c>
      <c r="O744" s="20">
        <v>2</v>
      </c>
      <c r="P744" s="20">
        <v>3</v>
      </c>
      <c r="Q744" s="13">
        <v>0.55519639167751955</v>
      </c>
      <c r="R744" s="20" t="s">
        <v>249</v>
      </c>
      <c r="S744" s="20">
        <v>0.30801778525647522</v>
      </c>
      <c r="T744" s="20" t="s">
        <v>60</v>
      </c>
      <c r="U744" s="20" t="s">
        <v>60</v>
      </c>
      <c r="V744" s="20"/>
      <c r="W744" s="20"/>
      <c r="X744" s="20" t="s">
        <v>60</v>
      </c>
      <c r="Y744" s="20" t="s">
        <v>412</v>
      </c>
      <c r="Z744" s="20" t="s">
        <v>60</v>
      </c>
      <c r="AA744" s="20" t="s">
        <v>491</v>
      </c>
    </row>
    <row r="745" spans="1:27" x14ac:dyDescent="0.2">
      <c r="A745" s="1">
        <v>46037</v>
      </c>
      <c r="B745" s="20" t="s">
        <v>328</v>
      </c>
      <c r="C745" s="20" t="s">
        <v>18</v>
      </c>
      <c r="D745" s="20" t="s">
        <v>23</v>
      </c>
      <c r="E745" s="20" t="s">
        <v>1195</v>
      </c>
      <c r="F745" s="20" t="s">
        <v>23</v>
      </c>
      <c r="G745" s="20">
        <v>2</v>
      </c>
      <c r="H745" s="20">
        <v>3</v>
      </c>
      <c r="I745" s="13">
        <v>0.6</v>
      </c>
      <c r="J745" s="20" t="s">
        <v>249</v>
      </c>
      <c r="L745" s="20" t="s">
        <v>60</v>
      </c>
      <c r="M745" s="20" t="s">
        <v>60</v>
      </c>
      <c r="N745" s="20" t="s">
        <v>23</v>
      </c>
      <c r="O745" s="20">
        <v>2</v>
      </c>
      <c r="P745" s="20">
        <v>3</v>
      </c>
      <c r="Q745" s="13">
        <v>0.51037143409448726</v>
      </c>
      <c r="R745" s="20" t="s">
        <v>249</v>
      </c>
      <c r="S745" s="20">
        <v>0.166679941456398</v>
      </c>
      <c r="T745" s="20" t="s">
        <v>60</v>
      </c>
      <c r="U745" s="20" t="s">
        <v>60</v>
      </c>
      <c r="V745" s="20"/>
      <c r="W745" s="20"/>
      <c r="X745" s="20" t="s">
        <v>60</v>
      </c>
      <c r="Y745" s="20" t="s">
        <v>412</v>
      </c>
      <c r="Z745" s="20" t="s">
        <v>60</v>
      </c>
      <c r="AA745" s="20" t="s">
        <v>491</v>
      </c>
    </row>
    <row r="746" spans="1:27" x14ac:dyDescent="0.2">
      <c r="A746" s="1">
        <v>46037</v>
      </c>
      <c r="B746" s="20" t="s">
        <v>416</v>
      </c>
      <c r="C746" s="20" t="s">
        <v>16</v>
      </c>
      <c r="D746" s="20" t="s">
        <v>10</v>
      </c>
      <c r="E746" s="20" t="s">
        <v>302</v>
      </c>
      <c r="F746" s="20" t="s">
        <v>10</v>
      </c>
      <c r="G746" s="20">
        <v>2</v>
      </c>
      <c r="H746" s="20">
        <v>3</v>
      </c>
      <c r="I746" s="13">
        <v>0.6</v>
      </c>
      <c r="J746" s="20" t="s">
        <v>249</v>
      </c>
      <c r="L746" s="20" t="s">
        <v>60</v>
      </c>
      <c r="M746" s="20" t="s">
        <v>60</v>
      </c>
      <c r="N746" s="20" t="s">
        <v>10</v>
      </c>
      <c r="O746" s="20">
        <v>2</v>
      </c>
      <c r="P746" s="20">
        <v>3</v>
      </c>
      <c r="Q746" s="13">
        <v>0.64969882979285987</v>
      </c>
      <c r="R746" s="20" t="s">
        <v>249</v>
      </c>
      <c r="S746" s="20">
        <v>0.93948577278346967</v>
      </c>
      <c r="T746" s="20" t="s">
        <v>60</v>
      </c>
      <c r="U746" s="20" t="s">
        <v>60</v>
      </c>
      <c r="V746" s="20"/>
      <c r="W746" s="20"/>
      <c r="X746" s="20" t="s">
        <v>60</v>
      </c>
      <c r="Y746" s="20" t="s">
        <v>412</v>
      </c>
      <c r="Z746" s="20" t="s">
        <v>60</v>
      </c>
      <c r="AA746" s="20" t="s">
        <v>491</v>
      </c>
    </row>
    <row r="747" spans="1:27" x14ac:dyDescent="0.2">
      <c r="A747" s="1">
        <v>46037</v>
      </c>
      <c r="B747" s="20" t="s">
        <v>328</v>
      </c>
      <c r="C747" s="20" t="s">
        <v>38</v>
      </c>
      <c r="D747" s="20" t="s">
        <v>28</v>
      </c>
      <c r="E747" s="20" t="s">
        <v>1196</v>
      </c>
      <c r="F747" s="20" t="s">
        <v>28</v>
      </c>
      <c r="G747" s="20">
        <v>2</v>
      </c>
      <c r="H747" s="20">
        <v>3</v>
      </c>
      <c r="I747" s="13">
        <v>0.6</v>
      </c>
      <c r="J747" s="20" t="s">
        <v>249</v>
      </c>
      <c r="L747" s="20" t="s">
        <v>60</v>
      </c>
      <c r="M747" s="20" t="s">
        <v>60</v>
      </c>
      <c r="N747" s="20" t="s">
        <v>28</v>
      </c>
      <c r="O747" s="20">
        <v>2</v>
      </c>
      <c r="P747" s="20">
        <v>3</v>
      </c>
      <c r="Q747" s="13">
        <v>0.58343206023868277</v>
      </c>
      <c r="R747" s="20" t="s">
        <v>249</v>
      </c>
      <c r="S747" s="20">
        <v>0.40258909968342632</v>
      </c>
      <c r="T747" s="20" t="s">
        <v>60</v>
      </c>
      <c r="U747" s="20" t="s">
        <v>60</v>
      </c>
      <c r="V747" s="20"/>
      <c r="W747" s="20"/>
      <c r="X747" s="20" t="s">
        <v>60</v>
      </c>
      <c r="Y747" s="20" t="s">
        <v>412</v>
      </c>
      <c r="Z747" s="20" t="s">
        <v>60</v>
      </c>
      <c r="AA747" s="20" t="s">
        <v>491</v>
      </c>
    </row>
    <row r="748" spans="1:27" x14ac:dyDescent="0.2">
      <c r="A748" s="1">
        <v>46037</v>
      </c>
      <c r="B748" s="20" t="s">
        <v>328</v>
      </c>
      <c r="C748" s="20" t="s">
        <v>32</v>
      </c>
      <c r="D748" s="20" t="s">
        <v>21</v>
      </c>
      <c r="E748" s="20" t="s">
        <v>1197</v>
      </c>
      <c r="F748" s="20" t="s">
        <v>21</v>
      </c>
      <c r="G748" s="20">
        <v>2</v>
      </c>
      <c r="H748" s="20">
        <v>3</v>
      </c>
      <c r="I748" s="13">
        <v>0.6</v>
      </c>
      <c r="J748" s="20" t="s">
        <v>249</v>
      </c>
      <c r="L748" s="20" t="s">
        <v>60</v>
      </c>
      <c r="M748" s="20" t="s">
        <v>60</v>
      </c>
      <c r="N748" s="20" t="s">
        <v>21</v>
      </c>
      <c r="O748" s="20">
        <v>2</v>
      </c>
      <c r="P748" s="20">
        <v>3</v>
      </c>
      <c r="Q748" s="13">
        <v>0.63889121656365655</v>
      </c>
      <c r="R748" s="20" t="s">
        <v>249</v>
      </c>
      <c r="S748" s="20">
        <v>0.47950822375352092</v>
      </c>
      <c r="T748" s="20" t="s">
        <v>60</v>
      </c>
      <c r="U748" s="20" t="s">
        <v>60</v>
      </c>
      <c r="V748" s="20"/>
      <c r="W748" s="20"/>
      <c r="X748" s="20" t="s">
        <v>60</v>
      </c>
      <c r="Y748" s="20" t="s">
        <v>412</v>
      </c>
      <c r="Z748" s="20" t="s">
        <v>60</v>
      </c>
      <c r="AA748" s="20" t="s">
        <v>491</v>
      </c>
    </row>
    <row r="749" spans="1:27" x14ac:dyDescent="0.2">
      <c r="A749" s="1">
        <v>46037</v>
      </c>
      <c r="B749" s="20" t="s">
        <v>326</v>
      </c>
      <c r="C749" s="20" t="s">
        <v>30</v>
      </c>
      <c r="D749" s="20" t="s">
        <v>17</v>
      </c>
      <c r="E749" s="20" t="s">
        <v>1198</v>
      </c>
      <c r="F749" s="20" t="s">
        <v>30</v>
      </c>
      <c r="G749" s="20">
        <v>2</v>
      </c>
      <c r="H749" s="20">
        <v>3</v>
      </c>
      <c r="I749" s="13">
        <v>0.6</v>
      </c>
      <c r="J749" s="20" t="s">
        <v>249</v>
      </c>
      <c r="L749" s="20" t="s">
        <v>60</v>
      </c>
      <c r="M749" s="20" t="s">
        <v>60</v>
      </c>
      <c r="N749" s="20" t="s">
        <v>30</v>
      </c>
      <c r="O749" s="20">
        <v>2</v>
      </c>
      <c r="P749" s="20">
        <v>3</v>
      </c>
      <c r="Q749" s="13">
        <v>0.58707242186154818</v>
      </c>
      <c r="R749" s="20" t="s">
        <v>249</v>
      </c>
      <c r="S749" s="20">
        <v>-0.52691391787302666</v>
      </c>
      <c r="T749" s="20" t="s">
        <v>60</v>
      </c>
      <c r="U749" s="20" t="s">
        <v>60</v>
      </c>
      <c r="V749" s="20"/>
      <c r="W749" s="20"/>
      <c r="X749" s="20" t="s">
        <v>60</v>
      </c>
      <c r="Y749" s="20" t="s">
        <v>412</v>
      </c>
      <c r="Z749" s="20" t="s">
        <v>60</v>
      </c>
      <c r="AA749" s="20" t="s">
        <v>491</v>
      </c>
    </row>
    <row r="750" spans="1:27" x14ac:dyDescent="0.2">
      <c r="A750" s="1">
        <v>46038</v>
      </c>
      <c r="B750" s="20" t="s">
        <v>324</v>
      </c>
      <c r="C750" s="20" t="s">
        <v>37</v>
      </c>
      <c r="D750" s="20" t="s">
        <v>35</v>
      </c>
      <c r="E750" s="20" t="s">
        <v>1199</v>
      </c>
      <c r="F750" s="20" t="s">
        <v>37</v>
      </c>
      <c r="G750" s="20">
        <v>2</v>
      </c>
      <c r="H750" s="20">
        <v>3</v>
      </c>
      <c r="I750" s="13">
        <v>0.6</v>
      </c>
      <c r="J750" s="20" t="s">
        <v>249</v>
      </c>
      <c r="L750" s="20" t="s">
        <v>60</v>
      </c>
      <c r="M750" s="20" t="s">
        <v>60</v>
      </c>
      <c r="N750" s="20" t="s">
        <v>37</v>
      </c>
      <c r="O750" s="20">
        <v>2</v>
      </c>
      <c r="P750" s="20">
        <v>3</v>
      </c>
      <c r="Q750" s="13">
        <v>0.76909445693074763</v>
      </c>
      <c r="R750" s="20" t="s">
        <v>249</v>
      </c>
      <c r="S750" s="20">
        <v>-1.8550825697711639</v>
      </c>
      <c r="T750" s="20" t="s">
        <v>60</v>
      </c>
      <c r="U750" s="20" t="s">
        <v>60</v>
      </c>
      <c r="V750" s="20"/>
      <c r="W750" s="20"/>
      <c r="X750" s="20" t="s">
        <v>60</v>
      </c>
      <c r="Y750" s="20" t="s">
        <v>412</v>
      </c>
      <c r="Z750" s="20" t="s">
        <v>60</v>
      </c>
      <c r="AA750" s="20" t="s">
        <v>491</v>
      </c>
    </row>
    <row r="751" spans="1:27" x14ac:dyDescent="0.2">
      <c r="A751" s="1">
        <v>46038</v>
      </c>
      <c r="B751" s="20" t="s">
        <v>328</v>
      </c>
      <c r="C751" s="20" t="s">
        <v>33</v>
      </c>
      <c r="D751" s="20" t="s">
        <v>26</v>
      </c>
      <c r="E751" s="20" t="s">
        <v>1200</v>
      </c>
      <c r="F751" s="20" t="s">
        <v>33</v>
      </c>
      <c r="G751" s="20">
        <v>2</v>
      </c>
      <c r="H751" s="20">
        <v>3</v>
      </c>
      <c r="I751" s="13">
        <v>0.6</v>
      </c>
      <c r="J751" s="20" t="s">
        <v>249</v>
      </c>
      <c r="L751" s="20" t="s">
        <v>60</v>
      </c>
      <c r="M751" s="20" t="s">
        <v>60</v>
      </c>
      <c r="N751" s="20" t="s">
        <v>33</v>
      </c>
      <c r="O751" s="20">
        <v>2</v>
      </c>
      <c r="P751" s="20">
        <v>3</v>
      </c>
      <c r="Q751" s="13">
        <v>0.50368260985752411</v>
      </c>
      <c r="R751" s="20" t="s">
        <v>249</v>
      </c>
      <c r="S751" s="20">
        <v>-0.37410782372690371</v>
      </c>
      <c r="T751" s="20" t="s">
        <v>60</v>
      </c>
      <c r="U751" s="20" t="s">
        <v>60</v>
      </c>
      <c r="V751" s="20"/>
      <c r="W751" s="20"/>
      <c r="X751" s="20" t="s">
        <v>60</v>
      </c>
      <c r="Y751" s="20" t="s">
        <v>412</v>
      </c>
      <c r="Z751" s="20" t="s">
        <v>60</v>
      </c>
      <c r="AA751" s="20" t="s">
        <v>491</v>
      </c>
    </row>
    <row r="752" spans="1:27" x14ac:dyDescent="0.2">
      <c r="A752" s="1">
        <v>46038</v>
      </c>
      <c r="B752" s="20" t="s">
        <v>340</v>
      </c>
      <c r="C752" s="20" t="s">
        <v>31</v>
      </c>
      <c r="D752" s="20" t="s">
        <v>13</v>
      </c>
      <c r="E752" s="20" t="s">
        <v>1070</v>
      </c>
      <c r="F752" s="20" t="s">
        <v>31</v>
      </c>
      <c r="G752" s="20">
        <v>2</v>
      </c>
      <c r="H752" s="20">
        <v>3</v>
      </c>
      <c r="I752" s="13">
        <v>0.6</v>
      </c>
      <c r="J752" s="20" t="s">
        <v>249</v>
      </c>
      <c r="L752" s="20" t="s">
        <v>60</v>
      </c>
      <c r="M752" s="20" t="s">
        <v>60</v>
      </c>
      <c r="N752" s="20" t="s">
        <v>31</v>
      </c>
      <c r="O752" s="20">
        <v>2</v>
      </c>
      <c r="P752" s="20">
        <v>3</v>
      </c>
      <c r="Q752" s="13">
        <v>0.53530839997320578</v>
      </c>
      <c r="R752" s="20" t="s">
        <v>249</v>
      </c>
      <c r="S752" s="20">
        <v>-0.46708587159331749</v>
      </c>
      <c r="T752" s="20" t="s">
        <v>60</v>
      </c>
      <c r="U752" s="20" t="s">
        <v>60</v>
      </c>
      <c r="V752" s="20"/>
      <c r="W752" s="20"/>
      <c r="X752" s="20" t="s">
        <v>60</v>
      </c>
      <c r="Y752" s="20" t="s">
        <v>412</v>
      </c>
      <c r="Z752" s="20" t="s">
        <v>60</v>
      </c>
      <c r="AA752" s="20" t="s">
        <v>491</v>
      </c>
    </row>
    <row r="753" spans="1:27" x14ac:dyDescent="0.2">
      <c r="A753" s="1">
        <v>46038</v>
      </c>
      <c r="B753" s="20" t="s">
        <v>328</v>
      </c>
      <c r="C753" s="20" t="s">
        <v>11</v>
      </c>
      <c r="D753" s="20" t="s">
        <v>25</v>
      </c>
      <c r="E753" s="20" t="s">
        <v>1065</v>
      </c>
      <c r="F753" s="20" t="s">
        <v>25</v>
      </c>
      <c r="G753" s="20">
        <v>2</v>
      </c>
      <c r="H753" s="20">
        <v>3</v>
      </c>
      <c r="I753" s="13">
        <v>0.6</v>
      </c>
      <c r="J753" s="20" t="s">
        <v>249</v>
      </c>
      <c r="L753" s="20" t="s">
        <v>60</v>
      </c>
      <c r="M753" s="20" t="s">
        <v>60</v>
      </c>
      <c r="N753" s="20" t="s">
        <v>25</v>
      </c>
      <c r="O753" s="20">
        <v>2</v>
      </c>
      <c r="P753" s="20">
        <v>3</v>
      </c>
      <c r="Q753" s="13">
        <v>0.69361590157977926</v>
      </c>
      <c r="R753" s="20" t="s">
        <v>249</v>
      </c>
      <c r="S753" s="20">
        <v>0.87269417731582166</v>
      </c>
      <c r="T753" s="20" t="s">
        <v>60</v>
      </c>
      <c r="U753" s="20" t="s">
        <v>60</v>
      </c>
      <c r="V753" s="20"/>
      <c r="W753" s="20"/>
      <c r="X753" s="20" t="s">
        <v>60</v>
      </c>
      <c r="Y753" s="20" t="s">
        <v>412</v>
      </c>
      <c r="Z753" s="20" t="s">
        <v>60</v>
      </c>
      <c r="AA753" s="20" t="s">
        <v>491</v>
      </c>
    </row>
    <row r="754" spans="1:27" x14ac:dyDescent="0.2">
      <c r="A754" s="1">
        <v>46038</v>
      </c>
      <c r="B754" s="20" t="s">
        <v>326</v>
      </c>
      <c r="C754" s="20" t="s">
        <v>29</v>
      </c>
      <c r="D754" s="20" t="s">
        <v>12</v>
      </c>
      <c r="E754" s="20" t="s">
        <v>997</v>
      </c>
      <c r="F754" s="20" t="s">
        <v>12</v>
      </c>
      <c r="G754" s="20">
        <v>2</v>
      </c>
      <c r="H754" s="20">
        <v>3</v>
      </c>
      <c r="I754" s="13">
        <v>0.6</v>
      </c>
      <c r="J754" s="20" t="s">
        <v>249</v>
      </c>
      <c r="L754" s="20" t="s">
        <v>60</v>
      </c>
      <c r="M754" s="20" t="s">
        <v>60</v>
      </c>
      <c r="N754" s="20" t="s">
        <v>12</v>
      </c>
      <c r="O754" s="20">
        <v>2</v>
      </c>
      <c r="P754" s="20">
        <v>3</v>
      </c>
      <c r="Q754" s="13">
        <v>1</v>
      </c>
      <c r="R754" s="20" t="s">
        <v>249</v>
      </c>
      <c r="S754" s="20">
        <v>3.0667216911602</v>
      </c>
      <c r="T754" s="20" t="s">
        <v>60</v>
      </c>
      <c r="U754" s="20" t="s">
        <v>60</v>
      </c>
      <c r="V754" s="20"/>
      <c r="W754" s="20"/>
      <c r="X754" s="20" t="s">
        <v>60</v>
      </c>
      <c r="Y754" s="20" t="s">
        <v>412</v>
      </c>
      <c r="Z754" s="20" t="s">
        <v>60</v>
      </c>
      <c r="AA754" s="20" t="s">
        <v>491</v>
      </c>
    </row>
    <row r="755" spans="1:27" x14ac:dyDescent="0.2">
      <c r="A755" s="1">
        <v>46039</v>
      </c>
      <c r="B755" s="20" t="s">
        <v>322</v>
      </c>
      <c r="C755" s="20" t="s">
        <v>17</v>
      </c>
      <c r="D755" s="20" t="s">
        <v>38</v>
      </c>
      <c r="E755" s="20" t="s">
        <v>688</v>
      </c>
      <c r="F755" s="20" t="s">
        <v>17</v>
      </c>
      <c r="G755" s="20">
        <v>2</v>
      </c>
      <c r="H755" s="20">
        <v>3</v>
      </c>
      <c r="I755" s="13">
        <v>0.6</v>
      </c>
      <c r="J755" s="20" t="s">
        <v>249</v>
      </c>
      <c r="L755" s="20" t="s">
        <v>60</v>
      </c>
      <c r="M755" s="20" t="s">
        <v>60</v>
      </c>
      <c r="N755" s="20" t="s">
        <v>17</v>
      </c>
      <c r="O755" s="20">
        <v>2</v>
      </c>
      <c r="P755" s="20">
        <v>3</v>
      </c>
      <c r="Q755" s="13">
        <v>0.46934472358622298</v>
      </c>
      <c r="R755" s="20" t="s">
        <v>249</v>
      </c>
      <c r="S755" s="20">
        <v>-8.0030341950119932E-2</v>
      </c>
      <c r="T755" s="20" t="s">
        <v>60</v>
      </c>
      <c r="U755" s="20" t="s">
        <v>60</v>
      </c>
      <c r="V755" s="20"/>
      <c r="W755" s="20"/>
      <c r="X755" s="20" t="s">
        <v>60</v>
      </c>
      <c r="Y755" s="20" t="s">
        <v>412</v>
      </c>
      <c r="Z755" s="20" t="s">
        <v>60</v>
      </c>
      <c r="AA755" s="20" t="s">
        <v>491</v>
      </c>
    </row>
    <row r="756" spans="1:27" x14ac:dyDescent="0.2">
      <c r="A756" s="1">
        <v>46039</v>
      </c>
      <c r="B756" s="20" t="s">
        <v>328</v>
      </c>
      <c r="C756" s="20" t="s">
        <v>11</v>
      </c>
      <c r="D756" s="20" t="s">
        <v>22</v>
      </c>
      <c r="E756" s="20" t="s">
        <v>1201</v>
      </c>
      <c r="F756" s="20" t="s">
        <v>22</v>
      </c>
      <c r="G756" s="20">
        <v>2</v>
      </c>
      <c r="H756" s="20">
        <v>3</v>
      </c>
      <c r="I756" s="13">
        <v>0.6</v>
      </c>
      <c r="J756" s="20" t="s">
        <v>249</v>
      </c>
      <c r="L756" s="20" t="s">
        <v>60</v>
      </c>
      <c r="M756" s="20" t="s">
        <v>60</v>
      </c>
      <c r="N756" s="20" t="s">
        <v>22</v>
      </c>
      <c r="O756" s="20">
        <v>2</v>
      </c>
      <c r="P756" s="20">
        <v>3</v>
      </c>
      <c r="Q756" s="13">
        <v>0.66969288010793826</v>
      </c>
      <c r="R756" s="20" t="s">
        <v>249</v>
      </c>
      <c r="S756" s="20">
        <v>0.88772627284102601</v>
      </c>
      <c r="T756" s="20" t="s">
        <v>60</v>
      </c>
      <c r="U756" s="20" t="s">
        <v>60</v>
      </c>
      <c r="V756" s="20"/>
      <c r="W756" s="20"/>
      <c r="X756" s="20" t="s">
        <v>60</v>
      </c>
      <c r="Y756" s="20" t="s">
        <v>412</v>
      </c>
      <c r="Z756" s="20" t="s">
        <v>60</v>
      </c>
      <c r="AA756" s="20" t="s">
        <v>491</v>
      </c>
    </row>
    <row r="757" spans="1:27" x14ac:dyDescent="0.2">
      <c r="A757" s="1">
        <v>46039</v>
      </c>
      <c r="B757" s="20" t="s">
        <v>328</v>
      </c>
      <c r="C757" s="20" t="s">
        <v>19</v>
      </c>
      <c r="D757" s="20" t="s">
        <v>40</v>
      </c>
      <c r="E757" s="20" t="s">
        <v>1202</v>
      </c>
      <c r="F757" s="20" t="s">
        <v>40</v>
      </c>
      <c r="G757" s="20">
        <v>2</v>
      </c>
      <c r="H757" s="20">
        <v>3</v>
      </c>
      <c r="I757" s="13">
        <v>0.6</v>
      </c>
      <c r="J757" s="20" t="s">
        <v>249</v>
      </c>
      <c r="L757" s="20" t="s">
        <v>60</v>
      </c>
      <c r="M757" s="20" t="s">
        <v>60</v>
      </c>
      <c r="N757" s="20" t="s">
        <v>40</v>
      </c>
      <c r="O757" s="20">
        <v>2</v>
      </c>
      <c r="P757" s="20">
        <v>3</v>
      </c>
      <c r="Q757" s="13">
        <v>0.58583126184977086</v>
      </c>
      <c r="R757" s="20" t="s">
        <v>249</v>
      </c>
      <c r="S757" s="20">
        <v>0.37113751645935139</v>
      </c>
      <c r="T757" s="20" t="s">
        <v>60</v>
      </c>
      <c r="U757" s="20" t="s">
        <v>60</v>
      </c>
      <c r="V757" s="20"/>
      <c r="W757" s="20"/>
      <c r="X757" s="20" t="s">
        <v>60</v>
      </c>
      <c r="Y757" s="20" t="s">
        <v>412</v>
      </c>
      <c r="Z757" s="20" t="s">
        <v>60</v>
      </c>
      <c r="AA757" s="20" t="s">
        <v>491</v>
      </c>
    </row>
    <row r="758" spans="1:27" x14ac:dyDescent="0.2">
      <c r="A758" s="1">
        <v>46039</v>
      </c>
      <c r="B758" s="20" t="s">
        <v>322</v>
      </c>
      <c r="C758" s="20" t="s">
        <v>29</v>
      </c>
      <c r="D758" s="20" t="s">
        <v>20</v>
      </c>
      <c r="E758" s="20" t="s">
        <v>1094</v>
      </c>
      <c r="F758" s="20" t="s">
        <v>20</v>
      </c>
      <c r="G758" s="20">
        <v>2</v>
      </c>
      <c r="H758" s="20">
        <v>3</v>
      </c>
      <c r="I758" s="13">
        <v>0.6</v>
      </c>
      <c r="J758" s="20" t="s">
        <v>249</v>
      </c>
      <c r="L758" s="20" t="s">
        <v>60</v>
      </c>
      <c r="M758" s="20" t="s">
        <v>60</v>
      </c>
      <c r="N758" s="20" t="s">
        <v>20</v>
      </c>
      <c r="O758" s="20">
        <v>2</v>
      </c>
      <c r="P758" s="20">
        <v>3</v>
      </c>
      <c r="Q758" s="13">
        <v>0.67899410709528163</v>
      </c>
      <c r="R758" s="20" t="s">
        <v>249</v>
      </c>
      <c r="S758" s="20">
        <v>1.1903772024125869</v>
      </c>
      <c r="T758" s="20" t="s">
        <v>60</v>
      </c>
      <c r="U758" s="20" t="s">
        <v>60</v>
      </c>
      <c r="V758" s="20"/>
      <c r="W758" s="20"/>
      <c r="X758" s="20" t="s">
        <v>60</v>
      </c>
      <c r="Y758" s="20" t="s">
        <v>412</v>
      </c>
      <c r="Z758" s="20" t="s">
        <v>60</v>
      </c>
      <c r="AA758" s="20" t="s">
        <v>491</v>
      </c>
    </row>
    <row r="759" spans="1:27" x14ac:dyDescent="0.2">
      <c r="A759" s="1">
        <v>46039</v>
      </c>
      <c r="B759" s="20" t="s">
        <v>365</v>
      </c>
      <c r="C759" s="20" t="s">
        <v>32</v>
      </c>
      <c r="D759" s="20" t="s">
        <v>55</v>
      </c>
      <c r="E759" s="20" t="s">
        <v>988</v>
      </c>
      <c r="F759" s="20" t="s">
        <v>55</v>
      </c>
      <c r="G759" s="20">
        <v>2</v>
      </c>
      <c r="H759" s="20">
        <v>3</v>
      </c>
      <c r="I759" s="13">
        <v>0.6</v>
      </c>
      <c r="J759" s="20" t="s">
        <v>249</v>
      </c>
      <c r="L759" s="20" t="s">
        <v>60</v>
      </c>
      <c r="M759" s="20" t="s">
        <v>60</v>
      </c>
      <c r="N759" s="20" t="s">
        <v>55</v>
      </c>
      <c r="O759" s="20">
        <v>2</v>
      </c>
      <c r="P759" s="20">
        <v>3</v>
      </c>
      <c r="Q759" s="13">
        <v>0.6150116090397193</v>
      </c>
      <c r="R759" s="20" t="s">
        <v>249</v>
      </c>
      <c r="S759" s="20">
        <v>0.29615469518006998</v>
      </c>
      <c r="T759" s="20" t="s">
        <v>60</v>
      </c>
      <c r="U759" s="20" t="s">
        <v>60</v>
      </c>
      <c r="V759" s="20"/>
      <c r="W759" s="20"/>
      <c r="X759" s="20" t="s">
        <v>60</v>
      </c>
      <c r="Y759" s="20" t="s">
        <v>412</v>
      </c>
      <c r="Z759" s="20" t="s">
        <v>60</v>
      </c>
      <c r="AA759" s="20" t="s">
        <v>491</v>
      </c>
    </row>
    <row r="760" spans="1:27" x14ac:dyDescent="0.2">
      <c r="A760" s="1">
        <v>46039</v>
      </c>
      <c r="B760" s="20" t="s">
        <v>347</v>
      </c>
      <c r="C760" s="20" t="s">
        <v>15</v>
      </c>
      <c r="D760" s="20" t="s">
        <v>27</v>
      </c>
      <c r="E760" s="20" t="s">
        <v>1203</v>
      </c>
      <c r="F760" s="20" t="s">
        <v>15</v>
      </c>
      <c r="G760" s="20">
        <v>2</v>
      </c>
      <c r="H760" s="20">
        <v>3</v>
      </c>
      <c r="I760" s="13">
        <v>0.6</v>
      </c>
      <c r="J760" s="20" t="s">
        <v>249</v>
      </c>
      <c r="L760" s="20" t="s">
        <v>60</v>
      </c>
      <c r="M760" s="20" t="s">
        <v>60</v>
      </c>
      <c r="N760" s="20" t="s">
        <v>15</v>
      </c>
      <c r="O760" s="20">
        <v>2</v>
      </c>
      <c r="P760" s="20">
        <v>3</v>
      </c>
      <c r="Q760" s="13">
        <v>0.55080547688635673</v>
      </c>
      <c r="R760" s="20" t="s">
        <v>249</v>
      </c>
      <c r="S760" s="20">
        <v>-4.030485009921092E-2</v>
      </c>
      <c r="T760" s="20" t="s">
        <v>60</v>
      </c>
      <c r="U760" s="20" t="s">
        <v>60</v>
      </c>
      <c r="V760" s="20"/>
      <c r="W760" s="20"/>
      <c r="X760" s="20" t="s">
        <v>60</v>
      </c>
      <c r="Y760" s="20" t="s">
        <v>412</v>
      </c>
      <c r="Z760" s="20" t="s">
        <v>60</v>
      </c>
      <c r="AA760" s="20" t="s">
        <v>491</v>
      </c>
    </row>
    <row r="761" spans="1:27" x14ac:dyDescent="0.2">
      <c r="A761" s="1">
        <v>46039</v>
      </c>
      <c r="B761" s="20" t="s">
        <v>328</v>
      </c>
      <c r="C761" s="20" t="s">
        <v>28</v>
      </c>
      <c r="D761" s="20" t="s">
        <v>14</v>
      </c>
      <c r="E761" s="20" t="s">
        <v>684</v>
      </c>
      <c r="F761" s="20" t="s">
        <v>14</v>
      </c>
      <c r="G761" s="20">
        <v>2</v>
      </c>
      <c r="H761" s="20">
        <v>3</v>
      </c>
      <c r="I761" s="13">
        <v>0.6</v>
      </c>
      <c r="J761" s="20" t="s">
        <v>249</v>
      </c>
      <c r="L761" s="20" t="s">
        <v>60</v>
      </c>
      <c r="M761" s="20" t="s">
        <v>60</v>
      </c>
      <c r="N761" s="20" t="s">
        <v>14</v>
      </c>
      <c r="O761" s="20">
        <v>2</v>
      </c>
      <c r="P761" s="20">
        <v>3</v>
      </c>
      <c r="Q761" s="13">
        <v>0.59511283681584248</v>
      </c>
      <c r="R761" s="20" t="s">
        <v>249</v>
      </c>
      <c r="S761" s="20">
        <v>0.50262593170821268</v>
      </c>
      <c r="T761" s="20" t="s">
        <v>60</v>
      </c>
      <c r="U761" s="20" t="s">
        <v>60</v>
      </c>
      <c r="V761" s="20"/>
      <c r="W761" s="20"/>
      <c r="X761" s="20" t="s">
        <v>60</v>
      </c>
      <c r="Y761" s="20" t="s">
        <v>412</v>
      </c>
      <c r="Z761" s="20" t="s">
        <v>60</v>
      </c>
      <c r="AA761" s="20" t="s">
        <v>491</v>
      </c>
    </row>
    <row r="762" spans="1:27" x14ac:dyDescent="0.2">
      <c r="A762" s="1">
        <v>46039</v>
      </c>
      <c r="B762" s="20" t="s">
        <v>328</v>
      </c>
      <c r="C762" s="20" t="s">
        <v>25</v>
      </c>
      <c r="D762" s="20" t="s">
        <v>24</v>
      </c>
      <c r="E762" s="20" t="s">
        <v>1127</v>
      </c>
      <c r="F762" s="20" t="s">
        <v>25</v>
      </c>
      <c r="G762" s="20">
        <v>2</v>
      </c>
      <c r="H762" s="20">
        <v>3</v>
      </c>
      <c r="I762" s="13">
        <v>0.6</v>
      </c>
      <c r="J762" s="20" t="s">
        <v>249</v>
      </c>
      <c r="L762" s="20" t="s">
        <v>60</v>
      </c>
      <c r="M762" s="20" t="s">
        <v>60</v>
      </c>
      <c r="N762" s="20" t="s">
        <v>25</v>
      </c>
      <c r="O762" s="20">
        <v>2</v>
      </c>
      <c r="P762" s="20">
        <v>3</v>
      </c>
      <c r="Q762" s="13">
        <v>0.4944027518709323</v>
      </c>
      <c r="R762" s="20" t="s">
        <v>249</v>
      </c>
      <c r="S762" s="20">
        <v>-0.37424413764078601</v>
      </c>
      <c r="T762" s="20" t="s">
        <v>60</v>
      </c>
      <c r="U762" s="20" t="s">
        <v>60</v>
      </c>
      <c r="V762" s="20"/>
      <c r="W762" s="20"/>
      <c r="X762" s="20" t="s">
        <v>60</v>
      </c>
      <c r="Y762" s="20" t="s">
        <v>412</v>
      </c>
      <c r="Z762" s="20" t="s">
        <v>60</v>
      </c>
      <c r="AA762" s="20" t="s">
        <v>491</v>
      </c>
    </row>
    <row r="763" spans="1:27" x14ac:dyDescent="0.2">
      <c r="A763" s="1">
        <v>46039</v>
      </c>
      <c r="B763" s="20" t="s">
        <v>324</v>
      </c>
      <c r="C763" s="20" t="s">
        <v>21</v>
      </c>
      <c r="D763" s="20" t="s">
        <v>10</v>
      </c>
      <c r="E763" s="20" t="s">
        <v>1204</v>
      </c>
      <c r="F763" s="20" t="s">
        <v>10</v>
      </c>
      <c r="G763" s="20">
        <v>2</v>
      </c>
      <c r="H763" s="20">
        <v>3</v>
      </c>
      <c r="I763" s="13">
        <v>0.6</v>
      </c>
      <c r="J763" s="20" t="s">
        <v>249</v>
      </c>
      <c r="L763" s="20" t="s">
        <v>60</v>
      </c>
      <c r="M763" s="20" t="s">
        <v>60</v>
      </c>
      <c r="N763" s="20" t="s">
        <v>10</v>
      </c>
      <c r="O763" s="20">
        <v>2</v>
      </c>
      <c r="P763" s="20">
        <v>3</v>
      </c>
      <c r="Q763" s="13">
        <v>0.55008500567025542</v>
      </c>
      <c r="R763" s="20" t="s">
        <v>249</v>
      </c>
      <c r="S763" s="20">
        <v>9.3474254186580424E-2</v>
      </c>
      <c r="T763" s="20" t="s">
        <v>60</v>
      </c>
      <c r="U763" s="20" t="s">
        <v>60</v>
      </c>
      <c r="V763" s="20"/>
      <c r="W763" s="20"/>
      <c r="X763" s="20" t="s">
        <v>60</v>
      </c>
      <c r="Y763" s="20" t="s">
        <v>412</v>
      </c>
      <c r="Z763" s="20" t="s">
        <v>60</v>
      </c>
      <c r="AA763" s="20" t="s">
        <v>491</v>
      </c>
    </row>
    <row r="764" spans="1:27" x14ac:dyDescent="0.2">
      <c r="A764" s="1">
        <v>46039</v>
      </c>
      <c r="B764" s="20" t="s">
        <v>453</v>
      </c>
      <c r="C764" s="20" t="s">
        <v>30</v>
      </c>
      <c r="D764" s="20" t="s">
        <v>16</v>
      </c>
      <c r="E764" s="20" t="s">
        <v>1205</v>
      </c>
      <c r="F764" s="20" t="s">
        <v>30</v>
      </c>
      <c r="G764" s="20">
        <v>2</v>
      </c>
      <c r="H764" s="20">
        <v>3</v>
      </c>
      <c r="I764" s="13">
        <v>0.6</v>
      </c>
      <c r="J764" s="20" t="s">
        <v>249</v>
      </c>
      <c r="L764" s="20" t="s">
        <v>60</v>
      </c>
      <c r="M764" s="20" t="s">
        <v>60</v>
      </c>
      <c r="N764" s="20" t="s">
        <v>30</v>
      </c>
      <c r="O764" s="20">
        <v>2</v>
      </c>
      <c r="P764" s="20">
        <v>3</v>
      </c>
      <c r="Q764" s="13">
        <v>0.6231098477223036</v>
      </c>
      <c r="R764" s="20" t="s">
        <v>249</v>
      </c>
      <c r="S764" s="20">
        <v>-0.77494853268012576</v>
      </c>
      <c r="T764" s="20" t="s">
        <v>60</v>
      </c>
      <c r="U764" s="20" t="s">
        <v>60</v>
      </c>
      <c r="V764" s="20"/>
      <c r="W764" s="20"/>
      <c r="X764" s="20" t="s">
        <v>60</v>
      </c>
      <c r="Y764" s="20" t="s">
        <v>412</v>
      </c>
      <c r="Z764" s="20" t="s">
        <v>60</v>
      </c>
      <c r="AA764" s="20" t="s">
        <v>491</v>
      </c>
    </row>
    <row r="765" spans="1:27" x14ac:dyDescent="0.2">
      <c r="A765" s="1">
        <v>46039</v>
      </c>
      <c r="B765" s="20" t="s">
        <v>555</v>
      </c>
      <c r="C765" s="20" t="s">
        <v>34</v>
      </c>
      <c r="D765" s="20" t="s">
        <v>23</v>
      </c>
      <c r="E765" s="20" t="s">
        <v>1206</v>
      </c>
      <c r="F765" s="20" t="s">
        <v>34</v>
      </c>
      <c r="G765" s="20">
        <v>2</v>
      </c>
      <c r="H765" s="20">
        <v>3</v>
      </c>
      <c r="I765" s="13">
        <v>0.6</v>
      </c>
      <c r="J765" s="20" t="s">
        <v>249</v>
      </c>
      <c r="L765" s="20" t="s">
        <v>60</v>
      </c>
      <c r="M765" s="20" t="s">
        <v>60</v>
      </c>
      <c r="N765" s="20" t="s">
        <v>34</v>
      </c>
      <c r="O765" s="20">
        <v>2</v>
      </c>
      <c r="P765" s="20">
        <v>3</v>
      </c>
      <c r="Q765" s="13">
        <v>0.53563733113112899</v>
      </c>
      <c r="R765" s="20" t="s">
        <v>249</v>
      </c>
      <c r="S765" s="20">
        <v>-0.37108489936794842</v>
      </c>
      <c r="T765" s="20" t="s">
        <v>60</v>
      </c>
      <c r="U765" s="20" t="s">
        <v>60</v>
      </c>
      <c r="V765" s="20"/>
      <c r="W765" s="20"/>
      <c r="X765" s="20" t="s">
        <v>60</v>
      </c>
      <c r="Y765" s="20" t="s">
        <v>412</v>
      </c>
      <c r="Z765" s="20" t="s">
        <v>60</v>
      </c>
      <c r="AA765" s="20" t="s">
        <v>491</v>
      </c>
    </row>
    <row r="766" spans="1:27" x14ac:dyDescent="0.2">
      <c r="A766" s="1">
        <v>46039</v>
      </c>
      <c r="B766" s="20" t="s">
        <v>322</v>
      </c>
      <c r="C766" s="20" t="s">
        <v>13</v>
      </c>
      <c r="D766" s="20" t="s">
        <v>31</v>
      </c>
      <c r="E766" s="20" t="s">
        <v>431</v>
      </c>
      <c r="F766" s="20" t="s">
        <v>31</v>
      </c>
      <c r="G766" s="20">
        <v>2</v>
      </c>
      <c r="H766" s="20">
        <v>3</v>
      </c>
      <c r="I766" s="13">
        <v>0.6</v>
      </c>
      <c r="J766" s="20" t="s">
        <v>249</v>
      </c>
      <c r="L766" s="20" t="s">
        <v>60</v>
      </c>
      <c r="M766" s="20" t="s">
        <v>60</v>
      </c>
      <c r="N766" s="20" t="s">
        <v>31</v>
      </c>
      <c r="O766" s="20">
        <v>2</v>
      </c>
      <c r="P766" s="20">
        <v>3</v>
      </c>
      <c r="Q766" s="13">
        <v>0.62174802259807027</v>
      </c>
      <c r="R766" s="20" t="s">
        <v>249</v>
      </c>
      <c r="S766" s="20">
        <v>0.56688736943964246</v>
      </c>
      <c r="T766" s="20" t="s">
        <v>60</v>
      </c>
      <c r="U766" s="20" t="s">
        <v>60</v>
      </c>
      <c r="V766" s="20"/>
      <c r="W766" s="20"/>
      <c r="X766" s="20" t="s">
        <v>60</v>
      </c>
      <c r="Y766" s="20" t="s">
        <v>412</v>
      </c>
      <c r="Z766" s="20" t="s">
        <v>60</v>
      </c>
      <c r="AA766" s="20" t="s">
        <v>491</v>
      </c>
    </row>
    <row r="767" spans="1:27" x14ac:dyDescent="0.2">
      <c r="A767" s="1">
        <v>46039</v>
      </c>
      <c r="B767" s="20" t="s">
        <v>328</v>
      </c>
      <c r="C767" s="20" t="s">
        <v>18</v>
      </c>
      <c r="D767" s="20" t="s">
        <v>36</v>
      </c>
      <c r="E767" s="20" t="s">
        <v>1207</v>
      </c>
      <c r="F767" s="20" t="s">
        <v>36</v>
      </c>
      <c r="G767" s="20">
        <v>2</v>
      </c>
      <c r="H767" s="20">
        <v>3</v>
      </c>
      <c r="I767" s="13">
        <v>0.6</v>
      </c>
      <c r="J767" s="20" t="s">
        <v>249</v>
      </c>
      <c r="L767" s="20" t="s">
        <v>60</v>
      </c>
      <c r="M767" s="20" t="s">
        <v>60</v>
      </c>
      <c r="N767" s="20" t="s">
        <v>36</v>
      </c>
      <c r="O767" s="20">
        <v>2</v>
      </c>
      <c r="P767" s="20">
        <v>3</v>
      </c>
      <c r="Q767" s="13">
        <v>0.49623074346744273</v>
      </c>
      <c r="R767" s="20" t="s">
        <v>249</v>
      </c>
      <c r="S767" s="20">
        <v>0.111414326332149</v>
      </c>
      <c r="T767" s="20" t="s">
        <v>60</v>
      </c>
      <c r="U767" s="20" t="s">
        <v>60</v>
      </c>
      <c r="V767" s="20"/>
      <c r="W767" s="20"/>
      <c r="X767" s="20" t="s">
        <v>60</v>
      </c>
      <c r="Y767" s="20" t="s">
        <v>412</v>
      </c>
      <c r="Z767" s="20" t="s">
        <v>60</v>
      </c>
      <c r="AA767" s="20" t="s">
        <v>491</v>
      </c>
    </row>
    <row r="768" spans="1:27" x14ac:dyDescent="0.2">
      <c r="A768" s="1">
        <v>46040</v>
      </c>
      <c r="B768" s="20" t="s">
        <v>324</v>
      </c>
      <c r="C768" s="20" t="s">
        <v>35</v>
      </c>
      <c r="D768" s="20" t="s">
        <v>17</v>
      </c>
      <c r="E768" s="20" t="s">
        <v>1208</v>
      </c>
      <c r="F768" s="20" t="s">
        <v>17</v>
      </c>
      <c r="G768" s="20">
        <v>2</v>
      </c>
      <c r="H768" s="20">
        <v>3</v>
      </c>
      <c r="I768" s="13">
        <v>0.6</v>
      </c>
      <c r="J768" s="20" t="s">
        <v>249</v>
      </c>
      <c r="L768" s="20" t="s">
        <v>60</v>
      </c>
      <c r="M768" s="20" t="s">
        <v>60</v>
      </c>
      <c r="N768" s="20" t="s">
        <v>17</v>
      </c>
      <c r="O768" s="20">
        <v>2</v>
      </c>
      <c r="P768" s="20">
        <v>3</v>
      </c>
      <c r="Q768" s="13">
        <v>0.62021453960689188</v>
      </c>
      <c r="R768" s="20" t="s">
        <v>249</v>
      </c>
      <c r="S768" s="20">
        <v>0.6266324566333632</v>
      </c>
      <c r="T768" s="20" t="s">
        <v>60</v>
      </c>
      <c r="U768" s="20" t="s">
        <v>60</v>
      </c>
      <c r="V768" s="20"/>
      <c r="W768" s="20"/>
      <c r="X768" s="20" t="s">
        <v>60</v>
      </c>
      <c r="Y768" s="20" t="s">
        <v>412</v>
      </c>
      <c r="Z768" s="20" t="s">
        <v>60</v>
      </c>
      <c r="AA768" s="20" t="s">
        <v>491</v>
      </c>
    </row>
    <row r="769" spans="1:27" x14ac:dyDescent="0.2">
      <c r="A769" s="1">
        <v>46040</v>
      </c>
      <c r="B769" s="20" t="s">
        <v>459</v>
      </c>
      <c r="C769" s="20" t="s">
        <v>37</v>
      </c>
      <c r="D769" s="20" t="s">
        <v>39</v>
      </c>
      <c r="E769" s="20" t="s">
        <v>1209</v>
      </c>
      <c r="F769" s="20" t="s">
        <v>37</v>
      </c>
      <c r="G769" s="20">
        <v>2</v>
      </c>
      <c r="H769" s="20">
        <v>3</v>
      </c>
      <c r="I769" s="13">
        <v>0.6</v>
      </c>
      <c r="J769" s="20" t="s">
        <v>249</v>
      </c>
      <c r="L769" s="20" t="s">
        <v>60</v>
      </c>
      <c r="M769" s="20" t="s">
        <v>60</v>
      </c>
      <c r="N769" s="20" t="s">
        <v>37</v>
      </c>
      <c r="O769" s="20">
        <v>2</v>
      </c>
      <c r="P769" s="20">
        <v>3</v>
      </c>
      <c r="Q769" s="13">
        <v>0.52550682406125582</v>
      </c>
      <c r="R769" s="20" t="s">
        <v>249</v>
      </c>
      <c r="S769" s="20">
        <v>-4.7161695968322037E-2</v>
      </c>
      <c r="T769" s="20" t="s">
        <v>60</v>
      </c>
      <c r="U769" s="20" t="s">
        <v>60</v>
      </c>
      <c r="V769" s="20"/>
      <c r="W769" s="20"/>
      <c r="X769" s="20" t="s">
        <v>60</v>
      </c>
      <c r="Y769" s="20" t="s">
        <v>412</v>
      </c>
      <c r="Z769" s="20" t="s">
        <v>60</v>
      </c>
      <c r="AA769" s="20" t="s">
        <v>491</v>
      </c>
    </row>
    <row r="770" spans="1:27" x14ac:dyDescent="0.2">
      <c r="A770" s="1">
        <v>46040</v>
      </c>
      <c r="B770" s="20" t="s">
        <v>365</v>
      </c>
      <c r="C770" s="20" t="s">
        <v>36</v>
      </c>
      <c r="D770" s="20" t="s">
        <v>26</v>
      </c>
      <c r="E770" s="20" t="s">
        <v>1210</v>
      </c>
      <c r="F770" s="20" t="s">
        <v>36</v>
      </c>
      <c r="G770" s="20">
        <v>2</v>
      </c>
      <c r="H770" s="20">
        <v>3</v>
      </c>
      <c r="I770" s="13">
        <v>0.6</v>
      </c>
      <c r="J770" s="20" t="s">
        <v>249</v>
      </c>
      <c r="L770" s="20" t="s">
        <v>60</v>
      </c>
      <c r="M770" s="20" t="s">
        <v>60</v>
      </c>
      <c r="N770" s="20" t="s">
        <v>36</v>
      </c>
      <c r="O770" s="20">
        <v>2</v>
      </c>
      <c r="P770" s="20">
        <v>3</v>
      </c>
      <c r="Q770" s="13">
        <v>0.49433616789893409</v>
      </c>
      <c r="R770" s="20" t="s">
        <v>249</v>
      </c>
      <c r="S770" s="20">
        <v>-0.29406276524430841</v>
      </c>
      <c r="T770" s="20" t="s">
        <v>60</v>
      </c>
      <c r="U770" s="20" t="s">
        <v>60</v>
      </c>
      <c r="V770" s="20"/>
      <c r="W770" s="20"/>
      <c r="X770" s="20" t="s">
        <v>60</v>
      </c>
      <c r="Y770" s="20" t="s">
        <v>412</v>
      </c>
      <c r="Z770" s="20" t="s">
        <v>60</v>
      </c>
      <c r="AA770" s="20" t="s">
        <v>491</v>
      </c>
    </row>
    <row r="771" spans="1:27" x14ac:dyDescent="0.2">
      <c r="A771" s="1">
        <v>46041</v>
      </c>
      <c r="B771" s="20" t="s">
        <v>334</v>
      </c>
      <c r="C771" s="20" t="s">
        <v>34</v>
      </c>
      <c r="D771" s="20" t="s">
        <v>19</v>
      </c>
      <c r="E771" s="20" t="s">
        <v>1211</v>
      </c>
      <c r="F771" s="20" t="s">
        <v>34</v>
      </c>
      <c r="G771" s="20">
        <v>2</v>
      </c>
      <c r="H771" s="20">
        <v>3</v>
      </c>
      <c r="I771" s="13">
        <v>0.6</v>
      </c>
      <c r="J771" s="20" t="s">
        <v>249</v>
      </c>
      <c r="L771" s="20" t="s">
        <v>60</v>
      </c>
      <c r="M771" s="20" t="s">
        <v>60</v>
      </c>
      <c r="N771" s="20" t="s">
        <v>34</v>
      </c>
      <c r="O771" s="20">
        <v>2</v>
      </c>
      <c r="P771" s="20">
        <v>3</v>
      </c>
      <c r="Q771" s="13">
        <v>0.56433402114844189</v>
      </c>
      <c r="R771" s="20" t="s">
        <v>249</v>
      </c>
      <c r="S771" s="20">
        <v>-0.52945305494633932</v>
      </c>
      <c r="T771" s="20" t="s">
        <v>60</v>
      </c>
      <c r="U771" s="20" t="s">
        <v>60</v>
      </c>
      <c r="V771" s="20"/>
      <c r="W771" s="20"/>
      <c r="X771" s="20" t="s">
        <v>60</v>
      </c>
      <c r="Y771" s="20" t="s">
        <v>412</v>
      </c>
      <c r="Z771" s="20" t="s">
        <v>60</v>
      </c>
      <c r="AA771" s="20" t="s">
        <v>491</v>
      </c>
    </row>
    <row r="772" spans="1:27" x14ac:dyDescent="0.2">
      <c r="A772" s="1">
        <v>46041</v>
      </c>
      <c r="B772" s="20" t="s">
        <v>365</v>
      </c>
      <c r="C772" s="20" t="s">
        <v>14</v>
      </c>
      <c r="D772" s="20" t="s">
        <v>32</v>
      </c>
      <c r="E772" s="20" t="s">
        <v>1212</v>
      </c>
      <c r="F772" s="20" t="s">
        <v>14</v>
      </c>
      <c r="G772" s="20">
        <v>2</v>
      </c>
      <c r="H772" s="20">
        <v>3</v>
      </c>
      <c r="I772" s="13">
        <v>0.6</v>
      </c>
      <c r="J772" s="20" t="s">
        <v>249</v>
      </c>
      <c r="L772" s="20" t="s">
        <v>60</v>
      </c>
      <c r="M772" s="20" t="s">
        <v>60</v>
      </c>
      <c r="N772" s="20" t="s">
        <v>14</v>
      </c>
      <c r="O772" s="20">
        <v>2</v>
      </c>
      <c r="P772" s="20">
        <v>3</v>
      </c>
      <c r="Q772" s="13">
        <v>0.55267301312381723</v>
      </c>
      <c r="R772" s="20" t="s">
        <v>249</v>
      </c>
      <c r="S772" s="20">
        <v>-0.45721226478943761</v>
      </c>
      <c r="T772" s="20" t="s">
        <v>60</v>
      </c>
      <c r="U772" s="20" t="s">
        <v>60</v>
      </c>
      <c r="V772" s="20"/>
      <c r="W772" s="20"/>
      <c r="X772" s="20" t="s">
        <v>60</v>
      </c>
      <c r="Y772" s="20" t="s">
        <v>412</v>
      </c>
      <c r="Z772" s="20" t="s">
        <v>60</v>
      </c>
      <c r="AA772" s="20" t="s">
        <v>491</v>
      </c>
    </row>
    <row r="773" spans="1:27" x14ac:dyDescent="0.2">
      <c r="A773" s="1">
        <v>46041</v>
      </c>
      <c r="B773" s="20" t="s">
        <v>322</v>
      </c>
      <c r="C773" s="20" t="s">
        <v>30</v>
      </c>
      <c r="D773" s="20" t="s">
        <v>38</v>
      </c>
      <c r="E773" s="20" t="s">
        <v>1213</v>
      </c>
      <c r="F773" s="20" t="s">
        <v>30</v>
      </c>
      <c r="G773" s="20">
        <v>2</v>
      </c>
      <c r="H773" s="20">
        <v>3</v>
      </c>
      <c r="I773" s="13">
        <v>0.6</v>
      </c>
      <c r="J773" s="20" t="s">
        <v>249</v>
      </c>
      <c r="L773" s="20" t="s">
        <v>60</v>
      </c>
      <c r="M773" s="20" t="s">
        <v>60</v>
      </c>
      <c r="N773" s="20" t="s">
        <v>30</v>
      </c>
      <c r="O773" s="20">
        <v>2</v>
      </c>
      <c r="P773" s="20">
        <v>3</v>
      </c>
      <c r="Q773" s="13">
        <v>0.60931951821942276</v>
      </c>
      <c r="R773" s="20" t="s">
        <v>249</v>
      </c>
      <c r="S773" s="20">
        <v>-0.65684500874630902</v>
      </c>
      <c r="T773" s="20" t="s">
        <v>60</v>
      </c>
      <c r="U773" s="20" t="s">
        <v>60</v>
      </c>
      <c r="V773" s="20"/>
      <c r="W773" s="20"/>
      <c r="X773" s="20" t="s">
        <v>60</v>
      </c>
      <c r="Y773" s="20" t="s">
        <v>412</v>
      </c>
      <c r="Z773" s="20" t="s">
        <v>60</v>
      </c>
      <c r="AA773" s="20" t="s">
        <v>491</v>
      </c>
    </row>
    <row r="774" spans="1:27" x14ac:dyDescent="0.2">
      <c r="A774" s="1">
        <v>46041</v>
      </c>
      <c r="B774" s="20" t="s">
        <v>324</v>
      </c>
      <c r="C774" s="20" t="s">
        <v>27</v>
      </c>
      <c r="D774" s="20" t="s">
        <v>20</v>
      </c>
      <c r="E774" s="20" t="s">
        <v>1214</v>
      </c>
      <c r="F774" s="20" t="s">
        <v>20</v>
      </c>
      <c r="G774" s="20">
        <v>2</v>
      </c>
      <c r="H774" s="20">
        <v>3</v>
      </c>
      <c r="I774" s="13">
        <v>0.6</v>
      </c>
      <c r="J774" s="20" t="s">
        <v>249</v>
      </c>
      <c r="L774" s="20" t="s">
        <v>60</v>
      </c>
      <c r="M774" s="20" t="s">
        <v>60</v>
      </c>
      <c r="N774" s="20" t="s">
        <v>20</v>
      </c>
      <c r="O774" s="20">
        <v>2</v>
      </c>
      <c r="P774" s="20">
        <v>3</v>
      </c>
      <c r="Q774" s="13">
        <v>0.51917059478617977</v>
      </c>
      <c r="R774" s="20" t="s">
        <v>249</v>
      </c>
      <c r="S774" s="20">
        <v>0.18569950210884209</v>
      </c>
      <c r="T774" s="20" t="s">
        <v>60</v>
      </c>
      <c r="U774" s="20" t="s">
        <v>60</v>
      </c>
      <c r="V774" s="20"/>
      <c r="W774" s="20"/>
      <c r="X774" s="20" t="s">
        <v>60</v>
      </c>
      <c r="Y774" s="20" t="s">
        <v>412</v>
      </c>
      <c r="Z774" s="20" t="s">
        <v>60</v>
      </c>
      <c r="AA774" s="20" t="s">
        <v>491</v>
      </c>
    </row>
    <row r="775" spans="1:27" x14ac:dyDescent="0.2">
      <c r="A775" s="1">
        <v>46041</v>
      </c>
      <c r="B775" s="20" t="s">
        <v>328</v>
      </c>
      <c r="C775" s="20" t="s">
        <v>33</v>
      </c>
      <c r="D775" s="20" t="s">
        <v>11</v>
      </c>
      <c r="E775" s="20" t="s">
        <v>1215</v>
      </c>
      <c r="F775" s="20" t="s">
        <v>11</v>
      </c>
      <c r="G775" s="20">
        <v>2</v>
      </c>
      <c r="H775" s="20">
        <v>3</v>
      </c>
      <c r="I775" s="13">
        <v>0.6</v>
      </c>
      <c r="J775" s="20" t="s">
        <v>249</v>
      </c>
      <c r="L775" s="20" t="s">
        <v>60</v>
      </c>
      <c r="M775" s="20" t="s">
        <v>60</v>
      </c>
      <c r="N775" s="20" t="s">
        <v>11</v>
      </c>
      <c r="O775" s="20">
        <v>2</v>
      </c>
      <c r="P775" s="20">
        <v>3</v>
      </c>
      <c r="Q775" s="13">
        <v>0.56617340241914338</v>
      </c>
      <c r="R775" s="20" t="s">
        <v>249</v>
      </c>
      <c r="S775" s="20">
        <v>0.1041134502412993</v>
      </c>
      <c r="T775" s="20" t="s">
        <v>60</v>
      </c>
      <c r="U775" s="20" t="s">
        <v>60</v>
      </c>
      <c r="V775" s="20"/>
      <c r="W775" s="20"/>
      <c r="X775" s="20" t="s">
        <v>60</v>
      </c>
      <c r="Y775" s="20" t="s">
        <v>412</v>
      </c>
      <c r="Z775" s="20" t="s">
        <v>60</v>
      </c>
      <c r="AA775" s="20" t="s">
        <v>491</v>
      </c>
    </row>
    <row r="776" spans="1:27" x14ac:dyDescent="0.2">
      <c r="A776" s="1">
        <v>46041</v>
      </c>
      <c r="B776" s="20" t="s">
        <v>542</v>
      </c>
      <c r="C776" s="20" t="s">
        <v>23</v>
      </c>
      <c r="D776" s="20" t="s">
        <v>25</v>
      </c>
      <c r="E776" s="20" t="s">
        <v>830</v>
      </c>
      <c r="F776" s="20" t="s">
        <v>25</v>
      </c>
      <c r="G776" s="20">
        <v>2</v>
      </c>
      <c r="H776" s="20">
        <v>3</v>
      </c>
      <c r="I776" s="13">
        <v>0.6</v>
      </c>
      <c r="J776" s="20" t="s">
        <v>249</v>
      </c>
      <c r="L776" s="20" t="s">
        <v>60</v>
      </c>
      <c r="M776" s="20" t="s">
        <v>60</v>
      </c>
      <c r="N776" s="20" t="s">
        <v>25</v>
      </c>
      <c r="O776" s="20">
        <v>2</v>
      </c>
      <c r="P776" s="20">
        <v>3</v>
      </c>
      <c r="Q776" s="13">
        <v>0.70283940031160697</v>
      </c>
      <c r="R776" s="20" t="s">
        <v>249</v>
      </c>
      <c r="S776" s="20">
        <v>0.95168632199230485</v>
      </c>
      <c r="T776" s="20" t="s">
        <v>60</v>
      </c>
      <c r="U776" s="20" t="s">
        <v>60</v>
      </c>
      <c r="V776" s="20"/>
      <c r="W776" s="20"/>
      <c r="X776" s="20" t="s">
        <v>60</v>
      </c>
      <c r="Y776" s="20" t="s">
        <v>412</v>
      </c>
      <c r="Z776" s="20" t="s">
        <v>60</v>
      </c>
      <c r="AA776" s="20" t="s">
        <v>491</v>
      </c>
    </row>
    <row r="777" spans="1:27" x14ac:dyDescent="0.2">
      <c r="A777" s="1">
        <v>46041</v>
      </c>
      <c r="B777" s="20" t="s">
        <v>416</v>
      </c>
      <c r="C777" s="20" t="s">
        <v>40</v>
      </c>
      <c r="D777" s="20" t="s">
        <v>10</v>
      </c>
      <c r="E777" s="20" t="s">
        <v>1216</v>
      </c>
      <c r="F777" s="20" t="s">
        <v>10</v>
      </c>
      <c r="G777" s="20">
        <v>2</v>
      </c>
      <c r="H777" s="20">
        <v>3</v>
      </c>
      <c r="I777" s="13">
        <v>0.6</v>
      </c>
      <c r="J777" s="20" t="s">
        <v>249</v>
      </c>
      <c r="L777" s="20" t="s">
        <v>60</v>
      </c>
      <c r="M777" s="20" t="s">
        <v>60</v>
      </c>
      <c r="N777" s="20" t="s">
        <v>10</v>
      </c>
      <c r="O777" s="20">
        <v>2</v>
      </c>
      <c r="P777" s="20">
        <v>3</v>
      </c>
      <c r="Q777" s="13">
        <v>0.54105951093214566</v>
      </c>
      <c r="R777" s="20" t="s">
        <v>249</v>
      </c>
      <c r="S777" s="20">
        <v>0.1869463175216404</v>
      </c>
      <c r="T777" s="20" t="s">
        <v>60</v>
      </c>
      <c r="U777" s="20" t="s">
        <v>60</v>
      </c>
      <c r="V777" s="20"/>
      <c r="W777" s="20"/>
      <c r="X777" s="20" t="s">
        <v>60</v>
      </c>
      <c r="Y777" s="20" t="s">
        <v>412</v>
      </c>
      <c r="Z777" s="20" t="s">
        <v>60</v>
      </c>
      <c r="AA777" s="20" t="s">
        <v>491</v>
      </c>
    </row>
    <row r="778" spans="1:27" x14ac:dyDescent="0.2">
      <c r="A778" s="1">
        <v>46041</v>
      </c>
      <c r="B778" s="20" t="s">
        <v>326</v>
      </c>
      <c r="C778" s="20" t="s">
        <v>24</v>
      </c>
      <c r="D778" s="20" t="s">
        <v>16</v>
      </c>
      <c r="E778" s="20" t="s">
        <v>1217</v>
      </c>
      <c r="F778" s="20" t="s">
        <v>24</v>
      </c>
      <c r="G778" s="20">
        <v>2</v>
      </c>
      <c r="H778" s="20">
        <v>3</v>
      </c>
      <c r="I778" s="13">
        <v>0.6</v>
      </c>
      <c r="J778" s="20" t="s">
        <v>249</v>
      </c>
      <c r="L778" s="20" t="s">
        <v>60</v>
      </c>
      <c r="M778" s="20" t="s">
        <v>60</v>
      </c>
      <c r="N778" s="20" t="s">
        <v>24</v>
      </c>
      <c r="O778" s="20">
        <v>2</v>
      </c>
      <c r="P778" s="20">
        <v>3</v>
      </c>
      <c r="Q778" s="13">
        <v>0.59956695534910476</v>
      </c>
      <c r="R778" s="20" t="s">
        <v>249</v>
      </c>
      <c r="S778" s="20">
        <v>-1.0174107808860631</v>
      </c>
      <c r="T778" s="20" t="s">
        <v>60</v>
      </c>
      <c r="U778" s="20" t="s">
        <v>60</v>
      </c>
      <c r="V778" s="20"/>
      <c r="W778" s="20"/>
      <c r="X778" s="20" t="s">
        <v>60</v>
      </c>
      <c r="Y778" s="20" t="s">
        <v>412</v>
      </c>
      <c r="Z778" s="20" t="s">
        <v>60</v>
      </c>
      <c r="AA778" s="20" t="s">
        <v>491</v>
      </c>
    </row>
    <row r="779" spans="1:27" x14ac:dyDescent="0.2">
      <c r="A779" s="1">
        <v>46041</v>
      </c>
      <c r="B779" s="20" t="s">
        <v>322</v>
      </c>
      <c r="C779" s="20" t="s">
        <v>15</v>
      </c>
      <c r="D779" s="20" t="s">
        <v>31</v>
      </c>
      <c r="E779" s="20" t="s">
        <v>1218</v>
      </c>
      <c r="F779" s="20" t="s">
        <v>31</v>
      </c>
      <c r="G779" s="20">
        <v>2</v>
      </c>
      <c r="H779" s="20">
        <v>3</v>
      </c>
      <c r="I779" s="13">
        <v>0.6</v>
      </c>
      <c r="J779" s="20" t="s">
        <v>249</v>
      </c>
      <c r="L779" s="20" t="s">
        <v>60</v>
      </c>
      <c r="M779" s="20" t="s">
        <v>60</v>
      </c>
      <c r="N779" s="20" t="s">
        <v>31</v>
      </c>
      <c r="O779" s="20">
        <v>2</v>
      </c>
      <c r="P779" s="20">
        <v>3</v>
      </c>
      <c r="Q779" s="13">
        <v>0.58229774290675174</v>
      </c>
      <c r="R779" s="20" t="s">
        <v>249</v>
      </c>
      <c r="S779" s="20">
        <v>0.51863775524637135</v>
      </c>
      <c r="T779" s="20" t="s">
        <v>60</v>
      </c>
      <c r="U779" s="20" t="s">
        <v>60</v>
      </c>
      <c r="V779" s="20"/>
      <c r="W779" s="20"/>
      <c r="X779" s="20" t="s">
        <v>60</v>
      </c>
      <c r="Y779" s="20" t="s">
        <v>412</v>
      </c>
      <c r="Z779" s="20" t="s">
        <v>60</v>
      </c>
      <c r="AA779" s="20" t="s">
        <v>491</v>
      </c>
    </row>
    <row r="780" spans="1:27" x14ac:dyDescent="0.2">
      <c r="A780" s="1">
        <v>46041</v>
      </c>
      <c r="B780" s="20" t="s">
        <v>369</v>
      </c>
      <c r="C780" s="20" t="s">
        <v>22</v>
      </c>
      <c r="D780" s="20" t="s">
        <v>12</v>
      </c>
      <c r="E780" s="20" t="s">
        <v>1219</v>
      </c>
      <c r="F780" s="20" t="s">
        <v>12</v>
      </c>
      <c r="G780" s="20">
        <v>2</v>
      </c>
      <c r="H780" s="20">
        <v>3</v>
      </c>
      <c r="I780" s="13">
        <v>0.6</v>
      </c>
      <c r="J780" s="20" t="s">
        <v>249</v>
      </c>
      <c r="L780" s="20" t="s">
        <v>60</v>
      </c>
      <c r="M780" s="20" t="s">
        <v>60</v>
      </c>
      <c r="N780" s="20" t="s">
        <v>12</v>
      </c>
      <c r="O780" s="20">
        <v>2</v>
      </c>
      <c r="P780" s="20">
        <v>3</v>
      </c>
      <c r="Q780" s="13">
        <v>0.74931201680503057</v>
      </c>
      <c r="R780" s="20" t="s">
        <v>249</v>
      </c>
      <c r="S780" s="20">
        <v>1.2410971744963819</v>
      </c>
      <c r="T780" s="20" t="s">
        <v>60</v>
      </c>
      <c r="U780" s="20" t="s">
        <v>60</v>
      </c>
      <c r="V780" s="20"/>
      <c r="W780" s="20"/>
      <c r="X780" s="20" t="s">
        <v>60</v>
      </c>
      <c r="Y780" s="20" t="s">
        <v>412</v>
      </c>
      <c r="Z780" s="20" t="s">
        <v>60</v>
      </c>
      <c r="AA780" s="20" t="s">
        <v>491</v>
      </c>
    </row>
    <row r="781" spans="1:27" x14ac:dyDescent="0.2">
      <c r="A781" s="1">
        <v>46042</v>
      </c>
      <c r="B781" s="20" t="s">
        <v>324</v>
      </c>
      <c r="C781" s="20" t="s">
        <v>35</v>
      </c>
      <c r="D781" s="20" t="s">
        <v>40</v>
      </c>
      <c r="E781" s="20" t="s">
        <v>1220</v>
      </c>
      <c r="F781" s="20" t="s">
        <v>40</v>
      </c>
      <c r="G781" s="20">
        <v>2</v>
      </c>
      <c r="H781" s="20">
        <v>3</v>
      </c>
      <c r="I781" s="13">
        <v>0.6</v>
      </c>
      <c r="J781" s="20" t="s">
        <v>249</v>
      </c>
      <c r="L781" s="20" t="s">
        <v>60</v>
      </c>
      <c r="M781" s="20" t="s">
        <v>60</v>
      </c>
      <c r="N781" s="20" t="s">
        <v>40</v>
      </c>
      <c r="O781" s="20">
        <v>2</v>
      </c>
      <c r="P781" s="20">
        <v>3</v>
      </c>
      <c r="Q781" s="13">
        <v>0.67457245303438529</v>
      </c>
      <c r="R781" s="20" t="s">
        <v>249</v>
      </c>
      <c r="S781" s="20">
        <v>1.131137297088094</v>
      </c>
      <c r="T781" s="20" t="s">
        <v>60</v>
      </c>
      <c r="U781" s="20" t="s">
        <v>60</v>
      </c>
      <c r="V781" s="20"/>
      <c r="W781" s="20"/>
      <c r="X781" s="20" t="s">
        <v>60</v>
      </c>
      <c r="Y781" s="20" t="s">
        <v>412</v>
      </c>
      <c r="Z781" s="20" t="s">
        <v>60</v>
      </c>
      <c r="AA781" s="20" t="s">
        <v>491</v>
      </c>
    </row>
    <row r="782" spans="1:27" x14ac:dyDescent="0.2">
      <c r="A782" s="1">
        <v>46042</v>
      </c>
      <c r="B782" s="20" t="s">
        <v>324</v>
      </c>
      <c r="C782" s="20" t="s">
        <v>23</v>
      </c>
      <c r="D782" s="20" t="s">
        <v>29</v>
      </c>
      <c r="E782" s="20" t="s">
        <v>1221</v>
      </c>
      <c r="F782" s="20" t="s">
        <v>23</v>
      </c>
      <c r="G782" s="20">
        <v>2</v>
      </c>
      <c r="H782" s="20">
        <v>3</v>
      </c>
      <c r="I782" s="13">
        <v>0.6</v>
      </c>
      <c r="J782" s="20" t="s">
        <v>249</v>
      </c>
      <c r="L782" s="20" t="s">
        <v>60</v>
      </c>
      <c r="M782" s="20" t="s">
        <v>60</v>
      </c>
      <c r="N782" s="20" t="s">
        <v>23</v>
      </c>
      <c r="O782" s="20">
        <v>2</v>
      </c>
      <c r="P782" s="20">
        <v>3</v>
      </c>
      <c r="Q782" s="13">
        <v>0.5602899636246178</v>
      </c>
      <c r="R782" s="20" t="s">
        <v>249</v>
      </c>
      <c r="S782" s="20">
        <v>-0.85890609914630889</v>
      </c>
      <c r="T782" s="20" t="s">
        <v>60</v>
      </c>
      <c r="U782" s="20" t="s">
        <v>60</v>
      </c>
      <c r="V782" s="20"/>
      <c r="W782" s="20"/>
      <c r="X782" s="20" t="s">
        <v>60</v>
      </c>
      <c r="Y782" s="20" t="s">
        <v>412</v>
      </c>
      <c r="Z782" s="20" t="s">
        <v>60</v>
      </c>
      <c r="AA782" s="20" t="s">
        <v>491</v>
      </c>
    </row>
    <row r="783" spans="1:27" x14ac:dyDescent="0.2">
      <c r="A783" s="1">
        <v>46042</v>
      </c>
      <c r="B783" s="20" t="s">
        <v>328</v>
      </c>
      <c r="C783" s="20" t="s">
        <v>34</v>
      </c>
      <c r="D783" s="20" t="s">
        <v>18</v>
      </c>
      <c r="E783" s="20" t="s">
        <v>1222</v>
      </c>
      <c r="F783" s="20" t="s">
        <v>34</v>
      </c>
      <c r="G783" s="20">
        <v>2</v>
      </c>
      <c r="H783" s="20">
        <v>3</v>
      </c>
      <c r="I783" s="13">
        <v>0.6</v>
      </c>
      <c r="J783" s="20" t="s">
        <v>249</v>
      </c>
      <c r="L783" s="20" t="s">
        <v>60</v>
      </c>
      <c r="M783" s="20" t="s">
        <v>60</v>
      </c>
      <c r="N783" s="20" t="s">
        <v>34</v>
      </c>
      <c r="O783" s="20">
        <v>2</v>
      </c>
      <c r="P783" s="20">
        <v>3</v>
      </c>
      <c r="Q783" s="13">
        <v>0.5594778959036335</v>
      </c>
      <c r="R783" s="20" t="s">
        <v>249</v>
      </c>
      <c r="S783" s="20">
        <v>-0.4878640919011839</v>
      </c>
      <c r="T783" s="20" t="s">
        <v>60</v>
      </c>
      <c r="U783" s="20" t="s">
        <v>60</v>
      </c>
      <c r="V783" s="20"/>
      <c r="W783" s="20"/>
      <c r="X783" s="20" t="s">
        <v>60</v>
      </c>
      <c r="Y783" s="20" t="s">
        <v>412</v>
      </c>
      <c r="Z783" s="20" t="s">
        <v>60</v>
      </c>
      <c r="AA783" s="20" t="s">
        <v>491</v>
      </c>
    </row>
    <row r="784" spans="1:27" x14ac:dyDescent="0.2">
      <c r="A784" s="1">
        <v>46042</v>
      </c>
      <c r="B784" s="20" t="s">
        <v>328</v>
      </c>
      <c r="C784" s="20" t="s">
        <v>33</v>
      </c>
      <c r="D784" s="20" t="s">
        <v>37</v>
      </c>
      <c r="E784" s="20" t="s">
        <v>1223</v>
      </c>
      <c r="F784" s="20" t="s">
        <v>37</v>
      </c>
      <c r="G784" s="20">
        <v>2</v>
      </c>
      <c r="H784" s="20">
        <v>3</v>
      </c>
      <c r="I784" s="13">
        <v>0.6</v>
      </c>
      <c r="J784" s="20" t="s">
        <v>249</v>
      </c>
      <c r="L784" s="20" t="s">
        <v>60</v>
      </c>
      <c r="M784" s="20" t="s">
        <v>60</v>
      </c>
      <c r="N784" s="20" t="s">
        <v>37</v>
      </c>
      <c r="O784" s="20">
        <v>2</v>
      </c>
      <c r="P784" s="20">
        <v>3</v>
      </c>
      <c r="Q784" s="13">
        <v>0.69038125630616265</v>
      </c>
      <c r="R784" s="20" t="s">
        <v>249</v>
      </c>
      <c r="S784" s="20">
        <v>1.01173668805201</v>
      </c>
      <c r="T784" s="20" t="s">
        <v>60</v>
      </c>
      <c r="U784" s="20" t="s">
        <v>60</v>
      </c>
      <c r="V784" s="20"/>
      <c r="W784" s="20"/>
      <c r="X784" s="20" t="s">
        <v>60</v>
      </c>
      <c r="Y784" s="20" t="s">
        <v>412</v>
      </c>
      <c r="Z784" s="20" t="s">
        <v>60</v>
      </c>
      <c r="AA784" s="20" t="s">
        <v>491</v>
      </c>
    </row>
    <row r="785" spans="1:27" x14ac:dyDescent="0.2">
      <c r="A785" s="1">
        <v>46042</v>
      </c>
      <c r="B785" s="20" t="s">
        <v>322</v>
      </c>
      <c r="C785" s="20" t="s">
        <v>24</v>
      </c>
      <c r="D785" s="20" t="s">
        <v>17</v>
      </c>
      <c r="E785" s="20" t="s">
        <v>1224</v>
      </c>
      <c r="F785" s="20" t="s">
        <v>24</v>
      </c>
      <c r="G785" s="20">
        <v>2</v>
      </c>
      <c r="H785" s="20">
        <v>3</v>
      </c>
      <c r="I785" s="13">
        <v>0.6</v>
      </c>
      <c r="J785" s="20" t="s">
        <v>249</v>
      </c>
      <c r="L785" s="20" t="s">
        <v>60</v>
      </c>
      <c r="M785" s="20" t="s">
        <v>60</v>
      </c>
      <c r="N785" s="20" t="s">
        <v>24</v>
      </c>
      <c r="O785" s="20">
        <v>2</v>
      </c>
      <c r="P785" s="20">
        <v>3</v>
      </c>
      <c r="Q785" s="13">
        <v>0.56352023309781618</v>
      </c>
      <c r="R785" s="20" t="s">
        <v>249</v>
      </c>
      <c r="S785" s="20">
        <v>-0.76937616607896353</v>
      </c>
      <c r="T785" s="20" t="s">
        <v>60</v>
      </c>
      <c r="U785" s="20" t="s">
        <v>60</v>
      </c>
      <c r="V785" s="20"/>
      <c r="W785" s="20"/>
      <c r="X785" s="20" t="s">
        <v>60</v>
      </c>
      <c r="Y785" s="20" t="s">
        <v>412</v>
      </c>
      <c r="Z785" s="20" t="s">
        <v>60</v>
      </c>
      <c r="AA785" s="20" t="s">
        <v>491</v>
      </c>
    </row>
    <row r="786" spans="1:27" x14ac:dyDescent="0.2">
      <c r="A786" s="1">
        <v>46042</v>
      </c>
      <c r="B786" s="20" t="s">
        <v>334</v>
      </c>
      <c r="C786" s="20" t="s">
        <v>21</v>
      </c>
      <c r="D786" s="20" t="s">
        <v>39</v>
      </c>
      <c r="E786" s="20" t="s">
        <v>1225</v>
      </c>
      <c r="F786" s="20" t="s">
        <v>39</v>
      </c>
      <c r="G786" s="20">
        <v>2</v>
      </c>
      <c r="H786" s="20">
        <v>3</v>
      </c>
      <c r="I786" s="13">
        <v>0.6</v>
      </c>
      <c r="J786" s="20" t="s">
        <v>249</v>
      </c>
      <c r="L786" s="20" t="s">
        <v>60</v>
      </c>
      <c r="M786" s="20" t="s">
        <v>60</v>
      </c>
      <c r="N786" s="20" t="s">
        <v>39</v>
      </c>
      <c r="O786" s="20">
        <v>2</v>
      </c>
      <c r="P786" s="20">
        <v>3</v>
      </c>
      <c r="Q786" s="13">
        <v>0.65119209751769036</v>
      </c>
      <c r="R786" s="20" t="s">
        <v>249</v>
      </c>
      <c r="S786" s="20">
        <v>0.68311301122601387</v>
      </c>
      <c r="T786" s="20" t="s">
        <v>60</v>
      </c>
      <c r="U786" s="20" t="s">
        <v>60</v>
      </c>
      <c r="V786" s="20"/>
      <c r="W786" s="20"/>
      <c r="X786" s="20" t="s">
        <v>60</v>
      </c>
      <c r="Y786" s="20" t="s">
        <v>412</v>
      </c>
      <c r="Z786" s="20" t="s">
        <v>60</v>
      </c>
      <c r="AA786" s="20" t="s">
        <v>491</v>
      </c>
    </row>
    <row r="787" spans="1:27" x14ac:dyDescent="0.2">
      <c r="A787" s="1">
        <v>46042</v>
      </c>
      <c r="B787" s="20" t="s">
        <v>328</v>
      </c>
      <c r="C787" s="20" t="s">
        <v>36</v>
      </c>
      <c r="D787" s="20" t="s">
        <v>28</v>
      </c>
      <c r="E787" s="20" t="s">
        <v>986</v>
      </c>
      <c r="F787" s="20" t="s">
        <v>36</v>
      </c>
      <c r="G787" s="20">
        <v>2</v>
      </c>
      <c r="H787" s="20">
        <v>3</v>
      </c>
      <c r="I787" s="13">
        <v>0.6</v>
      </c>
      <c r="J787" s="20" t="s">
        <v>249</v>
      </c>
      <c r="L787" s="20" t="s">
        <v>60</v>
      </c>
      <c r="M787" s="20" t="s">
        <v>60</v>
      </c>
      <c r="N787" s="20" t="s">
        <v>36</v>
      </c>
      <c r="O787" s="20">
        <v>2</v>
      </c>
      <c r="P787" s="20">
        <v>3</v>
      </c>
      <c r="Q787" s="13">
        <v>0.46160114896627552</v>
      </c>
      <c r="R787" s="20" t="s">
        <v>249</v>
      </c>
      <c r="S787" s="20">
        <v>-1.3712604562539201E-2</v>
      </c>
      <c r="T787" s="20" t="s">
        <v>60</v>
      </c>
      <c r="U787" s="20" t="s">
        <v>60</v>
      </c>
      <c r="V787" s="20"/>
      <c r="W787" s="20"/>
      <c r="X787" s="20" t="s">
        <v>60</v>
      </c>
      <c r="Y787" s="20" t="s">
        <v>412</v>
      </c>
      <c r="Z787" s="20" t="s">
        <v>60</v>
      </c>
      <c r="AA787" s="20" t="s">
        <v>491</v>
      </c>
    </row>
    <row r="788" spans="1:27" x14ac:dyDescent="0.2">
      <c r="A788" s="1">
        <v>46042</v>
      </c>
      <c r="B788" s="20" t="s">
        <v>322</v>
      </c>
      <c r="C788" s="20" t="s">
        <v>15</v>
      </c>
      <c r="D788" s="20" t="s">
        <v>13</v>
      </c>
      <c r="E788" s="20" t="s">
        <v>1226</v>
      </c>
      <c r="F788" s="20" t="s">
        <v>13</v>
      </c>
      <c r="G788" s="20">
        <v>2</v>
      </c>
      <c r="H788" s="20">
        <v>3</v>
      </c>
      <c r="I788" s="13">
        <v>0.6</v>
      </c>
      <c r="J788" s="20" t="s">
        <v>249</v>
      </c>
      <c r="L788" s="20" t="s">
        <v>60</v>
      </c>
      <c r="M788" s="20" t="s">
        <v>60</v>
      </c>
      <c r="N788" s="20" t="s">
        <v>13</v>
      </c>
      <c r="O788" s="20">
        <v>2</v>
      </c>
      <c r="P788" s="20">
        <v>3</v>
      </c>
      <c r="Q788" s="13">
        <v>0.44011132795361219</v>
      </c>
      <c r="R788" s="20" t="s">
        <v>249</v>
      </c>
      <c r="S788" s="20">
        <v>1.6511347298914241E-3</v>
      </c>
      <c r="T788" s="20" t="s">
        <v>60</v>
      </c>
      <c r="U788" s="20" t="s">
        <v>60</v>
      </c>
      <c r="V788" s="20"/>
      <c r="W788" s="20"/>
      <c r="X788" s="20" t="s">
        <v>60</v>
      </c>
      <c r="Y788" s="20" t="s">
        <v>412</v>
      </c>
      <c r="Z788" s="20" t="s">
        <v>60</v>
      </c>
      <c r="AA788" s="20" t="s">
        <v>491</v>
      </c>
    </row>
    <row r="789" spans="1:27" x14ac:dyDescent="0.2">
      <c r="A789" s="1">
        <v>46043</v>
      </c>
      <c r="B789" s="20" t="s">
        <v>426</v>
      </c>
      <c r="C789" s="20" t="s">
        <v>14</v>
      </c>
      <c r="D789" s="20" t="s">
        <v>16</v>
      </c>
      <c r="E789" s="20" t="s">
        <v>1227</v>
      </c>
      <c r="F789" s="20" t="s">
        <v>14</v>
      </c>
      <c r="G789" s="20">
        <v>2</v>
      </c>
      <c r="H789" s="20">
        <v>3</v>
      </c>
      <c r="I789" s="13">
        <v>0.6</v>
      </c>
      <c r="J789" s="20" t="s">
        <v>249</v>
      </c>
      <c r="L789" s="20" t="s">
        <v>60</v>
      </c>
      <c r="M789" s="20" t="s">
        <v>60</v>
      </c>
      <c r="N789" s="20" t="s">
        <v>14</v>
      </c>
      <c r="O789" s="20">
        <v>2</v>
      </c>
      <c r="P789" s="20">
        <v>3</v>
      </c>
      <c r="Q789" s="13">
        <v>0.60129433091862239</v>
      </c>
      <c r="R789" s="20" t="s">
        <v>249</v>
      </c>
      <c r="S789" s="20">
        <v>-0.87361630855596839</v>
      </c>
      <c r="T789" s="20" t="s">
        <v>60</v>
      </c>
      <c r="U789" s="20" t="s">
        <v>60</v>
      </c>
      <c r="V789" s="20"/>
      <c r="W789" s="20"/>
      <c r="X789" s="20" t="s">
        <v>60</v>
      </c>
      <c r="Y789" s="20" t="s">
        <v>412</v>
      </c>
      <c r="Z789" s="20" t="s">
        <v>60</v>
      </c>
      <c r="AA789" s="20" t="s">
        <v>491</v>
      </c>
    </row>
    <row r="790" spans="1:27" x14ac:dyDescent="0.2">
      <c r="A790" s="1">
        <v>46043</v>
      </c>
      <c r="B790" s="20" t="s">
        <v>326</v>
      </c>
      <c r="C790" s="20" t="s">
        <v>31</v>
      </c>
      <c r="D790" s="20" t="s">
        <v>12</v>
      </c>
      <c r="E790" s="20" t="s">
        <v>852</v>
      </c>
      <c r="F790" s="20" t="s">
        <v>12</v>
      </c>
      <c r="G790" s="20">
        <v>2</v>
      </c>
      <c r="H790" s="20">
        <v>3</v>
      </c>
      <c r="I790" s="13">
        <v>0.6</v>
      </c>
      <c r="J790" s="20" t="s">
        <v>249</v>
      </c>
      <c r="L790" s="20" t="s">
        <v>60</v>
      </c>
      <c r="M790" s="20" t="s">
        <v>60</v>
      </c>
      <c r="N790" s="20" t="s">
        <v>12</v>
      </c>
      <c r="O790" s="20">
        <v>2</v>
      </c>
      <c r="P790" s="20">
        <v>3</v>
      </c>
      <c r="Q790" s="13">
        <v>0.8005092709515379</v>
      </c>
      <c r="R790" s="20" t="s">
        <v>249</v>
      </c>
      <c r="S790" s="20">
        <v>1.5031013855108719</v>
      </c>
      <c r="T790" s="20" t="s">
        <v>60</v>
      </c>
      <c r="U790" s="20" t="s">
        <v>60</v>
      </c>
      <c r="V790" s="20"/>
      <c r="W790" s="20"/>
      <c r="X790" s="20" t="s">
        <v>60</v>
      </c>
      <c r="Y790" s="20" t="s">
        <v>412</v>
      </c>
      <c r="Z790" s="20" t="s">
        <v>60</v>
      </c>
      <c r="AA790" s="20" t="s">
        <v>491</v>
      </c>
    </row>
    <row r="791" spans="1:27" x14ac:dyDescent="0.2">
      <c r="A791" s="1">
        <v>46043</v>
      </c>
      <c r="B791" s="20" t="s">
        <v>426</v>
      </c>
      <c r="C791" s="20" t="s">
        <v>30</v>
      </c>
      <c r="D791" s="20" t="s">
        <v>32</v>
      </c>
      <c r="E791" s="20" t="s">
        <v>1228</v>
      </c>
      <c r="F791" s="20" t="s">
        <v>30</v>
      </c>
      <c r="G791" s="20">
        <v>2</v>
      </c>
      <c r="H791" s="20">
        <v>3</v>
      </c>
      <c r="I791" s="13">
        <v>0.6</v>
      </c>
      <c r="J791" s="20" t="s">
        <v>249</v>
      </c>
      <c r="L791" s="20" t="s">
        <v>60</v>
      </c>
      <c r="M791" s="20" t="s">
        <v>60</v>
      </c>
      <c r="N791" s="20" t="s">
        <v>30</v>
      </c>
      <c r="O791" s="20">
        <v>2</v>
      </c>
      <c r="P791" s="20">
        <v>3</v>
      </c>
      <c r="Q791" s="13">
        <v>0.57448852992749844</v>
      </c>
      <c r="R791" s="20" t="s">
        <v>249</v>
      </c>
      <c r="S791" s="20">
        <v>-0.35854448891359492</v>
      </c>
      <c r="T791" s="20" t="s">
        <v>60</v>
      </c>
      <c r="U791" s="20" t="s">
        <v>60</v>
      </c>
      <c r="V791" s="20"/>
      <c r="W791" s="20"/>
      <c r="X791" s="20" t="s">
        <v>60</v>
      </c>
      <c r="Y791" s="20" t="s">
        <v>412</v>
      </c>
      <c r="Z791" s="20" t="s">
        <v>60</v>
      </c>
      <c r="AA791" s="20" t="s">
        <v>491</v>
      </c>
    </row>
    <row r="792" spans="1:27" x14ac:dyDescent="0.2">
      <c r="A792" s="1">
        <v>46043</v>
      </c>
      <c r="B792" s="20" t="s">
        <v>328</v>
      </c>
      <c r="C792" s="20" t="s">
        <v>26</v>
      </c>
      <c r="D792" s="20" t="s">
        <v>19</v>
      </c>
      <c r="E792" s="20" t="s">
        <v>547</v>
      </c>
      <c r="F792" s="20" t="s">
        <v>19</v>
      </c>
      <c r="G792" s="20">
        <v>2</v>
      </c>
      <c r="H792" s="20">
        <v>3</v>
      </c>
      <c r="I792" s="13">
        <v>0.6</v>
      </c>
      <c r="J792" s="20" t="s">
        <v>249</v>
      </c>
      <c r="L792" s="20" t="s">
        <v>60</v>
      </c>
      <c r="M792" s="20" t="s">
        <v>60</v>
      </c>
      <c r="N792" s="20" t="s">
        <v>19</v>
      </c>
      <c r="O792" s="20">
        <v>2</v>
      </c>
      <c r="P792" s="20">
        <v>3</v>
      </c>
      <c r="Q792" s="13">
        <v>0.5739507224545598</v>
      </c>
      <c r="R792" s="20" t="s">
        <v>249</v>
      </c>
      <c r="S792" s="20">
        <v>0.29076172263649142</v>
      </c>
      <c r="T792" s="20" t="s">
        <v>60</v>
      </c>
      <c r="U792" s="20" t="s">
        <v>60</v>
      </c>
      <c r="V792" s="20"/>
      <c r="W792" s="20"/>
      <c r="X792" s="20" t="s">
        <v>60</v>
      </c>
      <c r="Y792" s="20" t="s">
        <v>412</v>
      </c>
      <c r="Z792" s="20" t="s">
        <v>60</v>
      </c>
      <c r="AA792" s="20" t="s">
        <v>491</v>
      </c>
    </row>
    <row r="793" spans="1:27" x14ac:dyDescent="0.2">
      <c r="A793" s="1">
        <v>46043</v>
      </c>
      <c r="B793" s="20" t="s">
        <v>326</v>
      </c>
      <c r="C793" s="20" t="s">
        <v>27</v>
      </c>
      <c r="D793" s="20" t="s">
        <v>55</v>
      </c>
      <c r="E793" s="20" t="s">
        <v>1229</v>
      </c>
      <c r="F793" s="20" t="s">
        <v>55</v>
      </c>
      <c r="G793" s="20">
        <v>2</v>
      </c>
      <c r="H793" s="20">
        <v>3</v>
      </c>
      <c r="I793" s="13">
        <v>0.6</v>
      </c>
      <c r="J793" s="20" t="s">
        <v>249</v>
      </c>
      <c r="L793" s="20" t="s">
        <v>60</v>
      </c>
      <c r="M793" s="20" t="s">
        <v>60</v>
      </c>
      <c r="N793" s="20" t="s">
        <v>55</v>
      </c>
      <c r="O793" s="20">
        <v>2</v>
      </c>
      <c r="P793" s="20">
        <v>3</v>
      </c>
      <c r="Q793" s="13">
        <v>0.54161617702255915</v>
      </c>
      <c r="R793" s="20" t="s">
        <v>249</v>
      </c>
      <c r="S793" s="20">
        <v>2.701704340829603E-2</v>
      </c>
      <c r="T793" s="20" t="s">
        <v>60</v>
      </c>
      <c r="U793" s="20" t="s">
        <v>60</v>
      </c>
      <c r="V793" s="20"/>
      <c r="W793" s="20"/>
      <c r="X793" s="20" t="s">
        <v>60</v>
      </c>
      <c r="Y793" s="20" t="s">
        <v>412</v>
      </c>
      <c r="Z793" s="20" t="s">
        <v>60</v>
      </c>
      <c r="AA793" s="20" t="s">
        <v>491</v>
      </c>
    </row>
    <row r="794" spans="1:27" x14ac:dyDescent="0.2">
      <c r="A794" s="1">
        <v>46043</v>
      </c>
      <c r="B794" s="20" t="s">
        <v>322</v>
      </c>
      <c r="C794" s="20" t="s">
        <v>22</v>
      </c>
      <c r="D794" s="20" t="s">
        <v>38</v>
      </c>
      <c r="E794" s="20" t="s">
        <v>1230</v>
      </c>
      <c r="F794" s="20" t="s">
        <v>22</v>
      </c>
      <c r="G794" s="20">
        <v>2</v>
      </c>
      <c r="H794" s="20">
        <v>3</v>
      </c>
      <c r="I794" s="13">
        <v>0.6</v>
      </c>
      <c r="J794" s="20" t="s">
        <v>249</v>
      </c>
      <c r="L794" s="20" t="s">
        <v>60</v>
      </c>
      <c r="M794" s="20" t="s">
        <v>60</v>
      </c>
      <c r="N794" s="20" t="s">
        <v>22</v>
      </c>
      <c r="O794" s="20">
        <v>2</v>
      </c>
      <c r="P794" s="20">
        <v>3</v>
      </c>
      <c r="Q794" s="13">
        <v>0.65880035233961631</v>
      </c>
      <c r="R794" s="20" t="s">
        <v>249</v>
      </c>
      <c r="S794" s="20">
        <v>-1.338484239041398</v>
      </c>
      <c r="T794" s="20" t="s">
        <v>60</v>
      </c>
      <c r="U794" s="20" t="s">
        <v>60</v>
      </c>
      <c r="V794" s="20"/>
      <c r="W794" s="20"/>
      <c r="X794" s="20" t="s">
        <v>60</v>
      </c>
      <c r="Y794" s="20" t="s">
        <v>412</v>
      </c>
      <c r="Z794" s="20" t="s">
        <v>60</v>
      </c>
      <c r="AA794" s="20" t="s">
        <v>491</v>
      </c>
    </row>
    <row r="795" spans="1:27" x14ac:dyDescent="0.2">
      <c r="A795" s="1">
        <v>46044</v>
      </c>
      <c r="B795" s="20" t="s">
        <v>328</v>
      </c>
      <c r="C795" s="20" t="s">
        <v>23</v>
      </c>
      <c r="D795" s="20" t="s">
        <v>18</v>
      </c>
      <c r="E795" s="20" t="s">
        <v>619</v>
      </c>
      <c r="F795" s="20" t="s">
        <v>23</v>
      </c>
      <c r="G795" s="20">
        <v>2</v>
      </c>
      <c r="H795" s="20">
        <v>3</v>
      </c>
      <c r="I795" s="13">
        <v>0.6</v>
      </c>
      <c r="J795" s="20" t="s">
        <v>249</v>
      </c>
      <c r="L795" s="20" t="s">
        <v>60</v>
      </c>
      <c r="M795" s="20" t="s">
        <v>60</v>
      </c>
      <c r="N795" s="20" t="s">
        <v>23</v>
      </c>
      <c r="O795" s="20">
        <v>2</v>
      </c>
      <c r="P795" s="20">
        <v>3</v>
      </c>
      <c r="Q795" s="13">
        <v>0.46780904534685669</v>
      </c>
      <c r="R795" s="20" t="s">
        <v>249</v>
      </c>
      <c r="S795" s="20">
        <v>-6.6878443610073057E-2</v>
      </c>
      <c r="T795" s="20" t="s">
        <v>60</v>
      </c>
      <c r="U795" s="20" t="s">
        <v>60</v>
      </c>
      <c r="V795" s="20"/>
      <c r="W795" s="20"/>
      <c r="X795" s="20" t="s">
        <v>60</v>
      </c>
      <c r="Y795" s="20" t="s">
        <v>412</v>
      </c>
      <c r="Z795" s="20" t="s">
        <v>60</v>
      </c>
      <c r="AA795" s="20" t="s">
        <v>491</v>
      </c>
    </row>
    <row r="796" spans="1:27" x14ac:dyDescent="0.2">
      <c r="A796" s="1">
        <v>46044</v>
      </c>
      <c r="B796" s="20" t="s">
        <v>324</v>
      </c>
      <c r="C796" s="20" t="s">
        <v>11</v>
      </c>
      <c r="D796" s="20" t="s">
        <v>40</v>
      </c>
      <c r="E796" s="20" t="s">
        <v>1231</v>
      </c>
      <c r="F796" s="20" t="s">
        <v>40</v>
      </c>
      <c r="G796" s="20">
        <v>2</v>
      </c>
      <c r="H796" s="20">
        <v>3</v>
      </c>
      <c r="I796" s="13">
        <v>0.6</v>
      </c>
      <c r="J796" s="20" t="s">
        <v>249</v>
      </c>
      <c r="L796" s="20" t="s">
        <v>60</v>
      </c>
      <c r="M796" s="20" t="s">
        <v>60</v>
      </c>
      <c r="N796" s="20" t="s">
        <v>40</v>
      </c>
      <c r="O796" s="20">
        <v>2</v>
      </c>
      <c r="P796" s="20">
        <v>3</v>
      </c>
      <c r="Q796" s="13">
        <v>0.55811594360700834</v>
      </c>
      <c r="R796" s="20" t="s">
        <v>249</v>
      </c>
      <c r="S796" s="20">
        <v>0.13377721620447749</v>
      </c>
      <c r="T796" s="20" t="s">
        <v>60</v>
      </c>
      <c r="U796" s="20" t="s">
        <v>60</v>
      </c>
      <c r="V796" s="20"/>
      <c r="W796" s="20"/>
      <c r="X796" s="20" t="s">
        <v>60</v>
      </c>
      <c r="Y796" s="20" t="s">
        <v>412</v>
      </c>
      <c r="Z796" s="20" t="s">
        <v>60</v>
      </c>
      <c r="AA796" s="20" t="s">
        <v>491</v>
      </c>
    </row>
    <row r="797" spans="1:27" x14ac:dyDescent="0.2">
      <c r="A797" s="1">
        <v>46044</v>
      </c>
      <c r="B797" s="20" t="s">
        <v>324</v>
      </c>
      <c r="C797" s="20" t="s">
        <v>36</v>
      </c>
      <c r="D797" s="20" t="s">
        <v>29</v>
      </c>
      <c r="E797" s="20" t="s">
        <v>1232</v>
      </c>
      <c r="F797" s="20" t="s">
        <v>36</v>
      </c>
      <c r="G797" s="20">
        <v>2</v>
      </c>
      <c r="H797" s="20">
        <v>3</v>
      </c>
      <c r="I797" s="13">
        <v>0.6</v>
      </c>
      <c r="J797" s="20" t="s">
        <v>249</v>
      </c>
      <c r="L797" s="20" t="s">
        <v>60</v>
      </c>
      <c r="M797" s="20" t="s">
        <v>60</v>
      </c>
      <c r="N797" s="20" t="s">
        <v>36</v>
      </c>
      <c r="O797" s="20">
        <v>2</v>
      </c>
      <c r="P797" s="20">
        <v>3</v>
      </c>
      <c r="Q797" s="13">
        <v>0.55383688739659709</v>
      </c>
      <c r="R797" s="20" t="s">
        <v>249</v>
      </c>
      <c r="S797" s="20">
        <v>-0.8036404840220599</v>
      </c>
      <c r="T797" s="20" t="s">
        <v>60</v>
      </c>
      <c r="U797" s="20" t="s">
        <v>60</v>
      </c>
      <c r="V797" s="20"/>
      <c r="W797" s="20"/>
      <c r="X797" s="20" t="s">
        <v>60</v>
      </c>
      <c r="Y797" s="20" t="s">
        <v>412</v>
      </c>
      <c r="Z797" s="20" t="s">
        <v>60</v>
      </c>
      <c r="AA797" s="20" t="s">
        <v>491</v>
      </c>
    </row>
    <row r="798" spans="1:27" x14ac:dyDescent="0.2">
      <c r="A798" s="1">
        <v>46044</v>
      </c>
      <c r="B798" s="20" t="s">
        <v>426</v>
      </c>
      <c r="C798" s="20" t="s">
        <v>26</v>
      </c>
      <c r="D798" s="20" t="s">
        <v>34</v>
      </c>
      <c r="E798" s="20" t="s">
        <v>1233</v>
      </c>
      <c r="F798" s="20" t="s">
        <v>34</v>
      </c>
      <c r="G798" s="20">
        <v>2</v>
      </c>
      <c r="H798" s="20">
        <v>3</v>
      </c>
      <c r="I798" s="13">
        <v>0.6</v>
      </c>
      <c r="J798" s="20" t="s">
        <v>249</v>
      </c>
      <c r="L798" s="20" t="s">
        <v>60</v>
      </c>
      <c r="M798" s="20" t="s">
        <v>60</v>
      </c>
      <c r="N798" s="20" t="s">
        <v>34</v>
      </c>
      <c r="O798" s="20">
        <v>2</v>
      </c>
      <c r="P798" s="20">
        <v>3</v>
      </c>
      <c r="Q798" s="13">
        <v>0.64159882970820126</v>
      </c>
      <c r="R798" s="20" t="s">
        <v>249</v>
      </c>
      <c r="S798" s="20">
        <v>0.87011552650599311</v>
      </c>
      <c r="T798" s="20" t="s">
        <v>60</v>
      </c>
      <c r="U798" s="20" t="s">
        <v>60</v>
      </c>
      <c r="V798" s="20"/>
      <c r="W798" s="20"/>
      <c r="X798" s="20" t="s">
        <v>60</v>
      </c>
      <c r="Y798" s="20" t="s">
        <v>412</v>
      </c>
      <c r="Z798" s="20" t="s">
        <v>60</v>
      </c>
      <c r="AA798" s="20" t="s">
        <v>491</v>
      </c>
    </row>
    <row r="799" spans="1:27" x14ac:dyDescent="0.2">
      <c r="A799" s="1">
        <v>46044</v>
      </c>
      <c r="B799" s="20" t="s">
        <v>328</v>
      </c>
      <c r="C799" s="20" t="s">
        <v>20</v>
      </c>
      <c r="D799" s="20" t="s">
        <v>21</v>
      </c>
      <c r="E799" s="20" t="s">
        <v>1234</v>
      </c>
      <c r="F799" s="20" t="s">
        <v>21</v>
      </c>
      <c r="G799" s="20">
        <v>2</v>
      </c>
      <c r="H799" s="20">
        <v>3</v>
      </c>
      <c r="I799" s="13">
        <v>0.6</v>
      </c>
      <c r="J799" s="20" t="s">
        <v>249</v>
      </c>
      <c r="L799" s="20" t="s">
        <v>60</v>
      </c>
      <c r="M799" s="20" t="s">
        <v>60</v>
      </c>
      <c r="N799" s="20" t="s">
        <v>21</v>
      </c>
      <c r="O799" s="20">
        <v>2</v>
      </c>
      <c r="P799" s="20">
        <v>3</v>
      </c>
      <c r="Q799" s="13">
        <v>0.59160891485008038</v>
      </c>
      <c r="R799" s="20" t="s">
        <v>249</v>
      </c>
      <c r="S799" s="20">
        <v>7.457181879606728E-2</v>
      </c>
      <c r="T799" s="20" t="s">
        <v>60</v>
      </c>
      <c r="U799" s="20" t="s">
        <v>60</v>
      </c>
      <c r="V799" s="20"/>
      <c r="W799" s="20"/>
      <c r="X799" s="20" t="s">
        <v>60</v>
      </c>
      <c r="Y799" s="20" t="s">
        <v>412</v>
      </c>
      <c r="Z799" s="20" t="s">
        <v>60</v>
      </c>
      <c r="AA799" s="20" t="s">
        <v>491</v>
      </c>
    </row>
    <row r="800" spans="1:27" x14ac:dyDescent="0.2">
      <c r="A800" s="1">
        <v>46044</v>
      </c>
      <c r="B800" s="20" t="s">
        <v>328</v>
      </c>
      <c r="C800" s="20" t="s">
        <v>39</v>
      </c>
      <c r="D800" s="20" t="s">
        <v>28</v>
      </c>
      <c r="E800" s="20" t="s">
        <v>1235</v>
      </c>
      <c r="F800" s="20" t="s">
        <v>39</v>
      </c>
      <c r="G800" s="20">
        <v>2</v>
      </c>
      <c r="H800" s="20">
        <v>3</v>
      </c>
      <c r="I800" s="13">
        <v>0.6</v>
      </c>
      <c r="J800" s="20" t="s">
        <v>249</v>
      </c>
      <c r="L800" s="20" t="s">
        <v>60</v>
      </c>
      <c r="M800" s="20" t="s">
        <v>60</v>
      </c>
      <c r="N800" s="20" t="s">
        <v>39</v>
      </c>
      <c r="O800" s="20">
        <v>2</v>
      </c>
      <c r="P800" s="20">
        <v>3</v>
      </c>
      <c r="Q800" s="13">
        <v>0.67372041233192359</v>
      </c>
      <c r="R800" s="20" t="s">
        <v>249</v>
      </c>
      <c r="S800" s="20">
        <v>-0.9585311572824976</v>
      </c>
      <c r="T800" s="20" t="s">
        <v>60</v>
      </c>
      <c r="U800" s="20" t="s">
        <v>60</v>
      </c>
      <c r="V800" s="20"/>
      <c r="W800" s="20"/>
      <c r="X800" s="20" t="s">
        <v>60</v>
      </c>
      <c r="Y800" s="20" t="s">
        <v>412</v>
      </c>
      <c r="Z800" s="20" t="s">
        <v>60</v>
      </c>
      <c r="AA800" s="20" t="s">
        <v>491</v>
      </c>
    </row>
    <row r="801" spans="1:27" x14ac:dyDescent="0.2">
      <c r="A801" s="1">
        <v>46044</v>
      </c>
      <c r="B801" s="20" t="s">
        <v>328</v>
      </c>
      <c r="C801" s="20" t="s">
        <v>10</v>
      </c>
      <c r="D801" s="20" t="s">
        <v>25</v>
      </c>
      <c r="E801" s="20" t="s">
        <v>1236</v>
      </c>
      <c r="F801" s="20" t="s">
        <v>25</v>
      </c>
      <c r="G801" s="20">
        <v>2</v>
      </c>
      <c r="H801" s="20">
        <v>3</v>
      </c>
      <c r="I801" s="13">
        <v>0.6</v>
      </c>
      <c r="J801" s="20" t="s">
        <v>249</v>
      </c>
      <c r="L801" s="20" t="s">
        <v>60</v>
      </c>
      <c r="M801" s="20" t="s">
        <v>60</v>
      </c>
      <c r="N801" s="20" t="s">
        <v>25</v>
      </c>
      <c r="O801" s="20">
        <v>2</v>
      </c>
      <c r="P801" s="20">
        <v>3</v>
      </c>
      <c r="Q801" s="13">
        <v>0.66781999331427422</v>
      </c>
      <c r="R801" s="20" t="s">
        <v>249</v>
      </c>
      <c r="S801" s="20">
        <v>0.6517721414360288</v>
      </c>
      <c r="T801" s="20" t="s">
        <v>60</v>
      </c>
      <c r="U801" s="20" t="s">
        <v>60</v>
      </c>
      <c r="V801" s="20"/>
      <c r="W801" s="20"/>
      <c r="X801" s="20" t="s">
        <v>60</v>
      </c>
      <c r="Y801" s="20" t="s">
        <v>412</v>
      </c>
      <c r="Z801" s="20" t="s">
        <v>60</v>
      </c>
      <c r="AA801" s="20" t="s">
        <v>491</v>
      </c>
    </row>
    <row r="802" spans="1:27" x14ac:dyDescent="0.2">
      <c r="A802" s="1">
        <v>46044</v>
      </c>
      <c r="B802" s="20" t="s">
        <v>326</v>
      </c>
      <c r="C802" s="20" t="s">
        <v>14</v>
      </c>
      <c r="D802" s="20" t="s">
        <v>17</v>
      </c>
      <c r="E802" s="20" t="s">
        <v>1237</v>
      </c>
      <c r="F802" s="20" t="s">
        <v>14</v>
      </c>
      <c r="G802" s="20">
        <v>2</v>
      </c>
      <c r="H802" s="20">
        <v>3</v>
      </c>
      <c r="I802" s="13">
        <v>0.6</v>
      </c>
      <c r="J802" s="20" t="s">
        <v>249</v>
      </c>
      <c r="L802" s="20" t="s">
        <v>60</v>
      </c>
      <c r="M802" s="20" t="s">
        <v>60</v>
      </c>
      <c r="N802" s="20" t="s">
        <v>14</v>
      </c>
      <c r="O802" s="20">
        <v>2</v>
      </c>
      <c r="P802" s="20">
        <v>3</v>
      </c>
      <c r="Q802" s="13">
        <v>0.56523339567201758</v>
      </c>
      <c r="R802" s="20" t="s">
        <v>249</v>
      </c>
      <c r="S802" s="20">
        <v>-0.62558169374886929</v>
      </c>
      <c r="T802" s="20" t="s">
        <v>60</v>
      </c>
      <c r="U802" s="20" t="s">
        <v>60</v>
      </c>
      <c r="V802" s="20"/>
      <c r="W802" s="20"/>
      <c r="X802" s="20" t="s">
        <v>60</v>
      </c>
      <c r="Y802" s="20" t="s">
        <v>412</v>
      </c>
      <c r="Z802" s="20" t="s">
        <v>60</v>
      </c>
      <c r="AA802" s="20" t="s">
        <v>491</v>
      </c>
    </row>
    <row r="803" spans="1:27" x14ac:dyDescent="0.2">
      <c r="A803" s="1">
        <v>46045</v>
      </c>
      <c r="B803" s="20" t="s">
        <v>326</v>
      </c>
      <c r="C803" s="20" t="s">
        <v>22</v>
      </c>
      <c r="D803" s="20" t="s">
        <v>16</v>
      </c>
      <c r="E803" s="20" t="s">
        <v>1238</v>
      </c>
      <c r="F803" s="20" t="s">
        <v>22</v>
      </c>
      <c r="G803" s="20">
        <v>2</v>
      </c>
      <c r="H803" s="20">
        <v>3</v>
      </c>
      <c r="I803" s="13">
        <v>0.6</v>
      </c>
      <c r="J803" s="20" t="s">
        <v>249</v>
      </c>
      <c r="L803" s="20" t="s">
        <v>60</v>
      </c>
      <c r="M803" s="20" t="s">
        <v>60</v>
      </c>
      <c r="N803" s="20" t="s">
        <v>22</v>
      </c>
      <c r="O803" s="20">
        <v>2</v>
      </c>
      <c r="P803" s="20">
        <v>3</v>
      </c>
      <c r="Q803" s="13">
        <v>0.67259068184249715</v>
      </c>
      <c r="R803" s="20" t="s">
        <v>249</v>
      </c>
      <c r="S803" s="20">
        <v>-1.4565877629752151</v>
      </c>
      <c r="T803" s="20" t="s">
        <v>60</v>
      </c>
      <c r="U803" s="20" t="s">
        <v>60</v>
      </c>
      <c r="V803" s="20"/>
      <c r="W803" s="20"/>
      <c r="X803" s="20" t="s">
        <v>60</v>
      </c>
      <c r="Y803" s="20" t="s">
        <v>412</v>
      </c>
      <c r="Z803" s="20" t="s">
        <v>60</v>
      </c>
      <c r="AA803" s="20" t="s">
        <v>491</v>
      </c>
    </row>
    <row r="804" spans="1:27" x14ac:dyDescent="0.2">
      <c r="A804" s="1">
        <v>46045</v>
      </c>
      <c r="B804" s="20" t="s">
        <v>328</v>
      </c>
      <c r="C804" s="20" t="s">
        <v>37</v>
      </c>
      <c r="D804" s="20" t="s">
        <v>10</v>
      </c>
      <c r="E804" s="20" t="s">
        <v>1239</v>
      </c>
      <c r="F804" s="20" t="s">
        <v>37</v>
      </c>
      <c r="G804" s="20">
        <v>2</v>
      </c>
      <c r="H804" s="20">
        <v>3</v>
      </c>
      <c r="I804" s="13">
        <v>0.6</v>
      </c>
      <c r="J804" s="20" t="s">
        <v>249</v>
      </c>
      <c r="L804" s="20" t="s">
        <v>60</v>
      </c>
      <c r="M804" s="20" t="s">
        <v>60</v>
      </c>
      <c r="N804" s="20" t="s">
        <v>37</v>
      </c>
      <c r="O804" s="20">
        <v>2</v>
      </c>
      <c r="P804" s="20">
        <v>3</v>
      </c>
      <c r="Q804" s="13">
        <v>0.62684203923786574</v>
      </c>
      <c r="R804" s="20" t="s">
        <v>249</v>
      </c>
      <c r="S804" s="20">
        <v>-0.63680045300775545</v>
      </c>
      <c r="T804" s="20" t="s">
        <v>60</v>
      </c>
      <c r="U804" s="20" t="s">
        <v>60</v>
      </c>
      <c r="V804" s="20"/>
      <c r="W804" s="20"/>
      <c r="X804" s="20" t="s">
        <v>60</v>
      </c>
      <c r="Y804" s="20" t="s">
        <v>412</v>
      </c>
      <c r="Z804" s="20" t="s">
        <v>60</v>
      </c>
      <c r="AA804" s="20" t="s">
        <v>491</v>
      </c>
    </row>
    <row r="805" spans="1:27" x14ac:dyDescent="0.2">
      <c r="A805" s="1">
        <v>46045</v>
      </c>
      <c r="B805" s="20" t="s">
        <v>326</v>
      </c>
      <c r="C805" s="20" t="s">
        <v>27</v>
      </c>
      <c r="D805" s="20" t="s">
        <v>12</v>
      </c>
      <c r="E805" s="20" t="s">
        <v>1240</v>
      </c>
      <c r="F805" s="20" t="s">
        <v>12</v>
      </c>
      <c r="G805" s="20">
        <v>2</v>
      </c>
      <c r="H805" s="20">
        <v>3</v>
      </c>
      <c r="I805" s="13">
        <v>0.6</v>
      </c>
      <c r="J805" s="20" t="s">
        <v>249</v>
      </c>
      <c r="L805" s="20" t="s">
        <v>60</v>
      </c>
      <c r="M805" s="20" t="s">
        <v>60</v>
      </c>
      <c r="N805" s="20" t="s">
        <v>12</v>
      </c>
      <c r="O805" s="20">
        <v>2</v>
      </c>
      <c r="P805" s="20">
        <v>3</v>
      </c>
      <c r="Q805" s="13">
        <v>0.84516967392532616</v>
      </c>
      <c r="R805" s="20" t="s">
        <v>249</v>
      </c>
      <c r="S805" s="20">
        <v>2.0620439908564552</v>
      </c>
      <c r="T805" s="20" t="s">
        <v>60</v>
      </c>
      <c r="U805" s="20" t="s">
        <v>60</v>
      </c>
      <c r="V805" s="20"/>
      <c r="W805" s="20"/>
      <c r="X805" s="20" t="s">
        <v>60</v>
      </c>
      <c r="Y805" s="20" t="s">
        <v>412</v>
      </c>
      <c r="Z805" s="20" t="s">
        <v>60</v>
      </c>
      <c r="AA805" s="20" t="s">
        <v>491</v>
      </c>
    </row>
    <row r="806" spans="1:27" x14ac:dyDescent="0.2">
      <c r="A806" s="1">
        <v>46045</v>
      </c>
      <c r="B806" s="20" t="s">
        <v>324</v>
      </c>
      <c r="C806" s="20" t="s">
        <v>35</v>
      </c>
      <c r="D806" s="20" t="s">
        <v>39</v>
      </c>
      <c r="E806" s="20" t="s">
        <v>1241</v>
      </c>
      <c r="F806" s="20" t="s">
        <v>39</v>
      </c>
      <c r="G806" s="20">
        <v>2</v>
      </c>
      <c r="H806" s="20">
        <v>3</v>
      </c>
      <c r="I806" s="13">
        <v>0.6</v>
      </c>
      <c r="J806" s="20" t="s">
        <v>249</v>
      </c>
      <c r="L806" s="20" t="s">
        <v>60</v>
      </c>
      <c r="M806" s="20" t="s">
        <v>60</v>
      </c>
      <c r="N806" s="20" t="s">
        <v>39</v>
      </c>
      <c r="O806" s="20">
        <v>2</v>
      </c>
      <c r="P806" s="20">
        <v>3</v>
      </c>
      <c r="Q806" s="13">
        <v>0.78917415975175542</v>
      </c>
      <c r="R806" s="20" t="s">
        <v>249</v>
      </c>
      <c r="S806" s="20">
        <v>1.8578216227260049</v>
      </c>
      <c r="T806" s="20" t="s">
        <v>60</v>
      </c>
      <c r="U806" s="20" t="s">
        <v>60</v>
      </c>
      <c r="V806" s="20"/>
      <c r="W806" s="20"/>
      <c r="X806" s="20" t="s">
        <v>60</v>
      </c>
      <c r="Y806" s="20" t="s">
        <v>412</v>
      </c>
      <c r="Z806" s="20" t="s">
        <v>60</v>
      </c>
      <c r="AA806" s="20" t="s">
        <v>491</v>
      </c>
    </row>
    <row r="807" spans="1:27" x14ac:dyDescent="0.2">
      <c r="A807" s="1">
        <v>46045</v>
      </c>
      <c r="B807" s="20" t="s">
        <v>322</v>
      </c>
      <c r="C807" s="20" t="s">
        <v>31</v>
      </c>
      <c r="D807" s="20" t="s">
        <v>32</v>
      </c>
      <c r="E807" s="20" t="s">
        <v>511</v>
      </c>
      <c r="F807" s="20" t="s">
        <v>31</v>
      </c>
      <c r="G807" s="20">
        <v>2</v>
      </c>
      <c r="H807" s="20">
        <v>3</v>
      </c>
      <c r="I807" s="13">
        <v>0.6</v>
      </c>
      <c r="J807" s="20" t="s">
        <v>249</v>
      </c>
      <c r="L807" s="20" t="s">
        <v>60</v>
      </c>
      <c r="M807" s="20" t="s">
        <v>60</v>
      </c>
      <c r="N807" s="20" t="s">
        <v>31</v>
      </c>
      <c r="O807" s="20">
        <v>2</v>
      </c>
      <c r="P807" s="20">
        <v>3</v>
      </c>
      <c r="Q807" s="13">
        <v>0.57163317346074072</v>
      </c>
      <c r="R807" s="20" t="s">
        <v>249</v>
      </c>
      <c r="S807" s="20">
        <v>-0.77817950819419379</v>
      </c>
      <c r="T807" s="20" t="s">
        <v>60</v>
      </c>
      <c r="U807" s="20" t="s">
        <v>60</v>
      </c>
      <c r="V807" s="20"/>
      <c r="W807" s="20"/>
      <c r="X807" s="20" t="s">
        <v>60</v>
      </c>
      <c r="Y807" s="20" t="s">
        <v>412</v>
      </c>
      <c r="Z807" s="20" t="s">
        <v>60</v>
      </c>
      <c r="AA807" s="20" t="s">
        <v>491</v>
      </c>
    </row>
    <row r="808" spans="1:27" x14ac:dyDescent="0.2">
      <c r="A808" s="1">
        <v>46045</v>
      </c>
      <c r="B808" s="20" t="s">
        <v>322</v>
      </c>
      <c r="C808" s="20" t="s">
        <v>15</v>
      </c>
      <c r="D808" s="20" t="s">
        <v>33</v>
      </c>
      <c r="E808" s="20" t="s">
        <v>1242</v>
      </c>
      <c r="F808" s="20" t="s">
        <v>15</v>
      </c>
      <c r="G808" s="20">
        <v>2</v>
      </c>
      <c r="H808" s="20">
        <v>3</v>
      </c>
      <c r="I808" s="13">
        <v>0.6</v>
      </c>
      <c r="J808" s="20" t="s">
        <v>249</v>
      </c>
      <c r="L808" s="20" t="s">
        <v>60</v>
      </c>
      <c r="M808" s="20" t="s">
        <v>60</v>
      </c>
      <c r="N808" s="20" t="s">
        <v>15</v>
      </c>
      <c r="O808" s="20">
        <v>2</v>
      </c>
      <c r="P808" s="20">
        <v>3</v>
      </c>
      <c r="Q808" s="13">
        <v>0.56300715732678952</v>
      </c>
      <c r="R808" s="20" t="s">
        <v>249</v>
      </c>
      <c r="S808" s="20">
        <v>-0.1113962589751383</v>
      </c>
      <c r="T808" s="20" t="s">
        <v>60</v>
      </c>
      <c r="U808" s="20" t="s">
        <v>60</v>
      </c>
      <c r="V808" s="20"/>
      <c r="W808" s="20"/>
      <c r="X808" s="20" t="s">
        <v>60</v>
      </c>
      <c r="Y808" s="20" t="s">
        <v>412</v>
      </c>
      <c r="Z808" s="20" t="s">
        <v>60</v>
      </c>
      <c r="AA808" s="20" t="s">
        <v>491</v>
      </c>
    </row>
    <row r="809" spans="1:27" x14ac:dyDescent="0.2">
      <c r="A809" s="1">
        <v>46045</v>
      </c>
      <c r="B809" s="20" t="s">
        <v>328</v>
      </c>
      <c r="C809" s="20" t="s">
        <v>20</v>
      </c>
      <c r="D809" s="20" t="s">
        <v>19</v>
      </c>
      <c r="E809" s="20" t="s">
        <v>1243</v>
      </c>
      <c r="F809" s="20" t="s">
        <v>20</v>
      </c>
      <c r="G809" s="20">
        <v>2</v>
      </c>
      <c r="H809" s="20">
        <v>3</v>
      </c>
      <c r="I809" s="13">
        <v>0.6</v>
      </c>
      <c r="J809" s="20" t="s">
        <v>249</v>
      </c>
      <c r="L809" s="20" t="s">
        <v>60</v>
      </c>
      <c r="M809" s="20" t="s">
        <v>60</v>
      </c>
      <c r="N809" s="20" t="s">
        <v>20</v>
      </c>
      <c r="O809" s="20">
        <v>2</v>
      </c>
      <c r="P809" s="20">
        <v>3</v>
      </c>
      <c r="Q809" s="13">
        <v>0.49971601622378897</v>
      </c>
      <c r="R809" s="20" t="s">
        <v>249</v>
      </c>
      <c r="S809" s="20">
        <v>-0.34013701207518171</v>
      </c>
      <c r="T809" s="20" t="s">
        <v>60</v>
      </c>
      <c r="U809" s="20" t="s">
        <v>60</v>
      </c>
      <c r="V809" s="20"/>
      <c r="W809" s="20"/>
      <c r="X809" s="20" t="s">
        <v>60</v>
      </c>
      <c r="Y809" s="20" t="s">
        <v>412</v>
      </c>
      <c r="Z809" s="20" t="s">
        <v>60</v>
      </c>
      <c r="AA809" s="20" t="s">
        <v>491</v>
      </c>
    </row>
    <row r="810" spans="1:27" x14ac:dyDescent="0.2">
      <c r="A810" s="1">
        <v>46045</v>
      </c>
      <c r="B810" s="20" t="s">
        <v>322</v>
      </c>
      <c r="C810" s="20" t="s">
        <v>24</v>
      </c>
      <c r="D810" s="20" t="s">
        <v>38</v>
      </c>
      <c r="E810" s="20" t="s">
        <v>1244</v>
      </c>
      <c r="F810" s="20" t="s">
        <v>24</v>
      </c>
      <c r="G810" s="20">
        <v>2</v>
      </c>
      <c r="H810" s="20">
        <v>3</v>
      </c>
      <c r="I810" s="13">
        <v>0.6</v>
      </c>
      <c r="J810" s="20" t="s">
        <v>249</v>
      </c>
      <c r="L810" s="20" t="s">
        <v>60</v>
      </c>
      <c r="M810" s="20" t="s">
        <v>60</v>
      </c>
      <c r="N810" s="20" t="s">
        <v>24</v>
      </c>
      <c r="O810" s="20">
        <v>2</v>
      </c>
      <c r="P810" s="20">
        <v>3</v>
      </c>
      <c r="Q810" s="13">
        <v>0.58577662584622392</v>
      </c>
      <c r="R810" s="20" t="s">
        <v>249</v>
      </c>
      <c r="S810" s="20">
        <v>-0.89930725695224589</v>
      </c>
      <c r="T810" s="20" t="s">
        <v>60</v>
      </c>
      <c r="U810" s="20" t="s">
        <v>60</v>
      </c>
      <c r="V810" s="20"/>
      <c r="W810" s="20"/>
      <c r="X810" s="20" t="s">
        <v>60</v>
      </c>
      <c r="Y810" s="20" t="s">
        <v>412</v>
      </c>
      <c r="Z810" s="20" t="s">
        <v>60</v>
      </c>
      <c r="AA810" s="20" t="s">
        <v>491</v>
      </c>
    </row>
    <row r="811" spans="1:27" x14ac:dyDescent="0.2">
      <c r="A811" s="1">
        <v>46046</v>
      </c>
      <c r="B811" s="20" t="s">
        <v>328</v>
      </c>
      <c r="C811" s="20" t="s">
        <v>25</v>
      </c>
      <c r="D811" s="20" t="s">
        <v>36</v>
      </c>
      <c r="E811" s="20" t="s">
        <v>1245</v>
      </c>
      <c r="F811" s="20" t="s">
        <v>25</v>
      </c>
      <c r="G811" s="20">
        <v>2</v>
      </c>
      <c r="H811" s="20">
        <v>3</v>
      </c>
      <c r="I811" s="13">
        <v>0.6</v>
      </c>
      <c r="J811" s="20" t="s">
        <v>249</v>
      </c>
      <c r="L811" s="20" t="s">
        <v>60</v>
      </c>
      <c r="M811" s="20" t="s">
        <v>60</v>
      </c>
      <c r="N811" s="20" t="s">
        <v>25</v>
      </c>
      <c r="O811" s="20">
        <v>2</v>
      </c>
      <c r="P811" s="20">
        <v>3</v>
      </c>
      <c r="Q811" s="13">
        <v>0.63604368429743785</v>
      </c>
      <c r="R811" s="20" t="s">
        <v>249</v>
      </c>
      <c r="S811" s="20">
        <v>-0.90715043927022876</v>
      </c>
      <c r="T811" s="20" t="s">
        <v>60</v>
      </c>
      <c r="U811" s="20" t="s">
        <v>60</v>
      </c>
      <c r="V811" s="20"/>
      <c r="W811" s="20"/>
      <c r="X811" s="20" t="s">
        <v>60</v>
      </c>
      <c r="Y811" s="20" t="s">
        <v>412</v>
      </c>
      <c r="Z811" s="20" t="s">
        <v>60</v>
      </c>
      <c r="AA811" s="20" t="s">
        <v>491</v>
      </c>
    </row>
    <row r="812" spans="1:27" x14ac:dyDescent="0.2">
      <c r="A812" s="1">
        <v>46046</v>
      </c>
      <c r="B812" s="20" t="s">
        <v>328</v>
      </c>
      <c r="C812" s="20" t="s">
        <v>26</v>
      </c>
      <c r="D812" s="20" t="s">
        <v>40</v>
      </c>
      <c r="E812" s="20" t="s">
        <v>1246</v>
      </c>
      <c r="F812" s="20" t="s">
        <v>40</v>
      </c>
      <c r="G812" s="20">
        <v>2</v>
      </c>
      <c r="H812" s="20">
        <v>3</v>
      </c>
      <c r="I812" s="13">
        <v>0.6</v>
      </c>
      <c r="J812" s="20" t="s">
        <v>249</v>
      </c>
      <c r="L812" s="20" t="s">
        <v>60</v>
      </c>
      <c r="M812" s="20" t="s">
        <v>60</v>
      </c>
      <c r="N812" s="20" t="s">
        <v>40</v>
      </c>
      <c r="O812" s="20">
        <v>2</v>
      </c>
      <c r="P812" s="20">
        <v>3</v>
      </c>
      <c r="Q812" s="13">
        <v>0.61395533538506064</v>
      </c>
      <c r="R812" s="20" t="s">
        <v>249</v>
      </c>
      <c r="S812" s="20">
        <v>0.61199849017268038</v>
      </c>
      <c r="T812" s="20" t="s">
        <v>60</v>
      </c>
      <c r="U812" s="20" t="s">
        <v>60</v>
      </c>
      <c r="V812" s="20"/>
      <c r="W812" s="20"/>
      <c r="X812" s="20" t="s">
        <v>60</v>
      </c>
      <c r="Y812" s="20" t="s">
        <v>412</v>
      </c>
      <c r="Z812" s="20" t="s">
        <v>60</v>
      </c>
      <c r="AA812" s="20" t="s">
        <v>491</v>
      </c>
    </row>
    <row r="813" spans="1:27" x14ac:dyDescent="0.2">
      <c r="A813" s="1">
        <v>46046</v>
      </c>
      <c r="B813" s="20" t="s">
        <v>324</v>
      </c>
      <c r="C813" s="20" t="s">
        <v>13</v>
      </c>
      <c r="D813" s="20" t="s">
        <v>35</v>
      </c>
      <c r="E813" s="20" t="s">
        <v>627</v>
      </c>
      <c r="F813" s="20" t="s">
        <v>13</v>
      </c>
      <c r="G813" s="20">
        <v>2</v>
      </c>
      <c r="H813" s="20">
        <v>3</v>
      </c>
      <c r="I813" s="13">
        <v>0.6</v>
      </c>
      <c r="J813" s="20" t="s">
        <v>249</v>
      </c>
      <c r="L813" s="20" t="s">
        <v>60</v>
      </c>
      <c r="M813" s="20" t="s">
        <v>60</v>
      </c>
      <c r="N813" s="20" t="s">
        <v>13</v>
      </c>
      <c r="O813" s="20">
        <v>2</v>
      </c>
      <c r="P813" s="20">
        <v>3</v>
      </c>
      <c r="Q813" s="13">
        <v>0.64381546865604655</v>
      </c>
      <c r="R813" s="20" t="s">
        <v>249</v>
      </c>
      <c r="S813" s="20">
        <v>-1.0062940243473459</v>
      </c>
      <c r="T813" s="20" t="s">
        <v>60</v>
      </c>
      <c r="U813" s="20" t="s">
        <v>60</v>
      </c>
      <c r="V813" s="20"/>
      <c r="W813" s="20"/>
      <c r="X813" s="20" t="s">
        <v>60</v>
      </c>
      <c r="Y813" s="20" t="s">
        <v>412</v>
      </c>
      <c r="Z813" s="20" t="s">
        <v>60</v>
      </c>
      <c r="AA813" s="20" t="s">
        <v>491</v>
      </c>
    </row>
    <row r="814" spans="1:27" x14ac:dyDescent="0.2">
      <c r="A814" s="1">
        <v>46046</v>
      </c>
      <c r="B814" s="20" t="s">
        <v>347</v>
      </c>
      <c r="C814" s="20" t="s">
        <v>23</v>
      </c>
      <c r="D814" s="20" t="s">
        <v>30</v>
      </c>
      <c r="E814" s="20" t="s">
        <v>1247</v>
      </c>
      <c r="F814" s="20" t="s">
        <v>30</v>
      </c>
      <c r="G814" s="20">
        <v>2</v>
      </c>
      <c r="H814" s="20">
        <v>3</v>
      </c>
      <c r="I814" s="13">
        <v>0.6</v>
      </c>
      <c r="J814" s="20" t="s">
        <v>249</v>
      </c>
      <c r="L814" s="20" t="s">
        <v>60</v>
      </c>
      <c r="M814" s="20" t="s">
        <v>60</v>
      </c>
      <c r="N814" s="20" t="s">
        <v>30</v>
      </c>
      <c r="O814" s="20">
        <v>2</v>
      </c>
      <c r="P814" s="20">
        <v>3</v>
      </c>
      <c r="Q814" s="13">
        <v>0.57328720257672994</v>
      </c>
      <c r="R814" s="20" t="s">
        <v>249</v>
      </c>
      <c r="S814" s="20">
        <v>0.28507918722241948</v>
      </c>
      <c r="T814" s="20" t="s">
        <v>60</v>
      </c>
      <c r="U814" s="20" t="s">
        <v>60</v>
      </c>
      <c r="V814" s="20"/>
      <c r="W814" s="20"/>
      <c r="X814" s="20" t="s">
        <v>60</v>
      </c>
      <c r="Y814" s="20" t="s">
        <v>412</v>
      </c>
      <c r="Z814" s="20" t="s">
        <v>60</v>
      </c>
      <c r="AA814" s="20" t="s">
        <v>491</v>
      </c>
    </row>
    <row r="815" spans="1:27" x14ac:dyDescent="0.2">
      <c r="A815" s="1">
        <v>46046</v>
      </c>
      <c r="B815" s="20" t="s">
        <v>352</v>
      </c>
      <c r="C815" s="20" t="s">
        <v>55</v>
      </c>
      <c r="D815" s="20" t="s">
        <v>29</v>
      </c>
      <c r="E815" s="20" t="s">
        <v>526</v>
      </c>
      <c r="F815" s="20" t="s">
        <v>55</v>
      </c>
      <c r="G815" s="20">
        <v>2</v>
      </c>
      <c r="H815" s="20">
        <v>3</v>
      </c>
      <c r="I815" s="13">
        <v>0.6</v>
      </c>
      <c r="J815" s="20" t="s">
        <v>249</v>
      </c>
      <c r="L815" s="20" t="s">
        <v>60</v>
      </c>
      <c r="M815" s="20" t="s">
        <v>60</v>
      </c>
      <c r="N815" s="20" t="s">
        <v>55</v>
      </c>
      <c r="O815" s="20">
        <v>2</v>
      </c>
      <c r="P815" s="20">
        <v>3</v>
      </c>
      <c r="Q815" s="13">
        <v>0.56881229021751245</v>
      </c>
      <c r="R815" s="20" t="s">
        <v>249</v>
      </c>
      <c r="S815" s="20">
        <v>-0.93189324586571609</v>
      </c>
      <c r="T815" s="20" t="s">
        <v>60</v>
      </c>
      <c r="U815" s="20" t="s">
        <v>60</v>
      </c>
      <c r="V815" s="20"/>
      <c r="W815" s="20"/>
      <c r="X815" s="20" t="s">
        <v>60</v>
      </c>
      <c r="Y815" s="20" t="s">
        <v>412</v>
      </c>
      <c r="Z815" s="20" t="s">
        <v>60</v>
      </c>
      <c r="AA815" s="20" t="s">
        <v>491</v>
      </c>
    </row>
    <row r="816" spans="1:27" x14ac:dyDescent="0.2">
      <c r="A816" s="1">
        <v>46046</v>
      </c>
      <c r="B816" s="20" t="s">
        <v>326</v>
      </c>
      <c r="C816" s="20" t="s">
        <v>11</v>
      </c>
      <c r="D816" s="20" t="s">
        <v>34</v>
      </c>
      <c r="E816" s="20" t="s">
        <v>1248</v>
      </c>
      <c r="F816" s="20" t="s">
        <v>34</v>
      </c>
      <c r="G816" s="20">
        <v>2</v>
      </c>
      <c r="H816" s="20">
        <v>3</v>
      </c>
      <c r="I816" s="13">
        <v>0.6</v>
      </c>
      <c r="J816" s="20" t="s">
        <v>249</v>
      </c>
      <c r="L816" s="20" t="s">
        <v>60</v>
      </c>
      <c r="M816" s="20" t="s">
        <v>60</v>
      </c>
      <c r="N816" s="20" t="s">
        <v>34</v>
      </c>
      <c r="O816" s="20">
        <v>2</v>
      </c>
      <c r="P816" s="20">
        <v>3</v>
      </c>
      <c r="Q816" s="13">
        <v>0.58575943793014884</v>
      </c>
      <c r="R816" s="20" t="s">
        <v>249</v>
      </c>
      <c r="S816" s="20">
        <v>0.3918942525377902</v>
      </c>
      <c r="T816" s="20" t="s">
        <v>60</v>
      </c>
      <c r="U816" s="20" t="s">
        <v>60</v>
      </c>
      <c r="V816" s="20"/>
      <c r="W816" s="20"/>
      <c r="X816" s="20" t="s">
        <v>60</v>
      </c>
      <c r="Y816" s="20" t="s">
        <v>412</v>
      </c>
      <c r="Z816" s="20" t="s">
        <v>60</v>
      </c>
      <c r="AA816" s="20" t="s">
        <v>491</v>
      </c>
    </row>
    <row r="817" spans="1:27" x14ac:dyDescent="0.2">
      <c r="A817" s="1">
        <v>46046</v>
      </c>
      <c r="B817" s="20" t="s">
        <v>322</v>
      </c>
      <c r="C817" s="20" t="s">
        <v>22</v>
      </c>
      <c r="D817" s="20" t="s">
        <v>17</v>
      </c>
      <c r="E817" s="20" t="s">
        <v>1249</v>
      </c>
      <c r="F817" s="20" t="s">
        <v>22</v>
      </c>
      <c r="G817" s="20">
        <v>2</v>
      </c>
      <c r="H817" s="20">
        <v>3</v>
      </c>
      <c r="I817" s="13">
        <v>0.6</v>
      </c>
      <c r="J817" s="20" t="s">
        <v>249</v>
      </c>
      <c r="L817" s="20" t="s">
        <v>60</v>
      </c>
      <c r="M817" s="20" t="s">
        <v>60</v>
      </c>
      <c r="N817" s="20" t="s">
        <v>22</v>
      </c>
      <c r="O817" s="20">
        <v>2</v>
      </c>
      <c r="P817" s="20">
        <v>3</v>
      </c>
      <c r="Q817" s="13">
        <v>0.63652926105675034</v>
      </c>
      <c r="R817" s="20" t="s">
        <v>249</v>
      </c>
      <c r="S817" s="20">
        <v>-1.208553148168116</v>
      </c>
      <c r="T817" s="20" t="s">
        <v>60</v>
      </c>
      <c r="U817" s="20" t="s">
        <v>60</v>
      </c>
      <c r="V817" s="20"/>
      <c r="W817" s="20"/>
      <c r="X817" s="20" t="s">
        <v>60</v>
      </c>
      <c r="Y817" s="20" t="s">
        <v>412</v>
      </c>
      <c r="Z817" s="20" t="s">
        <v>60</v>
      </c>
      <c r="AA817" s="20" t="s">
        <v>491</v>
      </c>
    </row>
    <row r="818" spans="1:27" x14ac:dyDescent="0.2">
      <c r="A818" s="1">
        <v>46046</v>
      </c>
      <c r="B818" s="20" t="s">
        <v>328</v>
      </c>
      <c r="C818" s="20" t="s">
        <v>37</v>
      </c>
      <c r="D818" s="20" t="s">
        <v>28</v>
      </c>
      <c r="E818" s="20" t="s">
        <v>595</v>
      </c>
      <c r="F818" s="20" t="s">
        <v>37</v>
      </c>
      <c r="G818" s="20">
        <v>2</v>
      </c>
      <c r="H818" s="20">
        <v>3</v>
      </c>
      <c r="I818" s="13">
        <v>0.6</v>
      </c>
      <c r="J818" s="20" t="s">
        <v>249</v>
      </c>
      <c r="L818" s="20" t="s">
        <v>60</v>
      </c>
      <c r="M818" s="20" t="s">
        <v>60</v>
      </c>
      <c r="N818" s="20" t="s">
        <v>37</v>
      </c>
      <c r="O818" s="20">
        <v>2</v>
      </c>
      <c r="P818" s="20">
        <v>3</v>
      </c>
      <c r="Q818" s="13">
        <v>0.67574232034876447</v>
      </c>
      <c r="R818" s="20" t="s">
        <v>249</v>
      </c>
      <c r="S818" s="20">
        <v>-1.055593602173982</v>
      </c>
      <c r="T818" s="20" t="s">
        <v>60</v>
      </c>
      <c r="U818" s="20" t="s">
        <v>60</v>
      </c>
      <c r="V818" s="20"/>
      <c r="W818" s="20"/>
      <c r="X818" s="20" t="s">
        <v>60</v>
      </c>
      <c r="Y818" s="20" t="s">
        <v>412</v>
      </c>
      <c r="Z818" s="20" t="s">
        <v>60</v>
      </c>
      <c r="AA818" s="20" t="s">
        <v>491</v>
      </c>
    </row>
    <row r="819" spans="1:27" x14ac:dyDescent="0.2">
      <c r="A819" s="1">
        <v>46046</v>
      </c>
      <c r="B819" s="20" t="s">
        <v>328</v>
      </c>
      <c r="C819" s="20" t="s">
        <v>18</v>
      </c>
      <c r="D819" s="20" t="s">
        <v>21</v>
      </c>
      <c r="E819" s="20" t="s">
        <v>1066</v>
      </c>
      <c r="F819" s="20" t="s">
        <v>21</v>
      </c>
      <c r="G819" s="20">
        <v>2</v>
      </c>
      <c r="H819" s="20">
        <v>3</v>
      </c>
      <c r="I819" s="13">
        <v>0.6</v>
      </c>
      <c r="J819" s="20" t="s">
        <v>249</v>
      </c>
      <c r="L819" s="20" t="s">
        <v>60</v>
      </c>
      <c r="M819" s="20" t="s">
        <v>60</v>
      </c>
      <c r="N819" s="20" t="s">
        <v>21</v>
      </c>
      <c r="O819" s="20">
        <v>2</v>
      </c>
      <c r="P819" s="20">
        <v>3</v>
      </c>
      <c r="Q819" s="13">
        <v>0.57366574500438006</v>
      </c>
      <c r="R819" s="20" t="s">
        <v>249</v>
      </c>
      <c r="S819" s="20">
        <v>0.42302061674925612</v>
      </c>
      <c r="T819" s="20" t="s">
        <v>60</v>
      </c>
      <c r="U819" s="20" t="s">
        <v>60</v>
      </c>
      <c r="V819" s="20"/>
      <c r="W819" s="20"/>
      <c r="X819" s="20" t="s">
        <v>60</v>
      </c>
      <c r="Y819" s="20" t="s">
        <v>412</v>
      </c>
      <c r="Z819" s="20" t="s">
        <v>60</v>
      </c>
      <c r="AA819" s="20" t="s">
        <v>491</v>
      </c>
    </row>
    <row r="820" spans="1:27" x14ac:dyDescent="0.2">
      <c r="A820" s="1">
        <v>46047</v>
      </c>
      <c r="B820" s="20" t="s">
        <v>542</v>
      </c>
      <c r="C820" s="20" t="s">
        <v>12</v>
      </c>
      <c r="D820" s="20" t="s">
        <v>19</v>
      </c>
      <c r="E820" s="20" t="s">
        <v>1250</v>
      </c>
      <c r="F820" s="20" t="s">
        <v>12</v>
      </c>
      <c r="G820" s="20">
        <v>2</v>
      </c>
      <c r="H820" s="20">
        <v>3</v>
      </c>
      <c r="I820" s="13">
        <v>0.6</v>
      </c>
      <c r="J820" s="20" t="s">
        <v>249</v>
      </c>
      <c r="L820" s="20" t="s">
        <v>60</v>
      </c>
      <c r="M820" s="20" t="s">
        <v>60</v>
      </c>
      <c r="N820" s="20" t="s">
        <v>12</v>
      </c>
      <c r="O820" s="20">
        <v>2</v>
      </c>
      <c r="P820" s="20">
        <v>3</v>
      </c>
      <c r="Q820" s="13">
        <v>0.79143009726111702</v>
      </c>
      <c r="R820" s="20" t="s">
        <v>249</v>
      </c>
      <c r="S820" s="20">
        <v>-2.2164815008227938</v>
      </c>
      <c r="T820" s="20" t="s">
        <v>60</v>
      </c>
      <c r="U820" s="20" t="s">
        <v>60</v>
      </c>
      <c r="V820" s="20"/>
      <c r="W820" s="20"/>
      <c r="X820" s="20" t="s">
        <v>60</v>
      </c>
      <c r="Y820" s="20" t="s">
        <v>412</v>
      </c>
      <c r="Z820" s="20" t="s">
        <v>60</v>
      </c>
      <c r="AA820" s="20" t="s">
        <v>491</v>
      </c>
    </row>
    <row r="821" spans="1:27" x14ac:dyDescent="0.2">
      <c r="A821" s="1">
        <v>46047</v>
      </c>
      <c r="B821" s="20" t="s">
        <v>369</v>
      </c>
      <c r="C821" s="20" t="s">
        <v>24</v>
      </c>
      <c r="D821" s="20" t="s">
        <v>32</v>
      </c>
      <c r="E821" s="20" t="s">
        <v>1251</v>
      </c>
      <c r="F821" s="20" t="s">
        <v>24</v>
      </c>
      <c r="G821" s="20">
        <v>2</v>
      </c>
      <c r="H821" s="20">
        <v>3</v>
      </c>
      <c r="I821" s="13">
        <v>0.6</v>
      </c>
      <c r="J821" s="20" t="s">
        <v>249</v>
      </c>
      <c r="L821" s="20" t="s">
        <v>60</v>
      </c>
      <c r="M821" s="20" t="s">
        <v>60</v>
      </c>
      <c r="N821" s="20" t="s">
        <v>24</v>
      </c>
      <c r="O821" s="20">
        <v>2</v>
      </c>
      <c r="P821" s="20">
        <v>3</v>
      </c>
      <c r="Q821" s="13">
        <v>0.55094563755429959</v>
      </c>
      <c r="R821" s="20" t="s">
        <v>249</v>
      </c>
      <c r="S821" s="20">
        <v>-0.60100673711953179</v>
      </c>
      <c r="T821" s="20" t="s">
        <v>60</v>
      </c>
      <c r="U821" s="20" t="s">
        <v>60</v>
      </c>
      <c r="V821" s="20"/>
      <c r="W821" s="20"/>
      <c r="X821" s="20" t="s">
        <v>60</v>
      </c>
      <c r="Y821" s="20" t="s">
        <v>412</v>
      </c>
      <c r="Z821" s="20" t="s">
        <v>60</v>
      </c>
      <c r="AA821" s="20" t="s">
        <v>491</v>
      </c>
    </row>
    <row r="822" spans="1:27" x14ac:dyDescent="0.2">
      <c r="A822" s="1">
        <v>46047</v>
      </c>
      <c r="B822" s="20" t="s">
        <v>469</v>
      </c>
      <c r="C822" s="20" t="s">
        <v>14</v>
      </c>
      <c r="D822" s="20" t="s">
        <v>38</v>
      </c>
      <c r="E822" s="20" t="s">
        <v>1252</v>
      </c>
      <c r="F822" s="20" t="s">
        <v>14</v>
      </c>
      <c r="G822" s="20">
        <v>2</v>
      </c>
      <c r="H822" s="20">
        <v>3</v>
      </c>
      <c r="I822" s="13">
        <v>0.6</v>
      </c>
      <c r="J822" s="20" t="s">
        <v>249</v>
      </c>
      <c r="L822" s="20" t="s">
        <v>60</v>
      </c>
      <c r="M822" s="20" t="s">
        <v>60</v>
      </c>
      <c r="N822" s="20" t="s">
        <v>14</v>
      </c>
      <c r="O822" s="20">
        <v>2</v>
      </c>
      <c r="P822" s="20">
        <v>3</v>
      </c>
      <c r="Q822" s="13">
        <v>0.58750400141574155</v>
      </c>
      <c r="R822" s="20" t="s">
        <v>249</v>
      </c>
      <c r="S822" s="20">
        <v>-0.75551278462215166</v>
      </c>
      <c r="T822" s="20" t="s">
        <v>60</v>
      </c>
      <c r="U822" s="20" t="s">
        <v>60</v>
      </c>
      <c r="V822" s="20"/>
      <c r="W822" s="20"/>
      <c r="X822" s="20" t="s">
        <v>60</v>
      </c>
      <c r="Y822" s="20" t="s">
        <v>412</v>
      </c>
      <c r="Z822" s="20" t="s">
        <v>60</v>
      </c>
      <c r="AA822" s="20" t="s">
        <v>491</v>
      </c>
    </row>
    <row r="823" spans="1:27" x14ac:dyDescent="0.2">
      <c r="A823" s="1">
        <v>46047</v>
      </c>
      <c r="B823" s="20" t="s">
        <v>328</v>
      </c>
      <c r="C823" s="20" t="s">
        <v>11</v>
      </c>
      <c r="D823" s="20" t="s">
        <v>10</v>
      </c>
      <c r="E823" s="20" t="s">
        <v>1253</v>
      </c>
      <c r="F823" s="20" t="s">
        <v>10</v>
      </c>
      <c r="G823" s="20">
        <v>2</v>
      </c>
      <c r="H823" s="20">
        <v>3</v>
      </c>
      <c r="I823" s="13">
        <v>0.6</v>
      </c>
      <c r="J823" s="20" t="s">
        <v>249</v>
      </c>
      <c r="L823" s="20" t="s">
        <v>60</v>
      </c>
      <c r="M823" s="20" t="s">
        <v>60</v>
      </c>
      <c r="N823" s="20" t="s">
        <v>10</v>
      </c>
      <c r="O823" s="20">
        <v>2</v>
      </c>
      <c r="P823" s="20">
        <v>3</v>
      </c>
      <c r="Q823" s="13">
        <v>0.57162255718477495</v>
      </c>
      <c r="R823" s="20" t="s">
        <v>249</v>
      </c>
      <c r="S823" s="20">
        <v>0.27082278480295541</v>
      </c>
      <c r="T823" s="20" t="s">
        <v>60</v>
      </c>
      <c r="U823" s="20" t="s">
        <v>60</v>
      </c>
      <c r="V823" s="20"/>
      <c r="W823" s="20"/>
      <c r="X823" s="20" t="s">
        <v>60</v>
      </c>
      <c r="Y823" s="20" t="s">
        <v>412</v>
      </c>
      <c r="Z823" s="20" t="s">
        <v>60</v>
      </c>
      <c r="AA823" s="20" t="s">
        <v>491</v>
      </c>
    </row>
    <row r="824" spans="1:27" x14ac:dyDescent="0.2">
      <c r="A824" s="1">
        <v>46047</v>
      </c>
      <c r="B824" s="20" t="s">
        <v>324</v>
      </c>
      <c r="C824" s="20" t="s">
        <v>31</v>
      </c>
      <c r="D824" s="20" t="s">
        <v>16</v>
      </c>
      <c r="E824" s="20" t="s">
        <v>1254</v>
      </c>
      <c r="F824" s="20" t="s">
        <v>31</v>
      </c>
      <c r="G824" s="20">
        <v>2</v>
      </c>
      <c r="H824" s="20">
        <v>3</v>
      </c>
      <c r="I824" s="13">
        <v>0.6</v>
      </c>
      <c r="J824" s="20" t="s">
        <v>249</v>
      </c>
      <c r="L824" s="20" t="s">
        <v>60</v>
      </c>
      <c r="M824" s="20" t="s">
        <v>60</v>
      </c>
      <c r="N824" s="20" t="s">
        <v>31</v>
      </c>
      <c r="O824" s="20">
        <v>2</v>
      </c>
      <c r="P824" s="20">
        <v>3</v>
      </c>
      <c r="Q824" s="13">
        <v>0.62025449125554588</v>
      </c>
      <c r="R824" s="20" t="s">
        <v>249</v>
      </c>
      <c r="S824" s="20">
        <v>-1.1945835519607251</v>
      </c>
      <c r="T824" s="20" t="s">
        <v>60</v>
      </c>
      <c r="U824" s="20" t="s">
        <v>60</v>
      </c>
      <c r="V824" s="20"/>
      <c r="W824" s="20"/>
      <c r="X824" s="20" t="s">
        <v>60</v>
      </c>
      <c r="Y824" s="20" t="s">
        <v>412</v>
      </c>
      <c r="Z824" s="20" t="s">
        <v>60</v>
      </c>
      <c r="AA824" s="20" t="s">
        <v>491</v>
      </c>
    </row>
    <row r="825" spans="1:27" x14ac:dyDescent="0.2">
      <c r="A825" s="1">
        <v>46047</v>
      </c>
      <c r="B825" s="20" t="s">
        <v>365</v>
      </c>
      <c r="C825" s="20" t="s">
        <v>20</v>
      </c>
      <c r="D825" s="20" t="s">
        <v>36</v>
      </c>
      <c r="E825" s="20" t="s">
        <v>1255</v>
      </c>
      <c r="F825" s="20" t="s">
        <v>20</v>
      </c>
      <c r="G825" s="20">
        <v>2</v>
      </c>
      <c r="H825" s="20">
        <v>3</v>
      </c>
      <c r="I825" s="13">
        <v>0.6</v>
      </c>
      <c r="J825" s="20" t="s">
        <v>249</v>
      </c>
      <c r="L825" s="20" t="s">
        <v>60</v>
      </c>
      <c r="M825" s="20" t="s">
        <v>60</v>
      </c>
      <c r="N825" s="20" t="s">
        <v>20</v>
      </c>
      <c r="O825" s="20">
        <v>2</v>
      </c>
      <c r="P825" s="20">
        <v>3</v>
      </c>
      <c r="Q825" s="13">
        <v>0.48518179373653503</v>
      </c>
      <c r="R825" s="20" t="s">
        <v>249</v>
      </c>
      <c r="S825" s="20">
        <v>-0.23703447162103969</v>
      </c>
      <c r="T825" s="20" t="s">
        <v>60</v>
      </c>
      <c r="U825" s="20" t="s">
        <v>60</v>
      </c>
      <c r="V825" s="20"/>
      <c r="W825" s="20"/>
      <c r="X825" s="20" t="s">
        <v>60</v>
      </c>
      <c r="Y825" s="20" t="s">
        <v>412</v>
      </c>
      <c r="Z825" s="20" t="s">
        <v>60</v>
      </c>
      <c r="AA825" s="20" t="s">
        <v>491</v>
      </c>
    </row>
    <row r="826" spans="1:27" x14ac:dyDescent="0.2">
      <c r="A826" s="1">
        <v>46048</v>
      </c>
      <c r="B826" s="20" t="s">
        <v>328</v>
      </c>
      <c r="C826" s="20" t="s">
        <v>13</v>
      </c>
      <c r="D826" s="20" t="s">
        <v>28</v>
      </c>
      <c r="E826" s="20" t="s">
        <v>1256</v>
      </c>
      <c r="F826" s="20" t="s">
        <v>13</v>
      </c>
      <c r="G826" s="20">
        <v>2</v>
      </c>
      <c r="H826" s="20">
        <v>3</v>
      </c>
      <c r="I826" s="13">
        <v>0.6</v>
      </c>
      <c r="J826" s="20" t="s">
        <v>249</v>
      </c>
      <c r="L826" s="20" t="s">
        <v>60</v>
      </c>
      <c r="M826" s="20" t="s">
        <v>60</v>
      </c>
      <c r="N826" s="20" t="s">
        <v>13</v>
      </c>
      <c r="O826" s="20">
        <v>2</v>
      </c>
      <c r="P826" s="20">
        <v>3</v>
      </c>
      <c r="Q826" s="13">
        <v>0.55046333207406328</v>
      </c>
      <c r="R826" s="20" t="s">
        <v>249</v>
      </c>
      <c r="S826" s="20">
        <v>-0.20680505675016411</v>
      </c>
      <c r="T826" s="20" t="s">
        <v>60</v>
      </c>
      <c r="U826" s="20" t="s">
        <v>60</v>
      </c>
      <c r="V826" s="20"/>
      <c r="W826" s="20"/>
      <c r="X826" s="20" t="s">
        <v>60</v>
      </c>
      <c r="Y826" s="20" t="s">
        <v>412</v>
      </c>
      <c r="Z826" s="20" t="s">
        <v>60</v>
      </c>
      <c r="AA826" s="20" t="s">
        <v>491</v>
      </c>
    </row>
    <row r="827" spans="1:27" x14ac:dyDescent="0.2">
      <c r="A827" s="1">
        <v>46048</v>
      </c>
      <c r="B827" s="20" t="s">
        <v>416</v>
      </c>
      <c r="C827" s="20" t="s">
        <v>31</v>
      </c>
      <c r="D827" s="20" t="s">
        <v>17</v>
      </c>
      <c r="E827" s="20" t="s">
        <v>1257</v>
      </c>
      <c r="F827" s="20" t="s">
        <v>31</v>
      </c>
      <c r="G827" s="20">
        <v>2</v>
      </c>
      <c r="H827" s="20">
        <v>3</v>
      </c>
      <c r="I827" s="13">
        <v>0.6</v>
      </c>
      <c r="J827" s="20" t="s">
        <v>249</v>
      </c>
      <c r="L827" s="20" t="s">
        <v>60</v>
      </c>
      <c r="M827" s="20" t="s">
        <v>60</v>
      </c>
      <c r="N827" s="20" t="s">
        <v>31</v>
      </c>
      <c r="O827" s="20">
        <v>2</v>
      </c>
      <c r="P827" s="20">
        <v>3</v>
      </c>
      <c r="Q827" s="13">
        <v>0.5842077690042573</v>
      </c>
      <c r="R827" s="20" t="s">
        <v>249</v>
      </c>
      <c r="S827" s="20">
        <v>-0.94654893715362554</v>
      </c>
      <c r="T827" s="20" t="s">
        <v>60</v>
      </c>
      <c r="U827" s="20" t="s">
        <v>60</v>
      </c>
      <c r="V827" s="20"/>
      <c r="W827" s="20"/>
      <c r="X827" s="20" t="s">
        <v>60</v>
      </c>
      <c r="Y827" s="20" t="s">
        <v>412</v>
      </c>
      <c r="Z827" s="20" t="s">
        <v>60</v>
      </c>
      <c r="AA827" s="20" t="s">
        <v>491</v>
      </c>
    </row>
    <row r="828" spans="1:27" x14ac:dyDescent="0.2">
      <c r="A828" s="1">
        <v>46048</v>
      </c>
      <c r="B828" s="20" t="s">
        <v>328</v>
      </c>
      <c r="C828" s="20" t="s">
        <v>21</v>
      </c>
      <c r="D828" s="20" t="s">
        <v>15</v>
      </c>
      <c r="E828" s="20" t="s">
        <v>1258</v>
      </c>
      <c r="F828" s="20" t="s">
        <v>21</v>
      </c>
      <c r="G828" s="20">
        <v>2</v>
      </c>
      <c r="H828" s="20">
        <v>3</v>
      </c>
      <c r="I828" s="13">
        <v>0.6</v>
      </c>
      <c r="J828" s="20" t="s">
        <v>249</v>
      </c>
      <c r="L828" s="20" t="s">
        <v>60</v>
      </c>
      <c r="M828" s="20" t="s">
        <v>60</v>
      </c>
      <c r="N828" s="20" t="s">
        <v>21</v>
      </c>
      <c r="O828" s="20">
        <v>2</v>
      </c>
      <c r="P828" s="20">
        <v>3</v>
      </c>
      <c r="Q828" s="13">
        <v>0.46320722935044861</v>
      </c>
      <c r="R828" s="20" t="s">
        <v>249</v>
      </c>
      <c r="S828" s="20">
        <v>-2.0363475113048559E-2</v>
      </c>
      <c r="T828" s="20" t="s">
        <v>60</v>
      </c>
      <c r="U828" s="20" t="s">
        <v>60</v>
      </c>
      <c r="V828" s="20"/>
      <c r="W828" s="20"/>
      <c r="X828" s="20" t="s">
        <v>60</v>
      </c>
      <c r="Y828" s="20" t="s">
        <v>412</v>
      </c>
      <c r="Z828" s="20" t="s">
        <v>60</v>
      </c>
      <c r="AA828" s="20" t="s">
        <v>491</v>
      </c>
    </row>
    <row r="829" spans="1:27" x14ac:dyDescent="0.2">
      <c r="A829" s="1">
        <v>46048</v>
      </c>
      <c r="B829" s="20" t="s">
        <v>328</v>
      </c>
      <c r="C829" s="20" t="s">
        <v>30</v>
      </c>
      <c r="D829" s="20" t="s">
        <v>27</v>
      </c>
      <c r="E829" s="20" t="s">
        <v>675</v>
      </c>
      <c r="F829" s="20" t="s">
        <v>30</v>
      </c>
      <c r="G829" s="20">
        <v>2</v>
      </c>
      <c r="H829" s="20">
        <v>3</v>
      </c>
      <c r="I829" s="13">
        <v>0.6</v>
      </c>
      <c r="J829" s="20" t="s">
        <v>249</v>
      </c>
      <c r="L829" s="20" t="s">
        <v>60</v>
      </c>
      <c r="M829" s="20" t="s">
        <v>60</v>
      </c>
      <c r="N829" s="20" t="s">
        <v>30</v>
      </c>
      <c r="O829" s="20">
        <v>2</v>
      </c>
      <c r="P829" s="20">
        <v>3</v>
      </c>
      <c r="Q829" s="13">
        <v>0.52895808630556485</v>
      </c>
      <c r="R829" s="20" t="s">
        <v>249</v>
      </c>
      <c r="S829" s="20">
        <v>-8.9406837141820905E-2</v>
      </c>
      <c r="T829" s="20" t="s">
        <v>60</v>
      </c>
      <c r="U829" s="20" t="s">
        <v>60</v>
      </c>
      <c r="V829" s="20"/>
      <c r="W829" s="20"/>
      <c r="X829" s="20" t="s">
        <v>60</v>
      </c>
      <c r="Y829" s="20" t="s">
        <v>412</v>
      </c>
      <c r="Z829" s="20" t="s">
        <v>60</v>
      </c>
      <c r="AA829" s="20" t="s">
        <v>491</v>
      </c>
    </row>
    <row r="830" spans="1:27" x14ac:dyDescent="0.2">
      <c r="A830" s="1">
        <v>46048</v>
      </c>
      <c r="B830" s="20" t="s">
        <v>328</v>
      </c>
      <c r="C830" s="20" t="s">
        <v>55</v>
      </c>
      <c r="D830" s="20" t="s">
        <v>37</v>
      </c>
      <c r="E830" s="20" t="s">
        <v>1259</v>
      </c>
      <c r="F830" s="20" t="s">
        <v>37</v>
      </c>
      <c r="G830" s="20">
        <v>2</v>
      </c>
      <c r="H830" s="20">
        <v>3</v>
      </c>
      <c r="I830" s="13">
        <v>0.6</v>
      </c>
      <c r="J830" s="20" t="s">
        <v>249</v>
      </c>
      <c r="L830" s="20" t="s">
        <v>60</v>
      </c>
      <c r="M830" s="20" t="s">
        <v>60</v>
      </c>
      <c r="N830" s="20" t="s">
        <v>37</v>
      </c>
      <c r="O830" s="20">
        <v>2</v>
      </c>
      <c r="P830" s="20">
        <v>3</v>
      </c>
      <c r="Q830" s="13">
        <v>0.6847522954438372</v>
      </c>
      <c r="R830" s="20" t="s">
        <v>249</v>
      </c>
      <c r="S830" s="20">
        <v>0.96352898469094916</v>
      </c>
      <c r="T830" s="20" t="s">
        <v>60</v>
      </c>
      <c r="U830" s="20" t="s">
        <v>60</v>
      </c>
      <c r="V830" s="20"/>
      <c r="W830" s="20"/>
      <c r="X830" s="20" t="s">
        <v>60</v>
      </c>
      <c r="Y830" s="20" t="s">
        <v>412</v>
      </c>
      <c r="Z830" s="20" t="s">
        <v>60</v>
      </c>
      <c r="AA830" s="20" t="s">
        <v>491</v>
      </c>
    </row>
    <row r="831" spans="1:27" x14ac:dyDescent="0.2">
      <c r="A831" s="1">
        <v>46049</v>
      </c>
      <c r="B831" s="20" t="s">
        <v>322</v>
      </c>
      <c r="C831" s="20" t="s">
        <v>22</v>
      </c>
      <c r="D831" s="20" t="s">
        <v>32</v>
      </c>
      <c r="E831" s="20" t="s">
        <v>1260</v>
      </c>
      <c r="F831" s="20" t="s">
        <v>22</v>
      </c>
      <c r="G831" s="20">
        <v>2</v>
      </c>
      <c r="H831" s="20">
        <v>3</v>
      </c>
      <c r="I831" s="13">
        <v>0.6</v>
      </c>
      <c r="J831" s="20" t="s">
        <v>249</v>
      </c>
      <c r="L831" s="20" t="s">
        <v>60</v>
      </c>
      <c r="M831" s="20" t="s">
        <v>60</v>
      </c>
      <c r="N831" s="20" t="s">
        <v>22</v>
      </c>
      <c r="O831" s="20">
        <v>2</v>
      </c>
      <c r="P831" s="20">
        <v>3</v>
      </c>
      <c r="Q831" s="13">
        <v>0.62396936404769199</v>
      </c>
      <c r="R831" s="20" t="s">
        <v>249</v>
      </c>
      <c r="S831" s="20">
        <v>-1.040183719208684</v>
      </c>
      <c r="T831" s="20" t="s">
        <v>60</v>
      </c>
      <c r="U831" s="20" t="s">
        <v>60</v>
      </c>
      <c r="V831" s="20"/>
      <c r="W831" s="20"/>
      <c r="X831" s="20" t="s">
        <v>60</v>
      </c>
      <c r="Y831" s="20" t="s">
        <v>412</v>
      </c>
      <c r="Z831" s="20" t="s">
        <v>60</v>
      </c>
      <c r="AA831" s="20" t="s">
        <v>491</v>
      </c>
    </row>
    <row r="832" spans="1:27" x14ac:dyDescent="0.2">
      <c r="A832" s="1">
        <v>46049</v>
      </c>
      <c r="B832" s="20" t="s">
        <v>322</v>
      </c>
      <c r="C832" s="20" t="s">
        <v>33</v>
      </c>
      <c r="D832" s="20" t="s">
        <v>38</v>
      </c>
      <c r="E832" s="20" t="s">
        <v>1067</v>
      </c>
      <c r="F832" s="20" t="s">
        <v>33</v>
      </c>
      <c r="G832" s="20">
        <v>2</v>
      </c>
      <c r="H832" s="20">
        <v>3</v>
      </c>
      <c r="I832" s="13">
        <v>0.6</v>
      </c>
      <c r="J832" s="20" t="s">
        <v>249</v>
      </c>
      <c r="L832" s="20" t="s">
        <v>60</v>
      </c>
      <c r="M832" s="20" t="s">
        <v>60</v>
      </c>
      <c r="N832" s="20" t="s">
        <v>33</v>
      </c>
      <c r="O832" s="20">
        <v>2</v>
      </c>
      <c r="P832" s="20">
        <v>3</v>
      </c>
      <c r="Q832" s="13">
        <v>0.51212916118467577</v>
      </c>
      <c r="R832" s="20" t="s">
        <v>249</v>
      </c>
      <c r="S832" s="20">
        <v>-0.44644601380539828</v>
      </c>
      <c r="T832" s="20" t="s">
        <v>60</v>
      </c>
      <c r="U832" s="20" t="s">
        <v>60</v>
      </c>
      <c r="V832" s="20"/>
      <c r="W832" s="20"/>
      <c r="X832" s="20" t="s">
        <v>60</v>
      </c>
      <c r="Y832" s="20" t="s">
        <v>412</v>
      </c>
      <c r="Z832" s="20" t="s">
        <v>60</v>
      </c>
      <c r="AA832" s="20" t="s">
        <v>491</v>
      </c>
    </row>
    <row r="833" spans="1:27" x14ac:dyDescent="0.2">
      <c r="A833" s="1">
        <v>46049</v>
      </c>
      <c r="B833" s="20" t="s">
        <v>328</v>
      </c>
      <c r="C833" s="20" t="s">
        <v>23</v>
      </c>
      <c r="D833" s="20" t="s">
        <v>19</v>
      </c>
      <c r="E833" s="20" t="s">
        <v>671</v>
      </c>
      <c r="F833" s="20" t="s">
        <v>23</v>
      </c>
      <c r="G833" s="20">
        <v>2</v>
      </c>
      <c r="H833" s="20">
        <v>3</v>
      </c>
      <c r="I833" s="13">
        <v>0.6</v>
      </c>
      <c r="J833" s="20" t="s">
        <v>249</v>
      </c>
      <c r="L833" s="20" t="s">
        <v>60</v>
      </c>
      <c r="M833" s="20" t="s">
        <v>60</v>
      </c>
      <c r="N833" s="20" t="s">
        <v>23</v>
      </c>
      <c r="O833" s="20">
        <v>2</v>
      </c>
      <c r="P833" s="20">
        <v>3</v>
      </c>
      <c r="Q833" s="13">
        <v>0.47266517059166502</v>
      </c>
      <c r="R833" s="20" t="s">
        <v>249</v>
      </c>
      <c r="S833" s="20">
        <v>-0.1084674066552284</v>
      </c>
      <c r="T833" s="20" t="s">
        <v>60</v>
      </c>
      <c r="U833" s="20" t="s">
        <v>60</v>
      </c>
      <c r="V833" s="20"/>
      <c r="W833" s="20"/>
      <c r="X833" s="20" t="s">
        <v>60</v>
      </c>
      <c r="Y833" s="20" t="s">
        <v>412</v>
      </c>
      <c r="Z833" s="20" t="s">
        <v>60</v>
      </c>
      <c r="AA833" s="20" t="s">
        <v>491</v>
      </c>
    </row>
    <row r="834" spans="1:27" x14ac:dyDescent="0.2">
      <c r="A834" s="1">
        <v>46049</v>
      </c>
      <c r="B834" s="20" t="s">
        <v>324</v>
      </c>
      <c r="C834" s="20" t="s">
        <v>39</v>
      </c>
      <c r="D834" s="20" t="s">
        <v>35</v>
      </c>
      <c r="E834" s="20" t="s">
        <v>605</v>
      </c>
      <c r="F834" s="20" t="s">
        <v>39</v>
      </c>
      <c r="G834" s="20">
        <v>2</v>
      </c>
      <c r="H834" s="20">
        <v>3</v>
      </c>
      <c r="I834" s="13">
        <v>0.6</v>
      </c>
      <c r="J834" s="20" t="s">
        <v>249</v>
      </c>
      <c r="L834" s="20" t="s">
        <v>60</v>
      </c>
      <c r="M834" s="20" t="s">
        <v>60</v>
      </c>
      <c r="N834" s="20" t="s">
        <v>39</v>
      </c>
      <c r="O834" s="20">
        <v>2</v>
      </c>
      <c r="P834" s="20">
        <v>3</v>
      </c>
      <c r="Q834" s="13">
        <v>0.76707254891390675</v>
      </c>
      <c r="R834" s="20" t="s">
        <v>249</v>
      </c>
      <c r="S834" s="20">
        <v>-1.7580201248796801</v>
      </c>
      <c r="T834" s="20" t="s">
        <v>60</v>
      </c>
      <c r="U834" s="20" t="s">
        <v>60</v>
      </c>
      <c r="V834" s="20"/>
      <c r="W834" s="20"/>
      <c r="X834" s="20" t="s">
        <v>60</v>
      </c>
      <c r="Y834" s="20" t="s">
        <v>412</v>
      </c>
      <c r="Z834" s="20" t="s">
        <v>60</v>
      </c>
      <c r="AA834" s="20" t="s">
        <v>491</v>
      </c>
    </row>
    <row r="835" spans="1:27" x14ac:dyDescent="0.2">
      <c r="A835" s="1">
        <v>46049</v>
      </c>
      <c r="B835" s="20" t="s">
        <v>328</v>
      </c>
      <c r="C835" s="20" t="s">
        <v>40</v>
      </c>
      <c r="D835" s="20" t="s">
        <v>24</v>
      </c>
      <c r="E835" s="20" t="s">
        <v>1261</v>
      </c>
      <c r="F835" s="20" t="s">
        <v>24</v>
      </c>
      <c r="G835" s="20">
        <v>2</v>
      </c>
      <c r="H835" s="20">
        <v>3</v>
      </c>
      <c r="I835" s="13">
        <v>0.6</v>
      </c>
      <c r="J835" s="20" t="s">
        <v>249</v>
      </c>
      <c r="L835" s="20" t="s">
        <v>60</v>
      </c>
      <c r="M835" s="20" t="s">
        <v>60</v>
      </c>
      <c r="N835" s="20" t="s">
        <v>24</v>
      </c>
      <c r="O835" s="20">
        <v>2</v>
      </c>
      <c r="P835" s="20">
        <v>3</v>
      </c>
      <c r="Q835" s="13">
        <v>0.64258093432693042</v>
      </c>
      <c r="R835" s="20" t="s">
        <v>249</v>
      </c>
      <c r="S835" s="20">
        <v>0.36467282347055829</v>
      </c>
      <c r="T835" s="20" t="s">
        <v>60</v>
      </c>
      <c r="U835" s="20" t="s">
        <v>60</v>
      </c>
      <c r="V835" s="20"/>
      <c r="W835" s="20"/>
      <c r="X835" s="20" t="s">
        <v>60</v>
      </c>
      <c r="Y835" s="20" t="s">
        <v>412</v>
      </c>
      <c r="Z835" s="20" t="s">
        <v>60</v>
      </c>
      <c r="AA835" s="20" t="s">
        <v>491</v>
      </c>
    </row>
    <row r="836" spans="1:27" x14ac:dyDescent="0.2">
      <c r="A836" s="1">
        <v>46049</v>
      </c>
      <c r="B836" s="20" t="s">
        <v>328</v>
      </c>
      <c r="C836" s="20" t="s">
        <v>55</v>
      </c>
      <c r="D836" s="20" t="s">
        <v>11</v>
      </c>
      <c r="E836" s="20" t="s">
        <v>1262</v>
      </c>
      <c r="F836" s="20" t="s">
        <v>11</v>
      </c>
      <c r="G836" s="20">
        <v>2</v>
      </c>
      <c r="H836" s="20">
        <v>3</v>
      </c>
      <c r="I836" s="13">
        <v>0.6</v>
      </c>
      <c r="J836" s="20" t="s">
        <v>249</v>
      </c>
      <c r="L836" s="20" t="s">
        <v>60</v>
      </c>
      <c r="M836" s="20" t="s">
        <v>60</v>
      </c>
      <c r="N836" s="20" t="s">
        <v>11</v>
      </c>
      <c r="O836" s="20">
        <v>2</v>
      </c>
      <c r="P836" s="20">
        <v>3</v>
      </c>
      <c r="Q836" s="13">
        <v>0.56054444155681793</v>
      </c>
      <c r="R836" s="20" t="s">
        <v>249</v>
      </c>
      <c r="S836" s="20">
        <v>5.5905746880238423E-2</v>
      </c>
      <c r="T836" s="20" t="s">
        <v>60</v>
      </c>
      <c r="U836" s="20" t="s">
        <v>60</v>
      </c>
      <c r="V836" s="20"/>
      <c r="W836" s="20"/>
      <c r="X836" s="20" t="s">
        <v>60</v>
      </c>
      <c r="Y836" s="20" t="s">
        <v>412</v>
      </c>
      <c r="Z836" s="20" t="s">
        <v>60</v>
      </c>
      <c r="AA836" s="20" t="s">
        <v>491</v>
      </c>
    </row>
    <row r="837" spans="1:27" x14ac:dyDescent="0.2">
      <c r="A837" s="1">
        <v>46049</v>
      </c>
      <c r="B837" s="20" t="s">
        <v>324</v>
      </c>
      <c r="C837" s="20" t="s">
        <v>10</v>
      </c>
      <c r="D837" s="20" t="s">
        <v>34</v>
      </c>
      <c r="E837" s="20" t="s">
        <v>1263</v>
      </c>
      <c r="F837" s="20" t="s">
        <v>34</v>
      </c>
      <c r="G837" s="20">
        <v>2</v>
      </c>
      <c r="H837" s="20">
        <v>3</v>
      </c>
      <c r="I837" s="13">
        <v>0.6</v>
      </c>
      <c r="J837" s="20" t="s">
        <v>249</v>
      </c>
      <c r="L837" s="20" t="s">
        <v>60</v>
      </c>
      <c r="M837" s="20" t="s">
        <v>60</v>
      </c>
      <c r="N837" s="20" t="s">
        <v>34</v>
      </c>
      <c r="O837" s="20">
        <v>2</v>
      </c>
      <c r="P837" s="20">
        <v>3</v>
      </c>
      <c r="Q837" s="13">
        <v>0.5599635296646438</v>
      </c>
      <c r="R837" s="20" t="s">
        <v>249</v>
      </c>
      <c r="S837" s="20">
        <v>0.17097221665799731</v>
      </c>
      <c r="T837" s="20" t="s">
        <v>60</v>
      </c>
      <c r="U837" s="20" t="s">
        <v>60</v>
      </c>
      <c r="V837" s="20"/>
      <c r="W837" s="20"/>
      <c r="X837" s="20" t="s">
        <v>60</v>
      </c>
      <c r="Y837" s="20" t="s">
        <v>412</v>
      </c>
      <c r="Z837" s="20" t="s">
        <v>60</v>
      </c>
      <c r="AA837" s="20" t="s">
        <v>491</v>
      </c>
    </row>
    <row r="838" spans="1:27" x14ac:dyDescent="0.2">
      <c r="A838" s="1">
        <v>46049</v>
      </c>
      <c r="B838" s="20" t="s">
        <v>328</v>
      </c>
      <c r="C838" s="20" t="s">
        <v>13</v>
      </c>
      <c r="D838" s="20" t="s">
        <v>26</v>
      </c>
      <c r="E838" s="20" t="s">
        <v>1264</v>
      </c>
      <c r="F838" s="20" t="s">
        <v>13</v>
      </c>
      <c r="G838" s="20">
        <v>2</v>
      </c>
      <c r="H838" s="20">
        <v>3</v>
      </c>
      <c r="I838" s="13">
        <v>0.6</v>
      </c>
      <c r="J838" s="20" t="s">
        <v>249</v>
      </c>
      <c r="L838" s="20" t="s">
        <v>60</v>
      </c>
      <c r="M838" s="20" t="s">
        <v>60</v>
      </c>
      <c r="N838" s="20" t="s">
        <v>13</v>
      </c>
      <c r="O838" s="20">
        <v>2</v>
      </c>
      <c r="P838" s="20">
        <v>3</v>
      </c>
      <c r="Q838" s="13">
        <v>0.5831983510067219</v>
      </c>
      <c r="R838" s="20" t="s">
        <v>249</v>
      </c>
      <c r="S838" s="20">
        <v>-0.48715521743193341</v>
      </c>
      <c r="T838" s="20" t="s">
        <v>60</v>
      </c>
      <c r="U838" s="20" t="s">
        <v>60</v>
      </c>
      <c r="V838" s="20"/>
      <c r="W838" s="20"/>
      <c r="X838" s="20" t="s">
        <v>60</v>
      </c>
      <c r="Y838" s="20" t="s">
        <v>412</v>
      </c>
      <c r="Z838" s="20" t="s">
        <v>60</v>
      </c>
      <c r="AA838" s="20" t="s">
        <v>491</v>
      </c>
    </row>
    <row r="839" spans="1:27" x14ac:dyDescent="0.2">
      <c r="A839" s="1">
        <v>46049</v>
      </c>
      <c r="B839" s="20" t="s">
        <v>328</v>
      </c>
      <c r="C839" s="20" t="s">
        <v>29</v>
      </c>
      <c r="D839" s="20" t="s">
        <v>21</v>
      </c>
      <c r="E839" s="20" t="s">
        <v>1265</v>
      </c>
      <c r="F839" s="20" t="s">
        <v>21</v>
      </c>
      <c r="G839" s="20">
        <v>2</v>
      </c>
      <c r="H839" s="20">
        <v>3</v>
      </c>
      <c r="I839" s="13">
        <v>0.6</v>
      </c>
      <c r="J839" s="20" t="s">
        <v>249</v>
      </c>
      <c r="L839" s="20" t="s">
        <v>60</v>
      </c>
      <c r="M839" s="20" t="s">
        <v>60</v>
      </c>
      <c r="N839" s="20" t="s">
        <v>21</v>
      </c>
      <c r="O839" s="20">
        <v>2</v>
      </c>
      <c r="P839" s="20">
        <v>3</v>
      </c>
      <c r="Q839" s="13">
        <v>0.7247763730260921</v>
      </c>
      <c r="R839" s="20" t="s">
        <v>249</v>
      </c>
      <c r="S839" s="20">
        <v>1.2150482722854921</v>
      </c>
      <c r="T839" s="20" t="s">
        <v>60</v>
      </c>
      <c r="U839" s="20" t="s">
        <v>60</v>
      </c>
      <c r="V839" s="20"/>
      <c r="W839" s="20"/>
      <c r="X839" s="20" t="s">
        <v>60</v>
      </c>
      <c r="Y839" s="20" t="s">
        <v>412</v>
      </c>
      <c r="Z839" s="20" t="s">
        <v>60</v>
      </c>
      <c r="AA839" s="20" t="s">
        <v>491</v>
      </c>
    </row>
    <row r="840" spans="1:27" x14ac:dyDescent="0.2">
      <c r="A840" s="1">
        <v>46049</v>
      </c>
      <c r="B840" s="20" t="s">
        <v>328</v>
      </c>
      <c r="C840" s="20" t="s">
        <v>20</v>
      </c>
      <c r="D840" s="20" t="s">
        <v>18</v>
      </c>
      <c r="E840" s="20" t="s">
        <v>1266</v>
      </c>
      <c r="F840" s="20" t="s">
        <v>20</v>
      </c>
      <c r="G840" s="20">
        <v>2</v>
      </c>
      <c r="H840" s="20">
        <v>3</v>
      </c>
      <c r="I840" s="13">
        <v>0.6</v>
      </c>
      <c r="J840" s="20" t="s">
        <v>249</v>
      </c>
      <c r="L840" s="20" t="s">
        <v>60</v>
      </c>
      <c r="M840" s="20" t="s">
        <v>60</v>
      </c>
      <c r="N840" s="20" t="s">
        <v>20</v>
      </c>
      <c r="O840" s="20">
        <v>2</v>
      </c>
      <c r="P840" s="20">
        <v>3</v>
      </c>
      <c r="Q840" s="13">
        <v>0.49485989097898081</v>
      </c>
      <c r="R840" s="20" t="s">
        <v>249</v>
      </c>
      <c r="S840" s="20">
        <v>-0.2985480490300263</v>
      </c>
      <c r="T840" s="20" t="s">
        <v>60</v>
      </c>
      <c r="U840" s="20" t="s">
        <v>60</v>
      </c>
      <c r="V840" s="20"/>
      <c r="W840" s="20"/>
      <c r="X840" s="20" t="s">
        <v>60</v>
      </c>
      <c r="Y840" s="20" t="s">
        <v>412</v>
      </c>
      <c r="Z840" s="20" t="s">
        <v>60</v>
      </c>
      <c r="AA840" s="20" t="s">
        <v>491</v>
      </c>
    </row>
    <row r="841" spans="1:27" x14ac:dyDescent="0.2">
      <c r="A841" s="1">
        <v>46050</v>
      </c>
      <c r="B841" s="20" t="s">
        <v>328</v>
      </c>
      <c r="C841" s="20" t="s">
        <v>27</v>
      </c>
      <c r="D841" s="20" t="s">
        <v>28</v>
      </c>
      <c r="E841" s="20" t="s">
        <v>1267</v>
      </c>
      <c r="F841" s="20" t="s">
        <v>27</v>
      </c>
      <c r="G841" s="20">
        <v>2</v>
      </c>
      <c r="H841" s="20">
        <v>3</v>
      </c>
      <c r="I841" s="13">
        <v>0.6</v>
      </c>
      <c r="J841" s="20" t="s">
        <v>249</v>
      </c>
      <c r="L841" s="20" t="s">
        <v>60</v>
      </c>
      <c r="M841" s="20" t="s">
        <v>60</v>
      </c>
      <c r="N841" s="20" t="s">
        <v>27</v>
      </c>
      <c r="O841" s="20">
        <v>2</v>
      </c>
      <c r="P841" s="20">
        <v>3</v>
      </c>
      <c r="Q841" s="13">
        <v>0.52176112495951044</v>
      </c>
      <c r="R841" s="20" t="s">
        <v>249</v>
      </c>
      <c r="S841" s="20">
        <v>-0.1648490719210618</v>
      </c>
      <c r="T841" s="20" t="s">
        <v>60</v>
      </c>
      <c r="U841" s="20" t="s">
        <v>60</v>
      </c>
      <c r="V841" s="20"/>
      <c r="W841" s="20"/>
      <c r="X841" s="20" t="s">
        <v>60</v>
      </c>
      <c r="Y841" s="20" t="s">
        <v>412</v>
      </c>
      <c r="Z841" s="20" t="s">
        <v>60</v>
      </c>
      <c r="AA841" s="20" t="s">
        <v>491</v>
      </c>
    </row>
    <row r="842" spans="1:27" x14ac:dyDescent="0.2">
      <c r="A842" s="1">
        <v>46050</v>
      </c>
      <c r="B842" s="20" t="s">
        <v>334</v>
      </c>
      <c r="C842" s="20" t="s">
        <v>15</v>
      </c>
      <c r="D842" s="20" t="s">
        <v>30</v>
      </c>
      <c r="E842" s="20" t="s">
        <v>1069</v>
      </c>
      <c r="F842" s="20" t="s">
        <v>30</v>
      </c>
      <c r="G842" s="20">
        <v>2</v>
      </c>
      <c r="H842" s="20">
        <v>3</v>
      </c>
      <c r="I842" s="13">
        <v>0.6</v>
      </c>
      <c r="J842" s="20" t="s">
        <v>249</v>
      </c>
      <c r="L842" s="20" t="s">
        <v>60</v>
      </c>
      <c r="M842" s="20" t="s">
        <v>60</v>
      </c>
      <c r="N842" s="20" t="s">
        <v>30</v>
      </c>
      <c r="O842" s="20">
        <v>2</v>
      </c>
      <c r="P842" s="20">
        <v>3</v>
      </c>
      <c r="Q842" s="13">
        <v>0.45147856420498927</v>
      </c>
      <c r="R842" s="20" t="s">
        <v>249</v>
      </c>
      <c r="S842" s="20">
        <v>9.9002735965772443E-2</v>
      </c>
      <c r="T842" s="20" t="s">
        <v>60</v>
      </c>
      <c r="U842" s="20" t="s">
        <v>60</v>
      </c>
      <c r="V842" s="20"/>
      <c r="W842" s="20"/>
      <c r="X842" s="20" t="s">
        <v>60</v>
      </c>
      <c r="Y842" s="20" t="s">
        <v>412</v>
      </c>
      <c r="Z842" s="20" t="s">
        <v>60</v>
      </c>
      <c r="AA842" s="20" t="s">
        <v>491</v>
      </c>
    </row>
    <row r="843" spans="1:27" x14ac:dyDescent="0.2">
      <c r="A843" s="1">
        <v>46050</v>
      </c>
      <c r="B843" s="20" t="s">
        <v>334</v>
      </c>
      <c r="C843" s="20" t="s">
        <v>12</v>
      </c>
      <c r="D843" s="20" t="s">
        <v>36</v>
      </c>
      <c r="E843" s="20" t="s">
        <v>1268</v>
      </c>
      <c r="F843" s="20" t="s">
        <v>12</v>
      </c>
      <c r="G843" s="20">
        <v>2</v>
      </c>
      <c r="H843" s="20">
        <v>3</v>
      </c>
      <c r="I843" s="13">
        <v>0.6</v>
      </c>
      <c r="J843" s="20" t="s">
        <v>249</v>
      </c>
      <c r="L843" s="20" t="s">
        <v>60</v>
      </c>
      <c r="M843" s="20" t="s">
        <v>60</v>
      </c>
      <c r="N843" s="20" t="s">
        <v>12</v>
      </c>
      <c r="O843" s="20">
        <v>2</v>
      </c>
      <c r="P843" s="20">
        <v>3</v>
      </c>
      <c r="Q843" s="13">
        <v>0.77688866679805757</v>
      </c>
      <c r="R843" s="20" t="s">
        <v>249</v>
      </c>
      <c r="S843" s="20">
        <v>-2.1133789603686521</v>
      </c>
      <c r="T843" s="20" t="s">
        <v>60</v>
      </c>
      <c r="U843" s="20" t="s">
        <v>60</v>
      </c>
      <c r="V843" s="20"/>
      <c r="W843" s="20"/>
      <c r="X843" s="20" t="s">
        <v>60</v>
      </c>
      <c r="Y843" s="20" t="s">
        <v>412</v>
      </c>
      <c r="Z843" s="20" t="s">
        <v>60</v>
      </c>
      <c r="AA843" s="20" t="s">
        <v>491</v>
      </c>
    </row>
    <row r="844" spans="1:27" x14ac:dyDescent="0.2">
      <c r="A844" s="1">
        <v>46051</v>
      </c>
      <c r="B844" s="20" t="s">
        <v>328</v>
      </c>
      <c r="C844" s="20" t="s">
        <v>30</v>
      </c>
      <c r="D844" s="20" t="s">
        <v>15</v>
      </c>
      <c r="E844" s="20" t="s">
        <v>823</v>
      </c>
      <c r="F844" s="20" t="s">
        <v>15</v>
      </c>
      <c r="G844" s="20">
        <v>2</v>
      </c>
      <c r="H844" s="20">
        <v>3</v>
      </c>
      <c r="I844" s="13">
        <v>0.6</v>
      </c>
      <c r="J844" s="20" t="s">
        <v>249</v>
      </c>
      <c r="L844" s="20" t="s">
        <v>60</v>
      </c>
      <c r="M844" s="20" t="s">
        <v>60</v>
      </c>
      <c r="N844" s="20" t="s">
        <v>15</v>
      </c>
      <c r="O844" s="20">
        <v>2</v>
      </c>
      <c r="P844" s="20">
        <v>3</v>
      </c>
      <c r="Q844" s="13">
        <v>0.46747009813058232</v>
      </c>
      <c r="R844" s="20" t="s">
        <v>249</v>
      </c>
      <c r="S844" s="20">
        <v>7.9876188055247321E-4</v>
      </c>
      <c r="T844" s="20" t="s">
        <v>60</v>
      </c>
      <c r="U844" s="20" t="s">
        <v>60</v>
      </c>
      <c r="V844" s="20"/>
      <c r="W844" s="20"/>
      <c r="X844" s="20" t="s">
        <v>60</v>
      </c>
      <c r="Y844" s="20" t="s">
        <v>412</v>
      </c>
      <c r="Z844" s="20" t="s">
        <v>60</v>
      </c>
      <c r="AA844" s="20" t="s">
        <v>491</v>
      </c>
    </row>
    <row r="845" spans="1:27" x14ac:dyDescent="0.2">
      <c r="A845" s="1">
        <v>46051</v>
      </c>
      <c r="B845" s="20" t="s">
        <v>322</v>
      </c>
      <c r="C845" s="20" t="s">
        <v>39</v>
      </c>
      <c r="D845" s="20" t="s">
        <v>20</v>
      </c>
      <c r="E845" s="20" t="s">
        <v>1269</v>
      </c>
      <c r="F845" s="20" t="s">
        <v>39</v>
      </c>
      <c r="G845" s="20">
        <v>2</v>
      </c>
      <c r="H845" s="20">
        <v>3</v>
      </c>
      <c r="I845" s="13">
        <v>0.6</v>
      </c>
      <c r="J845" s="20" t="s">
        <v>249</v>
      </c>
      <c r="L845" s="20" t="s">
        <v>60</v>
      </c>
      <c r="M845" s="20" t="s">
        <v>60</v>
      </c>
      <c r="N845" s="20" t="s">
        <v>39</v>
      </c>
      <c r="O845" s="20">
        <v>2</v>
      </c>
      <c r="P845" s="20">
        <v>3</v>
      </c>
      <c r="Q845" s="13">
        <v>0.63278869258623338</v>
      </c>
      <c r="R845" s="20" t="s">
        <v>249</v>
      </c>
      <c r="S845" s="20">
        <v>-0.6079825832525938</v>
      </c>
      <c r="T845" s="20" t="s">
        <v>60</v>
      </c>
      <c r="U845" s="20" t="s">
        <v>60</v>
      </c>
      <c r="V845" s="20"/>
      <c r="W845" s="20"/>
      <c r="X845" s="20" t="s">
        <v>60</v>
      </c>
      <c r="Y845" s="20" t="s">
        <v>412</v>
      </c>
      <c r="Z845" s="20" t="s">
        <v>60</v>
      </c>
      <c r="AA845" s="20" t="s">
        <v>491</v>
      </c>
    </row>
    <row r="846" spans="1:27" x14ac:dyDescent="0.2">
      <c r="A846" s="1">
        <v>46051</v>
      </c>
      <c r="B846" s="20" t="s">
        <v>328</v>
      </c>
      <c r="C846" s="20" t="s">
        <v>40</v>
      </c>
      <c r="D846" s="20" t="s">
        <v>37</v>
      </c>
      <c r="E846" s="20" t="s">
        <v>1270</v>
      </c>
      <c r="F846" s="20" t="s">
        <v>37</v>
      </c>
      <c r="G846" s="20">
        <v>2</v>
      </c>
      <c r="H846" s="20">
        <v>3</v>
      </c>
      <c r="I846" s="13">
        <v>0.6</v>
      </c>
      <c r="J846" s="20" t="s">
        <v>249</v>
      </c>
      <c r="L846" s="20" t="s">
        <v>60</v>
      </c>
      <c r="M846" s="20" t="s">
        <v>60</v>
      </c>
      <c r="N846" s="20" t="s">
        <v>37</v>
      </c>
      <c r="O846" s="20">
        <v>2</v>
      </c>
      <c r="P846" s="20">
        <v>3</v>
      </c>
      <c r="Q846" s="13">
        <v>0.65373537994424258</v>
      </c>
      <c r="R846" s="20" t="s">
        <v>249</v>
      </c>
      <c r="S846" s="20">
        <v>0.87364751945255836</v>
      </c>
      <c r="T846" s="20" t="s">
        <v>60</v>
      </c>
      <c r="U846" s="20" t="s">
        <v>60</v>
      </c>
      <c r="V846" s="20"/>
      <c r="W846" s="20"/>
      <c r="X846" s="20" t="s">
        <v>60</v>
      </c>
      <c r="Y846" s="20" t="s">
        <v>412</v>
      </c>
      <c r="Z846" s="20" t="s">
        <v>60</v>
      </c>
      <c r="AA846" s="20" t="s">
        <v>491</v>
      </c>
    </row>
    <row r="847" spans="1:27" x14ac:dyDescent="0.2">
      <c r="A847" s="1">
        <v>46051</v>
      </c>
      <c r="B847" s="20" t="s">
        <v>324</v>
      </c>
      <c r="C847" s="20" t="s">
        <v>11</v>
      </c>
      <c r="D847" s="20" t="s">
        <v>35</v>
      </c>
      <c r="E847" s="20" t="s">
        <v>1271</v>
      </c>
      <c r="F847" s="20" t="s">
        <v>11</v>
      </c>
      <c r="G847" s="20">
        <v>2</v>
      </c>
      <c r="H847" s="20">
        <v>3</v>
      </c>
      <c r="I847" s="13">
        <v>0.6</v>
      </c>
      <c r="J847" s="20" t="s">
        <v>249</v>
      </c>
      <c r="L847" s="20" t="s">
        <v>60</v>
      </c>
      <c r="M847" s="20" t="s">
        <v>60</v>
      </c>
      <c r="N847" s="20" t="s">
        <v>11</v>
      </c>
      <c r="O847" s="20">
        <v>2</v>
      </c>
      <c r="P847" s="20">
        <v>3</v>
      </c>
      <c r="Q847" s="13">
        <v>0.57062986050810705</v>
      </c>
      <c r="R847" s="20" t="s">
        <v>249</v>
      </c>
      <c r="S847" s="20">
        <v>-0.94745933196045351</v>
      </c>
      <c r="T847" s="20" t="s">
        <v>60</v>
      </c>
      <c r="U847" s="20" t="s">
        <v>60</v>
      </c>
      <c r="V847" s="20"/>
      <c r="W847" s="20"/>
      <c r="X847" s="20" t="s">
        <v>60</v>
      </c>
      <c r="Y847" s="20" t="s">
        <v>412</v>
      </c>
      <c r="Z847" s="20" t="s">
        <v>60</v>
      </c>
      <c r="AA847" s="20" t="s">
        <v>491</v>
      </c>
    </row>
    <row r="848" spans="1:27" x14ac:dyDescent="0.2">
      <c r="A848" s="1">
        <v>46051</v>
      </c>
      <c r="B848" s="20" t="s">
        <v>322</v>
      </c>
      <c r="C848" s="20" t="s">
        <v>19</v>
      </c>
      <c r="D848" s="20" t="s">
        <v>32</v>
      </c>
      <c r="E848" s="20" t="s">
        <v>1272</v>
      </c>
      <c r="F848" s="20" t="s">
        <v>32</v>
      </c>
      <c r="G848" s="20">
        <v>2</v>
      </c>
      <c r="H848" s="20">
        <v>3</v>
      </c>
      <c r="I848" s="13">
        <v>0.6</v>
      </c>
      <c r="J848" s="20" t="s">
        <v>249</v>
      </c>
      <c r="L848" s="20" t="s">
        <v>60</v>
      </c>
      <c r="M848" s="20" t="s">
        <v>60</v>
      </c>
      <c r="N848" s="20" t="s">
        <v>32</v>
      </c>
      <c r="O848" s="20">
        <v>2</v>
      </c>
      <c r="P848" s="20">
        <v>3</v>
      </c>
      <c r="Q848" s="13">
        <v>0.54408701234875267</v>
      </c>
      <c r="R848" s="20" t="s">
        <v>249</v>
      </c>
      <c r="S848" s="20">
        <v>3.5002104964052982E-2</v>
      </c>
      <c r="T848" s="20" t="s">
        <v>60</v>
      </c>
      <c r="U848" s="20" t="s">
        <v>60</v>
      </c>
      <c r="V848" s="20"/>
      <c r="W848" s="20"/>
      <c r="X848" s="20" t="s">
        <v>60</v>
      </c>
      <c r="Y848" s="20" t="s">
        <v>412</v>
      </c>
      <c r="Z848" s="20" t="s">
        <v>60</v>
      </c>
      <c r="AA848" s="20" t="s">
        <v>491</v>
      </c>
    </row>
    <row r="849" spans="1:27" x14ac:dyDescent="0.2">
      <c r="A849" s="1">
        <v>46051</v>
      </c>
      <c r="B849" s="20" t="s">
        <v>328</v>
      </c>
      <c r="C849" s="20" t="s">
        <v>10</v>
      </c>
      <c r="D849" s="20" t="s">
        <v>14</v>
      </c>
      <c r="E849" s="20" t="s">
        <v>1273</v>
      </c>
      <c r="F849" s="20" t="s">
        <v>14</v>
      </c>
      <c r="G849" s="20">
        <v>2</v>
      </c>
      <c r="H849" s="20">
        <v>3</v>
      </c>
      <c r="I849" s="13">
        <v>0.6</v>
      </c>
      <c r="J849" s="20" t="s">
        <v>249</v>
      </c>
      <c r="L849" s="20" t="s">
        <v>60</v>
      </c>
      <c r="M849" s="20" t="s">
        <v>60</v>
      </c>
      <c r="N849" s="20" t="s">
        <v>14</v>
      </c>
      <c r="O849" s="20">
        <v>2</v>
      </c>
      <c r="P849" s="20">
        <v>3</v>
      </c>
      <c r="Q849" s="13">
        <v>0.54978871464534118</v>
      </c>
      <c r="R849" s="20" t="s">
        <v>249</v>
      </c>
      <c r="S849" s="20">
        <v>8.3832782541986062E-2</v>
      </c>
      <c r="T849" s="20" t="s">
        <v>60</v>
      </c>
      <c r="U849" s="20" t="s">
        <v>60</v>
      </c>
      <c r="V849" s="20"/>
      <c r="W849" s="20"/>
      <c r="X849" s="20" t="s">
        <v>60</v>
      </c>
      <c r="Y849" s="20" t="s">
        <v>412</v>
      </c>
      <c r="Z849" s="20" t="s">
        <v>60</v>
      </c>
      <c r="AA849" s="20" t="s">
        <v>491</v>
      </c>
    </row>
    <row r="850" spans="1:27" x14ac:dyDescent="0.2">
      <c r="A850" s="1">
        <v>46051</v>
      </c>
      <c r="B850" s="20" t="s">
        <v>328</v>
      </c>
      <c r="C850" s="20" t="s">
        <v>29</v>
      </c>
      <c r="D850" s="20" t="s">
        <v>24</v>
      </c>
      <c r="E850" s="20" t="s">
        <v>1274</v>
      </c>
      <c r="F850" s="20" t="s">
        <v>24</v>
      </c>
      <c r="G850" s="20">
        <v>2</v>
      </c>
      <c r="H850" s="20">
        <v>3</v>
      </c>
      <c r="I850" s="13">
        <v>0.6</v>
      </c>
      <c r="J850" s="20" t="s">
        <v>249</v>
      </c>
      <c r="L850" s="20" t="s">
        <v>60</v>
      </c>
      <c r="M850" s="20" t="s">
        <v>60</v>
      </c>
      <c r="N850" s="20" t="s">
        <v>24</v>
      </c>
      <c r="O850" s="20">
        <v>2</v>
      </c>
      <c r="P850" s="20">
        <v>3</v>
      </c>
      <c r="Q850" s="13">
        <v>0.78754957182984597</v>
      </c>
      <c r="R850" s="20" t="s">
        <v>249</v>
      </c>
      <c r="S850" s="20">
        <v>1.4363482834978281</v>
      </c>
      <c r="T850" s="20" t="s">
        <v>60</v>
      </c>
      <c r="U850" s="20" t="s">
        <v>60</v>
      </c>
      <c r="V850" s="20"/>
      <c r="W850" s="20"/>
      <c r="X850" s="20" t="s">
        <v>60</v>
      </c>
      <c r="Y850" s="20" t="s">
        <v>412</v>
      </c>
      <c r="Z850" s="20" t="s">
        <v>60</v>
      </c>
      <c r="AA850" s="20" t="s">
        <v>491</v>
      </c>
    </row>
    <row r="851" spans="1:27" x14ac:dyDescent="0.2">
      <c r="A851" s="1">
        <v>46051</v>
      </c>
      <c r="B851" s="20" t="s">
        <v>322</v>
      </c>
      <c r="C851" s="20" t="s">
        <v>31</v>
      </c>
      <c r="D851" s="20" t="s">
        <v>38</v>
      </c>
      <c r="E851" s="20" t="s">
        <v>1275</v>
      </c>
      <c r="F851" s="20" t="s">
        <v>31</v>
      </c>
      <c r="G851" s="20">
        <v>2</v>
      </c>
      <c r="H851" s="20">
        <v>3</v>
      </c>
      <c r="I851" s="13">
        <v>0.6</v>
      </c>
      <c r="J851" s="20" t="s">
        <v>249</v>
      </c>
      <c r="L851" s="20" t="s">
        <v>60</v>
      </c>
      <c r="M851" s="20" t="s">
        <v>60</v>
      </c>
      <c r="N851" s="20" t="s">
        <v>31</v>
      </c>
      <c r="O851" s="20">
        <v>2</v>
      </c>
      <c r="P851" s="20">
        <v>3</v>
      </c>
      <c r="Q851" s="13">
        <v>0.60646416175266515</v>
      </c>
      <c r="R851" s="20" t="s">
        <v>249</v>
      </c>
      <c r="S851" s="20">
        <v>-1.076480028026908</v>
      </c>
      <c r="T851" s="20" t="s">
        <v>60</v>
      </c>
      <c r="U851" s="20" t="s">
        <v>60</v>
      </c>
      <c r="V851" s="20"/>
      <c r="W851" s="20"/>
      <c r="X851" s="20" t="s">
        <v>60</v>
      </c>
      <c r="Y851" s="20" t="s">
        <v>412</v>
      </c>
      <c r="Z851" s="20" t="s">
        <v>60</v>
      </c>
      <c r="AA851" s="20" t="s">
        <v>491</v>
      </c>
    </row>
    <row r="852" spans="1:27" x14ac:dyDescent="0.2">
      <c r="A852" s="1">
        <v>46051</v>
      </c>
      <c r="B852" s="20" t="s">
        <v>324</v>
      </c>
      <c r="C852" s="20" t="s">
        <v>16</v>
      </c>
      <c r="D852" s="20" t="s">
        <v>34</v>
      </c>
      <c r="E852" s="20" t="s">
        <v>835</v>
      </c>
      <c r="F852" s="20" t="s">
        <v>34</v>
      </c>
      <c r="G852" s="20">
        <v>2</v>
      </c>
      <c r="H852" s="20">
        <v>3</v>
      </c>
      <c r="I852" s="13">
        <v>0.6</v>
      </c>
      <c r="J852" s="20" t="s">
        <v>249</v>
      </c>
      <c r="L852" s="20" t="s">
        <v>60</v>
      </c>
      <c r="M852" s="20" t="s">
        <v>60</v>
      </c>
      <c r="N852" s="20" t="s">
        <v>34</v>
      </c>
      <c r="O852" s="20">
        <v>2</v>
      </c>
      <c r="P852" s="20">
        <v>3</v>
      </c>
      <c r="Q852" s="13">
        <v>0.66383571053823376</v>
      </c>
      <c r="R852" s="20" t="s">
        <v>249</v>
      </c>
      <c r="S852" s="20">
        <v>1.0605572405183039</v>
      </c>
      <c r="T852" s="20" t="s">
        <v>60</v>
      </c>
      <c r="U852" s="20" t="s">
        <v>60</v>
      </c>
      <c r="V852" s="20"/>
      <c r="W852" s="20"/>
      <c r="X852" s="20" t="s">
        <v>60</v>
      </c>
      <c r="Y852" s="20" t="s">
        <v>412</v>
      </c>
      <c r="Z852" s="20" t="s">
        <v>60</v>
      </c>
      <c r="AA852" s="20" t="s">
        <v>491</v>
      </c>
    </row>
    <row r="853" spans="1:27" x14ac:dyDescent="0.2">
      <c r="A853" s="1">
        <v>46051</v>
      </c>
      <c r="B853" s="20" t="s">
        <v>328</v>
      </c>
      <c r="C853" s="20" t="s">
        <v>27</v>
      </c>
      <c r="D853" s="20" t="s">
        <v>21</v>
      </c>
      <c r="E853" s="20" t="s">
        <v>1276</v>
      </c>
      <c r="F853" s="20" t="s">
        <v>21</v>
      </c>
      <c r="G853" s="20">
        <v>2</v>
      </c>
      <c r="H853" s="20">
        <v>3</v>
      </c>
      <c r="I853" s="13">
        <v>0.6</v>
      </c>
      <c r="J853" s="20" t="s">
        <v>249</v>
      </c>
      <c r="L853" s="20" t="s">
        <v>60</v>
      </c>
      <c r="M853" s="20" t="s">
        <v>60</v>
      </c>
      <c r="N853" s="20" t="s">
        <v>21</v>
      </c>
      <c r="O853" s="20">
        <v>2</v>
      </c>
      <c r="P853" s="20">
        <v>3</v>
      </c>
      <c r="Q853" s="13">
        <v>0.56554747568429253</v>
      </c>
      <c r="R853" s="20" t="s">
        <v>249</v>
      </c>
      <c r="S853" s="20">
        <v>0.21037057198174691</v>
      </c>
      <c r="T853" s="20" t="s">
        <v>60</v>
      </c>
      <c r="U853" s="20" t="s">
        <v>60</v>
      </c>
      <c r="V853" s="20"/>
      <c r="W853" s="20"/>
      <c r="X853" s="20" t="s">
        <v>60</v>
      </c>
      <c r="Y853" s="20" t="s">
        <v>412</v>
      </c>
      <c r="Z853" s="20" t="s">
        <v>60</v>
      </c>
      <c r="AA853" s="20" t="s">
        <v>491</v>
      </c>
    </row>
    <row r="854" spans="1:27" x14ac:dyDescent="0.2">
      <c r="A854" s="1">
        <v>46051</v>
      </c>
      <c r="B854" s="20" t="s">
        <v>328</v>
      </c>
      <c r="C854" s="20" t="s">
        <v>13</v>
      </c>
      <c r="D854" s="20" t="s">
        <v>23</v>
      </c>
      <c r="E854" s="20" t="s">
        <v>1277</v>
      </c>
      <c r="F854" s="20" t="s">
        <v>13</v>
      </c>
      <c r="G854" s="20">
        <v>2</v>
      </c>
      <c r="H854" s="20">
        <v>3</v>
      </c>
      <c r="I854" s="13">
        <v>0.6</v>
      </c>
      <c r="J854" s="20" t="s">
        <v>249</v>
      </c>
      <c r="L854" s="20" t="s">
        <v>60</v>
      </c>
      <c r="M854" s="20" t="s">
        <v>60</v>
      </c>
      <c r="N854" s="20" t="s">
        <v>13</v>
      </c>
      <c r="O854" s="20">
        <v>2</v>
      </c>
      <c r="P854" s="20">
        <v>3</v>
      </c>
      <c r="Q854" s="13">
        <v>0.52639570074487763</v>
      </c>
      <c r="R854" s="20" t="s">
        <v>249</v>
      </c>
      <c r="S854" s="20">
        <v>-8.7926088140213521E-2</v>
      </c>
      <c r="T854" s="20" t="s">
        <v>60</v>
      </c>
      <c r="U854" s="20" t="s">
        <v>60</v>
      </c>
      <c r="V854" s="20"/>
      <c r="W854" s="20"/>
      <c r="X854" s="20" t="s">
        <v>60</v>
      </c>
      <c r="Y854" s="20" t="s">
        <v>412</v>
      </c>
      <c r="Z854" s="20" t="s">
        <v>60</v>
      </c>
      <c r="AA854" s="20" t="s">
        <v>491</v>
      </c>
    </row>
    <row r="855" spans="1:27" x14ac:dyDescent="0.2">
      <c r="A855" s="1">
        <v>46051</v>
      </c>
      <c r="B855" s="20" t="s">
        <v>328</v>
      </c>
      <c r="C855" s="20" t="s">
        <v>12</v>
      </c>
      <c r="D855" s="20" t="s">
        <v>18</v>
      </c>
      <c r="E855" s="20" t="s">
        <v>1278</v>
      </c>
      <c r="F855" s="20" t="s">
        <v>12</v>
      </c>
      <c r="G855" s="20">
        <v>2</v>
      </c>
      <c r="H855" s="20">
        <v>3</v>
      </c>
      <c r="I855" s="13">
        <v>0.6</v>
      </c>
      <c r="J855" s="20" t="s">
        <v>249</v>
      </c>
      <c r="L855" s="20" t="s">
        <v>60</v>
      </c>
      <c r="M855" s="20" t="s">
        <v>60</v>
      </c>
      <c r="N855" s="20" t="s">
        <v>12</v>
      </c>
      <c r="O855" s="20">
        <v>2</v>
      </c>
      <c r="P855" s="20">
        <v>3</v>
      </c>
      <c r="Q855" s="13">
        <v>0.78657397201630874</v>
      </c>
      <c r="R855" s="20" t="s">
        <v>249</v>
      </c>
      <c r="S855" s="20">
        <v>-2.1748925377776391</v>
      </c>
      <c r="T855" s="20" t="s">
        <v>60</v>
      </c>
      <c r="U855" s="20" t="s">
        <v>60</v>
      </c>
      <c r="V855" s="20"/>
      <c r="W855" s="20"/>
      <c r="X855" s="20" t="s">
        <v>60</v>
      </c>
      <c r="Y855" s="20" t="s">
        <v>412</v>
      </c>
      <c r="Z855" s="20" t="s">
        <v>60</v>
      </c>
      <c r="AA855" s="20" t="s">
        <v>491</v>
      </c>
    </row>
    <row r="856" spans="1:27" x14ac:dyDescent="0.2">
      <c r="A856" s="1">
        <v>46051</v>
      </c>
      <c r="B856" s="20" t="s">
        <v>334</v>
      </c>
      <c r="C856" s="20" t="s">
        <v>22</v>
      </c>
      <c r="D856" s="20" t="s">
        <v>26</v>
      </c>
      <c r="E856" s="20" t="s">
        <v>1053</v>
      </c>
      <c r="F856" s="20" t="s">
        <v>22</v>
      </c>
      <c r="G856" s="20">
        <v>2</v>
      </c>
      <c r="H856" s="20">
        <v>3</v>
      </c>
      <c r="I856" s="13">
        <v>0.6</v>
      </c>
      <c r="J856" s="20" t="s">
        <v>249</v>
      </c>
      <c r="L856" s="20" t="s">
        <v>60</v>
      </c>
      <c r="M856" s="20" t="s">
        <v>60</v>
      </c>
      <c r="N856" s="20" t="s">
        <v>22</v>
      </c>
      <c r="O856" s="20">
        <v>2</v>
      </c>
      <c r="P856" s="20">
        <v>3</v>
      </c>
      <c r="Q856" s="13">
        <v>0.65035380101246465</v>
      </c>
      <c r="R856" s="20" t="s">
        <v>249</v>
      </c>
      <c r="S856" s="20">
        <v>-1.2661460489629039</v>
      </c>
      <c r="T856" s="20" t="s">
        <v>60</v>
      </c>
      <c r="U856" s="20" t="s">
        <v>60</v>
      </c>
      <c r="V856" s="20"/>
      <c r="W856" s="20"/>
      <c r="X856" s="20" t="s">
        <v>60</v>
      </c>
      <c r="Y856" s="20" t="s">
        <v>412</v>
      </c>
      <c r="Z856" s="20" t="s">
        <v>60</v>
      </c>
      <c r="AA856" s="20" t="s">
        <v>491</v>
      </c>
    </row>
    <row r="857" spans="1:27" x14ac:dyDescent="0.2">
      <c r="A857" s="1">
        <v>46051</v>
      </c>
      <c r="B857" s="20" t="s">
        <v>326</v>
      </c>
      <c r="C857" s="20" t="s">
        <v>33</v>
      </c>
      <c r="D857" s="20" t="s">
        <v>17</v>
      </c>
      <c r="E857" s="20" t="s">
        <v>1279</v>
      </c>
      <c r="F857" s="20" t="s">
        <v>33</v>
      </c>
      <c r="G857" s="20">
        <v>2</v>
      </c>
      <c r="H857" s="20">
        <v>3</v>
      </c>
      <c r="I857" s="13">
        <v>0.6</v>
      </c>
      <c r="J857" s="20" t="s">
        <v>249</v>
      </c>
      <c r="L857" s="20" t="s">
        <v>60</v>
      </c>
      <c r="M857" s="20" t="s">
        <v>60</v>
      </c>
      <c r="N857" s="20" t="s">
        <v>33</v>
      </c>
      <c r="O857" s="20">
        <v>2</v>
      </c>
      <c r="P857" s="20">
        <v>3</v>
      </c>
      <c r="Q857" s="13">
        <v>0.48991183681922668</v>
      </c>
      <c r="R857" s="20" t="s">
        <v>249</v>
      </c>
      <c r="S857" s="20">
        <v>-0.31651492293211592</v>
      </c>
      <c r="T857" s="20" t="s">
        <v>60</v>
      </c>
      <c r="U857" s="20" t="s">
        <v>60</v>
      </c>
      <c r="V857" s="20"/>
      <c r="W857" s="20"/>
      <c r="X857" s="20" t="s">
        <v>60</v>
      </c>
      <c r="Y857" s="20" t="s">
        <v>412</v>
      </c>
      <c r="Z857" s="20" t="s">
        <v>60</v>
      </c>
      <c r="AA857" s="20" t="s">
        <v>491</v>
      </c>
    </row>
    <row r="858" spans="1:27" x14ac:dyDescent="0.2">
      <c r="A858" s="1">
        <v>46051</v>
      </c>
      <c r="B858" s="20" t="s">
        <v>328</v>
      </c>
      <c r="C858" s="20" t="s">
        <v>55</v>
      </c>
      <c r="D858" s="20" t="s">
        <v>25</v>
      </c>
      <c r="E858" s="20" t="s">
        <v>1280</v>
      </c>
      <c r="F858" s="20" t="s">
        <v>25</v>
      </c>
      <c r="G858" s="20">
        <v>2</v>
      </c>
      <c r="H858" s="20">
        <v>3</v>
      </c>
      <c r="I858" s="13">
        <v>0.6</v>
      </c>
      <c r="J858" s="20" t="s">
        <v>249</v>
      </c>
      <c r="L858" s="20" t="s">
        <v>60</v>
      </c>
      <c r="M858" s="20" t="s">
        <v>60</v>
      </c>
      <c r="N858" s="20" t="s">
        <v>25</v>
      </c>
      <c r="O858" s="20">
        <v>2</v>
      </c>
      <c r="P858" s="20">
        <v>3</v>
      </c>
      <c r="Q858" s="13">
        <v>0.69431707371871232</v>
      </c>
      <c r="R858" s="20" t="s">
        <v>249</v>
      </c>
      <c r="S858" s="20">
        <v>0.87869917527289765</v>
      </c>
      <c r="T858" s="20" t="s">
        <v>60</v>
      </c>
      <c r="U858" s="20" t="s">
        <v>60</v>
      </c>
      <c r="V858" s="20"/>
      <c r="W858" s="20"/>
      <c r="X858" s="20" t="s">
        <v>60</v>
      </c>
      <c r="Y858" s="20" t="s">
        <v>412</v>
      </c>
      <c r="Z858" s="20" t="s">
        <v>60</v>
      </c>
      <c r="AA858" s="20" t="s">
        <v>491</v>
      </c>
    </row>
    <row r="859" spans="1:27" x14ac:dyDescent="0.2">
      <c r="A859" s="1">
        <v>46052</v>
      </c>
      <c r="B859" s="20" t="s">
        <v>416</v>
      </c>
      <c r="C859" s="20" t="s">
        <v>28</v>
      </c>
      <c r="D859" s="20" t="s">
        <v>10</v>
      </c>
      <c r="E859" s="20" t="s">
        <v>1281</v>
      </c>
      <c r="F859" s="20" t="s">
        <v>10</v>
      </c>
      <c r="G859" s="20">
        <v>2</v>
      </c>
      <c r="H859" s="20">
        <v>3</v>
      </c>
      <c r="I859" s="13">
        <v>0.6</v>
      </c>
      <c r="J859" s="20" t="s">
        <v>249</v>
      </c>
      <c r="L859" s="20" t="s">
        <v>60</v>
      </c>
      <c r="M859" s="20" t="s">
        <v>60</v>
      </c>
      <c r="N859" s="20" t="s">
        <v>10</v>
      </c>
      <c r="O859" s="20">
        <v>2</v>
      </c>
      <c r="P859" s="20">
        <v>3</v>
      </c>
      <c r="Q859" s="13">
        <v>0.59115077108977121</v>
      </c>
      <c r="R859" s="20" t="s">
        <v>249</v>
      </c>
      <c r="S859" s="20">
        <v>0.4686938980893891</v>
      </c>
      <c r="T859" s="20" t="s">
        <v>60</v>
      </c>
      <c r="U859" s="20" t="s">
        <v>60</v>
      </c>
      <c r="V859" s="20"/>
      <c r="W859" s="20"/>
      <c r="X859" s="20" t="s">
        <v>60</v>
      </c>
      <c r="Y859" s="20" t="s">
        <v>412</v>
      </c>
      <c r="Z859" s="20" t="s">
        <v>60</v>
      </c>
      <c r="AA859" s="20" t="s">
        <v>491</v>
      </c>
    </row>
    <row r="860" spans="1:27" x14ac:dyDescent="0.2">
      <c r="A860" s="1">
        <v>46053</v>
      </c>
      <c r="B860" s="20" t="s">
        <v>322</v>
      </c>
      <c r="C860" s="20" t="s">
        <v>32</v>
      </c>
      <c r="D860" s="20" t="s">
        <v>20</v>
      </c>
      <c r="E860" s="20" t="s">
        <v>1282</v>
      </c>
      <c r="F860" s="20" t="s">
        <v>20</v>
      </c>
      <c r="G860" s="20">
        <v>2</v>
      </c>
      <c r="H860" s="20">
        <v>3</v>
      </c>
      <c r="I860" s="13">
        <v>0.6</v>
      </c>
      <c r="J860" s="20" t="s">
        <v>249</v>
      </c>
      <c r="L860" s="20" t="s">
        <v>60</v>
      </c>
      <c r="M860" s="20" t="s">
        <v>60</v>
      </c>
      <c r="N860" s="20" t="s">
        <v>20</v>
      </c>
      <c r="O860" s="20">
        <v>2</v>
      </c>
      <c r="P860" s="20">
        <v>3</v>
      </c>
      <c r="Q860" s="13">
        <v>0.59310895063284608</v>
      </c>
      <c r="R860" s="20" t="s">
        <v>249</v>
      </c>
      <c r="S860" s="20">
        <v>0.45483715388061602</v>
      </c>
      <c r="T860" s="20" t="s">
        <v>60</v>
      </c>
      <c r="U860" s="20" t="s">
        <v>60</v>
      </c>
      <c r="V860" s="20"/>
      <c r="W860" s="20"/>
      <c r="X860" s="20" t="s">
        <v>60</v>
      </c>
      <c r="Y860" s="20" t="s">
        <v>412</v>
      </c>
      <c r="Z860" s="20" t="s">
        <v>60</v>
      </c>
      <c r="AA860" s="20" t="s">
        <v>491</v>
      </c>
    </row>
    <row r="861" spans="1:27" x14ac:dyDescent="0.2">
      <c r="A861" s="1">
        <v>46053</v>
      </c>
      <c r="B861" s="20" t="s">
        <v>328</v>
      </c>
      <c r="C861" s="20" t="s">
        <v>19</v>
      </c>
      <c r="D861" s="20" t="s">
        <v>38</v>
      </c>
      <c r="E861" s="20" t="s">
        <v>1283</v>
      </c>
      <c r="F861" s="20" t="s">
        <v>19</v>
      </c>
      <c r="G861" s="20">
        <v>2</v>
      </c>
      <c r="H861" s="20">
        <v>3</v>
      </c>
      <c r="I861" s="13">
        <v>0.6</v>
      </c>
      <c r="J861" s="20" t="s">
        <v>249</v>
      </c>
      <c r="L861" s="20" t="s">
        <v>60</v>
      </c>
      <c r="M861" s="20" t="s">
        <v>60</v>
      </c>
      <c r="N861" s="20" t="s">
        <v>19</v>
      </c>
      <c r="O861" s="20">
        <v>2</v>
      </c>
      <c r="P861" s="20">
        <v>3</v>
      </c>
      <c r="Q861" s="13">
        <v>0.49074397594317171</v>
      </c>
      <c r="R861" s="20" t="s">
        <v>249</v>
      </c>
      <c r="S861" s="20">
        <v>-0.26329841486866112</v>
      </c>
      <c r="T861" s="20" t="s">
        <v>60</v>
      </c>
      <c r="U861" s="20" t="s">
        <v>60</v>
      </c>
      <c r="V861" s="20"/>
      <c r="W861" s="20"/>
      <c r="X861" s="20" t="s">
        <v>60</v>
      </c>
      <c r="Y861" s="20" t="s">
        <v>412</v>
      </c>
      <c r="Z861" s="20" t="s">
        <v>60</v>
      </c>
      <c r="AA861" s="20" t="s">
        <v>491</v>
      </c>
    </row>
    <row r="862" spans="1:27" x14ac:dyDescent="0.2">
      <c r="A862" s="1">
        <v>46053</v>
      </c>
      <c r="B862" s="20" t="s">
        <v>326</v>
      </c>
      <c r="C862" s="20" t="s">
        <v>39</v>
      </c>
      <c r="D862" s="20" t="s">
        <v>55</v>
      </c>
      <c r="E862" s="20" t="s">
        <v>1193</v>
      </c>
      <c r="F862" s="20" t="s">
        <v>39</v>
      </c>
      <c r="G862" s="20">
        <v>2</v>
      </c>
      <c r="H862" s="20">
        <v>3</v>
      </c>
      <c r="I862" s="13">
        <v>0.6</v>
      </c>
      <c r="J862" s="20" t="s">
        <v>249</v>
      </c>
      <c r="L862" s="20" t="s">
        <v>60</v>
      </c>
      <c r="M862" s="20" t="s">
        <v>60</v>
      </c>
      <c r="N862" s="20" t="s">
        <v>39</v>
      </c>
      <c r="O862" s="20">
        <v>2</v>
      </c>
      <c r="P862" s="20">
        <v>3</v>
      </c>
      <c r="Q862" s="13">
        <v>0.61057209039542149</v>
      </c>
      <c r="R862" s="20" t="s">
        <v>249</v>
      </c>
      <c r="S862" s="20">
        <v>-0.76666504195313978</v>
      </c>
      <c r="T862" s="20" t="s">
        <v>60</v>
      </c>
      <c r="U862" s="20" t="s">
        <v>60</v>
      </c>
      <c r="V862" s="20"/>
      <c r="W862" s="20"/>
      <c r="X862" s="20" t="s">
        <v>60</v>
      </c>
      <c r="Y862" s="20" t="s">
        <v>412</v>
      </c>
      <c r="Z862" s="20" t="s">
        <v>60</v>
      </c>
      <c r="AA862" s="20" t="s">
        <v>491</v>
      </c>
    </row>
    <row r="863" spans="1:27" x14ac:dyDescent="0.2">
      <c r="A863" s="1">
        <v>46053</v>
      </c>
      <c r="B863" s="20" t="s">
        <v>328</v>
      </c>
      <c r="C863" s="20" t="s">
        <v>28</v>
      </c>
      <c r="D863" s="20" t="s">
        <v>35</v>
      </c>
      <c r="E863" s="20" t="s">
        <v>1284</v>
      </c>
      <c r="F863" s="20" t="s">
        <v>28</v>
      </c>
      <c r="G863" s="20">
        <v>2</v>
      </c>
      <c r="H863" s="20">
        <v>3</v>
      </c>
      <c r="I863" s="13">
        <v>0.6</v>
      </c>
      <c r="J863" s="20" t="s">
        <v>249</v>
      </c>
      <c r="L863" s="20" t="s">
        <v>60</v>
      </c>
      <c r="M863" s="20" t="s">
        <v>60</v>
      </c>
      <c r="N863" s="20" t="s">
        <v>28</v>
      </c>
      <c r="O863" s="20">
        <v>2</v>
      </c>
      <c r="P863" s="20">
        <v>3</v>
      </c>
      <c r="Q863" s="13">
        <v>0.55110164660311056</v>
      </c>
      <c r="R863" s="20" t="s">
        <v>249</v>
      </c>
      <c r="S863" s="20">
        <v>-0.74958821867401981</v>
      </c>
      <c r="T863" s="20" t="s">
        <v>60</v>
      </c>
      <c r="U863" s="20" t="s">
        <v>60</v>
      </c>
      <c r="V863" s="20"/>
      <c r="W863" s="20"/>
      <c r="X863" s="20" t="s">
        <v>60</v>
      </c>
      <c r="Y863" s="20" t="s">
        <v>412</v>
      </c>
      <c r="Z863" s="20" t="s">
        <v>60</v>
      </c>
      <c r="AA863" s="20" t="s">
        <v>491</v>
      </c>
    </row>
    <row r="864" spans="1:27" x14ac:dyDescent="0.2">
      <c r="A864" s="1">
        <v>46053</v>
      </c>
      <c r="B864" s="20" t="s">
        <v>352</v>
      </c>
      <c r="C864" s="20" t="s">
        <v>15</v>
      </c>
      <c r="D864" s="20" t="s">
        <v>14</v>
      </c>
      <c r="E864" s="20" t="s">
        <v>534</v>
      </c>
      <c r="F864" s="20" t="s">
        <v>14</v>
      </c>
      <c r="G864" s="20">
        <v>2</v>
      </c>
      <c r="H864" s="20">
        <v>3</v>
      </c>
      <c r="I864" s="13">
        <v>0.6</v>
      </c>
      <c r="J864" s="20" t="s">
        <v>249</v>
      </c>
      <c r="L864" s="20" t="s">
        <v>60</v>
      </c>
      <c r="M864" s="20" t="s">
        <v>60</v>
      </c>
      <c r="N864" s="20" t="s">
        <v>14</v>
      </c>
      <c r="O864" s="20">
        <v>2</v>
      </c>
      <c r="P864" s="20">
        <v>3</v>
      </c>
      <c r="Q864" s="13">
        <v>0.46299948327093321</v>
      </c>
      <c r="R864" s="20" t="s">
        <v>249</v>
      </c>
      <c r="S864" s="20">
        <v>0.19767051184161499</v>
      </c>
      <c r="T864" s="20" t="s">
        <v>60</v>
      </c>
      <c r="U864" s="20" t="s">
        <v>60</v>
      </c>
      <c r="V864" s="20"/>
      <c r="W864" s="20"/>
      <c r="X864" s="20" t="s">
        <v>60</v>
      </c>
      <c r="Y864" s="20" t="s">
        <v>412</v>
      </c>
      <c r="Z864" s="20" t="s">
        <v>60</v>
      </c>
      <c r="AA864" s="20" t="s">
        <v>491</v>
      </c>
    </row>
    <row r="865" spans="1:27" x14ac:dyDescent="0.2">
      <c r="A865" s="1">
        <v>46053</v>
      </c>
      <c r="B865" s="20" t="s">
        <v>555</v>
      </c>
      <c r="C865" s="20" t="s">
        <v>13</v>
      </c>
      <c r="D865" s="20" t="s">
        <v>27</v>
      </c>
      <c r="E865" s="20" t="s">
        <v>1285</v>
      </c>
      <c r="F865" s="20" t="s">
        <v>27</v>
      </c>
      <c r="G865" s="20">
        <v>2</v>
      </c>
      <c r="H865" s="20">
        <v>3</v>
      </c>
      <c r="I865" s="13">
        <v>0.6</v>
      </c>
      <c r="J865" s="20" t="s">
        <v>249</v>
      </c>
      <c r="L865" s="20" t="s">
        <v>60</v>
      </c>
      <c r="M865" s="20" t="s">
        <v>60</v>
      </c>
      <c r="N865" s="20" t="s">
        <v>27</v>
      </c>
      <c r="O865" s="20">
        <v>2</v>
      </c>
      <c r="P865" s="20">
        <v>3</v>
      </c>
      <c r="Q865" s="13">
        <v>0.48873254651311138</v>
      </c>
      <c r="R865" s="20" t="s">
        <v>249</v>
      </c>
      <c r="S865" s="20">
        <v>7.9447640940601416E-3</v>
      </c>
      <c r="T865" s="20" t="s">
        <v>60</v>
      </c>
      <c r="U865" s="20" t="s">
        <v>60</v>
      </c>
      <c r="V865" s="20"/>
      <c r="W865" s="20"/>
      <c r="X865" s="20" t="s">
        <v>60</v>
      </c>
      <c r="Y865" s="20" t="s">
        <v>412</v>
      </c>
      <c r="Z865" s="20" t="s">
        <v>60</v>
      </c>
      <c r="AA865" s="20" t="s">
        <v>491</v>
      </c>
    </row>
    <row r="866" spans="1:27" x14ac:dyDescent="0.2">
      <c r="A866" s="1">
        <v>46053</v>
      </c>
      <c r="B866" s="20" t="s">
        <v>328</v>
      </c>
      <c r="C866" s="20" t="s">
        <v>29</v>
      </c>
      <c r="D866" s="20" t="s">
        <v>30</v>
      </c>
      <c r="E866" s="20" t="s">
        <v>1286</v>
      </c>
      <c r="F866" s="20" t="s">
        <v>30</v>
      </c>
      <c r="G866" s="20">
        <v>2</v>
      </c>
      <c r="H866" s="20">
        <v>3</v>
      </c>
      <c r="I866" s="13">
        <v>0.6</v>
      </c>
      <c r="J866" s="20" t="s">
        <v>249</v>
      </c>
      <c r="L866" s="20" t="s">
        <v>60</v>
      </c>
      <c r="M866" s="20" t="s">
        <v>60</v>
      </c>
      <c r="N866" s="20" t="s">
        <v>30</v>
      </c>
      <c r="O866" s="20">
        <v>2</v>
      </c>
      <c r="P866" s="20">
        <v>3</v>
      </c>
      <c r="Q866" s="13">
        <v>0.67940381512061765</v>
      </c>
      <c r="R866" s="20" t="s">
        <v>249</v>
      </c>
      <c r="S866" s="20">
        <v>1.193886035291891</v>
      </c>
      <c r="T866" s="20" t="s">
        <v>60</v>
      </c>
      <c r="U866" s="20" t="s">
        <v>60</v>
      </c>
      <c r="V866" s="20"/>
      <c r="W866" s="20"/>
      <c r="X866" s="20" t="s">
        <v>60</v>
      </c>
      <c r="Y866" s="20" t="s">
        <v>412</v>
      </c>
      <c r="Z866" s="20" t="s">
        <v>60</v>
      </c>
      <c r="AA866" s="20" t="s">
        <v>491</v>
      </c>
    </row>
    <row r="867" spans="1:27" x14ac:dyDescent="0.2">
      <c r="A867" s="1">
        <v>46053</v>
      </c>
      <c r="B867" s="20" t="s">
        <v>369</v>
      </c>
      <c r="C867" s="20" t="s">
        <v>40</v>
      </c>
      <c r="D867" s="20" t="s">
        <v>11</v>
      </c>
      <c r="E867" s="20" t="s">
        <v>1287</v>
      </c>
      <c r="F867" s="20" t="s">
        <v>40</v>
      </c>
      <c r="G867" s="20">
        <v>2</v>
      </c>
      <c r="H867" s="20">
        <v>3</v>
      </c>
      <c r="I867" s="13">
        <v>0.6</v>
      </c>
      <c r="J867" s="20" t="s">
        <v>249</v>
      </c>
      <c r="L867" s="20" t="s">
        <v>60</v>
      </c>
      <c r="M867" s="20" t="s">
        <v>60</v>
      </c>
      <c r="N867" s="20" t="s">
        <v>40</v>
      </c>
      <c r="O867" s="20">
        <v>2</v>
      </c>
      <c r="P867" s="20">
        <v>3</v>
      </c>
      <c r="Q867" s="13">
        <v>0.47063383323079527</v>
      </c>
      <c r="R867" s="20" t="s">
        <v>249</v>
      </c>
      <c r="S867" s="20">
        <v>-3.3975718358152503E-2</v>
      </c>
      <c r="T867" s="20" t="s">
        <v>60</v>
      </c>
      <c r="U867" s="20" t="s">
        <v>60</v>
      </c>
      <c r="V867" s="20"/>
      <c r="W867" s="20"/>
      <c r="X867" s="20" t="s">
        <v>60</v>
      </c>
      <c r="Y867" s="20" t="s">
        <v>412</v>
      </c>
      <c r="Z867" s="20" t="s">
        <v>60</v>
      </c>
      <c r="AA867" s="20" t="s">
        <v>491</v>
      </c>
    </row>
    <row r="868" spans="1:27" x14ac:dyDescent="0.2">
      <c r="A868" s="1">
        <v>46053</v>
      </c>
      <c r="B868" s="20" t="s">
        <v>365</v>
      </c>
      <c r="C868" s="20" t="s">
        <v>25</v>
      </c>
      <c r="D868" s="20" t="s">
        <v>22</v>
      </c>
      <c r="E868" s="20" t="s">
        <v>975</v>
      </c>
      <c r="F868" s="20" t="s">
        <v>22</v>
      </c>
      <c r="G868" s="20">
        <v>2</v>
      </c>
      <c r="H868" s="20">
        <v>3</v>
      </c>
      <c r="I868" s="13">
        <v>0.6</v>
      </c>
      <c r="J868" s="20" t="s">
        <v>249</v>
      </c>
      <c r="L868" s="20" t="s">
        <v>60</v>
      </c>
      <c r="M868" s="20" t="s">
        <v>60</v>
      </c>
      <c r="N868" s="20" t="s">
        <v>22</v>
      </c>
      <c r="O868" s="20">
        <v>2</v>
      </c>
      <c r="P868" s="20">
        <v>3</v>
      </c>
      <c r="Q868" s="13">
        <v>0.50125275400568248</v>
      </c>
      <c r="R868" s="20" t="s">
        <v>249</v>
      </c>
      <c r="S868" s="20">
        <v>6.4932844448366722E-2</v>
      </c>
      <c r="T868" s="20" t="s">
        <v>60</v>
      </c>
      <c r="U868" s="20" t="s">
        <v>60</v>
      </c>
      <c r="V868" s="20"/>
      <c r="W868" s="20"/>
      <c r="X868" s="20" t="s">
        <v>60</v>
      </c>
      <c r="Y868" s="20" t="s">
        <v>412</v>
      </c>
      <c r="Z868" s="20" t="s">
        <v>60</v>
      </c>
      <c r="AA868" s="20" t="s">
        <v>491</v>
      </c>
    </row>
    <row r="869" spans="1:27" x14ac:dyDescent="0.2">
      <c r="A869" s="1">
        <v>46053</v>
      </c>
      <c r="B869" s="20" t="s">
        <v>347</v>
      </c>
      <c r="C869" s="20" t="s">
        <v>12</v>
      </c>
      <c r="D869" s="20" t="s">
        <v>26</v>
      </c>
      <c r="E869" s="20" t="s">
        <v>1288</v>
      </c>
      <c r="F869" s="20" t="s">
        <v>12</v>
      </c>
      <c r="G869" s="20">
        <v>2</v>
      </c>
      <c r="H869" s="20">
        <v>3</v>
      </c>
      <c r="I869" s="13">
        <v>0.6</v>
      </c>
      <c r="J869" s="20" t="s">
        <v>249</v>
      </c>
      <c r="L869" s="20" t="s">
        <v>60</v>
      </c>
      <c r="M869" s="20" t="s">
        <v>60</v>
      </c>
      <c r="N869" s="20" t="s">
        <v>12</v>
      </c>
      <c r="O869" s="20">
        <v>2</v>
      </c>
      <c r="P869" s="20">
        <v>3</v>
      </c>
      <c r="Q869" s="13">
        <v>0.81955417079640691</v>
      </c>
      <c r="R869" s="20" t="s">
        <v>249</v>
      </c>
      <c r="S869" s="20">
        <v>-2.457342474536123</v>
      </c>
      <c r="T869" s="20" t="s">
        <v>60</v>
      </c>
      <c r="U869" s="20" t="s">
        <v>60</v>
      </c>
      <c r="V869" s="20"/>
      <c r="W869" s="20"/>
      <c r="X869" s="20" t="s">
        <v>60</v>
      </c>
      <c r="Y869" s="20" t="s">
        <v>412</v>
      </c>
      <c r="Z869" s="20" t="s">
        <v>60</v>
      </c>
      <c r="AA869" s="20" t="s">
        <v>491</v>
      </c>
    </row>
    <row r="870" spans="1:27" x14ac:dyDescent="0.2">
      <c r="A870" s="1">
        <v>46053</v>
      </c>
      <c r="B870" s="20" t="s">
        <v>369</v>
      </c>
      <c r="C870" s="20" t="s">
        <v>33</v>
      </c>
      <c r="D870" s="20" t="s">
        <v>16</v>
      </c>
      <c r="E870" s="20" t="s">
        <v>866</v>
      </c>
      <c r="F870" s="20" t="s">
        <v>33</v>
      </c>
      <c r="G870" s="20">
        <v>2</v>
      </c>
      <c r="H870" s="20">
        <v>3</v>
      </c>
      <c r="I870" s="13">
        <v>0.6</v>
      </c>
      <c r="J870" s="20" t="s">
        <v>249</v>
      </c>
      <c r="L870" s="20" t="s">
        <v>60</v>
      </c>
      <c r="M870" s="20" t="s">
        <v>60</v>
      </c>
      <c r="N870" s="20" t="s">
        <v>33</v>
      </c>
      <c r="O870" s="20">
        <v>2</v>
      </c>
      <c r="P870" s="20">
        <v>3</v>
      </c>
      <c r="Q870" s="13">
        <v>0.52591949068755661</v>
      </c>
      <c r="R870" s="20" t="s">
        <v>249</v>
      </c>
      <c r="S870" s="20">
        <v>-0.56454953773921501</v>
      </c>
      <c r="T870" s="20" t="s">
        <v>60</v>
      </c>
      <c r="U870" s="20" t="s">
        <v>60</v>
      </c>
      <c r="V870" s="20"/>
      <c r="W870" s="20"/>
      <c r="X870" s="20" t="s">
        <v>60</v>
      </c>
      <c r="Y870" s="20" t="s">
        <v>412</v>
      </c>
      <c r="Z870" s="20" t="s">
        <v>60</v>
      </c>
      <c r="AA870" s="20" t="s">
        <v>491</v>
      </c>
    </row>
    <row r="871" spans="1:27" x14ac:dyDescent="0.2">
      <c r="A871" s="1">
        <v>46053</v>
      </c>
      <c r="B871" s="20" t="s">
        <v>328</v>
      </c>
      <c r="C871" s="20" t="s">
        <v>18</v>
      </c>
      <c r="D871" s="20" t="s">
        <v>23</v>
      </c>
      <c r="E871" s="20" t="s">
        <v>1195</v>
      </c>
      <c r="F871" s="20" t="s">
        <v>23</v>
      </c>
      <c r="G871" s="20">
        <v>2</v>
      </c>
      <c r="H871" s="20">
        <v>3</v>
      </c>
      <c r="I871" s="13">
        <v>0.6</v>
      </c>
      <c r="J871" s="20" t="s">
        <v>249</v>
      </c>
      <c r="L871" s="20" t="s">
        <v>60</v>
      </c>
      <c r="M871" s="20" t="s">
        <v>60</v>
      </c>
      <c r="N871" s="20" t="s">
        <v>23</v>
      </c>
      <c r="O871" s="20">
        <v>2</v>
      </c>
      <c r="P871" s="20">
        <v>3</v>
      </c>
      <c r="Q871" s="13">
        <v>0.51037143409448726</v>
      </c>
      <c r="R871" s="20" t="s">
        <v>249</v>
      </c>
      <c r="S871" s="20">
        <v>0.166679941456398</v>
      </c>
      <c r="T871" s="20" t="s">
        <v>60</v>
      </c>
      <c r="U871" s="20" t="s">
        <v>60</v>
      </c>
      <c r="V871" s="20"/>
      <c r="W871" s="20"/>
      <c r="X871" s="20" t="s">
        <v>60</v>
      </c>
      <c r="Y871" s="20" t="s">
        <v>412</v>
      </c>
      <c r="Z871" s="20" t="s">
        <v>60</v>
      </c>
      <c r="AA871" s="20" t="s">
        <v>491</v>
      </c>
    </row>
    <row r="872" spans="1:27" x14ac:dyDescent="0.2">
      <c r="A872" s="1">
        <v>46053</v>
      </c>
      <c r="B872" s="20" t="s">
        <v>328</v>
      </c>
      <c r="C872" s="20" t="s">
        <v>24</v>
      </c>
      <c r="D872" s="20" t="s">
        <v>36</v>
      </c>
      <c r="E872" s="20" t="s">
        <v>966</v>
      </c>
      <c r="F872" s="20" t="s">
        <v>24</v>
      </c>
      <c r="G872" s="20">
        <v>2</v>
      </c>
      <c r="H872" s="20">
        <v>3</v>
      </c>
      <c r="I872" s="13">
        <v>0.6</v>
      </c>
      <c r="J872" s="20" t="s">
        <v>249</v>
      </c>
      <c r="L872" s="20" t="s">
        <v>60</v>
      </c>
      <c r="M872" s="20" t="s">
        <v>60</v>
      </c>
      <c r="N872" s="20" t="s">
        <v>24</v>
      </c>
      <c r="O872" s="20">
        <v>2</v>
      </c>
      <c r="P872" s="20">
        <v>3</v>
      </c>
      <c r="Q872" s="13">
        <v>0.53465889649685494</v>
      </c>
      <c r="R872" s="20" t="s">
        <v>249</v>
      </c>
      <c r="S872" s="20">
        <v>-0.48300555270628043</v>
      </c>
      <c r="T872" s="20" t="s">
        <v>60</v>
      </c>
      <c r="U872" s="20" t="s">
        <v>60</v>
      </c>
      <c r="V872" s="20"/>
      <c r="W872" s="20"/>
      <c r="X872" s="20" t="s">
        <v>60</v>
      </c>
      <c r="Y872" s="20" t="s">
        <v>412</v>
      </c>
      <c r="Z872" s="20" t="s">
        <v>60</v>
      </c>
      <c r="AA872" s="20" t="s">
        <v>491</v>
      </c>
    </row>
    <row r="873" spans="1:27" x14ac:dyDescent="0.2">
      <c r="A873" s="1">
        <v>46053</v>
      </c>
      <c r="B873" s="20" t="s">
        <v>322</v>
      </c>
      <c r="C873" s="20" t="s">
        <v>34</v>
      </c>
      <c r="D873" s="20" t="s">
        <v>17</v>
      </c>
      <c r="E873" s="20" t="s">
        <v>480</v>
      </c>
      <c r="F873" s="20" t="s">
        <v>34</v>
      </c>
      <c r="G873" s="20">
        <v>2</v>
      </c>
      <c r="H873" s="20">
        <v>3</v>
      </c>
      <c r="I873" s="13">
        <v>0.6</v>
      </c>
      <c r="J873" s="20" t="s">
        <v>249</v>
      </c>
      <c r="L873" s="20" t="s">
        <v>60</v>
      </c>
      <c r="M873" s="20" t="s">
        <v>60</v>
      </c>
      <c r="N873" s="20" t="s">
        <v>34</v>
      </c>
      <c r="O873" s="20">
        <v>2</v>
      </c>
      <c r="P873" s="20">
        <v>3</v>
      </c>
      <c r="Q873" s="13">
        <v>0.57863355472801747</v>
      </c>
      <c r="R873" s="20" t="s">
        <v>249</v>
      </c>
      <c r="S873" s="20">
        <v>-0.71272112786488051</v>
      </c>
      <c r="T873" s="20" t="s">
        <v>60</v>
      </c>
      <c r="U873" s="20" t="s">
        <v>60</v>
      </c>
      <c r="V873" s="20"/>
      <c r="W873" s="20"/>
      <c r="X873" s="20" t="s">
        <v>60</v>
      </c>
      <c r="Y873" s="20" t="s">
        <v>412</v>
      </c>
      <c r="Z873" s="20" t="s">
        <v>60</v>
      </c>
      <c r="AA873" s="20" t="s">
        <v>491</v>
      </c>
    </row>
    <row r="874" spans="1:27" x14ac:dyDescent="0.2">
      <c r="A874" s="1">
        <v>46054</v>
      </c>
      <c r="B874" s="20" t="s">
        <v>347</v>
      </c>
      <c r="C874" s="20" t="s">
        <v>21</v>
      </c>
      <c r="D874" s="20" t="s">
        <v>37</v>
      </c>
      <c r="E874" s="20" t="s">
        <v>1289</v>
      </c>
      <c r="F874" s="20" t="s">
        <v>37</v>
      </c>
      <c r="G874" s="20">
        <v>2</v>
      </c>
      <c r="H874" s="20">
        <v>3</v>
      </c>
      <c r="I874" s="13">
        <v>0.6</v>
      </c>
      <c r="J874" s="20" t="s">
        <v>249</v>
      </c>
      <c r="L874" s="20" t="s">
        <v>60</v>
      </c>
      <c r="M874" s="20" t="s">
        <v>60</v>
      </c>
      <c r="N874" s="20" t="s">
        <v>37</v>
      </c>
      <c r="O874" s="20">
        <v>2</v>
      </c>
      <c r="P874" s="20">
        <v>3</v>
      </c>
      <c r="Q874" s="13">
        <v>0.66252557049821614</v>
      </c>
      <c r="R874" s="20" t="s">
        <v>249</v>
      </c>
      <c r="S874" s="20">
        <v>0.78017545611749828</v>
      </c>
      <c r="T874" s="20" t="s">
        <v>60</v>
      </c>
      <c r="U874" s="20" t="s">
        <v>60</v>
      </c>
      <c r="V874" s="20"/>
      <c r="W874" s="20"/>
      <c r="X874" s="20" t="s">
        <v>60</v>
      </c>
      <c r="Y874" s="20" t="s">
        <v>412</v>
      </c>
      <c r="Z874" s="20" t="s">
        <v>60</v>
      </c>
      <c r="AA874" s="20" t="s">
        <v>491</v>
      </c>
    </row>
    <row r="875" spans="1:27" x14ac:dyDescent="0.2">
      <c r="A875" s="1">
        <v>46054</v>
      </c>
      <c r="B875" s="20" t="s">
        <v>453</v>
      </c>
      <c r="C875" s="20" t="s">
        <v>13</v>
      </c>
      <c r="D875" s="20" t="s">
        <v>25</v>
      </c>
      <c r="E875" s="20" t="s">
        <v>1290</v>
      </c>
      <c r="F875" s="20" t="s">
        <v>25</v>
      </c>
      <c r="G875" s="20">
        <v>2</v>
      </c>
      <c r="H875" s="20">
        <v>3</v>
      </c>
      <c r="I875" s="13">
        <v>0.6</v>
      </c>
      <c r="J875" s="20" t="s">
        <v>249</v>
      </c>
      <c r="L875" s="20" t="s">
        <v>60</v>
      </c>
      <c r="M875" s="20" t="s">
        <v>60</v>
      </c>
      <c r="N875" s="20" t="s">
        <v>25</v>
      </c>
      <c r="O875" s="20">
        <v>2</v>
      </c>
      <c r="P875" s="20">
        <v>3</v>
      </c>
      <c r="Q875" s="13">
        <v>0.62134589604784729</v>
      </c>
      <c r="R875" s="20" t="s">
        <v>249</v>
      </c>
      <c r="S875" s="20">
        <v>0.8138594849289289</v>
      </c>
      <c r="T875" s="20" t="s">
        <v>60</v>
      </c>
      <c r="U875" s="20" t="s">
        <v>60</v>
      </c>
      <c r="V875" s="20"/>
      <c r="W875" s="20"/>
      <c r="X875" s="20" t="s">
        <v>60</v>
      </c>
      <c r="Y875" s="20" t="s">
        <v>412</v>
      </c>
      <c r="Z875" s="20" t="s">
        <v>60</v>
      </c>
      <c r="AA875" s="20" t="s">
        <v>491</v>
      </c>
    </row>
    <row r="876" spans="1:27" x14ac:dyDescent="0.2">
      <c r="A876" s="1">
        <v>46054</v>
      </c>
      <c r="B876" s="20" t="s">
        <v>426</v>
      </c>
      <c r="C876" s="20" t="s">
        <v>20</v>
      </c>
      <c r="D876" s="20" t="s">
        <v>31</v>
      </c>
      <c r="E876" s="20" t="s">
        <v>345</v>
      </c>
      <c r="F876" s="20" t="s">
        <v>31</v>
      </c>
      <c r="G876" s="20">
        <v>2</v>
      </c>
      <c r="H876" s="20">
        <v>3</v>
      </c>
      <c r="I876" s="13">
        <v>0.6</v>
      </c>
      <c r="J876" s="20" t="s">
        <v>249</v>
      </c>
      <c r="L876" s="20" t="s">
        <v>60</v>
      </c>
      <c r="M876" s="20" t="s">
        <v>60</v>
      </c>
      <c r="N876" s="20" t="s">
        <v>31</v>
      </c>
      <c r="O876" s="20">
        <v>2</v>
      </c>
      <c r="P876" s="20">
        <v>3</v>
      </c>
      <c r="Q876" s="13">
        <v>0.67506964956027538</v>
      </c>
      <c r="R876" s="20" t="s">
        <v>249</v>
      </c>
      <c r="S876" s="20">
        <v>0.47304460108306517</v>
      </c>
      <c r="T876" s="20" t="s">
        <v>60</v>
      </c>
      <c r="U876" s="20" t="s">
        <v>60</v>
      </c>
      <c r="V876" s="20"/>
      <c r="W876" s="20"/>
      <c r="X876" s="20" t="s">
        <v>60</v>
      </c>
      <c r="Y876" s="20" t="s">
        <v>412</v>
      </c>
      <c r="Z876" s="20" t="s">
        <v>60</v>
      </c>
      <c r="AA876" s="20" t="s">
        <v>491</v>
      </c>
    </row>
    <row r="877" spans="1:27" x14ac:dyDescent="0.2">
      <c r="A877" s="1">
        <v>46055</v>
      </c>
      <c r="B877" s="20" t="s">
        <v>426</v>
      </c>
      <c r="C877" s="20" t="s">
        <v>38</v>
      </c>
      <c r="D877" s="20" t="s">
        <v>55</v>
      </c>
      <c r="E877" s="20" t="s">
        <v>1291</v>
      </c>
      <c r="F877" s="20" t="s">
        <v>55</v>
      </c>
      <c r="G877" s="20">
        <v>2</v>
      </c>
      <c r="H877" s="20">
        <v>3</v>
      </c>
      <c r="I877" s="13">
        <v>0.6</v>
      </c>
      <c r="J877" s="20" t="s">
        <v>249</v>
      </c>
      <c r="L877" s="20" t="s">
        <v>60</v>
      </c>
      <c r="M877" s="20" t="s">
        <v>60</v>
      </c>
      <c r="N877" s="20" t="s">
        <v>55</v>
      </c>
      <c r="O877" s="20">
        <v>2</v>
      </c>
      <c r="P877" s="20">
        <v>3</v>
      </c>
      <c r="Q877" s="13">
        <v>0.64633449680861776</v>
      </c>
      <c r="R877" s="20" t="s">
        <v>249</v>
      </c>
      <c r="S877" s="20">
        <v>0.59445521501278409</v>
      </c>
      <c r="T877" s="20" t="s">
        <v>60</v>
      </c>
      <c r="U877" s="20" t="s">
        <v>60</v>
      </c>
      <c r="V877" s="20"/>
      <c r="W877" s="20"/>
      <c r="X877" s="20" t="s">
        <v>60</v>
      </c>
      <c r="Y877" s="20" t="s">
        <v>412</v>
      </c>
      <c r="Z877" s="20" t="s">
        <v>60</v>
      </c>
      <c r="AA877" s="20" t="s">
        <v>491</v>
      </c>
    </row>
    <row r="878" spans="1:27" x14ac:dyDescent="0.2">
      <c r="A878" s="1">
        <v>46055</v>
      </c>
      <c r="B878" s="20" t="s">
        <v>322</v>
      </c>
      <c r="C878" s="20" t="s">
        <v>19</v>
      </c>
      <c r="D878" s="20" t="s">
        <v>16</v>
      </c>
      <c r="E878" s="20" t="s">
        <v>1292</v>
      </c>
      <c r="F878" s="20" t="s">
        <v>19</v>
      </c>
      <c r="G878" s="20">
        <v>2</v>
      </c>
      <c r="H878" s="20">
        <v>3</v>
      </c>
      <c r="I878" s="13">
        <v>0.6</v>
      </c>
      <c r="J878" s="20" t="s">
        <v>249</v>
      </c>
      <c r="L878" s="20" t="s">
        <v>60</v>
      </c>
      <c r="M878" s="20" t="s">
        <v>60</v>
      </c>
      <c r="N878" s="20" t="s">
        <v>19</v>
      </c>
      <c r="O878" s="20">
        <v>2</v>
      </c>
      <c r="P878" s="20">
        <v>3</v>
      </c>
      <c r="Q878" s="13">
        <v>0.5045343054460526</v>
      </c>
      <c r="R878" s="20" t="s">
        <v>249</v>
      </c>
      <c r="S878" s="20">
        <v>-0.38140193880247791</v>
      </c>
      <c r="T878" s="20" t="s">
        <v>60</v>
      </c>
      <c r="U878" s="20" t="s">
        <v>60</v>
      </c>
      <c r="V878" s="20"/>
      <c r="W878" s="20"/>
      <c r="X878" s="20" t="s">
        <v>60</v>
      </c>
      <c r="Y878" s="20" t="s">
        <v>412</v>
      </c>
      <c r="Z878" s="20" t="s">
        <v>60</v>
      </c>
      <c r="AA878" s="20" t="s">
        <v>491</v>
      </c>
    </row>
    <row r="879" spans="1:27" x14ac:dyDescent="0.2">
      <c r="A879" s="1">
        <v>46055</v>
      </c>
      <c r="B879" s="20" t="s">
        <v>416</v>
      </c>
      <c r="C879" s="20" t="s">
        <v>33</v>
      </c>
      <c r="D879" s="20" t="s">
        <v>10</v>
      </c>
      <c r="E879" s="20" t="s">
        <v>1293</v>
      </c>
      <c r="F879" s="20" t="s">
        <v>10</v>
      </c>
      <c r="G879" s="20">
        <v>2</v>
      </c>
      <c r="H879" s="20">
        <v>3</v>
      </c>
      <c r="I879" s="13">
        <v>0.6</v>
      </c>
      <c r="J879" s="20" t="s">
        <v>249</v>
      </c>
      <c r="L879" s="20" t="s">
        <v>60</v>
      </c>
      <c r="M879" s="20" t="s">
        <v>60</v>
      </c>
      <c r="N879" s="20" t="s">
        <v>10</v>
      </c>
      <c r="O879" s="20">
        <v>2</v>
      </c>
      <c r="P879" s="20">
        <v>3</v>
      </c>
      <c r="Q879" s="13">
        <v>0.57795269018603335</v>
      </c>
      <c r="R879" s="20" t="s">
        <v>249</v>
      </c>
      <c r="S879" s="20">
        <v>0.32503548612109218</v>
      </c>
      <c r="T879" s="20" t="s">
        <v>60</v>
      </c>
      <c r="U879" s="20" t="s">
        <v>60</v>
      </c>
      <c r="V879" s="20"/>
      <c r="W879" s="20"/>
      <c r="X879" s="20" t="s">
        <v>60</v>
      </c>
      <c r="Y879" s="20" t="s">
        <v>412</v>
      </c>
      <c r="Z879" s="20" t="s">
        <v>60</v>
      </c>
      <c r="AA879" s="20" t="s">
        <v>491</v>
      </c>
    </row>
    <row r="880" spans="1:27" x14ac:dyDescent="0.2">
      <c r="A880" s="1">
        <v>46055</v>
      </c>
      <c r="B880" s="20" t="s">
        <v>326</v>
      </c>
      <c r="C880" s="20" t="s">
        <v>26</v>
      </c>
      <c r="D880" s="20" t="s">
        <v>12</v>
      </c>
      <c r="E880" s="20" t="s">
        <v>1294</v>
      </c>
      <c r="F880" s="20" t="s">
        <v>12</v>
      </c>
      <c r="G880" s="20">
        <v>2</v>
      </c>
      <c r="H880" s="20">
        <v>3</v>
      </c>
      <c r="I880" s="13">
        <v>0.6</v>
      </c>
      <c r="J880" s="20" t="s">
        <v>249</v>
      </c>
      <c r="L880" s="20" t="s">
        <v>60</v>
      </c>
      <c r="M880" s="20" t="s">
        <v>60</v>
      </c>
      <c r="N880" s="20" t="s">
        <v>12</v>
      </c>
      <c r="O880" s="20">
        <v>2</v>
      </c>
      <c r="P880" s="20">
        <v>3</v>
      </c>
      <c r="Q880" s="13">
        <v>0.94291419643430685</v>
      </c>
      <c r="R880" s="20" t="s">
        <v>249</v>
      </c>
      <c r="S880" s="20">
        <v>2.5571439723824478</v>
      </c>
      <c r="T880" s="20" t="s">
        <v>60</v>
      </c>
      <c r="U880" s="20" t="s">
        <v>60</v>
      </c>
      <c r="V880" s="20"/>
      <c r="W880" s="20"/>
      <c r="X880" s="20" t="s">
        <v>60</v>
      </c>
      <c r="Y880" s="20" t="s">
        <v>412</v>
      </c>
      <c r="Z880" s="20" t="s">
        <v>60</v>
      </c>
      <c r="AA880" s="20" t="s">
        <v>491</v>
      </c>
    </row>
    <row r="881" spans="1:27" x14ac:dyDescent="0.2">
      <c r="A881" s="1">
        <v>46055</v>
      </c>
      <c r="B881" s="20" t="s">
        <v>416</v>
      </c>
      <c r="C881" s="20" t="s">
        <v>40</v>
      </c>
      <c r="D881" s="20" t="s">
        <v>39</v>
      </c>
      <c r="E881" s="20" t="s">
        <v>1295</v>
      </c>
      <c r="F881" s="20" t="s">
        <v>39</v>
      </c>
      <c r="G881" s="20">
        <v>2</v>
      </c>
      <c r="H881" s="20">
        <v>3</v>
      </c>
      <c r="I881" s="13">
        <v>0.6</v>
      </c>
      <c r="J881" s="20" t="s">
        <v>249</v>
      </c>
      <c r="L881" s="20" t="s">
        <v>60</v>
      </c>
      <c r="M881" s="20" t="s">
        <v>60</v>
      </c>
      <c r="N881" s="20" t="s">
        <v>39</v>
      </c>
      <c r="O881" s="20">
        <v>2</v>
      </c>
      <c r="P881" s="20">
        <v>3</v>
      </c>
      <c r="Q881" s="13">
        <v>0.6424019069637168</v>
      </c>
      <c r="R881" s="20" t="s">
        <v>249</v>
      </c>
      <c r="S881" s="20">
        <v>0.77658507456107384</v>
      </c>
      <c r="T881" s="20" t="s">
        <v>60</v>
      </c>
      <c r="U881" s="20" t="s">
        <v>60</v>
      </c>
      <c r="V881" s="20"/>
      <c r="W881" s="20"/>
      <c r="X881" s="20" t="s">
        <v>60</v>
      </c>
      <c r="Y881" s="20" t="s">
        <v>412</v>
      </c>
      <c r="Z881" s="20" t="s">
        <v>60</v>
      </c>
      <c r="AA881" s="20" t="s">
        <v>491</v>
      </c>
    </row>
    <row r="882" spans="1:27" x14ac:dyDescent="0.2">
      <c r="A882" s="1">
        <v>46055</v>
      </c>
      <c r="B882" s="20" t="s">
        <v>328</v>
      </c>
      <c r="C882" s="20" t="s">
        <v>23</v>
      </c>
      <c r="D882" s="20" t="s">
        <v>11</v>
      </c>
      <c r="E882" s="20" t="s">
        <v>1296</v>
      </c>
      <c r="F882" s="20" t="s">
        <v>11</v>
      </c>
      <c r="G882" s="20">
        <v>2</v>
      </c>
      <c r="H882" s="20">
        <v>3</v>
      </c>
      <c r="I882" s="13">
        <v>0.6</v>
      </c>
      <c r="J882" s="20" t="s">
        <v>249</v>
      </c>
      <c r="L882" s="20" t="s">
        <v>60</v>
      </c>
      <c r="M882" s="20" t="s">
        <v>60</v>
      </c>
      <c r="N882" s="20" t="s">
        <v>11</v>
      </c>
      <c r="O882" s="20">
        <v>2</v>
      </c>
      <c r="P882" s="20">
        <v>3</v>
      </c>
      <c r="Q882" s="13">
        <v>0.56906676814971258</v>
      </c>
      <c r="R882" s="20" t="s">
        <v>249</v>
      </c>
      <c r="S882" s="20">
        <v>0.12889289359964559</v>
      </c>
      <c r="T882" s="20" t="s">
        <v>60</v>
      </c>
      <c r="U882" s="20" t="s">
        <v>60</v>
      </c>
      <c r="V882" s="20"/>
      <c r="W882" s="20"/>
      <c r="X882" s="20" t="s">
        <v>60</v>
      </c>
      <c r="Y882" s="20" t="s">
        <v>412</v>
      </c>
      <c r="Z882" s="20" t="s">
        <v>60</v>
      </c>
      <c r="AA882" s="20" t="s">
        <v>491</v>
      </c>
    </row>
    <row r="883" spans="1:27" x14ac:dyDescent="0.2">
      <c r="A883" s="1">
        <v>46055</v>
      </c>
      <c r="B883" s="20" t="s">
        <v>334</v>
      </c>
      <c r="C883" s="20" t="s">
        <v>18</v>
      </c>
      <c r="D883" s="20" t="s">
        <v>34</v>
      </c>
      <c r="E883" s="20" t="s">
        <v>1297</v>
      </c>
      <c r="F883" s="20" t="s">
        <v>34</v>
      </c>
      <c r="G883" s="20">
        <v>2</v>
      </c>
      <c r="H883" s="20">
        <v>3</v>
      </c>
      <c r="I883" s="13">
        <v>0.6</v>
      </c>
      <c r="J883" s="20" t="s">
        <v>249</v>
      </c>
      <c r="L883" s="20" t="s">
        <v>60</v>
      </c>
      <c r="M883" s="20" t="s">
        <v>60</v>
      </c>
      <c r="N883" s="20" t="s">
        <v>34</v>
      </c>
      <c r="O883" s="20">
        <v>2</v>
      </c>
      <c r="P883" s="20">
        <v>3</v>
      </c>
      <c r="Q883" s="13">
        <v>0.54933079710020971</v>
      </c>
      <c r="R883" s="20" t="s">
        <v>249</v>
      </c>
      <c r="S883" s="20">
        <v>0.58766558974750882</v>
      </c>
      <c r="T883" s="20" t="s">
        <v>60</v>
      </c>
      <c r="U883" s="20" t="s">
        <v>60</v>
      </c>
      <c r="V883" s="20"/>
      <c r="W883" s="20"/>
      <c r="X883" s="20" t="s">
        <v>60</v>
      </c>
      <c r="Y883" s="20" t="s">
        <v>412</v>
      </c>
      <c r="Z883" s="20" t="s">
        <v>60</v>
      </c>
      <c r="AA883" s="20" t="s">
        <v>491</v>
      </c>
    </row>
    <row r="884" spans="1:27" x14ac:dyDescent="0.2">
      <c r="A884" s="1">
        <v>46055</v>
      </c>
      <c r="B884" s="20" t="s">
        <v>324</v>
      </c>
      <c r="C884" s="20" t="s">
        <v>35</v>
      </c>
      <c r="D884" s="20" t="s">
        <v>29</v>
      </c>
      <c r="E884" s="20" t="s">
        <v>987</v>
      </c>
      <c r="F884" s="20" t="s">
        <v>29</v>
      </c>
      <c r="G884" s="20">
        <v>2</v>
      </c>
      <c r="H884" s="20">
        <v>3</v>
      </c>
      <c r="I884" s="13">
        <v>0.6</v>
      </c>
      <c r="J884" s="20" t="s">
        <v>249</v>
      </c>
      <c r="L884" s="20" t="s">
        <v>60</v>
      </c>
      <c r="M884" s="20" t="s">
        <v>60</v>
      </c>
      <c r="N884" s="20" t="s">
        <v>29</v>
      </c>
      <c r="O884" s="20">
        <v>2</v>
      </c>
      <c r="P884" s="20">
        <v>3</v>
      </c>
      <c r="Q884" s="13">
        <v>0.54694304707093155</v>
      </c>
      <c r="R884" s="20" t="s">
        <v>249</v>
      </c>
      <c r="S884" s="20">
        <v>5.9461837060823967E-2</v>
      </c>
      <c r="T884" s="20" t="s">
        <v>60</v>
      </c>
      <c r="U884" s="20" t="s">
        <v>60</v>
      </c>
      <c r="V884" s="20"/>
      <c r="W884" s="20"/>
      <c r="X884" s="20" t="s">
        <v>60</v>
      </c>
      <c r="Y884" s="20" t="s">
        <v>412</v>
      </c>
      <c r="Z884" s="20" t="s">
        <v>60</v>
      </c>
      <c r="AA884" s="20" t="s">
        <v>491</v>
      </c>
    </row>
    <row r="885" spans="1:27" x14ac:dyDescent="0.2">
      <c r="A885" s="1">
        <v>46055</v>
      </c>
      <c r="B885" s="20" t="s">
        <v>328</v>
      </c>
      <c r="C885" s="20" t="s">
        <v>36</v>
      </c>
      <c r="D885" s="20" t="s">
        <v>14</v>
      </c>
      <c r="E885" s="20" t="s">
        <v>1298</v>
      </c>
      <c r="F885" s="20" t="s">
        <v>14</v>
      </c>
      <c r="G885" s="20">
        <v>2</v>
      </c>
      <c r="H885" s="20">
        <v>3</v>
      </c>
      <c r="I885" s="13">
        <v>0.6</v>
      </c>
      <c r="J885" s="20" t="s">
        <v>249</v>
      </c>
      <c r="L885" s="20" t="s">
        <v>60</v>
      </c>
      <c r="M885" s="20" t="s">
        <v>60</v>
      </c>
      <c r="N885" s="20" t="s">
        <v>14</v>
      </c>
      <c r="O885" s="20">
        <v>2</v>
      </c>
      <c r="P885" s="20">
        <v>3</v>
      </c>
      <c r="Q885" s="13">
        <v>0.59126119787069453</v>
      </c>
      <c r="R885" s="20" t="s">
        <v>249</v>
      </c>
      <c r="S885" s="20">
        <v>0.43901257822251111</v>
      </c>
      <c r="T885" s="20" t="s">
        <v>60</v>
      </c>
      <c r="U885" s="20" t="s">
        <v>60</v>
      </c>
      <c r="V885" s="20"/>
      <c r="W885" s="20"/>
      <c r="X885" s="20" t="s">
        <v>60</v>
      </c>
      <c r="Y885" s="20" t="s">
        <v>412</v>
      </c>
      <c r="Z885" s="20" t="s">
        <v>60</v>
      </c>
      <c r="AA885" s="20" t="s">
        <v>491</v>
      </c>
    </row>
    <row r="886" spans="1:27" x14ac:dyDescent="0.2">
      <c r="A886" s="1">
        <v>46055</v>
      </c>
      <c r="B886" s="20" t="s">
        <v>328</v>
      </c>
      <c r="C886" s="20" t="s">
        <v>30</v>
      </c>
      <c r="D886" s="20" t="s">
        <v>22</v>
      </c>
      <c r="E886" s="20" t="s">
        <v>747</v>
      </c>
      <c r="F886" s="20" t="s">
        <v>22</v>
      </c>
      <c r="G886" s="20">
        <v>2</v>
      </c>
      <c r="H886" s="20">
        <v>3</v>
      </c>
      <c r="I886" s="13">
        <v>0.6</v>
      </c>
      <c r="J886" s="20" t="s">
        <v>249</v>
      </c>
      <c r="L886" s="20" t="s">
        <v>60</v>
      </c>
      <c r="M886" s="20" t="s">
        <v>60</v>
      </c>
      <c r="N886" s="20" t="s">
        <v>22</v>
      </c>
      <c r="O886" s="20">
        <v>2</v>
      </c>
      <c r="P886" s="20">
        <v>3</v>
      </c>
      <c r="Q886" s="13">
        <v>0.57908897540919857</v>
      </c>
      <c r="R886" s="20" t="s">
        <v>249</v>
      </c>
      <c r="S886" s="20">
        <v>0.73153997921825198</v>
      </c>
      <c r="T886" s="20" t="s">
        <v>60</v>
      </c>
      <c r="U886" s="20" t="s">
        <v>60</v>
      </c>
      <c r="V886" s="20"/>
      <c r="W886" s="20"/>
      <c r="X886" s="20" t="s">
        <v>60</v>
      </c>
      <c r="Y886" s="20" t="s">
        <v>412</v>
      </c>
      <c r="Z886" s="20" t="s">
        <v>60</v>
      </c>
      <c r="AA886" s="20" t="s">
        <v>491</v>
      </c>
    </row>
    <row r="887" spans="1:27" x14ac:dyDescent="0.2">
      <c r="A887" s="1">
        <v>46056</v>
      </c>
      <c r="B887" s="20" t="s">
        <v>328</v>
      </c>
      <c r="C887" s="20" t="s">
        <v>22</v>
      </c>
      <c r="D887" s="20" t="s">
        <v>27</v>
      </c>
      <c r="E887" s="20" t="s">
        <v>1299</v>
      </c>
      <c r="F887" s="20" t="s">
        <v>22</v>
      </c>
      <c r="G887" s="20">
        <v>2</v>
      </c>
      <c r="H887" s="20">
        <v>3</v>
      </c>
      <c r="I887" s="13">
        <v>0.6</v>
      </c>
      <c r="J887" s="20" t="s">
        <v>249</v>
      </c>
      <c r="L887" s="20" t="s">
        <v>60</v>
      </c>
      <c r="M887" s="20" t="s">
        <v>60</v>
      </c>
      <c r="N887" s="20" t="s">
        <v>22</v>
      </c>
      <c r="O887" s="20">
        <v>2</v>
      </c>
      <c r="P887" s="20">
        <v>3</v>
      </c>
      <c r="Q887" s="13">
        <v>0.57840310122428151</v>
      </c>
      <c r="R887" s="20" t="s">
        <v>249</v>
      </c>
      <c r="S887" s="20">
        <v>-0.7710460674369104</v>
      </c>
      <c r="T887" s="20" t="s">
        <v>60</v>
      </c>
      <c r="U887" s="20" t="s">
        <v>60</v>
      </c>
      <c r="V887" s="20"/>
      <c r="W887" s="20"/>
      <c r="X887" s="20" t="s">
        <v>60</v>
      </c>
      <c r="Y887" s="20" t="s">
        <v>412</v>
      </c>
      <c r="Z887" s="20" t="s">
        <v>60</v>
      </c>
      <c r="AA887" s="20" t="s">
        <v>491</v>
      </c>
    </row>
    <row r="888" spans="1:27" x14ac:dyDescent="0.2">
      <c r="A888" s="1">
        <v>46056</v>
      </c>
      <c r="B888" s="20" t="s">
        <v>334</v>
      </c>
      <c r="C888" s="20" t="s">
        <v>14</v>
      </c>
      <c r="D888" s="20" t="s">
        <v>30</v>
      </c>
      <c r="E888" s="20" t="s">
        <v>1300</v>
      </c>
      <c r="F888" s="20" t="s">
        <v>14</v>
      </c>
      <c r="G888" s="20">
        <v>2</v>
      </c>
      <c r="H888" s="20">
        <v>3</v>
      </c>
      <c r="I888" s="13">
        <v>0.6</v>
      </c>
      <c r="J888" s="20" t="s">
        <v>249</v>
      </c>
      <c r="L888" s="20" t="s">
        <v>60</v>
      </c>
      <c r="M888" s="20" t="s">
        <v>60</v>
      </c>
      <c r="N888" s="20" t="s">
        <v>14</v>
      </c>
      <c r="O888" s="20">
        <v>2</v>
      </c>
      <c r="P888" s="20">
        <v>3</v>
      </c>
      <c r="Q888" s="13">
        <v>0.50498100338490515</v>
      </c>
      <c r="R888" s="20" t="s">
        <v>249</v>
      </c>
      <c r="S888" s="20">
        <v>-4.8767026952680148E-2</v>
      </c>
      <c r="T888" s="20" t="s">
        <v>60</v>
      </c>
      <c r="U888" s="20" t="s">
        <v>60</v>
      </c>
      <c r="V888" s="20"/>
      <c r="W888" s="20"/>
      <c r="X888" s="20" t="s">
        <v>60</v>
      </c>
      <c r="Y888" s="20" t="s">
        <v>412</v>
      </c>
      <c r="Z888" s="20" t="s">
        <v>60</v>
      </c>
      <c r="AA888" s="20" t="s">
        <v>491</v>
      </c>
    </row>
    <row r="889" spans="1:27" x14ac:dyDescent="0.2">
      <c r="A889" s="1">
        <v>46056</v>
      </c>
      <c r="B889" s="20" t="s">
        <v>328</v>
      </c>
      <c r="C889" s="20" t="s">
        <v>28</v>
      </c>
      <c r="D889" s="20" t="s">
        <v>24</v>
      </c>
      <c r="E889" s="20" t="s">
        <v>474</v>
      </c>
      <c r="F889" s="20" t="s">
        <v>24</v>
      </c>
      <c r="G889" s="20">
        <v>2</v>
      </c>
      <c r="H889" s="20">
        <v>3</v>
      </c>
      <c r="I889" s="13">
        <v>0.6</v>
      </c>
      <c r="J889" s="20" t="s">
        <v>249</v>
      </c>
      <c r="L889" s="20" t="s">
        <v>60</v>
      </c>
      <c r="M889" s="20" t="s">
        <v>60</v>
      </c>
      <c r="N889" s="20" t="s">
        <v>24</v>
      </c>
      <c r="O889" s="20">
        <v>2</v>
      </c>
      <c r="P889" s="20">
        <v>3</v>
      </c>
      <c r="Q889" s="13">
        <v>0.69191747882010612</v>
      </c>
      <c r="R889" s="20" t="s">
        <v>249</v>
      </c>
      <c r="S889" s="20">
        <v>0.64642040403830703</v>
      </c>
      <c r="T889" s="20" t="s">
        <v>60</v>
      </c>
      <c r="U889" s="20" t="s">
        <v>60</v>
      </c>
      <c r="V889" s="20"/>
      <c r="W889" s="20"/>
      <c r="X889" s="20" t="s">
        <v>60</v>
      </c>
      <c r="Y889" s="20" t="s">
        <v>412</v>
      </c>
      <c r="Z889" s="20" t="s">
        <v>60</v>
      </c>
      <c r="AA889" s="20" t="s">
        <v>491</v>
      </c>
    </row>
    <row r="890" spans="1:27" x14ac:dyDescent="0.2">
      <c r="A890" s="1">
        <v>46056</v>
      </c>
      <c r="B890" s="20" t="s">
        <v>322</v>
      </c>
      <c r="C890" s="20" t="s">
        <v>32</v>
      </c>
      <c r="D890" s="20" t="s">
        <v>31</v>
      </c>
      <c r="E890" s="20" t="s">
        <v>1058</v>
      </c>
      <c r="F890" s="20" t="s">
        <v>31</v>
      </c>
      <c r="G890" s="20">
        <v>2</v>
      </c>
      <c r="H890" s="20">
        <v>3</v>
      </c>
      <c r="I890" s="13">
        <v>0.6</v>
      </c>
      <c r="J890" s="20" t="s">
        <v>249</v>
      </c>
      <c r="L890" s="20" t="s">
        <v>60</v>
      </c>
      <c r="M890" s="20" t="s">
        <v>60</v>
      </c>
      <c r="N890" s="20" t="s">
        <v>31</v>
      </c>
      <c r="O890" s="20">
        <v>2</v>
      </c>
      <c r="P890" s="20">
        <v>3</v>
      </c>
      <c r="Q890" s="13">
        <v>0.72235195127385143</v>
      </c>
      <c r="R890" s="20" t="s">
        <v>249</v>
      </c>
      <c r="S890" s="20">
        <v>0.87798100604051876</v>
      </c>
      <c r="T890" s="20" t="s">
        <v>60</v>
      </c>
      <c r="U890" s="20" t="s">
        <v>60</v>
      </c>
      <c r="V890" s="20"/>
      <c r="W890" s="20"/>
      <c r="X890" s="20" t="s">
        <v>60</v>
      </c>
      <c r="Y890" s="20" t="s">
        <v>412</v>
      </c>
      <c r="Z890" s="20" t="s">
        <v>60</v>
      </c>
      <c r="AA890" s="20" t="s">
        <v>491</v>
      </c>
    </row>
    <row r="891" spans="1:27" x14ac:dyDescent="0.2">
      <c r="A891" s="1">
        <v>46056</v>
      </c>
      <c r="B891" s="20" t="s">
        <v>328</v>
      </c>
      <c r="C891" s="20" t="s">
        <v>36</v>
      </c>
      <c r="D891" s="20" t="s">
        <v>25</v>
      </c>
      <c r="E891" s="20" t="s">
        <v>1301</v>
      </c>
      <c r="F891" s="20" t="s">
        <v>25</v>
      </c>
      <c r="G891" s="20">
        <v>2</v>
      </c>
      <c r="H891" s="20">
        <v>3</v>
      </c>
      <c r="I891" s="13">
        <v>0.6</v>
      </c>
      <c r="J891" s="20" t="s">
        <v>249</v>
      </c>
      <c r="L891" s="20" t="s">
        <v>60</v>
      </c>
      <c r="M891" s="20" t="s">
        <v>60</v>
      </c>
      <c r="N891" s="20" t="s">
        <v>25</v>
      </c>
      <c r="O891" s="20">
        <v>2</v>
      </c>
      <c r="P891" s="20">
        <v>3</v>
      </c>
      <c r="Q891" s="13">
        <v>0.70929247653962768</v>
      </c>
      <c r="R891" s="20" t="s">
        <v>249</v>
      </c>
      <c r="S891" s="20">
        <v>1.0069519371165541</v>
      </c>
      <c r="T891" s="20" t="s">
        <v>60</v>
      </c>
      <c r="U891" s="20" t="s">
        <v>60</v>
      </c>
      <c r="V891" s="20"/>
      <c r="W891" s="20"/>
      <c r="X891" s="20" t="s">
        <v>60</v>
      </c>
      <c r="Y891" s="20" t="s">
        <v>412</v>
      </c>
      <c r="Z891" s="20" t="s">
        <v>60</v>
      </c>
      <c r="AA891" s="20" t="s">
        <v>491</v>
      </c>
    </row>
    <row r="892" spans="1:27" x14ac:dyDescent="0.2">
      <c r="A892" s="1">
        <v>46056</v>
      </c>
      <c r="B892" s="20" t="s">
        <v>334</v>
      </c>
      <c r="C892" s="20" t="s">
        <v>23</v>
      </c>
      <c r="D892" s="20" t="s">
        <v>37</v>
      </c>
      <c r="E892" s="20" t="s">
        <v>1302</v>
      </c>
      <c r="F892" s="20" t="s">
        <v>37</v>
      </c>
      <c r="G892" s="20">
        <v>2</v>
      </c>
      <c r="H892" s="20">
        <v>3</v>
      </c>
      <c r="I892" s="13">
        <v>0.6</v>
      </c>
      <c r="J892" s="20" t="s">
        <v>249</v>
      </c>
      <c r="L892" s="20" t="s">
        <v>60</v>
      </c>
      <c r="M892" s="20" t="s">
        <v>60</v>
      </c>
      <c r="N892" s="20" t="s">
        <v>37</v>
      </c>
      <c r="O892" s="20">
        <v>2</v>
      </c>
      <c r="P892" s="20">
        <v>3</v>
      </c>
      <c r="Q892" s="13">
        <v>0.69327462203673185</v>
      </c>
      <c r="R892" s="20" t="s">
        <v>249</v>
      </c>
      <c r="S892" s="20">
        <v>1.0365161314103559</v>
      </c>
      <c r="T892" s="20" t="s">
        <v>60</v>
      </c>
      <c r="U892" s="20" t="s">
        <v>60</v>
      </c>
      <c r="V892" s="20"/>
      <c r="W892" s="20"/>
      <c r="X892" s="20" t="s">
        <v>60</v>
      </c>
      <c r="Y892" s="20" t="s">
        <v>412</v>
      </c>
      <c r="Z892" s="20" t="s">
        <v>60</v>
      </c>
      <c r="AA892" s="20" t="s">
        <v>491</v>
      </c>
    </row>
    <row r="893" spans="1:27" x14ac:dyDescent="0.2">
      <c r="A893" s="1">
        <v>46056</v>
      </c>
      <c r="B893" s="20" t="s">
        <v>416</v>
      </c>
      <c r="C893" s="20" t="s">
        <v>19</v>
      </c>
      <c r="D893" s="20" t="s">
        <v>17</v>
      </c>
      <c r="E893" s="20" t="s">
        <v>1303</v>
      </c>
      <c r="F893" s="20" t="s">
        <v>19</v>
      </c>
      <c r="G893" s="20">
        <v>2</v>
      </c>
      <c r="H893" s="20">
        <v>3</v>
      </c>
      <c r="I893" s="13">
        <v>0.6</v>
      </c>
      <c r="J893" s="20" t="s">
        <v>249</v>
      </c>
      <c r="L893" s="20" t="s">
        <v>60</v>
      </c>
      <c r="M893" s="20" t="s">
        <v>60</v>
      </c>
      <c r="N893" s="20" t="s">
        <v>19</v>
      </c>
      <c r="O893" s="20">
        <v>2</v>
      </c>
      <c r="P893" s="20">
        <v>3</v>
      </c>
      <c r="Q893" s="13">
        <v>0.46852665157772272</v>
      </c>
      <c r="R893" s="20" t="s">
        <v>249</v>
      </c>
      <c r="S893" s="20">
        <v>-0.13336732399537879</v>
      </c>
      <c r="T893" s="20" t="s">
        <v>60</v>
      </c>
      <c r="U893" s="20" t="s">
        <v>60</v>
      </c>
      <c r="V893" s="20"/>
      <c r="W893" s="20"/>
      <c r="X893" s="20" t="s">
        <v>60</v>
      </c>
      <c r="Y893" s="20" t="s">
        <v>412</v>
      </c>
      <c r="Z893" s="20" t="s">
        <v>60</v>
      </c>
      <c r="AA893" s="20" t="s">
        <v>491</v>
      </c>
    </row>
    <row r="894" spans="1:27" x14ac:dyDescent="0.2">
      <c r="A894" s="1">
        <v>46057</v>
      </c>
      <c r="B894" s="20" t="s">
        <v>326</v>
      </c>
      <c r="C894" s="20" t="s">
        <v>26</v>
      </c>
      <c r="D894" s="20" t="s">
        <v>55</v>
      </c>
      <c r="E894" s="20" t="s">
        <v>1304</v>
      </c>
      <c r="F894" s="20" t="s">
        <v>55</v>
      </c>
      <c r="G894" s="20">
        <v>2</v>
      </c>
      <c r="H894" s="20">
        <v>3</v>
      </c>
      <c r="I894" s="13">
        <v>0.6</v>
      </c>
      <c r="J894" s="20" t="s">
        <v>249</v>
      </c>
      <c r="L894" s="20" t="s">
        <v>60</v>
      </c>
      <c r="M894" s="20" t="s">
        <v>60</v>
      </c>
      <c r="N894" s="20" t="s">
        <v>55</v>
      </c>
      <c r="O894" s="20">
        <v>2</v>
      </c>
      <c r="P894" s="20">
        <v>3</v>
      </c>
      <c r="Q894" s="13">
        <v>0.64139604600449196</v>
      </c>
      <c r="R894" s="20" t="s">
        <v>249</v>
      </c>
      <c r="S894" s="20">
        <v>0.52211702493428946</v>
      </c>
      <c r="T894" s="20" t="s">
        <v>60</v>
      </c>
      <c r="U894" s="20" t="s">
        <v>60</v>
      </c>
      <c r="V894" s="20"/>
      <c r="W894" s="20"/>
      <c r="X894" s="20" t="s">
        <v>60</v>
      </c>
      <c r="Y894" s="20" t="s">
        <v>412</v>
      </c>
      <c r="Z894" s="20" t="s">
        <v>60</v>
      </c>
      <c r="AA894" s="20" t="s">
        <v>491</v>
      </c>
    </row>
    <row r="895" spans="1:27" x14ac:dyDescent="0.2">
      <c r="A895" s="1">
        <v>46057</v>
      </c>
      <c r="B895" s="20" t="s">
        <v>324</v>
      </c>
      <c r="C895" s="20" t="s">
        <v>34</v>
      </c>
      <c r="D895" s="20" t="s">
        <v>29</v>
      </c>
      <c r="E895" s="20" t="s">
        <v>1305</v>
      </c>
      <c r="F895" s="20" t="s">
        <v>34</v>
      </c>
      <c r="G895" s="20">
        <v>2</v>
      </c>
      <c r="H895" s="20">
        <v>3</v>
      </c>
      <c r="I895" s="13">
        <v>0.6</v>
      </c>
      <c r="J895" s="20" t="s">
        <v>249</v>
      </c>
      <c r="L895" s="20" t="s">
        <v>60</v>
      </c>
      <c r="M895" s="20" t="s">
        <v>60</v>
      </c>
      <c r="N895" s="20" t="s">
        <v>34</v>
      </c>
      <c r="O895" s="20">
        <v>2</v>
      </c>
      <c r="P895" s="20">
        <v>3</v>
      </c>
      <c r="Q895" s="13">
        <v>0.65195881418139467</v>
      </c>
      <c r="R895" s="20" t="s">
        <v>249</v>
      </c>
      <c r="S895" s="20">
        <v>-1.2798917474374201</v>
      </c>
      <c r="T895" s="20" t="s">
        <v>60</v>
      </c>
      <c r="U895" s="20" t="s">
        <v>60</v>
      </c>
      <c r="V895" s="20"/>
      <c r="W895" s="20"/>
      <c r="X895" s="20" t="s">
        <v>60</v>
      </c>
      <c r="Y895" s="20" t="s">
        <v>412</v>
      </c>
      <c r="Z895" s="20" t="s">
        <v>60</v>
      </c>
      <c r="AA895" s="20" t="s">
        <v>491</v>
      </c>
    </row>
    <row r="896" spans="1:27" x14ac:dyDescent="0.2">
      <c r="A896" s="1">
        <v>46057</v>
      </c>
      <c r="B896" s="20" t="s">
        <v>328</v>
      </c>
      <c r="C896" s="20" t="s">
        <v>18</v>
      </c>
      <c r="D896" s="20" t="s">
        <v>40</v>
      </c>
      <c r="E896" s="20" t="s">
        <v>1306</v>
      </c>
      <c r="F896" s="20" t="s">
        <v>40</v>
      </c>
      <c r="G896" s="20">
        <v>2</v>
      </c>
      <c r="H896" s="20">
        <v>3</v>
      </c>
      <c r="I896" s="13">
        <v>0.6</v>
      </c>
      <c r="J896" s="20" t="s">
        <v>249</v>
      </c>
      <c r="L896" s="20" t="s">
        <v>60</v>
      </c>
      <c r="M896" s="20" t="s">
        <v>60</v>
      </c>
      <c r="N896" s="20" t="s">
        <v>40</v>
      </c>
      <c r="O896" s="20">
        <v>2</v>
      </c>
      <c r="P896" s="20">
        <v>3</v>
      </c>
      <c r="Q896" s="13">
        <v>0.52170113391068962</v>
      </c>
      <c r="R896" s="20" t="s">
        <v>249</v>
      </c>
      <c r="S896" s="20">
        <v>0.32954855341419609</v>
      </c>
      <c r="T896" s="20" t="s">
        <v>60</v>
      </c>
      <c r="U896" s="20" t="s">
        <v>60</v>
      </c>
      <c r="V896" s="20"/>
      <c r="W896" s="20"/>
      <c r="X896" s="20" t="s">
        <v>60</v>
      </c>
      <c r="Y896" s="20" t="s">
        <v>412</v>
      </c>
      <c r="Z896" s="20" t="s">
        <v>60</v>
      </c>
      <c r="AA896" s="20" t="s">
        <v>491</v>
      </c>
    </row>
    <row r="897" spans="1:27" x14ac:dyDescent="0.2">
      <c r="A897" s="1">
        <v>46057</v>
      </c>
      <c r="B897" s="20" t="s">
        <v>322</v>
      </c>
      <c r="C897" s="20" t="s">
        <v>38</v>
      </c>
      <c r="D897" s="20" t="s">
        <v>20</v>
      </c>
      <c r="E897" s="20" t="s">
        <v>1307</v>
      </c>
      <c r="F897" s="20" t="s">
        <v>20</v>
      </c>
      <c r="G897" s="20">
        <v>2</v>
      </c>
      <c r="H897" s="20">
        <v>3</v>
      </c>
      <c r="I897" s="13">
        <v>0.6</v>
      </c>
      <c r="J897" s="20" t="s">
        <v>249</v>
      </c>
      <c r="L897" s="20" t="s">
        <v>60</v>
      </c>
      <c r="M897" s="20" t="s">
        <v>60</v>
      </c>
      <c r="N897" s="20" t="s">
        <v>20</v>
      </c>
      <c r="O897" s="20">
        <v>2</v>
      </c>
      <c r="P897" s="20">
        <v>3</v>
      </c>
      <c r="Q897" s="13">
        <v>0.62436377998437298</v>
      </c>
      <c r="R897" s="20" t="s">
        <v>249</v>
      </c>
      <c r="S897" s="20">
        <v>0.75313767371333018</v>
      </c>
      <c r="T897" s="20" t="s">
        <v>60</v>
      </c>
      <c r="U897" s="20" t="s">
        <v>60</v>
      </c>
      <c r="V897" s="20"/>
      <c r="W897" s="20"/>
      <c r="X897" s="20" t="s">
        <v>60</v>
      </c>
      <c r="Y897" s="20" t="s">
        <v>412</v>
      </c>
      <c r="Z897" s="20" t="s">
        <v>60</v>
      </c>
      <c r="AA897" s="20" t="s">
        <v>491</v>
      </c>
    </row>
    <row r="898" spans="1:27" x14ac:dyDescent="0.2">
      <c r="A898" s="1">
        <v>46057</v>
      </c>
      <c r="B898" s="20" t="s">
        <v>322</v>
      </c>
      <c r="C898" s="20" t="s">
        <v>32</v>
      </c>
      <c r="D898" s="20" t="s">
        <v>13</v>
      </c>
      <c r="E898" s="20" t="s">
        <v>1062</v>
      </c>
      <c r="F898" s="20" t="s">
        <v>13</v>
      </c>
      <c r="G898" s="20">
        <v>2</v>
      </c>
      <c r="H898" s="20">
        <v>3</v>
      </c>
      <c r="I898" s="13">
        <v>0.6</v>
      </c>
      <c r="J898" s="20" t="s">
        <v>249</v>
      </c>
      <c r="L898" s="20" t="s">
        <v>60</v>
      </c>
      <c r="M898" s="20" t="s">
        <v>60</v>
      </c>
      <c r="N898" s="20" t="s">
        <v>13</v>
      </c>
      <c r="O898" s="20">
        <v>2</v>
      </c>
      <c r="P898" s="20">
        <v>3</v>
      </c>
      <c r="Q898" s="13">
        <v>0.58215142240680495</v>
      </c>
      <c r="R898" s="20" t="s">
        <v>249</v>
      </c>
      <c r="S898" s="20">
        <v>0.36099438552403879</v>
      </c>
      <c r="T898" s="20" t="s">
        <v>60</v>
      </c>
      <c r="U898" s="20" t="s">
        <v>60</v>
      </c>
      <c r="V898" s="20"/>
      <c r="W898" s="20"/>
      <c r="X898" s="20" t="s">
        <v>60</v>
      </c>
      <c r="Y898" s="20" t="s">
        <v>412</v>
      </c>
      <c r="Z898" s="20" t="s">
        <v>60</v>
      </c>
      <c r="AA898" s="20" t="s">
        <v>491</v>
      </c>
    </row>
    <row r="899" spans="1:27" x14ac:dyDescent="0.2">
      <c r="A899" s="1">
        <v>46057</v>
      </c>
      <c r="B899" s="20" t="s">
        <v>426</v>
      </c>
      <c r="C899" s="20" t="s">
        <v>35</v>
      </c>
      <c r="D899" s="20" t="s">
        <v>39</v>
      </c>
      <c r="E899" s="20" t="s">
        <v>1241</v>
      </c>
      <c r="F899" s="20" t="s">
        <v>39</v>
      </c>
      <c r="G899" s="20">
        <v>2</v>
      </c>
      <c r="H899" s="20">
        <v>3</v>
      </c>
      <c r="I899" s="13">
        <v>0.6</v>
      </c>
      <c r="J899" s="20" t="s">
        <v>249</v>
      </c>
      <c r="L899" s="20" t="s">
        <v>60</v>
      </c>
      <c r="M899" s="20" t="s">
        <v>60</v>
      </c>
      <c r="N899" s="20" t="s">
        <v>39</v>
      </c>
      <c r="O899" s="20">
        <v>2</v>
      </c>
      <c r="P899" s="20">
        <v>3</v>
      </c>
      <c r="Q899" s="13">
        <v>0.78917415975175542</v>
      </c>
      <c r="R899" s="20" t="s">
        <v>249</v>
      </c>
      <c r="S899" s="20">
        <v>1.8578216227260049</v>
      </c>
      <c r="T899" s="20" t="s">
        <v>60</v>
      </c>
      <c r="U899" s="20" t="s">
        <v>60</v>
      </c>
      <c r="V899" s="20"/>
      <c r="W899" s="20"/>
      <c r="X899" s="20" t="s">
        <v>60</v>
      </c>
      <c r="Y899" s="20" t="s">
        <v>412</v>
      </c>
      <c r="Z899" s="20" t="s">
        <v>60</v>
      </c>
      <c r="AA899" s="20" t="s">
        <v>491</v>
      </c>
    </row>
    <row r="900" spans="1:27" x14ac:dyDescent="0.2">
      <c r="A900" s="1">
        <v>46057</v>
      </c>
      <c r="B900" s="20" t="s">
        <v>326</v>
      </c>
      <c r="C900" s="20" t="s">
        <v>33</v>
      </c>
      <c r="D900" s="20" t="s">
        <v>12</v>
      </c>
      <c r="E900" s="20" t="s">
        <v>418</v>
      </c>
      <c r="F900" s="20" t="s">
        <v>12</v>
      </c>
      <c r="G900" s="20">
        <v>2</v>
      </c>
      <c r="H900" s="20">
        <v>3</v>
      </c>
      <c r="I900" s="13">
        <v>0.6</v>
      </c>
      <c r="J900" s="20" t="s">
        <v>249</v>
      </c>
      <c r="L900" s="20" t="s">
        <v>60</v>
      </c>
      <c r="M900" s="20" t="s">
        <v>60</v>
      </c>
      <c r="N900" s="20" t="s">
        <v>12</v>
      </c>
      <c r="O900" s="20">
        <v>2</v>
      </c>
      <c r="P900" s="20">
        <v>3</v>
      </c>
      <c r="Q900" s="13">
        <v>0.89340493765751294</v>
      </c>
      <c r="R900" s="20" t="s">
        <v>249</v>
      </c>
      <c r="S900" s="20">
        <v>2.1331353997323821</v>
      </c>
      <c r="T900" s="20" t="s">
        <v>60</v>
      </c>
      <c r="U900" s="20" t="s">
        <v>60</v>
      </c>
      <c r="V900" s="20"/>
      <c r="W900" s="20"/>
      <c r="X900" s="20" t="s">
        <v>60</v>
      </c>
      <c r="Y900" s="20" t="s">
        <v>412</v>
      </c>
      <c r="Z900" s="20" t="s">
        <v>60</v>
      </c>
      <c r="AA900" s="20" t="s">
        <v>491</v>
      </c>
    </row>
    <row r="901" spans="1:27" x14ac:dyDescent="0.2">
      <c r="A901" s="1">
        <v>46057</v>
      </c>
      <c r="B901" s="20" t="s">
        <v>322</v>
      </c>
      <c r="C901" s="20" t="s">
        <v>17</v>
      </c>
      <c r="D901" s="20" t="s">
        <v>16</v>
      </c>
      <c r="E901" s="20" t="s">
        <v>1072</v>
      </c>
      <c r="F901" s="20" t="s">
        <v>17</v>
      </c>
      <c r="G901" s="20">
        <v>2</v>
      </c>
      <c r="H901" s="20">
        <v>3</v>
      </c>
      <c r="I901" s="13">
        <v>0.6</v>
      </c>
      <c r="J901" s="20" t="s">
        <v>249</v>
      </c>
      <c r="L901" s="20" t="s">
        <v>60</v>
      </c>
      <c r="M901" s="20" t="s">
        <v>60</v>
      </c>
      <c r="N901" s="20" t="s">
        <v>17</v>
      </c>
      <c r="O901" s="20">
        <v>2</v>
      </c>
      <c r="P901" s="20">
        <v>3</v>
      </c>
      <c r="Q901" s="13">
        <v>0.48313505308910382</v>
      </c>
      <c r="R901" s="20" t="s">
        <v>249</v>
      </c>
      <c r="S901" s="20">
        <v>-0.19813386588393669</v>
      </c>
      <c r="T901" s="20" t="s">
        <v>60</v>
      </c>
      <c r="U901" s="20" t="s">
        <v>60</v>
      </c>
      <c r="V901" s="20"/>
      <c r="W901" s="20"/>
      <c r="X901" s="20" t="s">
        <v>60</v>
      </c>
      <c r="Y901" s="20" t="s">
        <v>412</v>
      </c>
      <c r="Z901" s="20" t="s">
        <v>60</v>
      </c>
      <c r="AA901" s="20" t="s">
        <v>491</v>
      </c>
    </row>
    <row r="902" spans="1:27" x14ac:dyDescent="0.2">
      <c r="A902" s="1">
        <v>46057</v>
      </c>
      <c r="B902" s="20" t="s">
        <v>328</v>
      </c>
      <c r="C902" s="20" t="s">
        <v>10</v>
      </c>
      <c r="D902" s="20" t="s">
        <v>28</v>
      </c>
      <c r="E902" s="20" t="s">
        <v>1308</v>
      </c>
      <c r="F902" s="20" t="s">
        <v>10</v>
      </c>
      <c r="G902" s="20">
        <v>2</v>
      </c>
      <c r="H902" s="20">
        <v>3</v>
      </c>
      <c r="I902" s="13">
        <v>0.6</v>
      </c>
      <c r="J902" s="20" t="s">
        <v>249</v>
      </c>
      <c r="L902" s="20" t="s">
        <v>60</v>
      </c>
      <c r="M902" s="20" t="s">
        <v>60</v>
      </c>
      <c r="N902" s="20" t="s">
        <v>10</v>
      </c>
      <c r="O902" s="20">
        <v>2</v>
      </c>
      <c r="P902" s="20">
        <v>3</v>
      </c>
      <c r="Q902" s="13">
        <v>0.50307363219162893</v>
      </c>
      <c r="R902" s="20" t="s">
        <v>249</v>
      </c>
      <c r="S902" s="20">
        <v>-0.36889240024306419</v>
      </c>
      <c r="T902" s="20" t="s">
        <v>60</v>
      </c>
      <c r="U902" s="20" t="s">
        <v>60</v>
      </c>
      <c r="V902" s="20"/>
      <c r="W902" s="20"/>
      <c r="X902" s="20" t="s">
        <v>60</v>
      </c>
      <c r="Y902" s="20" t="s">
        <v>412</v>
      </c>
      <c r="Z902" s="20" t="s">
        <v>60</v>
      </c>
      <c r="AA902" s="20" t="s">
        <v>491</v>
      </c>
    </row>
    <row r="903" spans="1:27" x14ac:dyDescent="0.2">
      <c r="A903" s="1">
        <v>46057</v>
      </c>
      <c r="B903" s="20" t="s">
        <v>328</v>
      </c>
      <c r="C903" s="20" t="s">
        <v>21</v>
      </c>
      <c r="D903" s="20" t="s">
        <v>11</v>
      </c>
      <c r="E903" s="20" t="s">
        <v>1309</v>
      </c>
      <c r="F903" s="20" t="s">
        <v>21</v>
      </c>
      <c r="G903" s="20">
        <v>2</v>
      </c>
      <c r="H903" s="20">
        <v>3</v>
      </c>
      <c r="I903" s="13">
        <v>0.6</v>
      </c>
      <c r="J903" s="20" t="s">
        <v>249</v>
      </c>
      <c r="L903" s="20" t="s">
        <v>60</v>
      </c>
      <c r="M903" s="20" t="s">
        <v>60</v>
      </c>
      <c r="N903" s="20" t="s">
        <v>21</v>
      </c>
      <c r="O903" s="20">
        <v>2</v>
      </c>
      <c r="P903" s="20">
        <v>3</v>
      </c>
      <c r="Q903" s="13">
        <v>0.46168992014598992</v>
      </c>
      <c r="R903" s="20" t="s">
        <v>249</v>
      </c>
      <c r="S903" s="20">
        <v>-0.1274477816932125</v>
      </c>
      <c r="T903" s="20" t="s">
        <v>60</v>
      </c>
      <c r="U903" s="20" t="s">
        <v>60</v>
      </c>
      <c r="V903" s="20"/>
      <c r="W903" s="20"/>
      <c r="X903" s="20" t="s">
        <v>60</v>
      </c>
      <c r="Y903" s="20" t="s">
        <v>412</v>
      </c>
      <c r="Z903" s="20" t="s">
        <v>60</v>
      </c>
      <c r="AA903" s="20" t="s">
        <v>491</v>
      </c>
    </row>
    <row r="904" spans="1:27" x14ac:dyDescent="0.2">
      <c r="A904" s="1">
        <v>46058</v>
      </c>
      <c r="B904" s="20" t="s">
        <v>328</v>
      </c>
      <c r="C904" s="20" t="s">
        <v>14</v>
      </c>
      <c r="D904" s="20" t="s">
        <v>23</v>
      </c>
      <c r="E904" s="20" t="s">
        <v>1310</v>
      </c>
      <c r="F904" s="20" t="s">
        <v>14</v>
      </c>
      <c r="G904" s="20">
        <v>2</v>
      </c>
      <c r="H904" s="20">
        <v>3</v>
      </c>
      <c r="I904" s="13">
        <v>0.6</v>
      </c>
      <c r="J904" s="20" t="s">
        <v>249</v>
      </c>
      <c r="L904" s="20" t="s">
        <v>60</v>
      </c>
      <c r="M904" s="20" t="s">
        <v>60</v>
      </c>
      <c r="N904" s="20" t="s">
        <v>14</v>
      </c>
      <c r="O904" s="20">
        <v>2</v>
      </c>
      <c r="P904" s="20">
        <v>3</v>
      </c>
      <c r="Q904" s="13">
        <v>0.52223779323644848</v>
      </c>
      <c r="R904" s="20" t="s">
        <v>249</v>
      </c>
      <c r="S904" s="20">
        <v>-0.2839454652519372</v>
      </c>
      <c r="T904" s="20" t="s">
        <v>60</v>
      </c>
      <c r="U904" s="20" t="s">
        <v>60</v>
      </c>
      <c r="V904" s="20"/>
      <c r="W904" s="20"/>
      <c r="X904" s="20" t="s">
        <v>60</v>
      </c>
      <c r="Y904" s="20" t="s">
        <v>412</v>
      </c>
      <c r="Z904" s="20" t="s">
        <v>60</v>
      </c>
      <c r="AA904" s="20" t="s">
        <v>491</v>
      </c>
    </row>
    <row r="905" spans="1:27" x14ac:dyDescent="0.2">
      <c r="A905" s="1">
        <v>46058</v>
      </c>
      <c r="B905" s="20" t="s">
        <v>328</v>
      </c>
      <c r="C905" s="20" t="s">
        <v>30</v>
      </c>
      <c r="D905" s="20" t="s">
        <v>24</v>
      </c>
      <c r="E905" s="20" t="s">
        <v>843</v>
      </c>
      <c r="F905" s="20" t="s">
        <v>24</v>
      </c>
      <c r="G905" s="20">
        <v>2</v>
      </c>
      <c r="H905" s="20">
        <v>3</v>
      </c>
      <c r="I905" s="13">
        <v>0.6</v>
      </c>
      <c r="J905" s="20" t="s">
        <v>249</v>
      </c>
      <c r="L905" s="20" t="s">
        <v>60</v>
      </c>
      <c r="M905" s="20" t="s">
        <v>60</v>
      </c>
      <c r="N905" s="20" t="s">
        <v>24</v>
      </c>
      <c r="O905" s="20">
        <v>2</v>
      </c>
      <c r="P905" s="20">
        <v>3</v>
      </c>
      <c r="Q905" s="13">
        <v>0.58343346953258379</v>
      </c>
      <c r="R905" s="20" t="s">
        <v>249</v>
      </c>
      <c r="S905" s="20">
        <v>0.29236299712909941</v>
      </c>
      <c r="T905" s="20" t="s">
        <v>60</v>
      </c>
      <c r="U905" s="20" t="s">
        <v>60</v>
      </c>
      <c r="V905" s="20"/>
      <c r="W905" s="20"/>
      <c r="X905" s="20" t="s">
        <v>60</v>
      </c>
      <c r="Y905" s="20" t="s">
        <v>412</v>
      </c>
      <c r="Z905" s="20" t="s">
        <v>60</v>
      </c>
      <c r="AA905" s="20" t="s">
        <v>491</v>
      </c>
    </row>
    <row r="906" spans="1:27" x14ac:dyDescent="0.2">
      <c r="A906" s="1">
        <v>46058</v>
      </c>
      <c r="B906" s="20" t="s">
        <v>328</v>
      </c>
      <c r="C906" s="20" t="s">
        <v>25</v>
      </c>
      <c r="D906" s="20" t="s">
        <v>15</v>
      </c>
      <c r="E906" s="20" t="s">
        <v>782</v>
      </c>
      <c r="F906" s="20" t="s">
        <v>25</v>
      </c>
      <c r="G906" s="20">
        <v>2</v>
      </c>
      <c r="H906" s="20">
        <v>3</v>
      </c>
      <c r="I906" s="13">
        <v>0.6</v>
      </c>
      <c r="J906" s="20" t="s">
        <v>249</v>
      </c>
      <c r="L906" s="20" t="s">
        <v>60</v>
      </c>
      <c r="M906" s="20" t="s">
        <v>60</v>
      </c>
      <c r="N906" s="20" t="s">
        <v>25</v>
      </c>
      <c r="O906" s="20">
        <v>2</v>
      </c>
      <c r="P906" s="20">
        <v>3</v>
      </c>
      <c r="Q906" s="13">
        <v>0.61036612327293382</v>
      </c>
      <c r="R906" s="20" t="s">
        <v>249</v>
      </c>
      <c r="S906" s="20">
        <v>-0.66580837288933281</v>
      </c>
      <c r="T906" s="20" t="s">
        <v>60</v>
      </c>
      <c r="U906" s="20" t="s">
        <v>60</v>
      </c>
      <c r="V906" s="20"/>
      <c r="W906" s="20"/>
      <c r="X906" s="20" t="s">
        <v>60</v>
      </c>
      <c r="Y906" s="20" t="s">
        <v>412</v>
      </c>
      <c r="Z906" s="20" t="s">
        <v>60</v>
      </c>
      <c r="AA906" s="20" t="s">
        <v>491</v>
      </c>
    </row>
    <row r="907" spans="1:27" x14ac:dyDescent="0.2">
      <c r="A907" s="1">
        <v>46058</v>
      </c>
      <c r="B907" s="20" t="s">
        <v>328</v>
      </c>
      <c r="C907" s="20" t="s">
        <v>36</v>
      </c>
      <c r="D907" s="20" t="s">
        <v>27</v>
      </c>
      <c r="E907" s="20" t="s">
        <v>829</v>
      </c>
      <c r="F907" s="20" t="s">
        <v>27</v>
      </c>
      <c r="G907" s="20">
        <v>2</v>
      </c>
      <c r="H907" s="20">
        <v>3</v>
      </c>
      <c r="I907" s="13">
        <v>0.6</v>
      </c>
      <c r="J907" s="20" t="s">
        <v>249</v>
      </c>
      <c r="L907" s="20" t="s">
        <v>60</v>
      </c>
      <c r="M907" s="20" t="s">
        <v>60</v>
      </c>
      <c r="N907" s="20" t="s">
        <v>27</v>
      </c>
      <c r="O907" s="20">
        <v>2</v>
      </c>
      <c r="P907" s="20">
        <v>3</v>
      </c>
      <c r="Q907" s="13">
        <v>0.5774906825970495</v>
      </c>
      <c r="R907" s="20" t="s">
        <v>249</v>
      </c>
      <c r="S907" s="20">
        <v>0.20103721628168511</v>
      </c>
      <c r="T907" s="20" t="s">
        <v>60</v>
      </c>
      <c r="U907" s="20" t="s">
        <v>60</v>
      </c>
      <c r="V907" s="20"/>
      <c r="W907" s="20"/>
      <c r="X907" s="20" t="s">
        <v>60</v>
      </c>
      <c r="Y907" s="20" t="s">
        <v>412</v>
      </c>
      <c r="Z907" s="20" t="s">
        <v>60</v>
      </c>
      <c r="AA907" s="20" t="s">
        <v>491</v>
      </c>
    </row>
    <row r="908" spans="1:27" x14ac:dyDescent="0.2">
      <c r="A908" s="1">
        <v>46058</v>
      </c>
      <c r="B908" s="20" t="s">
        <v>334</v>
      </c>
      <c r="C908" s="20" t="s">
        <v>11</v>
      </c>
      <c r="D908" s="20" t="s">
        <v>37</v>
      </c>
      <c r="E908" s="20" t="s">
        <v>1008</v>
      </c>
      <c r="F908" s="20" t="s">
        <v>37</v>
      </c>
      <c r="G908" s="20">
        <v>2</v>
      </c>
      <c r="H908" s="20">
        <v>3</v>
      </c>
      <c r="I908" s="13">
        <v>0.6</v>
      </c>
      <c r="J908" s="20" t="s">
        <v>249</v>
      </c>
      <c r="L908" s="20" t="s">
        <v>60</v>
      </c>
      <c r="M908" s="20" t="s">
        <v>60</v>
      </c>
      <c r="N908" s="20" t="s">
        <v>37</v>
      </c>
      <c r="O908" s="20">
        <v>2</v>
      </c>
      <c r="P908" s="20">
        <v>3</v>
      </c>
      <c r="Q908" s="13">
        <v>0.68405112330490425</v>
      </c>
      <c r="R908" s="20" t="s">
        <v>249</v>
      </c>
      <c r="S908" s="20">
        <v>0.95752398673387329</v>
      </c>
      <c r="T908" s="20" t="s">
        <v>60</v>
      </c>
      <c r="U908" s="20" t="s">
        <v>60</v>
      </c>
      <c r="V908" s="20"/>
      <c r="W908" s="20"/>
      <c r="X908" s="20" t="s">
        <v>60</v>
      </c>
      <c r="Y908" s="20" t="s">
        <v>412</v>
      </c>
      <c r="Z908" s="20" t="s">
        <v>60</v>
      </c>
      <c r="AA908" s="20" t="s">
        <v>491</v>
      </c>
    </row>
    <row r="909" spans="1:27" x14ac:dyDescent="0.2">
      <c r="A909" s="1">
        <v>46058</v>
      </c>
      <c r="B909" s="20" t="s">
        <v>322</v>
      </c>
      <c r="C909" s="20" t="s">
        <v>13</v>
      </c>
      <c r="D909" s="20" t="s">
        <v>20</v>
      </c>
      <c r="E909" s="20" t="s">
        <v>498</v>
      </c>
      <c r="F909" s="20" t="s">
        <v>20</v>
      </c>
      <c r="G909" s="20">
        <v>2</v>
      </c>
      <c r="H909" s="20">
        <v>3</v>
      </c>
      <c r="I909" s="13">
        <v>0.6</v>
      </c>
      <c r="J909" s="20" t="s">
        <v>249</v>
      </c>
      <c r="L909" s="20" t="s">
        <v>60</v>
      </c>
      <c r="M909" s="20" t="s">
        <v>60</v>
      </c>
      <c r="N909" s="20" t="s">
        <v>20</v>
      </c>
      <c r="O909" s="20">
        <v>2</v>
      </c>
      <c r="P909" s="20">
        <v>3</v>
      </c>
      <c r="Q909" s="13">
        <v>0.49046838767162682</v>
      </c>
      <c r="R909" s="20" t="s">
        <v>249</v>
      </c>
      <c r="S909" s="20">
        <v>0.14374351727973969</v>
      </c>
      <c r="T909" s="20" t="s">
        <v>60</v>
      </c>
      <c r="U909" s="20" t="s">
        <v>60</v>
      </c>
      <c r="V909" s="20"/>
      <c r="W909" s="20"/>
      <c r="X909" s="20" t="s">
        <v>60</v>
      </c>
      <c r="Y909" s="20" t="s">
        <v>412</v>
      </c>
      <c r="Z909" s="20" t="s">
        <v>60</v>
      </c>
      <c r="AA909" s="20" t="s">
        <v>491</v>
      </c>
    </row>
    <row r="910" spans="1:27" x14ac:dyDescent="0.2">
      <c r="A910" s="1">
        <v>46058</v>
      </c>
      <c r="B910" s="20" t="s">
        <v>328</v>
      </c>
      <c r="C910" s="20" t="s">
        <v>29</v>
      </c>
      <c r="D910" s="20" t="s">
        <v>22</v>
      </c>
      <c r="E910" s="20" t="s">
        <v>1311</v>
      </c>
      <c r="F910" s="20" t="s">
        <v>22</v>
      </c>
      <c r="G910" s="20">
        <v>2</v>
      </c>
      <c r="H910" s="20">
        <v>3</v>
      </c>
      <c r="I910" s="13">
        <v>0.6</v>
      </c>
      <c r="J910" s="20" t="s">
        <v>249</v>
      </c>
      <c r="L910" s="20" t="s">
        <v>60</v>
      </c>
      <c r="M910" s="20" t="s">
        <v>60</v>
      </c>
      <c r="N910" s="20" t="s">
        <v>22</v>
      </c>
      <c r="O910" s="20">
        <v>2</v>
      </c>
      <c r="P910" s="20">
        <v>3</v>
      </c>
      <c r="Q910" s="13">
        <v>0.78503299138365357</v>
      </c>
      <c r="R910" s="20" t="s">
        <v>249</v>
      </c>
      <c r="S910" s="20">
        <v>1.8755252655869801</v>
      </c>
      <c r="T910" s="20" t="s">
        <v>60</v>
      </c>
      <c r="U910" s="20" t="s">
        <v>60</v>
      </c>
      <c r="V910" s="20"/>
      <c r="W910" s="20"/>
      <c r="X910" s="20" t="s">
        <v>60</v>
      </c>
      <c r="Y910" s="20" t="s">
        <v>412</v>
      </c>
      <c r="Z910" s="20" t="s">
        <v>60</v>
      </c>
      <c r="AA910" s="20" t="s">
        <v>491</v>
      </c>
    </row>
    <row r="911" spans="1:27" x14ac:dyDescent="0.2">
      <c r="A911" s="1">
        <v>46078</v>
      </c>
      <c r="B911" s="20" t="s">
        <v>328</v>
      </c>
      <c r="C911" s="20" t="s">
        <v>27</v>
      </c>
      <c r="D911" s="20" t="s">
        <v>22</v>
      </c>
      <c r="E911" s="20" t="s">
        <v>1312</v>
      </c>
      <c r="F911" s="20" t="s">
        <v>22</v>
      </c>
      <c r="G911" s="20">
        <v>2</v>
      </c>
      <c r="H911" s="20">
        <v>3</v>
      </c>
      <c r="I911" s="13">
        <v>0.6</v>
      </c>
      <c r="J911" s="20" t="s">
        <v>249</v>
      </c>
      <c r="L911" s="20" t="s">
        <v>60</v>
      </c>
      <c r="M911" s="20" t="s">
        <v>60</v>
      </c>
      <c r="N911" s="20" t="s">
        <v>22</v>
      </c>
      <c r="O911" s="20">
        <v>2</v>
      </c>
      <c r="P911" s="20">
        <v>3</v>
      </c>
      <c r="Q911" s="13">
        <v>0.62549382984908919</v>
      </c>
      <c r="R911" s="20" t="s">
        <v>249</v>
      </c>
      <c r="S911" s="20">
        <v>0.87084756528323548</v>
      </c>
      <c r="T911" s="20" t="s">
        <v>60</v>
      </c>
      <c r="U911" s="20" t="s">
        <v>60</v>
      </c>
      <c r="V911" s="20"/>
      <c r="W911" s="20"/>
      <c r="X911" s="20" t="s">
        <v>60</v>
      </c>
      <c r="Y911" s="20" t="s">
        <v>412</v>
      </c>
      <c r="Z911" s="20" t="s">
        <v>60</v>
      </c>
      <c r="AA911" s="20" t="s">
        <v>491</v>
      </c>
    </row>
    <row r="912" spans="1:27" x14ac:dyDescent="0.2">
      <c r="A912" s="1">
        <v>46078</v>
      </c>
      <c r="B912" s="20" t="s">
        <v>322</v>
      </c>
      <c r="C912" s="20" t="s">
        <v>40</v>
      </c>
      <c r="D912" s="20" t="s">
        <v>38</v>
      </c>
      <c r="E912" s="20" t="s">
        <v>848</v>
      </c>
      <c r="F912" s="20" t="s">
        <v>40</v>
      </c>
      <c r="G912" s="20">
        <v>2</v>
      </c>
      <c r="H912" s="20">
        <v>3</v>
      </c>
      <c r="I912" s="13">
        <v>0.6</v>
      </c>
      <c r="J912" s="20" t="s">
        <v>249</v>
      </c>
      <c r="L912" s="20" t="s">
        <v>60</v>
      </c>
      <c r="M912" s="20" t="s">
        <v>60</v>
      </c>
      <c r="N912" s="20" t="s">
        <v>40</v>
      </c>
      <c r="O912" s="20">
        <v>2</v>
      </c>
      <c r="P912" s="20">
        <v>3</v>
      </c>
      <c r="Q912" s="13">
        <v>0.54902234043856335</v>
      </c>
      <c r="R912" s="20" t="s">
        <v>249</v>
      </c>
      <c r="S912" s="20">
        <v>-0.58453518240485014</v>
      </c>
      <c r="T912" s="20" t="s">
        <v>60</v>
      </c>
      <c r="U912" s="20" t="s">
        <v>60</v>
      </c>
      <c r="V912" s="20"/>
      <c r="W912" s="20"/>
      <c r="X912" s="20" t="s">
        <v>60</v>
      </c>
      <c r="Y912" s="20" t="s">
        <v>412</v>
      </c>
      <c r="Z912" s="20" t="s">
        <v>60</v>
      </c>
      <c r="AA912" s="20" t="s">
        <v>491</v>
      </c>
    </row>
    <row r="913" spans="1:27" x14ac:dyDescent="0.2">
      <c r="A913" s="1">
        <v>46078</v>
      </c>
      <c r="B913" s="20" t="s">
        <v>326</v>
      </c>
      <c r="C913" s="20" t="s">
        <v>12</v>
      </c>
      <c r="D913" s="20" t="s">
        <v>55</v>
      </c>
      <c r="E913" s="20" t="s">
        <v>625</v>
      </c>
      <c r="F913" s="20" t="s">
        <v>12</v>
      </c>
      <c r="G913" s="20">
        <v>2</v>
      </c>
      <c r="H913" s="20">
        <v>3</v>
      </c>
      <c r="I913" s="13">
        <v>0.6</v>
      </c>
      <c r="J913" s="20" t="s">
        <v>249</v>
      </c>
      <c r="L913" s="20" t="s">
        <v>60</v>
      </c>
      <c r="M913" s="20" t="s">
        <v>60</v>
      </c>
      <c r="N913" s="20" t="s">
        <v>12</v>
      </c>
      <c r="O913" s="20">
        <v>2</v>
      </c>
      <c r="P913" s="20">
        <v>3</v>
      </c>
      <c r="Q913" s="13">
        <v>0.72341289378127493</v>
      </c>
      <c r="R913" s="20" t="s">
        <v>249</v>
      </c>
      <c r="S913" s="20">
        <v>-1.9851261985249959</v>
      </c>
      <c r="T913" s="20" t="s">
        <v>60</v>
      </c>
      <c r="U913" s="20" t="s">
        <v>60</v>
      </c>
      <c r="V913" s="20"/>
      <c r="W913" s="20"/>
      <c r="X913" s="20" t="s">
        <v>60</v>
      </c>
      <c r="Y913" s="20" t="s">
        <v>412</v>
      </c>
      <c r="Z913" s="20" t="s">
        <v>60</v>
      </c>
      <c r="AA913" s="20" t="s">
        <v>491</v>
      </c>
    </row>
    <row r="914" spans="1:27" x14ac:dyDescent="0.2">
      <c r="A914" s="1">
        <v>46078</v>
      </c>
      <c r="B914" s="20" t="s">
        <v>334</v>
      </c>
      <c r="C914" s="20" t="s">
        <v>19</v>
      </c>
      <c r="D914" s="20" t="s">
        <v>37</v>
      </c>
      <c r="E914" s="20" t="s">
        <v>1313</v>
      </c>
      <c r="F914" s="20" t="s">
        <v>37</v>
      </c>
      <c r="G914" s="20">
        <v>2</v>
      </c>
      <c r="H914" s="20">
        <v>3</v>
      </c>
      <c r="I914" s="13">
        <v>0.6</v>
      </c>
      <c r="J914" s="20" t="s">
        <v>249</v>
      </c>
      <c r="L914" s="20" t="s">
        <v>60</v>
      </c>
      <c r="M914" s="20" t="s">
        <v>60</v>
      </c>
      <c r="N914" s="20" t="s">
        <v>37</v>
      </c>
      <c r="O914" s="20">
        <v>2</v>
      </c>
      <c r="P914" s="20">
        <v>3</v>
      </c>
      <c r="Q914" s="13">
        <v>0.71176644154766677</v>
      </c>
      <c r="R914" s="20" t="s">
        <v>249</v>
      </c>
      <c r="S914" s="20">
        <v>1.194884286988747</v>
      </c>
      <c r="T914" s="20" t="s">
        <v>60</v>
      </c>
      <c r="U914" s="20" t="s">
        <v>60</v>
      </c>
      <c r="V914" s="20"/>
      <c r="W914" s="20"/>
      <c r="X914" s="20" t="s">
        <v>60</v>
      </c>
      <c r="Y914" s="20" t="s">
        <v>412</v>
      </c>
      <c r="Z914" s="20" t="s">
        <v>60</v>
      </c>
      <c r="AA914" s="20" t="s">
        <v>491</v>
      </c>
    </row>
    <row r="915" spans="1:27" x14ac:dyDescent="0.2">
      <c r="A915" s="1">
        <v>46078</v>
      </c>
      <c r="B915" s="20" t="s">
        <v>324</v>
      </c>
      <c r="C915" s="20" t="s">
        <v>32</v>
      </c>
      <c r="D915" s="20" t="s">
        <v>39</v>
      </c>
      <c r="E915" s="20" t="s">
        <v>837</v>
      </c>
      <c r="F915" s="20" t="s">
        <v>39</v>
      </c>
      <c r="G915" s="20">
        <v>2</v>
      </c>
      <c r="H915" s="20">
        <v>3</v>
      </c>
      <c r="I915" s="13">
        <v>0.6</v>
      </c>
      <c r="J915" s="20" t="s">
        <v>249</v>
      </c>
      <c r="L915" s="20" t="s">
        <v>60</v>
      </c>
      <c r="M915" s="20" t="s">
        <v>60</v>
      </c>
      <c r="N915" s="20" t="s">
        <v>39</v>
      </c>
      <c r="O915" s="20">
        <v>2</v>
      </c>
      <c r="P915" s="20">
        <v>3</v>
      </c>
      <c r="Q915" s="13">
        <v>0.70217260513765822</v>
      </c>
      <c r="R915" s="20" t="s">
        <v>249</v>
      </c>
      <c r="S915" s="20">
        <v>1.112720486056372</v>
      </c>
      <c r="T915" s="20" t="s">
        <v>60</v>
      </c>
      <c r="U915" s="20" t="s">
        <v>60</v>
      </c>
      <c r="V915" s="20"/>
      <c r="W915" s="20"/>
      <c r="X915" s="20" t="s">
        <v>60</v>
      </c>
      <c r="Y915" s="20" t="s">
        <v>412</v>
      </c>
      <c r="Z915" s="20" t="s">
        <v>60</v>
      </c>
      <c r="AA915" s="20" t="s">
        <v>491</v>
      </c>
    </row>
    <row r="916" spans="1:27" x14ac:dyDescent="0.2">
      <c r="A916" s="1">
        <v>46078</v>
      </c>
      <c r="B916" s="20" t="s">
        <v>322</v>
      </c>
      <c r="C916" s="20" t="s">
        <v>20</v>
      </c>
      <c r="D916" s="20" t="s">
        <v>13</v>
      </c>
      <c r="E916" s="20" t="s">
        <v>1188</v>
      </c>
      <c r="F916" s="20" t="s">
        <v>20</v>
      </c>
      <c r="G916" s="20">
        <v>2</v>
      </c>
      <c r="H916" s="20">
        <v>3</v>
      </c>
      <c r="I916" s="13">
        <v>0.6</v>
      </c>
      <c r="J916" s="20" t="s">
        <v>249</v>
      </c>
      <c r="L916" s="20" t="s">
        <v>60</v>
      </c>
      <c r="M916" s="20" t="s">
        <v>60</v>
      </c>
      <c r="N916" s="20" t="s">
        <v>20</v>
      </c>
      <c r="O916" s="20">
        <v>2</v>
      </c>
      <c r="P916" s="20">
        <v>3</v>
      </c>
      <c r="Q916" s="13">
        <v>0.46513087930677133</v>
      </c>
      <c r="R916" s="20" t="s">
        <v>249</v>
      </c>
      <c r="S916" s="20">
        <v>-4.3942019433414782E-2</v>
      </c>
      <c r="T916" s="20" t="s">
        <v>60</v>
      </c>
      <c r="U916" s="20" t="s">
        <v>60</v>
      </c>
      <c r="V916" s="20"/>
      <c r="W916" s="20"/>
      <c r="X916" s="20" t="s">
        <v>60</v>
      </c>
      <c r="Y916" s="20" t="s">
        <v>412</v>
      </c>
      <c r="Z916" s="20" t="s">
        <v>60</v>
      </c>
      <c r="AA916" s="20" t="s">
        <v>491</v>
      </c>
    </row>
    <row r="917" spans="1:27" x14ac:dyDescent="0.2">
      <c r="A917" s="1">
        <v>46078</v>
      </c>
      <c r="B917" s="20" t="s">
        <v>340</v>
      </c>
      <c r="C917" s="20" t="s">
        <v>17</v>
      </c>
      <c r="D917" s="20" t="s">
        <v>31</v>
      </c>
      <c r="E917" s="20" t="s">
        <v>1314</v>
      </c>
      <c r="F917" s="20" t="s">
        <v>31</v>
      </c>
      <c r="G917" s="20">
        <v>2</v>
      </c>
      <c r="H917" s="20">
        <v>3</v>
      </c>
      <c r="I917" s="13">
        <v>0.6</v>
      </c>
      <c r="J917" s="20" t="s">
        <v>249</v>
      </c>
      <c r="L917" s="20" t="s">
        <v>60</v>
      </c>
      <c r="M917" s="20" t="s">
        <v>60</v>
      </c>
      <c r="N917" s="20" t="s">
        <v>31</v>
      </c>
      <c r="O917" s="20">
        <v>2</v>
      </c>
      <c r="P917" s="20">
        <v>3</v>
      </c>
      <c r="Q917" s="13">
        <v>0.74201156706028293</v>
      </c>
      <c r="R917" s="20" t="s">
        <v>249</v>
      </c>
      <c r="S917" s="20">
        <v>1.04635043499995</v>
      </c>
      <c r="T917" s="20" t="s">
        <v>60</v>
      </c>
      <c r="U917" s="20" t="s">
        <v>60</v>
      </c>
      <c r="V917" s="20"/>
      <c r="W917" s="20"/>
      <c r="X917" s="20" t="s">
        <v>60</v>
      </c>
      <c r="Y917" s="20" t="s">
        <v>412</v>
      </c>
      <c r="Z917" s="20" t="s">
        <v>60</v>
      </c>
      <c r="AA917" s="20" t="s">
        <v>491</v>
      </c>
    </row>
    <row r="918" spans="1:27" x14ac:dyDescent="0.2">
      <c r="A918" s="1">
        <v>46078</v>
      </c>
      <c r="B918" s="20" t="s">
        <v>328</v>
      </c>
      <c r="C918" s="20" t="s">
        <v>23</v>
      </c>
      <c r="D918" s="20" t="s">
        <v>24</v>
      </c>
      <c r="E918" s="20" t="s">
        <v>1050</v>
      </c>
      <c r="F918" s="20" t="s">
        <v>24</v>
      </c>
      <c r="G918" s="20">
        <v>2</v>
      </c>
      <c r="H918" s="20">
        <v>3</v>
      </c>
      <c r="I918" s="13">
        <v>0.6</v>
      </c>
      <c r="J918" s="20" t="s">
        <v>249</v>
      </c>
      <c r="L918" s="20" t="s">
        <v>60</v>
      </c>
      <c r="M918" s="20" t="s">
        <v>60</v>
      </c>
      <c r="N918" s="20" t="s">
        <v>24</v>
      </c>
      <c r="O918" s="20">
        <v>2</v>
      </c>
      <c r="P918" s="20">
        <v>3</v>
      </c>
      <c r="Q918" s="13">
        <v>0.68143295928595826</v>
      </c>
      <c r="R918" s="20" t="s">
        <v>249</v>
      </c>
      <c r="S918" s="20">
        <v>0.52754143542835641</v>
      </c>
      <c r="T918" s="20" t="s">
        <v>60</v>
      </c>
      <c r="U918" s="20" t="s">
        <v>60</v>
      </c>
      <c r="V918" s="20"/>
      <c r="W918" s="20"/>
      <c r="X918" s="20" t="s">
        <v>60</v>
      </c>
      <c r="Y918" s="20" t="s">
        <v>412</v>
      </c>
      <c r="Z918" s="20" t="s">
        <v>60</v>
      </c>
      <c r="AA918" s="20" t="s">
        <v>491</v>
      </c>
    </row>
    <row r="919" spans="1:27" x14ac:dyDescent="0.2">
      <c r="A919" s="1">
        <v>46079</v>
      </c>
      <c r="B919" s="20" t="s">
        <v>324</v>
      </c>
      <c r="C919" s="20" t="s">
        <v>27</v>
      </c>
      <c r="D919" s="20" t="s">
        <v>15</v>
      </c>
      <c r="E919" s="20" t="s">
        <v>1041</v>
      </c>
      <c r="F919" s="20" t="s">
        <v>15</v>
      </c>
      <c r="G919" s="20">
        <v>2</v>
      </c>
      <c r="H919" s="20">
        <v>3</v>
      </c>
      <c r="I919" s="13">
        <v>0.6</v>
      </c>
      <c r="J919" s="20" t="s">
        <v>249</v>
      </c>
      <c r="L919" s="20" t="s">
        <v>60</v>
      </c>
      <c r="M919" s="20" t="s">
        <v>60</v>
      </c>
      <c r="N919" s="20" t="s">
        <v>15</v>
      </c>
      <c r="O919" s="20">
        <v>2</v>
      </c>
      <c r="P919" s="20">
        <v>3</v>
      </c>
      <c r="Q919" s="13">
        <v>0.51384692113068431</v>
      </c>
      <c r="R919" s="20" t="s">
        <v>249</v>
      </c>
      <c r="S919" s="20">
        <v>0.14010634794553589</v>
      </c>
      <c r="T919" s="20" t="s">
        <v>60</v>
      </c>
      <c r="U919" s="20" t="s">
        <v>60</v>
      </c>
      <c r="V919" s="20"/>
      <c r="W919" s="20"/>
      <c r="X919" s="20" t="s">
        <v>60</v>
      </c>
      <c r="Y919" s="20" t="s">
        <v>412</v>
      </c>
      <c r="Z919" s="20" t="s">
        <v>60</v>
      </c>
      <c r="AA919" s="20" t="s">
        <v>491</v>
      </c>
    </row>
    <row r="920" spans="1:27" x14ac:dyDescent="0.2">
      <c r="A920" s="1">
        <v>46079</v>
      </c>
      <c r="B920" s="20" t="s">
        <v>324</v>
      </c>
      <c r="C920" s="20" t="s">
        <v>32</v>
      </c>
      <c r="D920" s="20" t="s">
        <v>35</v>
      </c>
      <c r="E920" s="20" t="s">
        <v>819</v>
      </c>
      <c r="F920" s="20" t="s">
        <v>32</v>
      </c>
      <c r="G920" s="20">
        <v>2</v>
      </c>
      <c r="H920" s="20">
        <v>3</v>
      </c>
      <c r="I920" s="13">
        <v>0.6</v>
      </c>
      <c r="J920" s="20" t="s">
        <v>249</v>
      </c>
      <c r="L920" s="20" t="s">
        <v>60</v>
      </c>
      <c r="M920" s="20" t="s">
        <v>60</v>
      </c>
      <c r="N920" s="20" t="s">
        <v>32</v>
      </c>
      <c r="O920" s="20">
        <v>2</v>
      </c>
      <c r="P920" s="20">
        <v>3</v>
      </c>
      <c r="Q920" s="13">
        <v>0.5411749056948274</v>
      </c>
      <c r="R920" s="20" t="s">
        <v>249</v>
      </c>
      <c r="S920" s="20">
        <v>-0.69520038774647008</v>
      </c>
      <c r="T920" s="20" t="s">
        <v>60</v>
      </c>
      <c r="U920" s="20" t="s">
        <v>60</v>
      </c>
      <c r="V920" s="20"/>
      <c r="W920" s="20"/>
      <c r="X920" s="20" t="s">
        <v>60</v>
      </c>
      <c r="Y920" s="20" t="s">
        <v>412</v>
      </c>
      <c r="Z920" s="20" t="s">
        <v>60</v>
      </c>
      <c r="AA920" s="20" t="s">
        <v>491</v>
      </c>
    </row>
    <row r="921" spans="1:27" x14ac:dyDescent="0.2">
      <c r="A921" s="1">
        <v>46079</v>
      </c>
      <c r="B921" s="20" t="s">
        <v>322</v>
      </c>
      <c r="C921" s="20" t="s">
        <v>16</v>
      </c>
      <c r="D921" s="20" t="s">
        <v>33</v>
      </c>
      <c r="E921" s="20" t="s">
        <v>1011</v>
      </c>
      <c r="F921" s="20" t="s">
        <v>33</v>
      </c>
      <c r="G921" s="20">
        <v>2</v>
      </c>
      <c r="H921" s="20">
        <v>3</v>
      </c>
      <c r="I921" s="13">
        <v>0.6</v>
      </c>
      <c r="J921" s="20" t="s">
        <v>249</v>
      </c>
      <c r="L921" s="20" t="s">
        <v>60</v>
      </c>
      <c r="M921" s="20" t="s">
        <v>60</v>
      </c>
      <c r="N921" s="20" t="s">
        <v>33</v>
      </c>
      <c r="O921" s="20">
        <v>2</v>
      </c>
      <c r="P921" s="20">
        <v>3</v>
      </c>
      <c r="Q921" s="13">
        <v>0.62769503791484937</v>
      </c>
      <c r="R921" s="20" t="s">
        <v>249</v>
      </c>
      <c r="S921" s="20">
        <v>0.66435103558553998</v>
      </c>
      <c r="T921" s="20" t="s">
        <v>60</v>
      </c>
      <c r="U921" s="20" t="s">
        <v>60</v>
      </c>
      <c r="V921" s="20"/>
      <c r="W921" s="20"/>
      <c r="X921" s="20" t="s">
        <v>60</v>
      </c>
      <c r="Y921" s="20" t="s">
        <v>412</v>
      </c>
      <c r="Z921" s="20" t="s">
        <v>60</v>
      </c>
      <c r="AA921" s="20" t="s">
        <v>491</v>
      </c>
    </row>
    <row r="922" spans="1:27" x14ac:dyDescent="0.2">
      <c r="A922" s="1">
        <v>46079</v>
      </c>
      <c r="B922" s="20" t="s">
        <v>328</v>
      </c>
      <c r="C922" s="20" t="s">
        <v>24</v>
      </c>
      <c r="D922" s="20" t="s">
        <v>14</v>
      </c>
      <c r="E922" s="20" t="s">
        <v>1146</v>
      </c>
      <c r="F922" s="20" t="s">
        <v>24</v>
      </c>
      <c r="G922" s="20">
        <v>2</v>
      </c>
      <c r="H922" s="20">
        <v>3</v>
      </c>
      <c r="I922" s="13">
        <v>0.6</v>
      </c>
      <c r="J922" s="20" t="s">
        <v>249</v>
      </c>
      <c r="L922" s="20" t="s">
        <v>60</v>
      </c>
      <c r="M922" s="20" t="s">
        <v>60</v>
      </c>
      <c r="N922" s="20" t="s">
        <v>24</v>
      </c>
      <c r="O922" s="20">
        <v>2</v>
      </c>
      <c r="P922" s="20">
        <v>3</v>
      </c>
      <c r="Q922" s="13">
        <v>0.49173270874944358</v>
      </c>
      <c r="R922" s="20" t="s">
        <v>249</v>
      </c>
      <c r="S922" s="20">
        <v>-9.3893723406931848E-2</v>
      </c>
      <c r="T922" s="20" t="s">
        <v>60</v>
      </c>
      <c r="U922" s="20" t="s">
        <v>60</v>
      </c>
      <c r="V922" s="20"/>
      <c r="W922" s="20"/>
      <c r="X922" s="20" t="s">
        <v>60</v>
      </c>
      <c r="Y922" s="20" t="s">
        <v>412</v>
      </c>
      <c r="Z922" s="20" t="s">
        <v>60</v>
      </c>
      <c r="AA922" s="20" t="s">
        <v>491</v>
      </c>
    </row>
    <row r="923" spans="1:27" x14ac:dyDescent="0.2">
      <c r="A923" s="1">
        <v>46079</v>
      </c>
      <c r="B923" s="20" t="s">
        <v>328</v>
      </c>
      <c r="C923" s="20" t="s">
        <v>26</v>
      </c>
      <c r="D923" s="20" t="s">
        <v>36</v>
      </c>
      <c r="E923" s="20" t="s">
        <v>1130</v>
      </c>
      <c r="F923" s="20" t="s">
        <v>36</v>
      </c>
      <c r="G923" s="20">
        <v>2</v>
      </c>
      <c r="H923" s="20">
        <v>3</v>
      </c>
      <c r="I923" s="13">
        <v>0.6</v>
      </c>
      <c r="J923" s="20" t="s">
        <v>249</v>
      </c>
      <c r="L923" s="20" t="s">
        <v>60</v>
      </c>
      <c r="M923" s="20" t="s">
        <v>60</v>
      </c>
      <c r="N923" s="20" t="s">
        <v>36</v>
      </c>
      <c r="O923" s="20">
        <v>2</v>
      </c>
      <c r="P923" s="20">
        <v>3</v>
      </c>
      <c r="Q923" s="13">
        <v>0.5884849449418138</v>
      </c>
      <c r="R923" s="20" t="s">
        <v>249</v>
      </c>
      <c r="S923" s="20">
        <v>0.39386426309063333</v>
      </c>
      <c r="T923" s="20" t="s">
        <v>60</v>
      </c>
      <c r="U923" s="20" t="s">
        <v>60</v>
      </c>
      <c r="V923" s="20"/>
      <c r="W923" s="20"/>
      <c r="X923" s="20" t="s">
        <v>60</v>
      </c>
      <c r="Y923" s="20" t="s">
        <v>412</v>
      </c>
      <c r="Z923" s="20" t="s">
        <v>60</v>
      </c>
      <c r="AA923" s="20" t="s">
        <v>491</v>
      </c>
    </row>
    <row r="924" spans="1:27" x14ac:dyDescent="0.2">
      <c r="A924" s="1">
        <v>46079</v>
      </c>
      <c r="B924" s="20" t="s">
        <v>324</v>
      </c>
      <c r="C924" s="20" t="s">
        <v>10</v>
      </c>
      <c r="D924" s="20" t="s">
        <v>29</v>
      </c>
      <c r="E924" s="20" t="s">
        <v>1162</v>
      </c>
      <c r="F924" s="20" t="s">
        <v>10</v>
      </c>
      <c r="G924" s="20">
        <v>2</v>
      </c>
      <c r="H924" s="20">
        <v>3</v>
      </c>
      <c r="I924" s="13">
        <v>0.6</v>
      </c>
      <c r="J924" s="20" t="s">
        <v>249</v>
      </c>
      <c r="L924" s="20" t="s">
        <v>60</v>
      </c>
      <c r="M924" s="20" t="s">
        <v>60</v>
      </c>
      <c r="N924" s="20" t="s">
        <v>10</v>
      </c>
      <c r="O924" s="20">
        <v>2</v>
      </c>
      <c r="P924" s="20">
        <v>3</v>
      </c>
      <c r="Q924" s="13">
        <v>0.59530937062195044</v>
      </c>
      <c r="R924" s="20" t="s">
        <v>249</v>
      </c>
      <c r="S924" s="20">
        <v>-1.1588202797025851</v>
      </c>
      <c r="T924" s="20" t="s">
        <v>60</v>
      </c>
      <c r="U924" s="20" t="s">
        <v>60</v>
      </c>
      <c r="V924" s="20"/>
      <c r="W924" s="20"/>
      <c r="X924" s="20" t="s">
        <v>60</v>
      </c>
      <c r="Y924" s="20" t="s">
        <v>412</v>
      </c>
      <c r="Z924" s="20" t="s">
        <v>60</v>
      </c>
      <c r="AA924" s="20" t="s">
        <v>491</v>
      </c>
    </row>
    <row r="925" spans="1:27" x14ac:dyDescent="0.2">
      <c r="A925" s="1">
        <v>46079</v>
      </c>
      <c r="B925" s="20" t="s">
        <v>328</v>
      </c>
      <c r="C925" s="20" t="s">
        <v>37</v>
      </c>
      <c r="D925" s="20" t="s">
        <v>25</v>
      </c>
      <c r="E925" s="20" t="s">
        <v>1315</v>
      </c>
      <c r="F925" s="20" t="s">
        <v>37</v>
      </c>
      <c r="G925" s="20">
        <v>2</v>
      </c>
      <c r="H925" s="20">
        <v>3</v>
      </c>
      <c r="I925" s="13">
        <v>0.6</v>
      </c>
      <c r="J925" s="20" t="s">
        <v>249</v>
      </c>
      <c r="L925" s="20" t="s">
        <v>60</v>
      </c>
      <c r="M925" s="20" t="s">
        <v>60</v>
      </c>
      <c r="N925" s="20" t="s">
        <v>37</v>
      </c>
      <c r="O925" s="20">
        <v>2</v>
      </c>
      <c r="P925" s="20">
        <v>3</v>
      </c>
      <c r="Q925" s="13">
        <v>0.50407848332891836</v>
      </c>
      <c r="R925" s="20" t="s">
        <v>249</v>
      </c>
      <c r="S925" s="20">
        <v>-3.4929060494889141E-2</v>
      </c>
      <c r="T925" s="20" t="s">
        <v>60</v>
      </c>
      <c r="U925" s="20" t="s">
        <v>60</v>
      </c>
      <c r="V925" s="20"/>
      <c r="W925" s="20"/>
      <c r="X925" s="20" t="s">
        <v>60</v>
      </c>
      <c r="Y925" s="20" t="s">
        <v>412</v>
      </c>
      <c r="Z925" s="20" t="s">
        <v>60</v>
      </c>
      <c r="AA925" s="20" t="s">
        <v>491</v>
      </c>
    </row>
    <row r="926" spans="1:27" x14ac:dyDescent="0.2">
      <c r="A926" s="1">
        <v>46079</v>
      </c>
      <c r="B926" s="20" t="s">
        <v>340</v>
      </c>
      <c r="C926" s="20" t="s">
        <v>17</v>
      </c>
      <c r="D926" s="20" t="s">
        <v>13</v>
      </c>
      <c r="E926" s="20" t="s">
        <v>1316</v>
      </c>
      <c r="F926" s="20" t="s">
        <v>13</v>
      </c>
      <c r="G926" s="20">
        <v>2</v>
      </c>
      <c r="H926" s="20">
        <v>3</v>
      </c>
      <c r="I926" s="13">
        <v>0.6</v>
      </c>
      <c r="J926" s="20" t="s">
        <v>249</v>
      </c>
      <c r="L926" s="20" t="s">
        <v>60</v>
      </c>
      <c r="M926" s="20" t="s">
        <v>60</v>
      </c>
      <c r="N926" s="20" t="s">
        <v>13</v>
      </c>
      <c r="O926" s="20">
        <v>2</v>
      </c>
      <c r="P926" s="20">
        <v>3</v>
      </c>
      <c r="Q926" s="13">
        <v>0.60181103819323645</v>
      </c>
      <c r="R926" s="20" t="s">
        <v>249</v>
      </c>
      <c r="S926" s="20">
        <v>0.52936381448347047</v>
      </c>
      <c r="T926" s="20" t="s">
        <v>60</v>
      </c>
      <c r="U926" s="20" t="s">
        <v>60</v>
      </c>
      <c r="V926" s="20"/>
      <c r="W926" s="20"/>
      <c r="X926" s="20" t="s">
        <v>60</v>
      </c>
      <c r="Y926" s="20" t="s">
        <v>412</v>
      </c>
      <c r="Z926" s="20" t="s">
        <v>60</v>
      </c>
      <c r="AA926" s="20" t="s">
        <v>491</v>
      </c>
    </row>
    <row r="927" spans="1:27" x14ac:dyDescent="0.2">
      <c r="A927" s="1">
        <v>46079</v>
      </c>
      <c r="B927" s="20" t="s">
        <v>328</v>
      </c>
      <c r="C927" s="20" t="s">
        <v>19</v>
      </c>
      <c r="D927" s="20" t="s">
        <v>11</v>
      </c>
      <c r="E927" s="20" t="s">
        <v>481</v>
      </c>
      <c r="F927" s="20" t="s">
        <v>11</v>
      </c>
      <c r="G927" s="20">
        <v>2</v>
      </c>
      <c r="H927" s="20">
        <v>3</v>
      </c>
      <c r="I927" s="13">
        <v>0.6</v>
      </c>
      <c r="J927" s="20" t="s">
        <v>249</v>
      </c>
      <c r="L927" s="20" t="s">
        <v>60</v>
      </c>
      <c r="M927" s="20" t="s">
        <v>60</v>
      </c>
      <c r="N927" s="20" t="s">
        <v>11</v>
      </c>
      <c r="O927" s="20">
        <v>2</v>
      </c>
      <c r="P927" s="20">
        <v>3</v>
      </c>
      <c r="Q927" s="13">
        <v>0.58755858766064739</v>
      </c>
      <c r="R927" s="20" t="s">
        <v>249</v>
      </c>
      <c r="S927" s="20">
        <v>0.28726104917803652</v>
      </c>
      <c r="T927" s="20" t="s">
        <v>60</v>
      </c>
      <c r="U927" s="20" t="s">
        <v>60</v>
      </c>
      <c r="V927" s="20"/>
      <c r="W927" s="20"/>
      <c r="X927" s="20" t="s">
        <v>60</v>
      </c>
      <c r="Y927" s="20" t="s">
        <v>412</v>
      </c>
      <c r="Z927" s="20" t="s">
        <v>60</v>
      </c>
      <c r="AA927" s="20" t="s">
        <v>491</v>
      </c>
    </row>
    <row r="928" spans="1:27" x14ac:dyDescent="0.2">
      <c r="A928" s="1">
        <v>46079</v>
      </c>
      <c r="B928" s="20" t="s">
        <v>326</v>
      </c>
      <c r="C928" s="20" t="s">
        <v>34</v>
      </c>
      <c r="D928" s="20" t="s">
        <v>12</v>
      </c>
      <c r="E928" s="20" t="s">
        <v>1317</v>
      </c>
      <c r="F928" s="20" t="s">
        <v>12</v>
      </c>
      <c r="G928" s="20">
        <v>2</v>
      </c>
      <c r="H928" s="20">
        <v>3</v>
      </c>
      <c r="I928" s="13">
        <v>0.6</v>
      </c>
      <c r="J928" s="20" t="s">
        <v>249</v>
      </c>
      <c r="L928" s="20" t="s">
        <v>60</v>
      </c>
      <c r="M928" s="20" t="s">
        <v>60</v>
      </c>
      <c r="N928" s="20" t="s">
        <v>12</v>
      </c>
      <c r="O928" s="20">
        <v>2</v>
      </c>
      <c r="P928" s="20">
        <v>3</v>
      </c>
      <c r="Q928" s="13">
        <v>0.80720772313376354</v>
      </c>
      <c r="R928" s="20" t="s">
        <v>249</v>
      </c>
      <c r="S928" s="20">
        <v>1.736929194799617</v>
      </c>
      <c r="T928" s="20" t="s">
        <v>60</v>
      </c>
      <c r="U928" s="20" t="s">
        <v>60</v>
      </c>
      <c r="V928" s="20"/>
      <c r="W928" s="20"/>
      <c r="X928" s="20" t="s">
        <v>60</v>
      </c>
      <c r="Y928" s="20" t="s">
        <v>412</v>
      </c>
      <c r="Z928" s="20" t="s">
        <v>60</v>
      </c>
      <c r="AA928" s="20" t="s">
        <v>491</v>
      </c>
    </row>
    <row r="929" spans="1:27" x14ac:dyDescent="0.2">
      <c r="A929" s="1">
        <v>46079</v>
      </c>
      <c r="B929" s="20" t="s">
        <v>328</v>
      </c>
      <c r="C929" s="20" t="s">
        <v>28</v>
      </c>
      <c r="D929" s="20" t="s">
        <v>21</v>
      </c>
      <c r="E929" s="20" t="s">
        <v>1318</v>
      </c>
      <c r="F929" s="20" t="s">
        <v>21</v>
      </c>
      <c r="G929" s="20">
        <v>2</v>
      </c>
      <c r="H929" s="20">
        <v>3</v>
      </c>
      <c r="I929" s="13">
        <v>0.6</v>
      </c>
      <c r="J929" s="20" t="s">
        <v>249</v>
      </c>
      <c r="L929" s="20" t="s">
        <v>60</v>
      </c>
      <c r="M929" s="20" t="s">
        <v>60</v>
      </c>
      <c r="N929" s="20" t="s">
        <v>21</v>
      </c>
      <c r="O929" s="20">
        <v>2</v>
      </c>
      <c r="P929" s="20">
        <v>3</v>
      </c>
      <c r="Q929" s="13">
        <v>0.62903822182252678</v>
      </c>
      <c r="R929" s="20" t="s">
        <v>249</v>
      </c>
      <c r="S929" s="20">
        <v>0.42512039282597108</v>
      </c>
      <c r="T929" s="20" t="s">
        <v>60</v>
      </c>
      <c r="U929" s="20" t="s">
        <v>60</v>
      </c>
      <c r="V929" s="20"/>
      <c r="W929" s="20"/>
      <c r="X929" s="20" t="s">
        <v>60</v>
      </c>
      <c r="Y929" s="20" t="s">
        <v>412</v>
      </c>
      <c r="Z929" s="20" t="s">
        <v>60</v>
      </c>
      <c r="AA929" s="20" t="s">
        <v>491</v>
      </c>
    </row>
    <row r="930" spans="1:27" x14ac:dyDescent="0.2">
      <c r="A930" s="1">
        <v>46079</v>
      </c>
      <c r="B930" s="20" t="s">
        <v>328</v>
      </c>
      <c r="C930" s="20" t="s">
        <v>30</v>
      </c>
      <c r="D930" s="20" t="s">
        <v>18</v>
      </c>
      <c r="E930" s="20" t="s">
        <v>1319</v>
      </c>
      <c r="F930" s="20" t="s">
        <v>30</v>
      </c>
      <c r="G930" s="20">
        <v>2</v>
      </c>
      <c r="H930" s="20">
        <v>3</v>
      </c>
      <c r="I930" s="13">
        <v>0.6</v>
      </c>
      <c r="J930" s="20" t="s">
        <v>249</v>
      </c>
      <c r="L930" s="20" t="s">
        <v>60</v>
      </c>
      <c r="M930" s="20" t="s">
        <v>60</v>
      </c>
      <c r="N930" s="20" t="s">
        <v>30</v>
      </c>
      <c r="O930" s="20">
        <v>2</v>
      </c>
      <c r="P930" s="20">
        <v>3</v>
      </c>
      <c r="Q930" s="13">
        <v>0.56789276811217293</v>
      </c>
      <c r="R930" s="20" t="s">
        <v>249</v>
      </c>
      <c r="S930" s="20">
        <v>-0.30205688190933011</v>
      </c>
      <c r="T930" s="20" t="s">
        <v>60</v>
      </c>
      <c r="U930" s="20" t="s">
        <v>60</v>
      </c>
      <c r="V930" s="20"/>
      <c r="W930" s="20"/>
      <c r="X930" s="20" t="s">
        <v>60</v>
      </c>
      <c r="Y930" s="20" t="s">
        <v>412</v>
      </c>
      <c r="Z930" s="20" t="s">
        <v>60</v>
      </c>
      <c r="AA930" s="20" t="s">
        <v>491</v>
      </c>
    </row>
    <row r="931" spans="1:27" x14ac:dyDescent="0.2">
      <c r="A931" s="1">
        <v>46080</v>
      </c>
      <c r="B931" s="20" t="s">
        <v>322</v>
      </c>
      <c r="C931" s="20" t="s">
        <v>40</v>
      </c>
      <c r="D931" s="20" t="s">
        <v>31</v>
      </c>
      <c r="E931" s="20" t="s">
        <v>838</v>
      </c>
      <c r="F931" s="20" t="s">
        <v>31</v>
      </c>
      <c r="G931" s="20">
        <v>2</v>
      </c>
      <c r="H931" s="20">
        <v>3</v>
      </c>
      <c r="I931" s="13">
        <v>0.6</v>
      </c>
      <c r="J931" s="20" t="s">
        <v>249</v>
      </c>
      <c r="L931" s="20" t="s">
        <v>60</v>
      </c>
      <c r="M931" s="20" t="s">
        <v>60</v>
      </c>
      <c r="N931" s="20" t="s">
        <v>31</v>
      </c>
      <c r="O931" s="20">
        <v>2</v>
      </c>
      <c r="P931" s="20">
        <v>3</v>
      </c>
      <c r="Q931" s="13">
        <v>0.66326847023337154</v>
      </c>
      <c r="R931" s="20" t="s">
        <v>249</v>
      </c>
      <c r="S931" s="20">
        <v>0.5418455945452203</v>
      </c>
      <c r="T931" s="20" t="s">
        <v>60</v>
      </c>
      <c r="U931" s="20" t="s">
        <v>60</v>
      </c>
      <c r="V931" s="20"/>
      <c r="W931" s="20"/>
      <c r="X931" s="20" t="s">
        <v>60</v>
      </c>
      <c r="Y931" s="20" t="s">
        <v>412</v>
      </c>
      <c r="Z931" s="20" t="s">
        <v>60</v>
      </c>
      <c r="AA931" s="20" t="s">
        <v>491</v>
      </c>
    </row>
    <row r="932" spans="1:27" x14ac:dyDescent="0.2">
      <c r="A932" s="1">
        <v>46080</v>
      </c>
      <c r="B932" s="20" t="s">
        <v>328</v>
      </c>
      <c r="C932" s="20" t="s">
        <v>23</v>
      </c>
      <c r="D932" s="20" t="s">
        <v>11</v>
      </c>
      <c r="E932" s="20" t="s">
        <v>1296</v>
      </c>
      <c r="F932" s="20" t="s">
        <v>11</v>
      </c>
      <c r="G932" s="20">
        <v>2</v>
      </c>
      <c r="H932" s="20">
        <v>3</v>
      </c>
      <c r="I932" s="13">
        <v>0.6</v>
      </c>
      <c r="J932" s="20" t="s">
        <v>249</v>
      </c>
      <c r="L932" s="20" t="s">
        <v>60</v>
      </c>
      <c r="M932" s="20" t="s">
        <v>60</v>
      </c>
      <c r="N932" s="20" t="s">
        <v>11</v>
      </c>
      <c r="O932" s="20">
        <v>2</v>
      </c>
      <c r="P932" s="20">
        <v>3</v>
      </c>
      <c r="Q932" s="13">
        <v>0.56906676814971258</v>
      </c>
      <c r="R932" s="20" t="s">
        <v>249</v>
      </c>
      <c r="S932" s="20">
        <v>0.12889289359964559</v>
      </c>
      <c r="T932" s="20" t="s">
        <v>60</v>
      </c>
      <c r="U932" s="20" t="s">
        <v>60</v>
      </c>
      <c r="V932" s="20"/>
      <c r="W932" s="20"/>
      <c r="X932" s="20" t="s">
        <v>60</v>
      </c>
      <c r="Y932" s="20" t="s">
        <v>412</v>
      </c>
      <c r="Z932" s="20" t="s">
        <v>60</v>
      </c>
      <c r="AA932" s="20" t="s">
        <v>491</v>
      </c>
    </row>
    <row r="933" spans="1:27" x14ac:dyDescent="0.2">
      <c r="A933" s="1">
        <v>46080</v>
      </c>
      <c r="B933" s="20" t="s">
        <v>326</v>
      </c>
      <c r="C933" s="20" t="s">
        <v>34</v>
      </c>
      <c r="D933" s="20" t="s">
        <v>55</v>
      </c>
      <c r="E933" s="20" t="s">
        <v>1320</v>
      </c>
      <c r="F933" s="20" t="s">
        <v>34</v>
      </c>
      <c r="G933" s="20">
        <v>2</v>
      </c>
      <c r="H933" s="20">
        <v>3</v>
      </c>
      <c r="I933" s="13">
        <v>0.6</v>
      </c>
      <c r="J933" s="20" t="s">
        <v>249</v>
      </c>
      <c r="L933" s="20" t="s">
        <v>60</v>
      </c>
      <c r="M933" s="20" t="s">
        <v>60</v>
      </c>
      <c r="N933" s="20" t="s">
        <v>34</v>
      </c>
      <c r="O933" s="20">
        <v>2</v>
      </c>
      <c r="P933" s="20">
        <v>3</v>
      </c>
      <c r="Q933" s="13">
        <v>0.49634577376900357</v>
      </c>
      <c r="R933" s="20" t="s">
        <v>249</v>
      </c>
      <c r="S933" s="20">
        <v>-0.29809775264854121</v>
      </c>
      <c r="T933" s="20" t="s">
        <v>60</v>
      </c>
      <c r="U933" s="20" t="s">
        <v>60</v>
      </c>
      <c r="V933" s="20"/>
      <c r="W933" s="20"/>
      <c r="X933" s="20" t="s">
        <v>60</v>
      </c>
      <c r="Y933" s="20" t="s">
        <v>412</v>
      </c>
      <c r="Z933" s="20" t="s">
        <v>60</v>
      </c>
      <c r="AA933" s="20" t="s">
        <v>491</v>
      </c>
    </row>
    <row r="934" spans="1:27" x14ac:dyDescent="0.2">
      <c r="A934" s="1">
        <v>46080</v>
      </c>
      <c r="B934" s="20" t="s">
        <v>328</v>
      </c>
      <c r="C934" s="20" t="s">
        <v>20</v>
      </c>
      <c r="D934" s="20" t="s">
        <v>22</v>
      </c>
      <c r="E934" s="20" t="s">
        <v>1321</v>
      </c>
      <c r="F934" s="20" t="s">
        <v>22</v>
      </c>
      <c r="G934" s="20">
        <v>2</v>
      </c>
      <c r="H934" s="20">
        <v>3</v>
      </c>
      <c r="I934" s="13">
        <v>0.6</v>
      </c>
      <c r="J934" s="20" t="s">
        <v>249</v>
      </c>
      <c r="L934" s="20" t="s">
        <v>60</v>
      </c>
      <c r="M934" s="20" t="s">
        <v>60</v>
      </c>
      <c r="N934" s="20" t="s">
        <v>22</v>
      </c>
      <c r="O934" s="20">
        <v>2</v>
      </c>
      <c r="P934" s="20">
        <v>3</v>
      </c>
      <c r="Q934" s="13">
        <v>0.65186553320764185</v>
      </c>
      <c r="R934" s="20" t="s">
        <v>249</v>
      </c>
      <c r="S934" s="20">
        <v>0.73504881209755579</v>
      </c>
      <c r="T934" s="20" t="s">
        <v>60</v>
      </c>
      <c r="U934" s="20" t="s">
        <v>60</v>
      </c>
      <c r="V934" s="20"/>
      <c r="W934" s="20"/>
      <c r="X934" s="20" t="s">
        <v>60</v>
      </c>
      <c r="Y934" s="20" t="s">
        <v>412</v>
      </c>
      <c r="Z934" s="20" t="s">
        <v>60</v>
      </c>
      <c r="AA934" s="20" t="s">
        <v>491</v>
      </c>
    </row>
    <row r="935" spans="1:27" x14ac:dyDescent="0.2">
      <c r="A935" s="1">
        <v>46081</v>
      </c>
      <c r="B935" s="20" t="s">
        <v>369</v>
      </c>
      <c r="C935" s="20" t="s">
        <v>17</v>
      </c>
      <c r="D935" s="20" t="s">
        <v>33</v>
      </c>
      <c r="E935" s="20" t="s">
        <v>1322</v>
      </c>
      <c r="F935" s="20" t="s">
        <v>33</v>
      </c>
      <c r="G935" s="20">
        <v>2</v>
      </c>
      <c r="H935" s="20">
        <v>3</v>
      </c>
      <c r="I935" s="13">
        <v>0.6</v>
      </c>
      <c r="J935" s="20" t="s">
        <v>249</v>
      </c>
      <c r="L935" s="20" t="s">
        <v>60</v>
      </c>
      <c r="M935" s="20" t="s">
        <v>60</v>
      </c>
      <c r="N935" s="20" t="s">
        <v>33</v>
      </c>
      <c r="O935" s="20">
        <v>2</v>
      </c>
      <c r="P935" s="20">
        <v>3</v>
      </c>
      <c r="Q935" s="13">
        <v>0.59873333590647571</v>
      </c>
      <c r="R935" s="20" t="s">
        <v>249</v>
      </c>
      <c r="S935" s="20">
        <v>0.41631642077844078</v>
      </c>
      <c r="T935" s="20" t="s">
        <v>60</v>
      </c>
      <c r="U935" s="20" t="s">
        <v>60</v>
      </c>
      <c r="V935" s="20"/>
      <c r="W935" s="20"/>
      <c r="X935" s="20" t="s">
        <v>60</v>
      </c>
      <c r="Y935" s="20" t="s">
        <v>412</v>
      </c>
      <c r="Z935" s="20" t="s">
        <v>60</v>
      </c>
      <c r="AA935" s="20" t="s">
        <v>491</v>
      </c>
    </row>
    <row r="936" spans="1:27" x14ac:dyDescent="0.2">
      <c r="A936" s="1">
        <v>46081</v>
      </c>
      <c r="B936" s="20" t="s">
        <v>365</v>
      </c>
      <c r="C936" s="20" t="s">
        <v>24</v>
      </c>
      <c r="D936" s="20" t="s">
        <v>35</v>
      </c>
      <c r="E936" s="20" t="s">
        <v>1323</v>
      </c>
      <c r="F936" s="20" t="s">
        <v>24</v>
      </c>
      <c r="G936" s="20">
        <v>2</v>
      </c>
      <c r="H936" s="20">
        <v>3</v>
      </c>
      <c r="I936" s="13">
        <v>0.6</v>
      </c>
      <c r="J936" s="20" t="s">
        <v>249</v>
      </c>
      <c r="L936" s="20" t="s">
        <v>60</v>
      </c>
      <c r="M936" s="20" t="s">
        <v>60</v>
      </c>
      <c r="N936" s="20" t="s">
        <v>24</v>
      </c>
      <c r="O936" s="20">
        <v>2</v>
      </c>
      <c r="P936" s="20">
        <v>3</v>
      </c>
      <c r="Q936" s="13">
        <v>0.63794719216839679</v>
      </c>
      <c r="R936" s="20" t="s">
        <v>249</v>
      </c>
      <c r="S936" s="20">
        <v>-1.3461078737891641</v>
      </c>
      <c r="T936" s="20" t="s">
        <v>60</v>
      </c>
      <c r="U936" s="20" t="s">
        <v>60</v>
      </c>
      <c r="V936" s="20"/>
      <c r="W936" s="20"/>
      <c r="X936" s="20" t="s">
        <v>60</v>
      </c>
      <c r="Y936" s="20" t="s">
        <v>412</v>
      </c>
      <c r="Z936" s="20" t="s">
        <v>60</v>
      </c>
      <c r="AA936" s="20" t="s">
        <v>491</v>
      </c>
    </row>
    <row r="937" spans="1:27" x14ac:dyDescent="0.2">
      <c r="A937" s="1">
        <v>46081</v>
      </c>
      <c r="B937" s="20" t="s">
        <v>328</v>
      </c>
      <c r="C937" s="20" t="s">
        <v>16</v>
      </c>
      <c r="D937" s="20" t="s">
        <v>13</v>
      </c>
      <c r="E937" s="20" t="s">
        <v>996</v>
      </c>
      <c r="F937" s="20" t="s">
        <v>13</v>
      </c>
      <c r="G937" s="20">
        <v>2</v>
      </c>
      <c r="H937" s="20">
        <v>3</v>
      </c>
      <c r="I937" s="13">
        <v>0.6</v>
      </c>
      <c r="J937" s="20" t="s">
        <v>249</v>
      </c>
      <c r="L937" s="20" t="s">
        <v>60</v>
      </c>
      <c r="M937" s="20" t="s">
        <v>60</v>
      </c>
      <c r="N937" s="20" t="s">
        <v>13</v>
      </c>
      <c r="O937" s="20">
        <v>2</v>
      </c>
      <c r="P937" s="20">
        <v>3</v>
      </c>
      <c r="Q937" s="13">
        <v>0.63077274020161012</v>
      </c>
      <c r="R937" s="20" t="s">
        <v>249</v>
      </c>
      <c r="S937" s="20">
        <v>0.77739842929056957</v>
      </c>
      <c r="T937" s="20" t="s">
        <v>60</v>
      </c>
      <c r="U937" s="20" t="s">
        <v>60</v>
      </c>
      <c r="V937" s="20"/>
      <c r="W937" s="20"/>
      <c r="X937" s="20" t="s">
        <v>60</v>
      </c>
      <c r="Y937" s="20" t="s">
        <v>412</v>
      </c>
      <c r="Z937" s="20" t="s">
        <v>60</v>
      </c>
      <c r="AA937" s="20" t="s">
        <v>491</v>
      </c>
    </row>
    <row r="938" spans="1:27" x14ac:dyDescent="0.2">
      <c r="A938" s="1">
        <v>46081</v>
      </c>
      <c r="B938" s="20" t="s">
        <v>328</v>
      </c>
      <c r="C938" s="20" t="s">
        <v>36</v>
      </c>
      <c r="D938" s="20" t="s">
        <v>19</v>
      </c>
      <c r="E938" s="20" t="s">
        <v>1068</v>
      </c>
      <c r="F938" s="20" t="s">
        <v>36</v>
      </c>
      <c r="G938" s="20">
        <v>2</v>
      </c>
      <c r="H938" s="20">
        <v>3</v>
      </c>
      <c r="I938" s="13">
        <v>0.6</v>
      </c>
      <c r="J938" s="20" t="s">
        <v>249</v>
      </c>
      <c r="L938" s="20" t="s">
        <v>60</v>
      </c>
      <c r="M938" s="20" t="s">
        <v>60</v>
      </c>
      <c r="N938" s="20" t="s">
        <v>36</v>
      </c>
      <c r="O938" s="20">
        <v>2</v>
      </c>
      <c r="P938" s="20">
        <v>3</v>
      </c>
      <c r="Q938" s="13">
        <v>0.46621209436364419</v>
      </c>
      <c r="R938" s="20" t="s">
        <v>249</v>
      </c>
      <c r="S938" s="20">
        <v>-5.3201791530979481E-2</v>
      </c>
      <c r="T938" s="20" t="s">
        <v>60</v>
      </c>
      <c r="U938" s="20" t="s">
        <v>60</v>
      </c>
      <c r="V938" s="20"/>
      <c r="W938" s="20"/>
      <c r="X938" s="20" t="s">
        <v>60</v>
      </c>
      <c r="Y938" s="20" t="s">
        <v>412</v>
      </c>
      <c r="Z938" s="20" t="s">
        <v>60</v>
      </c>
      <c r="AA938" s="20" t="s">
        <v>491</v>
      </c>
    </row>
    <row r="939" spans="1:27" x14ac:dyDescent="0.2">
      <c r="A939" s="1">
        <v>46081</v>
      </c>
      <c r="B939" s="20" t="s">
        <v>322</v>
      </c>
      <c r="C939" s="20" t="s">
        <v>38</v>
      </c>
      <c r="D939" s="20" t="s">
        <v>32</v>
      </c>
      <c r="E939" s="20" t="s">
        <v>1083</v>
      </c>
      <c r="F939" s="20" t="s">
        <v>32</v>
      </c>
      <c r="G939" s="20">
        <v>2</v>
      </c>
      <c r="H939" s="20">
        <v>3</v>
      </c>
      <c r="I939" s="13">
        <v>0.6</v>
      </c>
      <c r="J939" s="20" t="s">
        <v>249</v>
      </c>
      <c r="L939" s="20" t="s">
        <v>60</v>
      </c>
      <c r="M939" s="20" t="s">
        <v>60</v>
      </c>
      <c r="N939" s="20" t="s">
        <v>32</v>
      </c>
      <c r="O939" s="20">
        <v>2</v>
      </c>
      <c r="P939" s="20">
        <v>3</v>
      </c>
      <c r="Q939" s="13">
        <v>0.57708147827079681</v>
      </c>
      <c r="R939" s="20" t="s">
        <v>249</v>
      </c>
      <c r="S939" s="20">
        <v>0.34820126875587648</v>
      </c>
      <c r="T939" s="20" t="s">
        <v>60</v>
      </c>
      <c r="U939" s="20" t="s">
        <v>60</v>
      </c>
      <c r="V939" s="20"/>
      <c r="W939" s="20"/>
      <c r="X939" s="20" t="s">
        <v>60</v>
      </c>
      <c r="Y939" s="20" t="s">
        <v>412</v>
      </c>
      <c r="Z939" s="20" t="s">
        <v>60</v>
      </c>
      <c r="AA939" s="20" t="s">
        <v>491</v>
      </c>
    </row>
    <row r="940" spans="1:27" x14ac:dyDescent="0.2">
      <c r="A940" s="1">
        <v>46081</v>
      </c>
      <c r="B940" s="20" t="s">
        <v>328</v>
      </c>
      <c r="C940" s="20" t="s">
        <v>23</v>
      </c>
      <c r="D940" s="20" t="s">
        <v>37</v>
      </c>
      <c r="E940" s="20" t="s">
        <v>1302</v>
      </c>
      <c r="F940" s="20" t="s">
        <v>37</v>
      </c>
      <c r="G940" s="20">
        <v>2</v>
      </c>
      <c r="H940" s="20">
        <v>3</v>
      </c>
      <c r="I940" s="13">
        <v>0.6</v>
      </c>
      <c r="J940" s="20" t="s">
        <v>249</v>
      </c>
      <c r="L940" s="20" t="s">
        <v>60</v>
      </c>
      <c r="M940" s="20" t="s">
        <v>60</v>
      </c>
      <c r="N940" s="20" t="s">
        <v>37</v>
      </c>
      <c r="O940" s="20">
        <v>2</v>
      </c>
      <c r="P940" s="20">
        <v>3</v>
      </c>
      <c r="Q940" s="13">
        <v>0.69327462203673185</v>
      </c>
      <c r="R940" s="20" t="s">
        <v>249</v>
      </c>
      <c r="S940" s="20">
        <v>1.0365161314103559</v>
      </c>
      <c r="T940" s="20" t="s">
        <v>60</v>
      </c>
      <c r="U940" s="20" t="s">
        <v>60</v>
      </c>
      <c r="V940" s="20"/>
      <c r="W940" s="20"/>
      <c r="X940" s="20" t="s">
        <v>60</v>
      </c>
      <c r="Y940" s="20" t="s">
        <v>412</v>
      </c>
      <c r="Z940" s="20" t="s">
        <v>60</v>
      </c>
      <c r="AA940" s="20" t="s">
        <v>491</v>
      </c>
    </row>
    <row r="941" spans="1:27" x14ac:dyDescent="0.2">
      <c r="A941" s="1">
        <v>46081</v>
      </c>
      <c r="B941" s="20" t="s">
        <v>453</v>
      </c>
      <c r="C941" s="20" t="s">
        <v>21</v>
      </c>
      <c r="D941" s="20" t="s">
        <v>27</v>
      </c>
      <c r="E941" s="20" t="s">
        <v>1324</v>
      </c>
      <c r="F941" s="20" t="s">
        <v>21</v>
      </c>
      <c r="G941" s="20">
        <v>2</v>
      </c>
      <c r="H941" s="20">
        <v>3</v>
      </c>
      <c r="I941" s="13">
        <v>0.6</v>
      </c>
      <c r="J941" s="20" t="s">
        <v>249</v>
      </c>
      <c r="L941" s="20" t="s">
        <v>60</v>
      </c>
      <c r="M941" s="20" t="s">
        <v>60</v>
      </c>
      <c r="N941" s="20" t="s">
        <v>21</v>
      </c>
      <c r="O941" s="20">
        <v>2</v>
      </c>
      <c r="P941" s="20">
        <v>3</v>
      </c>
      <c r="Q941" s="13">
        <v>0.45971908192667371</v>
      </c>
      <c r="R941" s="20" t="s">
        <v>249</v>
      </c>
      <c r="S941" s="20">
        <v>-0.1105690741354219</v>
      </c>
      <c r="T941" s="20" t="s">
        <v>60</v>
      </c>
      <c r="U941" s="20" t="s">
        <v>60</v>
      </c>
      <c r="V941" s="20"/>
      <c r="W941" s="20"/>
      <c r="X941" s="20" t="s">
        <v>60</v>
      </c>
      <c r="Y941" s="20" t="s">
        <v>412</v>
      </c>
      <c r="Z941" s="20" t="s">
        <v>60</v>
      </c>
      <c r="AA941" s="20" t="s">
        <v>491</v>
      </c>
    </row>
    <row r="942" spans="1:27" x14ac:dyDescent="0.2">
      <c r="A942" s="1">
        <v>46081</v>
      </c>
      <c r="B942" s="20" t="s">
        <v>469</v>
      </c>
      <c r="C942" s="20" t="s">
        <v>10</v>
      </c>
      <c r="D942" s="20" t="s">
        <v>12</v>
      </c>
      <c r="E942" s="20" t="s">
        <v>1325</v>
      </c>
      <c r="F942" s="20" t="s">
        <v>12</v>
      </c>
      <c r="G942" s="20">
        <v>2</v>
      </c>
      <c r="H942" s="20">
        <v>3</v>
      </c>
      <c r="I942" s="13">
        <v>0.6</v>
      </c>
      <c r="J942" s="20" t="s">
        <v>249</v>
      </c>
      <c r="L942" s="20" t="s">
        <v>60</v>
      </c>
      <c r="M942" s="20" t="s">
        <v>60</v>
      </c>
      <c r="N942" s="20" t="s">
        <v>12</v>
      </c>
      <c r="O942" s="20">
        <v>2</v>
      </c>
      <c r="P942" s="20">
        <v>3</v>
      </c>
      <c r="Q942" s="13">
        <v>0.8612788963907495</v>
      </c>
      <c r="R942" s="20" t="s">
        <v>249</v>
      </c>
      <c r="S942" s="20">
        <v>1.8580006625344521</v>
      </c>
      <c r="T942" s="20" t="s">
        <v>60</v>
      </c>
      <c r="U942" s="20" t="s">
        <v>60</v>
      </c>
      <c r="V942" s="20"/>
      <c r="W942" s="20"/>
      <c r="X942" s="20" t="s">
        <v>60</v>
      </c>
      <c r="Y942" s="20" t="s">
        <v>412</v>
      </c>
      <c r="Z942" s="20" t="s">
        <v>60</v>
      </c>
      <c r="AA942" s="20" t="s">
        <v>491</v>
      </c>
    </row>
    <row r="943" spans="1:27" x14ac:dyDescent="0.2">
      <c r="A943" s="1">
        <v>46081</v>
      </c>
      <c r="B943" s="20" t="s">
        <v>328</v>
      </c>
      <c r="C943" s="20" t="s">
        <v>22</v>
      </c>
      <c r="D943" s="20" t="s">
        <v>18</v>
      </c>
      <c r="E943" s="20" t="s">
        <v>331</v>
      </c>
      <c r="F943" s="20" t="s">
        <v>22</v>
      </c>
      <c r="G943" s="20">
        <v>2</v>
      </c>
      <c r="H943" s="20">
        <v>3</v>
      </c>
      <c r="I943" s="13">
        <v>0.6</v>
      </c>
      <c r="J943" s="20" t="s">
        <v>249</v>
      </c>
      <c r="L943" s="20" t="s">
        <v>60</v>
      </c>
      <c r="M943" s="20" t="s">
        <v>60</v>
      </c>
      <c r="N943" s="20" t="s">
        <v>22</v>
      </c>
      <c r="O943" s="20">
        <v>2</v>
      </c>
      <c r="P943" s="20">
        <v>3</v>
      </c>
      <c r="Q943" s="13">
        <v>0.61737360223236648</v>
      </c>
      <c r="R943" s="20" t="s">
        <v>249</v>
      </c>
      <c r="S943" s="20">
        <v>-0.98369611220441966</v>
      </c>
      <c r="T943" s="20" t="s">
        <v>60</v>
      </c>
      <c r="U943" s="20" t="s">
        <v>60</v>
      </c>
      <c r="V943" s="20"/>
      <c r="W943" s="20"/>
      <c r="X943" s="20" t="s">
        <v>60</v>
      </c>
      <c r="Y943" s="20" t="s">
        <v>412</v>
      </c>
      <c r="Z943" s="20" t="s">
        <v>60</v>
      </c>
      <c r="AA943" s="20" t="s">
        <v>491</v>
      </c>
    </row>
    <row r="944" spans="1:27" x14ac:dyDescent="0.2">
      <c r="A944" s="1">
        <v>46081</v>
      </c>
      <c r="B944" s="20" t="s">
        <v>324</v>
      </c>
      <c r="C944" s="20" t="s">
        <v>29</v>
      </c>
      <c r="D944" s="20" t="s">
        <v>39</v>
      </c>
      <c r="E944" s="20" t="s">
        <v>1326</v>
      </c>
      <c r="F944" s="20" t="s">
        <v>39</v>
      </c>
      <c r="G944" s="20">
        <v>2</v>
      </c>
      <c r="H944" s="20">
        <v>3</v>
      </c>
      <c r="I944" s="13">
        <v>0.6</v>
      </c>
      <c r="J944" s="20" t="s">
        <v>249</v>
      </c>
      <c r="L944" s="20" t="s">
        <v>60</v>
      </c>
      <c r="M944" s="20" t="s">
        <v>60</v>
      </c>
      <c r="N944" s="20" t="s">
        <v>39</v>
      </c>
      <c r="O944" s="20">
        <v>2</v>
      </c>
      <c r="P944" s="20">
        <v>3</v>
      </c>
      <c r="Q944" s="13">
        <v>0.78805776160009378</v>
      </c>
      <c r="R944" s="20" t="s">
        <v>249</v>
      </c>
      <c r="S944" s="20">
        <v>1.8482605345883429</v>
      </c>
      <c r="T944" s="20" t="s">
        <v>60</v>
      </c>
      <c r="U944" s="20" t="s">
        <v>60</v>
      </c>
      <c r="V944" s="20"/>
      <c r="W944" s="20"/>
      <c r="X944" s="20" t="s">
        <v>60</v>
      </c>
      <c r="Y944" s="20" t="s">
        <v>412</v>
      </c>
      <c r="Z944" s="20" t="s">
        <v>60</v>
      </c>
      <c r="AA944" s="20" t="s">
        <v>491</v>
      </c>
    </row>
    <row r="945" spans="1:27" x14ac:dyDescent="0.2">
      <c r="A945" s="1">
        <v>46081</v>
      </c>
      <c r="B945" s="20" t="s">
        <v>555</v>
      </c>
      <c r="C945" s="20" t="s">
        <v>14</v>
      </c>
      <c r="D945" s="20" t="s">
        <v>15</v>
      </c>
      <c r="E945" s="20" t="s">
        <v>493</v>
      </c>
      <c r="F945" s="20" t="s">
        <v>14</v>
      </c>
      <c r="G945" s="20">
        <v>2</v>
      </c>
      <c r="H945" s="20">
        <v>3</v>
      </c>
      <c r="I945" s="13">
        <v>0.6</v>
      </c>
      <c r="J945" s="20" t="s">
        <v>249</v>
      </c>
      <c r="L945" s="20" t="s">
        <v>60</v>
      </c>
      <c r="M945" s="20" t="s">
        <v>60</v>
      </c>
      <c r="N945" s="20" t="s">
        <v>14</v>
      </c>
      <c r="O945" s="20">
        <v>2</v>
      </c>
      <c r="P945" s="20">
        <v>3</v>
      </c>
      <c r="Q945" s="13">
        <v>0.51071438506573652</v>
      </c>
      <c r="R945" s="20" t="s">
        <v>249</v>
      </c>
      <c r="S945" s="20">
        <v>-9.7869013995290133E-2</v>
      </c>
      <c r="T945" s="20" t="s">
        <v>60</v>
      </c>
      <c r="U945" s="20" t="s">
        <v>60</v>
      </c>
      <c r="V945" s="20"/>
      <c r="W945" s="20"/>
      <c r="X945" s="20" t="s">
        <v>60</v>
      </c>
      <c r="Y945" s="20" t="s">
        <v>412</v>
      </c>
      <c r="Z945" s="20" t="s">
        <v>60</v>
      </c>
      <c r="AA945" s="20" t="s">
        <v>491</v>
      </c>
    </row>
    <row r="946" spans="1:27" x14ac:dyDescent="0.2">
      <c r="A946" s="1">
        <v>46081</v>
      </c>
      <c r="B946" s="20" t="s">
        <v>469</v>
      </c>
      <c r="C946" s="20" t="s">
        <v>30</v>
      </c>
      <c r="D946" s="20" t="s">
        <v>28</v>
      </c>
      <c r="E946" s="20" t="s">
        <v>1079</v>
      </c>
      <c r="F946" s="20" t="s">
        <v>30</v>
      </c>
      <c r="G946" s="20">
        <v>2</v>
      </c>
      <c r="H946" s="20">
        <v>3</v>
      </c>
      <c r="I946" s="13">
        <v>0.6</v>
      </c>
      <c r="J946" s="20" t="s">
        <v>249</v>
      </c>
      <c r="L946" s="20" t="s">
        <v>60</v>
      </c>
      <c r="M946" s="20" t="s">
        <v>60</v>
      </c>
      <c r="N946" s="20" t="s">
        <v>30</v>
      </c>
      <c r="O946" s="20">
        <v>2</v>
      </c>
      <c r="P946" s="20">
        <v>3</v>
      </c>
      <c r="Q946" s="13">
        <v>0.56813794795961248</v>
      </c>
      <c r="R946" s="20" t="s">
        <v>249</v>
      </c>
      <c r="S946" s="20">
        <v>-0.30415665798604519</v>
      </c>
      <c r="T946" s="20" t="s">
        <v>60</v>
      </c>
      <c r="U946" s="20" t="s">
        <v>60</v>
      </c>
      <c r="V946" s="20"/>
      <c r="W946" s="20"/>
      <c r="X946" s="20" t="s">
        <v>60</v>
      </c>
      <c r="Y946" s="20" t="s">
        <v>412</v>
      </c>
      <c r="Z946" s="20" t="s">
        <v>60</v>
      </c>
      <c r="AA946" s="20" t="s">
        <v>491</v>
      </c>
    </row>
    <row r="947" spans="1:27" x14ac:dyDescent="0.2">
      <c r="A947" s="1">
        <v>46081</v>
      </c>
      <c r="B947" s="20" t="s">
        <v>328</v>
      </c>
      <c r="C947" s="20" t="s">
        <v>26</v>
      </c>
      <c r="D947" s="20" t="s">
        <v>25</v>
      </c>
      <c r="E947" s="20" t="s">
        <v>1073</v>
      </c>
      <c r="F947" s="20" t="s">
        <v>25</v>
      </c>
      <c r="G947" s="20">
        <v>2</v>
      </c>
      <c r="H947" s="20">
        <v>3</v>
      </c>
      <c r="I947" s="13">
        <v>0.6</v>
      </c>
      <c r="J947" s="20" t="s">
        <v>249</v>
      </c>
      <c r="L947" s="20" t="s">
        <v>60</v>
      </c>
      <c r="M947" s="20" t="s">
        <v>60</v>
      </c>
      <c r="N947" s="20" t="s">
        <v>25</v>
      </c>
      <c r="O947" s="20">
        <v>2</v>
      </c>
      <c r="P947" s="20">
        <v>3</v>
      </c>
      <c r="Q947" s="13">
        <v>0.74945529335783156</v>
      </c>
      <c r="R947" s="20" t="s">
        <v>249</v>
      </c>
      <c r="S947" s="20">
        <v>1.3509154512840249</v>
      </c>
      <c r="T947" s="20" t="s">
        <v>60</v>
      </c>
      <c r="U947" s="20" t="s">
        <v>60</v>
      </c>
      <c r="V947" s="20"/>
      <c r="W947" s="20"/>
      <c r="X947" s="20" t="s">
        <v>60</v>
      </c>
      <c r="Y947" s="20" t="s">
        <v>412</v>
      </c>
      <c r="Z947" s="20" t="s">
        <v>60</v>
      </c>
      <c r="AA947" s="20" t="s">
        <v>491</v>
      </c>
    </row>
    <row r="948" spans="1:27" x14ac:dyDescent="0.2">
      <c r="A948" s="1">
        <v>46082</v>
      </c>
      <c r="B948" s="20" t="s">
        <v>324</v>
      </c>
      <c r="C948" s="20" t="s">
        <v>16</v>
      </c>
      <c r="D948" s="20" t="s">
        <v>31</v>
      </c>
      <c r="E948" s="20" t="s">
        <v>1327</v>
      </c>
      <c r="F948" s="20" t="s">
        <v>31</v>
      </c>
      <c r="G948" s="20">
        <v>2</v>
      </c>
      <c r="H948" s="20">
        <v>3</v>
      </c>
      <c r="I948" s="13">
        <v>0.6</v>
      </c>
      <c r="J948" s="20" t="s">
        <v>249</v>
      </c>
      <c r="L948" s="20" t="s">
        <v>60</v>
      </c>
      <c r="M948" s="20" t="s">
        <v>60</v>
      </c>
      <c r="N948" s="20" t="s">
        <v>31</v>
      </c>
      <c r="O948" s="20">
        <v>2</v>
      </c>
      <c r="P948" s="20">
        <v>3</v>
      </c>
      <c r="Q948" s="13">
        <v>0.7709732690686566</v>
      </c>
      <c r="R948" s="20" t="s">
        <v>249</v>
      </c>
      <c r="S948" s="20">
        <v>1.294385049807049</v>
      </c>
      <c r="T948" s="20" t="s">
        <v>60</v>
      </c>
      <c r="U948" s="20" t="s">
        <v>60</v>
      </c>
      <c r="V948" s="20"/>
      <c r="W948" s="20"/>
      <c r="X948" s="20" t="s">
        <v>60</v>
      </c>
      <c r="Y948" s="20" t="s">
        <v>412</v>
      </c>
      <c r="Z948" s="20" t="s">
        <v>60</v>
      </c>
      <c r="AA948" s="20" t="s">
        <v>491</v>
      </c>
    </row>
    <row r="949" spans="1:27" x14ac:dyDescent="0.2">
      <c r="A949" s="1">
        <v>46082</v>
      </c>
      <c r="B949" s="20" t="s">
        <v>365</v>
      </c>
      <c r="C949" s="20" t="s">
        <v>35</v>
      </c>
      <c r="D949" s="20" t="s">
        <v>34</v>
      </c>
      <c r="E949" s="20" t="s">
        <v>1328</v>
      </c>
      <c r="F949" s="20" t="s">
        <v>34</v>
      </c>
      <c r="G949" s="20">
        <v>2</v>
      </c>
      <c r="H949" s="20">
        <v>3</v>
      </c>
      <c r="I949" s="13">
        <v>0.6</v>
      </c>
      <c r="J949" s="20" t="s">
        <v>249</v>
      </c>
      <c r="L949" s="20" t="s">
        <v>60</v>
      </c>
      <c r="M949" s="20" t="s">
        <v>60</v>
      </c>
      <c r="N949" s="20" t="s">
        <v>34</v>
      </c>
      <c r="O949" s="20">
        <v>2</v>
      </c>
      <c r="P949" s="20">
        <v>3</v>
      </c>
      <c r="Q949" s="13">
        <v>0.70221594735752579</v>
      </c>
      <c r="R949" s="20" t="s">
        <v>249</v>
      </c>
      <c r="S949" s="20">
        <v>1.389254333421406</v>
      </c>
      <c r="T949" s="20" t="s">
        <v>60</v>
      </c>
      <c r="U949" s="20" t="s">
        <v>60</v>
      </c>
      <c r="V949" s="20"/>
      <c r="W949" s="20"/>
      <c r="X949" s="20" t="s">
        <v>60</v>
      </c>
      <c r="Y949" s="20" t="s">
        <v>412</v>
      </c>
      <c r="Z949" s="20" t="s">
        <v>60</v>
      </c>
      <c r="AA949" s="20" t="s">
        <v>491</v>
      </c>
    </row>
    <row r="950" spans="1:27" x14ac:dyDescent="0.2">
      <c r="A950" s="1">
        <v>46082</v>
      </c>
      <c r="B950" s="20" t="s">
        <v>725</v>
      </c>
      <c r="C950" s="20" t="s">
        <v>11</v>
      </c>
      <c r="D950" s="20" t="s">
        <v>30</v>
      </c>
      <c r="E950" s="20" t="s">
        <v>1329</v>
      </c>
      <c r="F950" s="20" t="s">
        <v>30</v>
      </c>
      <c r="G950" s="20">
        <v>2</v>
      </c>
      <c r="H950" s="20">
        <v>3</v>
      </c>
      <c r="I950" s="13">
        <v>0.6</v>
      </c>
      <c r="J950" s="20" t="s">
        <v>249</v>
      </c>
      <c r="L950" s="20" t="s">
        <v>60</v>
      </c>
      <c r="M950" s="20" t="s">
        <v>60</v>
      </c>
      <c r="N950" s="20" t="s">
        <v>30</v>
      </c>
      <c r="O950" s="20">
        <v>2</v>
      </c>
      <c r="P950" s="20">
        <v>3</v>
      </c>
      <c r="Q950" s="13">
        <v>0.56406370384490223</v>
      </c>
      <c r="R950" s="20" t="s">
        <v>249</v>
      </c>
      <c r="S950" s="20">
        <v>0.20608704254593641</v>
      </c>
      <c r="T950" s="20" t="s">
        <v>60</v>
      </c>
      <c r="U950" s="20" t="s">
        <v>60</v>
      </c>
      <c r="V950" s="20"/>
      <c r="W950" s="20"/>
      <c r="X950" s="20" t="s">
        <v>60</v>
      </c>
      <c r="Y950" s="20" t="s">
        <v>412</v>
      </c>
      <c r="Z950" s="20" t="s">
        <v>60</v>
      </c>
      <c r="AA950" s="20" t="s">
        <v>491</v>
      </c>
    </row>
    <row r="951" spans="1:27" x14ac:dyDescent="0.2">
      <c r="A951" s="1">
        <v>46082</v>
      </c>
      <c r="B951" s="20" t="s">
        <v>347</v>
      </c>
      <c r="C951" s="20" t="s">
        <v>20</v>
      </c>
      <c r="D951" s="20" t="s">
        <v>14</v>
      </c>
      <c r="E951" s="20" t="s">
        <v>1330</v>
      </c>
      <c r="F951" s="20" t="s">
        <v>14</v>
      </c>
      <c r="G951" s="20">
        <v>2</v>
      </c>
      <c r="H951" s="20">
        <v>3</v>
      </c>
      <c r="I951" s="13">
        <v>0.6</v>
      </c>
      <c r="J951" s="20" t="s">
        <v>249</v>
      </c>
      <c r="L951" s="20" t="s">
        <v>60</v>
      </c>
      <c r="M951" s="20" t="s">
        <v>60</v>
      </c>
      <c r="N951" s="20" t="s">
        <v>14</v>
      </c>
      <c r="O951" s="20">
        <v>2</v>
      </c>
      <c r="P951" s="20">
        <v>3</v>
      </c>
      <c r="Q951" s="13">
        <v>0.5577572760105497</v>
      </c>
      <c r="R951" s="20" t="s">
        <v>249</v>
      </c>
      <c r="S951" s="20">
        <v>0.15207735767830879</v>
      </c>
      <c r="T951" s="20" t="s">
        <v>60</v>
      </c>
      <c r="U951" s="20" t="s">
        <v>60</v>
      </c>
      <c r="V951" s="20"/>
      <c r="W951" s="20"/>
      <c r="X951" s="20" t="s">
        <v>60</v>
      </c>
      <c r="Y951" s="20" t="s">
        <v>412</v>
      </c>
      <c r="Z951" s="20" t="s">
        <v>60</v>
      </c>
      <c r="AA951" s="20" t="s">
        <v>491</v>
      </c>
    </row>
    <row r="952" spans="1:27" x14ac:dyDescent="0.2">
      <c r="A952" s="1">
        <v>46082</v>
      </c>
      <c r="B952" s="20" t="s">
        <v>369</v>
      </c>
      <c r="C952" s="20" t="s">
        <v>40</v>
      </c>
      <c r="D952" s="20" t="s">
        <v>33</v>
      </c>
      <c r="E952" s="20" t="s">
        <v>813</v>
      </c>
      <c r="F952" s="20" t="s">
        <v>40</v>
      </c>
      <c r="G952" s="20">
        <v>2</v>
      </c>
      <c r="H952" s="20">
        <v>3</v>
      </c>
      <c r="I952" s="13">
        <v>0.6</v>
      </c>
      <c r="J952" s="20" t="s">
        <v>249</v>
      </c>
      <c r="L952" s="20" t="s">
        <v>60</v>
      </c>
      <c r="M952" s="20" t="s">
        <v>60</v>
      </c>
      <c r="N952" s="20" t="s">
        <v>40</v>
      </c>
      <c r="O952" s="20">
        <v>2</v>
      </c>
      <c r="P952" s="20">
        <v>3</v>
      </c>
      <c r="Q952" s="13">
        <v>0.48088553485950469</v>
      </c>
      <c r="R952" s="20" t="s">
        <v>249</v>
      </c>
      <c r="S952" s="20">
        <v>-8.818841967628932E-2</v>
      </c>
      <c r="T952" s="20" t="s">
        <v>60</v>
      </c>
      <c r="U952" s="20" t="s">
        <v>60</v>
      </c>
      <c r="V952" s="20"/>
      <c r="W952" s="20"/>
      <c r="X952" s="20" t="s">
        <v>60</v>
      </c>
      <c r="Y952" s="20" t="s">
        <v>412</v>
      </c>
      <c r="Z952" s="20" t="s">
        <v>60</v>
      </c>
      <c r="AA952" s="20" t="s">
        <v>491</v>
      </c>
    </row>
    <row r="953" spans="1:27" x14ac:dyDescent="0.2">
      <c r="A953" s="1">
        <v>46082</v>
      </c>
      <c r="B953" s="20" t="s">
        <v>369</v>
      </c>
      <c r="C953" s="20" t="s">
        <v>10</v>
      </c>
      <c r="D953" s="20" t="s">
        <v>55</v>
      </c>
      <c r="E953" s="20" t="s">
        <v>1331</v>
      </c>
      <c r="F953" s="20" t="s">
        <v>10</v>
      </c>
      <c r="G953" s="20">
        <v>2</v>
      </c>
      <c r="H953" s="20">
        <v>3</v>
      </c>
      <c r="I953" s="13">
        <v>0.6</v>
      </c>
      <c r="J953" s="20" t="s">
        <v>249</v>
      </c>
      <c r="L953" s="20" t="s">
        <v>60</v>
      </c>
      <c r="M953" s="20" t="s">
        <v>60</v>
      </c>
      <c r="N953" s="20" t="s">
        <v>10</v>
      </c>
      <c r="O953" s="20">
        <v>2</v>
      </c>
      <c r="P953" s="20">
        <v>3</v>
      </c>
      <c r="Q953" s="13">
        <v>0.44023925403906528</v>
      </c>
      <c r="R953" s="20" t="s">
        <v>249</v>
      </c>
      <c r="S953" s="20">
        <v>-0.17702628491370639</v>
      </c>
      <c r="T953" s="20" t="s">
        <v>60</v>
      </c>
      <c r="U953" s="20" t="s">
        <v>60</v>
      </c>
      <c r="V953" s="20"/>
      <c r="W953" s="20"/>
      <c r="X953" s="20" t="s">
        <v>60</v>
      </c>
      <c r="Y953" s="20" t="s">
        <v>412</v>
      </c>
      <c r="Z953" s="20" t="s">
        <v>60</v>
      </c>
      <c r="AA953" s="20" t="s">
        <v>491</v>
      </c>
    </row>
    <row r="954" spans="1:27" x14ac:dyDescent="0.2">
      <c r="A954" s="1">
        <v>46083</v>
      </c>
      <c r="B954" s="20" t="s">
        <v>334</v>
      </c>
      <c r="C954" s="20" t="s">
        <v>27</v>
      </c>
      <c r="D954" s="20" t="s">
        <v>19</v>
      </c>
      <c r="E954" s="20" t="s">
        <v>1332</v>
      </c>
      <c r="F954" s="20" t="s">
        <v>27</v>
      </c>
      <c r="G954" s="20">
        <v>2</v>
      </c>
      <c r="H954" s="20">
        <v>3</v>
      </c>
      <c r="I954" s="13">
        <v>0.6</v>
      </c>
      <c r="J954" s="20" t="s">
        <v>249</v>
      </c>
      <c r="L954" s="20" t="s">
        <v>60</v>
      </c>
      <c r="M954" s="20" t="s">
        <v>60</v>
      </c>
      <c r="N954" s="20" t="s">
        <v>27</v>
      </c>
      <c r="O954" s="20">
        <v>2</v>
      </c>
      <c r="P954" s="20">
        <v>3</v>
      </c>
      <c r="Q954" s="13">
        <v>0.52637207035687916</v>
      </c>
      <c r="R954" s="20" t="s">
        <v>249</v>
      </c>
      <c r="S954" s="20">
        <v>-0.20433825888950211</v>
      </c>
      <c r="T954" s="20" t="s">
        <v>60</v>
      </c>
      <c r="U954" s="20" t="s">
        <v>60</v>
      </c>
      <c r="V954" s="20"/>
      <c r="W954" s="20"/>
      <c r="X954" s="20" t="s">
        <v>60</v>
      </c>
      <c r="Y954" s="20" t="s">
        <v>412</v>
      </c>
      <c r="Z954" s="20" t="s">
        <v>60</v>
      </c>
      <c r="AA954" s="20" t="s">
        <v>491</v>
      </c>
    </row>
    <row r="955" spans="1:27" x14ac:dyDescent="0.2">
      <c r="A955" s="1">
        <v>46083</v>
      </c>
      <c r="B955" s="20" t="s">
        <v>322</v>
      </c>
      <c r="C955" s="20" t="s">
        <v>25</v>
      </c>
      <c r="D955" s="20" t="s">
        <v>32</v>
      </c>
      <c r="E955" s="20" t="s">
        <v>1333</v>
      </c>
      <c r="F955" s="20" t="s">
        <v>25</v>
      </c>
      <c r="G955" s="20">
        <v>2</v>
      </c>
      <c r="H955" s="20">
        <v>3</v>
      </c>
      <c r="I955" s="13">
        <v>0.6</v>
      </c>
      <c r="J955" s="20" t="s">
        <v>249</v>
      </c>
      <c r="L955" s="20" t="s">
        <v>60</v>
      </c>
      <c r="M955" s="20" t="s">
        <v>60</v>
      </c>
      <c r="N955" s="20" t="s">
        <v>25</v>
      </c>
      <c r="O955" s="20">
        <v>2</v>
      </c>
      <c r="P955" s="20">
        <v>3</v>
      </c>
      <c r="Q955" s="13">
        <v>0.65232475133101453</v>
      </c>
      <c r="R955" s="20" t="s">
        <v>249</v>
      </c>
      <c r="S955" s="20">
        <v>-1.0251516236834799</v>
      </c>
      <c r="T955" s="20" t="s">
        <v>60</v>
      </c>
      <c r="U955" s="20" t="s">
        <v>60</v>
      </c>
      <c r="V955" s="20"/>
      <c r="W955" s="20"/>
      <c r="X955" s="20" t="s">
        <v>60</v>
      </c>
      <c r="Y955" s="20" t="s">
        <v>412</v>
      </c>
      <c r="Z955" s="20" t="s">
        <v>60</v>
      </c>
      <c r="AA955" s="20" t="s">
        <v>491</v>
      </c>
    </row>
    <row r="956" spans="1:27" x14ac:dyDescent="0.2">
      <c r="A956" s="1">
        <v>46083</v>
      </c>
      <c r="B956" s="20" t="s">
        <v>322</v>
      </c>
      <c r="C956" s="20" t="s">
        <v>39</v>
      </c>
      <c r="D956" s="20" t="s">
        <v>38</v>
      </c>
      <c r="E956" s="20" t="s">
        <v>338</v>
      </c>
      <c r="F956" s="20" t="s">
        <v>39</v>
      </c>
      <c r="G956" s="20">
        <v>2</v>
      </c>
      <c r="H956" s="20">
        <v>3</v>
      </c>
      <c r="I956" s="13">
        <v>0.6</v>
      </c>
      <c r="J956" s="20" t="s">
        <v>249</v>
      </c>
      <c r="L956" s="20" t="s">
        <v>60</v>
      </c>
      <c r="M956" s="20" t="s">
        <v>60</v>
      </c>
      <c r="N956" s="20" t="s">
        <v>39</v>
      </c>
      <c r="O956" s="20">
        <v>2</v>
      </c>
      <c r="P956" s="20">
        <v>3</v>
      </c>
      <c r="Q956" s="13">
        <v>0.71490198259173388</v>
      </c>
      <c r="R956" s="20" t="s">
        <v>249</v>
      </c>
      <c r="S956" s="20">
        <v>-1.311219508042762</v>
      </c>
      <c r="T956" s="20" t="s">
        <v>60</v>
      </c>
      <c r="U956" s="20" t="s">
        <v>60</v>
      </c>
      <c r="V956" s="20"/>
      <c r="W956" s="20"/>
      <c r="X956" s="20" t="s">
        <v>60</v>
      </c>
      <c r="Y956" s="20" t="s">
        <v>412</v>
      </c>
      <c r="Z956" s="20" t="s">
        <v>60</v>
      </c>
      <c r="AA956" s="20" t="s">
        <v>491</v>
      </c>
    </row>
    <row r="957" spans="1:27" x14ac:dyDescent="0.2">
      <c r="A957" s="1">
        <v>46083</v>
      </c>
      <c r="B957" s="20" t="s">
        <v>324</v>
      </c>
      <c r="C957" s="20" t="s">
        <v>26</v>
      </c>
      <c r="D957" s="20" t="s">
        <v>29</v>
      </c>
      <c r="E957" s="20" t="s">
        <v>1334</v>
      </c>
      <c r="F957" s="20" t="s">
        <v>26</v>
      </c>
      <c r="G957" s="20">
        <v>2</v>
      </c>
      <c r="H957" s="20">
        <v>3</v>
      </c>
      <c r="I957" s="13">
        <v>0.6</v>
      </c>
      <c r="J957" s="20" t="s">
        <v>249</v>
      </c>
      <c r="L957" s="20" t="s">
        <v>60</v>
      </c>
      <c r="M957" s="20" t="s">
        <v>60</v>
      </c>
      <c r="N957" s="20" t="s">
        <v>26</v>
      </c>
      <c r="O957" s="20">
        <v>2</v>
      </c>
      <c r="P957" s="20">
        <v>3</v>
      </c>
      <c r="Q957" s="13">
        <v>0.51367407057839309</v>
      </c>
      <c r="R957" s="20" t="s">
        <v>249</v>
      </c>
      <c r="S957" s="20">
        <v>-0.45967696985458911</v>
      </c>
      <c r="T957" s="20" t="s">
        <v>60</v>
      </c>
      <c r="U957" s="20" t="s">
        <v>60</v>
      </c>
      <c r="V957" s="20"/>
      <c r="W957" s="20"/>
      <c r="X957" s="20" t="s">
        <v>60</v>
      </c>
      <c r="Y957" s="20" t="s">
        <v>412</v>
      </c>
      <c r="Z957" s="20" t="s">
        <v>60</v>
      </c>
      <c r="AA957" s="20" t="s">
        <v>491</v>
      </c>
    </row>
    <row r="958" spans="1:27" x14ac:dyDescent="0.2">
      <c r="A958" s="1">
        <v>46083</v>
      </c>
      <c r="B958" s="20" t="s">
        <v>340</v>
      </c>
      <c r="C958" s="20" t="s">
        <v>12</v>
      </c>
      <c r="D958" s="20" t="s">
        <v>13</v>
      </c>
      <c r="E958" s="20" t="s">
        <v>492</v>
      </c>
      <c r="F958" s="20" t="s">
        <v>12</v>
      </c>
      <c r="G958" s="20">
        <v>2</v>
      </c>
      <c r="H958" s="20">
        <v>3</v>
      </c>
      <c r="I958" s="13">
        <v>0.6</v>
      </c>
      <c r="J958" s="20" t="s">
        <v>249</v>
      </c>
      <c r="L958" s="20" t="s">
        <v>60</v>
      </c>
      <c r="M958" s="20" t="s">
        <v>60</v>
      </c>
      <c r="N958" s="20" t="s">
        <v>12</v>
      </c>
      <c r="O958" s="20">
        <v>2</v>
      </c>
      <c r="P958" s="20">
        <v>3</v>
      </c>
      <c r="Q958" s="13">
        <v>0.7568449603440992</v>
      </c>
      <c r="R958" s="20" t="s">
        <v>249</v>
      </c>
      <c r="S958" s="20">
        <v>-1.920286508181027</v>
      </c>
      <c r="T958" s="20" t="s">
        <v>60</v>
      </c>
      <c r="U958" s="20" t="s">
        <v>60</v>
      </c>
      <c r="V958" s="20"/>
      <c r="W958" s="20"/>
      <c r="X958" s="20" t="s">
        <v>60</v>
      </c>
      <c r="Y958" s="20" t="s">
        <v>412</v>
      </c>
      <c r="Z958" s="20" t="s">
        <v>60</v>
      </c>
      <c r="AA958" s="20" t="s">
        <v>491</v>
      </c>
    </row>
    <row r="959" spans="1:27" x14ac:dyDescent="0.2">
      <c r="A959" s="1">
        <v>46083</v>
      </c>
      <c r="B959" s="20" t="s">
        <v>328</v>
      </c>
      <c r="C959" s="20" t="s">
        <v>28</v>
      </c>
      <c r="D959" s="20" t="s">
        <v>15</v>
      </c>
      <c r="E959" s="20" t="s">
        <v>1335</v>
      </c>
      <c r="F959" s="20" t="s">
        <v>15</v>
      </c>
      <c r="G959" s="20">
        <v>2</v>
      </c>
      <c r="H959" s="20">
        <v>3</v>
      </c>
      <c r="I959" s="13">
        <v>0.6</v>
      </c>
      <c r="J959" s="20" t="s">
        <v>249</v>
      </c>
      <c r="L959" s="20" t="s">
        <v>60</v>
      </c>
      <c r="M959" s="20" t="s">
        <v>60</v>
      </c>
      <c r="N959" s="20" t="s">
        <v>15</v>
      </c>
      <c r="O959" s="20">
        <v>2</v>
      </c>
      <c r="P959" s="20">
        <v>3</v>
      </c>
      <c r="Q959" s="13">
        <v>0.57785853606906723</v>
      </c>
      <c r="R959" s="20" t="s">
        <v>249</v>
      </c>
      <c r="S959" s="20">
        <v>0.35485616878976012</v>
      </c>
      <c r="T959" s="20" t="s">
        <v>60</v>
      </c>
      <c r="U959" s="20" t="s">
        <v>60</v>
      </c>
      <c r="V959" s="20"/>
      <c r="W959" s="20"/>
      <c r="X959" s="20" t="s">
        <v>60</v>
      </c>
      <c r="Y959" s="20" t="s">
        <v>412</v>
      </c>
      <c r="Z959" s="20" t="s">
        <v>60</v>
      </c>
      <c r="AA959" s="20" t="s">
        <v>491</v>
      </c>
    </row>
    <row r="960" spans="1:27" x14ac:dyDescent="0.2">
      <c r="A960" s="1">
        <v>46084</v>
      </c>
      <c r="B960" s="20" t="s">
        <v>328</v>
      </c>
      <c r="C960" s="20" t="s">
        <v>55</v>
      </c>
      <c r="D960" s="20" t="s">
        <v>22</v>
      </c>
      <c r="E960" s="20" t="s">
        <v>1336</v>
      </c>
      <c r="F960" s="20" t="s">
        <v>22</v>
      </c>
      <c r="G960" s="20">
        <v>2</v>
      </c>
      <c r="H960" s="20">
        <v>3</v>
      </c>
      <c r="I960" s="13">
        <v>0.6</v>
      </c>
      <c r="J960" s="20" t="s">
        <v>249</v>
      </c>
      <c r="L960" s="20" t="s">
        <v>60</v>
      </c>
      <c r="M960" s="20" t="s">
        <v>60</v>
      </c>
      <c r="N960" s="20" t="s">
        <v>22</v>
      </c>
      <c r="O960" s="20">
        <v>2</v>
      </c>
      <c r="P960" s="20">
        <v>3</v>
      </c>
      <c r="Q960" s="13">
        <v>0.67039405224687132</v>
      </c>
      <c r="R960" s="20" t="s">
        <v>249</v>
      </c>
      <c r="S960" s="20">
        <v>0.89373127079810188</v>
      </c>
      <c r="T960" s="20" t="s">
        <v>60</v>
      </c>
      <c r="U960" s="20" t="s">
        <v>60</v>
      </c>
      <c r="V960" s="20"/>
      <c r="W960" s="20"/>
      <c r="X960" s="20" t="s">
        <v>60</v>
      </c>
      <c r="Y960" s="20" t="s">
        <v>412</v>
      </c>
      <c r="Z960" s="20" t="s">
        <v>60</v>
      </c>
      <c r="AA960" s="20" t="s">
        <v>491</v>
      </c>
    </row>
    <row r="961" spans="1:27" x14ac:dyDescent="0.2">
      <c r="A961" s="1">
        <v>46084</v>
      </c>
      <c r="B961" s="20" t="s">
        <v>324</v>
      </c>
      <c r="C961" s="20" t="s">
        <v>10</v>
      </c>
      <c r="D961" s="20" t="s">
        <v>40</v>
      </c>
      <c r="E961" s="20" t="s">
        <v>731</v>
      </c>
      <c r="F961" s="20" t="s">
        <v>10</v>
      </c>
      <c r="G961" s="20">
        <v>2</v>
      </c>
      <c r="H961" s="20">
        <v>3</v>
      </c>
      <c r="I961" s="13">
        <v>0.6</v>
      </c>
      <c r="J961" s="20" t="s">
        <v>249</v>
      </c>
      <c r="L961" s="20" t="s">
        <v>60</v>
      </c>
      <c r="M961" s="20" t="s">
        <v>60</v>
      </c>
      <c r="N961" s="20" t="s">
        <v>10</v>
      </c>
      <c r="O961" s="20">
        <v>2</v>
      </c>
      <c r="P961" s="20">
        <v>3</v>
      </c>
      <c r="Q961" s="13">
        <v>0.46767996465849671</v>
      </c>
      <c r="R961" s="20" t="s">
        <v>249</v>
      </c>
      <c r="S961" s="20">
        <v>-8.7144819675315455E-2</v>
      </c>
      <c r="T961" s="20" t="s">
        <v>60</v>
      </c>
      <c r="U961" s="20" t="s">
        <v>60</v>
      </c>
      <c r="V961" s="20"/>
      <c r="W961" s="20"/>
      <c r="X961" s="20" t="s">
        <v>60</v>
      </c>
      <c r="Y961" s="20" t="s">
        <v>412</v>
      </c>
      <c r="Z961" s="20" t="s">
        <v>60</v>
      </c>
      <c r="AA961" s="20" t="s">
        <v>491</v>
      </c>
    </row>
    <row r="962" spans="1:27" x14ac:dyDescent="0.2">
      <c r="A962" s="1">
        <v>46084</v>
      </c>
      <c r="B962" s="20" t="s">
        <v>322</v>
      </c>
      <c r="C962" s="20" t="s">
        <v>18</v>
      </c>
      <c r="D962" s="20" t="s">
        <v>33</v>
      </c>
      <c r="E962" s="20" t="s">
        <v>1337</v>
      </c>
      <c r="F962" s="20" t="s">
        <v>33</v>
      </c>
      <c r="G962" s="20">
        <v>2</v>
      </c>
      <c r="H962" s="20">
        <v>3</v>
      </c>
      <c r="I962" s="13">
        <v>0.6</v>
      </c>
      <c r="J962" s="20" t="s">
        <v>249</v>
      </c>
      <c r="L962" s="20" t="s">
        <v>60</v>
      </c>
      <c r="M962" s="20" t="s">
        <v>60</v>
      </c>
      <c r="N962" s="20" t="s">
        <v>33</v>
      </c>
      <c r="O962" s="20">
        <v>2</v>
      </c>
      <c r="P962" s="20">
        <v>3</v>
      </c>
      <c r="Q962" s="13">
        <v>0.51326479982505646</v>
      </c>
      <c r="R962" s="20" t="s">
        <v>249</v>
      </c>
      <c r="S962" s="20">
        <v>0.19145938481474431</v>
      </c>
      <c r="T962" s="20" t="s">
        <v>60</v>
      </c>
      <c r="U962" s="20" t="s">
        <v>60</v>
      </c>
      <c r="V962" s="20"/>
      <c r="W962" s="20"/>
      <c r="X962" s="20" t="s">
        <v>60</v>
      </c>
      <c r="Y962" s="20" t="s">
        <v>412</v>
      </c>
      <c r="Z962" s="20" t="s">
        <v>60</v>
      </c>
      <c r="AA962" s="20" t="s">
        <v>491</v>
      </c>
    </row>
    <row r="963" spans="1:27" x14ac:dyDescent="0.2">
      <c r="A963" s="1">
        <v>46084</v>
      </c>
      <c r="B963" s="20" t="s">
        <v>328</v>
      </c>
      <c r="C963" s="20" t="s">
        <v>11</v>
      </c>
      <c r="D963" s="20" t="s">
        <v>24</v>
      </c>
      <c r="E963" s="20" t="s">
        <v>578</v>
      </c>
      <c r="F963" s="20" t="s">
        <v>24</v>
      </c>
      <c r="G963" s="20">
        <v>2</v>
      </c>
      <c r="H963" s="20">
        <v>3</v>
      </c>
      <c r="I963" s="13">
        <v>0.6</v>
      </c>
      <c r="J963" s="20" t="s">
        <v>249</v>
      </c>
      <c r="L963" s="20" t="s">
        <v>60</v>
      </c>
      <c r="M963" s="20" t="s">
        <v>60</v>
      </c>
      <c r="N963" s="20" t="s">
        <v>24</v>
      </c>
      <c r="O963" s="20">
        <v>2</v>
      </c>
      <c r="P963" s="20">
        <v>3</v>
      </c>
      <c r="Q963" s="13">
        <v>0.67220946055413056</v>
      </c>
      <c r="R963" s="20" t="s">
        <v>249</v>
      </c>
      <c r="S963" s="20">
        <v>0.44854929075187328</v>
      </c>
      <c r="T963" s="20" t="s">
        <v>60</v>
      </c>
      <c r="U963" s="20" t="s">
        <v>60</v>
      </c>
      <c r="V963" s="20"/>
      <c r="W963" s="20"/>
      <c r="X963" s="20" t="s">
        <v>60</v>
      </c>
      <c r="Y963" s="20" t="s">
        <v>412</v>
      </c>
      <c r="Z963" s="20" t="s">
        <v>60</v>
      </c>
      <c r="AA963" s="20" t="s">
        <v>491</v>
      </c>
    </row>
    <row r="964" spans="1:27" x14ac:dyDescent="0.2">
      <c r="A964" s="1">
        <v>46084</v>
      </c>
      <c r="B964" s="20" t="s">
        <v>326</v>
      </c>
      <c r="C964" s="20" t="s">
        <v>36</v>
      </c>
      <c r="D964" s="20" t="s">
        <v>17</v>
      </c>
      <c r="E964" s="20" t="s">
        <v>1338</v>
      </c>
      <c r="F964" s="20" t="s">
        <v>36</v>
      </c>
      <c r="G964" s="20">
        <v>2</v>
      </c>
      <c r="H964" s="20">
        <v>3</v>
      </c>
      <c r="I964" s="13">
        <v>0.6</v>
      </c>
      <c r="J964" s="20" t="s">
        <v>249</v>
      </c>
      <c r="L964" s="20" t="s">
        <v>60</v>
      </c>
      <c r="M964" s="20" t="s">
        <v>60</v>
      </c>
      <c r="N964" s="20" t="s">
        <v>36</v>
      </c>
      <c r="O964" s="20">
        <v>2</v>
      </c>
      <c r="P964" s="20">
        <v>3</v>
      </c>
      <c r="Q964" s="13">
        <v>0.48056539486063682</v>
      </c>
      <c r="R964" s="20" t="s">
        <v>249</v>
      </c>
      <c r="S964" s="20">
        <v>-0.2364698644495207</v>
      </c>
      <c r="T964" s="20" t="s">
        <v>60</v>
      </c>
      <c r="U964" s="20" t="s">
        <v>60</v>
      </c>
      <c r="V964" s="20"/>
      <c r="W964" s="20"/>
      <c r="X964" s="20" t="s">
        <v>60</v>
      </c>
      <c r="Y964" s="20" t="s">
        <v>412</v>
      </c>
      <c r="Z964" s="20" t="s">
        <v>60</v>
      </c>
      <c r="AA964" s="20" t="s">
        <v>491</v>
      </c>
    </row>
    <row r="965" spans="1:27" x14ac:dyDescent="0.2">
      <c r="A965" s="1">
        <v>46084</v>
      </c>
      <c r="B965" s="20" t="s">
        <v>426</v>
      </c>
      <c r="C965" s="20" t="s">
        <v>37</v>
      </c>
      <c r="D965" s="20" t="s">
        <v>34</v>
      </c>
      <c r="E965" s="20" t="s">
        <v>1339</v>
      </c>
      <c r="F965" s="20" t="s">
        <v>37</v>
      </c>
      <c r="G965" s="20">
        <v>2</v>
      </c>
      <c r="H965" s="20">
        <v>3</v>
      </c>
      <c r="I965" s="13">
        <v>0.6</v>
      </c>
      <c r="J965" s="20" t="s">
        <v>249</v>
      </c>
      <c r="L965" s="20" t="s">
        <v>60</v>
      </c>
      <c r="M965" s="20" t="s">
        <v>60</v>
      </c>
      <c r="N965" s="20" t="s">
        <v>37</v>
      </c>
      <c r="O965" s="20">
        <v>2</v>
      </c>
      <c r="P965" s="20">
        <v>3</v>
      </c>
      <c r="Q965" s="13">
        <v>0.61270515849249185</v>
      </c>
      <c r="R965" s="20" t="s">
        <v>249</v>
      </c>
      <c r="S965" s="20">
        <v>-0.51572898527292066</v>
      </c>
      <c r="T965" s="20" t="s">
        <v>60</v>
      </c>
      <c r="U965" s="20" t="s">
        <v>60</v>
      </c>
      <c r="V965" s="20"/>
      <c r="W965" s="20"/>
      <c r="X965" s="20" t="s">
        <v>60</v>
      </c>
      <c r="Y965" s="20" t="s">
        <v>412</v>
      </c>
      <c r="Z965" s="20" t="s">
        <v>60</v>
      </c>
      <c r="AA965" s="20" t="s">
        <v>491</v>
      </c>
    </row>
    <row r="966" spans="1:27" x14ac:dyDescent="0.2">
      <c r="A966" s="1">
        <v>46084</v>
      </c>
      <c r="B966" s="20" t="s">
        <v>328</v>
      </c>
      <c r="C966" s="20" t="s">
        <v>29</v>
      </c>
      <c r="D966" s="20" t="s">
        <v>28</v>
      </c>
      <c r="E966" s="20" t="s">
        <v>1340</v>
      </c>
      <c r="F966" s="20" t="s">
        <v>28</v>
      </c>
      <c r="G966" s="20">
        <v>2</v>
      </c>
      <c r="H966" s="20">
        <v>3</v>
      </c>
      <c r="I966" s="13">
        <v>0.6</v>
      </c>
      <c r="J966" s="20" t="s">
        <v>249</v>
      </c>
      <c r="L966" s="20" t="s">
        <v>60</v>
      </c>
      <c r="M966" s="20" t="s">
        <v>60</v>
      </c>
      <c r="N966" s="20" t="s">
        <v>28</v>
      </c>
      <c r="O966" s="20">
        <v>2</v>
      </c>
      <c r="P966" s="20">
        <v>3</v>
      </c>
      <c r="Q966" s="13">
        <v>0.63806238734959142</v>
      </c>
      <c r="R966" s="20" t="s">
        <v>249</v>
      </c>
      <c r="S966" s="20">
        <v>0.83982862838268313</v>
      </c>
      <c r="T966" s="20" t="s">
        <v>60</v>
      </c>
      <c r="U966" s="20" t="s">
        <v>60</v>
      </c>
      <c r="V966" s="20"/>
      <c r="W966" s="20"/>
      <c r="X966" s="20" t="s">
        <v>60</v>
      </c>
      <c r="Y966" s="20" t="s">
        <v>412</v>
      </c>
      <c r="Z966" s="20" t="s">
        <v>60</v>
      </c>
      <c r="AA966" s="20" t="s">
        <v>491</v>
      </c>
    </row>
    <row r="967" spans="1:27" x14ac:dyDescent="0.2">
      <c r="A967" s="1">
        <v>46084</v>
      </c>
      <c r="B967" s="20" t="s">
        <v>328</v>
      </c>
      <c r="C967" s="20" t="s">
        <v>20</v>
      </c>
      <c r="D967" s="20" t="s">
        <v>23</v>
      </c>
      <c r="E967" s="20" t="s">
        <v>1341</v>
      </c>
      <c r="F967" s="20" t="s">
        <v>20</v>
      </c>
      <c r="G967" s="20">
        <v>2</v>
      </c>
      <c r="H967" s="20">
        <v>3</v>
      </c>
      <c r="I967" s="13">
        <v>0.6</v>
      </c>
      <c r="J967" s="20" t="s">
        <v>249</v>
      </c>
      <c r="L967" s="20" t="s">
        <v>60</v>
      </c>
      <c r="M967" s="20" t="s">
        <v>60</v>
      </c>
      <c r="N967" s="20" t="s">
        <v>20</v>
      </c>
      <c r="O967" s="20">
        <v>2</v>
      </c>
      <c r="P967" s="20">
        <v>3</v>
      </c>
      <c r="Q967" s="13">
        <v>0.47110194732410121</v>
      </c>
      <c r="R967" s="20" t="s">
        <v>249</v>
      </c>
      <c r="S967" s="20">
        <v>-0.18176885649679081</v>
      </c>
      <c r="T967" s="20" t="s">
        <v>60</v>
      </c>
      <c r="U967" s="20" t="s">
        <v>60</v>
      </c>
      <c r="V967" s="20"/>
      <c r="W967" s="20"/>
      <c r="X967" s="20" t="s">
        <v>60</v>
      </c>
      <c r="Y967" s="20" t="s">
        <v>412</v>
      </c>
      <c r="Z967" s="20" t="s">
        <v>60</v>
      </c>
      <c r="AA967" s="20" t="s">
        <v>491</v>
      </c>
    </row>
    <row r="968" spans="1:27" x14ac:dyDescent="0.2">
      <c r="A968" s="1">
        <v>46084</v>
      </c>
      <c r="B968" s="20" t="s">
        <v>328</v>
      </c>
      <c r="C968" s="20" t="s">
        <v>14</v>
      </c>
      <c r="D968" s="20" t="s">
        <v>21</v>
      </c>
      <c r="E968" s="20" t="s">
        <v>1169</v>
      </c>
      <c r="F968" s="20" t="s">
        <v>14</v>
      </c>
      <c r="G968" s="20">
        <v>2</v>
      </c>
      <c r="H968" s="20">
        <v>3</v>
      </c>
      <c r="I968" s="13">
        <v>0.6</v>
      </c>
      <c r="J968" s="20" t="s">
        <v>249</v>
      </c>
      <c r="L968" s="20" t="s">
        <v>60</v>
      </c>
      <c r="M968" s="20" t="s">
        <v>60</v>
      </c>
      <c r="N968" s="20" t="s">
        <v>14</v>
      </c>
      <c r="O968" s="20">
        <v>2</v>
      </c>
      <c r="P968" s="20">
        <v>3</v>
      </c>
      <c r="Q968" s="13">
        <v>0.45903722013371662</v>
      </c>
      <c r="R968" s="20" t="s">
        <v>249</v>
      </c>
      <c r="S968" s="20">
        <v>-2.7604789959079109E-2</v>
      </c>
      <c r="T968" s="20" t="s">
        <v>60</v>
      </c>
      <c r="U968" s="20" t="s">
        <v>60</v>
      </c>
      <c r="V968" s="20"/>
      <c r="W968" s="20"/>
      <c r="X968" s="20" t="s">
        <v>60</v>
      </c>
      <c r="Y968" s="20" t="s">
        <v>412</v>
      </c>
      <c r="Z968" s="20" t="s">
        <v>60</v>
      </c>
      <c r="AA968" s="20" t="s">
        <v>491</v>
      </c>
    </row>
    <row r="969" spans="1:27" x14ac:dyDescent="0.2">
      <c r="A969" s="1">
        <v>46084</v>
      </c>
      <c r="B969" s="20" t="s">
        <v>322</v>
      </c>
      <c r="C969" s="20" t="s">
        <v>12</v>
      </c>
      <c r="D969" s="20" t="s">
        <v>31</v>
      </c>
      <c r="E969" s="20" t="s">
        <v>1342</v>
      </c>
      <c r="F969" s="20" t="s">
        <v>12</v>
      </c>
      <c r="G969" s="20">
        <v>2</v>
      </c>
      <c r="H969" s="20">
        <v>3</v>
      </c>
      <c r="I969" s="13">
        <v>0.6</v>
      </c>
      <c r="J969" s="20" t="s">
        <v>249</v>
      </c>
      <c r="L969" s="20" t="s">
        <v>60</v>
      </c>
      <c r="M969" s="20" t="s">
        <v>60</v>
      </c>
      <c r="N969" s="20" t="s">
        <v>12</v>
      </c>
      <c r="O969" s="20">
        <v>2</v>
      </c>
      <c r="P969" s="20">
        <v>3</v>
      </c>
      <c r="Q969" s="13">
        <v>0.61456019846511079</v>
      </c>
      <c r="R969" s="20" t="s">
        <v>249</v>
      </c>
      <c r="S969" s="20">
        <v>-1.4032998876645471</v>
      </c>
      <c r="T969" s="20" t="s">
        <v>60</v>
      </c>
      <c r="U969" s="20" t="s">
        <v>60</v>
      </c>
      <c r="V969" s="20"/>
      <c r="W969" s="20"/>
      <c r="X969" s="20" t="s">
        <v>60</v>
      </c>
      <c r="Y969" s="20" t="s">
        <v>412</v>
      </c>
      <c r="Z969" s="20" t="s">
        <v>60</v>
      </c>
      <c r="AA969" s="20" t="s">
        <v>491</v>
      </c>
    </row>
    <row r="970" spans="1:27" x14ac:dyDescent="0.2">
      <c r="A970" s="1">
        <v>46084</v>
      </c>
      <c r="B970" s="20" t="s">
        <v>326</v>
      </c>
      <c r="C970" s="20" t="s">
        <v>39</v>
      </c>
      <c r="D970" s="20" t="s">
        <v>16</v>
      </c>
      <c r="E970" s="20" t="s">
        <v>346</v>
      </c>
      <c r="F970" s="20" t="s">
        <v>39</v>
      </c>
      <c r="G970" s="20">
        <v>2</v>
      </c>
      <c r="H970" s="20">
        <v>3</v>
      </c>
      <c r="I970" s="13">
        <v>0.6</v>
      </c>
      <c r="J970" s="20" t="s">
        <v>249</v>
      </c>
      <c r="L970" s="20" t="s">
        <v>60</v>
      </c>
      <c r="M970" s="20" t="s">
        <v>60</v>
      </c>
      <c r="N970" s="20" t="s">
        <v>39</v>
      </c>
      <c r="O970" s="20">
        <v>2</v>
      </c>
      <c r="P970" s="20">
        <v>3</v>
      </c>
      <c r="Q970" s="13">
        <v>0.72869231209461471</v>
      </c>
      <c r="R970" s="20" t="s">
        <v>249</v>
      </c>
      <c r="S970" s="20">
        <v>-1.429323031976578</v>
      </c>
      <c r="T970" s="20" t="s">
        <v>60</v>
      </c>
      <c r="U970" s="20" t="s">
        <v>60</v>
      </c>
      <c r="V970" s="20"/>
      <c r="W970" s="20"/>
      <c r="X970" s="20" t="s">
        <v>60</v>
      </c>
      <c r="Y970" s="20" t="s">
        <v>412</v>
      </c>
      <c r="Z970" s="20" t="s">
        <v>60</v>
      </c>
      <c r="AA970" s="20" t="s">
        <v>491</v>
      </c>
    </row>
    <row r="971" spans="1:27" x14ac:dyDescent="0.2">
      <c r="A971" s="1">
        <v>46085</v>
      </c>
      <c r="B971" s="20" t="s">
        <v>322</v>
      </c>
      <c r="C971" s="20" t="s">
        <v>35</v>
      </c>
      <c r="D971" s="20" t="s">
        <v>32</v>
      </c>
      <c r="E971" s="20" t="s">
        <v>1343</v>
      </c>
      <c r="F971" s="20" t="s">
        <v>32</v>
      </c>
      <c r="G971" s="20">
        <v>2</v>
      </c>
      <c r="H971" s="20">
        <v>3</v>
      </c>
      <c r="I971" s="13">
        <v>0.6</v>
      </c>
      <c r="J971" s="20" t="s">
        <v>249</v>
      </c>
      <c r="L971" s="20" t="s">
        <v>60</v>
      </c>
      <c r="M971" s="20" t="s">
        <v>60</v>
      </c>
      <c r="N971" s="20" t="s">
        <v>32</v>
      </c>
      <c r="O971" s="20">
        <v>2</v>
      </c>
      <c r="P971" s="20">
        <v>3</v>
      </c>
      <c r="Q971" s="13">
        <v>0.63282820353336711</v>
      </c>
      <c r="R971" s="20" t="s">
        <v>249</v>
      </c>
      <c r="S971" s="20">
        <v>0.79500188559279494</v>
      </c>
      <c r="T971" s="20" t="s">
        <v>60</v>
      </c>
      <c r="U971" s="20" t="s">
        <v>60</v>
      </c>
      <c r="V971" s="20"/>
      <c r="W971" s="20"/>
      <c r="X971" s="20" t="s">
        <v>60</v>
      </c>
      <c r="Y971" s="20" t="s">
        <v>412</v>
      </c>
      <c r="Z971" s="20" t="s">
        <v>60</v>
      </c>
      <c r="AA971" s="20" t="s">
        <v>491</v>
      </c>
    </row>
    <row r="972" spans="1:27" x14ac:dyDescent="0.2">
      <c r="A972" s="1">
        <v>46085</v>
      </c>
      <c r="B972" s="20" t="s">
        <v>322</v>
      </c>
      <c r="C972" s="20" t="s">
        <v>30</v>
      </c>
      <c r="D972" s="20" t="s">
        <v>31</v>
      </c>
      <c r="E972" s="20" t="s">
        <v>1344</v>
      </c>
      <c r="F972" s="20" t="s">
        <v>31</v>
      </c>
      <c r="G972" s="20">
        <v>2</v>
      </c>
      <c r="H972" s="20">
        <v>3</v>
      </c>
      <c r="I972" s="13">
        <v>0.6</v>
      </c>
      <c r="J972" s="20" t="s">
        <v>249</v>
      </c>
      <c r="L972" s="20" t="s">
        <v>60</v>
      </c>
      <c r="M972" s="20" t="s">
        <v>60</v>
      </c>
      <c r="N972" s="20" t="s">
        <v>31</v>
      </c>
      <c r="O972" s="20">
        <v>2</v>
      </c>
      <c r="P972" s="20">
        <v>3</v>
      </c>
      <c r="Q972" s="13">
        <v>0.60412100543902492</v>
      </c>
      <c r="R972" s="20" t="s">
        <v>249</v>
      </c>
      <c r="S972" s="20">
        <v>0.46953576820376142</v>
      </c>
      <c r="T972" s="20" t="s">
        <v>60</v>
      </c>
      <c r="U972" s="20" t="s">
        <v>60</v>
      </c>
      <c r="V972" s="20"/>
      <c r="W972" s="20"/>
      <c r="X972" s="20" t="s">
        <v>60</v>
      </c>
      <c r="Y972" s="20" t="s">
        <v>412</v>
      </c>
      <c r="Z972" s="20" t="s">
        <v>60</v>
      </c>
      <c r="AA972" s="20" t="s">
        <v>491</v>
      </c>
    </row>
    <row r="973" spans="1:27" x14ac:dyDescent="0.2">
      <c r="A973" s="1">
        <v>46085</v>
      </c>
      <c r="B973" s="20" t="s">
        <v>328</v>
      </c>
      <c r="C973" s="20" t="s">
        <v>20</v>
      </c>
      <c r="D973" s="20" t="s">
        <v>26</v>
      </c>
      <c r="E973" s="20" t="s">
        <v>1345</v>
      </c>
      <c r="F973" s="20" t="s">
        <v>20</v>
      </c>
      <c r="G973" s="20">
        <v>2</v>
      </c>
      <c r="H973" s="20">
        <v>3</v>
      </c>
      <c r="I973" s="13">
        <v>0.6</v>
      </c>
      <c r="J973" s="20" t="s">
        <v>249</v>
      </c>
      <c r="L973" s="20" t="s">
        <v>60</v>
      </c>
      <c r="M973" s="20" t="s">
        <v>60</v>
      </c>
      <c r="N973" s="20" t="s">
        <v>20</v>
      </c>
      <c r="O973" s="20">
        <v>2</v>
      </c>
      <c r="P973" s="20">
        <v>3</v>
      </c>
      <c r="Q973" s="13">
        <v>0.52784008975907892</v>
      </c>
      <c r="R973" s="20" t="s">
        <v>249</v>
      </c>
      <c r="S973" s="20">
        <v>-0.58099798578851058</v>
      </c>
      <c r="T973" s="20" t="s">
        <v>60</v>
      </c>
      <c r="U973" s="20" t="s">
        <v>60</v>
      </c>
      <c r="V973" s="20"/>
      <c r="W973" s="20"/>
      <c r="X973" s="20" t="s">
        <v>60</v>
      </c>
      <c r="Y973" s="20" t="s">
        <v>412</v>
      </c>
      <c r="Z973" s="20" t="s">
        <v>60</v>
      </c>
      <c r="AA973" s="20" t="s">
        <v>491</v>
      </c>
    </row>
    <row r="974" spans="1:27" x14ac:dyDescent="0.2">
      <c r="A974" s="1">
        <v>46085</v>
      </c>
      <c r="B974" s="20" t="s">
        <v>328</v>
      </c>
      <c r="C974" s="20" t="s">
        <v>19</v>
      </c>
      <c r="D974" s="20" t="s">
        <v>24</v>
      </c>
      <c r="E974" s="20" t="s">
        <v>1346</v>
      </c>
      <c r="F974" s="20" t="s">
        <v>24</v>
      </c>
      <c r="G974" s="20">
        <v>2</v>
      </c>
      <c r="H974" s="20">
        <v>3</v>
      </c>
      <c r="I974" s="13">
        <v>0.6</v>
      </c>
      <c r="J974" s="20" t="s">
        <v>249</v>
      </c>
      <c r="L974" s="20" t="s">
        <v>60</v>
      </c>
      <c r="M974" s="20" t="s">
        <v>60</v>
      </c>
      <c r="N974" s="20" t="s">
        <v>24</v>
      </c>
      <c r="O974" s="20">
        <v>2</v>
      </c>
      <c r="P974" s="20">
        <v>3</v>
      </c>
      <c r="Q974" s="13">
        <v>0.69992477879689308</v>
      </c>
      <c r="R974" s="20" t="s">
        <v>249</v>
      </c>
      <c r="S974" s="20">
        <v>0.68590959100674731</v>
      </c>
      <c r="T974" s="20" t="s">
        <v>60</v>
      </c>
      <c r="U974" s="20" t="s">
        <v>60</v>
      </c>
      <c r="V974" s="20"/>
      <c r="W974" s="20"/>
      <c r="X974" s="20" t="s">
        <v>60</v>
      </c>
      <c r="Y974" s="20" t="s">
        <v>412</v>
      </c>
      <c r="Z974" s="20" t="s">
        <v>60</v>
      </c>
      <c r="AA974" s="20" t="s">
        <v>491</v>
      </c>
    </row>
    <row r="975" spans="1:27" x14ac:dyDescent="0.2">
      <c r="A975" s="1">
        <v>46085</v>
      </c>
      <c r="B975" s="20" t="s">
        <v>322</v>
      </c>
      <c r="C975" s="20" t="s">
        <v>25</v>
      </c>
      <c r="D975" s="20" t="s">
        <v>38</v>
      </c>
      <c r="E975" s="20" t="s">
        <v>1347</v>
      </c>
      <c r="F975" s="20" t="s">
        <v>25</v>
      </c>
      <c r="G975" s="20">
        <v>2</v>
      </c>
      <c r="H975" s="20">
        <v>3</v>
      </c>
      <c r="I975" s="13">
        <v>0.6</v>
      </c>
      <c r="J975" s="20" t="s">
        <v>249</v>
      </c>
      <c r="L975" s="20" t="s">
        <v>60</v>
      </c>
      <c r="M975" s="20" t="s">
        <v>60</v>
      </c>
      <c r="N975" s="20" t="s">
        <v>25</v>
      </c>
      <c r="O975" s="20">
        <v>2</v>
      </c>
      <c r="P975" s="20">
        <v>3</v>
      </c>
      <c r="Q975" s="13">
        <v>0.68715573962293885</v>
      </c>
      <c r="R975" s="20" t="s">
        <v>249</v>
      </c>
      <c r="S975" s="20">
        <v>-1.3234521435161939</v>
      </c>
      <c r="T975" s="20" t="s">
        <v>60</v>
      </c>
      <c r="U975" s="20" t="s">
        <v>60</v>
      </c>
      <c r="V975" s="20"/>
      <c r="W975" s="20"/>
      <c r="X975" s="20" t="s">
        <v>60</v>
      </c>
      <c r="Y975" s="20" t="s">
        <v>412</v>
      </c>
      <c r="Z975" s="20" t="s">
        <v>60</v>
      </c>
      <c r="AA975" s="20" t="s">
        <v>491</v>
      </c>
    </row>
    <row r="976" spans="1:27" x14ac:dyDescent="0.2">
      <c r="A976" s="1">
        <v>46086</v>
      </c>
      <c r="B976" s="20" t="s">
        <v>328</v>
      </c>
      <c r="C976" s="20" t="s">
        <v>55</v>
      </c>
      <c r="D976" s="20" t="s">
        <v>27</v>
      </c>
      <c r="E976" s="20" t="s">
        <v>1348</v>
      </c>
      <c r="F976" s="20" t="s">
        <v>27</v>
      </c>
      <c r="G976" s="20">
        <v>2</v>
      </c>
      <c r="H976" s="20">
        <v>3</v>
      </c>
      <c r="I976" s="13">
        <v>0.6</v>
      </c>
      <c r="J976" s="20" t="s">
        <v>249</v>
      </c>
      <c r="L976" s="20" t="s">
        <v>60</v>
      </c>
      <c r="M976" s="20" t="s">
        <v>60</v>
      </c>
      <c r="N976" s="20" t="s">
        <v>27</v>
      </c>
      <c r="O976" s="20">
        <v>2</v>
      </c>
      <c r="P976" s="20">
        <v>3</v>
      </c>
      <c r="Q976" s="13">
        <v>0.56251527977613414</v>
      </c>
      <c r="R976" s="20" t="s">
        <v>249</v>
      </c>
      <c r="S976" s="20">
        <v>7.2784454438028945E-2</v>
      </c>
      <c r="T976" s="20" t="s">
        <v>60</v>
      </c>
      <c r="U976" s="20" t="s">
        <v>60</v>
      </c>
      <c r="V976" s="20"/>
      <c r="W976" s="20"/>
      <c r="X976" s="20" t="s">
        <v>60</v>
      </c>
      <c r="Y976" s="20" t="s">
        <v>412</v>
      </c>
      <c r="Z976" s="20" t="s">
        <v>60</v>
      </c>
      <c r="AA976" s="20" t="s">
        <v>491</v>
      </c>
    </row>
    <row r="977" spans="1:27" x14ac:dyDescent="0.2">
      <c r="A977" s="1">
        <v>46086</v>
      </c>
      <c r="B977" s="20" t="s">
        <v>324</v>
      </c>
      <c r="C977" s="20" t="s">
        <v>37</v>
      </c>
      <c r="D977" s="20" t="s">
        <v>40</v>
      </c>
      <c r="E977" s="20" t="s">
        <v>1349</v>
      </c>
      <c r="F977" s="20" t="s">
        <v>37</v>
      </c>
      <c r="G977" s="20">
        <v>2</v>
      </c>
      <c r="H977" s="20">
        <v>3</v>
      </c>
      <c r="I977" s="13">
        <v>0.6</v>
      </c>
      <c r="J977" s="20" t="s">
        <v>249</v>
      </c>
      <c r="L977" s="20" t="s">
        <v>60</v>
      </c>
      <c r="M977" s="20" t="s">
        <v>60</v>
      </c>
      <c r="N977" s="20" t="s">
        <v>37</v>
      </c>
      <c r="O977" s="20">
        <v>2</v>
      </c>
      <c r="P977" s="20">
        <v>3</v>
      </c>
      <c r="Q977" s="13">
        <v>0.6403579441746684</v>
      </c>
      <c r="R977" s="20" t="s">
        <v>249</v>
      </c>
      <c r="S977" s="20">
        <v>-0.77384602160623339</v>
      </c>
      <c r="T977" s="20" t="s">
        <v>60</v>
      </c>
      <c r="U977" s="20" t="s">
        <v>60</v>
      </c>
      <c r="V977" s="20"/>
      <c r="W977" s="20"/>
      <c r="X977" s="20" t="s">
        <v>60</v>
      </c>
      <c r="Y977" s="20" t="s">
        <v>412</v>
      </c>
      <c r="Z977" s="20" t="s">
        <v>60</v>
      </c>
      <c r="AA977" s="20" t="s">
        <v>491</v>
      </c>
    </row>
    <row r="978" spans="1:27" x14ac:dyDescent="0.2">
      <c r="A978" s="1">
        <v>46086</v>
      </c>
      <c r="B978" s="20" t="s">
        <v>328</v>
      </c>
      <c r="C978" s="20" t="s">
        <v>19</v>
      </c>
      <c r="D978" s="20" t="s">
        <v>15</v>
      </c>
      <c r="E978" s="20" t="s">
        <v>1350</v>
      </c>
      <c r="F978" s="20" t="s">
        <v>15</v>
      </c>
      <c r="G978" s="20">
        <v>2</v>
      </c>
      <c r="H978" s="20">
        <v>3</v>
      </c>
      <c r="I978" s="13">
        <v>0.6</v>
      </c>
      <c r="J978" s="20" t="s">
        <v>249</v>
      </c>
      <c r="L978" s="20" t="s">
        <v>60</v>
      </c>
      <c r="M978" s="20" t="s">
        <v>60</v>
      </c>
      <c r="N978" s="20" t="s">
        <v>15</v>
      </c>
      <c r="O978" s="20">
        <v>2</v>
      </c>
      <c r="P978" s="20">
        <v>3</v>
      </c>
      <c r="Q978" s="13">
        <v>0.58604564040683338</v>
      </c>
      <c r="R978" s="20" t="s">
        <v>249</v>
      </c>
      <c r="S978" s="20">
        <v>0.3943453557582004</v>
      </c>
      <c r="T978" s="20" t="s">
        <v>60</v>
      </c>
      <c r="U978" s="20" t="s">
        <v>60</v>
      </c>
      <c r="V978" s="20"/>
      <c r="W978" s="20"/>
      <c r="X978" s="20" t="s">
        <v>60</v>
      </c>
      <c r="Y978" s="20" t="s">
        <v>412</v>
      </c>
      <c r="Z978" s="20" t="s">
        <v>60</v>
      </c>
      <c r="AA978" s="20" t="s">
        <v>491</v>
      </c>
    </row>
    <row r="979" spans="1:27" x14ac:dyDescent="0.2">
      <c r="A979" s="1">
        <v>46086</v>
      </c>
      <c r="B979" s="20" t="s">
        <v>328</v>
      </c>
      <c r="C979" s="20" t="s">
        <v>23</v>
      </c>
      <c r="D979" s="20" t="s">
        <v>14</v>
      </c>
      <c r="E979" s="20" t="s">
        <v>423</v>
      </c>
      <c r="F979" s="20" t="s">
        <v>14</v>
      </c>
      <c r="G979" s="20">
        <v>2</v>
      </c>
      <c r="H979" s="20">
        <v>3</v>
      </c>
      <c r="I979" s="13">
        <v>0.6</v>
      </c>
      <c r="J979" s="20" t="s">
        <v>249</v>
      </c>
      <c r="L979" s="20" t="s">
        <v>60</v>
      </c>
      <c r="M979" s="20" t="s">
        <v>60</v>
      </c>
      <c r="N979" s="20" t="s">
        <v>14</v>
      </c>
      <c r="O979" s="20">
        <v>2</v>
      </c>
      <c r="P979" s="20">
        <v>3</v>
      </c>
      <c r="Q979" s="13">
        <v>0.58480812164267382</v>
      </c>
      <c r="R979" s="20" t="s">
        <v>249</v>
      </c>
      <c r="S979" s="20">
        <v>0.38374696309826212</v>
      </c>
      <c r="T979" s="20" t="s">
        <v>60</v>
      </c>
      <c r="U979" s="20" t="s">
        <v>60</v>
      </c>
      <c r="V979" s="20"/>
      <c r="W979" s="20"/>
      <c r="X979" s="20" t="s">
        <v>60</v>
      </c>
      <c r="Y979" s="20" t="s">
        <v>412</v>
      </c>
      <c r="Z979" s="20" t="s">
        <v>60</v>
      </c>
      <c r="AA979" s="20" t="s">
        <v>491</v>
      </c>
    </row>
    <row r="980" spans="1:27" x14ac:dyDescent="0.2">
      <c r="A980" s="1">
        <v>46086</v>
      </c>
      <c r="B980" s="20" t="s">
        <v>426</v>
      </c>
      <c r="C980" s="20" t="s">
        <v>30</v>
      </c>
      <c r="D980" s="20" t="s">
        <v>13</v>
      </c>
      <c r="E980" s="20" t="s">
        <v>1351</v>
      </c>
      <c r="F980" s="20" t="s">
        <v>30</v>
      </c>
      <c r="G980" s="20">
        <v>2</v>
      </c>
      <c r="H980" s="20">
        <v>3</v>
      </c>
      <c r="I980" s="13">
        <v>0.6</v>
      </c>
      <c r="J980" s="20" t="s">
        <v>249</v>
      </c>
      <c r="L980" s="20" t="s">
        <v>60</v>
      </c>
      <c r="M980" s="20" t="s">
        <v>60</v>
      </c>
      <c r="N980" s="20" t="s">
        <v>30</v>
      </c>
      <c r="O980" s="20">
        <v>2</v>
      </c>
      <c r="P980" s="20">
        <v>3</v>
      </c>
      <c r="Q980" s="13">
        <v>0.53816375643996339</v>
      </c>
      <c r="R980" s="20" t="s">
        <v>249</v>
      </c>
      <c r="S980" s="20">
        <v>-4.7450852312718561E-2</v>
      </c>
      <c r="T980" s="20" t="s">
        <v>60</v>
      </c>
      <c r="U980" s="20" t="s">
        <v>60</v>
      </c>
      <c r="V980" s="20"/>
      <c r="W980" s="20"/>
      <c r="X980" s="20" t="s">
        <v>60</v>
      </c>
      <c r="Y980" s="20" t="s">
        <v>412</v>
      </c>
      <c r="Z980" s="20" t="s">
        <v>60</v>
      </c>
      <c r="AA980" s="20" t="s">
        <v>491</v>
      </c>
    </row>
    <row r="981" spans="1:27" x14ac:dyDescent="0.2">
      <c r="A981" s="1">
        <v>46086</v>
      </c>
      <c r="B981" s="20" t="s">
        <v>326</v>
      </c>
      <c r="C981" s="20" t="s">
        <v>36</v>
      </c>
      <c r="D981" s="20" t="s">
        <v>16</v>
      </c>
      <c r="E981" s="20" t="s">
        <v>1352</v>
      </c>
      <c r="F981" s="20" t="s">
        <v>36</v>
      </c>
      <c r="G981" s="20">
        <v>2</v>
      </c>
      <c r="H981" s="20">
        <v>3</v>
      </c>
      <c r="I981" s="13">
        <v>0.6</v>
      </c>
      <c r="J981" s="20" t="s">
        <v>249</v>
      </c>
      <c r="L981" s="20" t="s">
        <v>60</v>
      </c>
      <c r="M981" s="20" t="s">
        <v>60</v>
      </c>
      <c r="N981" s="20" t="s">
        <v>36</v>
      </c>
      <c r="O981" s="20">
        <v>2</v>
      </c>
      <c r="P981" s="20">
        <v>3</v>
      </c>
      <c r="Q981" s="13">
        <v>0.5165730487289667</v>
      </c>
      <c r="R981" s="20" t="s">
        <v>249</v>
      </c>
      <c r="S981" s="20">
        <v>-0.48450447925661982</v>
      </c>
      <c r="T981" s="20" t="s">
        <v>60</v>
      </c>
      <c r="U981" s="20" t="s">
        <v>60</v>
      </c>
      <c r="V981" s="20"/>
      <c r="W981" s="20"/>
      <c r="X981" s="20" t="s">
        <v>60</v>
      </c>
      <c r="Y981" s="20" t="s">
        <v>412</v>
      </c>
      <c r="Z981" s="20" t="s">
        <v>60</v>
      </c>
      <c r="AA981" s="20" t="s">
        <v>491</v>
      </c>
    </row>
    <row r="982" spans="1:27" x14ac:dyDescent="0.2">
      <c r="A982" s="1">
        <v>46086</v>
      </c>
      <c r="B982" s="20" t="s">
        <v>328</v>
      </c>
      <c r="C982" s="20" t="s">
        <v>11</v>
      </c>
      <c r="D982" s="20" t="s">
        <v>28</v>
      </c>
      <c r="E982" s="20" t="s">
        <v>1353</v>
      </c>
      <c r="F982" s="20" t="s">
        <v>11</v>
      </c>
      <c r="G982" s="20">
        <v>2</v>
      </c>
      <c r="H982" s="20">
        <v>3</v>
      </c>
      <c r="I982" s="13">
        <v>0.6</v>
      </c>
      <c r="J982" s="20" t="s">
        <v>249</v>
      </c>
      <c r="L982" s="20" t="s">
        <v>60</v>
      </c>
      <c r="M982" s="20" t="s">
        <v>60</v>
      </c>
      <c r="N982" s="20" t="s">
        <v>11</v>
      </c>
      <c r="O982" s="20">
        <v>2</v>
      </c>
      <c r="P982" s="20">
        <v>3</v>
      </c>
      <c r="Q982" s="13">
        <v>0.47727772392612389</v>
      </c>
      <c r="R982" s="20" t="s">
        <v>249</v>
      </c>
      <c r="S982" s="20">
        <v>-0.1479703643632713</v>
      </c>
      <c r="T982" s="20" t="s">
        <v>60</v>
      </c>
      <c r="U982" s="20" t="s">
        <v>60</v>
      </c>
      <c r="V982" s="20"/>
      <c r="W982" s="20"/>
      <c r="X982" s="20" t="s">
        <v>60</v>
      </c>
      <c r="Y982" s="20" t="s">
        <v>412</v>
      </c>
      <c r="Z982" s="20" t="s">
        <v>60</v>
      </c>
      <c r="AA982" s="20" t="s">
        <v>491</v>
      </c>
    </row>
    <row r="983" spans="1:27" x14ac:dyDescent="0.2">
      <c r="A983" s="1">
        <v>46086</v>
      </c>
      <c r="B983" s="20" t="s">
        <v>324</v>
      </c>
      <c r="C983" s="20" t="s">
        <v>21</v>
      </c>
      <c r="D983" s="20" t="s">
        <v>29</v>
      </c>
      <c r="E983" s="20" t="s">
        <v>1354</v>
      </c>
      <c r="F983" s="20" t="s">
        <v>21</v>
      </c>
      <c r="G983" s="20">
        <v>2</v>
      </c>
      <c r="H983" s="20">
        <v>3</v>
      </c>
      <c r="I983" s="13">
        <v>0.6</v>
      </c>
      <c r="J983" s="20" t="s">
        <v>249</v>
      </c>
      <c r="L983" s="20" t="s">
        <v>60</v>
      </c>
      <c r="M983" s="20" t="s">
        <v>60</v>
      </c>
      <c r="N983" s="20" t="s">
        <v>21</v>
      </c>
      <c r="O983" s="20">
        <v>2</v>
      </c>
      <c r="P983" s="20">
        <v>3</v>
      </c>
      <c r="Q983" s="13">
        <v>0.59105101387096481</v>
      </c>
      <c r="R983" s="20" t="s">
        <v>249</v>
      </c>
      <c r="S983" s="20">
        <v>-1.115246774439167</v>
      </c>
      <c r="T983" s="20" t="s">
        <v>60</v>
      </c>
      <c r="U983" s="20" t="s">
        <v>60</v>
      </c>
      <c r="V983" s="20"/>
      <c r="W983" s="20"/>
      <c r="X983" s="20" t="s">
        <v>60</v>
      </c>
      <c r="Y983" s="20" t="s">
        <v>412</v>
      </c>
      <c r="Z983" s="20" t="s">
        <v>60</v>
      </c>
      <c r="AA983" s="20" t="s">
        <v>491</v>
      </c>
    </row>
    <row r="984" spans="1:27" x14ac:dyDescent="0.2">
      <c r="A984" s="1">
        <v>46087</v>
      </c>
      <c r="B984" s="20" t="s">
        <v>326</v>
      </c>
      <c r="C984" s="20" t="s">
        <v>18</v>
      </c>
      <c r="D984" s="20" t="s">
        <v>31</v>
      </c>
      <c r="E984" s="20" t="s">
        <v>1355</v>
      </c>
      <c r="F984" s="20" t="s">
        <v>31</v>
      </c>
      <c r="G984" s="20">
        <v>2</v>
      </c>
      <c r="H984" s="20">
        <v>3</v>
      </c>
      <c r="I984" s="13">
        <v>0.6</v>
      </c>
      <c r="J984" s="20" t="s">
        <v>249</v>
      </c>
      <c r="L984" s="20" t="s">
        <v>60</v>
      </c>
      <c r="M984" s="20" t="s">
        <v>60</v>
      </c>
      <c r="N984" s="20" t="s">
        <v>31</v>
      </c>
      <c r="O984" s="20">
        <v>2</v>
      </c>
      <c r="P984" s="20">
        <v>3</v>
      </c>
      <c r="Q984" s="13">
        <v>0.65842147871472412</v>
      </c>
      <c r="R984" s="20" t="s">
        <v>249</v>
      </c>
      <c r="S984" s="20">
        <v>0.82149339903625396</v>
      </c>
      <c r="T984" s="20" t="s">
        <v>60</v>
      </c>
      <c r="U984" s="20" t="s">
        <v>60</v>
      </c>
      <c r="V984" s="20"/>
      <c r="W984" s="20"/>
      <c r="X984" s="20" t="s">
        <v>60</v>
      </c>
      <c r="Y984" s="20" t="s">
        <v>412</v>
      </c>
      <c r="Z984" s="20" t="s">
        <v>60</v>
      </c>
      <c r="AA984" s="20" t="s">
        <v>491</v>
      </c>
    </row>
    <row r="985" spans="1:27" x14ac:dyDescent="0.2">
      <c r="A985" s="1">
        <v>46087</v>
      </c>
      <c r="B985" s="20" t="s">
        <v>416</v>
      </c>
      <c r="C985" s="20" t="s">
        <v>38</v>
      </c>
      <c r="D985" s="20" t="s">
        <v>10</v>
      </c>
      <c r="E985" s="20" t="s">
        <v>588</v>
      </c>
      <c r="F985" s="20" t="s">
        <v>10</v>
      </c>
      <c r="G985" s="20">
        <v>2</v>
      </c>
      <c r="H985" s="20">
        <v>3</v>
      </c>
      <c r="I985" s="13">
        <v>0.6</v>
      </c>
      <c r="J985" s="20" t="s">
        <v>249</v>
      </c>
      <c r="L985" s="20" t="s">
        <v>60</v>
      </c>
      <c r="M985" s="20" t="s">
        <v>60</v>
      </c>
      <c r="N985" s="20" t="s">
        <v>10</v>
      </c>
      <c r="O985" s="20">
        <v>2</v>
      </c>
      <c r="P985" s="20">
        <v>3</v>
      </c>
      <c r="Q985" s="13">
        <v>0.63233234134958161</v>
      </c>
      <c r="R985" s="20" t="s">
        <v>249</v>
      </c>
      <c r="S985" s="20">
        <v>0.82138224884965294</v>
      </c>
      <c r="T985" s="20" t="s">
        <v>60</v>
      </c>
      <c r="U985" s="20" t="s">
        <v>60</v>
      </c>
      <c r="V985" s="20"/>
      <c r="W985" s="20"/>
      <c r="X985" s="20" t="s">
        <v>60</v>
      </c>
      <c r="Y985" s="20" t="s">
        <v>412</v>
      </c>
      <c r="Z985" s="20" t="s">
        <v>60</v>
      </c>
      <c r="AA985" s="20" t="s">
        <v>491</v>
      </c>
    </row>
    <row r="986" spans="1:27" x14ac:dyDescent="0.2">
      <c r="A986" s="1">
        <v>46087</v>
      </c>
      <c r="B986" s="20" t="s">
        <v>324</v>
      </c>
      <c r="C986" s="20" t="s">
        <v>12</v>
      </c>
      <c r="D986" s="20" t="s">
        <v>39</v>
      </c>
      <c r="E986" s="20" t="s">
        <v>1356</v>
      </c>
      <c r="F986" s="20" t="s">
        <v>12</v>
      </c>
      <c r="G986" s="20">
        <v>2</v>
      </c>
      <c r="H986" s="20">
        <v>3</v>
      </c>
      <c r="I986" s="13">
        <v>0.6</v>
      </c>
      <c r="J986" s="20" t="s">
        <v>249</v>
      </c>
      <c r="L986" s="20" t="s">
        <v>60</v>
      </c>
      <c r="M986" s="20" t="s">
        <v>60</v>
      </c>
      <c r="N986" s="20" t="s">
        <v>12</v>
      </c>
      <c r="O986" s="20">
        <v>2</v>
      </c>
      <c r="P986" s="20">
        <v>3</v>
      </c>
      <c r="Q986" s="13">
        <v>0.63644667431368729</v>
      </c>
      <c r="R986" s="20" t="s">
        <v>249</v>
      </c>
      <c r="S986" s="20">
        <v>-1.168560407648694</v>
      </c>
      <c r="T986" s="20" t="s">
        <v>60</v>
      </c>
      <c r="U986" s="20" t="s">
        <v>60</v>
      </c>
      <c r="V986" s="20"/>
      <c r="W986" s="20"/>
      <c r="X986" s="20" t="s">
        <v>60</v>
      </c>
      <c r="Y986" s="20" t="s">
        <v>412</v>
      </c>
      <c r="Z986" s="20" t="s">
        <v>60</v>
      </c>
      <c r="AA986" s="20" t="s">
        <v>491</v>
      </c>
    </row>
    <row r="987" spans="1:27" x14ac:dyDescent="0.2">
      <c r="A987" s="1">
        <v>46087</v>
      </c>
      <c r="B987" s="20" t="s">
        <v>328</v>
      </c>
      <c r="C987" s="20" t="s">
        <v>11</v>
      </c>
      <c r="D987" s="20" t="s">
        <v>26</v>
      </c>
      <c r="E987" s="20" t="s">
        <v>571</v>
      </c>
      <c r="F987" s="20" t="s">
        <v>11</v>
      </c>
      <c r="G987" s="20">
        <v>2</v>
      </c>
      <c r="H987" s="20">
        <v>3</v>
      </c>
      <c r="I987" s="13">
        <v>0.6</v>
      </c>
      <c r="J987" s="20" t="s">
        <v>249</v>
      </c>
      <c r="L987" s="20" t="s">
        <v>60</v>
      </c>
      <c r="M987" s="20" t="s">
        <v>60</v>
      </c>
      <c r="N987" s="20" t="s">
        <v>11</v>
      </c>
      <c r="O987" s="20">
        <v>2</v>
      </c>
      <c r="P987" s="20">
        <v>3</v>
      </c>
      <c r="Q987" s="13">
        <v>0.51001274285878251</v>
      </c>
      <c r="R987" s="20" t="s">
        <v>249</v>
      </c>
      <c r="S987" s="20">
        <v>-0.42832052504504048</v>
      </c>
      <c r="T987" s="20" t="s">
        <v>60</v>
      </c>
      <c r="U987" s="20" t="s">
        <v>60</v>
      </c>
      <c r="V987" s="20"/>
      <c r="W987" s="20"/>
      <c r="X987" s="20" t="s">
        <v>60</v>
      </c>
      <c r="Y987" s="20" t="s">
        <v>412</v>
      </c>
      <c r="Z987" s="20" t="s">
        <v>60</v>
      </c>
      <c r="AA987" s="20" t="s">
        <v>491</v>
      </c>
    </row>
    <row r="988" spans="1:27" x14ac:dyDescent="0.2">
      <c r="A988" s="1">
        <v>46087</v>
      </c>
      <c r="B988" s="20" t="s">
        <v>326</v>
      </c>
      <c r="C988" s="20" t="s">
        <v>25</v>
      </c>
      <c r="D988" s="20" t="s">
        <v>17</v>
      </c>
      <c r="E988" s="20" t="s">
        <v>1357</v>
      </c>
      <c r="F988" s="20" t="s">
        <v>25</v>
      </c>
      <c r="G988" s="20">
        <v>2</v>
      </c>
      <c r="H988" s="20">
        <v>3</v>
      </c>
      <c r="I988" s="13">
        <v>0.6</v>
      </c>
      <c r="J988" s="20" t="s">
        <v>249</v>
      </c>
      <c r="L988" s="20" t="s">
        <v>60</v>
      </c>
      <c r="M988" s="20" t="s">
        <v>60</v>
      </c>
      <c r="N988" s="20" t="s">
        <v>25</v>
      </c>
      <c r="O988" s="20">
        <v>2</v>
      </c>
      <c r="P988" s="20">
        <v>3</v>
      </c>
      <c r="Q988" s="13">
        <v>0.66490864326506427</v>
      </c>
      <c r="R988" s="20" t="s">
        <v>249</v>
      </c>
      <c r="S988" s="20">
        <v>-1.1935210526429121</v>
      </c>
      <c r="T988" s="20" t="s">
        <v>60</v>
      </c>
      <c r="U988" s="20" t="s">
        <v>60</v>
      </c>
      <c r="V988" s="20"/>
      <c r="W988" s="20"/>
      <c r="X988" s="20" t="s">
        <v>60</v>
      </c>
      <c r="Y988" s="20" t="s">
        <v>412</v>
      </c>
      <c r="Z988" s="20" t="s">
        <v>60</v>
      </c>
      <c r="AA988" s="20" t="s">
        <v>491</v>
      </c>
    </row>
    <row r="989" spans="1:27" x14ac:dyDescent="0.2">
      <c r="A989" s="1">
        <v>46087</v>
      </c>
      <c r="B989" s="20" t="s">
        <v>322</v>
      </c>
      <c r="C989" s="20" t="s">
        <v>35</v>
      </c>
      <c r="D989" s="20" t="s">
        <v>33</v>
      </c>
      <c r="E989" s="20" t="s">
        <v>1358</v>
      </c>
      <c r="F989" s="20" t="s">
        <v>33</v>
      </c>
      <c r="G989" s="20">
        <v>2</v>
      </c>
      <c r="H989" s="20">
        <v>3</v>
      </c>
      <c r="I989" s="13">
        <v>0.6</v>
      </c>
      <c r="J989" s="20" t="s">
        <v>249</v>
      </c>
      <c r="L989" s="20" t="s">
        <v>60</v>
      </c>
      <c r="M989" s="20" t="s">
        <v>60</v>
      </c>
      <c r="N989" s="20" t="s">
        <v>33</v>
      </c>
      <c r="O989" s="20">
        <v>2</v>
      </c>
      <c r="P989" s="20">
        <v>3</v>
      </c>
      <c r="Q989" s="13">
        <v>0.66607527473414152</v>
      </c>
      <c r="R989" s="20" t="s">
        <v>249</v>
      </c>
      <c r="S989" s="20">
        <v>0.99304812848864166</v>
      </c>
      <c r="T989" s="20" t="s">
        <v>60</v>
      </c>
      <c r="U989" s="20" t="s">
        <v>60</v>
      </c>
      <c r="V989" s="20"/>
      <c r="W989" s="20"/>
      <c r="X989" s="20" t="s">
        <v>60</v>
      </c>
      <c r="Y989" s="20" t="s">
        <v>412</v>
      </c>
      <c r="Z989" s="20" t="s">
        <v>60</v>
      </c>
      <c r="AA989" s="20" t="s">
        <v>491</v>
      </c>
    </row>
    <row r="990" spans="1:27" x14ac:dyDescent="0.2">
      <c r="A990" s="1">
        <v>46087</v>
      </c>
      <c r="B990" s="20" t="s">
        <v>322</v>
      </c>
      <c r="C990" s="20" t="s">
        <v>34</v>
      </c>
      <c r="D990" s="20" t="s">
        <v>20</v>
      </c>
      <c r="E990" s="20" t="s">
        <v>1088</v>
      </c>
      <c r="F990" s="20" t="s">
        <v>34</v>
      </c>
      <c r="G990" s="20">
        <v>2</v>
      </c>
      <c r="H990" s="20">
        <v>3</v>
      </c>
      <c r="I990" s="13">
        <v>0.6</v>
      </c>
      <c r="J990" s="20" t="s">
        <v>249</v>
      </c>
      <c r="L990" s="20" t="s">
        <v>60</v>
      </c>
      <c r="M990" s="20" t="s">
        <v>60</v>
      </c>
      <c r="N990" s="20" t="s">
        <v>34</v>
      </c>
      <c r="O990" s="20">
        <v>2</v>
      </c>
      <c r="P990" s="20">
        <v>3</v>
      </c>
      <c r="Q990" s="13">
        <v>0.51879135600538295</v>
      </c>
      <c r="R990" s="20" t="s">
        <v>249</v>
      </c>
      <c r="S990" s="20">
        <v>-0.13941529394799509</v>
      </c>
      <c r="T990" s="20" t="s">
        <v>60</v>
      </c>
      <c r="U990" s="20" t="s">
        <v>60</v>
      </c>
      <c r="V990" s="20"/>
      <c r="W990" s="20"/>
      <c r="X990" s="20" t="s">
        <v>60</v>
      </c>
      <c r="Y990" s="20" t="s">
        <v>412</v>
      </c>
      <c r="Z990" s="20" t="s">
        <v>60</v>
      </c>
      <c r="AA990" s="20" t="s">
        <v>491</v>
      </c>
    </row>
    <row r="991" spans="1:27" x14ac:dyDescent="0.2">
      <c r="A991" s="1">
        <v>46088</v>
      </c>
      <c r="B991" s="20" t="s">
        <v>328</v>
      </c>
      <c r="C991" s="20" t="s">
        <v>38</v>
      </c>
      <c r="D991" s="20" t="s">
        <v>40</v>
      </c>
      <c r="E991" s="20" t="s">
        <v>1359</v>
      </c>
      <c r="F991" s="20" t="s">
        <v>40</v>
      </c>
      <c r="G991" s="20">
        <v>2</v>
      </c>
      <c r="H991" s="20">
        <v>3</v>
      </c>
      <c r="I991" s="13">
        <v>0.6</v>
      </c>
      <c r="J991" s="20" t="s">
        <v>249</v>
      </c>
      <c r="L991" s="20" t="s">
        <v>60</v>
      </c>
      <c r="M991" s="20" t="s">
        <v>60</v>
      </c>
      <c r="N991" s="20" t="s">
        <v>40</v>
      </c>
      <c r="O991" s="20">
        <v>2</v>
      </c>
      <c r="P991" s="20">
        <v>3</v>
      </c>
      <c r="Q991" s="13">
        <v>0.61882856319649504</v>
      </c>
      <c r="R991" s="20" t="s">
        <v>249</v>
      </c>
      <c r="S991" s="20">
        <v>0.684336680251175</v>
      </c>
      <c r="T991" s="20" t="s">
        <v>60</v>
      </c>
      <c r="U991" s="20" t="s">
        <v>60</v>
      </c>
      <c r="V991" s="20"/>
      <c r="W991" s="20"/>
      <c r="X991" s="20" t="s">
        <v>60</v>
      </c>
      <c r="Y991" s="20" t="s">
        <v>412</v>
      </c>
      <c r="Z991" s="20" t="s">
        <v>60</v>
      </c>
      <c r="AA991" s="20" t="s">
        <v>491</v>
      </c>
    </row>
    <row r="992" spans="1:27" x14ac:dyDescent="0.2">
      <c r="A992" s="1">
        <v>46088</v>
      </c>
      <c r="B992" s="20" t="s">
        <v>328</v>
      </c>
      <c r="C992" s="20" t="s">
        <v>37</v>
      </c>
      <c r="D992" s="20" t="s">
        <v>19</v>
      </c>
      <c r="E992" s="20" t="s">
        <v>960</v>
      </c>
      <c r="F992" s="20" t="s">
        <v>37</v>
      </c>
      <c r="G992" s="20">
        <v>2</v>
      </c>
      <c r="H992" s="20">
        <v>3</v>
      </c>
      <c r="I992" s="13">
        <v>0.6</v>
      </c>
      <c r="J992" s="20" t="s">
        <v>249</v>
      </c>
      <c r="L992" s="20" t="s">
        <v>60</v>
      </c>
      <c r="M992" s="20" t="s">
        <v>60</v>
      </c>
      <c r="N992" s="20" t="s">
        <v>37</v>
      </c>
      <c r="O992" s="20">
        <v>2</v>
      </c>
      <c r="P992" s="20">
        <v>3</v>
      </c>
      <c r="Q992" s="13">
        <v>0.6803532657461332</v>
      </c>
      <c r="R992" s="20" t="s">
        <v>249</v>
      </c>
      <c r="S992" s="20">
        <v>-1.095082789142422</v>
      </c>
      <c r="T992" s="20" t="s">
        <v>60</v>
      </c>
      <c r="U992" s="20" t="s">
        <v>60</v>
      </c>
      <c r="V992" s="20"/>
      <c r="W992" s="20"/>
      <c r="X992" s="20" t="s">
        <v>60</v>
      </c>
      <c r="Y992" s="20" t="s">
        <v>412</v>
      </c>
      <c r="Z992" s="20" t="s">
        <v>60</v>
      </c>
      <c r="AA992" s="20" t="s">
        <v>491</v>
      </c>
    </row>
    <row r="993" spans="1:27" x14ac:dyDescent="0.2">
      <c r="A993" s="1">
        <v>46088</v>
      </c>
      <c r="B993" s="20" t="s">
        <v>322</v>
      </c>
      <c r="C993" s="20" t="s">
        <v>36</v>
      </c>
      <c r="D993" s="20" t="s">
        <v>32</v>
      </c>
      <c r="E993" s="20" t="s">
        <v>1360</v>
      </c>
      <c r="F993" s="20" t="s">
        <v>36</v>
      </c>
      <c r="G993" s="20">
        <v>2</v>
      </c>
      <c r="H993" s="20">
        <v>3</v>
      </c>
      <c r="I993" s="13">
        <v>0.6</v>
      </c>
      <c r="J993" s="20" t="s">
        <v>249</v>
      </c>
      <c r="L993" s="20" t="s">
        <v>60</v>
      </c>
      <c r="M993" s="20" t="s">
        <v>60</v>
      </c>
      <c r="N993" s="20" t="s">
        <v>36</v>
      </c>
      <c r="O993" s="20">
        <v>2</v>
      </c>
      <c r="P993" s="20">
        <v>3</v>
      </c>
      <c r="Q993" s="13">
        <v>0.46795173093416148</v>
      </c>
      <c r="R993" s="20" t="s">
        <v>249</v>
      </c>
      <c r="S993" s="20">
        <v>-6.8100435490088929E-2</v>
      </c>
      <c r="T993" s="20" t="s">
        <v>60</v>
      </c>
      <c r="U993" s="20" t="s">
        <v>60</v>
      </c>
      <c r="V993" s="20"/>
      <c r="W993" s="20"/>
      <c r="X993" s="20" t="s">
        <v>60</v>
      </c>
      <c r="Y993" s="20" t="s">
        <v>412</v>
      </c>
      <c r="Z993" s="20" t="s">
        <v>60</v>
      </c>
      <c r="AA993" s="20" t="s">
        <v>491</v>
      </c>
    </row>
    <row r="994" spans="1:27" x14ac:dyDescent="0.2">
      <c r="A994" s="1">
        <v>46088</v>
      </c>
      <c r="B994" s="20" t="s">
        <v>1361</v>
      </c>
      <c r="C994" s="20" t="s">
        <v>27</v>
      </c>
      <c r="D994" s="20" t="s">
        <v>14</v>
      </c>
      <c r="E994" s="20" t="s">
        <v>1194</v>
      </c>
      <c r="F994" s="20" t="s">
        <v>14</v>
      </c>
      <c r="G994" s="20">
        <v>2</v>
      </c>
      <c r="H994" s="20">
        <v>3</v>
      </c>
      <c r="I994" s="13">
        <v>0.6</v>
      </c>
      <c r="J994" s="20" t="s">
        <v>249</v>
      </c>
      <c r="L994" s="20" t="s">
        <v>60</v>
      </c>
      <c r="M994" s="20" t="s">
        <v>60</v>
      </c>
      <c r="N994" s="20" t="s">
        <v>14</v>
      </c>
      <c r="O994" s="20">
        <v>2</v>
      </c>
      <c r="P994" s="20">
        <v>3</v>
      </c>
      <c r="Q994" s="13">
        <v>0.53110122187745956</v>
      </c>
      <c r="R994" s="20" t="s">
        <v>249</v>
      </c>
      <c r="S994" s="20">
        <v>0.28787611086398851</v>
      </c>
      <c r="T994" s="20" t="s">
        <v>60</v>
      </c>
      <c r="U994" s="20" t="s">
        <v>60</v>
      </c>
      <c r="V994" s="20"/>
      <c r="W994" s="20"/>
      <c r="X994" s="20" t="s">
        <v>60</v>
      </c>
      <c r="Y994" s="20" t="s">
        <v>412</v>
      </c>
      <c r="Z994" s="20" t="s">
        <v>60</v>
      </c>
      <c r="AA994" s="20" t="s">
        <v>491</v>
      </c>
    </row>
    <row r="995" spans="1:27" x14ac:dyDescent="0.2">
      <c r="A995" s="1">
        <v>46088</v>
      </c>
      <c r="B995" s="20" t="s">
        <v>453</v>
      </c>
      <c r="C995" s="20" t="s">
        <v>15</v>
      </c>
      <c r="D995" s="20" t="s">
        <v>24</v>
      </c>
      <c r="E995" s="20" t="s">
        <v>1362</v>
      </c>
      <c r="F995" s="20" t="s">
        <v>24</v>
      </c>
      <c r="G995" s="20">
        <v>2</v>
      </c>
      <c r="H995" s="20">
        <v>3</v>
      </c>
      <c r="I995" s="13">
        <v>0.6</v>
      </c>
      <c r="J995" s="20" t="s">
        <v>249</v>
      </c>
      <c r="L995" s="20" t="s">
        <v>60</v>
      </c>
      <c r="M995" s="20" t="s">
        <v>60</v>
      </c>
      <c r="N995" s="20" t="s">
        <v>24</v>
      </c>
      <c r="O995" s="20">
        <v>2</v>
      </c>
      <c r="P995" s="20">
        <v>3</v>
      </c>
      <c r="Q995" s="13">
        <v>0.5616102070003105</v>
      </c>
      <c r="R995" s="20" t="s">
        <v>249</v>
      </c>
      <c r="S995" s="20">
        <v>0.34146498417170928</v>
      </c>
      <c r="T995" s="20" t="s">
        <v>60</v>
      </c>
      <c r="U995" s="20" t="s">
        <v>60</v>
      </c>
      <c r="V995" s="20"/>
      <c r="W995" s="20"/>
      <c r="X995" s="20" t="s">
        <v>60</v>
      </c>
      <c r="Y995" s="20" t="s">
        <v>412</v>
      </c>
      <c r="Z995" s="20" t="s">
        <v>60</v>
      </c>
      <c r="AA995" s="20" t="s">
        <v>491</v>
      </c>
    </row>
    <row r="996" spans="1:27" x14ac:dyDescent="0.2">
      <c r="A996" s="1">
        <v>46088</v>
      </c>
      <c r="B996" s="20" t="s">
        <v>322</v>
      </c>
      <c r="C996" s="20" t="s">
        <v>30</v>
      </c>
      <c r="D996" s="20" t="s">
        <v>33</v>
      </c>
      <c r="E996" s="20" t="s">
        <v>1363</v>
      </c>
      <c r="F996" s="20" t="s">
        <v>30</v>
      </c>
      <c r="G996" s="20">
        <v>2</v>
      </c>
      <c r="H996" s="20">
        <v>3</v>
      </c>
      <c r="I996" s="13">
        <v>0.6</v>
      </c>
      <c r="J996" s="20" t="s">
        <v>249</v>
      </c>
      <c r="L996" s="20" t="s">
        <v>60</v>
      </c>
      <c r="M996" s="20" t="s">
        <v>60</v>
      </c>
      <c r="N996" s="20" t="s">
        <v>30</v>
      </c>
      <c r="O996" s="20">
        <v>2</v>
      </c>
      <c r="P996" s="20">
        <v>3</v>
      </c>
      <c r="Q996" s="13">
        <v>0.54118951859945774</v>
      </c>
      <c r="R996" s="20" t="s">
        <v>249</v>
      </c>
      <c r="S996" s="20">
        <v>-0.16049824601774829</v>
      </c>
      <c r="T996" s="20" t="s">
        <v>60</v>
      </c>
      <c r="U996" s="20" t="s">
        <v>60</v>
      </c>
      <c r="V996" s="20"/>
      <c r="W996" s="20"/>
      <c r="X996" s="20" t="s">
        <v>60</v>
      </c>
      <c r="Y996" s="20" t="s">
        <v>412</v>
      </c>
      <c r="Z996" s="20" t="s">
        <v>60</v>
      </c>
      <c r="AA996" s="20" t="s">
        <v>491</v>
      </c>
    </row>
    <row r="997" spans="1:27" x14ac:dyDescent="0.2">
      <c r="A997" s="1">
        <v>46088</v>
      </c>
      <c r="B997" s="20" t="s">
        <v>322</v>
      </c>
      <c r="C997" s="20" t="s">
        <v>25</v>
      </c>
      <c r="D997" s="20" t="s">
        <v>16</v>
      </c>
      <c r="E997" s="20" t="s">
        <v>1364</v>
      </c>
      <c r="F997" s="20" t="s">
        <v>25</v>
      </c>
      <c r="G997" s="20">
        <v>2</v>
      </c>
      <c r="H997" s="20">
        <v>3</v>
      </c>
      <c r="I997" s="13">
        <v>0.6</v>
      </c>
      <c r="J997" s="20" t="s">
        <v>249</v>
      </c>
      <c r="L997" s="20" t="s">
        <v>60</v>
      </c>
      <c r="M997" s="20" t="s">
        <v>60</v>
      </c>
      <c r="N997" s="20" t="s">
        <v>25</v>
      </c>
      <c r="O997" s="20">
        <v>2</v>
      </c>
      <c r="P997" s="20">
        <v>3</v>
      </c>
      <c r="Q997" s="13">
        <v>0.70094606912581969</v>
      </c>
      <c r="R997" s="20" t="s">
        <v>249</v>
      </c>
      <c r="S997" s="20">
        <v>-1.441555667450011</v>
      </c>
      <c r="T997" s="20" t="s">
        <v>60</v>
      </c>
      <c r="U997" s="20" t="s">
        <v>60</v>
      </c>
      <c r="V997" s="20"/>
      <c r="W997" s="20"/>
      <c r="X997" s="20" t="s">
        <v>60</v>
      </c>
      <c r="Y997" s="20" t="s">
        <v>412</v>
      </c>
      <c r="Z997" s="20" t="s">
        <v>60</v>
      </c>
      <c r="AA997" s="20" t="s">
        <v>491</v>
      </c>
    </row>
    <row r="998" spans="1:27" x14ac:dyDescent="0.2">
      <c r="A998" s="1">
        <v>46088</v>
      </c>
      <c r="B998" s="20" t="s">
        <v>328</v>
      </c>
      <c r="C998" s="20" t="s">
        <v>55</v>
      </c>
      <c r="D998" s="20" t="s">
        <v>28</v>
      </c>
      <c r="E998" s="20" t="s">
        <v>1365</v>
      </c>
      <c r="F998" s="20" t="s">
        <v>55</v>
      </c>
      <c r="G998" s="20">
        <v>2</v>
      </c>
      <c r="H998" s="20">
        <v>3</v>
      </c>
      <c r="I998" s="13">
        <v>0.6</v>
      </c>
      <c r="J998" s="20" t="s">
        <v>249</v>
      </c>
      <c r="L998" s="20" t="s">
        <v>60</v>
      </c>
      <c r="M998" s="20" t="s">
        <v>60</v>
      </c>
      <c r="N998" s="20" t="s">
        <v>55</v>
      </c>
      <c r="O998" s="20">
        <v>2</v>
      </c>
      <c r="P998" s="20">
        <v>3</v>
      </c>
      <c r="Q998" s="13">
        <v>0.47657655178719088</v>
      </c>
      <c r="R998" s="20" t="s">
        <v>249</v>
      </c>
      <c r="S998" s="20">
        <v>-0.14196536640619531</v>
      </c>
      <c r="T998" s="20" t="s">
        <v>60</v>
      </c>
      <c r="U998" s="20" t="s">
        <v>60</v>
      </c>
      <c r="V998" s="20"/>
      <c r="W998" s="20"/>
      <c r="X998" s="20" t="s">
        <v>60</v>
      </c>
      <c r="Y998" s="20" t="s">
        <v>412</v>
      </c>
      <c r="Z998" s="20" t="s">
        <v>60</v>
      </c>
      <c r="AA998" s="20" t="s">
        <v>491</v>
      </c>
    </row>
    <row r="999" spans="1:27" x14ac:dyDescent="0.2">
      <c r="A999" s="1">
        <v>46088</v>
      </c>
      <c r="B999" s="20" t="s">
        <v>1361</v>
      </c>
      <c r="C999" s="20" t="s">
        <v>29</v>
      </c>
      <c r="D999" s="20" t="s">
        <v>23</v>
      </c>
      <c r="E999" s="20" t="s">
        <v>1366</v>
      </c>
      <c r="F999" s="20" t="s">
        <v>23</v>
      </c>
      <c r="G999" s="20">
        <v>2</v>
      </c>
      <c r="H999" s="20">
        <v>3</v>
      </c>
      <c r="I999" s="13">
        <v>0.6</v>
      </c>
      <c r="J999" s="20" t="s">
        <v>249</v>
      </c>
      <c r="L999" s="20" t="s">
        <v>60</v>
      </c>
      <c r="M999" s="20" t="s">
        <v>60</v>
      </c>
      <c r="N999" s="20" t="s">
        <v>23</v>
      </c>
      <c r="O999" s="20">
        <v>2</v>
      </c>
      <c r="P999" s="20">
        <v>3</v>
      </c>
      <c r="Q999" s="13">
        <v>0.66206551085191068</v>
      </c>
      <c r="R999" s="20" t="s">
        <v>249</v>
      </c>
      <c r="S999" s="20">
        <v>0.95870759699263375</v>
      </c>
      <c r="T999" s="20" t="s">
        <v>60</v>
      </c>
      <c r="U999" s="20" t="s">
        <v>60</v>
      </c>
      <c r="V999" s="20"/>
      <c r="W999" s="20"/>
      <c r="X999" s="20" t="s">
        <v>60</v>
      </c>
      <c r="Y999" s="20" t="s">
        <v>412</v>
      </c>
      <c r="Z999" s="20" t="s">
        <v>60</v>
      </c>
      <c r="AA999" s="20" t="s">
        <v>491</v>
      </c>
    </row>
    <row r="1000" spans="1:27" x14ac:dyDescent="0.2">
      <c r="A1000" s="1">
        <v>46088</v>
      </c>
      <c r="B1000" s="20" t="s">
        <v>555</v>
      </c>
      <c r="C1000" s="20" t="s">
        <v>22</v>
      </c>
      <c r="D1000" s="20" t="s">
        <v>21</v>
      </c>
      <c r="E1000" s="20" t="s">
        <v>1367</v>
      </c>
      <c r="F1000" s="20" t="s">
        <v>22</v>
      </c>
      <c r="G1000" s="20">
        <v>2</v>
      </c>
      <c r="H1000" s="20">
        <v>3</v>
      </c>
      <c r="I1000" s="13">
        <v>0.6</v>
      </c>
      <c r="J1000" s="20" t="s">
        <v>249</v>
      </c>
      <c r="L1000" s="20" t="s">
        <v>60</v>
      </c>
      <c r="M1000" s="20" t="s">
        <v>60</v>
      </c>
      <c r="N1000" s="20" t="s">
        <v>22</v>
      </c>
      <c r="O1000" s="20">
        <v>2</v>
      </c>
      <c r="P1000" s="20">
        <v>3</v>
      </c>
      <c r="Q1000" s="13">
        <v>0.53031018143600306</v>
      </c>
      <c r="R1000" s="20" t="s">
        <v>249</v>
      </c>
      <c r="S1000" s="20">
        <v>-0.61057624437832603</v>
      </c>
      <c r="T1000" s="20" t="s">
        <v>60</v>
      </c>
      <c r="U1000" s="20" t="s">
        <v>60</v>
      </c>
      <c r="V1000" s="20"/>
      <c r="W1000" s="20"/>
      <c r="X1000" s="20" t="s">
        <v>60</v>
      </c>
      <c r="Y1000" s="20" t="s">
        <v>412</v>
      </c>
      <c r="Z1000" s="20" t="s">
        <v>60</v>
      </c>
      <c r="AA1000" s="20" t="s">
        <v>491</v>
      </c>
    </row>
    <row r="1001" spans="1:27" x14ac:dyDescent="0.2">
      <c r="A1001" s="1">
        <v>46088</v>
      </c>
      <c r="B1001" s="20" t="s">
        <v>328</v>
      </c>
      <c r="C1001" s="20" t="s">
        <v>18</v>
      </c>
      <c r="D1001" s="20" t="s">
        <v>13</v>
      </c>
      <c r="E1001" s="20" t="s">
        <v>1368</v>
      </c>
      <c r="F1001" s="20" t="s">
        <v>13</v>
      </c>
      <c r="G1001" s="20">
        <v>2</v>
      </c>
      <c r="H1001" s="20">
        <v>3</v>
      </c>
      <c r="I1001" s="13">
        <v>0.6</v>
      </c>
      <c r="J1001" s="20" t="s">
        <v>249</v>
      </c>
      <c r="L1001" s="20" t="s">
        <v>60</v>
      </c>
      <c r="M1001" s="20" t="s">
        <v>60</v>
      </c>
      <c r="N1001" s="20" t="s">
        <v>13</v>
      </c>
      <c r="O1001" s="20">
        <v>2</v>
      </c>
      <c r="P1001" s="20">
        <v>3</v>
      </c>
      <c r="Q1001" s="13">
        <v>0.51626782676358607</v>
      </c>
      <c r="R1001" s="20" t="s">
        <v>249</v>
      </c>
      <c r="S1001" s="20">
        <v>0.30450677851977398</v>
      </c>
      <c r="T1001" s="20" t="s">
        <v>60</v>
      </c>
      <c r="U1001" s="20" t="s">
        <v>60</v>
      </c>
      <c r="V1001" s="20"/>
      <c r="W1001" s="20"/>
      <c r="X1001" s="20" t="s">
        <v>60</v>
      </c>
      <c r="Y1001" s="20" t="s">
        <v>412</v>
      </c>
      <c r="Z1001" s="20" t="s">
        <v>60</v>
      </c>
      <c r="AA1001" s="20" t="s">
        <v>491</v>
      </c>
    </row>
    <row r="1002" spans="1:27" x14ac:dyDescent="0.2">
      <c r="A1002" s="1">
        <v>46089</v>
      </c>
      <c r="B1002" s="20" t="s">
        <v>426</v>
      </c>
      <c r="C1002" s="20" t="s">
        <v>17</v>
      </c>
      <c r="D1002" s="20" t="s">
        <v>20</v>
      </c>
      <c r="E1002" s="20" t="s">
        <v>1369</v>
      </c>
      <c r="F1002" s="20" t="s">
        <v>20</v>
      </c>
      <c r="G1002" s="20">
        <v>2</v>
      </c>
      <c r="H1002" s="20">
        <v>3</v>
      </c>
      <c r="I1002" s="13">
        <v>0.6</v>
      </c>
      <c r="J1002" s="20" t="s">
        <v>249</v>
      </c>
      <c r="L1002" s="20" t="s">
        <v>60</v>
      </c>
      <c r="M1002" s="20" t="s">
        <v>60</v>
      </c>
      <c r="N1002" s="20" t="s">
        <v>20</v>
      </c>
      <c r="O1002" s="20">
        <v>2</v>
      </c>
      <c r="P1002" s="20">
        <v>3</v>
      </c>
      <c r="Q1002" s="13">
        <v>0.61276856641927757</v>
      </c>
      <c r="R1002" s="20" t="s">
        <v>249</v>
      </c>
      <c r="S1002" s="20">
        <v>0.62320658284004771</v>
      </c>
      <c r="T1002" s="20" t="s">
        <v>60</v>
      </c>
      <c r="U1002" s="20" t="s">
        <v>60</v>
      </c>
      <c r="V1002" s="20"/>
      <c r="W1002" s="20"/>
      <c r="X1002" s="20" t="s">
        <v>60</v>
      </c>
      <c r="Y1002" s="20" t="s">
        <v>412</v>
      </c>
      <c r="Z1002" s="20" t="s">
        <v>60</v>
      </c>
      <c r="AA1002" s="20" t="s">
        <v>491</v>
      </c>
    </row>
    <row r="1003" spans="1:27" x14ac:dyDescent="0.2">
      <c r="A1003" s="1">
        <v>46089</v>
      </c>
      <c r="B1003" s="20" t="s">
        <v>328</v>
      </c>
      <c r="C1003" s="20" t="s">
        <v>26</v>
      </c>
      <c r="D1003" s="20" t="s">
        <v>24</v>
      </c>
      <c r="E1003" s="20" t="s">
        <v>374</v>
      </c>
      <c r="F1003" s="20" t="s">
        <v>24</v>
      </c>
      <c r="G1003" s="20">
        <v>2</v>
      </c>
      <c r="H1003" s="20">
        <v>3</v>
      </c>
      <c r="I1003" s="13">
        <v>0.6</v>
      </c>
      <c r="J1003" s="20" t="s">
        <v>249</v>
      </c>
      <c r="L1003" s="20" t="s">
        <v>60</v>
      </c>
      <c r="M1003" s="20" t="s">
        <v>60</v>
      </c>
      <c r="N1003" s="20" t="s">
        <v>24</v>
      </c>
      <c r="O1003" s="20">
        <v>2</v>
      </c>
      <c r="P1003" s="20">
        <v>3</v>
      </c>
      <c r="Q1003" s="13">
        <v>0.72804885233218297</v>
      </c>
      <c r="R1003" s="20" t="s">
        <v>249</v>
      </c>
      <c r="S1003" s="20">
        <v>0.92677056472007624</v>
      </c>
      <c r="T1003" s="20" t="s">
        <v>60</v>
      </c>
      <c r="U1003" s="20" t="s">
        <v>60</v>
      </c>
      <c r="V1003" s="20"/>
      <c r="W1003" s="20"/>
      <c r="X1003" s="20" t="s">
        <v>60</v>
      </c>
      <c r="Y1003" s="20" t="s">
        <v>412</v>
      </c>
      <c r="Z1003" s="20" t="s">
        <v>60</v>
      </c>
      <c r="AA1003" s="20" t="s">
        <v>491</v>
      </c>
    </row>
    <row r="1004" spans="1:27" x14ac:dyDescent="0.2">
      <c r="A1004" s="1">
        <v>46089</v>
      </c>
      <c r="B1004" s="20" t="s">
        <v>469</v>
      </c>
      <c r="C1004" s="20" t="s">
        <v>10</v>
      </c>
      <c r="D1004" s="20" t="s">
        <v>39</v>
      </c>
      <c r="E1004" s="20" t="s">
        <v>1071</v>
      </c>
      <c r="F1004" s="20" t="s">
        <v>39</v>
      </c>
      <c r="G1004" s="20">
        <v>2</v>
      </c>
      <c r="H1004" s="20">
        <v>3</v>
      </c>
      <c r="I1004" s="13">
        <v>0.6</v>
      </c>
      <c r="J1004" s="20" t="s">
        <v>249</v>
      </c>
      <c r="L1004" s="20" t="s">
        <v>60</v>
      </c>
      <c r="M1004" s="20" t="s">
        <v>60</v>
      </c>
      <c r="N1004" s="20" t="s">
        <v>39</v>
      </c>
      <c r="O1004" s="20">
        <v>2</v>
      </c>
      <c r="P1004" s="20">
        <v>3</v>
      </c>
      <c r="Q1004" s="13">
        <v>0.64692174205887343</v>
      </c>
      <c r="R1004" s="20" t="s">
        <v>249</v>
      </c>
      <c r="S1004" s="20">
        <v>0.6395395059625959</v>
      </c>
      <c r="T1004" s="20" t="s">
        <v>60</v>
      </c>
      <c r="U1004" s="20" t="s">
        <v>60</v>
      </c>
      <c r="V1004" s="20"/>
      <c r="W1004" s="20"/>
      <c r="X1004" s="20" t="s">
        <v>60</v>
      </c>
      <c r="Y1004" s="20" t="s">
        <v>412</v>
      </c>
      <c r="Z1004" s="20" t="s">
        <v>60</v>
      </c>
      <c r="AA1004" s="20" t="s">
        <v>491</v>
      </c>
    </row>
    <row r="1005" spans="1:27" x14ac:dyDescent="0.2">
      <c r="A1005" s="1">
        <v>46089</v>
      </c>
      <c r="B1005" s="20" t="s">
        <v>1370</v>
      </c>
      <c r="C1005" s="20" t="s">
        <v>21</v>
      </c>
      <c r="D1005" s="20" t="s">
        <v>14</v>
      </c>
      <c r="E1005" s="20" t="s">
        <v>1371</v>
      </c>
      <c r="F1005" s="20" t="s">
        <v>14</v>
      </c>
      <c r="G1005" s="20">
        <v>2</v>
      </c>
      <c r="H1005" s="20">
        <v>3</v>
      </c>
      <c r="I1005" s="13">
        <v>0.6</v>
      </c>
      <c r="J1005" s="20" t="s">
        <v>249</v>
      </c>
      <c r="L1005" s="20" t="s">
        <v>60</v>
      </c>
      <c r="M1005" s="20" t="s">
        <v>60</v>
      </c>
      <c r="N1005" s="20" t="s">
        <v>14</v>
      </c>
      <c r="O1005" s="20">
        <v>2</v>
      </c>
      <c r="P1005" s="20">
        <v>3</v>
      </c>
      <c r="Q1005" s="13">
        <v>0.5540470713963267</v>
      </c>
      <c r="R1005" s="20" t="s">
        <v>249</v>
      </c>
      <c r="S1005" s="20">
        <v>0.127406287805404</v>
      </c>
      <c r="T1005" s="20" t="s">
        <v>60</v>
      </c>
      <c r="U1005" s="20" t="s">
        <v>60</v>
      </c>
      <c r="V1005" s="20"/>
      <c r="W1005" s="20"/>
      <c r="X1005" s="20" t="s">
        <v>60</v>
      </c>
      <c r="Y1005" s="20" t="s">
        <v>412</v>
      </c>
      <c r="Z1005" s="20" t="s">
        <v>60</v>
      </c>
      <c r="AA1005" s="20" t="s">
        <v>491</v>
      </c>
    </row>
    <row r="1006" spans="1:27" x14ac:dyDescent="0.2">
      <c r="A1006" s="1">
        <v>46089</v>
      </c>
      <c r="B1006" s="20" t="s">
        <v>469</v>
      </c>
      <c r="C1006" s="20" t="s">
        <v>37</v>
      </c>
      <c r="D1006" s="20" t="s">
        <v>23</v>
      </c>
      <c r="E1006" s="20" t="s">
        <v>1372</v>
      </c>
      <c r="F1006" s="20" t="s">
        <v>37</v>
      </c>
      <c r="G1006" s="20">
        <v>2</v>
      </c>
      <c r="H1006" s="20">
        <v>3</v>
      </c>
      <c r="I1006" s="13">
        <v>0.6</v>
      </c>
      <c r="J1006" s="20" t="s">
        <v>249</v>
      </c>
      <c r="L1006" s="20" t="s">
        <v>60</v>
      </c>
      <c r="M1006" s="20" t="s">
        <v>60</v>
      </c>
      <c r="N1006" s="20" t="s">
        <v>37</v>
      </c>
      <c r="O1006" s="20">
        <v>2</v>
      </c>
      <c r="P1006" s="20">
        <v>3</v>
      </c>
      <c r="Q1006" s="13">
        <v>0.65174813974582668</v>
      </c>
      <c r="R1006" s="20" t="s">
        <v>249</v>
      </c>
      <c r="S1006" s="20">
        <v>-0.93671463356403151</v>
      </c>
      <c r="T1006" s="20" t="s">
        <v>60</v>
      </c>
      <c r="U1006" s="20" t="s">
        <v>60</v>
      </c>
      <c r="V1006" s="20"/>
      <c r="W1006" s="20"/>
      <c r="X1006" s="20" t="s">
        <v>60</v>
      </c>
      <c r="Y1006" s="20" t="s">
        <v>412</v>
      </c>
      <c r="Z1006" s="20" t="s">
        <v>60</v>
      </c>
      <c r="AA1006" s="20" t="s">
        <v>491</v>
      </c>
    </row>
    <row r="1007" spans="1:27" x14ac:dyDescent="0.2">
      <c r="A1007" s="1">
        <v>46089</v>
      </c>
      <c r="B1007" s="20" t="s">
        <v>326</v>
      </c>
      <c r="C1007" s="20" t="s">
        <v>35</v>
      </c>
      <c r="D1007" s="20" t="s">
        <v>31</v>
      </c>
      <c r="E1007" s="20" t="s">
        <v>1373</v>
      </c>
      <c r="F1007" s="20" t="s">
        <v>31</v>
      </c>
      <c r="G1007" s="20">
        <v>2</v>
      </c>
      <c r="H1007" s="20">
        <v>3</v>
      </c>
      <c r="I1007" s="13">
        <v>0.6</v>
      </c>
      <c r="J1007" s="20" t="s">
        <v>249</v>
      </c>
      <c r="L1007" s="20" t="s">
        <v>60</v>
      </c>
      <c r="M1007" s="20" t="s">
        <v>60</v>
      </c>
      <c r="N1007" s="20" t="s">
        <v>31</v>
      </c>
      <c r="O1007" s="20">
        <v>2</v>
      </c>
      <c r="P1007" s="20">
        <v>3</v>
      </c>
      <c r="Q1007" s="13">
        <v>0.80935350588794874</v>
      </c>
      <c r="R1007" s="20" t="s">
        <v>249</v>
      </c>
      <c r="S1007" s="20">
        <v>1.6230821427101509</v>
      </c>
      <c r="T1007" s="20" t="s">
        <v>60</v>
      </c>
      <c r="U1007" s="20" t="s">
        <v>60</v>
      </c>
      <c r="V1007" s="20"/>
      <c r="W1007" s="20"/>
      <c r="X1007" s="20" t="s">
        <v>60</v>
      </c>
      <c r="Y1007" s="20" t="s">
        <v>412</v>
      </c>
      <c r="Z1007" s="20" t="s">
        <v>60</v>
      </c>
      <c r="AA1007" s="20" t="s">
        <v>491</v>
      </c>
    </row>
    <row r="1008" spans="1:27" x14ac:dyDescent="0.2">
      <c r="A1008" s="1">
        <v>46089</v>
      </c>
      <c r="B1008" s="20" t="s">
        <v>459</v>
      </c>
      <c r="C1008" s="20" t="s">
        <v>34</v>
      </c>
      <c r="D1008" s="20" t="s">
        <v>12</v>
      </c>
      <c r="E1008" s="20" t="s">
        <v>1317</v>
      </c>
      <c r="F1008" s="20" t="s">
        <v>12</v>
      </c>
      <c r="G1008" s="20">
        <v>2</v>
      </c>
      <c r="H1008" s="20">
        <v>3</v>
      </c>
      <c r="I1008" s="13">
        <v>0.6</v>
      </c>
      <c r="J1008" s="20" t="s">
        <v>249</v>
      </c>
      <c r="L1008" s="20" t="s">
        <v>60</v>
      </c>
      <c r="M1008" s="20" t="s">
        <v>60</v>
      </c>
      <c r="N1008" s="20" t="s">
        <v>12</v>
      </c>
      <c r="O1008" s="20">
        <v>2</v>
      </c>
      <c r="P1008" s="20">
        <v>3</v>
      </c>
      <c r="Q1008" s="13">
        <v>0.80720772313376354</v>
      </c>
      <c r="R1008" s="20" t="s">
        <v>249</v>
      </c>
      <c r="S1008" s="20">
        <v>1.736929194799617</v>
      </c>
      <c r="T1008" s="20" t="s">
        <v>60</v>
      </c>
      <c r="U1008" s="20" t="s">
        <v>60</v>
      </c>
      <c r="V1008" s="20"/>
      <c r="W1008" s="20"/>
      <c r="X1008" s="20" t="s">
        <v>60</v>
      </c>
      <c r="Y1008" s="20" t="s">
        <v>412</v>
      </c>
      <c r="Z1008" s="20" t="s">
        <v>60</v>
      </c>
      <c r="AA1008" s="20" t="s">
        <v>491</v>
      </c>
    </row>
    <row r="1009" spans="1:27" x14ac:dyDescent="0.2">
      <c r="A1009" s="1">
        <v>46090</v>
      </c>
      <c r="B1009" s="20" t="s">
        <v>416</v>
      </c>
      <c r="C1009" s="20" t="s">
        <v>55</v>
      </c>
      <c r="D1009" s="20" t="s">
        <v>10</v>
      </c>
      <c r="E1009" s="20" t="s">
        <v>554</v>
      </c>
      <c r="F1009" s="20" t="s">
        <v>10</v>
      </c>
      <c r="G1009" s="20">
        <v>2</v>
      </c>
      <c r="H1009" s="20">
        <v>3</v>
      </c>
      <c r="I1009" s="13">
        <v>0.6</v>
      </c>
      <c r="J1009" s="20" t="s">
        <v>249</v>
      </c>
      <c r="L1009" s="20" t="s">
        <v>60</v>
      </c>
      <c r="M1009" s="20" t="s">
        <v>60</v>
      </c>
      <c r="N1009" s="20" t="s">
        <v>10</v>
      </c>
      <c r="O1009" s="20">
        <v>2</v>
      </c>
      <c r="P1009" s="20">
        <v>3</v>
      </c>
      <c r="Q1009" s="13">
        <v>0.57232372932370801</v>
      </c>
      <c r="R1009" s="20" t="s">
        <v>249</v>
      </c>
      <c r="S1009" s="20">
        <v>0.27682778276003128</v>
      </c>
      <c r="T1009" s="20" t="s">
        <v>60</v>
      </c>
      <c r="U1009" s="20" t="s">
        <v>60</v>
      </c>
      <c r="V1009" s="20"/>
      <c r="W1009" s="20"/>
      <c r="X1009" s="20" t="s">
        <v>60</v>
      </c>
      <c r="Y1009" s="20" t="s">
        <v>412</v>
      </c>
      <c r="Z1009" s="20" t="s">
        <v>60</v>
      </c>
      <c r="AA1009" s="20" t="s">
        <v>491</v>
      </c>
    </row>
    <row r="1010" spans="1:27" x14ac:dyDescent="0.2">
      <c r="A1010" s="1">
        <v>46090</v>
      </c>
      <c r="B1010" s="20" t="s">
        <v>328</v>
      </c>
      <c r="C1010" s="20" t="s">
        <v>15</v>
      </c>
      <c r="D1010" s="20" t="s">
        <v>27</v>
      </c>
      <c r="E1010" s="20" t="s">
        <v>1203</v>
      </c>
      <c r="F1010" s="20" t="s">
        <v>15</v>
      </c>
      <c r="G1010" s="20">
        <v>2</v>
      </c>
      <c r="H1010" s="20">
        <v>3</v>
      </c>
      <c r="I1010" s="13">
        <v>0.6</v>
      </c>
      <c r="J1010" s="20" t="s">
        <v>249</v>
      </c>
      <c r="L1010" s="20" t="s">
        <v>60</v>
      </c>
      <c r="M1010" s="20" t="s">
        <v>60</v>
      </c>
      <c r="N1010" s="20" t="s">
        <v>15</v>
      </c>
      <c r="O1010" s="20">
        <v>2</v>
      </c>
      <c r="P1010" s="20">
        <v>3</v>
      </c>
      <c r="Q1010" s="13">
        <v>0.55080547688635673</v>
      </c>
      <c r="R1010" s="20" t="s">
        <v>249</v>
      </c>
      <c r="S1010" s="20">
        <v>-4.030485009921092E-2</v>
      </c>
      <c r="T1010" s="20" t="s">
        <v>60</v>
      </c>
      <c r="U1010" s="20" t="s">
        <v>60</v>
      </c>
      <c r="V1010" s="20"/>
      <c r="W1010" s="20"/>
      <c r="X1010" s="20" t="s">
        <v>60</v>
      </c>
      <c r="Y1010" s="20" t="s">
        <v>412</v>
      </c>
      <c r="Z1010" s="20" t="s">
        <v>60</v>
      </c>
      <c r="AA1010" s="20" t="s">
        <v>491</v>
      </c>
    </row>
    <row r="1011" spans="1:27" x14ac:dyDescent="0.2">
      <c r="A1011" s="1">
        <v>46090</v>
      </c>
      <c r="B1011" s="20" t="s">
        <v>326</v>
      </c>
      <c r="C1011" s="20" t="s">
        <v>36</v>
      </c>
      <c r="D1011" s="20" t="s">
        <v>38</v>
      </c>
      <c r="E1011" s="20" t="s">
        <v>1374</v>
      </c>
      <c r="F1011" s="20" t="s">
        <v>36</v>
      </c>
      <c r="G1011" s="20">
        <v>2</v>
      </c>
      <c r="H1011" s="20">
        <v>3</v>
      </c>
      <c r="I1011" s="13">
        <v>0.6</v>
      </c>
      <c r="J1011" s="20" t="s">
        <v>249</v>
      </c>
      <c r="L1011" s="20" t="s">
        <v>60</v>
      </c>
      <c r="M1011" s="20" t="s">
        <v>60</v>
      </c>
      <c r="N1011" s="20" t="s">
        <v>36</v>
      </c>
      <c r="O1011" s="20">
        <v>2</v>
      </c>
      <c r="P1011" s="20">
        <v>3</v>
      </c>
      <c r="Q1011" s="13">
        <v>0.50278271922608575</v>
      </c>
      <c r="R1011" s="20" t="s">
        <v>249</v>
      </c>
      <c r="S1011" s="20">
        <v>-0.36640095532280298</v>
      </c>
      <c r="T1011" s="20" t="s">
        <v>60</v>
      </c>
      <c r="U1011" s="20" t="s">
        <v>60</v>
      </c>
      <c r="V1011" s="20"/>
      <c r="W1011" s="20"/>
      <c r="X1011" s="20" t="s">
        <v>60</v>
      </c>
      <c r="Y1011" s="20" t="s">
        <v>412</v>
      </c>
      <c r="Z1011" s="20" t="s">
        <v>60</v>
      </c>
      <c r="AA1011" s="20" t="s">
        <v>491</v>
      </c>
    </row>
    <row r="1012" spans="1:27" x14ac:dyDescent="0.2">
      <c r="A1012" s="1">
        <v>46090</v>
      </c>
      <c r="B1012" s="20" t="s">
        <v>328</v>
      </c>
      <c r="C1012" s="20" t="s">
        <v>16</v>
      </c>
      <c r="D1012" s="20" t="s">
        <v>22</v>
      </c>
      <c r="E1012" s="20" t="s">
        <v>1375</v>
      </c>
      <c r="F1012" s="20" t="s">
        <v>22</v>
      </c>
      <c r="G1012" s="20">
        <v>2</v>
      </c>
      <c r="H1012" s="20">
        <v>3</v>
      </c>
      <c r="I1012" s="13">
        <v>0.6</v>
      </c>
      <c r="J1012" s="20" t="s">
        <v>249</v>
      </c>
      <c r="L1012" s="20" t="s">
        <v>60</v>
      </c>
      <c r="M1012" s="20" t="s">
        <v>60</v>
      </c>
      <c r="N1012" s="20" t="s">
        <v>22</v>
      </c>
      <c r="O1012" s="20">
        <v>2</v>
      </c>
      <c r="P1012" s="20">
        <v>3</v>
      </c>
      <c r="Q1012" s="13">
        <v>0.74776915271602318</v>
      </c>
      <c r="R1012" s="20" t="s">
        <v>249</v>
      </c>
      <c r="S1012" s="20">
        <v>1.5563892608215399</v>
      </c>
      <c r="T1012" s="20" t="s">
        <v>60</v>
      </c>
      <c r="U1012" s="20" t="s">
        <v>60</v>
      </c>
      <c r="V1012" s="20"/>
      <c r="W1012" s="20"/>
      <c r="X1012" s="20" t="s">
        <v>60</v>
      </c>
      <c r="Y1012" s="20" t="s">
        <v>412</v>
      </c>
      <c r="Z1012" s="20" t="s">
        <v>60</v>
      </c>
      <c r="AA1012" s="20" t="s">
        <v>491</v>
      </c>
    </row>
    <row r="1013" spans="1:27" x14ac:dyDescent="0.2">
      <c r="A1013" s="1">
        <v>46091</v>
      </c>
      <c r="B1013" s="20" t="s">
        <v>328</v>
      </c>
      <c r="C1013" s="20" t="s">
        <v>16</v>
      </c>
      <c r="D1013" s="20" t="s">
        <v>15</v>
      </c>
      <c r="E1013" s="20" t="s">
        <v>1376</v>
      </c>
      <c r="F1013" s="20" t="s">
        <v>15</v>
      </c>
      <c r="G1013" s="20">
        <v>2</v>
      </c>
      <c r="H1013" s="20">
        <v>3</v>
      </c>
      <c r="I1013" s="13">
        <v>0.6</v>
      </c>
      <c r="J1013" s="20" t="s">
        <v>249</v>
      </c>
      <c r="L1013" s="20" t="s">
        <v>60</v>
      </c>
      <c r="M1013" s="20" t="s">
        <v>60</v>
      </c>
      <c r="N1013" s="20" t="s">
        <v>15</v>
      </c>
      <c r="O1013" s="20">
        <v>2</v>
      </c>
      <c r="P1013" s="20">
        <v>3</v>
      </c>
      <c r="Q1013" s="13">
        <v>0.63640659477215578</v>
      </c>
      <c r="R1013" s="20" t="s">
        <v>249</v>
      </c>
      <c r="S1013" s="20">
        <v>0.82564804348384069</v>
      </c>
      <c r="T1013" s="20" t="s">
        <v>60</v>
      </c>
      <c r="U1013" s="20" t="s">
        <v>60</v>
      </c>
      <c r="V1013" s="20"/>
      <c r="W1013" s="20"/>
      <c r="X1013" s="20" t="s">
        <v>60</v>
      </c>
      <c r="Y1013" s="20" t="s">
        <v>412</v>
      </c>
      <c r="Z1013" s="20" t="s">
        <v>60</v>
      </c>
      <c r="AA1013" s="20" t="s">
        <v>491</v>
      </c>
    </row>
    <row r="1014" spans="1:27" x14ac:dyDescent="0.2">
      <c r="A1014" s="1">
        <v>46091</v>
      </c>
      <c r="B1014" s="20" t="s">
        <v>416</v>
      </c>
      <c r="C1014" s="20" t="s">
        <v>31</v>
      </c>
      <c r="D1014" s="20" t="s">
        <v>40</v>
      </c>
      <c r="E1014" s="20" t="s">
        <v>1377</v>
      </c>
      <c r="F1014" s="20" t="s">
        <v>31</v>
      </c>
      <c r="G1014" s="20">
        <v>2</v>
      </c>
      <c r="H1014" s="20">
        <v>3</v>
      </c>
      <c r="I1014" s="13">
        <v>0.6</v>
      </c>
      <c r="J1014" s="20" t="s">
        <v>249</v>
      </c>
      <c r="L1014" s="20" t="s">
        <v>60</v>
      </c>
      <c r="M1014" s="20" t="s">
        <v>60</v>
      </c>
      <c r="N1014" s="20" t="s">
        <v>31</v>
      </c>
      <c r="O1014" s="20">
        <v>2</v>
      </c>
      <c r="P1014" s="20">
        <v>3</v>
      </c>
      <c r="Q1014" s="13">
        <v>0.52987604196004923</v>
      </c>
      <c r="R1014" s="20" t="s">
        <v>249</v>
      </c>
      <c r="S1014" s="20">
        <v>-0.44204409669889538</v>
      </c>
      <c r="T1014" s="20" t="s">
        <v>60</v>
      </c>
      <c r="U1014" s="20" t="s">
        <v>60</v>
      </c>
      <c r="V1014" s="20"/>
      <c r="W1014" s="20"/>
      <c r="X1014" s="20" t="s">
        <v>60</v>
      </c>
      <c r="Y1014" s="20" t="s">
        <v>412</v>
      </c>
      <c r="Z1014" s="20" t="s">
        <v>60</v>
      </c>
      <c r="AA1014" s="20" t="s">
        <v>491</v>
      </c>
    </row>
    <row r="1015" spans="1:27" x14ac:dyDescent="0.2">
      <c r="A1015" s="1">
        <v>46091</v>
      </c>
      <c r="B1015" s="20" t="s">
        <v>328</v>
      </c>
      <c r="C1015" s="20" t="s">
        <v>28</v>
      </c>
      <c r="D1015" s="20" t="s">
        <v>37</v>
      </c>
      <c r="E1015" s="20" t="s">
        <v>1378</v>
      </c>
      <c r="F1015" s="20" t="s">
        <v>37</v>
      </c>
      <c r="G1015" s="20">
        <v>2</v>
      </c>
      <c r="H1015" s="20">
        <v>3</v>
      </c>
      <c r="I1015" s="13">
        <v>0.6</v>
      </c>
      <c r="J1015" s="20" t="s">
        <v>249</v>
      </c>
      <c r="L1015" s="20" t="s">
        <v>60</v>
      </c>
      <c r="M1015" s="20" t="s">
        <v>60</v>
      </c>
      <c r="N1015" s="20" t="s">
        <v>37</v>
      </c>
      <c r="O1015" s="20">
        <v>2</v>
      </c>
      <c r="P1015" s="20">
        <v>3</v>
      </c>
      <c r="Q1015" s="13">
        <v>0.70362980948891973</v>
      </c>
      <c r="R1015" s="20" t="s">
        <v>249</v>
      </c>
      <c r="S1015" s="20">
        <v>1.1553951000203071</v>
      </c>
      <c r="T1015" s="20" t="s">
        <v>60</v>
      </c>
      <c r="U1015" s="20" t="s">
        <v>60</v>
      </c>
      <c r="V1015" s="20"/>
      <c r="W1015" s="20"/>
      <c r="X1015" s="20" t="s">
        <v>60</v>
      </c>
      <c r="Y1015" s="20" t="s">
        <v>412</v>
      </c>
      <c r="Z1015" s="20" t="s">
        <v>60</v>
      </c>
      <c r="AA1015" s="20" t="s">
        <v>491</v>
      </c>
    </row>
    <row r="1016" spans="1:27" x14ac:dyDescent="0.2">
      <c r="A1016" s="1">
        <v>46091</v>
      </c>
      <c r="B1016" s="20" t="s">
        <v>334</v>
      </c>
      <c r="C1016" s="20" t="s">
        <v>30</v>
      </c>
      <c r="D1016" s="20" t="s">
        <v>35</v>
      </c>
      <c r="E1016" s="20" t="s">
        <v>1379</v>
      </c>
      <c r="F1016" s="20" t="s">
        <v>30</v>
      </c>
      <c r="G1016" s="20">
        <v>2</v>
      </c>
      <c r="H1016" s="20">
        <v>3</v>
      </c>
      <c r="I1016" s="13">
        <v>0.6</v>
      </c>
      <c r="J1016" s="20" t="s">
        <v>249</v>
      </c>
      <c r="L1016" s="20" t="s">
        <v>60</v>
      </c>
      <c r="M1016" s="20" t="s">
        <v>60</v>
      </c>
      <c r="N1016" s="20" t="s">
        <v>30</v>
      </c>
      <c r="O1016" s="20">
        <v>2</v>
      </c>
      <c r="P1016" s="20">
        <v>3</v>
      </c>
      <c r="Q1016" s="13">
        <v>0.66149008454159564</v>
      </c>
      <c r="R1016" s="20" t="s">
        <v>249</v>
      </c>
      <c r="S1016" s="20">
        <v>-1.103645625583227</v>
      </c>
      <c r="T1016" s="20" t="s">
        <v>60</v>
      </c>
      <c r="U1016" s="20" t="s">
        <v>60</v>
      </c>
      <c r="V1016" s="20"/>
      <c r="W1016" s="20"/>
      <c r="X1016" s="20" t="s">
        <v>60</v>
      </c>
      <c r="Y1016" s="20" t="s">
        <v>412</v>
      </c>
      <c r="Z1016" s="20" t="s">
        <v>60</v>
      </c>
      <c r="AA1016" s="20" t="s">
        <v>491</v>
      </c>
    </row>
    <row r="1017" spans="1:27" x14ac:dyDescent="0.2">
      <c r="A1017" s="1">
        <v>46091</v>
      </c>
      <c r="B1017" s="20" t="s">
        <v>322</v>
      </c>
      <c r="C1017" s="20" t="s">
        <v>29</v>
      </c>
      <c r="D1017" s="20" t="s">
        <v>32</v>
      </c>
      <c r="E1017" s="20" t="s">
        <v>1104</v>
      </c>
      <c r="F1017" s="20" t="s">
        <v>32</v>
      </c>
      <c r="G1017" s="20">
        <v>2</v>
      </c>
      <c r="H1017" s="20">
        <v>3</v>
      </c>
      <c r="I1017" s="13">
        <v>0.6</v>
      </c>
      <c r="J1017" s="20" t="s">
        <v>249</v>
      </c>
      <c r="L1017" s="20" t="s">
        <v>60</v>
      </c>
      <c r="M1017" s="20" t="s">
        <v>60</v>
      </c>
      <c r="N1017" s="20" t="s">
        <v>32</v>
      </c>
      <c r="O1017" s="20">
        <v>2</v>
      </c>
      <c r="P1017" s="20">
        <v>3</v>
      </c>
      <c r="Q1017" s="13">
        <v>0.63171180538170546</v>
      </c>
      <c r="R1017" s="20" t="s">
        <v>249</v>
      </c>
      <c r="S1017" s="20">
        <v>0.7854407974551334</v>
      </c>
      <c r="T1017" s="20" t="s">
        <v>60</v>
      </c>
      <c r="U1017" s="20" t="s">
        <v>60</v>
      </c>
      <c r="V1017" s="20"/>
      <c r="W1017" s="20"/>
      <c r="X1017" s="20" t="s">
        <v>60</v>
      </c>
      <c r="Y1017" s="20" t="s">
        <v>412</v>
      </c>
      <c r="Z1017" s="20" t="s">
        <v>60</v>
      </c>
      <c r="AA1017" s="20" t="s">
        <v>491</v>
      </c>
    </row>
    <row r="1018" spans="1:27" x14ac:dyDescent="0.2">
      <c r="A1018" s="1">
        <v>46091</v>
      </c>
      <c r="B1018" s="20" t="s">
        <v>328</v>
      </c>
      <c r="C1018" s="20" t="s">
        <v>19</v>
      </c>
      <c r="D1018" s="20" t="s">
        <v>18</v>
      </c>
      <c r="E1018" s="20" t="s">
        <v>350</v>
      </c>
      <c r="F1018" s="20" t="s">
        <v>18</v>
      </c>
      <c r="G1018" s="20">
        <v>2</v>
      </c>
      <c r="H1018" s="20">
        <v>3</v>
      </c>
      <c r="I1018" s="13">
        <v>0.6</v>
      </c>
      <c r="J1018" s="20" t="s">
        <v>249</v>
      </c>
      <c r="L1018" s="20" t="s">
        <v>60</v>
      </c>
      <c r="M1018" s="20" t="s">
        <v>60</v>
      </c>
      <c r="N1018" s="20" t="s">
        <v>18</v>
      </c>
      <c r="O1018" s="20">
        <v>2</v>
      </c>
      <c r="P1018" s="20">
        <v>3</v>
      </c>
      <c r="Q1018" s="13">
        <v>0.55068277416407818</v>
      </c>
      <c r="R1018" s="20" t="s">
        <v>249</v>
      </c>
      <c r="S1018" s="20">
        <v>9.1489711968317788E-2</v>
      </c>
      <c r="T1018" s="20" t="s">
        <v>60</v>
      </c>
      <c r="U1018" s="20" t="s">
        <v>60</v>
      </c>
      <c r="V1018" s="20"/>
      <c r="W1018" s="20"/>
      <c r="X1018" s="20" t="s">
        <v>60</v>
      </c>
      <c r="Y1018" s="20" t="s">
        <v>412</v>
      </c>
      <c r="Z1018" s="20" t="s">
        <v>60</v>
      </c>
      <c r="AA1018" s="20" t="s">
        <v>491</v>
      </c>
    </row>
    <row r="1019" spans="1:27" x14ac:dyDescent="0.2">
      <c r="A1019" s="1">
        <v>46091</v>
      </c>
      <c r="B1019" s="20" t="s">
        <v>324</v>
      </c>
      <c r="C1019" s="20" t="s">
        <v>55</v>
      </c>
      <c r="D1019" s="20" t="s">
        <v>34</v>
      </c>
      <c r="E1019" s="20" t="s">
        <v>679</v>
      </c>
      <c r="F1019" s="20" t="s">
        <v>34</v>
      </c>
      <c r="G1019" s="20">
        <v>2</v>
      </c>
      <c r="H1019" s="20">
        <v>3</v>
      </c>
      <c r="I1019" s="13">
        <v>0.6</v>
      </c>
      <c r="J1019" s="20" t="s">
        <v>249</v>
      </c>
      <c r="L1019" s="20" t="s">
        <v>60</v>
      </c>
      <c r="M1019" s="20" t="s">
        <v>60</v>
      </c>
      <c r="N1019" s="20" t="s">
        <v>34</v>
      </c>
      <c r="O1019" s="20">
        <v>2</v>
      </c>
      <c r="P1019" s="20">
        <v>3</v>
      </c>
      <c r="Q1019" s="13">
        <v>0.5864606100690819</v>
      </c>
      <c r="R1019" s="20" t="s">
        <v>249</v>
      </c>
      <c r="S1019" s="20">
        <v>0.39789925049486607</v>
      </c>
      <c r="T1019" s="20" t="s">
        <v>60</v>
      </c>
      <c r="U1019" s="20" t="s">
        <v>60</v>
      </c>
      <c r="V1019" s="20"/>
      <c r="W1019" s="20"/>
      <c r="X1019" s="20" t="s">
        <v>60</v>
      </c>
      <c r="Y1019" s="20" t="s">
        <v>412</v>
      </c>
      <c r="Z1019" s="20" t="s">
        <v>60</v>
      </c>
      <c r="AA1019" s="20" t="s">
        <v>491</v>
      </c>
    </row>
    <row r="1020" spans="1:27" x14ac:dyDescent="0.2">
      <c r="A1020" s="1">
        <v>46091</v>
      </c>
      <c r="B1020" s="20" t="s">
        <v>328</v>
      </c>
      <c r="C1020" s="20" t="s">
        <v>26</v>
      </c>
      <c r="D1020" s="20" t="s">
        <v>11</v>
      </c>
      <c r="E1020" s="20" t="s">
        <v>1380</v>
      </c>
      <c r="F1020" s="20" t="s">
        <v>11</v>
      </c>
      <c r="G1020" s="20">
        <v>2</v>
      </c>
      <c r="H1020" s="20">
        <v>3</v>
      </c>
      <c r="I1020" s="13">
        <v>0.6</v>
      </c>
      <c r="J1020" s="20" t="s">
        <v>249</v>
      </c>
      <c r="L1020" s="20" t="s">
        <v>60</v>
      </c>
      <c r="M1020" s="20" t="s">
        <v>60</v>
      </c>
      <c r="N1020" s="20" t="s">
        <v>11</v>
      </c>
      <c r="O1020" s="20">
        <v>2</v>
      </c>
      <c r="P1020" s="20">
        <v>3</v>
      </c>
      <c r="Q1020" s="13">
        <v>0.61568266119593729</v>
      </c>
      <c r="R1020" s="20" t="s">
        <v>249</v>
      </c>
      <c r="S1020" s="20">
        <v>0.52812202289136545</v>
      </c>
      <c r="T1020" s="20" t="s">
        <v>60</v>
      </c>
      <c r="U1020" s="20" t="s">
        <v>60</v>
      </c>
      <c r="V1020" s="20"/>
      <c r="W1020" s="20"/>
      <c r="X1020" s="20" t="s">
        <v>60</v>
      </c>
      <c r="Y1020" s="20" t="s">
        <v>412</v>
      </c>
      <c r="Z1020" s="20" t="s">
        <v>60</v>
      </c>
      <c r="AA1020" s="20" t="s">
        <v>491</v>
      </c>
    </row>
    <row r="1021" spans="1:27" x14ac:dyDescent="0.2">
      <c r="A1021" s="1">
        <v>46091</v>
      </c>
      <c r="B1021" s="20" t="s">
        <v>324</v>
      </c>
      <c r="C1021" s="20" t="s">
        <v>20</v>
      </c>
      <c r="D1021" s="20" t="s">
        <v>39</v>
      </c>
      <c r="E1021" s="20" t="s">
        <v>1381</v>
      </c>
      <c r="F1021" s="20" t="s">
        <v>39</v>
      </c>
      <c r="G1021" s="20">
        <v>2</v>
      </c>
      <c r="H1021" s="20">
        <v>3</v>
      </c>
      <c r="I1021" s="13">
        <v>0.6</v>
      </c>
      <c r="J1021" s="20" t="s">
        <v>249</v>
      </c>
      <c r="L1021" s="20" t="s">
        <v>60</v>
      </c>
      <c r="M1021" s="20" t="s">
        <v>60</v>
      </c>
      <c r="N1021" s="20" t="s">
        <v>39</v>
      </c>
      <c r="O1021" s="20">
        <v>2</v>
      </c>
      <c r="P1021" s="20">
        <v>3</v>
      </c>
      <c r="Q1021" s="13">
        <v>0.65489030342408205</v>
      </c>
      <c r="R1021" s="20" t="s">
        <v>249</v>
      </c>
      <c r="S1021" s="20">
        <v>0.70778408109891866</v>
      </c>
      <c r="T1021" s="20" t="s">
        <v>60</v>
      </c>
      <c r="U1021" s="20" t="s">
        <v>60</v>
      </c>
      <c r="V1021" s="20"/>
      <c r="W1021" s="20"/>
      <c r="X1021" s="20" t="s">
        <v>60</v>
      </c>
      <c r="Y1021" s="20" t="s">
        <v>412</v>
      </c>
      <c r="Z1021" s="20" t="s">
        <v>60</v>
      </c>
      <c r="AA1021" s="20" t="s">
        <v>491</v>
      </c>
    </row>
    <row r="1022" spans="1:27" x14ac:dyDescent="0.2">
      <c r="A1022" s="1">
        <v>46091</v>
      </c>
      <c r="B1022" s="20" t="s">
        <v>322</v>
      </c>
      <c r="C1022" s="20" t="s">
        <v>17</v>
      </c>
      <c r="D1022" s="20" t="s">
        <v>12</v>
      </c>
      <c r="E1022" s="20" t="s">
        <v>1382</v>
      </c>
      <c r="F1022" s="20" t="s">
        <v>12</v>
      </c>
      <c r="G1022" s="20">
        <v>2</v>
      </c>
      <c r="H1022" s="20">
        <v>3</v>
      </c>
      <c r="I1022" s="13">
        <v>0.6</v>
      </c>
      <c r="J1022" s="20" t="s">
        <v>249</v>
      </c>
      <c r="L1022" s="20" t="s">
        <v>60</v>
      </c>
      <c r="M1022" s="20" t="s">
        <v>60</v>
      </c>
      <c r="N1022" s="20" t="s">
        <v>12</v>
      </c>
      <c r="O1022" s="20">
        <v>2</v>
      </c>
      <c r="P1022" s="20">
        <v>3</v>
      </c>
      <c r="Q1022" s="13">
        <v>0.93618937525596579</v>
      </c>
      <c r="R1022" s="20" t="s">
        <v>249</v>
      </c>
      <c r="S1022" s="20">
        <v>2.499551071587661</v>
      </c>
      <c r="T1022" s="20" t="s">
        <v>60</v>
      </c>
      <c r="U1022" s="20" t="s">
        <v>60</v>
      </c>
      <c r="V1022" s="20"/>
      <c r="W1022" s="20"/>
      <c r="X1022" s="20" t="s">
        <v>60</v>
      </c>
      <c r="Y1022" s="20" t="s">
        <v>412</v>
      </c>
      <c r="Z1022" s="20" t="s">
        <v>60</v>
      </c>
      <c r="AA1022" s="20" t="s">
        <v>491</v>
      </c>
    </row>
    <row r="1023" spans="1:27" x14ac:dyDescent="0.2">
      <c r="A1023" s="1">
        <v>46091</v>
      </c>
      <c r="B1023" s="20" t="s">
        <v>328</v>
      </c>
      <c r="C1023" s="20" t="s">
        <v>14</v>
      </c>
      <c r="D1023" s="20" t="s">
        <v>25</v>
      </c>
      <c r="E1023" s="20" t="s">
        <v>1383</v>
      </c>
      <c r="F1023" s="20" t="s">
        <v>25</v>
      </c>
      <c r="G1023" s="20">
        <v>2</v>
      </c>
      <c r="H1023" s="20">
        <v>3</v>
      </c>
      <c r="I1023" s="13">
        <v>0.6</v>
      </c>
      <c r="J1023" s="20" t="s">
        <v>249</v>
      </c>
      <c r="L1023" s="20" t="s">
        <v>60</v>
      </c>
      <c r="M1023" s="20" t="s">
        <v>60</v>
      </c>
      <c r="N1023" s="20" t="s">
        <v>25</v>
      </c>
      <c r="O1023" s="20">
        <v>2</v>
      </c>
      <c r="P1023" s="20">
        <v>3</v>
      </c>
      <c r="Q1023" s="13">
        <v>0.62533344061854423</v>
      </c>
      <c r="R1023" s="20" t="s">
        <v>249</v>
      </c>
      <c r="S1023" s="20">
        <v>0.61784010781720522</v>
      </c>
      <c r="T1023" s="20" t="s">
        <v>60</v>
      </c>
      <c r="U1023" s="20" t="s">
        <v>60</v>
      </c>
      <c r="V1023" s="20"/>
      <c r="W1023" s="20"/>
      <c r="X1023" s="20" t="s">
        <v>60</v>
      </c>
      <c r="Y1023" s="20" t="s">
        <v>412</v>
      </c>
      <c r="Z1023" s="20" t="s">
        <v>60</v>
      </c>
      <c r="AA1023" s="20" t="s">
        <v>491</v>
      </c>
    </row>
    <row r="1024" spans="1:27" x14ac:dyDescent="0.2">
      <c r="A1024" s="1">
        <v>46091</v>
      </c>
      <c r="B1024" s="20" t="s">
        <v>328</v>
      </c>
      <c r="C1024" s="20" t="s">
        <v>33</v>
      </c>
      <c r="D1024" s="20" t="s">
        <v>23</v>
      </c>
      <c r="E1024" s="20" t="s">
        <v>1384</v>
      </c>
      <c r="F1024" s="20" t="s">
        <v>23</v>
      </c>
      <c r="G1024" s="20">
        <v>2</v>
      </c>
      <c r="H1024" s="20">
        <v>3</v>
      </c>
      <c r="I1024" s="13">
        <v>0.6</v>
      </c>
      <c r="J1024" s="20" t="s">
        <v>249</v>
      </c>
      <c r="L1024" s="20" t="s">
        <v>60</v>
      </c>
      <c r="M1024" s="20" t="s">
        <v>60</v>
      </c>
      <c r="N1024" s="20" t="s">
        <v>23</v>
      </c>
      <c r="O1024" s="20">
        <v>2</v>
      </c>
      <c r="P1024" s="20">
        <v>3</v>
      </c>
      <c r="Q1024" s="13">
        <v>0.55305553257745377</v>
      </c>
      <c r="R1024" s="20" t="s">
        <v>249</v>
      </c>
      <c r="S1024" s="20">
        <v>2.512130556481618E-2</v>
      </c>
      <c r="T1024" s="20" t="s">
        <v>60</v>
      </c>
      <c r="U1024" s="20" t="s">
        <v>60</v>
      </c>
      <c r="V1024" s="20"/>
      <c r="W1024" s="20"/>
      <c r="X1024" s="20" t="s">
        <v>60</v>
      </c>
      <c r="Y1024" s="20" t="s">
        <v>412</v>
      </c>
      <c r="Z1024" s="20" t="s">
        <v>60</v>
      </c>
      <c r="AA1024" s="20" t="s">
        <v>491</v>
      </c>
    </row>
    <row r="1025" spans="1:27" x14ac:dyDescent="0.2">
      <c r="A1025" s="1">
        <v>46091</v>
      </c>
      <c r="B1025" s="20" t="s">
        <v>328</v>
      </c>
      <c r="C1025" s="20" t="s">
        <v>13</v>
      </c>
      <c r="D1025" s="20" t="s">
        <v>21</v>
      </c>
      <c r="E1025" s="20" t="s">
        <v>1385</v>
      </c>
      <c r="F1025" s="20" t="s">
        <v>21</v>
      </c>
      <c r="G1025" s="20">
        <v>2</v>
      </c>
      <c r="H1025" s="20">
        <v>3</v>
      </c>
      <c r="I1025" s="13">
        <v>0.6</v>
      </c>
      <c r="J1025" s="20" t="s">
        <v>249</v>
      </c>
      <c r="L1025" s="20" t="s">
        <v>60</v>
      </c>
      <c r="M1025" s="20" t="s">
        <v>60</v>
      </c>
      <c r="N1025" s="20" t="s">
        <v>21</v>
      </c>
      <c r="O1025" s="20">
        <v>2</v>
      </c>
      <c r="P1025" s="20">
        <v>3</v>
      </c>
      <c r="Q1025" s="13">
        <v>0.53690626798232133</v>
      </c>
      <c r="R1025" s="20" t="s">
        <v>249</v>
      </c>
      <c r="S1025" s="20">
        <v>0.16841458715264451</v>
      </c>
      <c r="T1025" s="20" t="s">
        <v>60</v>
      </c>
      <c r="U1025" s="20" t="s">
        <v>60</v>
      </c>
      <c r="V1025" s="20"/>
      <c r="W1025" s="20"/>
      <c r="X1025" s="20" t="s">
        <v>60</v>
      </c>
      <c r="Y1025" s="20" t="s">
        <v>412</v>
      </c>
      <c r="Z1025" s="20" t="s">
        <v>60</v>
      </c>
      <c r="AA1025" s="20" t="s">
        <v>491</v>
      </c>
    </row>
    <row r="1026" spans="1:27" x14ac:dyDescent="0.2">
      <c r="A1026" s="1">
        <v>46092</v>
      </c>
      <c r="B1026" s="20" t="s">
        <v>334</v>
      </c>
      <c r="C1026" s="20" t="s">
        <v>18</v>
      </c>
      <c r="D1026" s="20" t="s">
        <v>36</v>
      </c>
      <c r="E1026" s="20" t="s">
        <v>1207</v>
      </c>
      <c r="F1026" s="20" t="s">
        <v>36</v>
      </c>
      <c r="G1026" s="20">
        <v>2</v>
      </c>
      <c r="H1026" s="20">
        <v>3</v>
      </c>
      <c r="I1026" s="13">
        <v>0.6</v>
      </c>
      <c r="J1026" s="20" t="s">
        <v>249</v>
      </c>
      <c r="L1026" s="20" t="s">
        <v>60</v>
      </c>
      <c r="M1026" s="20" t="s">
        <v>60</v>
      </c>
      <c r="N1026" s="20" t="s">
        <v>36</v>
      </c>
      <c r="O1026" s="20">
        <v>2</v>
      </c>
      <c r="P1026" s="20">
        <v>3</v>
      </c>
      <c r="Q1026" s="13">
        <v>0.49623074346744273</v>
      </c>
      <c r="R1026" s="20" t="s">
        <v>249</v>
      </c>
      <c r="S1026" s="20">
        <v>0.111414326332149</v>
      </c>
      <c r="T1026" s="20" t="s">
        <v>60</v>
      </c>
      <c r="U1026" s="20" t="s">
        <v>60</v>
      </c>
      <c r="V1026" s="20"/>
      <c r="W1026" s="20"/>
      <c r="X1026" s="20" t="s">
        <v>60</v>
      </c>
      <c r="Y1026" s="20" t="s">
        <v>412</v>
      </c>
      <c r="Z1026" s="20" t="s">
        <v>60</v>
      </c>
      <c r="AA1026" s="20" t="s">
        <v>491</v>
      </c>
    </row>
    <row r="1027" spans="1:27" x14ac:dyDescent="0.2">
      <c r="A1027" s="1">
        <v>46092</v>
      </c>
      <c r="B1027" s="20" t="s">
        <v>334</v>
      </c>
      <c r="C1027" s="20" t="s">
        <v>22</v>
      </c>
      <c r="D1027" s="20" t="s">
        <v>27</v>
      </c>
      <c r="E1027" s="20" t="s">
        <v>1299</v>
      </c>
      <c r="F1027" s="20" t="s">
        <v>22</v>
      </c>
      <c r="G1027" s="20">
        <v>2</v>
      </c>
      <c r="H1027" s="20">
        <v>3</v>
      </c>
      <c r="I1027" s="13">
        <v>0.6</v>
      </c>
      <c r="J1027" s="20" t="s">
        <v>249</v>
      </c>
      <c r="L1027" s="20" t="s">
        <v>60</v>
      </c>
      <c r="M1027" s="20" t="s">
        <v>60</v>
      </c>
      <c r="N1027" s="20" t="s">
        <v>22</v>
      </c>
      <c r="O1027" s="20">
        <v>2</v>
      </c>
      <c r="P1027" s="20">
        <v>3</v>
      </c>
      <c r="Q1027" s="13">
        <v>0.57840310122428151</v>
      </c>
      <c r="R1027" s="20" t="s">
        <v>249</v>
      </c>
      <c r="S1027" s="20">
        <v>-0.7710460674369104</v>
      </c>
      <c r="T1027" s="20" t="s">
        <v>60</v>
      </c>
      <c r="U1027" s="20" t="s">
        <v>60</v>
      </c>
      <c r="V1027" s="20"/>
      <c r="W1027" s="20"/>
      <c r="X1027" s="20" t="s">
        <v>60</v>
      </c>
      <c r="Y1027" s="20" t="s">
        <v>412</v>
      </c>
      <c r="Z1027" s="20" t="s">
        <v>60</v>
      </c>
      <c r="AA1027" s="20" t="s">
        <v>491</v>
      </c>
    </row>
    <row r="1028" spans="1:27" x14ac:dyDescent="0.2">
      <c r="A1028" s="1">
        <v>46093</v>
      </c>
      <c r="B1028" s="20" t="s">
        <v>324</v>
      </c>
      <c r="C1028" s="20" t="s">
        <v>15</v>
      </c>
      <c r="D1028" s="20" t="s">
        <v>40</v>
      </c>
      <c r="E1028" s="20" t="s">
        <v>1386</v>
      </c>
      <c r="F1028" s="20" t="s">
        <v>40</v>
      </c>
      <c r="G1028" s="20">
        <v>2</v>
      </c>
      <c r="H1028" s="20">
        <v>3</v>
      </c>
      <c r="I1028" s="13">
        <v>0.6</v>
      </c>
      <c r="J1028" s="20" t="s">
        <v>249</v>
      </c>
      <c r="L1028" s="20" t="s">
        <v>60</v>
      </c>
      <c r="M1028" s="20" t="s">
        <v>60</v>
      </c>
      <c r="N1028" s="20" t="s">
        <v>40</v>
      </c>
      <c r="O1028" s="20">
        <v>2</v>
      </c>
      <c r="P1028" s="20">
        <v>3</v>
      </c>
      <c r="Q1028" s="13">
        <v>0.44551310452192272</v>
      </c>
      <c r="R1028" s="20" t="s">
        <v>249</v>
      </c>
      <c r="S1028" s="20">
        <v>2.6692909624313529E-2</v>
      </c>
      <c r="T1028" s="20" t="s">
        <v>60</v>
      </c>
      <c r="U1028" s="20" t="s">
        <v>60</v>
      </c>
      <c r="V1028" s="20"/>
      <c r="W1028" s="20"/>
      <c r="X1028" s="20" t="s">
        <v>60</v>
      </c>
      <c r="Y1028" s="20" t="s">
        <v>412</v>
      </c>
      <c r="Z1028" s="20" t="s">
        <v>60</v>
      </c>
      <c r="AA1028" s="20" t="s">
        <v>491</v>
      </c>
    </row>
    <row r="1029" spans="1:27" x14ac:dyDescent="0.2">
      <c r="A1029" s="1">
        <v>46093</v>
      </c>
      <c r="B1029" s="20" t="s">
        <v>322</v>
      </c>
      <c r="C1029" s="20" t="s">
        <v>14</v>
      </c>
      <c r="D1029" s="20" t="s">
        <v>20</v>
      </c>
      <c r="E1029" s="20" t="s">
        <v>1387</v>
      </c>
      <c r="F1029" s="20" t="s">
        <v>14</v>
      </c>
      <c r="G1029" s="20">
        <v>2</v>
      </c>
      <c r="H1029" s="20">
        <v>3</v>
      </c>
      <c r="I1029" s="13">
        <v>0.6</v>
      </c>
      <c r="J1029" s="20" t="s">
        <v>249</v>
      </c>
      <c r="L1029" s="20" t="s">
        <v>60</v>
      </c>
      <c r="M1029" s="20" t="s">
        <v>60</v>
      </c>
      <c r="N1029" s="20" t="s">
        <v>14</v>
      </c>
      <c r="O1029" s="20">
        <v>2</v>
      </c>
      <c r="P1029" s="20">
        <v>3</v>
      </c>
      <c r="Q1029" s="13">
        <v>0.50539071141024106</v>
      </c>
      <c r="R1029" s="20" t="s">
        <v>249</v>
      </c>
      <c r="S1029" s="20">
        <v>-5.2275859831983927E-2</v>
      </c>
      <c r="T1029" s="20" t="s">
        <v>60</v>
      </c>
      <c r="U1029" s="20" t="s">
        <v>60</v>
      </c>
      <c r="V1029" s="20"/>
      <c r="W1029" s="20"/>
      <c r="X1029" s="20" t="s">
        <v>60</v>
      </c>
      <c r="Y1029" s="20" t="s">
        <v>412</v>
      </c>
      <c r="Z1029" s="20" t="s">
        <v>60</v>
      </c>
      <c r="AA1029" s="20" t="s">
        <v>491</v>
      </c>
    </row>
    <row r="1030" spans="1:27" x14ac:dyDescent="0.2">
      <c r="A1030" s="1">
        <v>46093</v>
      </c>
      <c r="B1030" s="20" t="s">
        <v>326</v>
      </c>
      <c r="C1030" s="20" t="s">
        <v>10</v>
      </c>
      <c r="D1030" s="20" t="s">
        <v>55</v>
      </c>
      <c r="E1030" s="20" t="s">
        <v>1331</v>
      </c>
      <c r="F1030" s="20" t="s">
        <v>10</v>
      </c>
      <c r="G1030" s="20">
        <v>2</v>
      </c>
      <c r="H1030" s="20">
        <v>3</v>
      </c>
      <c r="I1030" s="13">
        <v>0.6</v>
      </c>
      <c r="J1030" s="20" t="s">
        <v>249</v>
      </c>
      <c r="L1030" s="20" t="s">
        <v>60</v>
      </c>
      <c r="M1030" s="20" t="s">
        <v>60</v>
      </c>
      <c r="N1030" s="20" t="s">
        <v>10</v>
      </c>
      <c r="O1030" s="20">
        <v>2</v>
      </c>
      <c r="P1030" s="20">
        <v>3</v>
      </c>
      <c r="Q1030" s="13">
        <v>0.44023925403906528</v>
      </c>
      <c r="R1030" s="20" t="s">
        <v>249</v>
      </c>
      <c r="S1030" s="20">
        <v>-0.17702628491370639</v>
      </c>
      <c r="T1030" s="20" t="s">
        <v>60</v>
      </c>
      <c r="U1030" s="20" t="s">
        <v>60</v>
      </c>
      <c r="V1030" s="20"/>
      <c r="W1030" s="20"/>
      <c r="X1030" s="20" t="s">
        <v>60</v>
      </c>
      <c r="Y1030" s="20" t="s">
        <v>412</v>
      </c>
      <c r="Z1030" s="20" t="s">
        <v>60</v>
      </c>
      <c r="AA1030" s="20" t="s">
        <v>491</v>
      </c>
    </row>
    <row r="1031" spans="1:27" x14ac:dyDescent="0.2">
      <c r="A1031" s="1">
        <v>46093</v>
      </c>
      <c r="B1031" s="20" t="s">
        <v>328</v>
      </c>
      <c r="C1031" s="20" t="s">
        <v>31</v>
      </c>
      <c r="D1031" s="20" t="s">
        <v>19</v>
      </c>
      <c r="E1031" s="20" t="s">
        <v>1388</v>
      </c>
      <c r="F1031" s="20" t="s">
        <v>31</v>
      </c>
      <c r="G1031" s="20">
        <v>2</v>
      </c>
      <c r="H1031" s="20">
        <v>3</v>
      </c>
      <c r="I1031" s="13">
        <v>0.6</v>
      </c>
      <c r="J1031" s="20" t="s">
        <v>249</v>
      </c>
      <c r="L1031" s="20" t="s">
        <v>60</v>
      </c>
      <c r="M1031" s="20" t="s">
        <v>60</v>
      </c>
      <c r="N1031" s="20" t="s">
        <v>31</v>
      </c>
      <c r="O1031" s="20">
        <v>2</v>
      </c>
      <c r="P1031" s="20">
        <v>3</v>
      </c>
      <c r="Q1031" s="13">
        <v>0.56989353689022348</v>
      </c>
      <c r="R1031" s="20" t="s">
        <v>249</v>
      </c>
      <c r="S1031" s="20">
        <v>-0.76328086423508434</v>
      </c>
      <c r="T1031" s="20" t="s">
        <v>60</v>
      </c>
      <c r="U1031" s="20" t="s">
        <v>60</v>
      </c>
      <c r="V1031" s="20"/>
      <c r="W1031" s="20"/>
      <c r="X1031" s="20" t="s">
        <v>60</v>
      </c>
      <c r="Y1031" s="20" t="s">
        <v>412</v>
      </c>
      <c r="Z1031" s="20" t="s">
        <v>60</v>
      </c>
      <c r="AA1031" s="20" t="s">
        <v>491</v>
      </c>
    </row>
    <row r="1032" spans="1:27" x14ac:dyDescent="0.2">
      <c r="A1032" s="1">
        <v>46093</v>
      </c>
      <c r="B1032" s="20" t="s">
        <v>328</v>
      </c>
      <c r="C1032" s="20" t="s">
        <v>26</v>
      </c>
      <c r="D1032" s="20" t="s">
        <v>37</v>
      </c>
      <c r="E1032" s="20" t="s">
        <v>1389</v>
      </c>
      <c r="F1032" s="20" t="s">
        <v>37</v>
      </c>
      <c r="G1032" s="20">
        <v>2</v>
      </c>
      <c r="H1032" s="20">
        <v>3</v>
      </c>
      <c r="I1032" s="13">
        <v>0.6</v>
      </c>
      <c r="J1032" s="20" t="s">
        <v>249</v>
      </c>
      <c r="L1032" s="20" t="s">
        <v>60</v>
      </c>
      <c r="M1032" s="20" t="s">
        <v>60</v>
      </c>
      <c r="N1032" s="20" t="s">
        <v>37</v>
      </c>
      <c r="O1032" s="20">
        <v>2</v>
      </c>
      <c r="P1032" s="20">
        <v>3</v>
      </c>
      <c r="Q1032" s="13">
        <v>0.73989051508295656</v>
      </c>
      <c r="R1032" s="20" t="s">
        <v>249</v>
      </c>
      <c r="S1032" s="20">
        <v>1.435745260702076</v>
      </c>
      <c r="T1032" s="20" t="s">
        <v>60</v>
      </c>
      <c r="U1032" s="20" t="s">
        <v>60</v>
      </c>
      <c r="V1032" s="20"/>
      <c r="W1032" s="20"/>
      <c r="X1032" s="20" t="s">
        <v>60</v>
      </c>
      <c r="Y1032" s="20" t="s">
        <v>412</v>
      </c>
      <c r="Z1032" s="20" t="s">
        <v>60</v>
      </c>
      <c r="AA1032" s="20" t="s">
        <v>491</v>
      </c>
    </row>
    <row r="1033" spans="1:27" x14ac:dyDescent="0.2">
      <c r="A1033" s="1">
        <v>46093</v>
      </c>
      <c r="B1033" s="20" t="s">
        <v>322</v>
      </c>
      <c r="C1033" s="20" t="s">
        <v>12</v>
      </c>
      <c r="D1033" s="20" t="s">
        <v>32</v>
      </c>
      <c r="E1033" s="20" t="s">
        <v>1012</v>
      </c>
      <c r="F1033" s="20" t="s">
        <v>12</v>
      </c>
      <c r="G1033" s="20">
        <v>2</v>
      </c>
      <c r="H1033" s="20">
        <v>3</v>
      </c>
      <c r="I1033" s="13">
        <v>0.6</v>
      </c>
      <c r="J1033" s="20" t="s">
        <v>249</v>
      </c>
      <c r="L1033" s="20" t="s">
        <v>60</v>
      </c>
      <c r="M1033" s="20" t="s">
        <v>60</v>
      </c>
      <c r="N1033" s="20" t="s">
        <v>12</v>
      </c>
      <c r="O1033" s="20">
        <v>2</v>
      </c>
      <c r="P1033" s="20">
        <v>3</v>
      </c>
      <c r="Q1033" s="13">
        <v>0.79316973383163425</v>
      </c>
      <c r="R1033" s="20" t="s">
        <v>249</v>
      </c>
      <c r="S1033" s="20">
        <v>-2.2313801447819031</v>
      </c>
      <c r="T1033" s="20" t="s">
        <v>60</v>
      </c>
      <c r="U1033" s="20" t="s">
        <v>60</v>
      </c>
      <c r="V1033" s="20"/>
      <c r="W1033" s="20"/>
      <c r="X1033" s="20" t="s">
        <v>60</v>
      </c>
      <c r="Y1033" s="20" t="s">
        <v>412</v>
      </c>
      <c r="Z1033" s="20" t="s">
        <v>60</v>
      </c>
      <c r="AA1033" s="20" t="s">
        <v>491</v>
      </c>
    </row>
    <row r="1034" spans="1:27" x14ac:dyDescent="0.2">
      <c r="A1034" s="1">
        <v>46093</v>
      </c>
      <c r="B1034" s="20" t="s">
        <v>322</v>
      </c>
      <c r="C1034" s="20" t="s">
        <v>29</v>
      </c>
      <c r="D1034" s="20" t="s">
        <v>38</v>
      </c>
      <c r="E1034" s="20" t="s">
        <v>1390</v>
      </c>
      <c r="F1034" s="20" t="s">
        <v>38</v>
      </c>
      <c r="G1034" s="20">
        <v>2</v>
      </c>
      <c r="H1034" s="20">
        <v>3</v>
      </c>
      <c r="I1034" s="13">
        <v>0.6</v>
      </c>
      <c r="J1034" s="20" t="s">
        <v>249</v>
      </c>
      <c r="L1034" s="20" t="s">
        <v>60</v>
      </c>
      <c r="M1034" s="20" t="s">
        <v>60</v>
      </c>
      <c r="N1034" s="20" t="s">
        <v>38</v>
      </c>
      <c r="O1034" s="20">
        <v>2</v>
      </c>
      <c r="P1034" s="20">
        <v>3</v>
      </c>
      <c r="Q1034" s="13">
        <v>0.59688081708978125</v>
      </c>
      <c r="R1034" s="20" t="s">
        <v>249</v>
      </c>
      <c r="S1034" s="20">
        <v>0.48714027762241929</v>
      </c>
      <c r="T1034" s="20" t="s">
        <v>60</v>
      </c>
      <c r="U1034" s="20" t="s">
        <v>60</v>
      </c>
      <c r="V1034" s="20"/>
      <c r="W1034" s="20"/>
      <c r="X1034" s="20" t="s">
        <v>60</v>
      </c>
      <c r="Y1034" s="20" t="s">
        <v>412</v>
      </c>
      <c r="Z1034" s="20" t="s">
        <v>60</v>
      </c>
      <c r="AA1034" s="20" t="s">
        <v>491</v>
      </c>
    </row>
    <row r="1035" spans="1:27" x14ac:dyDescent="0.2">
      <c r="A1035" s="1">
        <v>46093</v>
      </c>
      <c r="B1035" s="20" t="s">
        <v>324</v>
      </c>
      <c r="C1035" s="20" t="s">
        <v>27</v>
      </c>
      <c r="D1035" s="20" t="s">
        <v>34</v>
      </c>
      <c r="E1035" s="20" t="s">
        <v>1391</v>
      </c>
      <c r="F1035" s="20" t="s">
        <v>34</v>
      </c>
      <c r="G1035" s="20">
        <v>2</v>
      </c>
      <c r="H1035" s="20">
        <v>3</v>
      </c>
      <c r="I1035" s="13">
        <v>0.6</v>
      </c>
      <c r="J1035" s="20" t="s">
        <v>249</v>
      </c>
      <c r="L1035" s="20" t="s">
        <v>60</v>
      </c>
      <c r="M1035" s="20" t="s">
        <v>60</v>
      </c>
      <c r="N1035" s="20" t="s">
        <v>34</v>
      </c>
      <c r="O1035" s="20">
        <v>2</v>
      </c>
      <c r="P1035" s="20">
        <v>3</v>
      </c>
      <c r="Q1035" s="13">
        <v>0.54127603689676229</v>
      </c>
      <c r="R1035" s="20" t="s">
        <v>249</v>
      </c>
      <c r="S1035" s="20">
        <v>0.37501554497999973</v>
      </c>
      <c r="T1035" s="20" t="s">
        <v>60</v>
      </c>
      <c r="U1035" s="20" t="s">
        <v>60</v>
      </c>
      <c r="V1035" s="20"/>
      <c r="W1035" s="20"/>
      <c r="X1035" s="20" t="s">
        <v>60</v>
      </c>
      <c r="Y1035" s="20" t="s">
        <v>412</v>
      </c>
      <c r="Z1035" s="20" t="s">
        <v>60</v>
      </c>
      <c r="AA1035" s="20" t="s">
        <v>491</v>
      </c>
    </row>
    <row r="1036" spans="1:27" x14ac:dyDescent="0.2">
      <c r="A1036" s="1">
        <v>46093</v>
      </c>
      <c r="B1036" s="20" t="s">
        <v>328</v>
      </c>
      <c r="C1036" s="20" t="s">
        <v>28</v>
      </c>
      <c r="D1036" s="20" t="s">
        <v>11</v>
      </c>
      <c r="E1036" s="20" t="s">
        <v>946</v>
      </c>
      <c r="F1036" s="20" t="s">
        <v>11</v>
      </c>
      <c r="G1036" s="20">
        <v>2</v>
      </c>
      <c r="H1036" s="20">
        <v>3</v>
      </c>
      <c r="I1036" s="13">
        <v>0.6</v>
      </c>
      <c r="J1036" s="20" t="s">
        <v>249</v>
      </c>
      <c r="L1036" s="20" t="s">
        <v>60</v>
      </c>
      <c r="M1036" s="20" t="s">
        <v>60</v>
      </c>
      <c r="N1036" s="20" t="s">
        <v>11</v>
      </c>
      <c r="O1036" s="20">
        <v>2</v>
      </c>
      <c r="P1036" s="20">
        <v>3</v>
      </c>
      <c r="Q1036" s="13">
        <v>0.57938973736099397</v>
      </c>
      <c r="R1036" s="20" t="s">
        <v>249</v>
      </c>
      <c r="S1036" s="20">
        <v>0.24777186220959621</v>
      </c>
      <c r="T1036" s="20" t="s">
        <v>60</v>
      </c>
      <c r="U1036" s="20" t="s">
        <v>60</v>
      </c>
      <c r="V1036" s="20"/>
      <c r="W1036" s="20"/>
      <c r="X1036" s="20" t="s">
        <v>60</v>
      </c>
      <c r="Y1036" s="20" t="s">
        <v>412</v>
      </c>
      <c r="Z1036" s="20" t="s">
        <v>60</v>
      </c>
      <c r="AA1036" s="20" t="s">
        <v>491</v>
      </c>
    </row>
    <row r="1037" spans="1:27" x14ac:dyDescent="0.2">
      <c r="A1037" s="1">
        <v>46093</v>
      </c>
      <c r="B1037" s="20" t="s">
        <v>324</v>
      </c>
      <c r="C1037" s="20" t="s">
        <v>17</v>
      </c>
      <c r="D1037" s="20" t="s">
        <v>39</v>
      </c>
      <c r="E1037" s="20" t="s">
        <v>784</v>
      </c>
      <c r="F1037" s="20" t="s">
        <v>39</v>
      </c>
      <c r="G1037" s="20">
        <v>2</v>
      </c>
      <c r="H1037" s="20">
        <v>3</v>
      </c>
      <c r="I1037" s="13">
        <v>0.6</v>
      </c>
      <c r="J1037" s="20" t="s">
        <v>249</v>
      </c>
      <c r="L1037" s="20" t="s">
        <v>60</v>
      </c>
      <c r="M1037" s="20" t="s">
        <v>60</v>
      </c>
      <c r="N1037" s="20" t="s">
        <v>39</v>
      </c>
      <c r="O1037" s="20">
        <v>2</v>
      </c>
      <c r="P1037" s="20">
        <v>3</v>
      </c>
      <c r="Q1037" s="13">
        <v>0.72183222092408972</v>
      </c>
      <c r="R1037" s="20" t="s">
        <v>249</v>
      </c>
      <c r="S1037" s="20">
        <v>1.2810899150158039</v>
      </c>
      <c r="T1037" s="20" t="s">
        <v>60</v>
      </c>
      <c r="U1037" s="20" t="s">
        <v>60</v>
      </c>
      <c r="V1037" s="20"/>
      <c r="W1037" s="20"/>
      <c r="X1037" s="20" t="s">
        <v>60</v>
      </c>
      <c r="Y1037" s="20" t="s">
        <v>412</v>
      </c>
      <c r="Z1037" s="20" t="s">
        <v>60</v>
      </c>
      <c r="AA1037" s="20" t="s">
        <v>491</v>
      </c>
    </row>
    <row r="1038" spans="1:27" x14ac:dyDescent="0.2">
      <c r="A1038" s="1">
        <v>46093</v>
      </c>
      <c r="B1038" s="20" t="s">
        <v>328</v>
      </c>
      <c r="C1038" s="20" t="s">
        <v>35</v>
      </c>
      <c r="D1038" s="20" t="s">
        <v>25</v>
      </c>
      <c r="E1038" s="20" t="s">
        <v>1392</v>
      </c>
      <c r="F1038" s="20" t="s">
        <v>25</v>
      </c>
      <c r="G1038" s="20">
        <v>2</v>
      </c>
      <c r="H1038" s="20">
        <v>3</v>
      </c>
      <c r="I1038" s="13">
        <v>0.6</v>
      </c>
      <c r="J1038" s="20" t="s">
        <v>249</v>
      </c>
      <c r="L1038" s="20" t="s">
        <v>60</v>
      </c>
      <c r="M1038" s="20" t="s">
        <v>60</v>
      </c>
      <c r="N1038" s="20" t="s">
        <v>25</v>
      </c>
      <c r="O1038" s="20">
        <v>2</v>
      </c>
      <c r="P1038" s="20">
        <v>3</v>
      </c>
      <c r="Q1038" s="13">
        <v>0.81007241100715621</v>
      </c>
      <c r="R1038" s="20" t="s">
        <v>249</v>
      </c>
      <c r="S1038" s="20">
        <v>1.8700542581994379</v>
      </c>
      <c r="T1038" s="20" t="s">
        <v>60</v>
      </c>
      <c r="U1038" s="20" t="s">
        <v>60</v>
      </c>
      <c r="V1038" s="20"/>
      <c r="W1038" s="20"/>
      <c r="X1038" s="20" t="s">
        <v>60</v>
      </c>
      <c r="Y1038" s="20" t="s">
        <v>412</v>
      </c>
      <c r="Z1038" s="20" t="s">
        <v>60</v>
      </c>
      <c r="AA1038" s="20" t="s">
        <v>491</v>
      </c>
    </row>
    <row r="1039" spans="1:27" x14ac:dyDescent="0.2">
      <c r="A1039" s="1">
        <v>46093</v>
      </c>
      <c r="B1039" s="20" t="s">
        <v>328</v>
      </c>
      <c r="C1039" s="20" t="s">
        <v>22</v>
      </c>
      <c r="D1039" s="20" t="s">
        <v>23</v>
      </c>
      <c r="E1039" s="20" t="s">
        <v>766</v>
      </c>
      <c r="F1039" s="20" t="s">
        <v>22</v>
      </c>
      <c r="G1039" s="20">
        <v>2</v>
      </c>
      <c r="H1039" s="20">
        <v>3</v>
      </c>
      <c r="I1039" s="13">
        <v>0.6</v>
      </c>
      <c r="J1039" s="20" t="s">
        <v>249</v>
      </c>
      <c r="L1039" s="20" t="s">
        <v>60</v>
      </c>
      <c r="M1039" s="20" t="s">
        <v>60</v>
      </c>
      <c r="N1039" s="20" t="s">
        <v>22</v>
      </c>
      <c r="O1039" s="20">
        <v>2</v>
      </c>
      <c r="P1039" s="20">
        <v>3</v>
      </c>
      <c r="Q1039" s="13">
        <v>0.59353303745986197</v>
      </c>
      <c r="R1039" s="20" t="s">
        <v>249</v>
      </c>
      <c r="S1039" s="20">
        <v>-0.86691691967118412</v>
      </c>
      <c r="T1039" s="20" t="s">
        <v>60</v>
      </c>
      <c r="U1039" s="20" t="s">
        <v>60</v>
      </c>
      <c r="V1039" s="20"/>
      <c r="W1039" s="20"/>
      <c r="X1039" s="20" t="s">
        <v>60</v>
      </c>
      <c r="Y1039" s="20" t="s">
        <v>412</v>
      </c>
      <c r="Z1039" s="20" t="s">
        <v>60</v>
      </c>
      <c r="AA1039" s="20" t="s">
        <v>491</v>
      </c>
    </row>
    <row r="1040" spans="1:27" x14ac:dyDescent="0.2">
      <c r="A1040" s="1">
        <v>46093</v>
      </c>
      <c r="B1040" s="20" t="s">
        <v>328</v>
      </c>
      <c r="C1040" s="20" t="s">
        <v>33</v>
      </c>
      <c r="D1040" s="20" t="s">
        <v>21</v>
      </c>
      <c r="E1040" s="20" t="s">
        <v>1393</v>
      </c>
      <c r="F1040" s="20" t="s">
        <v>21</v>
      </c>
      <c r="G1040" s="20">
        <v>2</v>
      </c>
      <c r="H1040" s="20">
        <v>3</v>
      </c>
      <c r="I1040" s="13">
        <v>0.6</v>
      </c>
      <c r="J1040" s="20" t="s">
        <v>249</v>
      </c>
      <c r="L1040" s="20" t="s">
        <v>60</v>
      </c>
      <c r="M1040" s="20" t="s">
        <v>60</v>
      </c>
      <c r="N1040" s="20" t="s">
        <v>21</v>
      </c>
      <c r="O1040" s="20">
        <v>2</v>
      </c>
      <c r="P1040" s="20">
        <v>3</v>
      </c>
      <c r="Q1040" s="13">
        <v>0.61576639475163519</v>
      </c>
      <c r="R1040" s="20" t="s">
        <v>249</v>
      </c>
      <c r="S1040" s="20">
        <v>0.28146198085767432</v>
      </c>
      <c r="T1040" s="20" t="s">
        <v>60</v>
      </c>
      <c r="U1040" s="20" t="s">
        <v>60</v>
      </c>
      <c r="V1040" s="20"/>
      <c r="W1040" s="20"/>
      <c r="X1040" s="20" t="s">
        <v>60</v>
      </c>
      <c r="Y1040" s="20" t="s">
        <v>412</v>
      </c>
      <c r="Z1040" s="20" t="s">
        <v>60</v>
      </c>
      <c r="AA1040" s="20" t="s">
        <v>491</v>
      </c>
    </row>
    <row r="1041" spans="1:27" x14ac:dyDescent="0.2">
      <c r="A1041" s="1">
        <v>46093</v>
      </c>
      <c r="B1041" s="20" t="s">
        <v>328</v>
      </c>
      <c r="C1041" s="20" t="s">
        <v>16</v>
      </c>
      <c r="D1041" s="20" t="s">
        <v>24</v>
      </c>
      <c r="E1041" s="20" t="s">
        <v>1394</v>
      </c>
      <c r="F1041" s="20" t="s">
        <v>24</v>
      </c>
      <c r="G1041" s="20">
        <v>2</v>
      </c>
      <c r="H1041" s="20">
        <v>3</v>
      </c>
      <c r="I1041" s="13">
        <v>0.6</v>
      </c>
      <c r="J1041" s="20" t="s">
        <v>249</v>
      </c>
      <c r="L1041" s="20" t="s">
        <v>60</v>
      </c>
      <c r="M1041" s="20" t="s">
        <v>60</v>
      </c>
      <c r="N1041" s="20" t="s">
        <v>24</v>
      </c>
      <c r="O1041" s="20">
        <v>2</v>
      </c>
      <c r="P1041" s="20">
        <v>3</v>
      </c>
      <c r="Q1041" s="13">
        <v>0.75028573316221547</v>
      </c>
      <c r="R1041" s="20" t="s">
        <v>249</v>
      </c>
      <c r="S1041" s="20">
        <v>1.117212278732387</v>
      </c>
      <c r="T1041" s="20" t="s">
        <v>60</v>
      </c>
      <c r="U1041" s="20" t="s">
        <v>60</v>
      </c>
      <c r="V1041" s="20"/>
      <c r="W1041" s="20"/>
      <c r="X1041" s="20" t="s">
        <v>60</v>
      </c>
      <c r="Y1041" s="20" t="s">
        <v>412</v>
      </c>
      <c r="Z1041" s="20" t="s">
        <v>60</v>
      </c>
      <c r="AA1041" s="20" t="s">
        <v>491</v>
      </c>
    </row>
    <row r="1042" spans="1:27" x14ac:dyDescent="0.2">
      <c r="A1042" s="1">
        <v>46094</v>
      </c>
      <c r="B1042" s="20" t="s">
        <v>328</v>
      </c>
      <c r="C1042" s="20" t="s">
        <v>13</v>
      </c>
      <c r="D1042" s="20" t="s">
        <v>30</v>
      </c>
      <c r="E1042" s="20" t="s">
        <v>1395</v>
      </c>
      <c r="F1042" s="20" t="s">
        <v>30</v>
      </c>
      <c r="G1042" s="20">
        <v>2</v>
      </c>
      <c r="H1042" s="20">
        <v>3</v>
      </c>
      <c r="I1042" s="13">
        <v>0.6</v>
      </c>
      <c r="J1042" s="20" t="s">
        <v>249</v>
      </c>
      <c r="L1042" s="20" t="s">
        <v>60</v>
      </c>
      <c r="M1042" s="20" t="s">
        <v>60</v>
      </c>
      <c r="N1042" s="20" t="s">
        <v>30</v>
      </c>
      <c r="O1042" s="20">
        <v>2</v>
      </c>
      <c r="P1042" s="20">
        <v>3</v>
      </c>
      <c r="Q1042" s="13">
        <v>0.49087809569696272</v>
      </c>
      <c r="R1042" s="20" t="s">
        <v>249</v>
      </c>
      <c r="S1042" s="20">
        <v>0.1472523501590435</v>
      </c>
      <c r="T1042" s="20" t="s">
        <v>60</v>
      </c>
      <c r="U1042" s="20" t="s">
        <v>60</v>
      </c>
      <c r="V1042" s="20"/>
      <c r="W1042" s="20"/>
      <c r="X1042" s="20" t="s">
        <v>60</v>
      </c>
      <c r="Y1042" s="20" t="s">
        <v>412</v>
      </c>
      <c r="Z1042" s="20" t="s">
        <v>60</v>
      </c>
      <c r="AA1042" s="20" t="s">
        <v>491</v>
      </c>
    </row>
    <row r="1043" spans="1:27" x14ac:dyDescent="0.2">
      <c r="A1043" s="1">
        <v>46094</v>
      </c>
      <c r="B1043" s="20" t="s">
        <v>324</v>
      </c>
      <c r="C1043" s="20" t="s">
        <v>17</v>
      </c>
      <c r="D1043" s="20" t="s">
        <v>35</v>
      </c>
      <c r="E1043" s="20" t="s">
        <v>776</v>
      </c>
      <c r="F1043" s="20" t="s">
        <v>17</v>
      </c>
      <c r="G1043" s="20">
        <v>2</v>
      </c>
      <c r="H1043" s="20">
        <v>3</v>
      </c>
      <c r="I1043" s="13">
        <v>0.6</v>
      </c>
      <c r="J1043" s="20" t="s">
        <v>249</v>
      </c>
      <c r="L1043" s="20" t="s">
        <v>60</v>
      </c>
      <c r="M1043" s="20" t="s">
        <v>60</v>
      </c>
      <c r="N1043" s="20" t="s">
        <v>17</v>
      </c>
      <c r="O1043" s="20">
        <v>2</v>
      </c>
      <c r="P1043" s="20">
        <v>3</v>
      </c>
      <c r="Q1043" s="13">
        <v>0.52151528990839591</v>
      </c>
      <c r="R1043" s="20" t="s">
        <v>249</v>
      </c>
      <c r="S1043" s="20">
        <v>-0.52683095878703834</v>
      </c>
      <c r="T1043" s="20" t="s">
        <v>60</v>
      </c>
      <c r="U1043" s="20" t="s">
        <v>60</v>
      </c>
      <c r="V1043" s="20"/>
      <c r="W1043" s="20"/>
      <c r="X1043" s="20" t="s">
        <v>60</v>
      </c>
      <c r="Y1043" s="20" t="s">
        <v>412</v>
      </c>
      <c r="Z1043" s="20" t="s">
        <v>60</v>
      </c>
      <c r="AA1043" s="20" t="s">
        <v>491</v>
      </c>
    </row>
    <row r="1044" spans="1:27" x14ac:dyDescent="0.2">
      <c r="A1044" s="1">
        <v>46095</v>
      </c>
      <c r="B1044" s="20" t="s">
        <v>453</v>
      </c>
      <c r="C1044" s="20" t="s">
        <v>21</v>
      </c>
      <c r="D1044" s="20" t="s">
        <v>22</v>
      </c>
      <c r="E1044" s="20" t="s">
        <v>500</v>
      </c>
      <c r="F1044" s="20" t="s">
        <v>22</v>
      </c>
      <c r="G1044" s="20">
        <v>2</v>
      </c>
      <c r="H1044" s="20">
        <v>3</v>
      </c>
      <c r="I1044" s="13">
        <v>0.6</v>
      </c>
      <c r="J1044" s="20" t="s">
        <v>249</v>
      </c>
      <c r="L1044" s="20" t="s">
        <v>60</v>
      </c>
      <c r="M1044" s="20" t="s">
        <v>60</v>
      </c>
      <c r="N1044" s="20" t="s">
        <v>22</v>
      </c>
      <c r="O1044" s="20">
        <v>2</v>
      </c>
      <c r="P1044" s="20">
        <v>3</v>
      </c>
      <c r="Q1044" s="13">
        <v>0.64816447713626768</v>
      </c>
      <c r="R1044" s="20" t="s">
        <v>249</v>
      </c>
      <c r="S1044" s="20">
        <v>0.710377742224651</v>
      </c>
      <c r="T1044" s="20" t="s">
        <v>60</v>
      </c>
      <c r="U1044" s="20" t="s">
        <v>60</v>
      </c>
      <c r="V1044" s="20"/>
      <c r="W1044" s="20"/>
      <c r="X1044" s="20" t="s">
        <v>60</v>
      </c>
      <c r="Y1044" s="20" t="s">
        <v>412</v>
      </c>
      <c r="Z1044" s="20" t="s">
        <v>60</v>
      </c>
      <c r="AA1044" s="20" t="s">
        <v>491</v>
      </c>
    </row>
    <row r="1045" spans="1:27" x14ac:dyDescent="0.2">
      <c r="A1045" s="1">
        <v>46095</v>
      </c>
      <c r="B1045" s="20" t="s">
        <v>369</v>
      </c>
      <c r="C1045" s="20" t="s">
        <v>12</v>
      </c>
      <c r="D1045" s="20" t="s">
        <v>40</v>
      </c>
      <c r="E1045" s="20" t="s">
        <v>1396</v>
      </c>
      <c r="F1045" s="20" t="s">
        <v>12</v>
      </c>
      <c r="G1045" s="20">
        <v>2</v>
      </c>
      <c r="H1045" s="20">
        <v>3</v>
      </c>
      <c r="I1045" s="13">
        <v>0.6</v>
      </c>
      <c r="J1045" s="20" t="s">
        <v>249</v>
      </c>
      <c r="L1045" s="20" t="s">
        <v>60</v>
      </c>
      <c r="M1045" s="20" t="s">
        <v>60</v>
      </c>
      <c r="N1045" s="20" t="s">
        <v>12</v>
      </c>
      <c r="O1045" s="20">
        <v>2</v>
      </c>
      <c r="P1045" s="20">
        <v>3</v>
      </c>
      <c r="Q1045" s="13">
        <v>0.75141827635481073</v>
      </c>
      <c r="R1045" s="20" t="s">
        <v>249</v>
      </c>
      <c r="S1045" s="20">
        <v>-1.8952447332866049</v>
      </c>
      <c r="T1045" s="20" t="s">
        <v>60</v>
      </c>
      <c r="U1045" s="20" t="s">
        <v>60</v>
      </c>
      <c r="V1045" s="20"/>
      <c r="W1045" s="20"/>
      <c r="X1045" s="20" t="s">
        <v>60</v>
      </c>
      <c r="Y1045" s="20" t="s">
        <v>412</v>
      </c>
      <c r="Z1045" s="20" t="s">
        <v>60</v>
      </c>
      <c r="AA1045" s="20" t="s">
        <v>491</v>
      </c>
    </row>
    <row r="1046" spans="1:27" x14ac:dyDescent="0.2">
      <c r="A1046" s="1">
        <v>46095</v>
      </c>
      <c r="B1046" s="20" t="s">
        <v>322</v>
      </c>
      <c r="C1046" s="20" t="s">
        <v>10</v>
      </c>
      <c r="D1046" s="20" t="s">
        <v>20</v>
      </c>
      <c r="E1046" s="20" t="s">
        <v>487</v>
      </c>
      <c r="F1046" s="20" t="s">
        <v>10</v>
      </c>
      <c r="G1046" s="20">
        <v>2</v>
      </c>
      <c r="H1046" s="20">
        <v>3</v>
      </c>
      <c r="I1046" s="13">
        <v>0.6</v>
      </c>
      <c r="J1046" s="20" t="s">
        <v>249</v>
      </c>
      <c r="L1046" s="20" t="s">
        <v>60</v>
      </c>
      <c r="M1046" s="20" t="s">
        <v>60</v>
      </c>
      <c r="N1046" s="20" t="s">
        <v>10</v>
      </c>
      <c r="O1046" s="20">
        <v>2</v>
      </c>
      <c r="P1046" s="20">
        <v>3</v>
      </c>
      <c r="Q1046" s="13">
        <v>0.46214191244593872</v>
      </c>
      <c r="R1046" s="20" t="s">
        <v>249</v>
      </c>
      <c r="S1046" s="20">
        <v>-1.834382621316033E-2</v>
      </c>
      <c r="T1046" s="20" t="s">
        <v>60</v>
      </c>
      <c r="U1046" s="20" t="s">
        <v>60</v>
      </c>
      <c r="V1046" s="20"/>
      <c r="W1046" s="20"/>
      <c r="X1046" s="20" t="s">
        <v>60</v>
      </c>
      <c r="Y1046" s="20" t="s">
        <v>412</v>
      </c>
      <c r="Z1046" s="20" t="s">
        <v>60</v>
      </c>
      <c r="AA1046" s="20" t="s">
        <v>491</v>
      </c>
    </row>
    <row r="1047" spans="1:27" x14ac:dyDescent="0.2">
      <c r="A1047" s="1">
        <v>46095</v>
      </c>
      <c r="B1047" s="20" t="s">
        <v>322</v>
      </c>
      <c r="C1047" s="20" t="s">
        <v>32</v>
      </c>
      <c r="D1047" s="20" t="s">
        <v>38</v>
      </c>
      <c r="E1047" s="20" t="s">
        <v>1111</v>
      </c>
      <c r="F1047" s="20" t="s">
        <v>32</v>
      </c>
      <c r="G1047" s="20">
        <v>2</v>
      </c>
      <c r="H1047" s="20">
        <v>3</v>
      </c>
      <c r="I1047" s="13">
        <v>0.6</v>
      </c>
      <c r="J1047" s="20" t="s">
        <v>249</v>
      </c>
      <c r="L1047" s="20" t="s">
        <v>60</v>
      </c>
      <c r="M1047" s="20" t="s">
        <v>60</v>
      </c>
      <c r="N1047" s="20" t="s">
        <v>32</v>
      </c>
      <c r="O1047" s="20">
        <v>2</v>
      </c>
      <c r="P1047" s="20">
        <v>3</v>
      </c>
      <c r="Q1047" s="13">
        <v>0.48900433937265447</v>
      </c>
      <c r="R1047" s="20" t="s">
        <v>249</v>
      </c>
      <c r="S1047" s="20">
        <v>-0.2483997709095517</v>
      </c>
      <c r="T1047" s="20" t="s">
        <v>60</v>
      </c>
      <c r="U1047" s="20" t="s">
        <v>60</v>
      </c>
      <c r="V1047" s="20"/>
      <c r="W1047" s="20"/>
      <c r="X1047" s="20" t="s">
        <v>60</v>
      </c>
      <c r="Y1047" s="20" t="s">
        <v>412</v>
      </c>
      <c r="Z1047" s="20" t="s">
        <v>60</v>
      </c>
      <c r="AA1047" s="20" t="s">
        <v>491</v>
      </c>
    </row>
    <row r="1048" spans="1:27" x14ac:dyDescent="0.2">
      <c r="A1048" s="1">
        <v>46095</v>
      </c>
      <c r="B1048" s="20" t="s">
        <v>326</v>
      </c>
      <c r="C1048" s="20" t="s">
        <v>14</v>
      </c>
      <c r="D1048" s="20" t="s">
        <v>55</v>
      </c>
      <c r="E1048" s="20" t="s">
        <v>1397</v>
      </c>
      <c r="F1048" s="20" t="s">
        <v>14</v>
      </c>
      <c r="G1048" s="20">
        <v>2</v>
      </c>
      <c r="H1048" s="20">
        <v>3</v>
      </c>
      <c r="I1048" s="13">
        <v>0.6</v>
      </c>
      <c r="J1048" s="20" t="s">
        <v>249</v>
      </c>
      <c r="L1048" s="20" t="s">
        <v>60</v>
      </c>
      <c r="M1048" s="20" t="s">
        <v>60</v>
      </c>
      <c r="N1048" s="20" t="s">
        <v>14</v>
      </c>
      <c r="O1048" s="20">
        <v>2</v>
      </c>
      <c r="P1048" s="20">
        <v>3</v>
      </c>
      <c r="Q1048" s="13">
        <v>0.48296583054457271</v>
      </c>
      <c r="R1048" s="20" t="s">
        <v>249</v>
      </c>
      <c r="S1048" s="20">
        <v>-0.21095831853253</v>
      </c>
      <c r="T1048" s="20" t="s">
        <v>60</v>
      </c>
      <c r="U1048" s="20" t="s">
        <v>60</v>
      </c>
      <c r="V1048" s="20"/>
      <c r="W1048" s="20"/>
      <c r="X1048" s="20" t="s">
        <v>60</v>
      </c>
      <c r="Y1048" s="20" t="s">
        <v>412</v>
      </c>
      <c r="Z1048" s="20" t="s">
        <v>60</v>
      </c>
      <c r="AA1048" s="20" t="s">
        <v>491</v>
      </c>
    </row>
    <row r="1049" spans="1:27" x14ac:dyDescent="0.2">
      <c r="A1049" s="1">
        <v>46095</v>
      </c>
      <c r="B1049" s="20" t="s">
        <v>328</v>
      </c>
      <c r="C1049" s="20" t="s">
        <v>25</v>
      </c>
      <c r="D1049" s="20" t="s">
        <v>37</v>
      </c>
      <c r="E1049" s="20" t="s">
        <v>1043</v>
      </c>
      <c r="F1049" s="20" t="s">
        <v>37</v>
      </c>
      <c r="G1049" s="20">
        <v>2</v>
      </c>
      <c r="H1049" s="20">
        <v>3</v>
      </c>
      <c r="I1049" s="13">
        <v>0.6</v>
      </c>
      <c r="J1049" s="20" t="s">
        <v>249</v>
      </c>
      <c r="L1049" s="20" t="s">
        <v>60</v>
      </c>
      <c r="M1049" s="20" t="s">
        <v>60</v>
      </c>
      <c r="N1049" s="20" t="s">
        <v>37</v>
      </c>
      <c r="O1049" s="20">
        <v>2</v>
      </c>
      <c r="P1049" s="20">
        <v>3</v>
      </c>
      <c r="Q1049" s="13">
        <v>0.5157317811674581</v>
      </c>
      <c r="R1049" s="20" t="s">
        <v>249</v>
      </c>
      <c r="S1049" s="20">
        <v>0.13473055834121411</v>
      </c>
      <c r="T1049" s="20" t="s">
        <v>60</v>
      </c>
      <c r="U1049" s="20" t="s">
        <v>60</v>
      </c>
      <c r="V1049" s="20"/>
      <c r="W1049" s="20"/>
      <c r="X1049" s="20" t="s">
        <v>60</v>
      </c>
      <c r="Y1049" s="20" t="s">
        <v>412</v>
      </c>
      <c r="Z1049" s="20" t="s">
        <v>60</v>
      </c>
      <c r="AA1049" s="20" t="s">
        <v>491</v>
      </c>
    </row>
    <row r="1050" spans="1:27" x14ac:dyDescent="0.2">
      <c r="A1050" s="1">
        <v>46095</v>
      </c>
      <c r="B1050" s="20" t="s">
        <v>334</v>
      </c>
      <c r="C1050" s="20" t="s">
        <v>28</v>
      </c>
      <c r="D1050" s="20" t="s">
        <v>27</v>
      </c>
      <c r="E1050" s="20" t="s">
        <v>1398</v>
      </c>
      <c r="F1050" s="20" t="s">
        <v>27</v>
      </c>
      <c r="G1050" s="20">
        <v>2</v>
      </c>
      <c r="H1050" s="20">
        <v>3</v>
      </c>
      <c r="I1050" s="13">
        <v>0.6</v>
      </c>
      <c r="J1050" s="20" t="s">
        <v>249</v>
      </c>
      <c r="L1050" s="20" t="s">
        <v>60</v>
      </c>
      <c r="M1050" s="20" t="s">
        <v>60</v>
      </c>
      <c r="N1050" s="20" t="s">
        <v>27</v>
      </c>
      <c r="O1050" s="20">
        <v>2</v>
      </c>
      <c r="P1050" s="20">
        <v>3</v>
      </c>
      <c r="Q1050" s="13">
        <v>0.58136057558031018</v>
      </c>
      <c r="R1050" s="20" t="s">
        <v>249</v>
      </c>
      <c r="S1050" s="20">
        <v>0.26465056976738671</v>
      </c>
      <c r="T1050" s="20" t="s">
        <v>60</v>
      </c>
      <c r="U1050" s="20" t="s">
        <v>60</v>
      </c>
      <c r="V1050" s="20"/>
      <c r="W1050" s="20"/>
      <c r="X1050" s="20" t="s">
        <v>60</v>
      </c>
      <c r="Y1050" s="20" t="s">
        <v>412</v>
      </c>
      <c r="Z1050" s="20" t="s">
        <v>60</v>
      </c>
      <c r="AA1050" s="20" t="s">
        <v>491</v>
      </c>
    </row>
    <row r="1051" spans="1:27" x14ac:dyDescent="0.2">
      <c r="A1051" s="1">
        <v>46095</v>
      </c>
      <c r="B1051" s="20" t="s">
        <v>328</v>
      </c>
      <c r="C1051" s="20" t="s">
        <v>33</v>
      </c>
      <c r="D1051" s="20" t="s">
        <v>18</v>
      </c>
      <c r="E1051" s="20" t="s">
        <v>1399</v>
      </c>
      <c r="F1051" s="20" t="s">
        <v>33</v>
      </c>
      <c r="G1051" s="20">
        <v>2</v>
      </c>
      <c r="H1051" s="20">
        <v>3</v>
      </c>
      <c r="I1051" s="13">
        <v>0.6</v>
      </c>
      <c r="J1051" s="20" t="s">
        <v>249</v>
      </c>
      <c r="L1051" s="20" t="s">
        <v>60</v>
      </c>
      <c r="M1051" s="20" t="s">
        <v>60</v>
      </c>
      <c r="N1051" s="20" t="s">
        <v>33</v>
      </c>
      <c r="O1051" s="20">
        <v>2</v>
      </c>
      <c r="P1051" s="20">
        <v>3</v>
      </c>
      <c r="Q1051" s="13">
        <v>0.47070241107742589</v>
      </c>
      <c r="R1051" s="20" t="s">
        <v>249</v>
      </c>
      <c r="S1051" s="20">
        <v>-9.1657886968419366E-2</v>
      </c>
      <c r="T1051" s="20" t="s">
        <v>60</v>
      </c>
      <c r="U1051" s="20" t="s">
        <v>60</v>
      </c>
      <c r="V1051" s="20"/>
      <c r="W1051" s="20"/>
      <c r="X1051" s="20" t="s">
        <v>60</v>
      </c>
      <c r="Y1051" s="20" t="s">
        <v>412</v>
      </c>
      <c r="Z1051" s="20" t="s">
        <v>60</v>
      </c>
      <c r="AA1051" s="20" t="s">
        <v>491</v>
      </c>
    </row>
    <row r="1052" spans="1:27" x14ac:dyDescent="0.2">
      <c r="A1052" s="1">
        <v>46095</v>
      </c>
      <c r="B1052" s="20" t="s">
        <v>328</v>
      </c>
      <c r="C1052" s="20" t="s">
        <v>16</v>
      </c>
      <c r="D1052" s="20" t="s">
        <v>30</v>
      </c>
      <c r="E1052" s="20" t="s">
        <v>1400</v>
      </c>
      <c r="F1052" s="20" t="s">
        <v>30</v>
      </c>
      <c r="G1052" s="20">
        <v>2</v>
      </c>
      <c r="H1052" s="20">
        <v>3</v>
      </c>
      <c r="I1052" s="13">
        <v>0.6</v>
      </c>
      <c r="J1052" s="20" t="s">
        <v>249</v>
      </c>
      <c r="L1052" s="20" t="s">
        <v>60</v>
      </c>
      <c r="M1052" s="20" t="s">
        <v>60</v>
      </c>
      <c r="N1052" s="20" t="s">
        <v>30</v>
      </c>
      <c r="O1052" s="20">
        <v>2</v>
      </c>
      <c r="P1052" s="20">
        <v>3</v>
      </c>
      <c r="Q1052" s="13">
        <v>0.64213997645298715</v>
      </c>
      <c r="R1052" s="20" t="s">
        <v>249</v>
      </c>
      <c r="S1052" s="20">
        <v>0.87475003052645062</v>
      </c>
      <c r="T1052" s="20" t="s">
        <v>60</v>
      </c>
      <c r="U1052" s="20" t="s">
        <v>60</v>
      </c>
      <c r="V1052" s="20"/>
      <c r="W1052" s="20"/>
      <c r="X1052" s="20" t="s">
        <v>60</v>
      </c>
      <c r="Y1052" s="20" t="s">
        <v>412</v>
      </c>
      <c r="Z1052" s="20" t="s">
        <v>60</v>
      </c>
      <c r="AA1052" s="20" t="s">
        <v>491</v>
      </c>
    </row>
    <row r="1053" spans="1:27" x14ac:dyDescent="0.2">
      <c r="A1053" s="1">
        <v>46095</v>
      </c>
      <c r="B1053" s="20" t="s">
        <v>328</v>
      </c>
      <c r="C1053" s="20" t="s">
        <v>13</v>
      </c>
      <c r="D1053" s="20" t="s">
        <v>24</v>
      </c>
      <c r="E1053" s="20" t="s">
        <v>1401</v>
      </c>
      <c r="F1053" s="20" t="s">
        <v>24</v>
      </c>
      <c r="G1053" s="20">
        <v>2</v>
      </c>
      <c r="H1053" s="20">
        <v>3</v>
      </c>
      <c r="I1053" s="13">
        <v>0.6</v>
      </c>
      <c r="J1053" s="20" t="s">
        <v>249</v>
      </c>
      <c r="L1053" s="20" t="s">
        <v>60</v>
      </c>
      <c r="M1053" s="20" t="s">
        <v>60</v>
      </c>
      <c r="N1053" s="20" t="s">
        <v>24</v>
      </c>
      <c r="O1053" s="20">
        <v>2</v>
      </c>
      <c r="P1053" s="20">
        <v>3</v>
      </c>
      <c r="Q1053" s="13">
        <v>0.60106048669162915</v>
      </c>
      <c r="R1053" s="20" t="s">
        <v>249</v>
      </c>
      <c r="S1053" s="20">
        <v>0.3897145983649804</v>
      </c>
      <c r="T1053" s="20" t="s">
        <v>60</v>
      </c>
      <c r="U1053" s="20" t="s">
        <v>60</v>
      </c>
      <c r="V1053" s="20"/>
      <c r="W1053" s="20"/>
      <c r="X1053" s="20" t="s">
        <v>60</v>
      </c>
      <c r="Y1053" s="20" t="s">
        <v>412</v>
      </c>
      <c r="Z1053" s="20" t="s">
        <v>60</v>
      </c>
      <c r="AA1053" s="20" t="s">
        <v>491</v>
      </c>
    </row>
    <row r="1054" spans="1:27" x14ac:dyDescent="0.2">
      <c r="A1054" s="1">
        <v>46095</v>
      </c>
      <c r="B1054" s="20" t="s">
        <v>469</v>
      </c>
      <c r="C1054" s="20" t="s">
        <v>15</v>
      </c>
      <c r="D1054" s="20" t="s">
        <v>34</v>
      </c>
      <c r="E1054" s="20" t="s">
        <v>1402</v>
      </c>
      <c r="F1054" s="20" t="s">
        <v>34</v>
      </c>
      <c r="G1054" s="20">
        <v>2</v>
      </c>
      <c r="H1054" s="20">
        <v>3</v>
      </c>
      <c r="I1054" s="13">
        <v>0.6</v>
      </c>
      <c r="J1054" s="20" t="s">
        <v>249</v>
      </c>
      <c r="L1054" s="20" t="s">
        <v>60</v>
      </c>
      <c r="M1054" s="20" t="s">
        <v>60</v>
      </c>
      <c r="N1054" s="20" t="s">
        <v>34</v>
      </c>
      <c r="O1054" s="20">
        <v>2</v>
      </c>
      <c r="P1054" s="20">
        <v>3</v>
      </c>
      <c r="Q1054" s="13">
        <v>0.47317429829023577</v>
      </c>
      <c r="R1054" s="20" t="s">
        <v>249</v>
      </c>
      <c r="S1054" s="20">
        <v>0.28480994595762632</v>
      </c>
      <c r="T1054" s="20" t="s">
        <v>60</v>
      </c>
      <c r="U1054" s="20" t="s">
        <v>60</v>
      </c>
      <c r="V1054" s="20"/>
      <c r="W1054" s="20"/>
      <c r="X1054" s="20" t="s">
        <v>60</v>
      </c>
      <c r="Y1054" s="20" t="s">
        <v>412</v>
      </c>
      <c r="Z1054" s="20" t="s">
        <v>60</v>
      </c>
      <c r="AA1054" s="20" t="s">
        <v>491</v>
      </c>
    </row>
    <row r="1055" spans="1:27" x14ac:dyDescent="0.2">
      <c r="A1055" s="1">
        <v>46095</v>
      </c>
      <c r="B1055" s="20" t="s">
        <v>324</v>
      </c>
      <c r="C1055" s="20" t="s">
        <v>26</v>
      </c>
      <c r="D1055" s="20" t="s">
        <v>39</v>
      </c>
      <c r="E1055" s="20" t="s">
        <v>1403</v>
      </c>
      <c r="F1055" s="20" t="s">
        <v>39</v>
      </c>
      <c r="G1055" s="20">
        <v>2</v>
      </c>
      <c r="H1055" s="20">
        <v>3</v>
      </c>
      <c r="I1055" s="13">
        <v>0.6</v>
      </c>
      <c r="J1055" s="20" t="s">
        <v>249</v>
      </c>
      <c r="L1055" s="20" t="s">
        <v>60</v>
      </c>
      <c r="M1055" s="20" t="s">
        <v>60</v>
      </c>
      <c r="N1055" s="20" t="s">
        <v>39</v>
      </c>
      <c r="O1055" s="20">
        <v>2</v>
      </c>
      <c r="P1055" s="20">
        <v>3</v>
      </c>
      <c r="Q1055" s="13">
        <v>0.72855704210243089</v>
      </c>
      <c r="R1055" s="20" t="s">
        <v>249</v>
      </c>
      <c r="S1055" s="20">
        <v>1.3386828158105919</v>
      </c>
      <c r="T1055" s="20" t="s">
        <v>60</v>
      </c>
      <c r="U1055" s="20" t="s">
        <v>60</v>
      </c>
      <c r="V1055" s="20"/>
      <c r="W1055" s="20"/>
      <c r="X1055" s="20" t="s">
        <v>60</v>
      </c>
      <c r="Y1055" s="20" t="s">
        <v>412</v>
      </c>
      <c r="Z1055" s="20" t="s">
        <v>60</v>
      </c>
      <c r="AA1055" s="20" t="s">
        <v>491</v>
      </c>
    </row>
    <row r="1056" spans="1:27" x14ac:dyDescent="0.2">
      <c r="A1056" s="1">
        <v>46095</v>
      </c>
      <c r="B1056" s="20" t="s">
        <v>328</v>
      </c>
      <c r="C1056" s="20" t="s">
        <v>19</v>
      </c>
      <c r="D1056" s="20" t="s">
        <v>23</v>
      </c>
      <c r="E1056" s="20" t="s">
        <v>663</v>
      </c>
      <c r="F1056" s="20" t="s">
        <v>23</v>
      </c>
      <c r="G1056" s="20">
        <v>2</v>
      </c>
      <c r="H1056" s="20">
        <v>3</v>
      </c>
      <c r="I1056" s="13">
        <v>0.6</v>
      </c>
      <c r="J1056" s="20" t="s">
        <v>249</v>
      </c>
      <c r="L1056" s="20" t="s">
        <v>60</v>
      </c>
      <c r="M1056" s="20" t="s">
        <v>60</v>
      </c>
      <c r="N1056" s="20" t="s">
        <v>23</v>
      </c>
      <c r="O1056" s="20">
        <v>2</v>
      </c>
      <c r="P1056" s="20">
        <v>3</v>
      </c>
      <c r="Q1056" s="13">
        <v>0.57444071781895778</v>
      </c>
      <c r="R1056" s="20" t="s">
        <v>249</v>
      </c>
      <c r="S1056" s="20">
        <v>0.2082689045015533</v>
      </c>
      <c r="T1056" s="20" t="s">
        <v>60</v>
      </c>
      <c r="U1056" s="20" t="s">
        <v>60</v>
      </c>
      <c r="V1056" s="20"/>
      <c r="W1056" s="20"/>
      <c r="X1056" s="20" t="s">
        <v>60</v>
      </c>
      <c r="Y1056" s="20" t="s">
        <v>412</v>
      </c>
      <c r="Z1056" s="20" t="s">
        <v>60</v>
      </c>
      <c r="AA1056" s="20" t="s">
        <v>491</v>
      </c>
    </row>
    <row r="1057" spans="1:27" x14ac:dyDescent="0.2">
      <c r="A1057" s="1">
        <v>46095</v>
      </c>
      <c r="B1057" s="20" t="s">
        <v>347</v>
      </c>
      <c r="C1057" s="20" t="s">
        <v>31</v>
      </c>
      <c r="D1057" s="20" t="s">
        <v>36</v>
      </c>
      <c r="E1057" s="20" t="s">
        <v>1404</v>
      </c>
      <c r="F1057" s="20" t="s">
        <v>31</v>
      </c>
      <c r="G1057" s="20">
        <v>2</v>
      </c>
      <c r="H1057" s="20">
        <v>3</v>
      </c>
      <c r="I1057" s="13">
        <v>0.6</v>
      </c>
      <c r="J1057" s="20" t="s">
        <v>249</v>
      </c>
      <c r="L1057" s="20" t="s">
        <v>60</v>
      </c>
      <c r="M1057" s="20" t="s">
        <v>60</v>
      </c>
      <c r="N1057" s="20" t="s">
        <v>31</v>
      </c>
      <c r="O1057" s="20">
        <v>2</v>
      </c>
      <c r="P1057" s="20">
        <v>3</v>
      </c>
      <c r="Q1057" s="13">
        <v>0.55534643240329606</v>
      </c>
      <c r="R1057" s="20" t="s">
        <v>249</v>
      </c>
      <c r="S1057" s="20">
        <v>-0.66017832378094243</v>
      </c>
      <c r="T1057" s="20" t="s">
        <v>60</v>
      </c>
      <c r="U1057" s="20" t="s">
        <v>60</v>
      </c>
      <c r="V1057" s="20"/>
      <c r="W1057" s="20"/>
      <c r="X1057" s="20" t="s">
        <v>60</v>
      </c>
      <c r="Y1057" s="20" t="s">
        <v>412</v>
      </c>
      <c r="Z1057" s="20" t="s">
        <v>60</v>
      </c>
      <c r="AA1057" s="20" t="s">
        <v>491</v>
      </c>
    </row>
    <row r="1058" spans="1:27" x14ac:dyDescent="0.2">
      <c r="A1058" s="1">
        <v>46096</v>
      </c>
      <c r="B1058" s="20" t="s">
        <v>453</v>
      </c>
      <c r="C1058" s="20" t="s">
        <v>35</v>
      </c>
      <c r="D1058" s="20" t="s">
        <v>40</v>
      </c>
      <c r="E1058" s="20" t="s">
        <v>1220</v>
      </c>
      <c r="F1058" s="20" t="s">
        <v>40</v>
      </c>
      <c r="G1058" s="20">
        <v>2</v>
      </c>
      <c r="H1058" s="20">
        <v>3</v>
      </c>
      <c r="I1058" s="13">
        <v>0.6</v>
      </c>
      <c r="J1058" s="20" t="s">
        <v>249</v>
      </c>
      <c r="L1058" s="20" t="s">
        <v>60</v>
      </c>
      <c r="M1058" s="20" t="s">
        <v>60</v>
      </c>
      <c r="N1058" s="20" t="s">
        <v>40</v>
      </c>
      <c r="O1058" s="20">
        <v>2</v>
      </c>
      <c r="P1058" s="20">
        <v>3</v>
      </c>
      <c r="Q1058" s="13">
        <v>0.67457245303438529</v>
      </c>
      <c r="R1058" s="20" t="s">
        <v>249</v>
      </c>
      <c r="S1058" s="20">
        <v>1.131137297088094</v>
      </c>
      <c r="T1058" s="20" t="s">
        <v>60</v>
      </c>
      <c r="U1058" s="20" t="s">
        <v>60</v>
      </c>
      <c r="V1058" s="20"/>
      <c r="W1058" s="20"/>
      <c r="X1058" s="20" t="s">
        <v>60</v>
      </c>
      <c r="Y1058" s="20" t="s">
        <v>412</v>
      </c>
      <c r="Z1058" s="20" t="s">
        <v>60</v>
      </c>
      <c r="AA1058" s="20" t="s">
        <v>491</v>
      </c>
    </row>
    <row r="1059" spans="1:27" x14ac:dyDescent="0.2">
      <c r="A1059" s="1">
        <v>46096</v>
      </c>
      <c r="B1059" s="20" t="s">
        <v>324</v>
      </c>
      <c r="C1059" s="20" t="s">
        <v>11</v>
      </c>
      <c r="D1059" s="20" t="s">
        <v>32</v>
      </c>
      <c r="E1059" s="20" t="s">
        <v>1405</v>
      </c>
      <c r="F1059" s="20" t="s">
        <v>11</v>
      </c>
      <c r="G1059" s="20">
        <v>2</v>
      </c>
      <c r="H1059" s="20">
        <v>3</v>
      </c>
      <c r="I1059" s="13">
        <v>0.6</v>
      </c>
      <c r="J1059" s="20" t="s">
        <v>249</v>
      </c>
      <c r="L1059" s="20" t="s">
        <v>60</v>
      </c>
      <c r="M1059" s="20" t="s">
        <v>60</v>
      </c>
      <c r="N1059" s="20" t="s">
        <v>11</v>
      </c>
      <c r="O1059" s="20">
        <v>2</v>
      </c>
      <c r="P1059" s="20">
        <v>3</v>
      </c>
      <c r="Q1059" s="13">
        <v>0.48362830589400979</v>
      </c>
      <c r="R1059" s="20" t="s">
        <v>249</v>
      </c>
      <c r="S1059" s="20">
        <v>-0.202358195290821</v>
      </c>
      <c r="T1059" s="20" t="s">
        <v>60</v>
      </c>
      <c r="U1059" s="20" t="s">
        <v>60</v>
      </c>
      <c r="V1059" s="20"/>
      <c r="W1059" s="20"/>
      <c r="X1059" s="20" t="s">
        <v>60</v>
      </c>
      <c r="Y1059" s="20" t="s">
        <v>412</v>
      </c>
      <c r="Z1059" s="20" t="s">
        <v>60</v>
      </c>
      <c r="AA1059" s="20" t="s">
        <v>491</v>
      </c>
    </row>
    <row r="1060" spans="1:27" x14ac:dyDescent="0.2">
      <c r="A1060" s="1">
        <v>46096</v>
      </c>
      <c r="B1060" s="20" t="s">
        <v>365</v>
      </c>
      <c r="C1060" s="20" t="s">
        <v>33</v>
      </c>
      <c r="D1060" s="20" t="s">
        <v>36</v>
      </c>
      <c r="E1060" s="20" t="s">
        <v>1406</v>
      </c>
      <c r="F1060" s="20" t="s">
        <v>33</v>
      </c>
      <c r="G1060" s="20">
        <v>2</v>
      </c>
      <c r="H1060" s="20">
        <v>3</v>
      </c>
      <c r="I1060" s="13">
        <v>0.6</v>
      </c>
      <c r="J1060" s="20" t="s">
        <v>249</v>
      </c>
      <c r="L1060" s="20" t="s">
        <v>60</v>
      </c>
      <c r="M1060" s="20" t="s">
        <v>60</v>
      </c>
      <c r="N1060" s="20" t="s">
        <v>33</v>
      </c>
      <c r="O1060" s="20">
        <v>2</v>
      </c>
      <c r="P1060" s="20">
        <v>3</v>
      </c>
      <c r="Q1060" s="13">
        <v>0.4610243138349801</v>
      </c>
      <c r="R1060" s="20" t="s">
        <v>249</v>
      </c>
      <c r="S1060" s="20">
        <v>-3.0144309559432762E-2</v>
      </c>
      <c r="T1060" s="20" t="s">
        <v>60</v>
      </c>
      <c r="U1060" s="20" t="s">
        <v>60</v>
      </c>
      <c r="V1060" s="20"/>
      <c r="W1060" s="20"/>
      <c r="X1060" s="20" t="s">
        <v>60</v>
      </c>
      <c r="Y1060" s="20" t="s">
        <v>412</v>
      </c>
      <c r="Z1060" s="20" t="s">
        <v>60</v>
      </c>
      <c r="AA1060" s="20" t="s">
        <v>491</v>
      </c>
    </row>
    <row r="1061" spans="1:27" x14ac:dyDescent="0.2">
      <c r="A1061" s="1">
        <v>46096</v>
      </c>
      <c r="B1061" s="20" t="s">
        <v>328</v>
      </c>
      <c r="C1061" s="20" t="s">
        <v>31</v>
      </c>
      <c r="D1061" s="20" t="s">
        <v>18</v>
      </c>
      <c r="E1061" s="20" t="s">
        <v>1407</v>
      </c>
      <c r="F1061" s="20" t="s">
        <v>31</v>
      </c>
      <c r="G1061" s="20">
        <v>2</v>
      </c>
      <c r="H1061" s="20">
        <v>3</v>
      </c>
      <c r="I1061" s="13">
        <v>0.6</v>
      </c>
      <c r="J1061" s="20" t="s">
        <v>249</v>
      </c>
      <c r="L1061" s="20" t="s">
        <v>60</v>
      </c>
      <c r="M1061" s="20" t="s">
        <v>60</v>
      </c>
      <c r="N1061" s="20" t="s">
        <v>31</v>
      </c>
      <c r="O1061" s="20">
        <v>2</v>
      </c>
      <c r="P1061" s="20">
        <v>3</v>
      </c>
      <c r="Q1061" s="13">
        <v>0.56503741164541521</v>
      </c>
      <c r="R1061" s="20" t="s">
        <v>249</v>
      </c>
      <c r="S1061" s="20">
        <v>-0.72169190118992899</v>
      </c>
      <c r="T1061" s="20" t="s">
        <v>60</v>
      </c>
      <c r="U1061" s="20" t="s">
        <v>60</v>
      </c>
      <c r="V1061" s="20"/>
      <c r="W1061" s="20"/>
      <c r="X1061" s="20" t="s">
        <v>60</v>
      </c>
      <c r="Y1061" s="20" t="s">
        <v>412</v>
      </c>
      <c r="Z1061" s="20" t="s">
        <v>60</v>
      </c>
      <c r="AA1061" s="20" t="s">
        <v>491</v>
      </c>
    </row>
    <row r="1062" spans="1:27" x14ac:dyDescent="0.2">
      <c r="A1062" s="1">
        <v>46096</v>
      </c>
      <c r="B1062" s="20" t="s">
        <v>334</v>
      </c>
      <c r="C1062" s="20" t="s">
        <v>19</v>
      </c>
      <c r="D1062" s="20" t="s">
        <v>34</v>
      </c>
      <c r="E1062" s="20" t="s">
        <v>1408</v>
      </c>
      <c r="F1062" s="20" t="s">
        <v>34</v>
      </c>
      <c r="G1062" s="20">
        <v>2</v>
      </c>
      <c r="H1062" s="20">
        <v>3</v>
      </c>
      <c r="I1062" s="13">
        <v>0.6</v>
      </c>
      <c r="J1062" s="20" t="s">
        <v>249</v>
      </c>
      <c r="L1062" s="20" t="s">
        <v>60</v>
      </c>
      <c r="M1062" s="20" t="s">
        <v>60</v>
      </c>
      <c r="N1062" s="20" t="s">
        <v>34</v>
      </c>
      <c r="O1062" s="20">
        <v>2</v>
      </c>
      <c r="P1062" s="20">
        <v>3</v>
      </c>
      <c r="Q1062" s="13">
        <v>0.61347475617291136</v>
      </c>
      <c r="R1062" s="20" t="s">
        <v>249</v>
      </c>
      <c r="S1062" s="20">
        <v>0.62925455279266418</v>
      </c>
      <c r="T1062" s="20" t="s">
        <v>60</v>
      </c>
      <c r="U1062" s="20" t="s">
        <v>60</v>
      </c>
      <c r="V1062" s="20"/>
      <c r="W1062" s="20"/>
      <c r="X1062" s="20" t="s">
        <v>60</v>
      </c>
      <c r="Y1062" s="20" t="s">
        <v>412</v>
      </c>
      <c r="Z1062" s="20" t="s">
        <v>60</v>
      </c>
      <c r="AA1062" s="20" t="s">
        <v>491</v>
      </c>
    </row>
    <row r="1063" spans="1:27" x14ac:dyDescent="0.2">
      <c r="A1063" s="1">
        <v>46096</v>
      </c>
      <c r="B1063" s="20" t="s">
        <v>324</v>
      </c>
      <c r="C1063" s="20" t="s">
        <v>29</v>
      </c>
      <c r="D1063" s="20" t="s">
        <v>17</v>
      </c>
      <c r="E1063" s="20" t="s">
        <v>1138</v>
      </c>
      <c r="F1063" s="20" t="s">
        <v>17</v>
      </c>
      <c r="G1063" s="20">
        <v>2</v>
      </c>
      <c r="H1063" s="20">
        <v>3</v>
      </c>
      <c r="I1063" s="13">
        <v>0.6</v>
      </c>
      <c r="J1063" s="20" t="s">
        <v>249</v>
      </c>
      <c r="L1063" s="20" t="s">
        <v>60</v>
      </c>
      <c r="M1063" s="20" t="s">
        <v>60</v>
      </c>
      <c r="N1063" s="20" t="s">
        <v>17</v>
      </c>
      <c r="O1063" s="20">
        <v>2</v>
      </c>
      <c r="P1063" s="20">
        <v>3</v>
      </c>
      <c r="Q1063" s="13">
        <v>0.61909814145523023</v>
      </c>
      <c r="R1063" s="20" t="s">
        <v>249</v>
      </c>
      <c r="S1063" s="20">
        <v>0.61707136849570166</v>
      </c>
      <c r="T1063" s="20" t="s">
        <v>60</v>
      </c>
      <c r="U1063" s="20" t="s">
        <v>60</v>
      </c>
      <c r="V1063" s="20"/>
      <c r="W1063" s="20"/>
      <c r="X1063" s="20" t="s">
        <v>60</v>
      </c>
      <c r="Y1063" s="20" t="s">
        <v>412</v>
      </c>
      <c r="Z1063" s="20" t="s">
        <v>60</v>
      </c>
      <c r="AA1063" s="20" t="s">
        <v>491</v>
      </c>
    </row>
    <row r="1064" spans="1:27" x14ac:dyDescent="0.2">
      <c r="A1064" s="1">
        <v>46097</v>
      </c>
      <c r="B1064" s="20" t="s">
        <v>426</v>
      </c>
      <c r="C1064" s="20" t="s">
        <v>14</v>
      </c>
      <c r="D1064" s="20" t="s">
        <v>12</v>
      </c>
      <c r="E1064" s="20" t="s">
        <v>1409</v>
      </c>
      <c r="F1064" s="20" t="s">
        <v>12</v>
      </c>
      <c r="G1064" s="20">
        <v>2</v>
      </c>
      <c r="H1064" s="20">
        <v>3</v>
      </c>
      <c r="I1064" s="13">
        <v>0.6</v>
      </c>
      <c r="J1064" s="20" t="s">
        <v>249</v>
      </c>
      <c r="L1064" s="20" t="s">
        <v>60</v>
      </c>
      <c r="M1064" s="20" t="s">
        <v>60</v>
      </c>
      <c r="N1064" s="20" t="s">
        <v>12</v>
      </c>
      <c r="O1064" s="20">
        <v>2</v>
      </c>
      <c r="P1064" s="20">
        <v>3</v>
      </c>
      <c r="Q1064" s="13">
        <v>0.82046356927148056</v>
      </c>
      <c r="R1064" s="20" t="s">
        <v>249</v>
      </c>
      <c r="S1064" s="20">
        <v>1.8240686289156289</v>
      </c>
      <c r="T1064" s="20" t="s">
        <v>60</v>
      </c>
      <c r="U1064" s="20" t="s">
        <v>60</v>
      </c>
      <c r="V1064" s="20"/>
      <c r="W1064" s="20"/>
      <c r="X1064" s="20" t="s">
        <v>60</v>
      </c>
      <c r="Y1064" s="20" t="s">
        <v>412</v>
      </c>
      <c r="Z1064" s="20" t="s">
        <v>60</v>
      </c>
      <c r="AA1064" s="20" t="s">
        <v>491</v>
      </c>
    </row>
    <row r="1065" spans="1:27" x14ac:dyDescent="0.2">
      <c r="A1065" s="1">
        <v>46097</v>
      </c>
      <c r="B1065" s="20" t="s">
        <v>324</v>
      </c>
      <c r="C1065" s="20" t="s">
        <v>55</v>
      </c>
      <c r="D1065" s="20" t="s">
        <v>39</v>
      </c>
      <c r="E1065" s="20" t="s">
        <v>438</v>
      </c>
      <c r="F1065" s="20" t="s">
        <v>39</v>
      </c>
      <c r="G1065" s="20">
        <v>2</v>
      </c>
      <c r="H1065" s="20">
        <v>3</v>
      </c>
      <c r="I1065" s="13">
        <v>0.6</v>
      </c>
      <c r="J1065" s="20" t="s">
        <v>249</v>
      </c>
      <c r="L1065" s="20" t="s">
        <v>60</v>
      </c>
      <c r="M1065" s="20" t="s">
        <v>60</v>
      </c>
      <c r="N1065" s="20" t="s">
        <v>39</v>
      </c>
      <c r="O1065" s="20">
        <v>2</v>
      </c>
      <c r="P1065" s="20">
        <v>3</v>
      </c>
      <c r="Q1065" s="13">
        <v>0.67341882246331153</v>
      </c>
      <c r="R1065" s="20" t="s">
        <v>249</v>
      </c>
      <c r="S1065" s="20">
        <v>0.86646653979946475</v>
      </c>
      <c r="T1065" s="20" t="s">
        <v>60</v>
      </c>
      <c r="U1065" s="20" t="s">
        <v>60</v>
      </c>
      <c r="V1065" s="20"/>
      <c r="W1065" s="20"/>
      <c r="X1065" s="20" t="s">
        <v>60</v>
      </c>
      <c r="Y1065" s="20" t="s">
        <v>412</v>
      </c>
      <c r="Z1065" s="20" t="s">
        <v>60</v>
      </c>
      <c r="AA1065" s="20" t="s">
        <v>491</v>
      </c>
    </row>
    <row r="1066" spans="1:27" x14ac:dyDescent="0.2">
      <c r="A1066" s="1">
        <v>46097</v>
      </c>
      <c r="B1066" s="20" t="s">
        <v>328</v>
      </c>
      <c r="C1066" s="20" t="s">
        <v>16</v>
      </c>
      <c r="D1066" s="20" t="s">
        <v>26</v>
      </c>
      <c r="E1066" s="20" t="s">
        <v>1410</v>
      </c>
      <c r="F1066" s="20" t="s">
        <v>26</v>
      </c>
      <c r="G1066" s="20">
        <v>2</v>
      </c>
      <c r="H1066" s="20">
        <v>3</v>
      </c>
      <c r="I1066" s="13">
        <v>0.6</v>
      </c>
      <c r="J1066" s="20" t="s">
        <v>249</v>
      </c>
      <c r="L1066" s="20" t="s">
        <v>60</v>
      </c>
      <c r="M1066" s="20" t="s">
        <v>60</v>
      </c>
      <c r="N1066" s="20" t="s">
        <v>26</v>
      </c>
      <c r="O1066" s="20">
        <v>2</v>
      </c>
      <c r="P1066" s="20">
        <v>3</v>
      </c>
      <c r="Q1066" s="13">
        <v>0.56806352974930241</v>
      </c>
      <c r="R1066" s="20" t="s">
        <v>249</v>
      </c>
      <c r="S1066" s="20">
        <v>0.24034246293547379</v>
      </c>
      <c r="T1066" s="20" t="s">
        <v>60</v>
      </c>
      <c r="U1066" s="20" t="s">
        <v>60</v>
      </c>
      <c r="V1066" s="20"/>
      <c r="W1066" s="20"/>
      <c r="X1066" s="20" t="s">
        <v>60</v>
      </c>
      <c r="Y1066" s="20" t="s">
        <v>412</v>
      </c>
      <c r="Z1066" s="20" t="s">
        <v>60</v>
      </c>
      <c r="AA1066" s="20" t="s">
        <v>491</v>
      </c>
    </row>
    <row r="1067" spans="1:27" x14ac:dyDescent="0.2">
      <c r="A1067" s="1">
        <v>46097</v>
      </c>
      <c r="B1067" s="20" t="s">
        <v>328</v>
      </c>
      <c r="C1067" s="20" t="s">
        <v>21</v>
      </c>
      <c r="D1067" s="20" t="s">
        <v>24</v>
      </c>
      <c r="E1067" s="20" t="s">
        <v>1411</v>
      </c>
      <c r="F1067" s="20" t="s">
        <v>24</v>
      </c>
      <c r="G1067" s="20">
        <v>2</v>
      </c>
      <c r="H1067" s="20">
        <v>3</v>
      </c>
      <c r="I1067" s="13">
        <v>0.6</v>
      </c>
      <c r="J1067" s="20" t="s">
        <v>249</v>
      </c>
      <c r="L1067" s="20" t="s">
        <v>60</v>
      </c>
      <c r="M1067" s="20" t="s">
        <v>60</v>
      </c>
      <c r="N1067" s="20" t="s">
        <v>24</v>
      </c>
      <c r="O1067" s="20">
        <v>2</v>
      </c>
      <c r="P1067" s="20">
        <v>3</v>
      </c>
      <c r="Q1067" s="13">
        <v>0.65071431043098604</v>
      </c>
      <c r="R1067" s="20" t="s">
        <v>249</v>
      </c>
      <c r="S1067" s="20">
        <v>0.27120076013549832</v>
      </c>
      <c r="T1067" s="20" t="s">
        <v>60</v>
      </c>
      <c r="U1067" s="20" t="s">
        <v>60</v>
      </c>
      <c r="V1067" s="20"/>
      <c r="W1067" s="20"/>
      <c r="X1067" s="20" t="s">
        <v>60</v>
      </c>
      <c r="Y1067" s="20" t="s">
        <v>412</v>
      </c>
      <c r="Z1067" s="20" t="s">
        <v>60</v>
      </c>
      <c r="AA1067" s="20" t="s">
        <v>491</v>
      </c>
    </row>
    <row r="1068" spans="1:27" x14ac:dyDescent="0.2">
      <c r="A1068" s="1">
        <v>46097</v>
      </c>
      <c r="B1068" s="20" t="s">
        <v>328</v>
      </c>
      <c r="C1068" s="20" t="s">
        <v>13</v>
      </c>
      <c r="D1068" s="20" t="s">
        <v>15</v>
      </c>
      <c r="E1068" s="20" t="s">
        <v>1412</v>
      </c>
      <c r="F1068" s="20" t="s">
        <v>15</v>
      </c>
      <c r="G1068" s="20">
        <v>2</v>
      </c>
      <c r="H1068" s="20">
        <v>3</v>
      </c>
      <c r="I1068" s="13">
        <v>0.6</v>
      </c>
      <c r="J1068" s="20" t="s">
        <v>249</v>
      </c>
      <c r="L1068" s="20" t="s">
        <v>60</v>
      </c>
      <c r="M1068" s="20" t="s">
        <v>60</v>
      </c>
      <c r="N1068" s="20" t="s">
        <v>15</v>
      </c>
      <c r="O1068" s="20">
        <v>2</v>
      </c>
      <c r="P1068" s="20">
        <v>3</v>
      </c>
      <c r="Q1068" s="13">
        <v>0.48514471401613141</v>
      </c>
      <c r="R1068" s="20" t="s">
        <v>249</v>
      </c>
      <c r="S1068" s="20">
        <v>9.815036311643352E-2</v>
      </c>
      <c r="T1068" s="20" t="s">
        <v>60</v>
      </c>
      <c r="U1068" s="20" t="s">
        <v>60</v>
      </c>
      <c r="V1068" s="20"/>
      <c r="W1068" s="20"/>
      <c r="X1068" s="20" t="s">
        <v>60</v>
      </c>
      <c r="Y1068" s="20" t="s">
        <v>412</v>
      </c>
      <c r="Z1068" s="20" t="s">
        <v>60</v>
      </c>
      <c r="AA1068" s="20" t="s">
        <v>491</v>
      </c>
    </row>
    <row r="1069" spans="1:27" x14ac:dyDescent="0.2">
      <c r="A1069" s="1">
        <v>46098</v>
      </c>
      <c r="B1069" s="20" t="s">
        <v>324</v>
      </c>
      <c r="C1069" s="20" t="s">
        <v>29</v>
      </c>
      <c r="D1069" s="20" t="s">
        <v>40</v>
      </c>
      <c r="E1069" s="20" t="s">
        <v>610</v>
      </c>
      <c r="F1069" s="20" t="s">
        <v>40</v>
      </c>
      <c r="G1069" s="20">
        <v>2</v>
      </c>
      <c r="H1069" s="20">
        <v>3</v>
      </c>
      <c r="I1069" s="13">
        <v>0.6</v>
      </c>
      <c r="J1069" s="20" t="s">
        <v>249</v>
      </c>
      <c r="L1069" s="20" t="s">
        <v>60</v>
      </c>
      <c r="M1069" s="20" t="s">
        <v>60</v>
      </c>
      <c r="N1069" s="20" t="s">
        <v>40</v>
      </c>
      <c r="O1069" s="20">
        <v>2</v>
      </c>
      <c r="P1069" s="20">
        <v>3</v>
      </c>
      <c r="Q1069" s="13">
        <v>0.67345605488272364</v>
      </c>
      <c r="R1069" s="20" t="s">
        <v>249</v>
      </c>
      <c r="S1069" s="20">
        <v>1.121576208950432</v>
      </c>
      <c r="T1069" s="20" t="s">
        <v>60</v>
      </c>
      <c r="U1069" s="20" t="s">
        <v>60</v>
      </c>
      <c r="V1069" s="20"/>
      <c r="W1069" s="20"/>
      <c r="X1069" s="20" t="s">
        <v>60</v>
      </c>
      <c r="Y1069" s="20" t="s">
        <v>412</v>
      </c>
      <c r="Z1069" s="20" t="s">
        <v>60</v>
      </c>
      <c r="AA1069" s="20" t="s">
        <v>491</v>
      </c>
    </row>
    <row r="1070" spans="1:27" x14ac:dyDescent="0.2">
      <c r="A1070" s="1">
        <v>46098</v>
      </c>
      <c r="B1070" s="20" t="s">
        <v>322</v>
      </c>
      <c r="C1070" s="20" t="s">
        <v>23</v>
      </c>
      <c r="D1070" s="20" t="s">
        <v>20</v>
      </c>
      <c r="E1070" s="20" t="s">
        <v>1413</v>
      </c>
      <c r="F1070" s="20" t="s">
        <v>20</v>
      </c>
      <c r="G1070" s="20">
        <v>2</v>
      </c>
      <c r="H1070" s="20">
        <v>3</v>
      </c>
      <c r="I1070" s="13">
        <v>0.6</v>
      </c>
      <c r="J1070" s="20" t="s">
        <v>249</v>
      </c>
      <c r="L1070" s="20" t="s">
        <v>60</v>
      </c>
      <c r="M1070" s="20" t="s">
        <v>60</v>
      </c>
      <c r="N1070" s="20" t="s">
        <v>20</v>
      </c>
      <c r="O1070" s="20">
        <v>2</v>
      </c>
      <c r="P1070" s="20">
        <v>3</v>
      </c>
      <c r="Q1070" s="13">
        <v>0.57287749455139403</v>
      </c>
      <c r="R1070" s="20" t="s">
        <v>249</v>
      </c>
      <c r="S1070" s="20">
        <v>0.28157035434311573</v>
      </c>
      <c r="T1070" s="20" t="s">
        <v>60</v>
      </c>
      <c r="U1070" s="20" t="s">
        <v>60</v>
      </c>
      <c r="V1070" s="20"/>
      <c r="W1070" s="20"/>
      <c r="X1070" s="20" t="s">
        <v>60</v>
      </c>
      <c r="Y1070" s="20" t="s">
        <v>412</v>
      </c>
      <c r="Z1070" s="20" t="s">
        <v>60</v>
      </c>
      <c r="AA1070" s="20" t="s">
        <v>491</v>
      </c>
    </row>
    <row r="1071" spans="1:27" x14ac:dyDescent="0.2">
      <c r="A1071" s="1">
        <v>46098</v>
      </c>
      <c r="B1071" s="20" t="s">
        <v>322</v>
      </c>
      <c r="C1071" s="20" t="s">
        <v>11</v>
      </c>
      <c r="D1071" s="20" t="s">
        <v>38</v>
      </c>
      <c r="E1071" s="20" t="s">
        <v>1414</v>
      </c>
      <c r="F1071" s="20" t="s">
        <v>11</v>
      </c>
      <c r="G1071" s="20">
        <v>2</v>
      </c>
      <c r="H1071" s="20">
        <v>3</v>
      </c>
      <c r="I1071" s="13">
        <v>0.6</v>
      </c>
      <c r="J1071" s="20" t="s">
        <v>249</v>
      </c>
      <c r="L1071" s="20" t="s">
        <v>60</v>
      </c>
      <c r="M1071" s="20" t="s">
        <v>60</v>
      </c>
      <c r="N1071" s="20" t="s">
        <v>11</v>
      </c>
      <c r="O1071" s="20">
        <v>2</v>
      </c>
      <c r="P1071" s="20">
        <v>3</v>
      </c>
      <c r="Q1071" s="13">
        <v>0.51845929418593417</v>
      </c>
      <c r="R1071" s="20" t="s">
        <v>249</v>
      </c>
      <c r="S1071" s="20">
        <v>-0.5006587151235351</v>
      </c>
      <c r="T1071" s="20" t="s">
        <v>60</v>
      </c>
      <c r="U1071" s="20" t="s">
        <v>60</v>
      </c>
      <c r="V1071" s="20"/>
      <c r="W1071" s="20"/>
      <c r="X1071" s="20" t="s">
        <v>60</v>
      </c>
      <c r="Y1071" s="20" t="s">
        <v>412</v>
      </c>
      <c r="Z1071" s="20" t="s">
        <v>60</v>
      </c>
      <c r="AA1071" s="20" t="s">
        <v>491</v>
      </c>
    </row>
    <row r="1072" spans="1:27" x14ac:dyDescent="0.2">
      <c r="A1072" s="1">
        <v>46098</v>
      </c>
      <c r="B1072" s="20" t="s">
        <v>328</v>
      </c>
      <c r="C1072" s="20" t="s">
        <v>30</v>
      </c>
      <c r="D1072" s="20" t="s">
        <v>19</v>
      </c>
      <c r="E1072" s="20" t="s">
        <v>1415</v>
      </c>
      <c r="F1072" s="20" t="s">
        <v>30</v>
      </c>
      <c r="G1072" s="20">
        <v>2</v>
      </c>
      <c r="H1072" s="20">
        <v>3</v>
      </c>
      <c r="I1072" s="13">
        <v>0.6</v>
      </c>
      <c r="J1072" s="20" t="s">
        <v>249</v>
      </c>
      <c r="L1072" s="20" t="s">
        <v>60</v>
      </c>
      <c r="M1072" s="20" t="s">
        <v>60</v>
      </c>
      <c r="N1072" s="20" t="s">
        <v>30</v>
      </c>
      <c r="O1072" s="20">
        <v>2</v>
      </c>
      <c r="P1072" s="20">
        <v>3</v>
      </c>
      <c r="Q1072" s="13">
        <v>0.5727488933569812</v>
      </c>
      <c r="R1072" s="20" t="s">
        <v>249</v>
      </c>
      <c r="S1072" s="20">
        <v>-0.34364584495448552</v>
      </c>
      <c r="T1072" s="20" t="s">
        <v>60</v>
      </c>
      <c r="U1072" s="20" t="s">
        <v>60</v>
      </c>
      <c r="V1072" s="20"/>
      <c r="W1072" s="20"/>
      <c r="X1072" s="20" t="s">
        <v>60</v>
      </c>
      <c r="Y1072" s="20" t="s">
        <v>412</v>
      </c>
      <c r="Z1072" s="20" t="s">
        <v>60</v>
      </c>
      <c r="AA1072" s="20" t="s">
        <v>491</v>
      </c>
    </row>
    <row r="1073" spans="1:27" x14ac:dyDescent="0.2">
      <c r="A1073" s="1">
        <v>46098</v>
      </c>
      <c r="B1073" s="20" t="s">
        <v>334</v>
      </c>
      <c r="C1073" s="20" t="s">
        <v>34</v>
      </c>
      <c r="D1073" s="20" t="s">
        <v>10</v>
      </c>
      <c r="E1073" s="20" t="s">
        <v>417</v>
      </c>
      <c r="F1073" s="20" t="s">
        <v>34</v>
      </c>
      <c r="G1073" s="20">
        <v>2</v>
      </c>
      <c r="H1073" s="20">
        <v>3</v>
      </c>
      <c r="I1073" s="13">
        <v>0.6</v>
      </c>
      <c r="J1073" s="20" t="s">
        <v>249</v>
      </c>
      <c r="L1073" s="20" t="s">
        <v>60</v>
      </c>
      <c r="M1073" s="20" t="s">
        <v>60</v>
      </c>
      <c r="N1073" s="20" t="s">
        <v>34</v>
      </c>
      <c r="O1073" s="20">
        <v>2</v>
      </c>
      <c r="P1073" s="20">
        <v>3</v>
      </c>
      <c r="Q1073" s="13">
        <v>0.51082279464017433</v>
      </c>
      <c r="R1073" s="20" t="s">
        <v>249</v>
      </c>
      <c r="S1073" s="20">
        <v>-7.1170718811672334E-2</v>
      </c>
      <c r="T1073" s="20" t="s">
        <v>60</v>
      </c>
      <c r="U1073" s="20" t="s">
        <v>60</v>
      </c>
      <c r="V1073" s="20"/>
      <c r="W1073" s="20"/>
      <c r="X1073" s="20" t="s">
        <v>60</v>
      </c>
      <c r="Y1073" s="20" t="s">
        <v>412</v>
      </c>
      <c r="Z1073" s="20" t="s">
        <v>60</v>
      </c>
      <c r="AA1073" s="20" t="s">
        <v>491</v>
      </c>
    </row>
    <row r="1074" spans="1:27" x14ac:dyDescent="0.2">
      <c r="A1074" s="1">
        <v>46098</v>
      </c>
      <c r="B1074" s="20" t="s">
        <v>328</v>
      </c>
      <c r="C1074" s="20" t="s">
        <v>21</v>
      </c>
      <c r="D1074" s="20" t="s">
        <v>18</v>
      </c>
      <c r="E1074" s="20" t="s">
        <v>884</v>
      </c>
      <c r="F1074" s="20" t="s">
        <v>21</v>
      </c>
      <c r="G1074" s="20">
        <v>2</v>
      </c>
      <c r="H1074" s="20">
        <v>3</v>
      </c>
      <c r="I1074" s="13">
        <v>0.6</v>
      </c>
      <c r="J1074" s="20" t="s">
        <v>249</v>
      </c>
      <c r="L1074" s="20" t="s">
        <v>60</v>
      </c>
      <c r="M1074" s="20" t="s">
        <v>60</v>
      </c>
      <c r="N1074" s="20" t="s">
        <v>21</v>
      </c>
      <c r="O1074" s="20">
        <v>2</v>
      </c>
      <c r="P1074" s="20">
        <v>3</v>
      </c>
      <c r="Q1074" s="13">
        <v>0.49857009559320381</v>
      </c>
      <c r="R1074" s="20" t="s">
        <v>249</v>
      </c>
      <c r="S1074" s="20">
        <v>-0.32321911890293109</v>
      </c>
      <c r="T1074" s="20" t="s">
        <v>60</v>
      </c>
      <c r="U1074" s="20" t="s">
        <v>60</v>
      </c>
      <c r="V1074" s="20"/>
      <c r="W1074" s="20"/>
      <c r="X1074" s="20" t="s">
        <v>60</v>
      </c>
      <c r="Y1074" s="20" t="s">
        <v>412</v>
      </c>
      <c r="Z1074" s="20" t="s">
        <v>60</v>
      </c>
      <c r="AA1074" s="20" t="s">
        <v>491</v>
      </c>
    </row>
    <row r="1075" spans="1:27" x14ac:dyDescent="0.2">
      <c r="A1075" s="1">
        <v>46098</v>
      </c>
      <c r="B1075" s="20" t="s">
        <v>326</v>
      </c>
      <c r="C1075" s="20" t="s">
        <v>33</v>
      </c>
      <c r="D1075" s="20" t="s">
        <v>17</v>
      </c>
      <c r="E1075" s="20" t="s">
        <v>1279</v>
      </c>
      <c r="F1075" s="20" t="s">
        <v>33</v>
      </c>
      <c r="G1075" s="20">
        <v>2</v>
      </c>
      <c r="H1075" s="20">
        <v>3</v>
      </c>
      <c r="I1075" s="13">
        <v>0.6</v>
      </c>
      <c r="J1075" s="20" t="s">
        <v>249</v>
      </c>
      <c r="L1075" s="20" t="s">
        <v>60</v>
      </c>
      <c r="M1075" s="20" t="s">
        <v>60</v>
      </c>
      <c r="N1075" s="20" t="s">
        <v>33</v>
      </c>
      <c r="O1075" s="20">
        <v>2</v>
      </c>
      <c r="P1075" s="20">
        <v>3</v>
      </c>
      <c r="Q1075" s="13">
        <v>0.48991183681922668</v>
      </c>
      <c r="R1075" s="20" t="s">
        <v>249</v>
      </c>
      <c r="S1075" s="20">
        <v>-0.31651492293211592</v>
      </c>
      <c r="T1075" s="20" t="s">
        <v>60</v>
      </c>
      <c r="U1075" s="20" t="s">
        <v>60</v>
      </c>
      <c r="V1075" s="20"/>
      <c r="W1075" s="20"/>
      <c r="X1075" s="20" t="s">
        <v>60</v>
      </c>
      <c r="Y1075" s="20" t="s">
        <v>412</v>
      </c>
      <c r="Z1075" s="20" t="s">
        <v>60</v>
      </c>
      <c r="AA1075" s="20" t="s">
        <v>491</v>
      </c>
    </row>
    <row r="1076" spans="1:27" x14ac:dyDescent="0.2">
      <c r="A1076" s="1">
        <v>46098</v>
      </c>
      <c r="B1076" s="20" t="s">
        <v>328</v>
      </c>
      <c r="C1076" s="20" t="s">
        <v>25</v>
      </c>
      <c r="D1076" s="20" t="s">
        <v>28</v>
      </c>
      <c r="E1076" s="20" t="s">
        <v>1416</v>
      </c>
      <c r="F1076" s="20" t="s">
        <v>25</v>
      </c>
      <c r="G1076" s="20">
        <v>2</v>
      </c>
      <c r="H1076" s="20">
        <v>3</v>
      </c>
      <c r="I1076" s="13">
        <v>0.6</v>
      </c>
      <c r="J1076" s="20" t="s">
        <v>249</v>
      </c>
      <c r="L1076" s="20" t="s">
        <v>60</v>
      </c>
      <c r="M1076" s="20" t="s">
        <v>60</v>
      </c>
      <c r="N1076" s="20" t="s">
        <v>25</v>
      </c>
      <c r="O1076" s="20">
        <v>2</v>
      </c>
      <c r="P1076" s="20">
        <v>3</v>
      </c>
      <c r="Q1076" s="13">
        <v>0.64597416936312857</v>
      </c>
      <c r="R1076" s="20" t="s">
        <v>249</v>
      </c>
      <c r="S1076" s="20">
        <v>-0.9707637927559305</v>
      </c>
      <c r="T1076" s="20" t="s">
        <v>60</v>
      </c>
      <c r="U1076" s="20" t="s">
        <v>60</v>
      </c>
      <c r="V1076" s="20"/>
      <c r="W1076" s="20"/>
      <c r="X1076" s="20" t="s">
        <v>60</v>
      </c>
      <c r="Y1076" s="20" t="s">
        <v>412</v>
      </c>
      <c r="Z1076" s="20" t="s">
        <v>60</v>
      </c>
      <c r="AA1076" s="20" t="s">
        <v>491</v>
      </c>
    </row>
    <row r="1077" spans="1:27" x14ac:dyDescent="0.2">
      <c r="A1077" s="1">
        <v>46098</v>
      </c>
      <c r="B1077" s="20" t="s">
        <v>322</v>
      </c>
      <c r="C1077" s="20" t="s">
        <v>37</v>
      </c>
      <c r="D1077" s="20" t="s">
        <v>32</v>
      </c>
      <c r="E1077" s="20" t="s">
        <v>1417</v>
      </c>
      <c r="F1077" s="20" t="s">
        <v>37</v>
      </c>
      <c r="G1077" s="20">
        <v>2</v>
      </c>
      <c r="H1077" s="20">
        <v>3</v>
      </c>
      <c r="I1077" s="13">
        <v>0.6</v>
      </c>
      <c r="J1077" s="20" t="s">
        <v>249</v>
      </c>
      <c r="L1077" s="20" t="s">
        <v>60</v>
      </c>
      <c r="M1077" s="20" t="s">
        <v>60</v>
      </c>
      <c r="N1077" s="20" t="s">
        <v>37</v>
      </c>
      <c r="O1077" s="20">
        <v>2</v>
      </c>
      <c r="P1077" s="20">
        <v>3</v>
      </c>
      <c r="Q1077" s="13">
        <v>0.68209290231665043</v>
      </c>
      <c r="R1077" s="20" t="s">
        <v>249</v>
      </c>
      <c r="S1077" s="20">
        <v>-1.1099814331015321</v>
      </c>
      <c r="T1077" s="20" t="s">
        <v>60</v>
      </c>
      <c r="U1077" s="20" t="s">
        <v>60</v>
      </c>
      <c r="V1077" s="20"/>
      <c r="W1077" s="20"/>
      <c r="X1077" s="20" t="s">
        <v>60</v>
      </c>
      <c r="Y1077" s="20" t="s">
        <v>412</v>
      </c>
      <c r="Z1077" s="20" t="s">
        <v>60</v>
      </c>
      <c r="AA1077" s="20" t="s">
        <v>491</v>
      </c>
    </row>
    <row r="1078" spans="1:27" x14ac:dyDescent="0.2">
      <c r="A1078" s="1">
        <v>46099</v>
      </c>
      <c r="B1078" s="20" t="s">
        <v>328</v>
      </c>
      <c r="C1078" s="20" t="s">
        <v>24</v>
      </c>
      <c r="D1078" s="20" t="s">
        <v>15</v>
      </c>
      <c r="E1078" s="20" t="s">
        <v>1418</v>
      </c>
      <c r="F1078" s="20" t="s">
        <v>24</v>
      </c>
      <c r="G1078" s="20">
        <v>2</v>
      </c>
      <c r="H1078" s="20">
        <v>3</v>
      </c>
      <c r="I1078" s="13">
        <v>0.6</v>
      </c>
      <c r="J1078" s="20" t="s">
        <v>249</v>
      </c>
      <c r="L1078" s="20" t="s">
        <v>60</v>
      </c>
      <c r="M1078" s="20" t="s">
        <v>60</v>
      </c>
      <c r="N1078" s="20" t="s">
        <v>24</v>
      </c>
      <c r="O1078" s="20">
        <v>2</v>
      </c>
      <c r="P1078" s="20">
        <v>3</v>
      </c>
      <c r="Q1078" s="13">
        <v>0.50898700949621889</v>
      </c>
      <c r="R1078" s="20" t="s">
        <v>249</v>
      </c>
      <c r="S1078" s="20">
        <v>-0.2416634863253844</v>
      </c>
      <c r="T1078" s="20" t="s">
        <v>60</v>
      </c>
      <c r="U1078" s="20" t="s">
        <v>60</v>
      </c>
      <c r="V1078" s="20"/>
      <c r="W1078" s="20"/>
      <c r="X1078" s="20" t="s">
        <v>60</v>
      </c>
      <c r="Y1078" s="20" t="s">
        <v>412</v>
      </c>
      <c r="Z1078" s="20" t="s">
        <v>60</v>
      </c>
      <c r="AA1078" s="20" t="s">
        <v>491</v>
      </c>
    </row>
    <row r="1079" spans="1:27" x14ac:dyDescent="0.2">
      <c r="A1079" s="1">
        <v>46099</v>
      </c>
      <c r="B1079" s="20" t="s">
        <v>426</v>
      </c>
      <c r="C1079" s="20" t="s">
        <v>39</v>
      </c>
      <c r="D1079" s="20" t="s">
        <v>12</v>
      </c>
      <c r="E1079" s="20" t="s">
        <v>520</v>
      </c>
      <c r="F1079" s="20" t="s">
        <v>12</v>
      </c>
      <c r="G1079" s="20">
        <v>2</v>
      </c>
      <c r="H1079" s="20">
        <v>3</v>
      </c>
      <c r="I1079" s="13">
        <v>0.6</v>
      </c>
      <c r="J1079" s="20" t="s">
        <v>249</v>
      </c>
      <c r="L1079" s="20" t="s">
        <v>60</v>
      </c>
      <c r="M1079" s="20" t="s">
        <v>60</v>
      </c>
      <c r="N1079" s="20" t="s">
        <v>12</v>
      </c>
      <c r="O1079" s="20">
        <v>2</v>
      </c>
      <c r="P1079" s="20">
        <v>3</v>
      </c>
      <c r="Q1079" s="13">
        <v>0.69431845954718507</v>
      </c>
      <c r="R1079" s="20" t="s">
        <v>249</v>
      </c>
      <c r="S1079" s="20">
        <v>1.268361905495019</v>
      </c>
      <c r="T1079" s="20" t="s">
        <v>60</v>
      </c>
      <c r="U1079" s="20" t="s">
        <v>60</v>
      </c>
      <c r="V1079" s="20"/>
      <c r="W1079" s="20"/>
      <c r="X1079" s="20" t="s">
        <v>60</v>
      </c>
      <c r="Y1079" s="20" t="s">
        <v>412</v>
      </c>
      <c r="Z1079" s="20" t="s">
        <v>60</v>
      </c>
      <c r="AA1079" s="20" t="s">
        <v>491</v>
      </c>
    </row>
    <row r="1080" spans="1:27" x14ac:dyDescent="0.2">
      <c r="A1080" s="1">
        <v>46099</v>
      </c>
      <c r="B1080" s="20" t="s">
        <v>334</v>
      </c>
      <c r="C1080" s="20" t="s">
        <v>36</v>
      </c>
      <c r="D1080" s="20" t="s">
        <v>22</v>
      </c>
      <c r="E1080" s="20" t="s">
        <v>668</v>
      </c>
      <c r="F1080" s="20" t="s">
        <v>22</v>
      </c>
      <c r="G1080" s="20">
        <v>2</v>
      </c>
      <c r="H1080" s="20">
        <v>3</v>
      </c>
      <c r="I1080" s="13">
        <v>0.6</v>
      </c>
      <c r="J1080" s="20" t="s">
        <v>249</v>
      </c>
      <c r="L1080" s="20" t="s">
        <v>60</v>
      </c>
      <c r="M1080" s="20" t="s">
        <v>60</v>
      </c>
      <c r="N1080" s="20" t="s">
        <v>22</v>
      </c>
      <c r="O1080" s="20">
        <v>2</v>
      </c>
      <c r="P1080" s="20">
        <v>3</v>
      </c>
      <c r="Q1080" s="13">
        <v>0.68536945506778668</v>
      </c>
      <c r="R1080" s="20" t="s">
        <v>249</v>
      </c>
      <c r="S1080" s="20">
        <v>1.021984032641758</v>
      </c>
      <c r="T1080" s="20" t="s">
        <v>60</v>
      </c>
      <c r="U1080" s="20" t="s">
        <v>60</v>
      </c>
      <c r="V1080" s="20"/>
      <c r="W1080" s="20"/>
      <c r="X1080" s="20" t="s">
        <v>60</v>
      </c>
      <c r="Y1080" s="20" t="s">
        <v>412</v>
      </c>
      <c r="Z1080" s="20" t="s">
        <v>60</v>
      </c>
      <c r="AA1080" s="20" t="s">
        <v>491</v>
      </c>
    </row>
    <row r="1081" spans="1:27" x14ac:dyDescent="0.2">
      <c r="A1081" s="1">
        <v>46099</v>
      </c>
      <c r="B1081" s="20" t="s">
        <v>328</v>
      </c>
      <c r="C1081" s="20" t="s">
        <v>14</v>
      </c>
      <c r="D1081" s="20" t="s">
        <v>25</v>
      </c>
      <c r="E1081" s="20" t="s">
        <v>1383</v>
      </c>
      <c r="F1081" s="20" t="s">
        <v>25</v>
      </c>
      <c r="G1081" s="20">
        <v>2</v>
      </c>
      <c r="H1081" s="20">
        <v>3</v>
      </c>
      <c r="I1081" s="13">
        <v>0.6</v>
      </c>
      <c r="J1081" s="20" t="s">
        <v>249</v>
      </c>
      <c r="L1081" s="20" t="s">
        <v>60</v>
      </c>
      <c r="M1081" s="20" t="s">
        <v>60</v>
      </c>
      <c r="N1081" s="20" t="s">
        <v>25</v>
      </c>
      <c r="O1081" s="20">
        <v>2</v>
      </c>
      <c r="P1081" s="20">
        <v>3</v>
      </c>
      <c r="Q1081" s="13">
        <v>0.62533344061854423</v>
      </c>
      <c r="R1081" s="20" t="s">
        <v>249</v>
      </c>
      <c r="S1081" s="20">
        <v>0.61784010781720522</v>
      </c>
      <c r="T1081" s="20" t="s">
        <v>60</v>
      </c>
      <c r="U1081" s="20" t="s">
        <v>60</v>
      </c>
      <c r="V1081" s="20"/>
      <c r="W1081" s="20"/>
      <c r="X1081" s="20" t="s">
        <v>60</v>
      </c>
      <c r="Y1081" s="20" t="s">
        <v>412</v>
      </c>
      <c r="Z1081" s="20" t="s">
        <v>60</v>
      </c>
      <c r="AA1081" s="20" t="s">
        <v>491</v>
      </c>
    </row>
    <row r="1082" spans="1:27" x14ac:dyDescent="0.2">
      <c r="A1082" s="1">
        <v>46099</v>
      </c>
      <c r="B1082" s="20" t="s">
        <v>426</v>
      </c>
      <c r="C1082" s="20" t="s">
        <v>35</v>
      </c>
      <c r="D1082" s="20" t="s">
        <v>16</v>
      </c>
      <c r="E1082" s="20" t="s">
        <v>524</v>
      </c>
      <c r="F1082" s="20" t="s">
        <v>16</v>
      </c>
      <c r="G1082" s="20">
        <v>2</v>
      </c>
      <c r="H1082" s="20">
        <v>3</v>
      </c>
      <c r="I1082" s="13">
        <v>0.6</v>
      </c>
      <c r="J1082" s="20" t="s">
        <v>249</v>
      </c>
      <c r="L1082" s="20" t="s">
        <v>60</v>
      </c>
      <c r="M1082" s="20" t="s">
        <v>60</v>
      </c>
      <c r="N1082" s="20" t="s">
        <v>16</v>
      </c>
      <c r="O1082" s="20">
        <v>2</v>
      </c>
      <c r="P1082" s="20">
        <v>3</v>
      </c>
      <c r="Q1082" s="13">
        <v>0.58420688573856194</v>
      </c>
      <c r="R1082" s="20" t="s">
        <v>249</v>
      </c>
      <c r="S1082" s="20">
        <v>0.3785978418262641</v>
      </c>
      <c r="T1082" s="20" t="s">
        <v>60</v>
      </c>
      <c r="U1082" s="20" t="s">
        <v>60</v>
      </c>
      <c r="V1082" s="20"/>
      <c r="W1082" s="20"/>
      <c r="X1082" s="20" t="s">
        <v>60</v>
      </c>
      <c r="Y1082" s="20" t="s">
        <v>412</v>
      </c>
      <c r="Z1082" s="20" t="s">
        <v>60</v>
      </c>
      <c r="AA1082" s="20" t="s">
        <v>491</v>
      </c>
    </row>
    <row r="1083" spans="1:27" x14ac:dyDescent="0.2">
      <c r="A1083" s="1">
        <v>46099</v>
      </c>
      <c r="B1083" s="20" t="s">
        <v>322</v>
      </c>
      <c r="C1083" s="20" t="s">
        <v>27</v>
      </c>
      <c r="D1083" s="20" t="s">
        <v>31</v>
      </c>
      <c r="E1083" s="20" t="s">
        <v>1419</v>
      </c>
      <c r="F1083" s="20" t="s">
        <v>31</v>
      </c>
      <c r="G1083" s="20">
        <v>2</v>
      </c>
      <c r="H1083" s="20">
        <v>3</v>
      </c>
      <c r="I1083" s="13">
        <v>0.6</v>
      </c>
      <c r="J1083" s="20" t="s">
        <v>249</v>
      </c>
      <c r="L1083" s="20" t="s">
        <v>60</v>
      </c>
      <c r="M1083" s="20" t="s">
        <v>60</v>
      </c>
      <c r="N1083" s="20" t="s">
        <v>31</v>
      </c>
      <c r="O1083" s="20">
        <v>2</v>
      </c>
      <c r="P1083" s="20">
        <v>3</v>
      </c>
      <c r="Q1083" s="13">
        <v>0.65003881591850643</v>
      </c>
      <c r="R1083" s="20" t="s">
        <v>249</v>
      </c>
      <c r="S1083" s="20">
        <v>0.60884335426874481</v>
      </c>
      <c r="T1083" s="20" t="s">
        <v>60</v>
      </c>
      <c r="U1083" s="20" t="s">
        <v>60</v>
      </c>
      <c r="V1083" s="20"/>
      <c r="W1083" s="20"/>
      <c r="X1083" s="20" t="s">
        <v>60</v>
      </c>
      <c r="Y1083" s="20" t="s">
        <v>412</v>
      </c>
      <c r="Z1083" s="20" t="s">
        <v>60</v>
      </c>
      <c r="AA1083" s="20" t="s">
        <v>491</v>
      </c>
    </row>
    <row r="1084" spans="1:27" x14ac:dyDescent="0.2">
      <c r="A1084" s="1">
        <v>46100</v>
      </c>
      <c r="B1084" s="20" t="s">
        <v>328</v>
      </c>
      <c r="C1084" s="20" t="s">
        <v>30</v>
      </c>
      <c r="D1084" s="20" t="s">
        <v>36</v>
      </c>
      <c r="E1084" s="20" t="s">
        <v>601</v>
      </c>
      <c r="F1084" s="20" t="s">
        <v>30</v>
      </c>
      <c r="G1084" s="20">
        <v>2</v>
      </c>
      <c r="H1084" s="20">
        <v>3</v>
      </c>
      <c r="I1084" s="13">
        <v>0.6</v>
      </c>
      <c r="J1084" s="20" t="s">
        <v>249</v>
      </c>
      <c r="L1084" s="20" t="s">
        <v>60</v>
      </c>
      <c r="M1084" s="20" t="s">
        <v>60</v>
      </c>
      <c r="N1084" s="20" t="s">
        <v>30</v>
      </c>
      <c r="O1084" s="20">
        <v>2</v>
      </c>
      <c r="P1084" s="20">
        <v>3</v>
      </c>
      <c r="Q1084" s="13">
        <v>0.55820746289392176</v>
      </c>
      <c r="R1084" s="20" t="s">
        <v>249</v>
      </c>
      <c r="S1084" s="20">
        <v>-0.2405433045003435</v>
      </c>
      <c r="T1084" s="20" t="s">
        <v>60</v>
      </c>
      <c r="U1084" s="20" t="s">
        <v>60</v>
      </c>
      <c r="V1084" s="20"/>
      <c r="W1084" s="20"/>
      <c r="X1084" s="20" t="s">
        <v>60</v>
      </c>
      <c r="Y1084" s="20" t="s">
        <v>412</v>
      </c>
      <c r="Z1084" s="20" t="s">
        <v>60</v>
      </c>
      <c r="AA1084" s="20" t="s">
        <v>491</v>
      </c>
    </row>
    <row r="1085" spans="1:27" x14ac:dyDescent="0.2">
      <c r="A1085" s="1">
        <v>46100</v>
      </c>
      <c r="B1085" s="20" t="s">
        <v>322</v>
      </c>
      <c r="C1085" s="20" t="s">
        <v>55</v>
      </c>
      <c r="D1085" s="20" t="s">
        <v>20</v>
      </c>
      <c r="E1085" s="20" t="s">
        <v>1420</v>
      </c>
      <c r="F1085" s="20" t="s">
        <v>20</v>
      </c>
      <c r="G1085" s="20">
        <v>2</v>
      </c>
      <c r="H1085" s="20">
        <v>3</v>
      </c>
      <c r="I1085" s="13">
        <v>0.6</v>
      </c>
      <c r="J1085" s="20" t="s">
        <v>249</v>
      </c>
      <c r="L1085" s="20" t="s">
        <v>60</v>
      </c>
      <c r="M1085" s="20" t="s">
        <v>60</v>
      </c>
      <c r="N1085" s="20" t="s">
        <v>20</v>
      </c>
      <c r="O1085" s="20">
        <v>2</v>
      </c>
      <c r="P1085" s="20">
        <v>3</v>
      </c>
      <c r="Q1085" s="13">
        <v>0.56435516795849938</v>
      </c>
      <c r="R1085" s="20" t="s">
        <v>249</v>
      </c>
      <c r="S1085" s="20">
        <v>0.20858320762370849</v>
      </c>
      <c r="T1085" s="20" t="s">
        <v>60</v>
      </c>
      <c r="U1085" s="20" t="s">
        <v>60</v>
      </c>
      <c r="V1085" s="20"/>
      <c r="W1085" s="20"/>
      <c r="X1085" s="20" t="s">
        <v>60</v>
      </c>
      <c r="Y1085" s="20" t="s">
        <v>412</v>
      </c>
      <c r="Z1085" s="20" t="s">
        <v>60</v>
      </c>
      <c r="AA1085" s="20" t="s">
        <v>491</v>
      </c>
    </row>
    <row r="1086" spans="1:27" x14ac:dyDescent="0.2">
      <c r="A1086" s="1">
        <v>46100</v>
      </c>
      <c r="B1086" s="20" t="s">
        <v>322</v>
      </c>
      <c r="C1086" s="20" t="s">
        <v>37</v>
      </c>
      <c r="D1086" s="20" t="s">
        <v>38</v>
      </c>
      <c r="E1086" s="20" t="s">
        <v>1421</v>
      </c>
      <c r="F1086" s="20" t="s">
        <v>37</v>
      </c>
      <c r="G1086" s="20">
        <v>2</v>
      </c>
      <c r="H1086" s="20">
        <v>3</v>
      </c>
      <c r="I1086" s="13">
        <v>0.6</v>
      </c>
      <c r="J1086" s="20" t="s">
        <v>249</v>
      </c>
      <c r="L1086" s="20" t="s">
        <v>60</v>
      </c>
      <c r="M1086" s="20" t="s">
        <v>60</v>
      </c>
      <c r="N1086" s="20" t="s">
        <v>37</v>
      </c>
      <c r="O1086" s="20">
        <v>2</v>
      </c>
      <c r="P1086" s="20">
        <v>3</v>
      </c>
      <c r="Q1086" s="13">
        <v>0.71692389060857475</v>
      </c>
      <c r="R1086" s="20" t="s">
        <v>249</v>
      </c>
      <c r="S1086" s="20">
        <v>-1.4082819529342461</v>
      </c>
      <c r="T1086" s="20" t="s">
        <v>60</v>
      </c>
      <c r="U1086" s="20" t="s">
        <v>60</v>
      </c>
      <c r="V1086" s="20"/>
      <c r="W1086" s="20"/>
      <c r="X1086" s="20" t="s">
        <v>60</v>
      </c>
      <c r="Y1086" s="20" t="s">
        <v>412</v>
      </c>
      <c r="Z1086" s="20" t="s">
        <v>60</v>
      </c>
      <c r="AA1086" s="20" t="s">
        <v>491</v>
      </c>
    </row>
    <row r="1087" spans="1:27" x14ac:dyDescent="0.2">
      <c r="A1087" s="1">
        <v>46100</v>
      </c>
      <c r="B1087" s="20" t="s">
        <v>322</v>
      </c>
      <c r="C1087" s="20" t="s">
        <v>23</v>
      </c>
      <c r="D1087" s="20" t="s">
        <v>33</v>
      </c>
      <c r="E1087" s="20" t="s">
        <v>1422</v>
      </c>
      <c r="F1087" s="20" t="s">
        <v>33</v>
      </c>
      <c r="G1087" s="20">
        <v>2</v>
      </c>
      <c r="H1087" s="20">
        <v>3</v>
      </c>
      <c r="I1087" s="13">
        <v>0.6</v>
      </c>
      <c r="J1087" s="20" t="s">
        <v>249</v>
      </c>
      <c r="L1087" s="20" t="s">
        <v>60</v>
      </c>
      <c r="M1087" s="20" t="s">
        <v>60</v>
      </c>
      <c r="N1087" s="20" t="s">
        <v>33</v>
      </c>
      <c r="O1087" s="20">
        <v>2</v>
      </c>
      <c r="P1087" s="20">
        <v>3</v>
      </c>
      <c r="Q1087" s="13">
        <v>0.55884226403859216</v>
      </c>
      <c r="R1087" s="20" t="s">
        <v>249</v>
      </c>
      <c r="S1087" s="20">
        <v>7.4680192281508795E-2</v>
      </c>
      <c r="T1087" s="20" t="s">
        <v>60</v>
      </c>
      <c r="U1087" s="20" t="s">
        <v>60</v>
      </c>
      <c r="V1087" s="20"/>
      <c r="W1087" s="20"/>
      <c r="X1087" s="20" t="s">
        <v>60</v>
      </c>
      <c r="Y1087" s="20" t="s">
        <v>412</v>
      </c>
      <c r="Z1087" s="20" t="s">
        <v>60</v>
      </c>
      <c r="AA1087" s="20" t="s">
        <v>491</v>
      </c>
    </row>
    <row r="1088" spans="1:27" x14ac:dyDescent="0.2">
      <c r="A1088" s="1">
        <v>46100</v>
      </c>
      <c r="B1088" s="20" t="s">
        <v>334</v>
      </c>
      <c r="C1088" s="20" t="s">
        <v>10</v>
      </c>
      <c r="D1088" s="20" t="s">
        <v>34</v>
      </c>
      <c r="E1088" s="20" t="s">
        <v>1263</v>
      </c>
      <c r="F1088" s="20" t="s">
        <v>34</v>
      </c>
      <c r="G1088" s="20">
        <v>2</v>
      </c>
      <c r="H1088" s="20">
        <v>3</v>
      </c>
      <c r="I1088" s="13">
        <v>0.6</v>
      </c>
      <c r="J1088" s="20" t="s">
        <v>249</v>
      </c>
      <c r="L1088" s="20" t="s">
        <v>60</v>
      </c>
      <c r="M1088" s="20" t="s">
        <v>60</v>
      </c>
      <c r="N1088" s="20" t="s">
        <v>34</v>
      </c>
      <c r="O1088" s="20">
        <v>2</v>
      </c>
      <c r="P1088" s="20">
        <v>3</v>
      </c>
      <c r="Q1088" s="13">
        <v>0.5599635296646438</v>
      </c>
      <c r="R1088" s="20" t="s">
        <v>249</v>
      </c>
      <c r="S1088" s="20">
        <v>0.17097221665799731</v>
      </c>
      <c r="T1088" s="20" t="s">
        <v>60</v>
      </c>
      <c r="U1088" s="20" t="s">
        <v>60</v>
      </c>
      <c r="V1088" s="20"/>
      <c r="W1088" s="20"/>
      <c r="X1088" s="20" t="s">
        <v>60</v>
      </c>
      <c r="Y1088" s="20" t="s">
        <v>412</v>
      </c>
      <c r="Z1088" s="20" t="s">
        <v>60</v>
      </c>
      <c r="AA1088" s="20" t="s">
        <v>491</v>
      </c>
    </row>
    <row r="1089" spans="1:27" x14ac:dyDescent="0.2">
      <c r="A1089" s="1">
        <v>46100</v>
      </c>
      <c r="B1089" s="20" t="s">
        <v>324</v>
      </c>
      <c r="C1089" s="20" t="s">
        <v>32</v>
      </c>
      <c r="D1089" s="20" t="s">
        <v>29</v>
      </c>
      <c r="E1089" s="20" t="s">
        <v>1423</v>
      </c>
      <c r="F1089" s="20" t="s">
        <v>32</v>
      </c>
      <c r="G1089" s="20">
        <v>2</v>
      </c>
      <c r="H1089" s="20">
        <v>3</v>
      </c>
      <c r="I1089" s="13">
        <v>0.6</v>
      </c>
      <c r="J1089" s="20" t="s">
        <v>249</v>
      </c>
      <c r="L1089" s="20" t="s">
        <v>60</v>
      </c>
      <c r="M1089" s="20" t="s">
        <v>60</v>
      </c>
      <c r="N1089" s="20" t="s">
        <v>32</v>
      </c>
      <c r="O1089" s="20">
        <v>2</v>
      </c>
      <c r="P1089" s="20">
        <v>3</v>
      </c>
      <c r="Q1089" s="13">
        <v>0.54005850754316576</v>
      </c>
      <c r="R1089" s="20" t="s">
        <v>249</v>
      </c>
      <c r="S1089" s="20">
        <v>-0.68563929960880854</v>
      </c>
      <c r="T1089" s="20" t="s">
        <v>60</v>
      </c>
      <c r="U1089" s="20" t="s">
        <v>60</v>
      </c>
      <c r="V1089" s="20"/>
      <c r="W1089" s="20"/>
      <c r="X1089" s="20" t="s">
        <v>60</v>
      </c>
      <c r="Y1089" s="20" t="s">
        <v>412</v>
      </c>
      <c r="Z1089" s="20" t="s">
        <v>60</v>
      </c>
      <c r="AA1089" s="20" t="s">
        <v>491</v>
      </c>
    </row>
    <row r="1090" spans="1:27" x14ac:dyDescent="0.2">
      <c r="A1090" s="1">
        <v>46100</v>
      </c>
      <c r="B1090" s="20" t="s">
        <v>326</v>
      </c>
      <c r="C1090" s="20" t="s">
        <v>11</v>
      </c>
      <c r="D1090" s="20" t="s">
        <v>17</v>
      </c>
      <c r="E1090" s="20" t="s">
        <v>1424</v>
      </c>
      <c r="F1090" s="20" t="s">
        <v>11</v>
      </c>
      <c r="G1090" s="20">
        <v>2</v>
      </c>
      <c r="H1090" s="20">
        <v>3</v>
      </c>
      <c r="I1090" s="13">
        <v>0.6</v>
      </c>
      <c r="J1090" s="20" t="s">
        <v>249</v>
      </c>
      <c r="L1090" s="20" t="s">
        <v>60</v>
      </c>
      <c r="M1090" s="20" t="s">
        <v>60</v>
      </c>
      <c r="N1090" s="20" t="s">
        <v>11</v>
      </c>
      <c r="O1090" s="20">
        <v>2</v>
      </c>
      <c r="P1090" s="20">
        <v>3</v>
      </c>
      <c r="Q1090" s="13">
        <v>0.49624196982048518</v>
      </c>
      <c r="R1090" s="20" t="s">
        <v>249</v>
      </c>
      <c r="S1090" s="20">
        <v>-0.37072762425025269</v>
      </c>
      <c r="T1090" s="20" t="s">
        <v>60</v>
      </c>
      <c r="U1090" s="20" t="s">
        <v>60</v>
      </c>
      <c r="V1090" s="20"/>
      <c r="W1090" s="20"/>
      <c r="X1090" s="20" t="s">
        <v>60</v>
      </c>
      <c r="Y1090" s="20" t="s">
        <v>412</v>
      </c>
      <c r="Z1090" s="20" t="s">
        <v>60</v>
      </c>
      <c r="AA1090" s="20" t="s">
        <v>491</v>
      </c>
    </row>
    <row r="1091" spans="1:27" x14ac:dyDescent="0.2">
      <c r="A1091" s="1">
        <v>46100</v>
      </c>
      <c r="B1091" s="20" t="s">
        <v>328</v>
      </c>
      <c r="C1091" s="20" t="s">
        <v>18</v>
      </c>
      <c r="D1091" s="20" t="s">
        <v>26</v>
      </c>
      <c r="E1091" s="20" t="s">
        <v>515</v>
      </c>
      <c r="F1091" s="20" t="s">
        <v>18</v>
      </c>
      <c r="G1091" s="20">
        <v>2</v>
      </c>
      <c r="H1091" s="20">
        <v>3</v>
      </c>
      <c r="I1091" s="13">
        <v>0.6</v>
      </c>
      <c r="J1091" s="20" t="s">
        <v>249</v>
      </c>
      <c r="L1091" s="20" t="s">
        <v>60</v>
      </c>
      <c r="M1091" s="20" t="s">
        <v>60</v>
      </c>
      <c r="N1091" s="20" t="s">
        <v>18</v>
      </c>
      <c r="O1091" s="20">
        <v>2</v>
      </c>
      <c r="P1091" s="20">
        <v>3</v>
      </c>
      <c r="Q1091" s="13">
        <v>0.54644138368872142</v>
      </c>
      <c r="R1091" s="20" t="s">
        <v>249</v>
      </c>
      <c r="S1091" s="20">
        <v>-0.23254918783532191</v>
      </c>
      <c r="T1091" s="20" t="s">
        <v>60</v>
      </c>
      <c r="U1091" s="20" t="s">
        <v>60</v>
      </c>
      <c r="V1091" s="20"/>
      <c r="W1091" s="20"/>
      <c r="X1091" s="20" t="s">
        <v>60</v>
      </c>
      <c r="Y1091" s="20" t="s">
        <v>412</v>
      </c>
      <c r="Z1091" s="20" t="s">
        <v>60</v>
      </c>
      <c r="AA1091" s="20" t="s">
        <v>491</v>
      </c>
    </row>
    <row r="1092" spans="1:27" x14ac:dyDescent="0.2">
      <c r="A1092" s="1">
        <v>46100</v>
      </c>
      <c r="B1092" s="20" t="s">
        <v>328</v>
      </c>
      <c r="C1092" s="20" t="s">
        <v>15</v>
      </c>
      <c r="D1092" s="20" t="s">
        <v>28</v>
      </c>
      <c r="E1092" s="20" t="s">
        <v>890</v>
      </c>
      <c r="F1092" s="20" t="s">
        <v>15</v>
      </c>
      <c r="G1092" s="20">
        <v>2</v>
      </c>
      <c r="H1092" s="20">
        <v>3</v>
      </c>
      <c r="I1092" s="13">
        <v>0.6</v>
      </c>
      <c r="J1092" s="20" t="s">
        <v>249</v>
      </c>
      <c r="L1092" s="20" t="s">
        <v>60</v>
      </c>
      <c r="M1092" s="20" t="s">
        <v>60</v>
      </c>
      <c r="N1092" s="20" t="s">
        <v>15</v>
      </c>
      <c r="O1092" s="20">
        <v>2</v>
      </c>
      <c r="P1092" s="20">
        <v>3</v>
      </c>
      <c r="Q1092" s="13">
        <v>0.5898628635660369</v>
      </c>
      <c r="R1092" s="20" t="s">
        <v>249</v>
      </c>
      <c r="S1092" s="20">
        <v>-0.2550546709434352</v>
      </c>
      <c r="T1092" s="20" t="s">
        <v>60</v>
      </c>
      <c r="U1092" s="20" t="s">
        <v>60</v>
      </c>
      <c r="V1092" s="20"/>
      <c r="W1092" s="20"/>
      <c r="X1092" s="20" t="s">
        <v>60</v>
      </c>
      <c r="Y1092" s="20" t="s">
        <v>412</v>
      </c>
      <c r="Z1092" s="20" t="s">
        <v>60</v>
      </c>
      <c r="AA1092" s="20" t="s">
        <v>491</v>
      </c>
    </row>
    <row r="1093" spans="1:27" x14ac:dyDescent="0.2">
      <c r="A1093" s="1">
        <v>46100</v>
      </c>
      <c r="B1093" s="20" t="s">
        <v>328</v>
      </c>
      <c r="C1093" s="20" t="s">
        <v>40</v>
      </c>
      <c r="D1093" s="20" t="s">
        <v>21</v>
      </c>
      <c r="E1093" s="20" t="s">
        <v>1425</v>
      </c>
      <c r="F1093" s="20" t="s">
        <v>21</v>
      </c>
      <c r="G1093" s="20">
        <v>2</v>
      </c>
      <c r="H1093" s="20">
        <v>3</v>
      </c>
      <c r="I1093" s="13">
        <v>0.6</v>
      </c>
      <c r="J1093" s="20" t="s">
        <v>249</v>
      </c>
      <c r="L1093" s="20" t="s">
        <v>60</v>
      </c>
      <c r="M1093" s="20" t="s">
        <v>60</v>
      </c>
      <c r="N1093" s="20" t="s">
        <v>21</v>
      </c>
      <c r="O1093" s="20">
        <v>2</v>
      </c>
      <c r="P1093" s="20">
        <v>3</v>
      </c>
      <c r="Q1093" s="13">
        <v>0.57924089186283334</v>
      </c>
      <c r="R1093" s="20" t="s">
        <v>249</v>
      </c>
      <c r="S1093" s="20">
        <v>0.1433728122582224</v>
      </c>
      <c r="T1093" s="20" t="s">
        <v>60</v>
      </c>
      <c r="U1093" s="20" t="s">
        <v>60</v>
      </c>
      <c r="V1093" s="20"/>
      <c r="W1093" s="20"/>
      <c r="X1093" s="20" t="s">
        <v>60</v>
      </c>
      <c r="Y1093" s="20" t="s">
        <v>412</v>
      </c>
      <c r="Z1093" s="20" t="s">
        <v>60</v>
      </c>
      <c r="AA1093" s="20" t="s">
        <v>491</v>
      </c>
    </row>
    <row r="1094" spans="1:27" x14ac:dyDescent="0.2">
      <c r="A1094" s="1">
        <v>46100</v>
      </c>
      <c r="B1094" s="20" t="s">
        <v>340</v>
      </c>
      <c r="C1094" s="20" t="s">
        <v>27</v>
      </c>
      <c r="D1094" s="20" t="s">
        <v>13</v>
      </c>
      <c r="E1094" s="20" t="s">
        <v>1426</v>
      </c>
      <c r="F1094" s="20" t="s">
        <v>13</v>
      </c>
      <c r="G1094" s="20">
        <v>2</v>
      </c>
      <c r="H1094" s="20">
        <v>3</v>
      </c>
      <c r="I1094" s="13">
        <v>0.6</v>
      </c>
      <c r="J1094" s="20" t="s">
        <v>249</v>
      </c>
      <c r="L1094" s="20" t="s">
        <v>60</v>
      </c>
      <c r="M1094" s="20" t="s">
        <v>60</v>
      </c>
      <c r="N1094" s="20" t="s">
        <v>13</v>
      </c>
      <c r="O1094" s="20">
        <v>2</v>
      </c>
      <c r="P1094" s="20">
        <v>3</v>
      </c>
      <c r="Q1094" s="13">
        <v>0.50821306656013865</v>
      </c>
      <c r="R1094" s="20" t="s">
        <v>249</v>
      </c>
      <c r="S1094" s="20">
        <v>9.185673375226483E-2</v>
      </c>
      <c r="T1094" s="20" t="s">
        <v>60</v>
      </c>
      <c r="U1094" s="20" t="s">
        <v>60</v>
      </c>
      <c r="V1094" s="20"/>
      <c r="W1094" s="20"/>
      <c r="X1094" s="20" t="s">
        <v>60</v>
      </c>
      <c r="Y1094" s="20" t="s">
        <v>412</v>
      </c>
      <c r="Z1094" s="20" t="s">
        <v>60</v>
      </c>
      <c r="AA1094" s="20" t="s">
        <v>491</v>
      </c>
    </row>
    <row r="1095" spans="1:27" x14ac:dyDescent="0.2">
      <c r="A1095" s="1">
        <v>46101</v>
      </c>
      <c r="B1095" s="20" t="s">
        <v>328</v>
      </c>
      <c r="C1095" s="20" t="s">
        <v>24</v>
      </c>
      <c r="D1095" s="20" t="s">
        <v>22</v>
      </c>
      <c r="E1095" s="20" t="s">
        <v>880</v>
      </c>
      <c r="F1095" s="20" t="s">
        <v>22</v>
      </c>
      <c r="G1095" s="20">
        <v>2</v>
      </c>
      <c r="H1095" s="20">
        <v>3</v>
      </c>
      <c r="I1095" s="13">
        <v>0.6</v>
      </c>
      <c r="J1095" s="20" t="s">
        <v>249</v>
      </c>
      <c r="L1095" s="20" t="s">
        <v>60</v>
      </c>
      <c r="M1095" s="20" t="s">
        <v>60</v>
      </c>
      <c r="N1095" s="20" t="s">
        <v>22</v>
      </c>
      <c r="O1095" s="20">
        <v>2</v>
      </c>
      <c r="P1095" s="20">
        <v>3</v>
      </c>
      <c r="Q1095" s="13">
        <v>0.6025615888223681</v>
      </c>
      <c r="R1095" s="20" t="s">
        <v>249</v>
      </c>
      <c r="S1095" s="20">
        <v>0.48907773101231511</v>
      </c>
      <c r="T1095" s="20" t="s">
        <v>60</v>
      </c>
      <c r="U1095" s="20" t="s">
        <v>60</v>
      </c>
      <c r="V1095" s="20"/>
      <c r="W1095" s="20"/>
      <c r="X1095" s="20" t="s">
        <v>60</v>
      </c>
      <c r="Y1095" s="20" t="s">
        <v>412</v>
      </c>
      <c r="Z1095" s="20" t="s">
        <v>60</v>
      </c>
      <c r="AA1095" s="20" t="s">
        <v>491</v>
      </c>
    </row>
    <row r="1096" spans="1:27" x14ac:dyDescent="0.2">
      <c r="A1096" s="1">
        <v>46101</v>
      </c>
      <c r="B1096" s="20" t="s">
        <v>326</v>
      </c>
      <c r="C1096" s="20" t="s">
        <v>11</v>
      </c>
      <c r="D1096" s="20" t="s">
        <v>16</v>
      </c>
      <c r="E1096" s="20" t="s">
        <v>1427</v>
      </c>
      <c r="F1096" s="20" t="s">
        <v>11</v>
      </c>
      <c r="G1096" s="20">
        <v>2</v>
      </c>
      <c r="H1096" s="20">
        <v>3</v>
      </c>
      <c r="I1096" s="13">
        <v>0.6</v>
      </c>
      <c r="J1096" s="20" t="s">
        <v>249</v>
      </c>
      <c r="L1096" s="20" t="s">
        <v>60</v>
      </c>
      <c r="M1096" s="20" t="s">
        <v>60</v>
      </c>
      <c r="N1096" s="20" t="s">
        <v>11</v>
      </c>
      <c r="O1096" s="20">
        <v>2</v>
      </c>
      <c r="P1096" s="20">
        <v>3</v>
      </c>
      <c r="Q1096" s="13">
        <v>0.53224962368881501</v>
      </c>
      <c r="R1096" s="20" t="s">
        <v>249</v>
      </c>
      <c r="S1096" s="20">
        <v>-0.61876223905735184</v>
      </c>
      <c r="T1096" s="20" t="s">
        <v>60</v>
      </c>
      <c r="U1096" s="20" t="s">
        <v>60</v>
      </c>
      <c r="V1096" s="20"/>
      <c r="W1096" s="20"/>
      <c r="X1096" s="20" t="s">
        <v>60</v>
      </c>
      <c r="Y1096" s="20" t="s">
        <v>412</v>
      </c>
      <c r="Z1096" s="20" t="s">
        <v>60</v>
      </c>
      <c r="AA1096" s="20" t="s">
        <v>491</v>
      </c>
    </row>
    <row r="1097" spans="1:27" x14ac:dyDescent="0.2">
      <c r="A1097" s="1">
        <v>46101</v>
      </c>
      <c r="B1097" s="20" t="s">
        <v>416</v>
      </c>
      <c r="C1097" s="20" t="s">
        <v>12</v>
      </c>
      <c r="D1097" s="20" t="s">
        <v>10</v>
      </c>
      <c r="E1097" s="20" t="s">
        <v>364</v>
      </c>
      <c r="F1097" s="20" t="s">
        <v>12</v>
      </c>
      <c r="G1097" s="20">
        <v>2</v>
      </c>
      <c r="H1097" s="20">
        <v>3</v>
      </c>
      <c r="I1097" s="13">
        <v>0.6</v>
      </c>
      <c r="J1097" s="20" t="s">
        <v>249</v>
      </c>
      <c r="L1097" s="20" t="s">
        <v>60</v>
      </c>
      <c r="M1097" s="20" t="s">
        <v>60</v>
      </c>
      <c r="N1097" s="20" t="s">
        <v>12</v>
      </c>
      <c r="O1097" s="20">
        <v>2</v>
      </c>
      <c r="P1097" s="20">
        <v>3</v>
      </c>
      <c r="Q1097" s="13">
        <v>0.73791887075284956</v>
      </c>
      <c r="R1097" s="20" t="s">
        <v>249</v>
      </c>
      <c r="S1097" s="20">
        <v>-1.758199164688127</v>
      </c>
      <c r="T1097" s="20" t="s">
        <v>60</v>
      </c>
      <c r="U1097" s="20" t="s">
        <v>60</v>
      </c>
      <c r="V1097" s="20"/>
      <c r="W1097" s="20"/>
      <c r="X1097" s="20" t="s">
        <v>60</v>
      </c>
      <c r="Y1097" s="20" t="s">
        <v>412</v>
      </c>
      <c r="Z1097" s="20" t="s">
        <v>60</v>
      </c>
      <c r="AA1097" s="20" t="s">
        <v>491</v>
      </c>
    </row>
    <row r="1098" spans="1:27" x14ac:dyDescent="0.2">
      <c r="A1098" s="1">
        <v>46101</v>
      </c>
      <c r="B1098" s="20" t="s">
        <v>328</v>
      </c>
      <c r="C1098" s="20" t="s">
        <v>25</v>
      </c>
      <c r="D1098" s="20" t="s">
        <v>19</v>
      </c>
      <c r="E1098" s="20" t="s">
        <v>832</v>
      </c>
      <c r="F1098" s="20" t="s">
        <v>25</v>
      </c>
      <c r="G1098" s="20">
        <v>2</v>
      </c>
      <c r="H1098" s="20">
        <v>3</v>
      </c>
      <c r="I1098" s="13">
        <v>0.6</v>
      </c>
      <c r="J1098" s="20" t="s">
        <v>249</v>
      </c>
      <c r="L1098" s="20" t="s">
        <v>60</v>
      </c>
      <c r="M1098" s="20" t="s">
        <v>60</v>
      </c>
      <c r="N1098" s="20" t="s">
        <v>25</v>
      </c>
      <c r="O1098" s="20">
        <v>2</v>
      </c>
      <c r="P1098" s="20">
        <v>3</v>
      </c>
      <c r="Q1098" s="13">
        <v>0.6505851147604973</v>
      </c>
      <c r="R1098" s="20" t="s">
        <v>249</v>
      </c>
      <c r="S1098" s="20">
        <v>-1.0102529797243709</v>
      </c>
      <c r="T1098" s="20" t="s">
        <v>60</v>
      </c>
      <c r="U1098" s="20" t="s">
        <v>60</v>
      </c>
      <c r="V1098" s="20"/>
      <c r="W1098" s="20"/>
      <c r="X1098" s="20" t="s">
        <v>60</v>
      </c>
      <c r="Y1098" s="20" t="s">
        <v>412</v>
      </c>
      <c r="Z1098" s="20" t="s">
        <v>60</v>
      </c>
      <c r="AA1098" s="20" t="s">
        <v>491</v>
      </c>
    </row>
    <row r="1099" spans="1:27" x14ac:dyDescent="0.2">
      <c r="A1099" s="1">
        <v>46101</v>
      </c>
      <c r="B1099" s="20" t="s">
        <v>322</v>
      </c>
      <c r="C1099" s="20" t="s">
        <v>31</v>
      </c>
      <c r="D1099" s="20" t="s">
        <v>55</v>
      </c>
      <c r="E1099" s="20" t="s">
        <v>1428</v>
      </c>
      <c r="F1099" s="20" t="s">
        <v>31</v>
      </c>
      <c r="G1099" s="20">
        <v>2</v>
      </c>
      <c r="H1099" s="20">
        <v>3</v>
      </c>
      <c r="I1099" s="13">
        <v>0.6</v>
      </c>
      <c r="J1099" s="20" t="s">
        <v>249</v>
      </c>
      <c r="L1099" s="20" t="s">
        <v>60</v>
      </c>
      <c r="M1099" s="20" t="s">
        <v>60</v>
      </c>
      <c r="N1099" s="20" t="s">
        <v>31</v>
      </c>
      <c r="O1099" s="20">
        <v>2</v>
      </c>
      <c r="P1099" s="20">
        <v>3</v>
      </c>
      <c r="Q1099" s="13">
        <v>0.50211016001716335</v>
      </c>
      <c r="R1099" s="20" t="s">
        <v>249</v>
      </c>
      <c r="S1099" s="20">
        <v>-0.53192556193728624</v>
      </c>
      <c r="T1099" s="20" t="s">
        <v>60</v>
      </c>
      <c r="U1099" s="20" t="s">
        <v>60</v>
      </c>
      <c r="V1099" s="20"/>
      <c r="W1099" s="20"/>
      <c r="X1099" s="20" t="s">
        <v>60</v>
      </c>
      <c r="Y1099" s="20" t="s">
        <v>412</v>
      </c>
      <c r="Z1099" s="20" t="s">
        <v>60</v>
      </c>
      <c r="AA1099" s="20" t="s">
        <v>491</v>
      </c>
    </row>
    <row r="1100" spans="1:27" x14ac:dyDescent="0.2">
      <c r="A1100" s="1">
        <v>46102</v>
      </c>
      <c r="B1100" s="20" t="s">
        <v>347</v>
      </c>
      <c r="C1100" s="20" t="s">
        <v>40</v>
      </c>
      <c r="D1100" s="20" t="s">
        <v>14</v>
      </c>
      <c r="E1100" s="20" t="s">
        <v>1429</v>
      </c>
      <c r="F1100" s="20" t="s">
        <v>14</v>
      </c>
      <c r="G1100" s="20">
        <v>2</v>
      </c>
      <c r="H1100" s="20">
        <v>3</v>
      </c>
      <c r="I1100" s="13">
        <v>0.6</v>
      </c>
      <c r="J1100" s="20" t="s">
        <v>249</v>
      </c>
      <c r="L1100" s="20" t="s">
        <v>60</v>
      </c>
      <c r="M1100" s="20" t="s">
        <v>60</v>
      </c>
      <c r="N1100" s="20" t="s">
        <v>14</v>
      </c>
      <c r="O1100" s="20">
        <v>2</v>
      </c>
      <c r="P1100" s="20">
        <v>3</v>
      </c>
      <c r="Q1100" s="13">
        <v>0.54502157665821693</v>
      </c>
      <c r="R1100" s="20" t="s">
        <v>249</v>
      </c>
      <c r="S1100" s="20">
        <v>0.220878351140464</v>
      </c>
      <c r="T1100" s="20" t="s">
        <v>60</v>
      </c>
      <c r="U1100" s="20" t="s">
        <v>60</v>
      </c>
      <c r="V1100" s="20"/>
      <c r="W1100" s="20"/>
      <c r="X1100" s="20" t="s">
        <v>60</v>
      </c>
      <c r="Y1100" s="20" t="s">
        <v>412</v>
      </c>
      <c r="Z1100" s="20" t="s">
        <v>60</v>
      </c>
      <c r="AA1100" s="20" t="s">
        <v>491</v>
      </c>
    </row>
    <row r="1101" spans="1:27" x14ac:dyDescent="0.2">
      <c r="A1101" s="1">
        <v>46102</v>
      </c>
      <c r="B1101" s="20" t="s">
        <v>322</v>
      </c>
      <c r="C1101" s="20" t="s">
        <v>37</v>
      </c>
      <c r="D1101" s="20" t="s">
        <v>17</v>
      </c>
      <c r="E1101" s="20" t="s">
        <v>1430</v>
      </c>
      <c r="F1101" s="20" t="s">
        <v>37</v>
      </c>
      <c r="G1101" s="20">
        <v>2</v>
      </c>
      <c r="H1101" s="20">
        <v>3</v>
      </c>
      <c r="I1101" s="13">
        <v>0.6</v>
      </c>
      <c r="J1101" s="20" t="s">
        <v>249</v>
      </c>
      <c r="L1101" s="20" t="s">
        <v>60</v>
      </c>
      <c r="M1101" s="20" t="s">
        <v>60</v>
      </c>
      <c r="N1101" s="20" t="s">
        <v>37</v>
      </c>
      <c r="O1101" s="20">
        <v>2</v>
      </c>
      <c r="P1101" s="20">
        <v>3</v>
      </c>
      <c r="Q1101" s="13">
        <v>0.69472087571232355</v>
      </c>
      <c r="R1101" s="20" t="s">
        <v>249</v>
      </c>
      <c r="S1101" s="20">
        <v>-1.278350862060964</v>
      </c>
      <c r="T1101" s="20" t="s">
        <v>60</v>
      </c>
      <c r="U1101" s="20" t="s">
        <v>60</v>
      </c>
      <c r="V1101" s="20"/>
      <c r="W1101" s="20"/>
      <c r="X1101" s="20" t="s">
        <v>60</v>
      </c>
      <c r="Y1101" s="20" t="s">
        <v>412</v>
      </c>
      <c r="Z1101" s="20" t="s">
        <v>60</v>
      </c>
      <c r="AA1101" s="20" t="s">
        <v>491</v>
      </c>
    </row>
    <row r="1102" spans="1:27" x14ac:dyDescent="0.2">
      <c r="A1102" s="1">
        <v>46102</v>
      </c>
      <c r="B1102" s="20" t="s">
        <v>328</v>
      </c>
      <c r="C1102" s="20" t="s">
        <v>35</v>
      </c>
      <c r="D1102" s="20" t="s">
        <v>38</v>
      </c>
      <c r="E1102" s="20" t="s">
        <v>545</v>
      </c>
      <c r="F1102" s="20" t="s">
        <v>38</v>
      </c>
      <c r="G1102" s="20">
        <v>2</v>
      </c>
      <c r="H1102" s="20">
        <v>3</v>
      </c>
      <c r="I1102" s="13">
        <v>0.6</v>
      </c>
      <c r="J1102" s="20" t="s">
        <v>249</v>
      </c>
      <c r="L1102" s="20" t="s">
        <v>60</v>
      </c>
      <c r="M1102" s="20" t="s">
        <v>60</v>
      </c>
      <c r="N1102" s="20" t="s">
        <v>38</v>
      </c>
      <c r="O1102" s="20">
        <v>2</v>
      </c>
      <c r="P1102" s="20">
        <v>3</v>
      </c>
      <c r="Q1102" s="13">
        <v>0.59799721524144278</v>
      </c>
      <c r="R1102" s="20" t="s">
        <v>249</v>
      </c>
      <c r="S1102" s="20">
        <v>0.49670136576008078</v>
      </c>
      <c r="T1102" s="20" t="s">
        <v>60</v>
      </c>
      <c r="U1102" s="20" t="s">
        <v>60</v>
      </c>
      <c r="V1102" s="20"/>
      <c r="W1102" s="20"/>
      <c r="X1102" s="20" t="s">
        <v>60</v>
      </c>
      <c r="Y1102" s="20" t="s">
        <v>412</v>
      </c>
      <c r="Z1102" s="20" t="s">
        <v>60</v>
      </c>
      <c r="AA1102" s="20" t="s">
        <v>491</v>
      </c>
    </row>
    <row r="1103" spans="1:27" x14ac:dyDescent="0.2">
      <c r="A1103" s="1">
        <v>46102</v>
      </c>
      <c r="B1103" s="20" t="s">
        <v>328</v>
      </c>
      <c r="C1103" s="20" t="s">
        <v>19</v>
      </c>
      <c r="D1103" s="20" t="s">
        <v>36</v>
      </c>
      <c r="E1103" s="20" t="s">
        <v>1431</v>
      </c>
      <c r="F1103" s="20" t="s">
        <v>36</v>
      </c>
      <c r="G1103" s="20">
        <v>2</v>
      </c>
      <c r="H1103" s="20">
        <v>3</v>
      </c>
      <c r="I1103" s="13">
        <v>0.6</v>
      </c>
      <c r="J1103" s="20" t="s">
        <v>249</v>
      </c>
      <c r="L1103" s="20" t="s">
        <v>60</v>
      </c>
      <c r="M1103" s="20" t="s">
        <v>60</v>
      </c>
      <c r="N1103" s="20" t="s">
        <v>36</v>
      </c>
      <c r="O1103" s="20">
        <v>2</v>
      </c>
      <c r="P1103" s="20">
        <v>3</v>
      </c>
      <c r="Q1103" s="13">
        <v>0.56036087140652391</v>
      </c>
      <c r="R1103" s="20" t="s">
        <v>249</v>
      </c>
      <c r="S1103" s="20">
        <v>0.1530032893773044</v>
      </c>
      <c r="T1103" s="20" t="s">
        <v>60</v>
      </c>
      <c r="U1103" s="20" t="s">
        <v>60</v>
      </c>
      <c r="V1103" s="20"/>
      <c r="W1103" s="20"/>
      <c r="X1103" s="20" t="s">
        <v>60</v>
      </c>
      <c r="Y1103" s="20" t="s">
        <v>412</v>
      </c>
      <c r="Z1103" s="20" t="s">
        <v>60</v>
      </c>
      <c r="AA1103" s="20" t="s">
        <v>491</v>
      </c>
    </row>
    <row r="1104" spans="1:27" x14ac:dyDescent="0.2">
      <c r="A1104" s="1">
        <v>46102</v>
      </c>
      <c r="B1104" s="20" t="s">
        <v>369</v>
      </c>
      <c r="C1104" s="20" t="s">
        <v>27</v>
      </c>
      <c r="D1104" s="20" t="s">
        <v>33</v>
      </c>
      <c r="E1104" s="20" t="s">
        <v>1432</v>
      </c>
      <c r="F1104" s="20" t="s">
        <v>27</v>
      </c>
      <c r="G1104" s="20">
        <v>2</v>
      </c>
      <c r="H1104" s="20">
        <v>3</v>
      </c>
      <c r="I1104" s="13">
        <v>0.6</v>
      </c>
      <c r="J1104" s="20" t="s">
        <v>249</v>
      </c>
      <c r="L1104" s="20" t="s">
        <v>60</v>
      </c>
      <c r="M1104" s="20" t="s">
        <v>60</v>
      </c>
      <c r="N1104" s="20" t="s">
        <v>27</v>
      </c>
      <c r="O1104" s="20">
        <v>2</v>
      </c>
      <c r="P1104" s="20">
        <v>3</v>
      </c>
      <c r="Q1104" s="13">
        <v>0.49478201460899712</v>
      </c>
      <c r="R1104" s="20" t="s">
        <v>249</v>
      </c>
      <c r="S1104" s="20">
        <v>-2.1190659952764871E-2</v>
      </c>
      <c r="T1104" s="20" t="s">
        <v>60</v>
      </c>
      <c r="U1104" s="20" t="s">
        <v>60</v>
      </c>
      <c r="V1104" s="20"/>
      <c r="W1104" s="20"/>
      <c r="X1104" s="20" t="s">
        <v>60</v>
      </c>
      <c r="Y1104" s="20" t="s">
        <v>412</v>
      </c>
      <c r="Z1104" s="20" t="s">
        <v>60</v>
      </c>
      <c r="AA1104" s="20" t="s">
        <v>491</v>
      </c>
    </row>
    <row r="1105" spans="1:27" x14ac:dyDescent="0.2">
      <c r="A1105" s="1">
        <v>46102</v>
      </c>
      <c r="B1105" s="20" t="s">
        <v>459</v>
      </c>
      <c r="C1105" s="20" t="s">
        <v>20</v>
      </c>
      <c r="D1105" s="20" t="s">
        <v>29</v>
      </c>
      <c r="E1105" s="20" t="s">
        <v>1433</v>
      </c>
      <c r="F1105" s="20" t="s">
        <v>20</v>
      </c>
      <c r="G1105" s="20">
        <v>2</v>
      </c>
      <c r="H1105" s="20">
        <v>3</v>
      </c>
      <c r="I1105" s="13">
        <v>0.6</v>
      </c>
      <c r="J1105" s="20" t="s">
        <v>249</v>
      </c>
      <c r="L1105" s="20" t="s">
        <v>60</v>
      </c>
      <c r="M1105" s="20" t="s">
        <v>60</v>
      </c>
      <c r="N1105" s="20" t="s">
        <v>20</v>
      </c>
      <c r="O1105" s="20">
        <v>2</v>
      </c>
      <c r="P1105" s="20">
        <v>3</v>
      </c>
      <c r="Q1105" s="13">
        <v>0.58734080925674181</v>
      </c>
      <c r="R1105" s="20" t="s">
        <v>249</v>
      </c>
      <c r="S1105" s="20">
        <v>-1.0905757045662621</v>
      </c>
      <c r="T1105" s="20" t="s">
        <v>60</v>
      </c>
      <c r="U1105" s="20" t="s">
        <v>60</v>
      </c>
      <c r="V1105" s="20"/>
      <c r="W1105" s="20"/>
      <c r="X1105" s="20" t="s">
        <v>60</v>
      </c>
      <c r="Y1105" s="20" t="s">
        <v>412</v>
      </c>
      <c r="Z1105" s="20" t="s">
        <v>60</v>
      </c>
      <c r="AA1105" s="20" t="s">
        <v>491</v>
      </c>
    </row>
    <row r="1106" spans="1:27" x14ac:dyDescent="0.2">
      <c r="A1106" s="1">
        <v>46102</v>
      </c>
      <c r="B1106" s="20" t="s">
        <v>365</v>
      </c>
      <c r="C1106" s="20" t="s">
        <v>32</v>
      </c>
      <c r="D1106" s="20" t="s">
        <v>28</v>
      </c>
      <c r="E1106" s="20" t="s">
        <v>1434</v>
      </c>
      <c r="F1106" s="20" t="s">
        <v>28</v>
      </c>
      <c r="G1106" s="20">
        <v>2</v>
      </c>
      <c r="H1106" s="20">
        <v>3</v>
      </c>
      <c r="I1106" s="13">
        <v>0.6</v>
      </c>
      <c r="J1106" s="20" t="s">
        <v>249</v>
      </c>
      <c r="L1106" s="20" t="s">
        <v>60</v>
      </c>
      <c r="M1106" s="20" t="s">
        <v>60</v>
      </c>
      <c r="N1106" s="20" t="s">
        <v>28</v>
      </c>
      <c r="O1106" s="20">
        <v>2</v>
      </c>
      <c r="P1106" s="20">
        <v>3</v>
      </c>
      <c r="Q1106" s="13">
        <v>0.55217723088715587</v>
      </c>
      <c r="R1106" s="20" t="s">
        <v>249</v>
      </c>
      <c r="S1106" s="20">
        <v>0.1042885798507122</v>
      </c>
      <c r="T1106" s="20" t="s">
        <v>60</v>
      </c>
      <c r="U1106" s="20" t="s">
        <v>60</v>
      </c>
      <c r="V1106" s="20"/>
      <c r="W1106" s="20"/>
      <c r="X1106" s="20" t="s">
        <v>60</v>
      </c>
      <c r="Y1106" s="20" t="s">
        <v>412</v>
      </c>
      <c r="Z1106" s="20" t="s">
        <v>60</v>
      </c>
      <c r="AA1106" s="20" t="s">
        <v>491</v>
      </c>
    </row>
    <row r="1107" spans="1:27" x14ac:dyDescent="0.2">
      <c r="A1107" s="1">
        <v>46102</v>
      </c>
      <c r="B1107" s="20" t="s">
        <v>369</v>
      </c>
      <c r="C1107" s="20" t="s">
        <v>39</v>
      </c>
      <c r="D1107" s="20" t="s">
        <v>34</v>
      </c>
      <c r="E1107" s="20" t="s">
        <v>983</v>
      </c>
      <c r="F1107" s="20" t="s">
        <v>39</v>
      </c>
      <c r="G1107" s="20">
        <v>2</v>
      </c>
      <c r="H1107" s="20">
        <v>3</v>
      </c>
      <c r="I1107" s="13">
        <v>0.6</v>
      </c>
      <c r="J1107" s="20" t="s">
        <v>249</v>
      </c>
      <c r="L1107" s="20" t="s">
        <v>60</v>
      </c>
      <c r="M1107" s="20" t="s">
        <v>60</v>
      </c>
      <c r="N1107" s="20" t="s">
        <v>39</v>
      </c>
      <c r="O1107" s="20">
        <v>2</v>
      </c>
      <c r="P1107" s="20">
        <v>3</v>
      </c>
      <c r="Q1107" s="13">
        <v>0.61068325047565086</v>
      </c>
      <c r="R1107" s="20" t="s">
        <v>249</v>
      </c>
      <c r="S1107" s="20">
        <v>-0.41866654038143608</v>
      </c>
      <c r="T1107" s="20" t="s">
        <v>60</v>
      </c>
      <c r="U1107" s="20" t="s">
        <v>60</v>
      </c>
      <c r="V1107" s="20"/>
      <c r="W1107" s="20"/>
      <c r="X1107" s="20" t="s">
        <v>60</v>
      </c>
      <c r="Y1107" s="20" t="s">
        <v>412</v>
      </c>
      <c r="Z1107" s="20" t="s">
        <v>60</v>
      </c>
      <c r="AA1107" s="20" t="s">
        <v>491</v>
      </c>
    </row>
    <row r="1108" spans="1:27" x14ac:dyDescent="0.2">
      <c r="A1108" s="1">
        <v>46102</v>
      </c>
      <c r="B1108" s="20" t="s">
        <v>369</v>
      </c>
      <c r="C1108" s="20" t="s">
        <v>23</v>
      </c>
      <c r="D1108" s="20" t="s">
        <v>13</v>
      </c>
      <c r="E1108" s="20" t="s">
        <v>1435</v>
      </c>
      <c r="F1108" s="20" t="s">
        <v>13</v>
      </c>
      <c r="G1108" s="20">
        <v>2</v>
      </c>
      <c r="H1108" s="20">
        <v>3</v>
      </c>
      <c r="I1108" s="13">
        <v>0.6</v>
      </c>
      <c r="J1108" s="20" t="s">
        <v>249</v>
      </c>
      <c r="L1108" s="20" t="s">
        <v>60</v>
      </c>
      <c r="M1108" s="20" t="s">
        <v>60</v>
      </c>
      <c r="N1108" s="20" t="s">
        <v>13</v>
      </c>
      <c r="O1108" s="20">
        <v>2</v>
      </c>
      <c r="P1108" s="20">
        <v>3</v>
      </c>
      <c r="Q1108" s="13">
        <v>0.5619199663253529</v>
      </c>
      <c r="R1108" s="20" t="s">
        <v>249</v>
      </c>
      <c r="S1108" s="20">
        <v>0.18772758598653849</v>
      </c>
      <c r="T1108" s="20" t="s">
        <v>60</v>
      </c>
      <c r="U1108" s="20" t="s">
        <v>60</v>
      </c>
      <c r="V1108" s="20"/>
      <c r="W1108" s="20"/>
      <c r="X1108" s="20" t="s">
        <v>60</v>
      </c>
      <c r="Y1108" s="20" t="s">
        <v>412</v>
      </c>
      <c r="Z1108" s="20" t="s">
        <v>60</v>
      </c>
      <c r="AA1108" s="20" t="s">
        <v>491</v>
      </c>
    </row>
    <row r="1109" spans="1:27" x14ac:dyDescent="0.2">
      <c r="A1109" s="1">
        <v>46102</v>
      </c>
      <c r="B1109" s="20" t="s">
        <v>324</v>
      </c>
      <c r="C1109" s="20" t="s">
        <v>21</v>
      </c>
      <c r="D1109" s="20" t="s">
        <v>26</v>
      </c>
      <c r="E1109" s="20" t="s">
        <v>479</v>
      </c>
      <c r="F1109" s="20" t="s">
        <v>21</v>
      </c>
      <c r="G1109" s="20">
        <v>2</v>
      </c>
      <c r="H1109" s="20">
        <v>3</v>
      </c>
      <c r="I1109" s="13">
        <v>0.6</v>
      </c>
      <c r="J1109" s="20" t="s">
        <v>249</v>
      </c>
      <c r="L1109" s="20" t="s">
        <v>60</v>
      </c>
      <c r="M1109" s="20" t="s">
        <v>60</v>
      </c>
      <c r="N1109" s="20" t="s">
        <v>21</v>
      </c>
      <c r="O1109" s="20">
        <v>2</v>
      </c>
      <c r="P1109" s="20">
        <v>3</v>
      </c>
      <c r="Q1109" s="13">
        <v>0.53155029437330192</v>
      </c>
      <c r="R1109" s="20" t="s">
        <v>249</v>
      </c>
      <c r="S1109" s="20">
        <v>-0.60566905566141549</v>
      </c>
      <c r="T1109" s="20" t="s">
        <v>60</v>
      </c>
      <c r="U1109" s="20" t="s">
        <v>60</v>
      </c>
      <c r="V1109" s="20"/>
      <c r="W1109" s="20"/>
      <c r="X1109" s="20" t="s">
        <v>60</v>
      </c>
      <c r="Y1109" s="20" t="s">
        <v>412</v>
      </c>
      <c r="Z1109" s="20" t="s">
        <v>60</v>
      </c>
      <c r="AA1109" s="20" t="s">
        <v>491</v>
      </c>
    </row>
    <row r="1110" spans="1:27" x14ac:dyDescent="0.2">
      <c r="A1110" s="1">
        <v>46102</v>
      </c>
      <c r="B1110" s="20" t="s">
        <v>328</v>
      </c>
      <c r="C1110" s="20" t="s">
        <v>30</v>
      </c>
      <c r="D1110" s="20" t="s">
        <v>18</v>
      </c>
      <c r="E1110" s="20" t="s">
        <v>1319</v>
      </c>
      <c r="F1110" s="20" t="s">
        <v>30</v>
      </c>
      <c r="G1110" s="20">
        <v>2</v>
      </c>
      <c r="H1110" s="20">
        <v>3</v>
      </c>
      <c r="I1110" s="13">
        <v>0.6</v>
      </c>
      <c r="J1110" s="20" t="s">
        <v>249</v>
      </c>
      <c r="L1110" s="20" t="s">
        <v>60</v>
      </c>
      <c r="M1110" s="20" t="s">
        <v>60</v>
      </c>
      <c r="N1110" s="20" t="s">
        <v>30</v>
      </c>
      <c r="O1110" s="20">
        <v>2</v>
      </c>
      <c r="P1110" s="20">
        <v>3</v>
      </c>
      <c r="Q1110" s="13">
        <v>0.56789276811217293</v>
      </c>
      <c r="R1110" s="20" t="s">
        <v>249</v>
      </c>
      <c r="S1110" s="20">
        <v>-0.30205688190933011</v>
      </c>
      <c r="T1110" s="20" t="s">
        <v>60</v>
      </c>
      <c r="U1110" s="20" t="s">
        <v>60</v>
      </c>
      <c r="V1110" s="20"/>
      <c r="W1110" s="20"/>
      <c r="X1110" s="20" t="s">
        <v>60</v>
      </c>
      <c r="Y1110" s="20" t="s">
        <v>412</v>
      </c>
      <c r="Z1110" s="20" t="s">
        <v>60</v>
      </c>
      <c r="AA1110" s="20" t="s">
        <v>491</v>
      </c>
    </row>
    <row r="1111" spans="1:27" x14ac:dyDescent="0.2">
      <c r="A1111" s="1">
        <v>46103</v>
      </c>
      <c r="B1111" s="20" t="s">
        <v>555</v>
      </c>
      <c r="C1111" s="20" t="s">
        <v>12</v>
      </c>
      <c r="D1111" s="20" t="s">
        <v>22</v>
      </c>
      <c r="E1111" s="20" t="s">
        <v>1436</v>
      </c>
      <c r="F1111" s="20" t="s">
        <v>12</v>
      </c>
      <c r="G1111" s="20">
        <v>2</v>
      </c>
      <c r="H1111" s="20">
        <v>3</v>
      </c>
      <c r="I1111" s="13">
        <v>0.6</v>
      </c>
      <c r="J1111" s="20" t="s">
        <v>249</v>
      </c>
      <c r="L1111" s="20" t="s">
        <v>60</v>
      </c>
      <c r="M1111" s="20" t="s">
        <v>60</v>
      </c>
      <c r="N1111" s="20" t="s">
        <v>12</v>
      </c>
      <c r="O1111" s="20">
        <v>2</v>
      </c>
      <c r="P1111" s="20">
        <v>3</v>
      </c>
      <c r="Q1111" s="13">
        <v>0.63959222849493702</v>
      </c>
      <c r="R1111" s="20" t="s">
        <v>249</v>
      </c>
      <c r="S1111" s="20">
        <v>-1.141295676650057</v>
      </c>
      <c r="T1111" s="20" t="s">
        <v>60</v>
      </c>
      <c r="U1111" s="20" t="s">
        <v>60</v>
      </c>
      <c r="V1111" s="20"/>
      <c r="W1111" s="20"/>
      <c r="X1111" s="20" t="s">
        <v>60</v>
      </c>
      <c r="Y1111" s="20" t="s">
        <v>412</v>
      </c>
      <c r="Z1111" s="20" t="s">
        <v>60</v>
      </c>
      <c r="AA1111" s="20" t="s">
        <v>491</v>
      </c>
    </row>
    <row r="1112" spans="1:27" x14ac:dyDescent="0.2">
      <c r="A1112" s="1">
        <v>46103</v>
      </c>
      <c r="B1112" s="20" t="s">
        <v>326</v>
      </c>
      <c r="C1112" s="20" t="s">
        <v>13</v>
      </c>
      <c r="D1112" s="20" t="s">
        <v>55</v>
      </c>
      <c r="E1112" s="20" t="s">
        <v>961</v>
      </c>
      <c r="F1112" s="20" t="s">
        <v>13</v>
      </c>
      <c r="G1112" s="20">
        <v>2</v>
      </c>
      <c r="H1112" s="20">
        <v>3</v>
      </c>
      <c r="I1112" s="13">
        <v>0.6</v>
      </c>
      <c r="J1112" s="20" t="s">
        <v>249</v>
      </c>
      <c r="L1112" s="20" t="s">
        <v>60</v>
      </c>
      <c r="M1112" s="20" t="s">
        <v>60</v>
      </c>
      <c r="N1112" s="20" t="s">
        <v>13</v>
      </c>
      <c r="O1112" s="20">
        <v>2</v>
      </c>
      <c r="P1112" s="20">
        <v>3</v>
      </c>
      <c r="Q1112" s="13">
        <v>0.48703845954097719</v>
      </c>
      <c r="R1112" s="20" t="s">
        <v>249</v>
      </c>
      <c r="S1112" s="20">
        <v>-1.4938941420806319E-2</v>
      </c>
      <c r="T1112" s="20" t="s">
        <v>60</v>
      </c>
      <c r="U1112" s="20" t="s">
        <v>60</v>
      </c>
      <c r="V1112" s="20"/>
      <c r="W1112" s="20"/>
      <c r="X1112" s="20" t="s">
        <v>60</v>
      </c>
      <c r="Y1112" s="20" t="s">
        <v>412</v>
      </c>
      <c r="Z1112" s="20" t="s">
        <v>60</v>
      </c>
      <c r="AA1112" s="20" t="s">
        <v>491</v>
      </c>
    </row>
    <row r="1113" spans="1:27" x14ac:dyDescent="0.2">
      <c r="A1113" s="1">
        <v>46103</v>
      </c>
      <c r="B1113" s="20" t="s">
        <v>439</v>
      </c>
      <c r="C1113" s="20" t="s">
        <v>40</v>
      </c>
      <c r="D1113" s="20" t="s">
        <v>15</v>
      </c>
      <c r="E1113" s="20" t="s">
        <v>1437</v>
      </c>
      <c r="F1113" s="20" t="s">
        <v>15</v>
      </c>
      <c r="G1113" s="20">
        <v>2</v>
      </c>
      <c r="H1113" s="20">
        <v>3</v>
      </c>
      <c r="I1113" s="13">
        <v>0.6</v>
      </c>
      <c r="J1113" s="20" t="s">
        <v>249</v>
      </c>
      <c r="L1113" s="20" t="s">
        <v>60</v>
      </c>
      <c r="M1113" s="20" t="s">
        <v>60</v>
      </c>
      <c r="N1113" s="20" t="s">
        <v>15</v>
      </c>
      <c r="O1113" s="20">
        <v>2</v>
      </c>
      <c r="P1113" s="20">
        <v>3</v>
      </c>
      <c r="Q1113" s="13">
        <v>0.52776727591144157</v>
      </c>
      <c r="R1113" s="20" t="s">
        <v>249</v>
      </c>
      <c r="S1113" s="20">
        <v>7.3108588222011411E-2</v>
      </c>
      <c r="T1113" s="20" t="s">
        <v>60</v>
      </c>
      <c r="U1113" s="20" t="s">
        <v>60</v>
      </c>
      <c r="V1113" s="20"/>
      <c r="W1113" s="20"/>
      <c r="X1113" s="20" t="s">
        <v>60</v>
      </c>
      <c r="Y1113" s="20" t="s">
        <v>412</v>
      </c>
      <c r="Z1113" s="20" t="s">
        <v>60</v>
      </c>
      <c r="AA1113" s="20" t="s">
        <v>491</v>
      </c>
    </row>
    <row r="1114" spans="1:27" x14ac:dyDescent="0.2">
      <c r="A1114" s="1">
        <v>46103</v>
      </c>
      <c r="B1114" s="20" t="s">
        <v>328</v>
      </c>
      <c r="C1114" s="20" t="s">
        <v>28</v>
      </c>
      <c r="D1114" s="20" t="s">
        <v>30</v>
      </c>
      <c r="E1114" s="20" t="s">
        <v>771</v>
      </c>
      <c r="F1114" s="20" t="s">
        <v>30</v>
      </c>
      <c r="G1114" s="20">
        <v>2</v>
      </c>
      <c r="H1114" s="20">
        <v>3</v>
      </c>
      <c r="I1114" s="13">
        <v>0.6</v>
      </c>
      <c r="J1114" s="20" t="s">
        <v>249</v>
      </c>
      <c r="L1114" s="20" t="s">
        <v>60</v>
      </c>
      <c r="M1114" s="20" t="s">
        <v>60</v>
      </c>
      <c r="N1114" s="20" t="s">
        <v>30</v>
      </c>
      <c r="O1114" s="20">
        <v>2</v>
      </c>
      <c r="P1114" s="20">
        <v>3</v>
      </c>
      <c r="Q1114" s="13">
        <v>0.5835919177498986</v>
      </c>
      <c r="R1114" s="20" t="s">
        <v>249</v>
      </c>
      <c r="S1114" s="20">
        <v>0.40395815583236999</v>
      </c>
      <c r="T1114" s="20" t="s">
        <v>60</v>
      </c>
      <c r="U1114" s="20" t="s">
        <v>60</v>
      </c>
      <c r="V1114" s="20"/>
      <c r="W1114" s="20"/>
      <c r="X1114" s="20" t="s">
        <v>60</v>
      </c>
      <c r="Y1114" s="20" t="s">
        <v>412</v>
      </c>
      <c r="Z1114" s="20" t="s">
        <v>60</v>
      </c>
      <c r="AA1114" s="20" t="s">
        <v>491</v>
      </c>
    </row>
    <row r="1115" spans="1:27" x14ac:dyDescent="0.2">
      <c r="A1115" s="1">
        <v>46103</v>
      </c>
      <c r="B1115" s="20" t="s">
        <v>453</v>
      </c>
      <c r="C1115" s="20" t="s">
        <v>25</v>
      </c>
      <c r="D1115" s="20" t="s">
        <v>14</v>
      </c>
      <c r="E1115" s="20" t="s">
        <v>1091</v>
      </c>
      <c r="F1115" s="20" t="s">
        <v>25</v>
      </c>
      <c r="G1115" s="20">
        <v>2</v>
      </c>
      <c r="H1115" s="20">
        <v>3</v>
      </c>
      <c r="I1115" s="13">
        <v>0.6</v>
      </c>
      <c r="J1115" s="20" t="s">
        <v>249</v>
      </c>
      <c r="L1115" s="20" t="s">
        <v>60</v>
      </c>
      <c r="M1115" s="20" t="s">
        <v>60</v>
      </c>
      <c r="N1115" s="20" t="s">
        <v>25</v>
      </c>
      <c r="O1115" s="20">
        <v>2</v>
      </c>
      <c r="P1115" s="20">
        <v>3</v>
      </c>
      <c r="Q1115" s="13">
        <v>0.59311182252615857</v>
      </c>
      <c r="R1115" s="20" t="s">
        <v>249</v>
      </c>
      <c r="S1115" s="20">
        <v>-0.51803860997088025</v>
      </c>
      <c r="T1115" s="20" t="s">
        <v>60</v>
      </c>
      <c r="U1115" s="20" t="s">
        <v>60</v>
      </c>
      <c r="V1115" s="20"/>
      <c r="W1115" s="20"/>
      <c r="X1115" s="20" t="s">
        <v>60</v>
      </c>
      <c r="Y1115" s="20" t="s">
        <v>412</v>
      </c>
      <c r="Z1115" s="20" t="s">
        <v>60</v>
      </c>
      <c r="AA1115" s="20" t="s">
        <v>491</v>
      </c>
    </row>
    <row r="1116" spans="1:27" x14ac:dyDescent="0.2">
      <c r="A1116" s="1">
        <v>46103</v>
      </c>
      <c r="B1116" s="20" t="s">
        <v>453</v>
      </c>
      <c r="C1116" s="20" t="s">
        <v>29</v>
      </c>
      <c r="D1116" s="20" t="s">
        <v>10</v>
      </c>
      <c r="E1116" s="20" t="s">
        <v>437</v>
      </c>
      <c r="F1116" s="20" t="s">
        <v>10</v>
      </c>
      <c r="G1116" s="20">
        <v>2</v>
      </c>
      <c r="H1116" s="20">
        <v>3</v>
      </c>
      <c r="I1116" s="13">
        <v>0.6</v>
      </c>
      <c r="J1116" s="20" t="s">
        <v>249</v>
      </c>
      <c r="L1116" s="20" t="s">
        <v>60</v>
      </c>
      <c r="M1116" s="20" t="s">
        <v>60</v>
      </c>
      <c r="N1116" s="20" t="s">
        <v>10</v>
      </c>
      <c r="O1116" s="20">
        <v>2</v>
      </c>
      <c r="P1116" s="20">
        <v>3</v>
      </c>
      <c r="Q1116" s="13">
        <v>0.68696266846049026</v>
      </c>
      <c r="R1116" s="20" t="s">
        <v>249</v>
      </c>
      <c r="S1116" s="20">
        <v>1.2586217775489099</v>
      </c>
      <c r="T1116" s="20" t="s">
        <v>60</v>
      </c>
      <c r="U1116" s="20" t="s">
        <v>60</v>
      </c>
      <c r="V1116" s="20"/>
      <c r="W1116" s="20"/>
      <c r="X1116" s="20" t="s">
        <v>60</v>
      </c>
      <c r="Y1116" s="20" t="s">
        <v>412</v>
      </c>
      <c r="Z1116" s="20" t="s">
        <v>60</v>
      </c>
      <c r="AA1116" s="20" t="s">
        <v>491</v>
      </c>
    </row>
    <row r="1117" spans="1:27" x14ac:dyDescent="0.2">
      <c r="A1117" s="1">
        <v>46103</v>
      </c>
      <c r="B1117" s="20" t="s">
        <v>324</v>
      </c>
      <c r="C1117" s="20" t="s">
        <v>37</v>
      </c>
      <c r="D1117" s="20" t="s">
        <v>16</v>
      </c>
      <c r="E1117" s="20" t="s">
        <v>1438</v>
      </c>
      <c r="F1117" s="20" t="s">
        <v>37</v>
      </c>
      <c r="G1117" s="20">
        <v>2</v>
      </c>
      <c r="H1117" s="20">
        <v>3</v>
      </c>
      <c r="I1117" s="13">
        <v>0.6</v>
      </c>
      <c r="J1117" s="20" t="s">
        <v>249</v>
      </c>
      <c r="L1117" s="20" t="s">
        <v>60</v>
      </c>
      <c r="M1117" s="20" t="s">
        <v>60</v>
      </c>
      <c r="N1117" s="20" t="s">
        <v>37</v>
      </c>
      <c r="O1117" s="20">
        <v>2</v>
      </c>
      <c r="P1117" s="20">
        <v>3</v>
      </c>
      <c r="Q1117" s="13">
        <v>0.73071422011145559</v>
      </c>
      <c r="R1117" s="20" t="s">
        <v>249</v>
      </c>
      <c r="S1117" s="20">
        <v>-1.5263854768680629</v>
      </c>
      <c r="T1117" s="20" t="s">
        <v>60</v>
      </c>
      <c r="U1117" s="20" t="s">
        <v>60</v>
      </c>
      <c r="V1117" s="20"/>
      <c r="W1117" s="20"/>
      <c r="X1117" s="20" t="s">
        <v>60</v>
      </c>
      <c r="Y1117" s="20" t="s">
        <v>412</v>
      </c>
      <c r="Z1117" s="20" t="s">
        <v>60</v>
      </c>
      <c r="AA1117" s="20" t="s">
        <v>491</v>
      </c>
    </row>
    <row r="1118" spans="1:27" x14ac:dyDescent="0.2">
      <c r="A1118" s="1">
        <v>46103</v>
      </c>
      <c r="B1118" s="20" t="s">
        <v>324</v>
      </c>
      <c r="C1118" s="20" t="s">
        <v>23</v>
      </c>
      <c r="D1118" s="20" t="s">
        <v>31</v>
      </c>
      <c r="E1118" s="20" t="s">
        <v>1439</v>
      </c>
      <c r="F1118" s="20" t="s">
        <v>31</v>
      </c>
      <c r="G1118" s="20">
        <v>2</v>
      </c>
      <c r="H1118" s="20">
        <v>3</v>
      </c>
      <c r="I1118" s="13">
        <v>0.6</v>
      </c>
      <c r="J1118" s="20" t="s">
        <v>249</v>
      </c>
      <c r="L1118" s="20" t="s">
        <v>60</v>
      </c>
      <c r="M1118" s="20" t="s">
        <v>60</v>
      </c>
      <c r="N1118" s="20" t="s">
        <v>31</v>
      </c>
      <c r="O1118" s="20">
        <v>2</v>
      </c>
      <c r="P1118" s="20">
        <v>3</v>
      </c>
      <c r="Q1118" s="13">
        <v>0.70212049519239939</v>
      </c>
      <c r="R1118" s="20" t="s">
        <v>249</v>
      </c>
      <c r="S1118" s="20">
        <v>0.70471420650301841</v>
      </c>
      <c r="T1118" s="20" t="s">
        <v>60</v>
      </c>
      <c r="U1118" s="20" t="s">
        <v>60</v>
      </c>
      <c r="V1118" s="20"/>
      <c r="W1118" s="20"/>
      <c r="X1118" s="20" t="s">
        <v>60</v>
      </c>
      <c r="Y1118" s="20" t="s">
        <v>412</v>
      </c>
      <c r="Z1118" s="20" t="s">
        <v>60</v>
      </c>
      <c r="AA1118" s="20" t="s">
        <v>491</v>
      </c>
    </row>
    <row r="1119" spans="1:27" x14ac:dyDescent="0.2">
      <c r="A1119" s="1">
        <v>46103</v>
      </c>
      <c r="B1119" s="20" t="s">
        <v>328</v>
      </c>
      <c r="C1119" s="20" t="s">
        <v>20</v>
      </c>
      <c r="D1119" s="20" t="s">
        <v>39</v>
      </c>
      <c r="E1119" s="20" t="s">
        <v>1381</v>
      </c>
      <c r="F1119" s="20" t="s">
        <v>39</v>
      </c>
      <c r="G1119" s="20">
        <v>2</v>
      </c>
      <c r="H1119" s="20">
        <v>3</v>
      </c>
      <c r="I1119" s="13">
        <v>0.6</v>
      </c>
      <c r="J1119" s="20" t="s">
        <v>249</v>
      </c>
      <c r="L1119" s="20" t="s">
        <v>60</v>
      </c>
      <c r="M1119" s="20" t="s">
        <v>60</v>
      </c>
      <c r="N1119" s="20" t="s">
        <v>39</v>
      </c>
      <c r="O1119" s="20">
        <v>2</v>
      </c>
      <c r="P1119" s="20">
        <v>3</v>
      </c>
      <c r="Q1119" s="13">
        <v>0.65489030342408205</v>
      </c>
      <c r="R1119" s="20" t="s">
        <v>249</v>
      </c>
      <c r="S1119" s="20">
        <v>0.70778408109891866</v>
      </c>
      <c r="T1119" s="20" t="s">
        <v>60</v>
      </c>
      <c r="U1119" s="20" t="s">
        <v>60</v>
      </c>
      <c r="V1119" s="20"/>
      <c r="W1119" s="20"/>
      <c r="X1119" s="20" t="s">
        <v>60</v>
      </c>
      <c r="Y1119" s="20" t="s">
        <v>412</v>
      </c>
      <c r="Z1119" s="20" t="s">
        <v>60</v>
      </c>
      <c r="AA1119" s="20" t="s">
        <v>491</v>
      </c>
    </row>
    <row r="1120" spans="1:27" x14ac:dyDescent="0.2">
      <c r="A1120" s="1">
        <v>46104</v>
      </c>
      <c r="B1120" s="20" t="s">
        <v>334</v>
      </c>
      <c r="C1120" s="20" t="s">
        <v>36</v>
      </c>
      <c r="D1120" s="20" t="s">
        <v>15</v>
      </c>
      <c r="E1120" s="20" t="s">
        <v>1190</v>
      </c>
      <c r="F1120" s="20" t="s">
        <v>15</v>
      </c>
      <c r="G1120" s="20">
        <v>2</v>
      </c>
      <c r="H1120" s="20">
        <v>3</v>
      </c>
      <c r="I1120" s="13">
        <v>0.6</v>
      </c>
      <c r="J1120" s="20" t="s">
        <v>249</v>
      </c>
      <c r="L1120" s="20" t="s">
        <v>60</v>
      </c>
      <c r="M1120" s="20" t="s">
        <v>60</v>
      </c>
      <c r="N1120" s="20" t="s">
        <v>15</v>
      </c>
      <c r="O1120" s="20">
        <v>2</v>
      </c>
      <c r="P1120" s="20">
        <v>3</v>
      </c>
      <c r="Q1120" s="13">
        <v>0.57400689712391928</v>
      </c>
      <c r="R1120" s="20" t="s">
        <v>249</v>
      </c>
      <c r="S1120" s="20">
        <v>0.29124281530405849</v>
      </c>
      <c r="T1120" s="20" t="s">
        <v>60</v>
      </c>
      <c r="U1120" s="20" t="s">
        <v>60</v>
      </c>
      <c r="V1120" s="20"/>
      <c r="W1120" s="20"/>
      <c r="X1120" s="20" t="s">
        <v>60</v>
      </c>
      <c r="Y1120" s="20" t="s">
        <v>412</v>
      </c>
      <c r="Z1120" s="20" t="s">
        <v>60</v>
      </c>
      <c r="AA1120" s="20" t="s">
        <v>491</v>
      </c>
    </row>
    <row r="1121" spans="1:27" x14ac:dyDescent="0.2">
      <c r="A1121" s="1">
        <v>46105</v>
      </c>
      <c r="B1121" s="20" t="s">
        <v>328</v>
      </c>
      <c r="C1121" s="20" t="s">
        <v>12</v>
      </c>
      <c r="D1121" s="20" t="s">
        <v>14</v>
      </c>
      <c r="E1121" s="20" t="s">
        <v>1440</v>
      </c>
      <c r="F1121" s="20" t="s">
        <v>12</v>
      </c>
      <c r="G1121" s="20">
        <v>2</v>
      </c>
      <c r="H1121" s="20">
        <v>3</v>
      </c>
      <c r="I1121" s="13">
        <v>0.6</v>
      </c>
      <c r="J1121" s="20" t="s">
        <v>249</v>
      </c>
      <c r="L1121" s="20" t="s">
        <v>60</v>
      </c>
      <c r="M1121" s="20" t="s">
        <v>60</v>
      </c>
      <c r="N1121" s="20" t="s">
        <v>12</v>
      </c>
      <c r="O1121" s="20">
        <v>2</v>
      </c>
      <c r="P1121" s="20">
        <v>3</v>
      </c>
      <c r="Q1121" s="13">
        <v>0.73395680502677829</v>
      </c>
      <c r="R1121" s="20" t="s">
        <v>249</v>
      </c>
      <c r="S1121" s="20">
        <v>-1.7242671310693041</v>
      </c>
      <c r="T1121" s="20" t="s">
        <v>60</v>
      </c>
      <c r="U1121" s="20" t="s">
        <v>60</v>
      </c>
      <c r="V1121" s="20"/>
      <c r="W1121" s="20"/>
      <c r="X1121" s="20" t="s">
        <v>60</v>
      </c>
      <c r="Y1121" s="20" t="s">
        <v>412</v>
      </c>
      <c r="Z1121" s="20" t="s">
        <v>60</v>
      </c>
      <c r="AA1121" s="20" t="s">
        <v>491</v>
      </c>
    </row>
    <row r="1122" spans="1:27" x14ac:dyDescent="0.2">
      <c r="A1122" s="1">
        <v>46105</v>
      </c>
      <c r="B1122" s="20" t="s">
        <v>322</v>
      </c>
      <c r="C1122" s="20" t="s">
        <v>31</v>
      </c>
      <c r="D1122" s="20" t="s">
        <v>38</v>
      </c>
      <c r="E1122" s="20" t="s">
        <v>1275</v>
      </c>
      <c r="F1122" s="20" t="s">
        <v>31</v>
      </c>
      <c r="G1122" s="20">
        <v>2</v>
      </c>
      <c r="H1122" s="20">
        <v>3</v>
      </c>
      <c r="I1122" s="13">
        <v>0.6</v>
      </c>
      <c r="J1122" s="20" t="s">
        <v>249</v>
      </c>
      <c r="L1122" s="20" t="s">
        <v>60</v>
      </c>
      <c r="M1122" s="20" t="s">
        <v>60</v>
      </c>
      <c r="N1122" s="20" t="s">
        <v>31</v>
      </c>
      <c r="O1122" s="20">
        <v>2</v>
      </c>
      <c r="P1122" s="20">
        <v>3</v>
      </c>
      <c r="Q1122" s="13">
        <v>0.60646416175266515</v>
      </c>
      <c r="R1122" s="20" t="s">
        <v>249</v>
      </c>
      <c r="S1122" s="20">
        <v>-1.076480028026908</v>
      </c>
      <c r="T1122" s="20" t="s">
        <v>60</v>
      </c>
      <c r="U1122" s="20" t="s">
        <v>60</v>
      </c>
      <c r="V1122" s="20"/>
      <c r="W1122" s="20"/>
      <c r="X1122" s="20" t="s">
        <v>60</v>
      </c>
      <c r="Y1122" s="20" t="s">
        <v>412</v>
      </c>
      <c r="Z1122" s="20" t="s">
        <v>60</v>
      </c>
      <c r="AA1122" s="20" t="s">
        <v>491</v>
      </c>
    </row>
    <row r="1123" spans="1:27" x14ac:dyDescent="0.2">
      <c r="A1123" s="1">
        <v>46105</v>
      </c>
      <c r="B1123" s="20" t="s">
        <v>426</v>
      </c>
      <c r="C1123" s="20" t="s">
        <v>17</v>
      </c>
      <c r="D1123" s="20" t="s">
        <v>55</v>
      </c>
      <c r="E1123" s="20" t="s">
        <v>1441</v>
      </c>
      <c r="F1123" s="20" t="s">
        <v>55</v>
      </c>
      <c r="G1123" s="20">
        <v>2</v>
      </c>
      <c r="H1123" s="20">
        <v>3</v>
      </c>
      <c r="I1123" s="13">
        <v>0.6</v>
      </c>
      <c r="J1123" s="20" t="s">
        <v>249</v>
      </c>
      <c r="L1123" s="20" t="s">
        <v>60</v>
      </c>
      <c r="M1123" s="20" t="s">
        <v>60</v>
      </c>
      <c r="N1123" s="20" t="s">
        <v>55</v>
      </c>
      <c r="O1123" s="20">
        <v>2</v>
      </c>
      <c r="P1123" s="20">
        <v>3</v>
      </c>
      <c r="Q1123" s="13">
        <v>0.63467122482615079</v>
      </c>
      <c r="R1123" s="20" t="s">
        <v>249</v>
      </c>
      <c r="S1123" s="20">
        <v>0.46452412413950173</v>
      </c>
      <c r="T1123" s="20" t="s">
        <v>60</v>
      </c>
      <c r="U1123" s="20" t="s">
        <v>60</v>
      </c>
      <c r="V1123" s="20"/>
      <c r="W1123" s="20"/>
      <c r="X1123" s="20" t="s">
        <v>60</v>
      </c>
      <c r="Y1123" s="20" t="s">
        <v>412</v>
      </c>
      <c r="Z1123" s="20" t="s">
        <v>60</v>
      </c>
      <c r="AA1123" s="20" t="s">
        <v>491</v>
      </c>
    </row>
    <row r="1124" spans="1:27" x14ac:dyDescent="0.2">
      <c r="A1124" s="1">
        <v>46105</v>
      </c>
      <c r="B1124" s="20" t="s">
        <v>324</v>
      </c>
      <c r="C1124" s="20" t="s">
        <v>20</v>
      </c>
      <c r="D1124" s="20" t="s">
        <v>40</v>
      </c>
      <c r="E1124" s="20" t="s">
        <v>1133</v>
      </c>
      <c r="F1124" s="20" t="s">
        <v>20</v>
      </c>
      <c r="G1124" s="20">
        <v>2</v>
      </c>
      <c r="H1124" s="20">
        <v>3</v>
      </c>
      <c r="I1124" s="13">
        <v>0.6</v>
      </c>
      <c r="J1124" s="20" t="s">
        <v>249</v>
      </c>
      <c r="L1124" s="20" t="s">
        <v>60</v>
      </c>
      <c r="M1124" s="20" t="s">
        <v>60</v>
      </c>
      <c r="N1124" s="20" t="s">
        <v>20</v>
      </c>
      <c r="O1124" s="20">
        <v>2</v>
      </c>
      <c r="P1124" s="20">
        <v>3</v>
      </c>
      <c r="Q1124" s="13">
        <v>0.45971140329328808</v>
      </c>
      <c r="R1124" s="20" t="s">
        <v>249</v>
      </c>
      <c r="S1124" s="20">
        <v>-1.890024453899267E-2</v>
      </c>
      <c r="T1124" s="20" t="s">
        <v>60</v>
      </c>
      <c r="U1124" s="20" t="s">
        <v>60</v>
      </c>
      <c r="V1124" s="20"/>
      <c r="W1124" s="20"/>
      <c r="X1124" s="20" t="s">
        <v>60</v>
      </c>
      <c r="Y1124" s="20" t="s">
        <v>412</v>
      </c>
      <c r="Z1124" s="20" t="s">
        <v>60</v>
      </c>
      <c r="AA1124" s="20" t="s">
        <v>491</v>
      </c>
    </row>
    <row r="1125" spans="1:27" x14ac:dyDescent="0.2">
      <c r="A1125" s="1">
        <v>46105</v>
      </c>
      <c r="B1125" s="20" t="s">
        <v>334</v>
      </c>
      <c r="C1125" s="20" t="s">
        <v>34</v>
      </c>
      <c r="D1125" s="20" t="s">
        <v>37</v>
      </c>
      <c r="E1125" s="20" t="s">
        <v>1442</v>
      </c>
      <c r="F1125" s="20" t="s">
        <v>37</v>
      </c>
      <c r="G1125" s="20">
        <v>2</v>
      </c>
      <c r="H1125" s="20">
        <v>3</v>
      </c>
      <c r="I1125" s="13">
        <v>0.6</v>
      </c>
      <c r="J1125" s="20" t="s">
        <v>249</v>
      </c>
      <c r="L1125" s="20" t="s">
        <v>60</v>
      </c>
      <c r="M1125" s="20" t="s">
        <v>60</v>
      </c>
      <c r="N1125" s="20" t="s">
        <v>37</v>
      </c>
      <c r="O1125" s="20">
        <v>2</v>
      </c>
      <c r="P1125" s="20">
        <v>3</v>
      </c>
      <c r="Q1125" s="13">
        <v>0.60199275041343858</v>
      </c>
      <c r="R1125" s="20" t="s">
        <v>249</v>
      </c>
      <c r="S1125" s="20">
        <v>0.61553048311924552</v>
      </c>
      <c r="T1125" s="20" t="s">
        <v>60</v>
      </c>
      <c r="U1125" s="20" t="s">
        <v>60</v>
      </c>
      <c r="V1125" s="20"/>
      <c r="W1125" s="20"/>
      <c r="X1125" s="20" t="s">
        <v>60</v>
      </c>
      <c r="Y1125" s="20" t="s">
        <v>412</v>
      </c>
      <c r="Z1125" s="20" t="s">
        <v>60</v>
      </c>
      <c r="AA1125" s="20" t="s">
        <v>491</v>
      </c>
    </row>
    <row r="1126" spans="1:27" x14ac:dyDescent="0.2">
      <c r="A1126" s="1">
        <v>46105</v>
      </c>
      <c r="B1126" s="20" t="s">
        <v>324</v>
      </c>
      <c r="C1126" s="20" t="s">
        <v>22</v>
      </c>
      <c r="D1126" s="20" t="s">
        <v>35</v>
      </c>
      <c r="E1126" s="20" t="s">
        <v>1443</v>
      </c>
      <c r="F1126" s="20" t="s">
        <v>22</v>
      </c>
      <c r="G1126" s="20">
        <v>2</v>
      </c>
      <c r="H1126" s="20">
        <v>3</v>
      </c>
      <c r="I1126" s="13">
        <v>0.6</v>
      </c>
      <c r="J1126" s="20" t="s">
        <v>249</v>
      </c>
      <c r="L1126" s="20" t="s">
        <v>60</v>
      </c>
      <c r="M1126" s="20" t="s">
        <v>60</v>
      </c>
      <c r="N1126" s="20" t="s">
        <v>22</v>
      </c>
      <c r="O1126" s="20">
        <v>2</v>
      </c>
      <c r="P1126" s="20">
        <v>3</v>
      </c>
      <c r="Q1126" s="13">
        <v>0.71097091866178919</v>
      </c>
      <c r="R1126" s="20" t="s">
        <v>249</v>
      </c>
      <c r="S1126" s="20">
        <v>-1.785284855878317</v>
      </c>
      <c r="T1126" s="20" t="s">
        <v>60</v>
      </c>
      <c r="U1126" s="20" t="s">
        <v>60</v>
      </c>
      <c r="V1126" s="20"/>
      <c r="W1126" s="20"/>
      <c r="X1126" s="20" t="s">
        <v>60</v>
      </c>
      <c r="Y1126" s="20" t="s">
        <v>412</v>
      </c>
      <c r="Z1126" s="20" t="s">
        <v>60</v>
      </c>
      <c r="AA1126" s="20" t="s">
        <v>491</v>
      </c>
    </row>
    <row r="1127" spans="1:27" x14ac:dyDescent="0.2">
      <c r="A1127" s="1">
        <v>46105</v>
      </c>
      <c r="B1127" s="20" t="s">
        <v>328</v>
      </c>
      <c r="C1127" s="20" t="s">
        <v>28</v>
      </c>
      <c r="D1127" s="20" t="s">
        <v>27</v>
      </c>
      <c r="E1127" s="20" t="s">
        <v>1398</v>
      </c>
      <c r="F1127" s="20" t="s">
        <v>27</v>
      </c>
      <c r="G1127" s="20">
        <v>2</v>
      </c>
      <c r="H1127" s="20">
        <v>3</v>
      </c>
      <c r="I1127" s="13">
        <v>0.6</v>
      </c>
      <c r="J1127" s="20" t="s">
        <v>249</v>
      </c>
      <c r="L1127" s="20" t="s">
        <v>60</v>
      </c>
      <c r="M1127" s="20" t="s">
        <v>60</v>
      </c>
      <c r="N1127" s="20" t="s">
        <v>27</v>
      </c>
      <c r="O1127" s="20">
        <v>2</v>
      </c>
      <c r="P1127" s="20">
        <v>3</v>
      </c>
      <c r="Q1127" s="13">
        <v>0.58136057558031018</v>
      </c>
      <c r="R1127" s="20" t="s">
        <v>249</v>
      </c>
      <c r="S1127" s="20">
        <v>0.26465056976738671</v>
      </c>
      <c r="T1127" s="20" t="s">
        <v>60</v>
      </c>
      <c r="U1127" s="20" t="s">
        <v>60</v>
      </c>
      <c r="V1127" s="20"/>
      <c r="W1127" s="20"/>
      <c r="X1127" s="20" t="s">
        <v>60</v>
      </c>
      <c r="Y1127" s="20" t="s">
        <v>412</v>
      </c>
      <c r="Z1127" s="20" t="s">
        <v>60</v>
      </c>
      <c r="AA1127" s="20" t="s">
        <v>491</v>
      </c>
    </row>
    <row r="1128" spans="1:27" x14ac:dyDescent="0.2">
      <c r="A1128" s="1">
        <v>46105</v>
      </c>
      <c r="B1128" s="20" t="s">
        <v>324</v>
      </c>
      <c r="C1128" s="20" t="s">
        <v>24</v>
      </c>
      <c r="D1128" s="20" t="s">
        <v>39</v>
      </c>
      <c r="E1128" s="20" t="s">
        <v>1444</v>
      </c>
      <c r="F1128" s="20" t="s">
        <v>39</v>
      </c>
      <c r="G1128" s="20">
        <v>2</v>
      </c>
      <c r="H1128" s="20">
        <v>3</v>
      </c>
      <c r="I1128" s="13">
        <v>0.6</v>
      </c>
      <c r="J1128" s="20" t="s">
        <v>249</v>
      </c>
      <c r="L1128" s="20" t="s">
        <v>60</v>
      </c>
      <c r="M1128" s="20" t="s">
        <v>60</v>
      </c>
      <c r="N1128" s="20" t="s">
        <v>39</v>
      </c>
      <c r="O1128" s="20">
        <v>2</v>
      </c>
      <c r="P1128" s="20">
        <v>3</v>
      </c>
      <c r="Q1128" s="13">
        <v>0.60564762155605634</v>
      </c>
      <c r="R1128" s="20" t="s">
        <v>249</v>
      </c>
      <c r="S1128" s="20">
        <v>0.46181300001367798</v>
      </c>
      <c r="T1128" s="20" t="s">
        <v>60</v>
      </c>
      <c r="U1128" s="20" t="s">
        <v>60</v>
      </c>
      <c r="V1128" s="20"/>
      <c r="W1128" s="20"/>
      <c r="X1128" s="20" t="s">
        <v>60</v>
      </c>
      <c r="Y1128" s="20" t="s">
        <v>412</v>
      </c>
      <c r="Z1128" s="20" t="s">
        <v>60</v>
      </c>
      <c r="AA1128" s="20" t="s">
        <v>491</v>
      </c>
    </row>
    <row r="1129" spans="1:27" x14ac:dyDescent="0.2">
      <c r="A1129" s="1">
        <v>46105</v>
      </c>
      <c r="B1129" s="20" t="s">
        <v>324</v>
      </c>
      <c r="C1129" s="20" t="s">
        <v>33</v>
      </c>
      <c r="D1129" s="20" t="s">
        <v>29</v>
      </c>
      <c r="E1129" s="20" t="s">
        <v>1445</v>
      </c>
      <c r="F1129" s="20" t="s">
        <v>33</v>
      </c>
      <c r="G1129" s="20">
        <v>2</v>
      </c>
      <c r="H1129" s="20">
        <v>3</v>
      </c>
      <c r="I1129" s="13">
        <v>0.6</v>
      </c>
      <c r="J1129" s="20" t="s">
        <v>249</v>
      </c>
      <c r="L1129" s="20" t="s">
        <v>60</v>
      </c>
      <c r="M1129" s="20" t="s">
        <v>60</v>
      </c>
      <c r="N1129" s="20" t="s">
        <v>33</v>
      </c>
      <c r="O1129" s="20">
        <v>2</v>
      </c>
      <c r="P1129" s="20">
        <v>3</v>
      </c>
      <c r="Q1129" s="13">
        <v>0.563183329355187</v>
      </c>
      <c r="R1129" s="20" t="s">
        <v>249</v>
      </c>
      <c r="S1129" s="20">
        <v>-0.88368554250465514</v>
      </c>
      <c r="T1129" s="20" t="s">
        <v>60</v>
      </c>
      <c r="U1129" s="20" t="s">
        <v>60</v>
      </c>
      <c r="V1129" s="20"/>
      <c r="W1129" s="20"/>
      <c r="X1129" s="20" t="s">
        <v>60</v>
      </c>
      <c r="Y1129" s="20" t="s">
        <v>412</v>
      </c>
      <c r="Z1129" s="20" t="s">
        <v>60</v>
      </c>
      <c r="AA1129" s="20" t="s">
        <v>491</v>
      </c>
    </row>
    <row r="1130" spans="1:27" x14ac:dyDescent="0.2">
      <c r="A1130" s="1">
        <v>46105</v>
      </c>
      <c r="B1130" s="20" t="s">
        <v>328</v>
      </c>
      <c r="C1130" s="20" t="s">
        <v>25</v>
      </c>
      <c r="D1130" s="20" t="s">
        <v>18</v>
      </c>
      <c r="E1130" s="20" t="s">
        <v>1446</v>
      </c>
      <c r="F1130" s="20" t="s">
        <v>25</v>
      </c>
      <c r="G1130" s="20">
        <v>2</v>
      </c>
      <c r="H1130" s="20">
        <v>3</v>
      </c>
      <c r="I1130" s="13">
        <v>0.6</v>
      </c>
      <c r="J1130" s="20" t="s">
        <v>249</v>
      </c>
      <c r="L1130" s="20" t="s">
        <v>60</v>
      </c>
      <c r="M1130" s="20" t="s">
        <v>60</v>
      </c>
      <c r="N1130" s="20" t="s">
        <v>25</v>
      </c>
      <c r="O1130" s="20">
        <v>2</v>
      </c>
      <c r="P1130" s="20">
        <v>3</v>
      </c>
      <c r="Q1130" s="13">
        <v>0.64572898951568902</v>
      </c>
      <c r="R1130" s="20" t="s">
        <v>249</v>
      </c>
      <c r="S1130" s="20">
        <v>-0.96866401667921542</v>
      </c>
      <c r="T1130" s="20" t="s">
        <v>60</v>
      </c>
      <c r="U1130" s="20" t="s">
        <v>60</v>
      </c>
      <c r="V1130" s="20"/>
      <c r="W1130" s="20"/>
      <c r="X1130" s="20" t="s">
        <v>60</v>
      </c>
      <c r="Y1130" s="20" t="s">
        <v>412</v>
      </c>
      <c r="Z1130" s="20" t="s">
        <v>60</v>
      </c>
      <c r="AA1130" s="20" t="s">
        <v>491</v>
      </c>
    </row>
    <row r="1131" spans="1:27" x14ac:dyDescent="0.2">
      <c r="A1131" s="1">
        <v>46105</v>
      </c>
      <c r="B1131" s="20" t="s">
        <v>328</v>
      </c>
      <c r="C1131" s="20" t="s">
        <v>32</v>
      </c>
      <c r="D1131" s="20" t="s">
        <v>11</v>
      </c>
      <c r="E1131" s="20" t="s">
        <v>1447</v>
      </c>
      <c r="F1131" s="20" t="s">
        <v>11</v>
      </c>
      <c r="G1131" s="20">
        <v>2</v>
      </c>
      <c r="H1131" s="20">
        <v>3</v>
      </c>
      <c r="I1131" s="13">
        <v>0.6</v>
      </c>
      <c r="J1131" s="20" t="s">
        <v>249</v>
      </c>
      <c r="L1131" s="20" t="s">
        <v>60</v>
      </c>
      <c r="M1131" s="20" t="s">
        <v>60</v>
      </c>
      <c r="N1131" s="20" t="s">
        <v>11</v>
      </c>
      <c r="O1131" s="20">
        <v>2</v>
      </c>
      <c r="P1131" s="20">
        <v>3</v>
      </c>
      <c r="Q1131" s="13">
        <v>0.58929822423116462</v>
      </c>
      <c r="R1131" s="20" t="s">
        <v>249</v>
      </c>
      <c r="S1131" s="20">
        <v>0.30215969313714591</v>
      </c>
      <c r="T1131" s="20" t="s">
        <v>60</v>
      </c>
      <c r="U1131" s="20" t="s">
        <v>60</v>
      </c>
      <c r="V1131" s="20"/>
      <c r="W1131" s="20"/>
      <c r="X1131" s="20" t="s">
        <v>60</v>
      </c>
      <c r="Y1131" s="20" t="s">
        <v>412</v>
      </c>
      <c r="Z1131" s="20" t="s">
        <v>60</v>
      </c>
      <c r="AA1131" s="20" t="s">
        <v>491</v>
      </c>
    </row>
    <row r="1132" spans="1:27" x14ac:dyDescent="0.2">
      <c r="A1132" s="1">
        <v>46105</v>
      </c>
      <c r="B1132" s="20" t="s">
        <v>328</v>
      </c>
      <c r="C1132" s="20" t="s">
        <v>36</v>
      </c>
      <c r="D1132" s="20" t="s">
        <v>26</v>
      </c>
      <c r="E1132" s="20" t="s">
        <v>1210</v>
      </c>
      <c r="F1132" s="20" t="s">
        <v>36</v>
      </c>
      <c r="G1132" s="20">
        <v>2</v>
      </c>
      <c r="H1132" s="20">
        <v>3</v>
      </c>
      <c r="I1132" s="13">
        <v>0.6</v>
      </c>
      <c r="J1132" s="20" t="s">
        <v>249</v>
      </c>
      <c r="L1132" s="20" t="s">
        <v>60</v>
      </c>
      <c r="M1132" s="20" t="s">
        <v>60</v>
      </c>
      <c r="N1132" s="20" t="s">
        <v>36</v>
      </c>
      <c r="O1132" s="20">
        <v>2</v>
      </c>
      <c r="P1132" s="20">
        <v>3</v>
      </c>
      <c r="Q1132" s="13">
        <v>0.49433616789893409</v>
      </c>
      <c r="R1132" s="20" t="s">
        <v>249</v>
      </c>
      <c r="S1132" s="20">
        <v>-0.29406276524430841</v>
      </c>
      <c r="T1132" s="20" t="s">
        <v>60</v>
      </c>
      <c r="U1132" s="20" t="s">
        <v>60</v>
      </c>
      <c r="V1132" s="20"/>
      <c r="W1132" s="20"/>
      <c r="X1132" s="20" t="s">
        <v>60</v>
      </c>
      <c r="Y1132" s="20" t="s">
        <v>412</v>
      </c>
      <c r="Z1132" s="20" t="s">
        <v>60</v>
      </c>
      <c r="AA1132" s="20" t="s">
        <v>491</v>
      </c>
    </row>
    <row r="1133" spans="1:27" x14ac:dyDescent="0.2">
      <c r="A1133" s="1">
        <v>46105</v>
      </c>
      <c r="B1133" s="20" t="s">
        <v>326</v>
      </c>
      <c r="C1133" s="20" t="s">
        <v>13</v>
      </c>
      <c r="D1133" s="20" t="s">
        <v>16</v>
      </c>
      <c r="E1133" s="20" t="s">
        <v>1448</v>
      </c>
      <c r="F1133" s="20" t="s">
        <v>13</v>
      </c>
      <c r="G1133" s="20">
        <v>2</v>
      </c>
      <c r="H1133" s="20">
        <v>3</v>
      </c>
      <c r="I1133" s="13">
        <v>0.6</v>
      </c>
      <c r="J1133" s="20" t="s">
        <v>249</v>
      </c>
      <c r="L1133" s="20" t="s">
        <v>60</v>
      </c>
      <c r="M1133" s="20" t="s">
        <v>60</v>
      </c>
      <c r="N1133" s="20" t="s">
        <v>13</v>
      </c>
      <c r="O1133" s="20">
        <v>2</v>
      </c>
      <c r="P1133" s="20">
        <v>3</v>
      </c>
      <c r="Q1133" s="13">
        <v>0.60543523183675452</v>
      </c>
      <c r="R1133" s="20" t="s">
        <v>249</v>
      </c>
      <c r="S1133" s="20">
        <v>-0.67759693144424471</v>
      </c>
      <c r="T1133" s="20" t="s">
        <v>60</v>
      </c>
      <c r="U1133" s="20" t="s">
        <v>60</v>
      </c>
      <c r="V1133" s="20"/>
      <c r="W1133" s="20"/>
      <c r="X1133" s="20" t="s">
        <v>60</v>
      </c>
      <c r="Y1133" s="20" t="s">
        <v>412</v>
      </c>
      <c r="Z1133" s="20" t="s">
        <v>60</v>
      </c>
      <c r="AA1133" s="20" t="s">
        <v>491</v>
      </c>
    </row>
    <row r="1134" spans="1:27" x14ac:dyDescent="0.2">
      <c r="A1134" s="1">
        <v>46105</v>
      </c>
      <c r="B1134" s="20" t="s">
        <v>328</v>
      </c>
      <c r="C1134" s="20" t="s">
        <v>19</v>
      </c>
      <c r="D1134" s="20" t="s">
        <v>21</v>
      </c>
      <c r="E1134" s="20" t="s">
        <v>850</v>
      </c>
      <c r="F1134" s="20" t="s">
        <v>21</v>
      </c>
      <c r="G1134" s="20">
        <v>2</v>
      </c>
      <c r="H1134" s="20">
        <v>3</v>
      </c>
      <c r="I1134" s="13">
        <v>0.6</v>
      </c>
      <c r="J1134" s="20" t="s">
        <v>249</v>
      </c>
      <c r="L1134" s="20" t="s">
        <v>60</v>
      </c>
      <c r="M1134" s="20" t="s">
        <v>60</v>
      </c>
      <c r="N1134" s="20" t="s">
        <v>21</v>
      </c>
      <c r="O1134" s="20">
        <v>2</v>
      </c>
      <c r="P1134" s="20">
        <v>3</v>
      </c>
      <c r="Q1134" s="13">
        <v>0.63715157999313932</v>
      </c>
      <c r="R1134" s="20" t="s">
        <v>249</v>
      </c>
      <c r="S1134" s="20">
        <v>0.46460957979441142</v>
      </c>
      <c r="T1134" s="20" t="s">
        <v>60</v>
      </c>
      <c r="U1134" s="20" t="s">
        <v>60</v>
      </c>
      <c r="V1134" s="20"/>
      <c r="W1134" s="20"/>
      <c r="X1134" s="20" t="s">
        <v>60</v>
      </c>
      <c r="Y1134" s="20" t="s">
        <v>412</v>
      </c>
      <c r="Z1134" s="20" t="s">
        <v>60</v>
      </c>
      <c r="AA1134" s="20" t="s">
        <v>491</v>
      </c>
    </row>
    <row r="1135" spans="1:27" x14ac:dyDescent="0.2">
      <c r="A1135" s="1">
        <v>46105</v>
      </c>
      <c r="B1135" s="20" t="s">
        <v>328</v>
      </c>
      <c r="C1135" s="20" t="s">
        <v>10</v>
      </c>
      <c r="D1135" s="20" t="s">
        <v>30</v>
      </c>
      <c r="E1135" s="20" t="s">
        <v>1449</v>
      </c>
      <c r="F1135" s="20" t="s">
        <v>10</v>
      </c>
      <c r="G1135" s="20">
        <v>2</v>
      </c>
      <c r="H1135" s="20">
        <v>3</v>
      </c>
      <c r="I1135" s="13">
        <v>0.6</v>
      </c>
      <c r="J1135" s="20" t="s">
        <v>249</v>
      </c>
      <c r="L1135" s="20" t="s">
        <v>60</v>
      </c>
      <c r="M1135" s="20" t="s">
        <v>60</v>
      </c>
      <c r="N1135" s="20" t="s">
        <v>10</v>
      </c>
      <c r="O1135" s="20">
        <v>2</v>
      </c>
      <c r="P1135" s="20">
        <v>3</v>
      </c>
      <c r="Q1135" s="13">
        <v>0.46173220442060281</v>
      </c>
      <c r="R1135" s="20" t="s">
        <v>249</v>
      </c>
      <c r="S1135" s="20">
        <v>-1.4834993333856541E-2</v>
      </c>
      <c r="T1135" s="20" t="s">
        <v>60</v>
      </c>
      <c r="U1135" s="20" t="s">
        <v>60</v>
      </c>
      <c r="V1135" s="20"/>
      <c r="W1135" s="20"/>
      <c r="X1135" s="20" t="s">
        <v>60</v>
      </c>
      <c r="Y1135" s="20" t="s">
        <v>412</v>
      </c>
      <c r="Z1135" s="20" t="s">
        <v>60</v>
      </c>
      <c r="AA1135" s="20" t="s">
        <v>491</v>
      </c>
    </row>
    <row r="1136" spans="1:27" x14ac:dyDescent="0.2">
      <c r="A1136" s="1">
        <v>46106</v>
      </c>
      <c r="B1136" s="20" t="s">
        <v>328</v>
      </c>
      <c r="C1136" s="20" t="s">
        <v>21</v>
      </c>
      <c r="D1136" s="20" t="s">
        <v>23</v>
      </c>
      <c r="E1136" s="20" t="s">
        <v>1074</v>
      </c>
      <c r="F1136" s="20" t="s">
        <v>21</v>
      </c>
      <c r="G1136" s="20">
        <v>2</v>
      </c>
      <c r="H1136" s="20">
        <v>3</v>
      </c>
      <c r="I1136" s="13">
        <v>0.6</v>
      </c>
      <c r="J1136" s="20" t="s">
        <v>249</v>
      </c>
      <c r="L1136" s="20" t="s">
        <v>60</v>
      </c>
      <c r="M1136" s="20" t="s">
        <v>60</v>
      </c>
      <c r="N1136" s="20" t="s">
        <v>21</v>
      </c>
      <c r="O1136" s="20">
        <v>2</v>
      </c>
      <c r="P1136" s="20">
        <v>3</v>
      </c>
      <c r="Q1136" s="13">
        <v>0.47480913359163229</v>
      </c>
      <c r="R1136" s="20" t="s">
        <v>249</v>
      </c>
      <c r="S1136" s="20">
        <v>-0.2064399263696956</v>
      </c>
      <c r="T1136" s="20" t="s">
        <v>60</v>
      </c>
      <c r="U1136" s="20" t="s">
        <v>60</v>
      </c>
      <c r="V1136" s="20"/>
      <c r="W1136" s="20"/>
      <c r="X1136" s="20" t="s">
        <v>60</v>
      </c>
      <c r="Y1136" s="20" t="s">
        <v>412</v>
      </c>
      <c r="Z1136" s="20" t="s">
        <v>60</v>
      </c>
      <c r="AA1136" s="20" t="s">
        <v>491</v>
      </c>
    </row>
    <row r="1137" spans="1:27" x14ac:dyDescent="0.2">
      <c r="A1137" s="1">
        <v>46106</v>
      </c>
      <c r="B1137" s="20" t="s">
        <v>334</v>
      </c>
      <c r="C1137" s="20" t="s">
        <v>15</v>
      </c>
      <c r="D1137" s="20" t="s">
        <v>19</v>
      </c>
      <c r="E1137" s="20" t="s">
        <v>584</v>
      </c>
      <c r="F1137" s="20" t="s">
        <v>15</v>
      </c>
      <c r="G1137" s="20">
        <v>2</v>
      </c>
      <c r="H1137" s="20">
        <v>3</v>
      </c>
      <c r="I1137" s="13">
        <v>0.6</v>
      </c>
      <c r="J1137" s="20" t="s">
        <v>249</v>
      </c>
      <c r="L1137" s="20" t="s">
        <v>60</v>
      </c>
      <c r="M1137" s="20" t="s">
        <v>60</v>
      </c>
      <c r="N1137" s="20" t="s">
        <v>15</v>
      </c>
      <c r="O1137" s="20">
        <v>2</v>
      </c>
      <c r="P1137" s="20">
        <v>3</v>
      </c>
      <c r="Q1137" s="13">
        <v>0.59447380896340563</v>
      </c>
      <c r="R1137" s="20" t="s">
        <v>249</v>
      </c>
      <c r="S1137" s="20">
        <v>-0.29454385791187548</v>
      </c>
      <c r="T1137" s="20" t="s">
        <v>60</v>
      </c>
      <c r="U1137" s="20" t="s">
        <v>60</v>
      </c>
      <c r="V1137" s="20"/>
      <c r="W1137" s="20"/>
      <c r="X1137" s="20" t="s">
        <v>60</v>
      </c>
      <c r="Y1137" s="20" t="s">
        <v>412</v>
      </c>
      <c r="Z1137" s="20" t="s">
        <v>60</v>
      </c>
      <c r="AA1137" s="20" t="s">
        <v>491</v>
      </c>
    </row>
    <row r="1138" spans="1:27" x14ac:dyDescent="0.2">
      <c r="A1138" s="1">
        <v>46107</v>
      </c>
      <c r="B1138" s="20" t="s">
        <v>324</v>
      </c>
      <c r="C1138" s="20" t="s">
        <v>12</v>
      </c>
      <c r="D1138" s="20" t="s">
        <v>40</v>
      </c>
      <c r="E1138" s="20" t="s">
        <v>1396</v>
      </c>
      <c r="F1138" s="20" t="s">
        <v>12</v>
      </c>
      <c r="G1138" s="20">
        <v>2</v>
      </c>
      <c r="H1138" s="20">
        <v>3</v>
      </c>
      <c r="I1138" s="13">
        <v>0.6</v>
      </c>
      <c r="J1138" s="20" t="s">
        <v>249</v>
      </c>
      <c r="L1138" s="20" t="s">
        <v>60</v>
      </c>
      <c r="M1138" s="20" t="s">
        <v>60</v>
      </c>
      <c r="N1138" s="20" t="s">
        <v>12</v>
      </c>
      <c r="O1138" s="20">
        <v>2</v>
      </c>
      <c r="P1138" s="20">
        <v>3</v>
      </c>
      <c r="Q1138" s="13">
        <v>0.75141827635481073</v>
      </c>
      <c r="R1138" s="20" t="s">
        <v>249</v>
      </c>
      <c r="S1138" s="20">
        <v>-1.8952447332866049</v>
      </c>
      <c r="T1138" s="20" t="s">
        <v>60</v>
      </c>
      <c r="U1138" s="20" t="s">
        <v>60</v>
      </c>
      <c r="V1138" s="20"/>
      <c r="W1138" s="20"/>
      <c r="X1138" s="20" t="s">
        <v>60</v>
      </c>
      <c r="Y1138" s="20" t="s">
        <v>412</v>
      </c>
      <c r="Z1138" s="20" t="s">
        <v>60</v>
      </c>
      <c r="AA1138" s="20" t="s">
        <v>491</v>
      </c>
    </row>
    <row r="1139" spans="1:27" x14ac:dyDescent="0.2">
      <c r="A1139" s="1">
        <v>46107</v>
      </c>
      <c r="B1139" s="20" t="s">
        <v>326</v>
      </c>
      <c r="C1139" s="20" t="s">
        <v>22</v>
      </c>
      <c r="D1139" s="20" t="s">
        <v>55</v>
      </c>
      <c r="E1139" s="20" t="s">
        <v>1450</v>
      </c>
      <c r="F1139" s="20" t="s">
        <v>22</v>
      </c>
      <c r="G1139" s="20">
        <v>2</v>
      </c>
      <c r="H1139" s="20">
        <v>3</v>
      </c>
      <c r="I1139" s="13">
        <v>0.6</v>
      </c>
      <c r="J1139" s="20" t="s">
        <v>249</v>
      </c>
      <c r="L1139" s="20" t="s">
        <v>60</v>
      </c>
      <c r="M1139" s="20" t="s">
        <v>60</v>
      </c>
      <c r="N1139" s="20" t="s">
        <v>22</v>
      </c>
      <c r="O1139" s="20">
        <v>2</v>
      </c>
      <c r="P1139" s="20">
        <v>3</v>
      </c>
      <c r="Q1139" s="13">
        <v>0.55424148009773655</v>
      </c>
      <c r="R1139" s="20" t="s">
        <v>249</v>
      </c>
      <c r="S1139" s="20">
        <v>-0.79392977295177691</v>
      </c>
      <c r="T1139" s="20" t="s">
        <v>60</v>
      </c>
      <c r="U1139" s="20" t="s">
        <v>60</v>
      </c>
      <c r="V1139" s="20"/>
      <c r="W1139" s="20"/>
      <c r="X1139" s="20" t="s">
        <v>60</v>
      </c>
      <c r="Y1139" s="20" t="s">
        <v>412</v>
      </c>
      <c r="Z1139" s="20" t="s">
        <v>60</v>
      </c>
      <c r="AA1139" s="20" t="s">
        <v>491</v>
      </c>
    </row>
    <row r="1140" spans="1:27" x14ac:dyDescent="0.2">
      <c r="A1140" s="1">
        <v>46107</v>
      </c>
      <c r="B1140" s="20" t="s">
        <v>324</v>
      </c>
      <c r="C1140" s="20" t="s">
        <v>33</v>
      </c>
      <c r="D1140" s="20" t="s">
        <v>35</v>
      </c>
      <c r="E1140" s="20" t="s">
        <v>1451</v>
      </c>
      <c r="F1140" s="20" t="s">
        <v>33</v>
      </c>
      <c r="G1140" s="20">
        <v>2</v>
      </c>
      <c r="H1140" s="20">
        <v>3</v>
      </c>
      <c r="I1140" s="13">
        <v>0.6</v>
      </c>
      <c r="J1140" s="20" t="s">
        <v>249</v>
      </c>
      <c r="L1140" s="20" t="s">
        <v>60</v>
      </c>
      <c r="M1140" s="20" t="s">
        <v>60</v>
      </c>
      <c r="N1140" s="20" t="s">
        <v>33</v>
      </c>
      <c r="O1140" s="20">
        <v>2</v>
      </c>
      <c r="P1140" s="20">
        <v>3</v>
      </c>
      <c r="Q1140" s="13">
        <v>0.56429972750684865</v>
      </c>
      <c r="R1140" s="20" t="s">
        <v>249</v>
      </c>
      <c r="S1140" s="20">
        <v>-0.89324663064231669</v>
      </c>
      <c r="T1140" s="20" t="s">
        <v>60</v>
      </c>
      <c r="U1140" s="20" t="s">
        <v>60</v>
      </c>
      <c r="V1140" s="20"/>
      <c r="W1140" s="20"/>
      <c r="X1140" s="20" t="s">
        <v>60</v>
      </c>
      <c r="Y1140" s="20" t="s">
        <v>412</v>
      </c>
      <c r="Z1140" s="20" t="s">
        <v>60</v>
      </c>
      <c r="AA1140" s="20" t="s">
        <v>491</v>
      </c>
    </row>
    <row r="1141" spans="1:27" x14ac:dyDescent="0.2">
      <c r="A1141" s="1">
        <v>46107</v>
      </c>
      <c r="B1141" s="20" t="s">
        <v>426</v>
      </c>
      <c r="C1141" s="20" t="s">
        <v>17</v>
      </c>
      <c r="D1141" s="20" t="s">
        <v>20</v>
      </c>
      <c r="E1141" s="20" t="s">
        <v>1369</v>
      </c>
      <c r="F1141" s="20" t="s">
        <v>20</v>
      </c>
      <c r="G1141" s="20">
        <v>2</v>
      </c>
      <c r="H1141" s="20">
        <v>3</v>
      </c>
      <c r="I1141" s="13">
        <v>0.6</v>
      </c>
      <c r="J1141" s="20" t="s">
        <v>249</v>
      </c>
      <c r="L1141" s="20" t="s">
        <v>60</v>
      </c>
      <c r="M1141" s="20" t="s">
        <v>60</v>
      </c>
      <c r="N1141" s="20" t="s">
        <v>20</v>
      </c>
      <c r="O1141" s="20">
        <v>2</v>
      </c>
      <c r="P1141" s="20">
        <v>3</v>
      </c>
      <c r="Q1141" s="13">
        <v>0.61276856641927757</v>
      </c>
      <c r="R1141" s="20" t="s">
        <v>249</v>
      </c>
      <c r="S1141" s="20">
        <v>0.62320658284004771</v>
      </c>
      <c r="T1141" s="20" t="s">
        <v>60</v>
      </c>
      <c r="U1141" s="20" t="s">
        <v>60</v>
      </c>
      <c r="V1141" s="20"/>
      <c r="W1141" s="20"/>
      <c r="X1141" s="20" t="s">
        <v>60</v>
      </c>
      <c r="Y1141" s="20" t="s">
        <v>412</v>
      </c>
      <c r="Z1141" s="20" t="s">
        <v>60</v>
      </c>
      <c r="AA1141" s="20" t="s">
        <v>491</v>
      </c>
    </row>
    <row r="1142" spans="1:27" x14ac:dyDescent="0.2">
      <c r="A1142" s="1">
        <v>46107</v>
      </c>
      <c r="B1142" s="20" t="s">
        <v>322</v>
      </c>
      <c r="C1142" s="20" t="s">
        <v>13</v>
      </c>
      <c r="D1142" s="20" t="s">
        <v>38</v>
      </c>
      <c r="E1142" s="20" t="s">
        <v>1452</v>
      </c>
      <c r="F1142" s="20" t="s">
        <v>13</v>
      </c>
      <c r="G1142" s="20">
        <v>2</v>
      </c>
      <c r="H1142" s="20">
        <v>3</v>
      </c>
      <c r="I1142" s="13">
        <v>0.6</v>
      </c>
      <c r="J1142" s="20" t="s">
        <v>249</v>
      </c>
      <c r="L1142" s="20" t="s">
        <v>60</v>
      </c>
      <c r="M1142" s="20" t="s">
        <v>60</v>
      </c>
      <c r="N1142" s="20" t="s">
        <v>13</v>
      </c>
      <c r="O1142" s="20">
        <v>2</v>
      </c>
      <c r="P1142" s="20">
        <v>3</v>
      </c>
      <c r="Q1142" s="13">
        <v>0.59164490233387368</v>
      </c>
      <c r="R1142" s="20" t="s">
        <v>249</v>
      </c>
      <c r="S1142" s="20">
        <v>-0.55949340751042798</v>
      </c>
      <c r="T1142" s="20" t="s">
        <v>60</v>
      </c>
      <c r="U1142" s="20" t="s">
        <v>60</v>
      </c>
      <c r="V1142" s="20"/>
      <c r="W1142" s="20"/>
      <c r="X1142" s="20" t="s">
        <v>60</v>
      </c>
      <c r="Y1142" s="20" t="s">
        <v>412</v>
      </c>
      <c r="Z1142" s="20" t="s">
        <v>60</v>
      </c>
      <c r="AA1142" s="20" t="s">
        <v>491</v>
      </c>
    </row>
    <row r="1143" spans="1:27" x14ac:dyDescent="0.2">
      <c r="A1143" s="1">
        <v>46107</v>
      </c>
      <c r="B1143" s="20" t="s">
        <v>328</v>
      </c>
      <c r="C1143" s="20" t="s">
        <v>10</v>
      </c>
      <c r="D1143" s="20" t="s">
        <v>27</v>
      </c>
      <c r="E1143" s="20" t="s">
        <v>1453</v>
      </c>
      <c r="F1143" s="20" t="s">
        <v>10</v>
      </c>
      <c r="G1143" s="20">
        <v>2</v>
      </c>
      <c r="H1143" s="20">
        <v>3</v>
      </c>
      <c r="I1143" s="13">
        <v>0.6</v>
      </c>
      <c r="J1143" s="20" t="s">
        <v>249</v>
      </c>
      <c r="L1143" s="20" t="s">
        <v>60</v>
      </c>
      <c r="M1143" s="20" t="s">
        <v>60</v>
      </c>
      <c r="N1143" s="20" t="s">
        <v>10</v>
      </c>
      <c r="O1143" s="20">
        <v>2</v>
      </c>
      <c r="P1143" s="20">
        <v>3</v>
      </c>
      <c r="Q1143" s="13">
        <v>0.46398180062830402</v>
      </c>
      <c r="R1143" s="20" t="s">
        <v>249</v>
      </c>
      <c r="S1143" s="20">
        <v>-0.15414257939883991</v>
      </c>
      <c r="T1143" s="20" t="s">
        <v>60</v>
      </c>
      <c r="U1143" s="20" t="s">
        <v>60</v>
      </c>
      <c r="V1143" s="20"/>
      <c r="W1143" s="20"/>
      <c r="X1143" s="20" t="s">
        <v>60</v>
      </c>
      <c r="Y1143" s="20" t="s">
        <v>412</v>
      </c>
      <c r="Z1143" s="20" t="s">
        <v>60</v>
      </c>
      <c r="AA1143" s="20" t="s">
        <v>491</v>
      </c>
    </row>
    <row r="1144" spans="1:27" x14ac:dyDescent="0.2">
      <c r="A1144" s="1">
        <v>46107</v>
      </c>
      <c r="B1144" s="20" t="s">
        <v>328</v>
      </c>
      <c r="C1144" s="20" t="s">
        <v>32</v>
      </c>
      <c r="D1144" s="20" t="s">
        <v>37</v>
      </c>
      <c r="E1144" s="20" t="s">
        <v>1454</v>
      </c>
      <c r="F1144" s="20" t="s">
        <v>37</v>
      </c>
      <c r="G1144" s="20">
        <v>2</v>
      </c>
      <c r="H1144" s="20">
        <v>3</v>
      </c>
      <c r="I1144" s="13">
        <v>0.6</v>
      </c>
      <c r="J1144" s="20" t="s">
        <v>249</v>
      </c>
      <c r="L1144" s="20" t="s">
        <v>60</v>
      </c>
      <c r="M1144" s="20" t="s">
        <v>60</v>
      </c>
      <c r="N1144" s="20" t="s">
        <v>37</v>
      </c>
      <c r="O1144" s="20">
        <v>2</v>
      </c>
      <c r="P1144" s="20">
        <v>3</v>
      </c>
      <c r="Q1144" s="13">
        <v>0.7135060781181839</v>
      </c>
      <c r="R1144" s="20" t="s">
        <v>249</v>
      </c>
      <c r="S1144" s="20">
        <v>1.2097829309478569</v>
      </c>
      <c r="T1144" s="20" t="s">
        <v>60</v>
      </c>
      <c r="U1144" s="20" t="s">
        <v>60</v>
      </c>
      <c r="V1144" s="20"/>
      <c r="W1144" s="20"/>
      <c r="X1144" s="20" t="s">
        <v>60</v>
      </c>
      <c r="Y1144" s="20" t="s">
        <v>412</v>
      </c>
      <c r="Z1144" s="20" t="s">
        <v>60</v>
      </c>
      <c r="AA1144" s="20" t="s">
        <v>491</v>
      </c>
    </row>
    <row r="1145" spans="1:27" x14ac:dyDescent="0.2">
      <c r="A1145" s="1">
        <v>46107</v>
      </c>
      <c r="B1145" s="20" t="s">
        <v>328</v>
      </c>
      <c r="C1145" s="20" t="s">
        <v>39</v>
      </c>
      <c r="D1145" s="20" t="s">
        <v>30</v>
      </c>
      <c r="E1145" s="20" t="s">
        <v>1455</v>
      </c>
      <c r="F1145" s="20" t="s">
        <v>39</v>
      </c>
      <c r="G1145" s="20">
        <v>2</v>
      </c>
      <c r="H1145" s="20">
        <v>3</v>
      </c>
      <c r="I1145" s="13">
        <v>0.6</v>
      </c>
      <c r="J1145" s="20" t="s">
        <v>249</v>
      </c>
      <c r="L1145" s="20" t="s">
        <v>60</v>
      </c>
      <c r="M1145" s="20" t="s">
        <v>60</v>
      </c>
      <c r="N1145" s="20" t="s">
        <v>39</v>
      </c>
      <c r="O1145" s="20">
        <v>2</v>
      </c>
      <c r="P1145" s="20">
        <v>3</v>
      </c>
      <c r="Q1145" s="13">
        <v>0.63237898456089747</v>
      </c>
      <c r="R1145" s="20" t="s">
        <v>249</v>
      </c>
      <c r="S1145" s="20">
        <v>-0.60447375037328999</v>
      </c>
      <c r="T1145" s="20" t="s">
        <v>60</v>
      </c>
      <c r="U1145" s="20" t="s">
        <v>60</v>
      </c>
      <c r="V1145" s="20"/>
      <c r="W1145" s="20"/>
      <c r="X1145" s="20" t="s">
        <v>60</v>
      </c>
      <c r="Y1145" s="20" t="s">
        <v>412</v>
      </c>
      <c r="Z1145" s="20" t="s">
        <v>60</v>
      </c>
      <c r="AA1145" s="20" t="s">
        <v>491</v>
      </c>
    </row>
    <row r="1146" spans="1:27" x14ac:dyDescent="0.2">
      <c r="A1146" s="1">
        <v>46107</v>
      </c>
      <c r="B1146" s="20" t="s">
        <v>324</v>
      </c>
      <c r="C1146" s="20" t="s">
        <v>24</v>
      </c>
      <c r="D1146" s="20" t="s">
        <v>29</v>
      </c>
      <c r="E1146" s="20" t="s">
        <v>1456</v>
      </c>
      <c r="F1146" s="20" t="s">
        <v>24</v>
      </c>
      <c r="G1146" s="20">
        <v>2</v>
      </c>
      <c r="H1146" s="20">
        <v>3</v>
      </c>
      <c r="I1146" s="13">
        <v>0.6</v>
      </c>
      <c r="J1146" s="20" t="s">
        <v>249</v>
      </c>
      <c r="L1146" s="20" t="s">
        <v>60</v>
      </c>
      <c r="M1146" s="20" t="s">
        <v>60</v>
      </c>
      <c r="N1146" s="20" t="s">
        <v>24</v>
      </c>
      <c r="O1146" s="20">
        <v>2</v>
      </c>
      <c r="P1146" s="20">
        <v>3</v>
      </c>
      <c r="Q1146" s="13">
        <v>0.63683079401673515</v>
      </c>
      <c r="R1146" s="20" t="s">
        <v>249</v>
      </c>
      <c r="S1146" s="20">
        <v>-1.336546785651503</v>
      </c>
      <c r="T1146" s="20" t="s">
        <v>60</v>
      </c>
      <c r="U1146" s="20" t="s">
        <v>60</v>
      </c>
      <c r="V1146" s="20"/>
      <c r="W1146" s="20"/>
      <c r="X1146" s="20" t="s">
        <v>60</v>
      </c>
      <c r="Y1146" s="20" t="s">
        <v>412</v>
      </c>
      <c r="Z1146" s="20" t="s">
        <v>60</v>
      </c>
      <c r="AA1146" s="20" t="s">
        <v>491</v>
      </c>
    </row>
    <row r="1147" spans="1:27" x14ac:dyDescent="0.2">
      <c r="A1147" s="1">
        <v>46107</v>
      </c>
      <c r="B1147" s="20" t="s">
        <v>328</v>
      </c>
      <c r="C1147" s="20" t="s">
        <v>28</v>
      </c>
      <c r="D1147" s="20" t="s">
        <v>18</v>
      </c>
      <c r="E1147" s="20" t="s">
        <v>1457</v>
      </c>
      <c r="F1147" s="20" t="s">
        <v>18</v>
      </c>
      <c r="G1147" s="20">
        <v>2</v>
      </c>
      <c r="H1147" s="20">
        <v>3</v>
      </c>
      <c r="I1147" s="13">
        <v>0.6</v>
      </c>
      <c r="J1147" s="20" t="s">
        <v>249</v>
      </c>
      <c r="L1147" s="20" t="s">
        <v>60</v>
      </c>
      <c r="M1147" s="20" t="s">
        <v>60</v>
      </c>
      <c r="N1147" s="20" t="s">
        <v>18</v>
      </c>
      <c r="O1147" s="20">
        <v>2</v>
      </c>
      <c r="P1147" s="20">
        <v>3</v>
      </c>
      <c r="Q1147" s="13">
        <v>0.54249566982631203</v>
      </c>
      <c r="R1147" s="20" t="s">
        <v>249</v>
      </c>
      <c r="S1147" s="20">
        <v>5.2000524999877507E-2</v>
      </c>
      <c r="T1147" s="20" t="s">
        <v>60</v>
      </c>
      <c r="U1147" s="20" t="s">
        <v>60</v>
      </c>
      <c r="V1147" s="20"/>
      <c r="W1147" s="20"/>
      <c r="X1147" s="20" t="s">
        <v>60</v>
      </c>
      <c r="Y1147" s="20" t="s">
        <v>412</v>
      </c>
      <c r="Z1147" s="20" t="s">
        <v>60</v>
      </c>
      <c r="AA1147" s="20" t="s">
        <v>491</v>
      </c>
    </row>
    <row r="1148" spans="1:27" x14ac:dyDescent="0.2">
      <c r="A1148" s="1">
        <v>46107</v>
      </c>
      <c r="B1148" s="20" t="s">
        <v>328</v>
      </c>
      <c r="C1148" s="20" t="s">
        <v>34</v>
      </c>
      <c r="D1148" s="20" t="s">
        <v>11</v>
      </c>
      <c r="E1148" s="20" t="s">
        <v>1458</v>
      </c>
      <c r="F1148" s="20" t="s">
        <v>34</v>
      </c>
      <c r="G1148" s="20">
        <v>2</v>
      </c>
      <c r="H1148" s="20">
        <v>3</v>
      </c>
      <c r="I1148" s="13">
        <v>0.6</v>
      </c>
      <c r="J1148" s="20" t="s">
        <v>249</v>
      </c>
      <c r="L1148" s="20" t="s">
        <v>60</v>
      </c>
      <c r="M1148" s="20" t="s">
        <v>60</v>
      </c>
      <c r="N1148" s="20" t="s">
        <v>34</v>
      </c>
      <c r="O1148" s="20">
        <v>2</v>
      </c>
      <c r="P1148" s="20">
        <v>3</v>
      </c>
      <c r="Q1148" s="13">
        <v>0.52247823311486485</v>
      </c>
      <c r="R1148" s="20" t="s">
        <v>249</v>
      </c>
      <c r="S1148" s="20">
        <v>-0.29209275469146517</v>
      </c>
      <c r="T1148" s="20" t="s">
        <v>60</v>
      </c>
      <c r="U1148" s="20" t="s">
        <v>60</v>
      </c>
      <c r="V1148" s="20"/>
      <c r="W1148" s="20"/>
      <c r="X1148" s="20" t="s">
        <v>60</v>
      </c>
      <c r="Y1148" s="20" t="s">
        <v>412</v>
      </c>
      <c r="Z1148" s="20" t="s">
        <v>60</v>
      </c>
      <c r="AA1148" s="20" t="s">
        <v>491</v>
      </c>
    </row>
    <row r="1149" spans="1:27" x14ac:dyDescent="0.2">
      <c r="A1149" s="1">
        <v>46107</v>
      </c>
      <c r="B1149" s="20" t="s">
        <v>326</v>
      </c>
      <c r="C1149" s="20" t="s">
        <v>31</v>
      </c>
      <c r="D1149" s="20" t="s">
        <v>16</v>
      </c>
      <c r="E1149" s="20" t="s">
        <v>1254</v>
      </c>
      <c r="F1149" s="20" t="s">
        <v>31</v>
      </c>
      <c r="G1149" s="20">
        <v>2</v>
      </c>
      <c r="H1149" s="20">
        <v>3</v>
      </c>
      <c r="I1149" s="13">
        <v>0.6</v>
      </c>
      <c r="J1149" s="20" t="s">
        <v>249</v>
      </c>
      <c r="L1149" s="20" t="s">
        <v>60</v>
      </c>
      <c r="M1149" s="20" t="s">
        <v>60</v>
      </c>
      <c r="N1149" s="20" t="s">
        <v>31</v>
      </c>
      <c r="O1149" s="20">
        <v>2</v>
      </c>
      <c r="P1149" s="20">
        <v>3</v>
      </c>
      <c r="Q1149" s="13">
        <v>0.62025449125554588</v>
      </c>
      <c r="R1149" s="20" t="s">
        <v>249</v>
      </c>
      <c r="S1149" s="20">
        <v>-1.1945835519607251</v>
      </c>
      <c r="T1149" s="20" t="s">
        <v>60</v>
      </c>
      <c r="U1149" s="20" t="s">
        <v>60</v>
      </c>
      <c r="V1149" s="20"/>
      <c r="W1149" s="20"/>
      <c r="X1149" s="20" t="s">
        <v>60</v>
      </c>
      <c r="Y1149" s="20" t="s">
        <v>412</v>
      </c>
      <c r="Z1149" s="20" t="s">
        <v>60</v>
      </c>
      <c r="AA1149" s="20" t="s">
        <v>491</v>
      </c>
    </row>
    <row r="1150" spans="1:27" x14ac:dyDescent="0.2">
      <c r="A1150" s="1">
        <v>46107</v>
      </c>
      <c r="B1150" s="20" t="s">
        <v>328</v>
      </c>
      <c r="C1150" s="20" t="s">
        <v>14</v>
      </c>
      <c r="D1150" s="20" t="s">
        <v>36</v>
      </c>
      <c r="E1150" s="20" t="s">
        <v>1026</v>
      </c>
      <c r="F1150" s="20" t="s">
        <v>14</v>
      </c>
      <c r="G1150" s="20">
        <v>2</v>
      </c>
      <c r="H1150" s="20">
        <v>3</v>
      </c>
      <c r="I1150" s="13">
        <v>0.6</v>
      </c>
      <c r="J1150" s="20" t="s">
        <v>249</v>
      </c>
      <c r="L1150" s="20" t="s">
        <v>60</v>
      </c>
      <c r="M1150" s="20" t="s">
        <v>60</v>
      </c>
      <c r="N1150" s="20" t="s">
        <v>14</v>
      </c>
      <c r="O1150" s="20">
        <v>2</v>
      </c>
      <c r="P1150" s="20">
        <v>3</v>
      </c>
      <c r="Q1150" s="13">
        <v>0.5363820935805419</v>
      </c>
      <c r="R1150" s="20" t="s">
        <v>249</v>
      </c>
      <c r="S1150" s="20">
        <v>-0.33921108037618608</v>
      </c>
      <c r="T1150" s="20" t="s">
        <v>60</v>
      </c>
      <c r="U1150" s="20" t="s">
        <v>60</v>
      </c>
      <c r="V1150" s="20"/>
      <c r="W1150" s="20"/>
      <c r="X1150" s="20" t="s">
        <v>60</v>
      </c>
      <c r="Y1150" s="20" t="s">
        <v>412</v>
      </c>
      <c r="Z1150" s="20" t="s">
        <v>60</v>
      </c>
      <c r="AA1150" s="20" t="s">
        <v>491</v>
      </c>
    </row>
    <row r="1151" spans="1:27" x14ac:dyDescent="0.2">
      <c r="A1151" s="1">
        <v>46108</v>
      </c>
      <c r="B1151" s="20" t="s">
        <v>328</v>
      </c>
      <c r="C1151" s="20" t="s">
        <v>26</v>
      </c>
      <c r="D1151" s="20" t="s">
        <v>23</v>
      </c>
      <c r="E1151" s="20" t="s">
        <v>642</v>
      </c>
      <c r="F1151" s="20" t="s">
        <v>23</v>
      </c>
      <c r="G1151" s="20">
        <v>2</v>
      </c>
      <c r="H1151" s="20">
        <v>3</v>
      </c>
      <c r="I1151" s="13">
        <v>0.6</v>
      </c>
      <c r="J1151" s="20" t="s">
        <v>249</v>
      </c>
      <c r="L1151" s="20" t="s">
        <v>60</v>
      </c>
      <c r="M1151" s="20" t="s">
        <v>60</v>
      </c>
      <c r="N1151" s="20" t="s">
        <v>23</v>
      </c>
      <c r="O1151" s="20">
        <v>2</v>
      </c>
      <c r="P1151" s="20">
        <v>3</v>
      </c>
      <c r="Q1151" s="13">
        <v>0.60256479135424768</v>
      </c>
      <c r="R1151" s="20" t="s">
        <v>249</v>
      </c>
      <c r="S1151" s="20">
        <v>0.44912987821488232</v>
      </c>
      <c r="T1151" s="20" t="s">
        <v>60</v>
      </c>
      <c r="U1151" s="20" t="s">
        <v>60</v>
      </c>
      <c r="V1151" s="20"/>
      <c r="W1151" s="20"/>
      <c r="X1151" s="20" t="s">
        <v>60</v>
      </c>
      <c r="Y1151" s="20" t="s">
        <v>412</v>
      </c>
      <c r="Z1151" s="20" t="s">
        <v>60</v>
      </c>
      <c r="AA1151" s="20" t="s">
        <v>491</v>
      </c>
    </row>
    <row r="1152" spans="1:27" x14ac:dyDescent="0.2">
      <c r="A1152" s="1">
        <v>46108</v>
      </c>
      <c r="B1152" s="20" t="s">
        <v>328</v>
      </c>
      <c r="C1152" s="20" t="s">
        <v>10</v>
      </c>
      <c r="D1152" s="20" t="s">
        <v>15</v>
      </c>
      <c r="E1152" s="20" t="s">
        <v>1459</v>
      </c>
      <c r="F1152" s="20" t="s">
        <v>10</v>
      </c>
      <c r="G1152" s="20">
        <v>2</v>
      </c>
      <c r="H1152" s="20">
        <v>3</v>
      </c>
      <c r="I1152" s="13">
        <v>0.6</v>
      </c>
      <c r="J1152" s="20" t="s">
        <v>249</v>
      </c>
      <c r="L1152" s="20" t="s">
        <v>60</v>
      </c>
      <c r="M1152" s="20" t="s">
        <v>60</v>
      </c>
      <c r="N1152" s="20" t="s">
        <v>10</v>
      </c>
      <c r="O1152" s="20">
        <v>2</v>
      </c>
      <c r="P1152" s="20">
        <v>3</v>
      </c>
      <c r="Q1152" s="13">
        <v>0.46746558610143418</v>
      </c>
      <c r="R1152" s="20" t="s">
        <v>249</v>
      </c>
      <c r="S1152" s="20">
        <v>-6.3936980376466529E-2</v>
      </c>
      <c r="T1152" s="20" t="s">
        <v>60</v>
      </c>
      <c r="U1152" s="20" t="s">
        <v>60</v>
      </c>
      <c r="V1152" s="20"/>
      <c r="W1152" s="20"/>
      <c r="X1152" s="20" t="s">
        <v>60</v>
      </c>
      <c r="Y1152" s="20" t="s">
        <v>412</v>
      </c>
      <c r="Z1152" s="20" t="s">
        <v>60</v>
      </c>
      <c r="AA1152" s="20" t="s">
        <v>491</v>
      </c>
    </row>
    <row r="1153" spans="1:27" x14ac:dyDescent="0.2">
      <c r="A1153" s="1">
        <v>46109</v>
      </c>
      <c r="B1153" s="20" t="s">
        <v>340</v>
      </c>
      <c r="C1153" s="20" t="s">
        <v>22</v>
      </c>
      <c r="D1153" s="20" t="s">
        <v>20</v>
      </c>
      <c r="E1153" s="20" t="s">
        <v>1460</v>
      </c>
      <c r="F1153" s="20" t="s">
        <v>22</v>
      </c>
      <c r="G1153" s="20">
        <v>2</v>
      </c>
      <c r="H1153" s="20">
        <v>3</v>
      </c>
      <c r="I1153" s="13">
        <v>0.6</v>
      </c>
      <c r="J1153" s="20" t="s">
        <v>249</v>
      </c>
      <c r="L1153" s="20" t="s">
        <v>60</v>
      </c>
      <c r="M1153" s="20" t="s">
        <v>60</v>
      </c>
      <c r="N1153" s="20" t="s">
        <v>22</v>
      </c>
      <c r="O1153" s="20">
        <v>2</v>
      </c>
      <c r="P1153" s="20">
        <v>3</v>
      </c>
      <c r="Q1153" s="13">
        <v>0.57668706233411582</v>
      </c>
      <c r="R1153" s="20" t="s">
        <v>249</v>
      </c>
      <c r="S1153" s="20">
        <v>-0.63524731425123093</v>
      </c>
      <c r="T1153" s="20" t="s">
        <v>60</v>
      </c>
      <c r="U1153" s="20" t="s">
        <v>60</v>
      </c>
      <c r="V1153" s="20"/>
      <c r="W1153" s="20"/>
      <c r="X1153" s="20" t="s">
        <v>60</v>
      </c>
      <c r="Y1153" s="20" t="s">
        <v>412</v>
      </c>
      <c r="Z1153" s="20" t="s">
        <v>60</v>
      </c>
      <c r="AA1153" s="20" t="s">
        <v>491</v>
      </c>
    </row>
    <row r="1154" spans="1:27" x14ac:dyDescent="0.2">
      <c r="A1154" s="1">
        <v>46109</v>
      </c>
      <c r="B1154" s="20" t="s">
        <v>347</v>
      </c>
      <c r="C1154" s="20" t="s">
        <v>36</v>
      </c>
      <c r="D1154" s="20" t="s">
        <v>37</v>
      </c>
      <c r="E1154" s="20" t="s">
        <v>506</v>
      </c>
      <c r="F1154" s="20" t="s">
        <v>37</v>
      </c>
      <c r="G1154" s="20">
        <v>2</v>
      </c>
      <c r="H1154" s="20">
        <v>3</v>
      </c>
      <c r="I1154" s="13">
        <v>0.6</v>
      </c>
      <c r="J1154" s="20" t="s">
        <v>249</v>
      </c>
      <c r="L1154" s="20" t="s">
        <v>60</v>
      </c>
      <c r="M1154" s="20" t="s">
        <v>60</v>
      </c>
      <c r="N1154" s="20" t="s">
        <v>37</v>
      </c>
      <c r="O1154" s="20">
        <v>2</v>
      </c>
      <c r="P1154" s="20">
        <v>3</v>
      </c>
      <c r="Q1154" s="13">
        <v>0.69972769826475267</v>
      </c>
      <c r="R1154" s="20" t="s">
        <v>249</v>
      </c>
      <c r="S1154" s="20">
        <v>1.0917817465346049</v>
      </c>
      <c r="T1154" s="20" t="s">
        <v>60</v>
      </c>
      <c r="U1154" s="20" t="s">
        <v>60</v>
      </c>
      <c r="V1154" s="20"/>
      <c r="W1154" s="20"/>
      <c r="X1154" s="20" t="s">
        <v>60</v>
      </c>
      <c r="Y1154" s="20" t="s">
        <v>412</v>
      </c>
      <c r="Z1154" s="20" t="s">
        <v>60</v>
      </c>
      <c r="AA1154" s="20" t="s">
        <v>491</v>
      </c>
    </row>
    <row r="1155" spans="1:27" x14ac:dyDescent="0.2">
      <c r="A1155" s="1">
        <v>46109</v>
      </c>
      <c r="B1155" s="20" t="s">
        <v>328</v>
      </c>
      <c r="C1155" s="20" t="s">
        <v>19</v>
      </c>
      <c r="D1155" s="20" t="s">
        <v>35</v>
      </c>
      <c r="E1155" s="20" t="s">
        <v>1461</v>
      </c>
      <c r="F1155" s="20" t="s">
        <v>19</v>
      </c>
      <c r="G1155" s="20">
        <v>2</v>
      </c>
      <c r="H1155" s="20">
        <v>3</v>
      </c>
      <c r="I1155" s="13">
        <v>0.6</v>
      </c>
      <c r="J1155" s="20" t="s">
        <v>249</v>
      </c>
      <c r="L1155" s="20" t="s">
        <v>60</v>
      </c>
      <c r="M1155" s="20" t="s">
        <v>60</v>
      </c>
      <c r="N1155" s="20" t="s">
        <v>19</v>
      </c>
      <c r="O1155" s="20">
        <v>2</v>
      </c>
      <c r="P1155" s="20">
        <v>3</v>
      </c>
      <c r="Q1155" s="13">
        <v>0.54291454226534464</v>
      </c>
      <c r="R1155" s="20" t="s">
        <v>249</v>
      </c>
      <c r="S1155" s="20">
        <v>-0.71009903170557953</v>
      </c>
      <c r="T1155" s="20" t="s">
        <v>60</v>
      </c>
      <c r="U1155" s="20" t="s">
        <v>60</v>
      </c>
      <c r="V1155" s="20"/>
      <c r="W1155" s="20"/>
      <c r="X1155" s="20" t="s">
        <v>60</v>
      </c>
      <c r="Y1155" s="20" t="s">
        <v>412</v>
      </c>
      <c r="Z1155" s="20" t="s">
        <v>60</v>
      </c>
      <c r="AA1155" s="20" t="s">
        <v>491</v>
      </c>
    </row>
    <row r="1156" spans="1:27" x14ac:dyDescent="0.2">
      <c r="A1156" s="1">
        <v>46109</v>
      </c>
      <c r="B1156" s="20" t="s">
        <v>365</v>
      </c>
      <c r="C1156" s="20" t="s">
        <v>39</v>
      </c>
      <c r="D1156" s="20" t="s">
        <v>14</v>
      </c>
      <c r="E1156" s="20" t="s">
        <v>1462</v>
      </c>
      <c r="F1156" s="20" t="s">
        <v>39</v>
      </c>
      <c r="G1156" s="20">
        <v>2</v>
      </c>
      <c r="H1156" s="20">
        <v>3</v>
      </c>
      <c r="I1156" s="13">
        <v>0.6</v>
      </c>
      <c r="J1156" s="20" t="s">
        <v>249</v>
      </c>
      <c r="L1156" s="20" t="s">
        <v>60</v>
      </c>
      <c r="M1156" s="20" t="s">
        <v>60</v>
      </c>
      <c r="N1156" s="20" t="s">
        <v>39</v>
      </c>
      <c r="O1156" s="20">
        <v>2</v>
      </c>
      <c r="P1156" s="20">
        <v>3</v>
      </c>
      <c r="Q1156" s="13">
        <v>0.62085806549495359</v>
      </c>
      <c r="R1156" s="20" t="s">
        <v>249</v>
      </c>
      <c r="S1156" s="20">
        <v>-0.50580597449744735</v>
      </c>
      <c r="T1156" s="20" t="s">
        <v>60</v>
      </c>
      <c r="U1156" s="20" t="s">
        <v>60</v>
      </c>
      <c r="V1156" s="20"/>
      <c r="W1156" s="20"/>
      <c r="X1156" s="20" t="s">
        <v>60</v>
      </c>
      <c r="Y1156" s="20" t="s">
        <v>412</v>
      </c>
      <c r="Z1156" s="20" t="s">
        <v>60</v>
      </c>
      <c r="AA1156" s="20" t="s">
        <v>491</v>
      </c>
    </row>
    <row r="1157" spans="1:27" x14ac:dyDescent="0.2">
      <c r="A1157" s="1">
        <v>46109</v>
      </c>
      <c r="B1157" s="20" t="s">
        <v>328</v>
      </c>
      <c r="C1157" s="20" t="s">
        <v>18</v>
      </c>
      <c r="D1157" s="20" t="s">
        <v>29</v>
      </c>
      <c r="E1157" s="20" t="s">
        <v>1463</v>
      </c>
      <c r="F1157" s="20" t="s">
        <v>18</v>
      </c>
      <c r="G1157" s="20">
        <v>2</v>
      </c>
      <c r="H1157" s="20">
        <v>3</v>
      </c>
      <c r="I1157" s="13">
        <v>0.6</v>
      </c>
      <c r="J1157" s="20" t="s">
        <v>249</v>
      </c>
      <c r="L1157" s="20" t="s">
        <v>60</v>
      </c>
      <c r="M1157" s="20" t="s">
        <v>60</v>
      </c>
      <c r="N1157" s="20" t="s">
        <v>18</v>
      </c>
      <c r="O1157" s="20">
        <v>2</v>
      </c>
      <c r="P1157" s="20">
        <v>3</v>
      </c>
      <c r="Q1157" s="13">
        <v>0.60594210318638431</v>
      </c>
      <c r="R1157" s="20" t="s">
        <v>249</v>
      </c>
      <c r="S1157" s="20">
        <v>-0.74212690661307334</v>
      </c>
      <c r="T1157" s="20" t="s">
        <v>60</v>
      </c>
      <c r="U1157" s="20" t="s">
        <v>60</v>
      </c>
      <c r="V1157" s="20"/>
      <c r="W1157" s="20"/>
      <c r="X1157" s="20" t="s">
        <v>60</v>
      </c>
      <c r="Y1157" s="20" t="s">
        <v>412</v>
      </c>
      <c r="Z1157" s="20" t="s">
        <v>60</v>
      </c>
      <c r="AA1157" s="20" t="s">
        <v>491</v>
      </c>
    </row>
    <row r="1158" spans="1:27" x14ac:dyDescent="0.2">
      <c r="A1158" s="1">
        <v>46109</v>
      </c>
      <c r="B1158" s="20" t="s">
        <v>326</v>
      </c>
      <c r="C1158" s="20" t="s">
        <v>55</v>
      </c>
      <c r="D1158" s="20" t="s">
        <v>13</v>
      </c>
      <c r="E1158" s="20" t="s">
        <v>1464</v>
      </c>
      <c r="F1158" s="20" t="s">
        <v>13</v>
      </c>
      <c r="G1158" s="20">
        <v>2</v>
      </c>
      <c r="H1158" s="20">
        <v>3</v>
      </c>
      <c r="I1158" s="13">
        <v>0.6</v>
      </c>
      <c r="J1158" s="20" t="s">
        <v>249</v>
      </c>
      <c r="L1158" s="20" t="s">
        <v>60</v>
      </c>
      <c r="M1158" s="20" t="s">
        <v>60</v>
      </c>
      <c r="N1158" s="20" t="s">
        <v>13</v>
      </c>
      <c r="O1158" s="20">
        <v>2</v>
      </c>
      <c r="P1158" s="20">
        <v>3</v>
      </c>
      <c r="Q1158" s="13">
        <v>0.55339763973245826</v>
      </c>
      <c r="R1158" s="20" t="s">
        <v>249</v>
      </c>
      <c r="S1158" s="20">
        <v>0.1147404392671313</v>
      </c>
      <c r="T1158" s="20" t="s">
        <v>60</v>
      </c>
      <c r="U1158" s="20" t="s">
        <v>60</v>
      </c>
      <c r="V1158" s="20"/>
      <c r="W1158" s="20"/>
      <c r="X1158" s="20" t="s">
        <v>60</v>
      </c>
      <c r="Y1158" s="20" t="s">
        <v>412</v>
      </c>
      <c r="Z1158" s="20" t="s">
        <v>60</v>
      </c>
      <c r="AA1158" s="20" t="s">
        <v>491</v>
      </c>
    </row>
    <row r="1159" spans="1:27" x14ac:dyDescent="0.2">
      <c r="A1159" s="1">
        <v>46109</v>
      </c>
      <c r="B1159" s="20" t="s">
        <v>352</v>
      </c>
      <c r="C1159" s="20" t="s">
        <v>31</v>
      </c>
      <c r="D1159" s="20" t="s">
        <v>17</v>
      </c>
      <c r="E1159" s="20" t="s">
        <v>1257</v>
      </c>
      <c r="F1159" s="20" t="s">
        <v>31</v>
      </c>
      <c r="G1159" s="20">
        <v>2</v>
      </c>
      <c r="H1159" s="20">
        <v>3</v>
      </c>
      <c r="I1159" s="13">
        <v>0.6</v>
      </c>
      <c r="J1159" s="20" t="s">
        <v>249</v>
      </c>
      <c r="L1159" s="20" t="s">
        <v>60</v>
      </c>
      <c r="M1159" s="20" t="s">
        <v>60</v>
      </c>
      <c r="N1159" s="20" t="s">
        <v>31</v>
      </c>
      <c r="O1159" s="20">
        <v>2</v>
      </c>
      <c r="P1159" s="20">
        <v>3</v>
      </c>
      <c r="Q1159" s="13">
        <v>0.5842077690042573</v>
      </c>
      <c r="R1159" s="20" t="s">
        <v>249</v>
      </c>
      <c r="S1159" s="20">
        <v>-0.94654893715362554</v>
      </c>
      <c r="T1159" s="20" t="s">
        <v>60</v>
      </c>
      <c r="U1159" s="20" t="s">
        <v>60</v>
      </c>
      <c r="V1159" s="20"/>
      <c r="W1159" s="20"/>
      <c r="X1159" s="20" t="s">
        <v>60</v>
      </c>
      <c r="Y1159" s="20" t="s">
        <v>412</v>
      </c>
      <c r="Z1159" s="20" t="s">
        <v>60</v>
      </c>
      <c r="AA1159" s="20" t="s">
        <v>491</v>
      </c>
    </row>
    <row r="1160" spans="1:27" x14ac:dyDescent="0.2">
      <c r="A1160" s="1">
        <v>46109</v>
      </c>
      <c r="B1160" s="20" t="s">
        <v>347</v>
      </c>
      <c r="C1160" s="20" t="s">
        <v>11</v>
      </c>
      <c r="D1160" s="20" t="s">
        <v>30</v>
      </c>
      <c r="E1160" s="20" t="s">
        <v>1329</v>
      </c>
      <c r="F1160" s="20" t="s">
        <v>30</v>
      </c>
      <c r="G1160" s="20">
        <v>2</v>
      </c>
      <c r="H1160" s="20">
        <v>3</v>
      </c>
      <c r="I1160" s="13">
        <v>0.6</v>
      </c>
      <c r="J1160" s="20" t="s">
        <v>249</v>
      </c>
      <c r="L1160" s="20" t="s">
        <v>60</v>
      </c>
      <c r="M1160" s="20" t="s">
        <v>60</v>
      </c>
      <c r="N1160" s="20" t="s">
        <v>30</v>
      </c>
      <c r="O1160" s="20">
        <v>2</v>
      </c>
      <c r="P1160" s="20">
        <v>3</v>
      </c>
      <c r="Q1160" s="13">
        <v>0.56406370384490223</v>
      </c>
      <c r="R1160" s="20" t="s">
        <v>249</v>
      </c>
      <c r="S1160" s="20">
        <v>0.20608704254593641</v>
      </c>
      <c r="T1160" s="20" t="s">
        <v>60</v>
      </c>
      <c r="U1160" s="20" t="s">
        <v>60</v>
      </c>
      <c r="V1160" s="20"/>
      <c r="W1160" s="20"/>
      <c r="X1160" s="20" t="s">
        <v>60</v>
      </c>
      <c r="Y1160" s="20" t="s">
        <v>412</v>
      </c>
      <c r="Z1160" s="20" t="s">
        <v>60</v>
      </c>
      <c r="AA1160" s="20" t="s">
        <v>491</v>
      </c>
    </row>
    <row r="1161" spans="1:27" x14ac:dyDescent="0.2">
      <c r="A1161" s="1">
        <v>46109</v>
      </c>
      <c r="B1161" s="20" t="s">
        <v>328</v>
      </c>
      <c r="C1161" s="20" t="s">
        <v>40</v>
      </c>
      <c r="D1161" s="20" t="s">
        <v>12</v>
      </c>
      <c r="E1161" s="20" t="s">
        <v>1033</v>
      </c>
      <c r="F1161" s="20" t="s">
        <v>12</v>
      </c>
      <c r="G1161" s="20">
        <v>2</v>
      </c>
      <c r="H1161" s="20">
        <v>3</v>
      </c>
      <c r="I1161" s="13">
        <v>0.6</v>
      </c>
      <c r="J1161" s="20" t="s">
        <v>249</v>
      </c>
      <c r="L1161" s="20" t="s">
        <v>60</v>
      </c>
      <c r="M1161" s="20" t="s">
        <v>60</v>
      </c>
      <c r="N1161" s="20" t="s">
        <v>12</v>
      </c>
      <c r="O1161" s="20">
        <v>2</v>
      </c>
      <c r="P1161" s="20">
        <v>3</v>
      </c>
      <c r="Q1161" s="13">
        <v>0.85795109226563959</v>
      </c>
      <c r="R1161" s="20" t="s">
        <v>249</v>
      </c>
      <c r="S1161" s="20">
        <v>1.99504623113293</v>
      </c>
      <c r="T1161" s="20" t="s">
        <v>60</v>
      </c>
      <c r="U1161" s="20" t="s">
        <v>60</v>
      </c>
      <c r="V1161" s="20"/>
      <c r="W1161" s="20"/>
      <c r="X1161" s="20" t="s">
        <v>60</v>
      </c>
      <c r="Y1161" s="20" t="s">
        <v>412</v>
      </c>
      <c r="Z1161" s="20" t="s">
        <v>60</v>
      </c>
      <c r="AA1161" s="20" t="s">
        <v>491</v>
      </c>
    </row>
    <row r="1162" spans="1:27" x14ac:dyDescent="0.2">
      <c r="A1162" s="1">
        <v>46109</v>
      </c>
      <c r="B1162" s="20" t="s">
        <v>322</v>
      </c>
      <c r="C1162" s="20" t="s">
        <v>38</v>
      </c>
      <c r="D1162" s="20" t="s">
        <v>16</v>
      </c>
      <c r="E1162" s="20" t="s">
        <v>1465</v>
      </c>
      <c r="F1162" s="20" t="s">
        <v>38</v>
      </c>
      <c r="G1162" s="20">
        <v>2</v>
      </c>
      <c r="H1162" s="20">
        <v>3</v>
      </c>
      <c r="I1162" s="13">
        <v>0.6</v>
      </c>
      <c r="J1162" s="20" t="s">
        <v>249</v>
      </c>
      <c r="L1162" s="20" t="s">
        <v>60</v>
      </c>
      <c r="M1162" s="20" t="s">
        <v>60</v>
      </c>
      <c r="N1162" s="20" t="s">
        <v>38</v>
      </c>
      <c r="O1162" s="20">
        <v>2</v>
      </c>
      <c r="P1162" s="20">
        <v>3</v>
      </c>
      <c r="Q1162" s="13">
        <v>0.47153983952400819</v>
      </c>
      <c r="R1162" s="20" t="s">
        <v>249</v>
      </c>
      <c r="S1162" s="20">
        <v>-6.8202775010654304E-2</v>
      </c>
      <c r="T1162" s="20" t="s">
        <v>60</v>
      </c>
      <c r="U1162" s="20" t="s">
        <v>60</v>
      </c>
      <c r="V1162" s="20"/>
      <c r="W1162" s="20"/>
      <c r="X1162" s="20" t="s">
        <v>60</v>
      </c>
      <c r="Y1162" s="20" t="s">
        <v>412</v>
      </c>
      <c r="Z1162" s="20" t="s">
        <v>60</v>
      </c>
      <c r="AA1162" s="20" t="s">
        <v>491</v>
      </c>
    </row>
    <row r="1163" spans="1:27" x14ac:dyDescent="0.2">
      <c r="A1163" s="1">
        <v>46109</v>
      </c>
      <c r="B1163" s="20" t="s">
        <v>365</v>
      </c>
      <c r="C1163" s="20" t="s">
        <v>33</v>
      </c>
      <c r="D1163" s="20" t="s">
        <v>28</v>
      </c>
      <c r="E1163" s="20" t="s">
        <v>1466</v>
      </c>
      <c r="F1163" s="20" t="s">
        <v>33</v>
      </c>
      <c r="G1163" s="20">
        <v>2</v>
      </c>
      <c r="H1163" s="20">
        <v>3</v>
      </c>
      <c r="I1163" s="13">
        <v>0.6</v>
      </c>
      <c r="J1163" s="20" t="s">
        <v>249</v>
      </c>
      <c r="L1163" s="20" t="s">
        <v>60</v>
      </c>
      <c r="M1163" s="20" t="s">
        <v>60</v>
      </c>
      <c r="N1163" s="20" t="s">
        <v>33</v>
      </c>
      <c r="O1163" s="20">
        <v>2</v>
      </c>
      <c r="P1163" s="20">
        <v>3</v>
      </c>
      <c r="Q1163" s="13">
        <v>0.47094759092486538</v>
      </c>
      <c r="R1163" s="20" t="s">
        <v>249</v>
      </c>
      <c r="S1163" s="20">
        <v>-9.3757663045134443E-2</v>
      </c>
      <c r="T1163" s="20" t="s">
        <v>60</v>
      </c>
      <c r="U1163" s="20" t="s">
        <v>60</v>
      </c>
      <c r="V1163" s="20"/>
      <c r="W1163" s="20"/>
      <c r="X1163" s="20" t="s">
        <v>60</v>
      </c>
      <c r="Y1163" s="20" t="s">
        <v>412</v>
      </c>
      <c r="Z1163" s="20" t="s">
        <v>60</v>
      </c>
      <c r="AA1163" s="20" t="s">
        <v>491</v>
      </c>
    </row>
    <row r="1164" spans="1:27" x14ac:dyDescent="0.2">
      <c r="A1164" s="1">
        <v>46109</v>
      </c>
      <c r="B1164" s="20" t="s">
        <v>365</v>
      </c>
      <c r="C1164" s="20" t="s">
        <v>24</v>
      </c>
      <c r="D1164" s="20" t="s">
        <v>25</v>
      </c>
      <c r="E1164" s="20" t="s">
        <v>516</v>
      </c>
      <c r="F1164" s="20" t="s">
        <v>25</v>
      </c>
      <c r="G1164" s="20">
        <v>2</v>
      </c>
      <c r="H1164" s="20">
        <v>3</v>
      </c>
      <c r="I1164" s="13">
        <v>0.6</v>
      </c>
      <c r="J1164" s="20" t="s">
        <v>249</v>
      </c>
      <c r="L1164" s="20" t="s">
        <v>60</v>
      </c>
      <c r="M1164" s="20" t="s">
        <v>60</v>
      </c>
      <c r="N1164" s="20" t="s">
        <v>25</v>
      </c>
      <c r="O1164" s="20">
        <v>2</v>
      </c>
      <c r="P1164" s="20">
        <v>3</v>
      </c>
      <c r="Q1164" s="13">
        <v>0.62678039578593081</v>
      </c>
      <c r="R1164" s="20" t="s">
        <v>249</v>
      </c>
      <c r="S1164" s="20">
        <v>0.47404563548711087</v>
      </c>
      <c r="T1164" s="20" t="s">
        <v>60</v>
      </c>
      <c r="U1164" s="20" t="s">
        <v>60</v>
      </c>
      <c r="V1164" s="20"/>
      <c r="W1164" s="20"/>
      <c r="X1164" s="20" t="s">
        <v>60</v>
      </c>
      <c r="Y1164" s="20" t="s">
        <v>412</v>
      </c>
      <c r="Z1164" s="20" t="s">
        <v>60</v>
      </c>
      <c r="AA1164" s="20" t="s">
        <v>491</v>
      </c>
    </row>
    <row r="1165" spans="1:27" x14ac:dyDescent="0.2">
      <c r="A1165" s="1">
        <v>46109</v>
      </c>
      <c r="B1165" s="20" t="s">
        <v>1361</v>
      </c>
      <c r="C1165" s="20" t="s">
        <v>32</v>
      </c>
      <c r="D1165" s="20" t="s">
        <v>23</v>
      </c>
      <c r="E1165" s="20" t="s">
        <v>1467</v>
      </c>
      <c r="F1165" s="20" t="s">
        <v>23</v>
      </c>
      <c r="G1165" s="20">
        <v>2</v>
      </c>
      <c r="H1165" s="20">
        <v>3</v>
      </c>
      <c r="I1165" s="13">
        <v>0.6</v>
      </c>
      <c r="J1165" s="20" t="s">
        <v>249</v>
      </c>
      <c r="L1165" s="20" t="s">
        <v>60</v>
      </c>
      <c r="M1165" s="20" t="s">
        <v>60</v>
      </c>
      <c r="N1165" s="20" t="s">
        <v>23</v>
      </c>
      <c r="O1165" s="20">
        <v>2</v>
      </c>
      <c r="P1165" s="20">
        <v>3</v>
      </c>
      <c r="Q1165" s="13">
        <v>0.57618035438947501</v>
      </c>
      <c r="R1165" s="20" t="s">
        <v>249</v>
      </c>
      <c r="S1165" s="20">
        <v>0.22316754846066281</v>
      </c>
      <c r="T1165" s="20" t="s">
        <v>60</v>
      </c>
      <c r="U1165" s="20" t="s">
        <v>60</v>
      </c>
      <c r="V1165" s="20"/>
      <c r="W1165" s="20"/>
      <c r="X1165" s="20" t="s">
        <v>60</v>
      </c>
      <c r="Y1165" s="20" t="s">
        <v>412</v>
      </c>
      <c r="Z1165" s="20" t="s">
        <v>60</v>
      </c>
      <c r="AA1165" s="20" t="s">
        <v>491</v>
      </c>
    </row>
    <row r="1166" spans="1:27" x14ac:dyDescent="0.2">
      <c r="A1166" s="1">
        <v>46109</v>
      </c>
      <c r="B1166" s="20" t="s">
        <v>365</v>
      </c>
      <c r="C1166" s="20" t="s">
        <v>34</v>
      </c>
      <c r="D1166" s="20" t="s">
        <v>21</v>
      </c>
      <c r="E1166" s="20" t="s">
        <v>1468</v>
      </c>
      <c r="F1166" s="20" t="s">
        <v>34</v>
      </c>
      <c r="G1166" s="20">
        <v>2</v>
      </c>
      <c r="H1166" s="20">
        <v>3</v>
      </c>
      <c r="I1166" s="13">
        <v>0.6</v>
      </c>
      <c r="J1166" s="20" t="s">
        <v>249</v>
      </c>
      <c r="L1166" s="20" t="s">
        <v>60</v>
      </c>
      <c r="M1166" s="20" t="s">
        <v>60</v>
      </c>
      <c r="N1166" s="20" t="s">
        <v>34</v>
      </c>
      <c r="O1166" s="20">
        <v>2</v>
      </c>
      <c r="P1166" s="20">
        <v>3</v>
      </c>
      <c r="Q1166" s="13">
        <v>0.47241447510727008</v>
      </c>
      <c r="R1166" s="20" t="s">
        <v>249</v>
      </c>
      <c r="S1166" s="20">
        <v>-0.1147442240750903</v>
      </c>
      <c r="T1166" s="20" t="s">
        <v>60</v>
      </c>
      <c r="U1166" s="20" t="s">
        <v>60</v>
      </c>
      <c r="V1166" s="20"/>
      <c r="W1166" s="20"/>
      <c r="X1166" s="20" t="s">
        <v>60</v>
      </c>
      <c r="Y1166" s="20" t="s">
        <v>412</v>
      </c>
      <c r="Z1166" s="20" t="s">
        <v>60</v>
      </c>
      <c r="AA1166" s="20" t="s">
        <v>491</v>
      </c>
    </row>
    <row r="1167" spans="1:27" x14ac:dyDescent="0.2">
      <c r="A1167" s="1">
        <v>46109</v>
      </c>
      <c r="B1167" s="20" t="s">
        <v>324</v>
      </c>
      <c r="C1167" s="20" t="s">
        <v>27</v>
      </c>
      <c r="D1167" s="20" t="s">
        <v>26</v>
      </c>
      <c r="E1167" s="20" t="s">
        <v>1469</v>
      </c>
      <c r="F1167" s="20" t="s">
        <v>27</v>
      </c>
      <c r="G1167" s="20">
        <v>2</v>
      </c>
      <c r="H1167" s="20">
        <v>3</v>
      </c>
      <c r="I1167" s="13">
        <v>0.6</v>
      </c>
      <c r="J1167" s="20" t="s">
        <v>249</v>
      </c>
      <c r="L1167" s="20" t="s">
        <v>60</v>
      </c>
      <c r="M1167" s="20" t="s">
        <v>60</v>
      </c>
      <c r="N1167" s="20" t="s">
        <v>27</v>
      </c>
      <c r="O1167" s="20">
        <v>2</v>
      </c>
      <c r="P1167" s="20">
        <v>3</v>
      </c>
      <c r="Q1167" s="13">
        <v>0.55449614389216906</v>
      </c>
      <c r="R1167" s="20" t="s">
        <v>249</v>
      </c>
      <c r="S1167" s="20">
        <v>-0.44519923260283101</v>
      </c>
      <c r="T1167" s="20" t="s">
        <v>60</v>
      </c>
      <c r="U1167" s="20" t="s">
        <v>60</v>
      </c>
      <c r="V1167" s="20"/>
      <c r="W1167" s="20"/>
      <c r="X1167" s="20" t="s">
        <v>60</v>
      </c>
      <c r="Y1167" s="20" t="s">
        <v>412</v>
      </c>
      <c r="Z1167" s="20" t="s">
        <v>60</v>
      </c>
      <c r="AA1167" s="20" t="s">
        <v>491</v>
      </c>
    </row>
    <row r="1168" spans="1:27" x14ac:dyDescent="0.2">
      <c r="A1168" s="1">
        <v>46110</v>
      </c>
      <c r="B1168" s="20" t="s">
        <v>365</v>
      </c>
      <c r="C1168" s="20" t="s">
        <v>29</v>
      </c>
      <c r="D1168" s="20" t="s">
        <v>37</v>
      </c>
      <c r="E1168" s="20" t="s">
        <v>1470</v>
      </c>
      <c r="F1168" s="20" t="s">
        <v>37</v>
      </c>
      <c r="G1168" s="20">
        <v>2</v>
      </c>
      <c r="H1168" s="20">
        <v>3</v>
      </c>
      <c r="I1168" s="13">
        <v>0.6</v>
      </c>
      <c r="J1168" s="20" t="s">
        <v>249</v>
      </c>
      <c r="L1168" s="20" t="s">
        <v>60</v>
      </c>
      <c r="M1168" s="20" t="s">
        <v>60</v>
      </c>
      <c r="N1168" s="20" t="s">
        <v>37</v>
      </c>
      <c r="O1168" s="20">
        <v>2</v>
      </c>
      <c r="P1168" s="20">
        <v>3</v>
      </c>
      <c r="Q1168" s="13">
        <v>0.79939123458061956</v>
      </c>
      <c r="R1168" s="20" t="s">
        <v>249</v>
      </c>
      <c r="S1168" s="20">
        <v>1.9453229794798279</v>
      </c>
      <c r="T1168" s="20" t="s">
        <v>60</v>
      </c>
      <c r="U1168" s="20" t="s">
        <v>60</v>
      </c>
      <c r="V1168" s="20"/>
      <c r="W1168" s="20"/>
      <c r="X1168" s="20" t="s">
        <v>60</v>
      </c>
      <c r="Y1168" s="20" t="s">
        <v>412</v>
      </c>
      <c r="Z1168" s="20" t="s">
        <v>60</v>
      </c>
      <c r="AA1168" s="20" t="s">
        <v>491</v>
      </c>
    </row>
    <row r="1169" spans="1:27" x14ac:dyDescent="0.2">
      <c r="A1169" s="1">
        <v>46110</v>
      </c>
      <c r="B1169" s="20" t="s">
        <v>328</v>
      </c>
      <c r="C1169" s="20" t="s">
        <v>39</v>
      </c>
      <c r="D1169" s="20" t="s">
        <v>27</v>
      </c>
      <c r="E1169" s="20" t="s">
        <v>1471</v>
      </c>
      <c r="F1169" s="20" t="s">
        <v>39</v>
      </c>
      <c r="G1169" s="20">
        <v>2</v>
      </c>
      <c r="H1169" s="20">
        <v>3</v>
      </c>
      <c r="I1169" s="13">
        <v>0.6</v>
      </c>
      <c r="J1169" s="20" t="s">
        <v>249</v>
      </c>
      <c r="L1169" s="20" t="s">
        <v>60</v>
      </c>
      <c r="M1169" s="20" t="s">
        <v>60</v>
      </c>
      <c r="N1169" s="20" t="s">
        <v>39</v>
      </c>
      <c r="O1169" s="20">
        <v>2</v>
      </c>
      <c r="P1169" s="20">
        <v>3</v>
      </c>
      <c r="Q1169" s="13">
        <v>0.63467353541474658</v>
      </c>
      <c r="R1169" s="20" t="s">
        <v>249</v>
      </c>
      <c r="S1169" s="20">
        <v>-0.74378133643827327</v>
      </c>
      <c r="T1169" s="20" t="s">
        <v>60</v>
      </c>
      <c r="U1169" s="20" t="s">
        <v>60</v>
      </c>
      <c r="V1169" s="20"/>
      <c r="W1169" s="20"/>
      <c r="X1169" s="20" t="s">
        <v>60</v>
      </c>
      <c r="Y1169" s="20" t="s">
        <v>412</v>
      </c>
      <c r="Z1169" s="20" t="s">
        <v>60</v>
      </c>
      <c r="AA1169" s="20" t="s">
        <v>491</v>
      </c>
    </row>
    <row r="1170" spans="1:27" x14ac:dyDescent="0.2">
      <c r="A1170" s="1">
        <v>46110</v>
      </c>
      <c r="B1170" s="20" t="s">
        <v>347</v>
      </c>
      <c r="C1170" s="20" t="s">
        <v>11</v>
      </c>
      <c r="D1170" s="20" t="s">
        <v>15</v>
      </c>
      <c r="E1170" s="20" t="s">
        <v>1472</v>
      </c>
      <c r="F1170" s="20" t="s">
        <v>15</v>
      </c>
      <c r="G1170" s="20">
        <v>2</v>
      </c>
      <c r="H1170" s="20">
        <v>3</v>
      </c>
      <c r="I1170" s="13">
        <v>0.6</v>
      </c>
      <c r="J1170" s="20" t="s">
        <v>249</v>
      </c>
      <c r="L1170" s="20" t="s">
        <v>60</v>
      </c>
      <c r="M1170" s="20" t="s">
        <v>60</v>
      </c>
      <c r="N1170" s="20" t="s">
        <v>15</v>
      </c>
      <c r="O1170" s="20">
        <v>2</v>
      </c>
      <c r="P1170" s="20">
        <v>3</v>
      </c>
      <c r="Q1170" s="13">
        <v>0.55833032216407086</v>
      </c>
      <c r="R1170" s="20" t="s">
        <v>249</v>
      </c>
      <c r="S1170" s="20">
        <v>0.15698505550332639</v>
      </c>
      <c r="T1170" s="20" t="s">
        <v>60</v>
      </c>
      <c r="U1170" s="20" t="s">
        <v>60</v>
      </c>
      <c r="V1170" s="20"/>
      <c r="W1170" s="20"/>
      <c r="X1170" s="20" t="s">
        <v>60</v>
      </c>
      <c r="Y1170" s="20" t="s">
        <v>412</v>
      </c>
      <c r="Z1170" s="20" t="s">
        <v>60</v>
      </c>
      <c r="AA1170" s="20" t="s">
        <v>491</v>
      </c>
    </row>
    <row r="1171" spans="1:27" x14ac:dyDescent="0.2">
      <c r="A1171" s="1">
        <v>46110</v>
      </c>
      <c r="B1171" s="20" t="s">
        <v>365</v>
      </c>
      <c r="C1171" s="20" t="s">
        <v>21</v>
      </c>
      <c r="D1171" s="20" t="s">
        <v>28</v>
      </c>
      <c r="E1171" s="20" t="s">
        <v>1473</v>
      </c>
      <c r="F1171" s="20" t="s">
        <v>21</v>
      </c>
      <c r="G1171" s="20">
        <v>2</v>
      </c>
      <c r="H1171" s="20">
        <v>3</v>
      </c>
      <c r="I1171" s="13">
        <v>0.6</v>
      </c>
      <c r="J1171" s="20" t="s">
        <v>249</v>
      </c>
      <c r="L1171" s="20" t="s">
        <v>60</v>
      </c>
      <c r="M1171" s="20" t="s">
        <v>60</v>
      </c>
      <c r="N1171" s="20" t="s">
        <v>21</v>
      </c>
      <c r="O1171" s="20">
        <v>2</v>
      </c>
      <c r="P1171" s="20">
        <v>3</v>
      </c>
      <c r="Q1171" s="13">
        <v>0.4988152754406433</v>
      </c>
      <c r="R1171" s="20" t="s">
        <v>249</v>
      </c>
      <c r="S1171" s="20">
        <v>-0.32531889497964622</v>
      </c>
      <c r="T1171" s="20" t="s">
        <v>60</v>
      </c>
      <c r="U1171" s="20" t="s">
        <v>60</v>
      </c>
      <c r="V1171" s="20"/>
      <c r="W1171" s="20"/>
      <c r="X1171" s="20" t="s">
        <v>60</v>
      </c>
      <c r="Y1171" s="20" t="s">
        <v>412</v>
      </c>
      <c r="Z1171" s="20" t="s">
        <v>60</v>
      </c>
      <c r="AA1171" s="20" t="s">
        <v>491</v>
      </c>
    </row>
    <row r="1172" spans="1:27" x14ac:dyDescent="0.2">
      <c r="A1172" s="1">
        <v>46110</v>
      </c>
      <c r="B1172" s="20" t="s">
        <v>365</v>
      </c>
      <c r="C1172" s="20" t="s">
        <v>18</v>
      </c>
      <c r="D1172" s="20" t="s">
        <v>25</v>
      </c>
      <c r="E1172" s="20" t="s">
        <v>1107</v>
      </c>
      <c r="F1172" s="20" t="s">
        <v>25</v>
      </c>
      <c r="G1172" s="20">
        <v>2</v>
      </c>
      <c r="H1172" s="20">
        <v>3</v>
      </c>
      <c r="I1172" s="13">
        <v>0.6</v>
      </c>
      <c r="J1172" s="20" t="s">
        <v>249</v>
      </c>
      <c r="L1172" s="20" t="s">
        <v>60</v>
      </c>
      <c r="M1172" s="20" t="s">
        <v>60</v>
      </c>
      <c r="N1172" s="20" t="s">
        <v>25</v>
      </c>
      <c r="O1172" s="20">
        <v>2</v>
      </c>
      <c r="P1172" s="20">
        <v>3</v>
      </c>
      <c r="Q1172" s="13">
        <v>0.65809245157970586</v>
      </c>
      <c r="R1172" s="20" t="s">
        <v>249</v>
      </c>
      <c r="S1172" s="20">
        <v>1.0684655145255399</v>
      </c>
      <c r="T1172" s="20" t="s">
        <v>60</v>
      </c>
      <c r="U1172" s="20" t="s">
        <v>60</v>
      </c>
      <c r="V1172" s="20"/>
      <c r="W1172" s="20"/>
      <c r="X1172" s="20" t="s">
        <v>60</v>
      </c>
      <c r="Y1172" s="20" t="s">
        <v>412</v>
      </c>
      <c r="Z1172" s="20" t="s">
        <v>60</v>
      </c>
      <c r="AA1172" s="20" t="s">
        <v>491</v>
      </c>
    </row>
    <row r="1173" spans="1:27" x14ac:dyDescent="0.2">
      <c r="A1173" s="1">
        <v>46110</v>
      </c>
      <c r="B1173" s="20" t="s">
        <v>328</v>
      </c>
      <c r="C1173" s="20" t="s">
        <v>10</v>
      </c>
      <c r="D1173" s="20" t="s">
        <v>24</v>
      </c>
      <c r="E1173" s="20" t="s">
        <v>1474</v>
      </c>
      <c r="F1173" s="20" t="s">
        <v>24</v>
      </c>
      <c r="G1173" s="20">
        <v>2</v>
      </c>
      <c r="H1173" s="20">
        <v>3</v>
      </c>
      <c r="I1173" s="13">
        <v>0.6</v>
      </c>
      <c r="J1173" s="20" t="s">
        <v>249</v>
      </c>
      <c r="L1173" s="20" t="s">
        <v>60</v>
      </c>
      <c r="M1173" s="20" t="s">
        <v>60</v>
      </c>
      <c r="N1173" s="20" t="s">
        <v>24</v>
      </c>
      <c r="O1173" s="20">
        <v>2</v>
      </c>
      <c r="P1173" s="20">
        <v>3</v>
      </c>
      <c r="Q1173" s="13">
        <v>0.64641355228862563</v>
      </c>
      <c r="R1173" s="20" t="s">
        <v>249</v>
      </c>
      <c r="S1173" s="20">
        <v>0.22762725487208041</v>
      </c>
      <c r="T1173" s="20" t="s">
        <v>60</v>
      </c>
      <c r="U1173" s="20" t="s">
        <v>60</v>
      </c>
      <c r="V1173" s="20"/>
      <c r="W1173" s="20"/>
      <c r="X1173" s="20" t="s">
        <v>60</v>
      </c>
      <c r="Y1173" s="20" t="s">
        <v>412</v>
      </c>
      <c r="Z1173" s="20" t="s">
        <v>60</v>
      </c>
      <c r="AA1173" s="20" t="s">
        <v>491</v>
      </c>
    </row>
    <row r="1174" spans="1:27" x14ac:dyDescent="0.2">
      <c r="A1174" s="1">
        <v>46111</v>
      </c>
      <c r="B1174" s="20" t="s">
        <v>322</v>
      </c>
      <c r="C1174" s="20" t="s">
        <v>19</v>
      </c>
      <c r="D1174" s="20" t="s">
        <v>31</v>
      </c>
      <c r="E1174" s="20" t="s">
        <v>1475</v>
      </c>
      <c r="F1174" s="20" t="s">
        <v>31</v>
      </c>
      <c r="G1174" s="20">
        <v>2</v>
      </c>
      <c r="H1174" s="20">
        <v>3</v>
      </c>
      <c r="I1174" s="13">
        <v>0.6</v>
      </c>
      <c r="J1174" s="20" t="s">
        <v>249</v>
      </c>
      <c r="L1174" s="20" t="s">
        <v>60</v>
      </c>
      <c r="M1174" s="20" t="s">
        <v>60</v>
      </c>
      <c r="N1174" s="20" t="s">
        <v>31</v>
      </c>
      <c r="O1174" s="20">
        <v>2</v>
      </c>
      <c r="P1174" s="20">
        <v>3</v>
      </c>
      <c r="Q1174" s="13">
        <v>0.72061231470333431</v>
      </c>
      <c r="R1174" s="20" t="s">
        <v>249</v>
      </c>
      <c r="S1174" s="20">
        <v>0.86308236208140932</v>
      </c>
      <c r="T1174" s="20" t="s">
        <v>60</v>
      </c>
      <c r="U1174" s="20" t="s">
        <v>60</v>
      </c>
      <c r="V1174" s="20"/>
      <c r="W1174" s="20"/>
      <c r="X1174" s="20" t="s">
        <v>60</v>
      </c>
      <c r="Y1174" s="20" t="s">
        <v>412</v>
      </c>
      <c r="Z1174" s="20" t="s">
        <v>60</v>
      </c>
      <c r="AA1174" s="20" t="s">
        <v>491</v>
      </c>
    </row>
    <row r="1175" spans="1:27" x14ac:dyDescent="0.2">
      <c r="A1175" s="1">
        <v>46111</v>
      </c>
      <c r="B1175" s="20" t="s">
        <v>416</v>
      </c>
      <c r="C1175" s="20" t="s">
        <v>16</v>
      </c>
      <c r="D1175" s="20" t="s">
        <v>12</v>
      </c>
      <c r="E1175" s="20" t="s">
        <v>1476</v>
      </c>
      <c r="F1175" s="20" t="s">
        <v>12</v>
      </c>
      <c r="G1175" s="20">
        <v>2</v>
      </c>
      <c r="H1175" s="20">
        <v>3</v>
      </c>
      <c r="I1175" s="13">
        <v>0.6</v>
      </c>
      <c r="J1175" s="20" t="s">
        <v>249</v>
      </c>
      <c r="L1175" s="20" t="s">
        <v>60</v>
      </c>
      <c r="M1175" s="20" t="s">
        <v>60</v>
      </c>
      <c r="N1175" s="20" t="s">
        <v>12</v>
      </c>
      <c r="O1175" s="20">
        <v>2</v>
      </c>
      <c r="P1175" s="20">
        <v>3</v>
      </c>
      <c r="Q1175" s="13">
        <v>0.96515107726433957</v>
      </c>
      <c r="R1175" s="20" t="s">
        <v>249</v>
      </c>
      <c r="S1175" s="20">
        <v>2.7475856863947601</v>
      </c>
      <c r="T1175" s="20" t="s">
        <v>60</v>
      </c>
      <c r="U1175" s="20" t="s">
        <v>60</v>
      </c>
      <c r="V1175" s="20"/>
      <c r="W1175" s="20"/>
      <c r="X1175" s="20" t="s">
        <v>60</v>
      </c>
      <c r="Y1175" s="20" t="s">
        <v>412</v>
      </c>
      <c r="Z1175" s="20" t="s">
        <v>60</v>
      </c>
      <c r="AA1175" s="20" t="s">
        <v>491</v>
      </c>
    </row>
    <row r="1176" spans="1:27" x14ac:dyDescent="0.2">
      <c r="A1176" s="1">
        <v>46111</v>
      </c>
      <c r="B1176" s="20" t="s">
        <v>328</v>
      </c>
      <c r="C1176" s="20" t="s">
        <v>14</v>
      </c>
      <c r="D1176" s="20" t="s">
        <v>30</v>
      </c>
      <c r="E1176" s="20" t="s">
        <v>1300</v>
      </c>
      <c r="F1176" s="20" t="s">
        <v>14</v>
      </c>
      <c r="G1176" s="20">
        <v>2</v>
      </c>
      <c r="H1176" s="20">
        <v>3</v>
      </c>
      <c r="I1176" s="13">
        <v>0.6</v>
      </c>
      <c r="J1176" s="20" t="s">
        <v>249</v>
      </c>
      <c r="L1176" s="20" t="s">
        <v>60</v>
      </c>
      <c r="M1176" s="20" t="s">
        <v>60</v>
      </c>
      <c r="N1176" s="20" t="s">
        <v>14</v>
      </c>
      <c r="O1176" s="20">
        <v>2</v>
      </c>
      <c r="P1176" s="20">
        <v>3</v>
      </c>
      <c r="Q1176" s="13">
        <v>0.50498100338490515</v>
      </c>
      <c r="R1176" s="20" t="s">
        <v>249</v>
      </c>
      <c r="S1176" s="20">
        <v>-4.8767026952680148E-2</v>
      </c>
      <c r="T1176" s="20" t="s">
        <v>60</v>
      </c>
      <c r="U1176" s="20" t="s">
        <v>60</v>
      </c>
      <c r="V1176" s="20"/>
      <c r="W1176" s="20"/>
      <c r="X1176" s="20" t="s">
        <v>60</v>
      </c>
      <c r="Y1176" s="20" t="s">
        <v>412</v>
      </c>
      <c r="Z1176" s="20" t="s">
        <v>60</v>
      </c>
      <c r="AA1176" s="20" t="s">
        <v>491</v>
      </c>
    </row>
    <row r="1177" spans="1:27" x14ac:dyDescent="0.2">
      <c r="A1177" s="1">
        <v>46111</v>
      </c>
      <c r="B1177" s="20" t="s">
        <v>322</v>
      </c>
      <c r="C1177" s="20" t="s">
        <v>35</v>
      </c>
      <c r="D1177" s="20" t="s">
        <v>33</v>
      </c>
      <c r="E1177" s="20" t="s">
        <v>1358</v>
      </c>
      <c r="F1177" s="20" t="s">
        <v>33</v>
      </c>
      <c r="G1177" s="20">
        <v>2</v>
      </c>
      <c r="H1177" s="20">
        <v>3</v>
      </c>
      <c r="I1177" s="13">
        <v>0.6</v>
      </c>
      <c r="J1177" s="20" t="s">
        <v>249</v>
      </c>
      <c r="L1177" s="20" t="s">
        <v>60</v>
      </c>
      <c r="M1177" s="20" t="s">
        <v>60</v>
      </c>
      <c r="N1177" s="20" t="s">
        <v>33</v>
      </c>
      <c r="O1177" s="20">
        <v>2</v>
      </c>
      <c r="P1177" s="20">
        <v>3</v>
      </c>
      <c r="Q1177" s="13">
        <v>0.66607527473414152</v>
      </c>
      <c r="R1177" s="20" t="s">
        <v>249</v>
      </c>
      <c r="S1177" s="20">
        <v>0.99304812848864166</v>
      </c>
      <c r="T1177" s="20" t="s">
        <v>60</v>
      </c>
      <c r="U1177" s="20" t="s">
        <v>60</v>
      </c>
      <c r="V1177" s="20"/>
      <c r="W1177" s="20"/>
      <c r="X1177" s="20" t="s">
        <v>60</v>
      </c>
      <c r="Y1177" s="20" t="s">
        <v>412</v>
      </c>
      <c r="Z1177" s="20" t="s">
        <v>60</v>
      </c>
      <c r="AA1177" s="20" t="s">
        <v>491</v>
      </c>
    </row>
    <row r="1178" spans="1:27" x14ac:dyDescent="0.2">
      <c r="A1178" s="1">
        <v>46111</v>
      </c>
      <c r="B1178" s="20" t="s">
        <v>322</v>
      </c>
      <c r="C1178" s="20" t="s">
        <v>38</v>
      </c>
      <c r="D1178" s="20" t="s">
        <v>20</v>
      </c>
      <c r="E1178" s="20" t="s">
        <v>1307</v>
      </c>
      <c r="F1178" s="20" t="s">
        <v>20</v>
      </c>
      <c r="G1178" s="20">
        <v>2</v>
      </c>
      <c r="H1178" s="20">
        <v>3</v>
      </c>
      <c r="I1178" s="13">
        <v>0.6</v>
      </c>
      <c r="J1178" s="20" t="s">
        <v>249</v>
      </c>
      <c r="L1178" s="20" t="s">
        <v>60</v>
      </c>
      <c r="M1178" s="20" t="s">
        <v>60</v>
      </c>
      <c r="N1178" s="20" t="s">
        <v>20</v>
      </c>
      <c r="O1178" s="20">
        <v>2</v>
      </c>
      <c r="P1178" s="20">
        <v>3</v>
      </c>
      <c r="Q1178" s="13">
        <v>0.62436377998437298</v>
      </c>
      <c r="R1178" s="20" t="s">
        <v>249</v>
      </c>
      <c r="S1178" s="20">
        <v>0.75313767371333018</v>
      </c>
      <c r="T1178" s="20" t="s">
        <v>60</v>
      </c>
      <c r="U1178" s="20" t="s">
        <v>60</v>
      </c>
      <c r="V1178" s="20"/>
      <c r="W1178" s="20"/>
      <c r="X1178" s="20" t="s">
        <v>60</v>
      </c>
      <c r="Y1178" s="20" t="s">
        <v>412</v>
      </c>
      <c r="Z1178" s="20" t="s">
        <v>60</v>
      </c>
      <c r="AA1178" s="20" t="s">
        <v>491</v>
      </c>
    </row>
    <row r="1179" spans="1:27" x14ac:dyDescent="0.2">
      <c r="A1179" s="1">
        <v>46112</v>
      </c>
      <c r="B1179" s="20" t="s">
        <v>328</v>
      </c>
      <c r="C1179" s="20" t="s">
        <v>26</v>
      </c>
      <c r="D1179" s="20" t="s">
        <v>14</v>
      </c>
      <c r="E1179" s="20" t="s">
        <v>1102</v>
      </c>
      <c r="F1179" s="20" t="s">
        <v>14</v>
      </c>
      <c r="G1179" s="20">
        <v>2</v>
      </c>
      <c r="H1179" s="20">
        <v>3</v>
      </c>
      <c r="I1179" s="13">
        <v>0.6</v>
      </c>
      <c r="J1179" s="20" t="s">
        <v>249</v>
      </c>
      <c r="L1179" s="20" t="s">
        <v>60</v>
      </c>
      <c r="M1179" s="20" t="s">
        <v>60</v>
      </c>
      <c r="N1179" s="20" t="s">
        <v>14</v>
      </c>
      <c r="O1179" s="20">
        <v>2</v>
      </c>
      <c r="P1179" s="20">
        <v>3</v>
      </c>
      <c r="Q1179" s="13">
        <v>0.63142401468889853</v>
      </c>
      <c r="R1179" s="20" t="s">
        <v>249</v>
      </c>
      <c r="S1179" s="20">
        <v>0.78297609238998189</v>
      </c>
      <c r="T1179" s="20" t="s">
        <v>60</v>
      </c>
      <c r="U1179" s="20" t="s">
        <v>60</v>
      </c>
      <c r="V1179" s="20"/>
      <c r="W1179" s="20"/>
      <c r="X1179" s="20" t="s">
        <v>60</v>
      </c>
      <c r="Y1179" s="20" t="s">
        <v>412</v>
      </c>
      <c r="Z1179" s="20" t="s">
        <v>60</v>
      </c>
      <c r="AA1179" s="20" t="s">
        <v>491</v>
      </c>
    </row>
    <row r="1180" spans="1:27" x14ac:dyDescent="0.2">
      <c r="A1180" s="1">
        <v>46112</v>
      </c>
      <c r="B1180" s="20" t="s">
        <v>328</v>
      </c>
      <c r="C1180" s="20" t="s">
        <v>27</v>
      </c>
      <c r="D1180" s="20" t="s">
        <v>22</v>
      </c>
      <c r="E1180" s="20" t="s">
        <v>1312</v>
      </c>
      <c r="F1180" s="20" t="s">
        <v>22</v>
      </c>
      <c r="G1180" s="20">
        <v>2</v>
      </c>
      <c r="H1180" s="20">
        <v>3</v>
      </c>
      <c r="I1180" s="13">
        <v>0.6</v>
      </c>
      <c r="J1180" s="20" t="s">
        <v>249</v>
      </c>
      <c r="L1180" s="20" t="s">
        <v>60</v>
      </c>
      <c r="M1180" s="20" t="s">
        <v>60</v>
      </c>
      <c r="N1180" s="20" t="s">
        <v>22</v>
      </c>
      <c r="O1180" s="20">
        <v>2</v>
      </c>
      <c r="P1180" s="20">
        <v>3</v>
      </c>
      <c r="Q1180" s="13">
        <v>0.62549382984908919</v>
      </c>
      <c r="R1180" s="20" t="s">
        <v>249</v>
      </c>
      <c r="S1180" s="20">
        <v>0.87084756528323548</v>
      </c>
      <c r="T1180" s="20" t="s">
        <v>60</v>
      </c>
      <c r="U1180" s="20" t="s">
        <v>60</v>
      </c>
      <c r="V1180" s="20"/>
      <c r="W1180" s="20"/>
      <c r="X1180" s="20" t="s">
        <v>60</v>
      </c>
      <c r="Y1180" s="20" t="s">
        <v>412</v>
      </c>
      <c r="Z1180" s="20" t="s">
        <v>60</v>
      </c>
      <c r="AA1180" s="20" t="s">
        <v>491</v>
      </c>
    </row>
    <row r="1181" spans="1:27" x14ac:dyDescent="0.2">
      <c r="A1181" s="1">
        <v>46112</v>
      </c>
      <c r="B1181" s="20" t="s">
        <v>328</v>
      </c>
      <c r="C1181" s="20" t="s">
        <v>18</v>
      </c>
      <c r="D1181" s="20" t="s">
        <v>37</v>
      </c>
      <c r="E1181" s="20" t="s">
        <v>1076</v>
      </c>
      <c r="F1181" s="20" t="s">
        <v>37</v>
      </c>
      <c r="G1181" s="20">
        <v>2</v>
      </c>
      <c r="H1181" s="20">
        <v>3</v>
      </c>
      <c r="I1181" s="13">
        <v>0.6</v>
      </c>
      <c r="J1181" s="20" t="s">
        <v>249</v>
      </c>
      <c r="L1181" s="20" t="s">
        <v>60</v>
      </c>
      <c r="M1181" s="20" t="s">
        <v>60</v>
      </c>
      <c r="N1181" s="20" t="s">
        <v>37</v>
      </c>
      <c r="O1181" s="20">
        <v>2</v>
      </c>
      <c r="P1181" s="20">
        <v>3</v>
      </c>
      <c r="Q1181" s="13">
        <v>0.64803323445177996</v>
      </c>
      <c r="R1181" s="20" t="s">
        <v>249</v>
      </c>
      <c r="S1181" s="20">
        <v>1.1532953239435919</v>
      </c>
      <c r="T1181" s="20" t="s">
        <v>60</v>
      </c>
      <c r="U1181" s="20" t="s">
        <v>60</v>
      </c>
      <c r="V1181" s="20"/>
      <c r="W1181" s="20"/>
      <c r="X1181" s="20" t="s">
        <v>60</v>
      </c>
      <c r="Y1181" s="20" t="s">
        <v>412</v>
      </c>
      <c r="Z1181" s="20" t="s">
        <v>60</v>
      </c>
      <c r="AA1181" s="20" t="s">
        <v>491</v>
      </c>
    </row>
    <row r="1182" spans="1:27" x14ac:dyDescent="0.2">
      <c r="A1182" s="1">
        <v>46112</v>
      </c>
      <c r="B1182" s="20" t="s">
        <v>328</v>
      </c>
      <c r="C1182" s="20" t="s">
        <v>36</v>
      </c>
      <c r="D1182" s="20" t="s">
        <v>11</v>
      </c>
      <c r="E1182" s="20" t="s">
        <v>531</v>
      </c>
      <c r="F1182" s="20" t="s">
        <v>11</v>
      </c>
      <c r="G1182" s="20">
        <v>2</v>
      </c>
      <c r="H1182" s="20">
        <v>3</v>
      </c>
      <c r="I1182" s="13">
        <v>0.6</v>
      </c>
      <c r="J1182" s="20" t="s">
        <v>249</v>
      </c>
      <c r="L1182" s="20" t="s">
        <v>60</v>
      </c>
      <c r="M1182" s="20" t="s">
        <v>60</v>
      </c>
      <c r="N1182" s="20" t="s">
        <v>11</v>
      </c>
      <c r="O1182" s="20">
        <v>2</v>
      </c>
      <c r="P1182" s="20">
        <v>3</v>
      </c>
      <c r="Q1182" s="13">
        <v>0.57551984437773329</v>
      </c>
      <c r="R1182" s="20" t="s">
        <v>249</v>
      </c>
      <c r="S1182" s="20">
        <v>0.18415850872389461</v>
      </c>
      <c r="T1182" s="20" t="s">
        <v>60</v>
      </c>
      <c r="U1182" s="20" t="s">
        <v>60</v>
      </c>
      <c r="V1182" s="20"/>
      <c r="W1182" s="20"/>
      <c r="X1182" s="20" t="s">
        <v>60</v>
      </c>
      <c r="Y1182" s="20" t="s">
        <v>412</v>
      </c>
      <c r="Z1182" s="20" t="s">
        <v>60</v>
      </c>
      <c r="AA1182" s="20" t="s">
        <v>491</v>
      </c>
    </row>
    <row r="1183" spans="1:27" x14ac:dyDescent="0.2">
      <c r="A1183" s="1">
        <v>46112</v>
      </c>
      <c r="B1183" s="20" t="s">
        <v>328</v>
      </c>
      <c r="C1183" s="20" t="s">
        <v>24</v>
      </c>
      <c r="D1183" s="20" t="s">
        <v>15</v>
      </c>
      <c r="E1183" s="20" t="s">
        <v>1418</v>
      </c>
      <c r="F1183" s="20" t="s">
        <v>24</v>
      </c>
      <c r="G1183" s="20">
        <v>2</v>
      </c>
      <c r="H1183" s="20">
        <v>3</v>
      </c>
      <c r="I1183" s="13">
        <v>0.6</v>
      </c>
      <c r="J1183" s="20" t="s">
        <v>249</v>
      </c>
      <c r="L1183" s="20" t="s">
        <v>60</v>
      </c>
      <c r="M1183" s="20" t="s">
        <v>60</v>
      </c>
      <c r="N1183" s="20" t="s">
        <v>24</v>
      </c>
      <c r="O1183" s="20">
        <v>2</v>
      </c>
      <c r="P1183" s="20">
        <v>3</v>
      </c>
      <c r="Q1183" s="13">
        <v>0.50898700949621889</v>
      </c>
      <c r="R1183" s="20" t="s">
        <v>249</v>
      </c>
      <c r="S1183" s="20">
        <v>-0.2416634863253844</v>
      </c>
      <c r="T1183" s="20" t="s">
        <v>60</v>
      </c>
      <c r="U1183" s="20" t="s">
        <v>60</v>
      </c>
      <c r="V1183" s="20"/>
      <c r="W1183" s="20"/>
      <c r="X1183" s="20" t="s">
        <v>60</v>
      </c>
      <c r="Y1183" s="20" t="s">
        <v>412</v>
      </c>
      <c r="Z1183" s="20" t="s">
        <v>60</v>
      </c>
      <c r="AA1183" s="20" t="s">
        <v>491</v>
      </c>
    </row>
    <row r="1184" spans="1:27" x14ac:dyDescent="0.2">
      <c r="A1184" s="1">
        <v>46112</v>
      </c>
      <c r="B1184" s="20" t="s">
        <v>416</v>
      </c>
      <c r="C1184" s="20" t="s">
        <v>40</v>
      </c>
      <c r="D1184" s="20" t="s">
        <v>10</v>
      </c>
      <c r="E1184" s="20" t="s">
        <v>1216</v>
      </c>
      <c r="F1184" s="20" t="s">
        <v>10</v>
      </c>
      <c r="G1184" s="20">
        <v>2</v>
      </c>
      <c r="H1184" s="20">
        <v>3</v>
      </c>
      <c r="I1184" s="13">
        <v>0.6</v>
      </c>
      <c r="J1184" s="20" t="s">
        <v>249</v>
      </c>
      <c r="L1184" s="20" t="s">
        <v>60</v>
      </c>
      <c r="M1184" s="20" t="s">
        <v>60</v>
      </c>
      <c r="N1184" s="20" t="s">
        <v>10</v>
      </c>
      <c r="O1184" s="20">
        <v>2</v>
      </c>
      <c r="P1184" s="20">
        <v>3</v>
      </c>
      <c r="Q1184" s="13">
        <v>0.54105951093214566</v>
      </c>
      <c r="R1184" s="20" t="s">
        <v>249</v>
      </c>
      <c r="S1184" s="20">
        <v>0.1869463175216404</v>
      </c>
      <c r="T1184" s="20" t="s">
        <v>60</v>
      </c>
      <c r="U1184" s="20" t="s">
        <v>60</v>
      </c>
      <c r="V1184" s="20"/>
      <c r="W1184" s="20"/>
      <c r="X1184" s="20" t="s">
        <v>60</v>
      </c>
      <c r="Y1184" s="20" t="s">
        <v>412</v>
      </c>
      <c r="Z1184" s="20" t="s">
        <v>60</v>
      </c>
      <c r="AA1184" s="20" t="s">
        <v>491</v>
      </c>
    </row>
    <row r="1185" spans="1:27" x14ac:dyDescent="0.2">
      <c r="A1185" s="1">
        <v>46112</v>
      </c>
      <c r="B1185" s="20" t="s">
        <v>334</v>
      </c>
      <c r="C1185" s="20" t="s">
        <v>25</v>
      </c>
      <c r="D1185" s="20" t="s">
        <v>28</v>
      </c>
      <c r="E1185" s="20" t="s">
        <v>1416</v>
      </c>
      <c r="F1185" s="20" t="s">
        <v>25</v>
      </c>
      <c r="G1185" s="20">
        <v>2</v>
      </c>
      <c r="H1185" s="20">
        <v>3</v>
      </c>
      <c r="I1185" s="13">
        <v>0.6</v>
      </c>
      <c r="J1185" s="20" t="s">
        <v>249</v>
      </c>
      <c r="L1185" s="20" t="s">
        <v>60</v>
      </c>
      <c r="M1185" s="20" t="s">
        <v>60</v>
      </c>
      <c r="N1185" s="20" t="s">
        <v>25</v>
      </c>
      <c r="O1185" s="20">
        <v>2</v>
      </c>
      <c r="P1185" s="20">
        <v>3</v>
      </c>
      <c r="Q1185" s="13">
        <v>0.64597416936312857</v>
      </c>
      <c r="R1185" s="20" t="s">
        <v>249</v>
      </c>
      <c r="S1185" s="20">
        <v>-0.9707637927559305</v>
      </c>
      <c r="T1185" s="20" t="s">
        <v>60</v>
      </c>
      <c r="U1185" s="20" t="s">
        <v>60</v>
      </c>
      <c r="V1185" s="20"/>
      <c r="W1185" s="20"/>
      <c r="X1185" s="20" t="s">
        <v>60</v>
      </c>
      <c r="Y1185" s="20" t="s">
        <v>412</v>
      </c>
      <c r="Z1185" s="20" t="s">
        <v>60</v>
      </c>
      <c r="AA1185" s="20" t="s">
        <v>491</v>
      </c>
    </row>
    <row r="1186" spans="1:27" x14ac:dyDescent="0.2">
      <c r="A1186" s="1">
        <v>46112</v>
      </c>
      <c r="B1186" s="20" t="s">
        <v>328</v>
      </c>
      <c r="C1186" s="20" t="s">
        <v>30</v>
      </c>
      <c r="D1186" s="20" t="s">
        <v>23</v>
      </c>
      <c r="E1186" s="20" t="s">
        <v>1048</v>
      </c>
      <c r="F1186" s="20" t="s">
        <v>30</v>
      </c>
      <c r="G1186" s="20">
        <v>2</v>
      </c>
      <c r="H1186" s="20">
        <v>3</v>
      </c>
      <c r="I1186" s="13">
        <v>0.6</v>
      </c>
      <c r="J1186" s="20" t="s">
        <v>249</v>
      </c>
      <c r="L1186" s="20" t="s">
        <v>60</v>
      </c>
      <c r="M1186" s="20" t="s">
        <v>60</v>
      </c>
      <c r="N1186" s="20" t="s">
        <v>30</v>
      </c>
      <c r="O1186" s="20">
        <v>2</v>
      </c>
      <c r="P1186" s="20">
        <v>3</v>
      </c>
      <c r="Q1186" s="13">
        <v>0.54408288433002694</v>
      </c>
      <c r="R1186" s="20" t="s">
        <v>249</v>
      </c>
      <c r="S1186" s="20">
        <v>-0.1852776893760946</v>
      </c>
      <c r="T1186" s="20" t="s">
        <v>60</v>
      </c>
      <c r="U1186" s="20" t="s">
        <v>60</v>
      </c>
      <c r="V1186" s="20"/>
      <c r="W1186" s="20"/>
      <c r="X1186" s="20" t="s">
        <v>60</v>
      </c>
      <c r="Y1186" s="20" t="s">
        <v>412</v>
      </c>
      <c r="Z1186" s="20" t="s">
        <v>60</v>
      </c>
      <c r="AA1186" s="20" t="s">
        <v>491</v>
      </c>
    </row>
    <row r="1187" spans="1:27" x14ac:dyDescent="0.2">
      <c r="A1187" s="1">
        <v>46112</v>
      </c>
      <c r="B1187" s="20" t="s">
        <v>328</v>
      </c>
      <c r="C1187" s="20" t="s">
        <v>39</v>
      </c>
      <c r="D1187" s="20" t="s">
        <v>21</v>
      </c>
      <c r="E1187" s="20" t="s">
        <v>1477</v>
      </c>
      <c r="F1187" s="20" t="s">
        <v>39</v>
      </c>
      <c r="G1187" s="20">
        <v>2</v>
      </c>
      <c r="H1187" s="20">
        <v>3</v>
      </c>
      <c r="I1187" s="13">
        <v>0.6</v>
      </c>
      <c r="J1187" s="20" t="s">
        <v>249</v>
      </c>
      <c r="L1187" s="20" t="s">
        <v>60</v>
      </c>
      <c r="M1187" s="20" t="s">
        <v>60</v>
      </c>
      <c r="N1187" s="20" t="s">
        <v>39</v>
      </c>
      <c r="O1187" s="20">
        <v>2</v>
      </c>
      <c r="P1187" s="20">
        <v>3</v>
      </c>
      <c r="Q1187" s="13">
        <v>0.58662874676909771</v>
      </c>
      <c r="R1187" s="20" t="s">
        <v>249</v>
      </c>
      <c r="S1187" s="20">
        <v>-0.5833115133796889</v>
      </c>
      <c r="T1187" s="20" t="s">
        <v>60</v>
      </c>
      <c r="U1187" s="20" t="s">
        <v>60</v>
      </c>
      <c r="V1187" s="20"/>
      <c r="W1187" s="20"/>
      <c r="X1187" s="20" t="s">
        <v>60</v>
      </c>
      <c r="Y1187" s="20" t="s">
        <v>412</v>
      </c>
      <c r="Z1187" s="20" t="s">
        <v>60</v>
      </c>
      <c r="AA1187" s="20" t="s">
        <v>491</v>
      </c>
    </row>
    <row r="1188" spans="1:27" x14ac:dyDescent="0.2">
      <c r="A1188" s="1">
        <v>46112</v>
      </c>
      <c r="B1188" s="20" t="s">
        <v>326</v>
      </c>
      <c r="C1188" s="20" t="s">
        <v>32</v>
      </c>
      <c r="D1188" s="20" t="s">
        <v>17</v>
      </c>
      <c r="E1188" s="20" t="s">
        <v>930</v>
      </c>
      <c r="F1188" s="20" t="s">
        <v>32</v>
      </c>
      <c r="G1188" s="20">
        <v>2</v>
      </c>
      <c r="H1188" s="20">
        <v>3</v>
      </c>
      <c r="I1188" s="13">
        <v>0.6</v>
      </c>
      <c r="J1188" s="20" t="s">
        <v>249</v>
      </c>
      <c r="L1188" s="20" t="s">
        <v>60</v>
      </c>
      <c r="M1188" s="20" t="s">
        <v>60</v>
      </c>
      <c r="N1188" s="20" t="s">
        <v>32</v>
      </c>
      <c r="O1188" s="20">
        <v>2</v>
      </c>
      <c r="P1188" s="20">
        <v>3</v>
      </c>
      <c r="Q1188" s="13">
        <v>0.46678701500720537</v>
      </c>
      <c r="R1188" s="20" t="s">
        <v>249</v>
      </c>
      <c r="S1188" s="20">
        <v>-0.1184686800362693</v>
      </c>
      <c r="T1188" s="20" t="s">
        <v>60</v>
      </c>
      <c r="U1188" s="20" t="s">
        <v>60</v>
      </c>
      <c r="V1188" s="20"/>
      <c r="W1188" s="20"/>
      <c r="X1188" s="20" t="s">
        <v>60</v>
      </c>
      <c r="Y1188" s="20" t="s">
        <v>412</v>
      </c>
      <c r="Z1188" s="20" t="s">
        <v>60</v>
      </c>
      <c r="AA1188" s="20" t="s">
        <v>491</v>
      </c>
    </row>
    <row r="1189" spans="1:27" x14ac:dyDescent="0.2">
      <c r="A1189" s="1">
        <v>46113</v>
      </c>
      <c r="B1189" s="20" t="s">
        <v>416</v>
      </c>
      <c r="C1189" s="20" t="s">
        <v>38</v>
      </c>
      <c r="D1189" s="20" t="s">
        <v>12</v>
      </c>
      <c r="E1189" s="20" t="s">
        <v>478</v>
      </c>
      <c r="F1189" s="20" t="s">
        <v>12</v>
      </c>
      <c r="G1189" s="20">
        <v>2</v>
      </c>
      <c r="H1189" s="20">
        <v>3</v>
      </c>
      <c r="I1189" s="13">
        <v>0.6</v>
      </c>
      <c r="J1189" s="20" t="s">
        <v>249</v>
      </c>
      <c r="L1189" s="20" t="s">
        <v>60</v>
      </c>
      <c r="M1189" s="20" t="s">
        <v>60</v>
      </c>
      <c r="N1189" s="20" t="s">
        <v>12</v>
      </c>
      <c r="O1189" s="20">
        <v>2</v>
      </c>
      <c r="P1189" s="20">
        <v>3</v>
      </c>
      <c r="Q1189" s="13">
        <v>0.94805649187988317</v>
      </c>
      <c r="R1189" s="20" t="s">
        <v>249</v>
      </c>
      <c r="S1189" s="20">
        <v>2.6294821624609428</v>
      </c>
      <c r="T1189" s="20" t="s">
        <v>60</v>
      </c>
      <c r="U1189" s="20" t="s">
        <v>60</v>
      </c>
      <c r="V1189" s="20"/>
      <c r="W1189" s="20"/>
      <c r="X1189" s="20" t="s">
        <v>60</v>
      </c>
      <c r="Y1189" s="20" t="s">
        <v>412</v>
      </c>
      <c r="Z1189" s="20" t="s">
        <v>60</v>
      </c>
      <c r="AA1189" s="20" t="s">
        <v>491</v>
      </c>
    </row>
    <row r="1190" spans="1:27" x14ac:dyDescent="0.2">
      <c r="A1190" s="1">
        <v>46113</v>
      </c>
      <c r="B1190" s="20" t="s">
        <v>326</v>
      </c>
      <c r="C1190" s="20" t="s">
        <v>35</v>
      </c>
      <c r="D1190" s="20" t="s">
        <v>13</v>
      </c>
      <c r="E1190" s="20" t="s">
        <v>1478</v>
      </c>
      <c r="F1190" s="20" t="s">
        <v>13</v>
      </c>
      <c r="G1190" s="20">
        <v>2</v>
      </c>
      <c r="H1190" s="20">
        <v>3</v>
      </c>
      <c r="I1190" s="13">
        <v>0.6</v>
      </c>
      <c r="J1190" s="20" t="s">
        <v>249</v>
      </c>
      <c r="L1190" s="20" t="s">
        <v>60</v>
      </c>
      <c r="M1190" s="20" t="s">
        <v>60</v>
      </c>
      <c r="N1190" s="20" t="s">
        <v>13</v>
      </c>
      <c r="O1190" s="20">
        <v>2</v>
      </c>
      <c r="P1190" s="20">
        <v>3</v>
      </c>
      <c r="Q1190" s="13">
        <v>0.66915297702090215</v>
      </c>
      <c r="R1190" s="20" t="s">
        <v>249</v>
      </c>
      <c r="S1190" s="20">
        <v>1.106095522193671</v>
      </c>
      <c r="T1190" s="20" t="s">
        <v>60</v>
      </c>
      <c r="U1190" s="20" t="s">
        <v>60</v>
      </c>
      <c r="V1190" s="20"/>
      <c r="W1190" s="20"/>
      <c r="X1190" s="20" t="s">
        <v>60</v>
      </c>
      <c r="Y1190" s="20" t="s">
        <v>412</v>
      </c>
      <c r="Z1190" s="20" t="s">
        <v>60</v>
      </c>
      <c r="AA1190" s="20" t="s">
        <v>491</v>
      </c>
    </row>
    <row r="1191" spans="1:27" x14ac:dyDescent="0.2">
      <c r="A1191" s="1">
        <v>46113</v>
      </c>
      <c r="B1191" s="20" t="s">
        <v>322</v>
      </c>
      <c r="C1191" s="20" t="s">
        <v>31</v>
      </c>
      <c r="D1191" s="20" t="s">
        <v>33</v>
      </c>
      <c r="E1191" s="20" t="s">
        <v>538</v>
      </c>
      <c r="F1191" s="20" t="s">
        <v>31</v>
      </c>
      <c r="G1191" s="20">
        <v>2</v>
      </c>
      <c r="H1191" s="20">
        <v>3</v>
      </c>
      <c r="I1191" s="13">
        <v>0.6</v>
      </c>
      <c r="J1191" s="20" t="s">
        <v>249</v>
      </c>
      <c r="L1191" s="20" t="s">
        <v>60</v>
      </c>
      <c r="M1191" s="20" t="s">
        <v>60</v>
      </c>
      <c r="N1191" s="20" t="s">
        <v>31</v>
      </c>
      <c r="O1191" s="20">
        <v>2</v>
      </c>
      <c r="P1191" s="20">
        <v>3</v>
      </c>
      <c r="Q1191" s="13">
        <v>0.53832735617360639</v>
      </c>
      <c r="R1191" s="20" t="s">
        <v>249</v>
      </c>
      <c r="S1191" s="20">
        <v>-0.58013326529834719</v>
      </c>
      <c r="T1191" s="20" t="s">
        <v>60</v>
      </c>
      <c r="U1191" s="20" t="s">
        <v>60</v>
      </c>
      <c r="V1191" s="20"/>
      <c r="W1191" s="20"/>
      <c r="X1191" s="20" t="s">
        <v>60</v>
      </c>
      <c r="Y1191" s="20" t="s">
        <v>412</v>
      </c>
      <c r="Z1191" s="20" t="s">
        <v>60</v>
      </c>
      <c r="AA1191" s="20" t="s">
        <v>491</v>
      </c>
    </row>
    <row r="1192" spans="1:27" x14ac:dyDescent="0.2">
      <c r="A1192" s="1">
        <v>46114</v>
      </c>
      <c r="B1192" s="20" t="s">
        <v>322</v>
      </c>
      <c r="C1192" s="20" t="s">
        <v>16</v>
      </c>
      <c r="D1192" s="20" t="s">
        <v>20</v>
      </c>
      <c r="E1192" s="20" t="s">
        <v>609</v>
      </c>
      <c r="F1192" s="20" t="s">
        <v>20</v>
      </c>
      <c r="G1192" s="20">
        <v>2</v>
      </c>
      <c r="H1192" s="20">
        <v>3</v>
      </c>
      <c r="I1192" s="13">
        <v>0.6</v>
      </c>
      <c r="J1192" s="20" t="s">
        <v>249</v>
      </c>
      <c r="L1192" s="20" t="s">
        <v>60</v>
      </c>
      <c r="M1192" s="20" t="s">
        <v>60</v>
      </c>
      <c r="N1192" s="20" t="s">
        <v>20</v>
      </c>
      <c r="O1192" s="20">
        <v>2</v>
      </c>
      <c r="P1192" s="20">
        <v>3</v>
      </c>
      <c r="Q1192" s="13">
        <v>0.64173026842765124</v>
      </c>
      <c r="R1192" s="20" t="s">
        <v>249</v>
      </c>
      <c r="S1192" s="20">
        <v>0.8712411976471468</v>
      </c>
      <c r="T1192" s="20" t="s">
        <v>60</v>
      </c>
      <c r="U1192" s="20" t="s">
        <v>60</v>
      </c>
      <c r="V1192" s="20"/>
      <c r="W1192" s="20"/>
      <c r="X1192" s="20" t="s">
        <v>60</v>
      </c>
      <c r="Y1192" s="20" t="s">
        <v>412</v>
      </c>
      <c r="Z1192" s="20" t="s">
        <v>60</v>
      </c>
      <c r="AA1192" s="20" t="s">
        <v>491</v>
      </c>
    </row>
    <row r="1193" spans="1:27" x14ac:dyDescent="0.2">
      <c r="A1193" s="1">
        <v>46114</v>
      </c>
      <c r="B1193" s="20" t="s">
        <v>322</v>
      </c>
      <c r="C1193" s="20" t="s">
        <v>19</v>
      </c>
      <c r="D1193" s="20" t="s">
        <v>33</v>
      </c>
      <c r="E1193" s="20" t="s">
        <v>1479</v>
      </c>
      <c r="F1193" s="20" t="s">
        <v>33</v>
      </c>
      <c r="G1193" s="20">
        <v>2</v>
      </c>
      <c r="H1193" s="20">
        <v>3</v>
      </c>
      <c r="I1193" s="13">
        <v>0.6</v>
      </c>
      <c r="J1193" s="20" t="s">
        <v>249</v>
      </c>
      <c r="L1193" s="20" t="s">
        <v>60</v>
      </c>
      <c r="M1193" s="20" t="s">
        <v>60</v>
      </c>
      <c r="N1193" s="20" t="s">
        <v>33</v>
      </c>
      <c r="O1193" s="20">
        <v>2</v>
      </c>
      <c r="P1193" s="20">
        <v>3</v>
      </c>
      <c r="Q1193" s="13">
        <v>0.57733408354952698</v>
      </c>
      <c r="R1193" s="20" t="s">
        <v>249</v>
      </c>
      <c r="S1193" s="20">
        <v>0.23304834785989961</v>
      </c>
      <c r="T1193" s="20" t="s">
        <v>60</v>
      </c>
      <c r="U1193" s="20" t="s">
        <v>60</v>
      </c>
      <c r="V1193" s="20"/>
      <c r="W1193" s="20"/>
      <c r="X1193" s="20" t="s">
        <v>60</v>
      </c>
      <c r="Y1193" s="20" t="s">
        <v>412</v>
      </c>
      <c r="Z1193" s="20" t="s">
        <v>60</v>
      </c>
      <c r="AA1193" s="20" t="s">
        <v>491</v>
      </c>
    </row>
    <row r="1194" spans="1:27" x14ac:dyDescent="0.2">
      <c r="A1194" s="1">
        <v>46114</v>
      </c>
      <c r="B1194" s="20" t="s">
        <v>322</v>
      </c>
      <c r="C1194" s="20" t="s">
        <v>55</v>
      </c>
      <c r="D1194" s="20" t="s">
        <v>32</v>
      </c>
      <c r="E1194" s="20" t="s">
        <v>1480</v>
      </c>
      <c r="F1194" s="20" t="s">
        <v>55</v>
      </c>
      <c r="G1194" s="20">
        <v>2</v>
      </c>
      <c r="H1194" s="20">
        <v>3</v>
      </c>
      <c r="I1194" s="13">
        <v>0.6</v>
      </c>
      <c r="J1194" s="20" t="s">
        <v>249</v>
      </c>
      <c r="L1194" s="20" t="s">
        <v>60</v>
      </c>
      <c r="M1194" s="20" t="s">
        <v>60</v>
      </c>
      <c r="N1194" s="20" t="s">
        <v>55</v>
      </c>
      <c r="O1194" s="20">
        <v>2</v>
      </c>
      <c r="P1194" s="20">
        <v>3</v>
      </c>
      <c r="Q1194" s="13">
        <v>0.48292713375507679</v>
      </c>
      <c r="R1194" s="20" t="s">
        <v>249</v>
      </c>
      <c r="S1194" s="20">
        <v>-0.19635319733374509</v>
      </c>
      <c r="T1194" s="20" t="s">
        <v>60</v>
      </c>
      <c r="U1194" s="20" t="s">
        <v>60</v>
      </c>
      <c r="V1194" s="20"/>
      <c r="W1194" s="20"/>
      <c r="X1194" s="20" t="s">
        <v>60</v>
      </c>
      <c r="Y1194" s="20" t="s">
        <v>412</v>
      </c>
      <c r="Z1194" s="20" t="s">
        <v>60</v>
      </c>
      <c r="AA1194" s="20" t="s">
        <v>491</v>
      </c>
    </row>
    <row r="1195" spans="1:27" x14ac:dyDescent="0.2">
      <c r="A1195" s="1">
        <v>46114</v>
      </c>
      <c r="B1195" s="20" t="s">
        <v>328</v>
      </c>
      <c r="C1195" s="20" t="s">
        <v>26</v>
      </c>
      <c r="D1195" s="20" t="s">
        <v>27</v>
      </c>
      <c r="E1195" s="20" t="s">
        <v>1481</v>
      </c>
      <c r="F1195" s="20" t="s">
        <v>27</v>
      </c>
      <c r="G1195" s="20">
        <v>2</v>
      </c>
      <c r="H1195" s="20">
        <v>3</v>
      </c>
      <c r="I1195" s="13">
        <v>0.6</v>
      </c>
      <c r="J1195" s="20" t="s">
        <v>249</v>
      </c>
      <c r="L1195" s="20" t="s">
        <v>60</v>
      </c>
      <c r="M1195" s="20" t="s">
        <v>60</v>
      </c>
      <c r="N1195" s="20" t="s">
        <v>27</v>
      </c>
      <c r="O1195" s="20">
        <v>2</v>
      </c>
      <c r="P1195" s="20">
        <v>3</v>
      </c>
      <c r="Q1195" s="13">
        <v>0.61765349941525349</v>
      </c>
      <c r="R1195" s="20" t="s">
        <v>249</v>
      </c>
      <c r="S1195" s="20">
        <v>0.54500073044915598</v>
      </c>
      <c r="T1195" s="20" t="s">
        <v>60</v>
      </c>
      <c r="U1195" s="20" t="s">
        <v>60</v>
      </c>
      <c r="V1195" s="20"/>
      <c r="W1195" s="20"/>
      <c r="X1195" s="20" t="s">
        <v>60</v>
      </c>
      <c r="Y1195" s="20" t="s">
        <v>412</v>
      </c>
      <c r="Z1195" s="20" t="s">
        <v>60</v>
      </c>
      <c r="AA1195" s="20" t="s">
        <v>491</v>
      </c>
    </row>
    <row r="1196" spans="1:27" x14ac:dyDescent="0.2">
      <c r="A1196" s="1">
        <v>46114</v>
      </c>
      <c r="B1196" s="20" t="s">
        <v>328</v>
      </c>
      <c r="C1196" s="20" t="s">
        <v>23</v>
      </c>
      <c r="D1196" s="20" t="s">
        <v>36</v>
      </c>
      <c r="E1196" s="20" t="s">
        <v>1060</v>
      </c>
      <c r="F1196" s="20" t="s">
        <v>23</v>
      </c>
      <c r="G1196" s="20">
        <v>2</v>
      </c>
      <c r="H1196" s="20">
        <v>3</v>
      </c>
      <c r="I1196" s="13">
        <v>0.6</v>
      </c>
      <c r="J1196" s="20" t="s">
        <v>249</v>
      </c>
      <c r="L1196" s="20" t="s">
        <v>60</v>
      </c>
      <c r="M1196" s="20" t="s">
        <v>60</v>
      </c>
      <c r="N1196" s="20" t="s">
        <v>23</v>
      </c>
      <c r="O1196" s="20">
        <v>2</v>
      </c>
      <c r="P1196" s="20">
        <v>3</v>
      </c>
      <c r="Q1196" s="13">
        <v>0.45813094810441091</v>
      </c>
      <c r="R1196" s="20" t="s">
        <v>249</v>
      </c>
      <c r="S1196" s="20">
        <v>-5.364866201086449E-3</v>
      </c>
      <c r="T1196" s="20" t="s">
        <v>60</v>
      </c>
      <c r="U1196" s="20" t="s">
        <v>60</v>
      </c>
      <c r="V1196" s="20"/>
      <c r="W1196" s="20"/>
      <c r="X1196" s="20" t="s">
        <v>60</v>
      </c>
      <c r="Y1196" s="20" t="s">
        <v>412</v>
      </c>
      <c r="Z1196" s="20" t="s">
        <v>60</v>
      </c>
      <c r="AA1196" s="20" t="s">
        <v>491</v>
      </c>
    </row>
    <row r="1197" spans="1:27" x14ac:dyDescent="0.2">
      <c r="A1197" s="1">
        <v>46114</v>
      </c>
      <c r="B1197" s="20" t="s">
        <v>328</v>
      </c>
      <c r="C1197" s="20" t="s">
        <v>18</v>
      </c>
      <c r="D1197" s="20" t="s">
        <v>15</v>
      </c>
      <c r="E1197" s="20" t="s">
        <v>993</v>
      </c>
      <c r="F1197" s="20" t="s">
        <v>15</v>
      </c>
      <c r="G1197" s="20">
        <v>2</v>
      </c>
      <c r="H1197" s="20">
        <v>3</v>
      </c>
      <c r="I1197" s="13">
        <v>0.6</v>
      </c>
      <c r="J1197" s="20" t="s">
        <v>249</v>
      </c>
      <c r="L1197" s="20" t="s">
        <v>60</v>
      </c>
      <c r="M1197" s="20" t="s">
        <v>60</v>
      </c>
      <c r="N1197" s="20" t="s">
        <v>15</v>
      </c>
      <c r="O1197" s="20">
        <v>2</v>
      </c>
      <c r="P1197" s="20">
        <v>3</v>
      </c>
      <c r="Q1197" s="13">
        <v>0.52190168133413184</v>
      </c>
      <c r="R1197" s="20" t="s">
        <v>249</v>
      </c>
      <c r="S1197" s="20">
        <v>0.35275639271304499</v>
      </c>
      <c r="T1197" s="20" t="s">
        <v>60</v>
      </c>
      <c r="U1197" s="20" t="s">
        <v>60</v>
      </c>
      <c r="V1197" s="20"/>
      <c r="W1197" s="20"/>
      <c r="X1197" s="20" t="s">
        <v>60</v>
      </c>
      <c r="Y1197" s="20" t="s">
        <v>412</v>
      </c>
      <c r="Z1197" s="20" t="s">
        <v>60</v>
      </c>
      <c r="AA1197" s="20" t="s">
        <v>491</v>
      </c>
    </row>
    <row r="1198" spans="1:27" x14ac:dyDescent="0.2">
      <c r="A1198" s="1">
        <v>46114</v>
      </c>
      <c r="B1198" s="20" t="s">
        <v>328</v>
      </c>
      <c r="C1198" s="20" t="s">
        <v>14</v>
      </c>
      <c r="D1198" s="20" t="s">
        <v>37</v>
      </c>
      <c r="E1198" s="20" t="s">
        <v>935</v>
      </c>
      <c r="F1198" s="20" t="s">
        <v>37</v>
      </c>
      <c r="G1198" s="20">
        <v>2</v>
      </c>
      <c r="H1198" s="20">
        <v>3</v>
      </c>
      <c r="I1198" s="13">
        <v>0.6</v>
      </c>
      <c r="J1198" s="20" t="s">
        <v>249</v>
      </c>
      <c r="L1198" s="20" t="s">
        <v>60</v>
      </c>
      <c r="M1198" s="20" t="s">
        <v>60</v>
      </c>
      <c r="N1198" s="20" t="s">
        <v>37</v>
      </c>
      <c r="O1198" s="20">
        <v>2</v>
      </c>
      <c r="P1198" s="20">
        <v>3</v>
      </c>
      <c r="Q1198" s="13">
        <v>0.61538041683836375</v>
      </c>
      <c r="R1198" s="20" t="s">
        <v>249</v>
      </c>
      <c r="S1198" s="20">
        <v>0.70266991723525674</v>
      </c>
      <c r="T1198" s="20" t="s">
        <v>60</v>
      </c>
      <c r="U1198" s="20" t="s">
        <v>60</v>
      </c>
      <c r="V1198" s="20"/>
      <c r="W1198" s="20"/>
      <c r="X1198" s="20" t="s">
        <v>60</v>
      </c>
      <c r="Y1198" s="20" t="s">
        <v>412</v>
      </c>
      <c r="Z1198" s="20" t="s">
        <v>60</v>
      </c>
      <c r="AA1198" s="20" t="s">
        <v>491</v>
      </c>
    </row>
    <row r="1199" spans="1:27" x14ac:dyDescent="0.2">
      <c r="A1199" s="1">
        <v>46114</v>
      </c>
      <c r="B1199" s="20" t="s">
        <v>324</v>
      </c>
      <c r="C1199" s="20" t="s">
        <v>38</v>
      </c>
      <c r="D1199" s="20" t="s">
        <v>34</v>
      </c>
      <c r="E1199" s="20" t="s">
        <v>756</v>
      </c>
      <c r="F1199" s="20" t="s">
        <v>34</v>
      </c>
      <c r="G1199" s="20">
        <v>2</v>
      </c>
      <c r="H1199" s="20">
        <v>3</v>
      </c>
      <c r="I1199" s="13">
        <v>0.6</v>
      </c>
      <c r="J1199" s="20" t="s">
        <v>249</v>
      </c>
      <c r="L1199" s="20" t="s">
        <v>60</v>
      </c>
      <c r="M1199" s="20" t="s">
        <v>60</v>
      </c>
      <c r="N1199" s="20" t="s">
        <v>34</v>
      </c>
      <c r="O1199" s="20">
        <v>2</v>
      </c>
      <c r="P1199" s="20">
        <v>3</v>
      </c>
      <c r="Q1199" s="13">
        <v>0.6464692220949555</v>
      </c>
      <c r="R1199" s="20" t="s">
        <v>249</v>
      </c>
      <c r="S1199" s="20">
        <v>0.94245371658448773</v>
      </c>
      <c r="T1199" s="20" t="s">
        <v>60</v>
      </c>
      <c r="U1199" s="20" t="s">
        <v>60</v>
      </c>
      <c r="V1199" s="20"/>
      <c r="W1199" s="20"/>
      <c r="X1199" s="20" t="s">
        <v>60</v>
      </c>
      <c r="Y1199" s="20" t="s">
        <v>412</v>
      </c>
      <c r="Z1199" s="20" t="s">
        <v>60</v>
      </c>
      <c r="AA1199" s="20" t="s">
        <v>491</v>
      </c>
    </row>
    <row r="1200" spans="1:27" x14ac:dyDescent="0.2">
      <c r="A1200" s="1">
        <v>46114</v>
      </c>
      <c r="B1200" s="20" t="s">
        <v>340</v>
      </c>
      <c r="C1200" s="20" t="s">
        <v>29</v>
      </c>
      <c r="D1200" s="20" t="s">
        <v>13</v>
      </c>
      <c r="E1200" s="20" t="s">
        <v>1482</v>
      </c>
      <c r="F1200" s="20" t="s">
        <v>13</v>
      </c>
      <c r="G1200" s="20">
        <v>2</v>
      </c>
      <c r="H1200" s="20">
        <v>3</v>
      </c>
      <c r="I1200" s="13">
        <v>0.6</v>
      </c>
      <c r="J1200" s="20" t="s">
        <v>249</v>
      </c>
      <c r="L1200" s="20" t="s">
        <v>60</v>
      </c>
      <c r="M1200" s="20" t="s">
        <v>60</v>
      </c>
      <c r="N1200" s="20" t="s">
        <v>13</v>
      </c>
      <c r="O1200" s="20">
        <v>2</v>
      </c>
      <c r="P1200" s="20">
        <v>3</v>
      </c>
      <c r="Q1200" s="13">
        <v>0.6680365788692405</v>
      </c>
      <c r="R1200" s="20" t="s">
        <v>249</v>
      </c>
      <c r="S1200" s="20">
        <v>1.0965344340560099</v>
      </c>
      <c r="T1200" s="20" t="s">
        <v>60</v>
      </c>
      <c r="U1200" s="20" t="s">
        <v>60</v>
      </c>
      <c r="V1200" s="20"/>
      <c r="W1200" s="20"/>
      <c r="X1200" s="20" t="s">
        <v>60</v>
      </c>
      <c r="Y1200" s="20" t="s">
        <v>412</v>
      </c>
      <c r="Z1200" s="20" t="s">
        <v>60</v>
      </c>
      <c r="AA1200" s="20" t="s">
        <v>491</v>
      </c>
    </row>
    <row r="1201" spans="1:27" x14ac:dyDescent="0.2">
      <c r="A1201" s="1">
        <v>46114</v>
      </c>
      <c r="B1201" s="20" t="s">
        <v>328</v>
      </c>
      <c r="C1201" s="20" t="s">
        <v>21</v>
      </c>
      <c r="D1201" s="20" t="s">
        <v>11</v>
      </c>
      <c r="E1201" s="20" t="s">
        <v>1309</v>
      </c>
      <c r="F1201" s="20" t="s">
        <v>21</v>
      </c>
      <c r="G1201" s="20">
        <v>2</v>
      </c>
      <c r="H1201" s="20">
        <v>3</v>
      </c>
      <c r="I1201" s="13">
        <v>0.6</v>
      </c>
      <c r="J1201" s="20" t="s">
        <v>249</v>
      </c>
      <c r="L1201" s="20" t="s">
        <v>60</v>
      </c>
      <c r="M1201" s="20" t="s">
        <v>60</v>
      </c>
      <c r="N1201" s="20" t="s">
        <v>21</v>
      </c>
      <c r="O1201" s="20">
        <v>2</v>
      </c>
      <c r="P1201" s="20">
        <v>3</v>
      </c>
      <c r="Q1201" s="13">
        <v>0.46168992014598992</v>
      </c>
      <c r="R1201" s="20" t="s">
        <v>249</v>
      </c>
      <c r="S1201" s="20">
        <v>-0.1274477816932125</v>
      </c>
      <c r="T1201" s="20" t="s">
        <v>60</v>
      </c>
      <c r="U1201" s="20" t="s">
        <v>60</v>
      </c>
      <c r="V1201" s="20"/>
      <c r="W1201" s="20"/>
      <c r="X1201" s="20" t="s">
        <v>60</v>
      </c>
      <c r="Y1201" s="20" t="s">
        <v>412</v>
      </c>
      <c r="Z1201" s="20" t="s">
        <v>60</v>
      </c>
      <c r="AA1201" s="20" t="s">
        <v>491</v>
      </c>
    </row>
    <row r="1202" spans="1:27" x14ac:dyDescent="0.2">
      <c r="A1202" s="1">
        <v>46114</v>
      </c>
      <c r="B1202" s="20" t="s">
        <v>326</v>
      </c>
      <c r="C1202" s="20" t="s">
        <v>10</v>
      </c>
      <c r="D1202" s="20" t="s">
        <v>17</v>
      </c>
      <c r="E1202" s="20" t="s">
        <v>751</v>
      </c>
      <c r="F1202" s="20" t="s">
        <v>10</v>
      </c>
      <c r="G1202" s="20">
        <v>2</v>
      </c>
      <c r="H1202" s="20">
        <v>3</v>
      </c>
      <c r="I1202" s="13">
        <v>0.6</v>
      </c>
      <c r="J1202" s="20" t="s">
        <v>249</v>
      </c>
      <c r="L1202" s="20" t="s">
        <v>60</v>
      </c>
      <c r="M1202" s="20" t="s">
        <v>60</v>
      </c>
      <c r="N1202" s="20" t="s">
        <v>10</v>
      </c>
      <c r="O1202" s="20">
        <v>2</v>
      </c>
      <c r="P1202" s="20">
        <v>3</v>
      </c>
      <c r="Q1202" s="13">
        <v>0.52203787808599023</v>
      </c>
      <c r="R1202" s="20" t="s">
        <v>249</v>
      </c>
      <c r="S1202" s="20">
        <v>-0.59164966013004561</v>
      </c>
      <c r="T1202" s="20" t="s">
        <v>60</v>
      </c>
      <c r="U1202" s="20" t="s">
        <v>60</v>
      </c>
      <c r="V1202" s="20"/>
      <c r="W1202" s="20"/>
      <c r="X1202" s="20" t="s">
        <v>60</v>
      </c>
      <c r="Y1202" s="20" t="s">
        <v>412</v>
      </c>
      <c r="Z1202" s="20" t="s">
        <v>60</v>
      </c>
      <c r="AA1202" s="20" t="s">
        <v>491</v>
      </c>
    </row>
    <row r="1203" spans="1:27" x14ac:dyDescent="0.2">
      <c r="A1203" s="1">
        <v>46114</v>
      </c>
      <c r="B1203" s="20" t="s">
        <v>324</v>
      </c>
      <c r="C1203" s="20" t="s">
        <v>40</v>
      </c>
      <c r="D1203" s="20" t="s">
        <v>39</v>
      </c>
      <c r="E1203" s="20" t="s">
        <v>1295</v>
      </c>
      <c r="F1203" s="20" t="s">
        <v>39</v>
      </c>
      <c r="G1203" s="20">
        <v>2</v>
      </c>
      <c r="H1203" s="20">
        <v>3</v>
      </c>
      <c r="I1203" s="13">
        <v>0.6</v>
      </c>
      <c r="J1203" s="20" t="s">
        <v>249</v>
      </c>
      <c r="L1203" s="20" t="s">
        <v>60</v>
      </c>
      <c r="M1203" s="20" t="s">
        <v>60</v>
      </c>
      <c r="N1203" s="20" t="s">
        <v>39</v>
      </c>
      <c r="O1203" s="20">
        <v>2</v>
      </c>
      <c r="P1203" s="20">
        <v>3</v>
      </c>
      <c r="Q1203" s="13">
        <v>0.6424019069637168</v>
      </c>
      <c r="R1203" s="20" t="s">
        <v>249</v>
      </c>
      <c r="S1203" s="20">
        <v>0.77658507456107384</v>
      </c>
      <c r="T1203" s="20" t="s">
        <v>60</v>
      </c>
      <c r="U1203" s="20" t="s">
        <v>60</v>
      </c>
      <c r="V1203" s="20"/>
      <c r="W1203" s="20"/>
      <c r="X1203" s="20" t="s">
        <v>60</v>
      </c>
      <c r="Y1203" s="20" t="s">
        <v>412</v>
      </c>
      <c r="Z1203" s="20" t="s">
        <v>60</v>
      </c>
      <c r="AA1203" s="20" t="s">
        <v>491</v>
      </c>
    </row>
    <row r="1204" spans="1:27" x14ac:dyDescent="0.2">
      <c r="A1204" s="1">
        <v>46114</v>
      </c>
      <c r="B1204" s="20" t="s">
        <v>328</v>
      </c>
      <c r="C1204" s="20" t="s">
        <v>28</v>
      </c>
      <c r="D1204" s="20" t="s">
        <v>25</v>
      </c>
      <c r="E1204" s="20" t="s">
        <v>969</v>
      </c>
      <c r="F1204" s="20" t="s">
        <v>25</v>
      </c>
      <c r="G1204" s="20">
        <v>2</v>
      </c>
      <c r="H1204" s="20">
        <v>3</v>
      </c>
      <c r="I1204" s="13">
        <v>0.6</v>
      </c>
      <c r="J1204" s="20" t="s">
        <v>249</v>
      </c>
      <c r="L1204" s="20" t="s">
        <v>60</v>
      </c>
      <c r="M1204" s="20" t="s">
        <v>60</v>
      </c>
      <c r="N1204" s="20" t="s">
        <v>25</v>
      </c>
      <c r="O1204" s="20">
        <v>2</v>
      </c>
      <c r="P1204" s="20">
        <v>3</v>
      </c>
      <c r="Q1204" s="13">
        <v>0.71323959221145916</v>
      </c>
      <c r="R1204" s="20" t="s">
        <v>249</v>
      </c>
      <c r="S1204" s="20">
        <v>1.0705652906022549</v>
      </c>
      <c r="T1204" s="20" t="s">
        <v>60</v>
      </c>
      <c r="U1204" s="20" t="s">
        <v>60</v>
      </c>
      <c r="V1204" s="20"/>
      <c r="W1204" s="20"/>
      <c r="X1204" s="20" t="s">
        <v>60</v>
      </c>
      <c r="Y1204" s="20" t="s">
        <v>412</v>
      </c>
      <c r="Z1204" s="20" t="s">
        <v>60</v>
      </c>
      <c r="AA1204" s="20" t="s">
        <v>491</v>
      </c>
    </row>
    <row r="1205" spans="1:27" x14ac:dyDescent="0.2">
      <c r="A1205" s="1">
        <v>46114</v>
      </c>
      <c r="B1205" s="20" t="s">
        <v>334</v>
      </c>
      <c r="C1205" s="20" t="s">
        <v>22</v>
      </c>
      <c r="D1205" s="20" t="s">
        <v>24</v>
      </c>
      <c r="E1205" s="20" t="s">
        <v>1075</v>
      </c>
      <c r="F1205" s="20" t="s">
        <v>22</v>
      </c>
      <c r="G1205" s="20">
        <v>2</v>
      </c>
      <c r="H1205" s="20">
        <v>3</v>
      </c>
      <c r="I1205" s="13">
        <v>0.6</v>
      </c>
      <c r="J1205" s="20" t="s">
        <v>249</v>
      </c>
      <c r="L1205" s="20" t="s">
        <v>60</v>
      </c>
      <c r="M1205" s="20" t="s">
        <v>60</v>
      </c>
      <c r="N1205" s="20" t="s">
        <v>22</v>
      </c>
      <c r="O1205" s="20">
        <v>2</v>
      </c>
      <c r="P1205" s="20">
        <v>3</v>
      </c>
      <c r="Q1205" s="13">
        <v>0.46650637710823029</v>
      </c>
      <c r="R1205" s="20" t="s">
        <v>249</v>
      </c>
      <c r="S1205" s="20">
        <v>-0.38927623316599019</v>
      </c>
      <c r="T1205" s="20" t="s">
        <v>60</v>
      </c>
      <c r="U1205" s="20" t="s">
        <v>60</v>
      </c>
      <c r="V1205" s="20"/>
      <c r="W1205" s="20"/>
      <c r="X1205" s="20" t="s">
        <v>60</v>
      </c>
      <c r="Y1205" s="20" t="s">
        <v>412</v>
      </c>
      <c r="Z1205" s="20" t="s">
        <v>60</v>
      </c>
      <c r="AA1205" s="20" t="s">
        <v>491</v>
      </c>
    </row>
    <row r="1206" spans="1:27" x14ac:dyDescent="0.2">
      <c r="A1206" s="1">
        <v>46115</v>
      </c>
      <c r="B1206" s="20" t="s">
        <v>322</v>
      </c>
      <c r="C1206" s="20" t="s">
        <v>35</v>
      </c>
      <c r="D1206" s="20" t="s">
        <v>31</v>
      </c>
      <c r="E1206" s="20" t="s">
        <v>1373</v>
      </c>
      <c r="F1206" s="20" t="s">
        <v>31</v>
      </c>
      <c r="G1206" s="20">
        <v>2</v>
      </c>
      <c r="H1206" s="20">
        <v>3</v>
      </c>
      <c r="I1206" s="13">
        <v>0.6</v>
      </c>
      <c r="J1206" s="20" t="s">
        <v>249</v>
      </c>
      <c r="L1206" s="20" t="s">
        <v>60</v>
      </c>
      <c r="M1206" s="20" t="s">
        <v>60</v>
      </c>
      <c r="N1206" s="20" t="s">
        <v>31</v>
      </c>
      <c r="O1206" s="20">
        <v>2</v>
      </c>
      <c r="P1206" s="20">
        <v>3</v>
      </c>
      <c r="Q1206" s="13">
        <v>0.80935350588794874</v>
      </c>
      <c r="R1206" s="20" t="s">
        <v>249</v>
      </c>
      <c r="S1206" s="20">
        <v>1.6230821427101509</v>
      </c>
      <c r="T1206" s="20" t="s">
        <v>60</v>
      </c>
      <c r="U1206" s="20" t="s">
        <v>60</v>
      </c>
      <c r="V1206" s="20"/>
      <c r="W1206" s="20"/>
      <c r="X1206" s="20" t="s">
        <v>60</v>
      </c>
      <c r="Y1206" s="20" t="s">
        <v>412</v>
      </c>
      <c r="Z1206" s="20" t="s">
        <v>60</v>
      </c>
      <c r="AA1206" s="20" t="s">
        <v>491</v>
      </c>
    </row>
    <row r="1207" spans="1:27" x14ac:dyDescent="0.2">
      <c r="A1207" s="1">
        <v>46115</v>
      </c>
      <c r="B1207" s="20" t="s">
        <v>328</v>
      </c>
      <c r="C1207" s="20" t="s">
        <v>27</v>
      </c>
      <c r="D1207" s="20" t="s">
        <v>30</v>
      </c>
      <c r="E1207" s="20" t="s">
        <v>443</v>
      </c>
      <c r="F1207" s="20" t="s">
        <v>30</v>
      </c>
      <c r="G1207" s="20">
        <v>2</v>
      </c>
      <c r="H1207" s="20">
        <v>3</v>
      </c>
      <c r="I1207" s="13">
        <v>0.6</v>
      </c>
      <c r="J1207" s="20" t="s">
        <v>249</v>
      </c>
      <c r="L1207" s="20" t="s">
        <v>60</v>
      </c>
      <c r="M1207" s="20" t="s">
        <v>60</v>
      </c>
      <c r="N1207" s="20" t="s">
        <v>30</v>
      </c>
      <c r="O1207" s="20">
        <v>2</v>
      </c>
      <c r="P1207" s="20">
        <v>3</v>
      </c>
      <c r="Q1207" s="13">
        <v>0.51958030281151568</v>
      </c>
      <c r="R1207" s="20" t="s">
        <v>249</v>
      </c>
      <c r="S1207" s="20">
        <v>0.18920833498814579</v>
      </c>
      <c r="T1207" s="20" t="s">
        <v>60</v>
      </c>
      <c r="U1207" s="20" t="s">
        <v>60</v>
      </c>
      <c r="V1207" s="20"/>
      <c r="W1207" s="20"/>
      <c r="X1207" s="20" t="s">
        <v>60</v>
      </c>
      <c r="Y1207" s="20" t="s">
        <v>412</v>
      </c>
      <c r="Z1207" s="20" t="s">
        <v>60</v>
      </c>
      <c r="AA1207" s="20" t="s">
        <v>491</v>
      </c>
    </row>
    <row r="1208" spans="1:27" x14ac:dyDescent="0.2">
      <c r="A1208" s="1">
        <v>46116</v>
      </c>
      <c r="B1208" s="20" t="s">
        <v>328</v>
      </c>
      <c r="C1208" s="20" t="s">
        <v>23</v>
      </c>
      <c r="D1208" s="20" t="s">
        <v>22</v>
      </c>
      <c r="E1208" s="20" t="s">
        <v>1483</v>
      </c>
      <c r="F1208" s="20" t="s">
        <v>22</v>
      </c>
      <c r="G1208" s="20">
        <v>2</v>
      </c>
      <c r="H1208" s="20">
        <v>3</v>
      </c>
      <c r="I1208" s="13">
        <v>0.6</v>
      </c>
      <c r="J1208" s="20" t="s">
        <v>249</v>
      </c>
      <c r="L1208" s="20" t="s">
        <v>60</v>
      </c>
      <c r="M1208" s="20" t="s">
        <v>60</v>
      </c>
      <c r="N1208" s="20" t="s">
        <v>22</v>
      </c>
      <c r="O1208" s="20">
        <v>2</v>
      </c>
      <c r="P1208" s="20">
        <v>3</v>
      </c>
      <c r="Q1208" s="13">
        <v>0.67891637883976597</v>
      </c>
      <c r="R1208" s="20" t="s">
        <v>249</v>
      </c>
      <c r="S1208" s="20">
        <v>0.96671841751750909</v>
      </c>
      <c r="T1208" s="20" t="s">
        <v>60</v>
      </c>
      <c r="U1208" s="20" t="s">
        <v>60</v>
      </c>
      <c r="V1208" s="20"/>
      <c r="W1208" s="20"/>
      <c r="X1208" s="20" t="s">
        <v>60</v>
      </c>
      <c r="Y1208" s="20" t="s">
        <v>412</v>
      </c>
      <c r="Z1208" s="20" t="s">
        <v>60</v>
      </c>
      <c r="AA1208" s="20" t="s">
        <v>491</v>
      </c>
    </row>
    <row r="1209" spans="1:27" x14ac:dyDescent="0.2">
      <c r="A1209" s="1">
        <v>46116</v>
      </c>
      <c r="B1209" s="20" t="s">
        <v>328</v>
      </c>
      <c r="C1209" s="20" t="s">
        <v>55</v>
      </c>
      <c r="D1209" s="20" t="s">
        <v>38</v>
      </c>
      <c r="E1209" s="20" t="s">
        <v>936</v>
      </c>
      <c r="F1209" s="20" t="s">
        <v>55</v>
      </c>
      <c r="G1209" s="20">
        <v>2</v>
      </c>
      <c r="H1209" s="20">
        <v>3</v>
      </c>
      <c r="I1209" s="13">
        <v>0.6</v>
      </c>
      <c r="J1209" s="20" t="s">
        <v>249</v>
      </c>
      <c r="L1209" s="20" t="s">
        <v>60</v>
      </c>
      <c r="M1209" s="20" t="s">
        <v>60</v>
      </c>
      <c r="N1209" s="20" t="s">
        <v>55</v>
      </c>
      <c r="O1209" s="20">
        <v>2</v>
      </c>
      <c r="P1209" s="20">
        <v>3</v>
      </c>
      <c r="Q1209" s="13">
        <v>0.51775812204700111</v>
      </c>
      <c r="R1209" s="20" t="s">
        <v>249</v>
      </c>
      <c r="S1209" s="20">
        <v>-0.49465371716645917</v>
      </c>
      <c r="T1209" s="20" t="s">
        <v>60</v>
      </c>
      <c r="U1209" s="20" t="s">
        <v>60</v>
      </c>
      <c r="V1209" s="20"/>
      <c r="W1209" s="20"/>
      <c r="X1209" s="20" t="s">
        <v>60</v>
      </c>
      <c r="Y1209" s="20" t="s">
        <v>412</v>
      </c>
      <c r="Z1209" s="20" t="s">
        <v>60</v>
      </c>
      <c r="AA1209" s="20" t="s">
        <v>491</v>
      </c>
    </row>
    <row r="1210" spans="1:27" x14ac:dyDescent="0.2">
      <c r="A1210" s="1">
        <v>46116</v>
      </c>
      <c r="B1210" s="20" t="s">
        <v>365</v>
      </c>
      <c r="C1210" s="20" t="s">
        <v>21</v>
      </c>
      <c r="D1210" s="20" t="s">
        <v>37</v>
      </c>
      <c r="E1210" s="20" t="s">
        <v>1289</v>
      </c>
      <c r="F1210" s="20" t="s">
        <v>37</v>
      </c>
      <c r="G1210" s="20">
        <v>2</v>
      </c>
      <c r="H1210" s="20">
        <v>3</v>
      </c>
      <c r="I1210" s="13">
        <v>0.6</v>
      </c>
      <c r="J1210" s="20" t="s">
        <v>249</v>
      </c>
      <c r="L1210" s="20" t="s">
        <v>60</v>
      </c>
      <c r="M1210" s="20" t="s">
        <v>60</v>
      </c>
      <c r="N1210" s="20" t="s">
        <v>37</v>
      </c>
      <c r="O1210" s="20">
        <v>2</v>
      </c>
      <c r="P1210" s="20">
        <v>3</v>
      </c>
      <c r="Q1210" s="13">
        <v>0.66252557049821614</v>
      </c>
      <c r="R1210" s="20" t="s">
        <v>249</v>
      </c>
      <c r="S1210" s="20">
        <v>0.78017545611749828</v>
      </c>
      <c r="T1210" s="20" t="s">
        <v>60</v>
      </c>
      <c r="U1210" s="20" t="s">
        <v>60</v>
      </c>
      <c r="V1210" s="20"/>
      <c r="W1210" s="20"/>
      <c r="X1210" s="20" t="s">
        <v>60</v>
      </c>
      <c r="Y1210" s="20" t="s">
        <v>412</v>
      </c>
      <c r="Z1210" s="20" t="s">
        <v>60</v>
      </c>
      <c r="AA1210" s="20" t="s">
        <v>491</v>
      </c>
    </row>
    <row r="1211" spans="1:27" x14ac:dyDescent="0.2">
      <c r="A1211" s="1">
        <v>46116</v>
      </c>
      <c r="B1211" s="20" t="s">
        <v>322</v>
      </c>
      <c r="C1211" s="20" t="s">
        <v>29</v>
      </c>
      <c r="D1211" s="20" t="s">
        <v>33</v>
      </c>
      <c r="E1211" s="20" t="s">
        <v>1484</v>
      </c>
      <c r="F1211" s="20" t="s">
        <v>33</v>
      </c>
      <c r="G1211" s="20">
        <v>2</v>
      </c>
      <c r="H1211" s="20">
        <v>3</v>
      </c>
      <c r="I1211" s="13">
        <v>0.6</v>
      </c>
      <c r="J1211" s="20" t="s">
        <v>249</v>
      </c>
      <c r="L1211" s="20" t="s">
        <v>60</v>
      </c>
      <c r="M1211" s="20" t="s">
        <v>60</v>
      </c>
      <c r="N1211" s="20" t="s">
        <v>33</v>
      </c>
      <c r="O1211" s="20">
        <v>2</v>
      </c>
      <c r="P1211" s="20">
        <v>3</v>
      </c>
      <c r="Q1211" s="13">
        <v>0.66495887658247987</v>
      </c>
      <c r="R1211" s="20" t="s">
        <v>249</v>
      </c>
      <c r="S1211" s="20">
        <v>0.98348704035098011</v>
      </c>
      <c r="T1211" s="20" t="s">
        <v>60</v>
      </c>
      <c r="U1211" s="20" t="s">
        <v>60</v>
      </c>
      <c r="V1211" s="20"/>
      <c r="W1211" s="20"/>
      <c r="X1211" s="20" t="s">
        <v>60</v>
      </c>
      <c r="Y1211" s="20" t="s">
        <v>412</v>
      </c>
      <c r="Z1211" s="20" t="s">
        <v>60</v>
      </c>
      <c r="AA1211" s="20" t="s">
        <v>491</v>
      </c>
    </row>
    <row r="1212" spans="1:27" x14ac:dyDescent="0.2">
      <c r="A1212" s="1">
        <v>46116</v>
      </c>
      <c r="B1212" s="20" t="s">
        <v>322</v>
      </c>
      <c r="C1212" s="20" t="s">
        <v>10</v>
      </c>
      <c r="D1212" s="20" t="s">
        <v>32</v>
      </c>
      <c r="E1212" s="20" t="s">
        <v>775</v>
      </c>
      <c r="F1212" s="20" t="s">
        <v>10</v>
      </c>
      <c r="G1212" s="20">
        <v>2</v>
      </c>
      <c r="H1212" s="20">
        <v>3</v>
      </c>
      <c r="I1212" s="13">
        <v>0.6</v>
      </c>
      <c r="J1212" s="20" t="s">
        <v>249</v>
      </c>
      <c r="L1212" s="20" t="s">
        <v>60</v>
      </c>
      <c r="M1212" s="20" t="s">
        <v>60</v>
      </c>
      <c r="N1212" s="20" t="s">
        <v>10</v>
      </c>
      <c r="O1212" s="20">
        <v>2</v>
      </c>
      <c r="P1212" s="20">
        <v>3</v>
      </c>
      <c r="Q1212" s="13">
        <v>0.50942421415951489</v>
      </c>
      <c r="R1212" s="20" t="s">
        <v>249</v>
      </c>
      <c r="S1212" s="20">
        <v>-0.42328023117061392</v>
      </c>
      <c r="T1212" s="20" t="s">
        <v>60</v>
      </c>
      <c r="U1212" s="20" t="s">
        <v>60</v>
      </c>
      <c r="V1212" s="20"/>
      <c r="W1212" s="20"/>
      <c r="X1212" s="20" t="s">
        <v>60</v>
      </c>
      <c r="Y1212" s="20" t="s">
        <v>412</v>
      </c>
      <c r="Z1212" s="20" t="s">
        <v>60</v>
      </c>
      <c r="AA1212" s="20" t="s">
        <v>491</v>
      </c>
    </row>
    <row r="1213" spans="1:27" x14ac:dyDescent="0.2">
      <c r="A1213" s="1">
        <v>46116</v>
      </c>
      <c r="B1213" s="20" t="s">
        <v>365</v>
      </c>
      <c r="C1213" s="20" t="s">
        <v>11</v>
      </c>
      <c r="D1213" s="20" t="s">
        <v>14</v>
      </c>
      <c r="E1213" s="20" t="s">
        <v>1485</v>
      </c>
      <c r="F1213" s="20" t="s">
        <v>14</v>
      </c>
      <c r="G1213" s="20">
        <v>2</v>
      </c>
      <c r="H1213" s="20">
        <v>3</v>
      </c>
      <c r="I1213" s="13">
        <v>0.6</v>
      </c>
      <c r="J1213" s="20" t="s">
        <v>249</v>
      </c>
      <c r="L1213" s="20" t="s">
        <v>60</v>
      </c>
      <c r="M1213" s="20" t="s">
        <v>60</v>
      </c>
      <c r="N1213" s="20" t="s">
        <v>14</v>
      </c>
      <c r="O1213" s="20">
        <v>2</v>
      </c>
      <c r="P1213" s="20">
        <v>3</v>
      </c>
      <c r="Q1213" s="13">
        <v>0.57558462291084611</v>
      </c>
      <c r="R1213" s="20" t="s">
        <v>249</v>
      </c>
      <c r="S1213" s="20">
        <v>0.30475481842177898</v>
      </c>
      <c r="T1213" s="20" t="s">
        <v>60</v>
      </c>
      <c r="U1213" s="20" t="s">
        <v>60</v>
      </c>
      <c r="V1213" s="20"/>
      <c r="W1213" s="20"/>
      <c r="X1213" s="20" t="s">
        <v>60</v>
      </c>
      <c r="Y1213" s="20" t="s">
        <v>412</v>
      </c>
      <c r="Z1213" s="20" t="s">
        <v>60</v>
      </c>
      <c r="AA1213" s="20" t="s">
        <v>491</v>
      </c>
    </row>
    <row r="1214" spans="1:27" x14ac:dyDescent="0.2">
      <c r="A1214" s="1">
        <v>46116</v>
      </c>
      <c r="B1214" s="20" t="s">
        <v>347</v>
      </c>
      <c r="C1214" s="20" t="s">
        <v>34</v>
      </c>
      <c r="D1214" s="20" t="s">
        <v>36</v>
      </c>
      <c r="E1214" s="20" t="s">
        <v>1486</v>
      </c>
      <c r="F1214" s="20" t="s">
        <v>34</v>
      </c>
      <c r="G1214" s="20">
        <v>2</v>
      </c>
      <c r="H1214" s="20">
        <v>3</v>
      </c>
      <c r="I1214" s="13">
        <v>0.6</v>
      </c>
      <c r="J1214" s="20" t="s">
        <v>249</v>
      </c>
      <c r="L1214" s="20" t="s">
        <v>60</v>
      </c>
      <c r="M1214" s="20" t="s">
        <v>60</v>
      </c>
      <c r="N1214" s="20" t="s">
        <v>34</v>
      </c>
      <c r="O1214" s="20">
        <v>2</v>
      </c>
      <c r="P1214" s="20">
        <v>3</v>
      </c>
      <c r="Q1214" s="13">
        <v>0.54978271505145748</v>
      </c>
      <c r="R1214" s="20" t="s">
        <v>249</v>
      </c>
      <c r="S1214" s="20">
        <v>-0.4263505144921973</v>
      </c>
      <c r="T1214" s="20" t="s">
        <v>60</v>
      </c>
      <c r="U1214" s="20" t="s">
        <v>60</v>
      </c>
      <c r="V1214" s="20"/>
      <c r="W1214" s="20"/>
      <c r="X1214" s="20" t="s">
        <v>60</v>
      </c>
      <c r="Y1214" s="20" t="s">
        <v>412</v>
      </c>
      <c r="Z1214" s="20" t="s">
        <v>60</v>
      </c>
      <c r="AA1214" s="20" t="s">
        <v>491</v>
      </c>
    </row>
    <row r="1215" spans="1:27" x14ac:dyDescent="0.2">
      <c r="A1215" s="1">
        <v>46116</v>
      </c>
      <c r="B1215" s="20" t="s">
        <v>322</v>
      </c>
      <c r="C1215" s="20" t="s">
        <v>20</v>
      </c>
      <c r="D1215" s="20" t="s">
        <v>17</v>
      </c>
      <c r="E1215" s="20" t="s">
        <v>1052</v>
      </c>
      <c r="F1215" s="20" t="s">
        <v>20</v>
      </c>
      <c r="G1215" s="20">
        <v>2</v>
      </c>
      <c r="H1215" s="20">
        <v>3</v>
      </c>
      <c r="I1215" s="13">
        <v>0.6</v>
      </c>
      <c r="J1215" s="20" t="s">
        <v>249</v>
      </c>
      <c r="L1215" s="20" t="s">
        <v>60</v>
      </c>
      <c r="M1215" s="20" t="s">
        <v>60</v>
      </c>
      <c r="N1215" s="20" t="s">
        <v>20</v>
      </c>
      <c r="O1215" s="20">
        <v>2</v>
      </c>
      <c r="P1215" s="20">
        <v>3</v>
      </c>
      <c r="Q1215" s="13">
        <v>0.5140693167207816</v>
      </c>
      <c r="R1215" s="20" t="s">
        <v>249</v>
      </c>
      <c r="S1215" s="20">
        <v>-0.52340508499372285</v>
      </c>
      <c r="T1215" s="20" t="s">
        <v>60</v>
      </c>
      <c r="U1215" s="20" t="s">
        <v>60</v>
      </c>
      <c r="V1215" s="20"/>
      <c r="W1215" s="20"/>
      <c r="X1215" s="20" t="s">
        <v>60</v>
      </c>
      <c r="Y1215" s="20" t="s">
        <v>412</v>
      </c>
      <c r="Z1215" s="20" t="s">
        <v>60</v>
      </c>
      <c r="AA1215" s="20" t="s">
        <v>491</v>
      </c>
    </row>
    <row r="1216" spans="1:27" x14ac:dyDescent="0.2">
      <c r="A1216" s="1">
        <v>46116</v>
      </c>
      <c r="B1216" s="20" t="s">
        <v>328</v>
      </c>
      <c r="C1216" s="20" t="s">
        <v>18</v>
      </c>
      <c r="D1216" s="20" t="s">
        <v>24</v>
      </c>
      <c r="E1216" s="20" t="s">
        <v>801</v>
      </c>
      <c r="F1216" s="20" t="s">
        <v>24</v>
      </c>
      <c r="G1216" s="20">
        <v>2</v>
      </c>
      <c r="H1216" s="20">
        <v>3</v>
      </c>
      <c r="I1216" s="13">
        <v>0.6</v>
      </c>
      <c r="J1216" s="20" t="s">
        <v>249</v>
      </c>
      <c r="L1216" s="20" t="s">
        <v>60</v>
      </c>
      <c r="M1216" s="20" t="s">
        <v>60</v>
      </c>
      <c r="N1216" s="20" t="s">
        <v>24</v>
      </c>
      <c r="O1216" s="20">
        <v>2</v>
      </c>
      <c r="P1216" s="20">
        <v>3</v>
      </c>
      <c r="Q1216" s="13">
        <v>0.63773394280828299</v>
      </c>
      <c r="R1216" s="20" t="s">
        <v>249</v>
      </c>
      <c r="S1216" s="20">
        <v>0.64432062796159195</v>
      </c>
      <c r="T1216" s="20" t="s">
        <v>60</v>
      </c>
      <c r="U1216" s="20" t="s">
        <v>60</v>
      </c>
      <c r="V1216" s="20"/>
      <c r="W1216" s="20"/>
      <c r="X1216" s="20" t="s">
        <v>60</v>
      </c>
      <c r="Y1216" s="20" t="s">
        <v>412</v>
      </c>
      <c r="Z1216" s="20" t="s">
        <v>60</v>
      </c>
      <c r="AA1216" s="20" t="s">
        <v>491</v>
      </c>
    </row>
    <row r="1217" spans="1:27" x14ac:dyDescent="0.2">
      <c r="A1217" s="1">
        <v>46116</v>
      </c>
      <c r="B1217" s="20" t="s">
        <v>328</v>
      </c>
      <c r="C1217" s="20" t="s">
        <v>19</v>
      </c>
      <c r="D1217" s="20" t="s">
        <v>13</v>
      </c>
      <c r="E1217" s="20" t="s">
        <v>1487</v>
      </c>
      <c r="F1217" s="20" t="s">
        <v>13</v>
      </c>
      <c r="G1217" s="20">
        <v>2</v>
      </c>
      <c r="H1217" s="20">
        <v>3</v>
      </c>
      <c r="I1217" s="13">
        <v>0.6</v>
      </c>
      <c r="J1217" s="20" t="s">
        <v>249</v>
      </c>
      <c r="L1217" s="20" t="s">
        <v>60</v>
      </c>
      <c r="M1217" s="20" t="s">
        <v>60</v>
      </c>
      <c r="N1217" s="20" t="s">
        <v>13</v>
      </c>
      <c r="O1217" s="20">
        <v>2</v>
      </c>
      <c r="P1217" s="20">
        <v>3</v>
      </c>
      <c r="Q1217" s="13">
        <v>0.58041178583628772</v>
      </c>
      <c r="R1217" s="20" t="s">
        <v>249</v>
      </c>
      <c r="S1217" s="20">
        <v>0.34609574156492928</v>
      </c>
      <c r="T1217" s="20" t="s">
        <v>60</v>
      </c>
      <c r="U1217" s="20" t="s">
        <v>60</v>
      </c>
      <c r="V1217" s="20"/>
      <c r="W1217" s="20"/>
      <c r="X1217" s="20" t="s">
        <v>60</v>
      </c>
      <c r="Y1217" s="20" t="s">
        <v>412</v>
      </c>
      <c r="Z1217" s="20" t="s">
        <v>60</v>
      </c>
      <c r="AA1217" s="20" t="s">
        <v>491</v>
      </c>
    </row>
    <row r="1218" spans="1:27" x14ac:dyDescent="0.2">
      <c r="A1218" s="1">
        <v>46116</v>
      </c>
      <c r="B1218" s="20" t="s">
        <v>453</v>
      </c>
      <c r="C1218" s="20" t="s">
        <v>12</v>
      </c>
      <c r="D1218" s="20" t="s">
        <v>39</v>
      </c>
      <c r="E1218" s="20" t="s">
        <v>1356</v>
      </c>
      <c r="F1218" s="20" t="s">
        <v>12</v>
      </c>
      <c r="G1218" s="20">
        <v>2</v>
      </c>
      <c r="H1218" s="20">
        <v>3</v>
      </c>
      <c r="I1218" s="13">
        <v>0.6</v>
      </c>
      <c r="J1218" s="20" t="s">
        <v>249</v>
      </c>
      <c r="L1218" s="20" t="s">
        <v>60</v>
      </c>
      <c r="M1218" s="20" t="s">
        <v>60</v>
      </c>
      <c r="N1218" s="20" t="s">
        <v>12</v>
      </c>
      <c r="O1218" s="20">
        <v>2</v>
      </c>
      <c r="P1218" s="20">
        <v>3</v>
      </c>
      <c r="Q1218" s="13">
        <v>0.63644667431368729</v>
      </c>
      <c r="R1218" s="20" t="s">
        <v>249</v>
      </c>
      <c r="S1218" s="20">
        <v>-1.168560407648694</v>
      </c>
      <c r="T1218" s="20" t="s">
        <v>60</v>
      </c>
      <c r="U1218" s="20" t="s">
        <v>60</v>
      </c>
      <c r="V1218" s="20"/>
      <c r="W1218" s="20"/>
      <c r="X1218" s="20" t="s">
        <v>60</v>
      </c>
      <c r="Y1218" s="20" t="s">
        <v>412</v>
      </c>
      <c r="Z1218" s="20" t="s">
        <v>60</v>
      </c>
      <c r="AA1218" s="20" t="s">
        <v>491</v>
      </c>
    </row>
    <row r="1219" spans="1:27" x14ac:dyDescent="0.2">
      <c r="A1219" s="1">
        <v>46116</v>
      </c>
      <c r="B1219" s="20" t="s">
        <v>328</v>
      </c>
      <c r="C1219" s="20" t="s">
        <v>40</v>
      </c>
      <c r="D1219" s="20" t="s">
        <v>28</v>
      </c>
      <c r="E1219" s="20" t="s">
        <v>1488</v>
      </c>
      <c r="F1219" s="20" t="s">
        <v>40</v>
      </c>
      <c r="G1219" s="20">
        <v>2</v>
      </c>
      <c r="H1219" s="20">
        <v>3</v>
      </c>
      <c r="I1219" s="13">
        <v>0.6</v>
      </c>
      <c r="J1219" s="20" t="s">
        <v>249</v>
      </c>
      <c r="L1219" s="20" t="s">
        <v>60</v>
      </c>
      <c r="M1219" s="20" t="s">
        <v>60</v>
      </c>
      <c r="N1219" s="20" t="s">
        <v>40</v>
      </c>
      <c r="O1219" s="20">
        <v>2</v>
      </c>
      <c r="P1219" s="20">
        <v>3</v>
      </c>
      <c r="Q1219" s="13">
        <v>0.50784077017875306</v>
      </c>
      <c r="R1219" s="20" t="s">
        <v>249</v>
      </c>
      <c r="S1219" s="20">
        <v>-0.23184683164458619</v>
      </c>
      <c r="T1219" s="20" t="s">
        <v>60</v>
      </c>
      <c r="U1219" s="20" t="s">
        <v>60</v>
      </c>
      <c r="V1219" s="20"/>
      <c r="W1219" s="20"/>
      <c r="X1219" s="20" t="s">
        <v>60</v>
      </c>
      <c r="Y1219" s="20" t="s">
        <v>412</v>
      </c>
      <c r="Z1219" s="20" t="s">
        <v>60</v>
      </c>
      <c r="AA1219" s="20" t="s">
        <v>491</v>
      </c>
    </row>
    <row r="1220" spans="1:27" x14ac:dyDescent="0.2">
      <c r="A1220" s="1">
        <v>46116</v>
      </c>
      <c r="B1220" s="20" t="s">
        <v>328</v>
      </c>
      <c r="C1220" s="20" t="s">
        <v>30</v>
      </c>
      <c r="D1220" s="20" t="s">
        <v>25</v>
      </c>
      <c r="E1220" s="20" t="s">
        <v>742</v>
      </c>
      <c r="F1220" s="20" t="s">
        <v>25</v>
      </c>
      <c r="G1220" s="20">
        <v>2</v>
      </c>
      <c r="H1220" s="20">
        <v>3</v>
      </c>
      <c r="I1220" s="13">
        <v>0.6</v>
      </c>
      <c r="J1220" s="20" t="s">
        <v>249</v>
      </c>
      <c r="L1220" s="20" t="s">
        <v>60</v>
      </c>
      <c r="M1220" s="20" t="s">
        <v>60</v>
      </c>
      <c r="N1220" s="20" t="s">
        <v>25</v>
      </c>
      <c r="O1220" s="20">
        <v>2</v>
      </c>
      <c r="P1220" s="20">
        <v>3</v>
      </c>
      <c r="Q1220" s="13">
        <v>0.60366287032278598</v>
      </c>
      <c r="R1220" s="20" t="s">
        <v>249</v>
      </c>
      <c r="S1220" s="20">
        <v>0.71650788369304785</v>
      </c>
      <c r="T1220" s="20" t="s">
        <v>60</v>
      </c>
      <c r="U1220" s="20" t="s">
        <v>60</v>
      </c>
      <c r="V1220" s="20"/>
      <c r="W1220" s="20"/>
      <c r="X1220" s="20" t="s">
        <v>60</v>
      </c>
      <c r="Y1220" s="20" t="s">
        <v>412</v>
      </c>
      <c r="Z1220" s="20" t="s">
        <v>60</v>
      </c>
      <c r="AA1220" s="20" t="s">
        <v>491</v>
      </c>
    </row>
    <row r="1221" spans="1:27" x14ac:dyDescent="0.2">
      <c r="A1221" s="1">
        <v>46116</v>
      </c>
      <c r="B1221" s="20" t="s">
        <v>322</v>
      </c>
      <c r="C1221" s="20" t="s">
        <v>16</v>
      </c>
      <c r="D1221" s="20" t="s">
        <v>31</v>
      </c>
      <c r="E1221" s="20" t="s">
        <v>1327</v>
      </c>
      <c r="F1221" s="20" t="s">
        <v>31</v>
      </c>
      <c r="G1221" s="20">
        <v>2</v>
      </c>
      <c r="H1221" s="20">
        <v>3</v>
      </c>
      <c r="I1221" s="13">
        <v>0.6</v>
      </c>
      <c r="J1221" s="20" t="s">
        <v>249</v>
      </c>
      <c r="L1221" s="20" t="s">
        <v>60</v>
      </c>
      <c r="M1221" s="20" t="s">
        <v>60</v>
      </c>
      <c r="N1221" s="20" t="s">
        <v>31</v>
      </c>
      <c r="O1221" s="20">
        <v>2</v>
      </c>
      <c r="P1221" s="20">
        <v>3</v>
      </c>
      <c r="Q1221" s="13">
        <v>0.7709732690686566</v>
      </c>
      <c r="R1221" s="20" t="s">
        <v>249</v>
      </c>
      <c r="S1221" s="20">
        <v>1.294385049807049</v>
      </c>
      <c r="T1221" s="20" t="s">
        <v>60</v>
      </c>
      <c r="U1221" s="20" t="s">
        <v>60</v>
      </c>
      <c r="V1221" s="20"/>
      <c r="W1221" s="20"/>
      <c r="X1221" s="20" t="s">
        <v>60</v>
      </c>
      <c r="Y1221" s="20" t="s">
        <v>412</v>
      </c>
      <c r="Z1221" s="20" t="s">
        <v>60</v>
      </c>
      <c r="AA1221" s="20" t="s">
        <v>491</v>
      </c>
    </row>
    <row r="1222" spans="1:27" x14ac:dyDescent="0.2">
      <c r="A1222" s="1">
        <v>46116</v>
      </c>
      <c r="B1222" s="20" t="s">
        <v>555</v>
      </c>
      <c r="C1222" s="20" t="s">
        <v>26</v>
      </c>
      <c r="D1222" s="20" t="s">
        <v>15</v>
      </c>
      <c r="E1222" s="20" t="s">
        <v>897</v>
      </c>
      <c r="F1222" s="20" t="s">
        <v>15</v>
      </c>
      <c r="G1222" s="20">
        <v>2</v>
      </c>
      <c r="H1222" s="20">
        <v>3</v>
      </c>
      <c r="I1222" s="13">
        <v>0.6</v>
      </c>
      <c r="J1222" s="20" t="s">
        <v>249</v>
      </c>
      <c r="L1222" s="20" t="s">
        <v>60</v>
      </c>
      <c r="M1222" s="20" t="s">
        <v>60</v>
      </c>
      <c r="N1222" s="20" t="s">
        <v>15</v>
      </c>
      <c r="O1222" s="20">
        <v>2</v>
      </c>
      <c r="P1222" s="20">
        <v>3</v>
      </c>
      <c r="Q1222" s="13">
        <v>0.61416971394212327</v>
      </c>
      <c r="R1222" s="20" t="s">
        <v>249</v>
      </c>
      <c r="S1222" s="20">
        <v>0.63520632947152933</v>
      </c>
      <c r="T1222" s="20" t="s">
        <v>60</v>
      </c>
      <c r="U1222" s="20" t="s">
        <v>60</v>
      </c>
      <c r="V1222" s="20"/>
      <c r="W1222" s="20"/>
      <c r="X1222" s="20" t="s">
        <v>60</v>
      </c>
      <c r="Y1222" s="20" t="s">
        <v>412</v>
      </c>
      <c r="Z1222" s="20" t="s">
        <v>60</v>
      </c>
      <c r="AA1222" s="20" t="s">
        <v>491</v>
      </c>
    </row>
    <row r="1223" spans="1:27" x14ac:dyDescent="0.2">
      <c r="A1223" s="1">
        <v>46117</v>
      </c>
      <c r="B1223" s="20" t="s">
        <v>365</v>
      </c>
      <c r="C1223" s="20" t="s">
        <v>25</v>
      </c>
      <c r="D1223" s="20" t="s">
        <v>36</v>
      </c>
      <c r="E1223" s="20" t="s">
        <v>1245</v>
      </c>
      <c r="F1223" s="20" t="s">
        <v>25</v>
      </c>
      <c r="G1223" s="20">
        <v>2</v>
      </c>
      <c r="H1223" s="20">
        <v>3</v>
      </c>
      <c r="I1223" s="13">
        <v>0.6</v>
      </c>
      <c r="J1223" s="20" t="s">
        <v>249</v>
      </c>
      <c r="L1223" s="20" t="s">
        <v>60</v>
      </c>
      <c r="M1223" s="20" t="s">
        <v>60</v>
      </c>
      <c r="N1223" s="20" t="s">
        <v>25</v>
      </c>
      <c r="O1223" s="20">
        <v>2</v>
      </c>
      <c r="P1223" s="20">
        <v>3</v>
      </c>
      <c r="Q1223" s="13">
        <v>0.63604368429743785</v>
      </c>
      <c r="R1223" s="20" t="s">
        <v>249</v>
      </c>
      <c r="S1223" s="20">
        <v>-0.90715043927022876</v>
      </c>
      <c r="T1223" s="20" t="s">
        <v>60</v>
      </c>
      <c r="U1223" s="20" t="s">
        <v>60</v>
      </c>
      <c r="V1223" s="20"/>
      <c r="W1223" s="20"/>
      <c r="X1223" s="20" t="s">
        <v>60</v>
      </c>
      <c r="Y1223" s="20" t="s">
        <v>412</v>
      </c>
      <c r="Z1223" s="20" t="s">
        <v>60</v>
      </c>
      <c r="AA1223" s="20" t="s">
        <v>491</v>
      </c>
    </row>
    <row r="1224" spans="1:27" x14ac:dyDescent="0.2">
      <c r="A1224" s="1">
        <v>46117</v>
      </c>
      <c r="B1224" s="20" t="s">
        <v>352</v>
      </c>
      <c r="C1224" s="20" t="s">
        <v>21</v>
      </c>
      <c r="D1224" s="20" t="s">
        <v>27</v>
      </c>
      <c r="E1224" s="20" t="s">
        <v>1324</v>
      </c>
      <c r="F1224" s="20" t="s">
        <v>21</v>
      </c>
      <c r="G1224" s="20">
        <v>2</v>
      </c>
      <c r="H1224" s="20">
        <v>3</v>
      </c>
      <c r="I1224" s="13">
        <v>0.6</v>
      </c>
      <c r="J1224" s="20" t="s">
        <v>249</v>
      </c>
      <c r="L1224" s="20" t="s">
        <v>60</v>
      </c>
      <c r="M1224" s="20" t="s">
        <v>60</v>
      </c>
      <c r="N1224" s="20" t="s">
        <v>21</v>
      </c>
      <c r="O1224" s="20">
        <v>2</v>
      </c>
      <c r="P1224" s="20">
        <v>3</v>
      </c>
      <c r="Q1224" s="13">
        <v>0.45971908192667371</v>
      </c>
      <c r="R1224" s="20" t="s">
        <v>249</v>
      </c>
      <c r="S1224" s="20">
        <v>-0.1105690741354219</v>
      </c>
      <c r="T1224" s="20" t="s">
        <v>60</v>
      </c>
      <c r="U1224" s="20" t="s">
        <v>60</v>
      </c>
      <c r="V1224" s="20"/>
      <c r="W1224" s="20"/>
      <c r="X1224" s="20" t="s">
        <v>60</v>
      </c>
      <c r="Y1224" s="20" t="s">
        <v>412</v>
      </c>
      <c r="Z1224" s="20" t="s">
        <v>60</v>
      </c>
      <c r="AA1224" s="20" t="s">
        <v>491</v>
      </c>
    </row>
    <row r="1225" spans="1:27" x14ac:dyDescent="0.2">
      <c r="A1225" s="1">
        <v>46117</v>
      </c>
      <c r="B1225" s="20" t="s">
        <v>328</v>
      </c>
      <c r="C1225" s="20" t="s">
        <v>22</v>
      </c>
      <c r="D1225" s="20" t="s">
        <v>15</v>
      </c>
      <c r="E1225" s="20" t="s">
        <v>544</v>
      </c>
      <c r="F1225" s="20" t="s">
        <v>22</v>
      </c>
      <c r="G1225" s="20">
        <v>2</v>
      </c>
      <c r="H1225" s="20">
        <v>3</v>
      </c>
      <c r="I1225" s="13">
        <v>0.6</v>
      </c>
      <c r="J1225" s="20" t="s">
        <v>249</v>
      </c>
      <c r="L1225" s="20" t="s">
        <v>60</v>
      </c>
      <c r="M1225" s="20" t="s">
        <v>60</v>
      </c>
      <c r="N1225" s="20" t="s">
        <v>22</v>
      </c>
      <c r="O1225" s="20">
        <v>2</v>
      </c>
      <c r="P1225" s="20">
        <v>3</v>
      </c>
      <c r="Q1225" s="13">
        <v>0.58201073598961128</v>
      </c>
      <c r="R1225" s="20" t="s">
        <v>249</v>
      </c>
      <c r="S1225" s="20">
        <v>-0.68084046841453705</v>
      </c>
      <c r="T1225" s="20" t="s">
        <v>60</v>
      </c>
      <c r="U1225" s="20" t="s">
        <v>60</v>
      </c>
      <c r="V1225" s="20"/>
      <c r="W1225" s="20"/>
      <c r="X1225" s="20" t="s">
        <v>60</v>
      </c>
      <c r="Y1225" s="20" t="s">
        <v>412</v>
      </c>
      <c r="Z1225" s="20" t="s">
        <v>60</v>
      </c>
      <c r="AA1225" s="20" t="s">
        <v>491</v>
      </c>
    </row>
    <row r="1226" spans="1:27" x14ac:dyDescent="0.2">
      <c r="A1226" s="1">
        <v>46117</v>
      </c>
      <c r="B1226" s="20" t="s">
        <v>453</v>
      </c>
      <c r="C1226" s="20" t="s">
        <v>11</v>
      </c>
      <c r="D1226" s="20" t="s">
        <v>14</v>
      </c>
      <c r="E1226" s="20" t="s">
        <v>1485</v>
      </c>
      <c r="F1226" s="20" t="s">
        <v>14</v>
      </c>
      <c r="G1226" s="20">
        <v>2</v>
      </c>
      <c r="H1226" s="20">
        <v>3</v>
      </c>
      <c r="I1226" s="13">
        <v>0.6</v>
      </c>
      <c r="J1226" s="20" t="s">
        <v>249</v>
      </c>
      <c r="L1226" s="20" t="s">
        <v>60</v>
      </c>
      <c r="M1226" s="20" t="s">
        <v>60</v>
      </c>
      <c r="N1226" s="20" t="s">
        <v>14</v>
      </c>
      <c r="O1226" s="20">
        <v>2</v>
      </c>
      <c r="P1226" s="20">
        <v>3</v>
      </c>
      <c r="Q1226" s="13">
        <v>0.57558462291084611</v>
      </c>
      <c r="R1226" s="20" t="s">
        <v>249</v>
      </c>
      <c r="S1226" s="20">
        <v>0.30475481842177898</v>
      </c>
      <c r="T1226" s="20" t="s">
        <v>60</v>
      </c>
      <c r="U1226" s="20" t="s">
        <v>60</v>
      </c>
      <c r="V1226" s="20"/>
      <c r="W1226" s="20"/>
      <c r="X1226" s="20" t="s">
        <v>60</v>
      </c>
      <c r="Y1226" s="20" t="s">
        <v>412</v>
      </c>
      <c r="Z1226" s="20" t="s">
        <v>60</v>
      </c>
      <c r="AA1226" s="20" t="s">
        <v>491</v>
      </c>
    </row>
    <row r="1227" spans="1:27" x14ac:dyDescent="0.2">
      <c r="A1227" s="1">
        <v>46117</v>
      </c>
      <c r="B1227" s="20" t="s">
        <v>347</v>
      </c>
      <c r="C1227" s="20" t="s">
        <v>34</v>
      </c>
      <c r="D1227" s="20" t="s">
        <v>26</v>
      </c>
      <c r="E1227" s="20" t="s">
        <v>1489</v>
      </c>
      <c r="F1227" s="20" t="s">
        <v>34</v>
      </c>
      <c r="G1227" s="20">
        <v>2</v>
      </c>
      <c r="H1227" s="20">
        <v>3</v>
      </c>
      <c r="I1227" s="13">
        <v>0.6</v>
      </c>
      <c r="J1227" s="20" t="s">
        <v>249</v>
      </c>
      <c r="L1227" s="20" t="s">
        <v>60</v>
      </c>
      <c r="M1227" s="20" t="s">
        <v>60</v>
      </c>
      <c r="N1227" s="20" t="s">
        <v>34</v>
      </c>
      <c r="O1227" s="20">
        <v>2</v>
      </c>
      <c r="P1227" s="20">
        <v>3</v>
      </c>
      <c r="Q1227" s="13">
        <v>0.59245809468373167</v>
      </c>
      <c r="R1227" s="20" t="s">
        <v>249</v>
      </c>
      <c r="S1227" s="20">
        <v>-0.77031402865966825</v>
      </c>
      <c r="T1227" s="20" t="s">
        <v>60</v>
      </c>
      <c r="U1227" s="20" t="s">
        <v>60</v>
      </c>
      <c r="V1227" s="20"/>
      <c r="W1227" s="20"/>
      <c r="X1227" s="20" t="s">
        <v>60</v>
      </c>
      <c r="Y1227" s="20" t="s">
        <v>412</v>
      </c>
      <c r="Z1227" s="20" t="s">
        <v>60</v>
      </c>
      <c r="AA1227" s="20" t="s">
        <v>491</v>
      </c>
    </row>
    <row r="1228" spans="1:27" x14ac:dyDescent="0.2">
      <c r="A1228" s="1">
        <v>46117</v>
      </c>
      <c r="B1228" s="20" t="s">
        <v>426</v>
      </c>
      <c r="C1228" s="20" t="s">
        <v>35</v>
      </c>
      <c r="D1228" s="20" t="s">
        <v>12</v>
      </c>
      <c r="E1228" s="20" t="s">
        <v>1100</v>
      </c>
      <c r="F1228" s="20" t="s">
        <v>12</v>
      </c>
      <c r="G1228" s="20">
        <v>2</v>
      </c>
      <c r="H1228" s="20">
        <v>3</v>
      </c>
      <c r="I1228" s="13">
        <v>0.6</v>
      </c>
      <c r="J1228" s="20" t="s">
        <v>249</v>
      </c>
      <c r="L1228" s="20" t="s">
        <v>60</v>
      </c>
      <c r="M1228" s="20" t="s">
        <v>60</v>
      </c>
      <c r="N1228" s="20" t="s">
        <v>12</v>
      </c>
      <c r="O1228" s="20">
        <v>2</v>
      </c>
      <c r="P1228" s="20">
        <v>3</v>
      </c>
      <c r="Q1228" s="13">
        <v>1</v>
      </c>
      <c r="R1228" s="20" t="s">
        <v>249</v>
      </c>
      <c r="S1228" s="20">
        <v>3.0762827792978609</v>
      </c>
      <c r="T1228" s="20" t="s">
        <v>60</v>
      </c>
      <c r="U1228" s="20" t="s">
        <v>60</v>
      </c>
      <c r="V1228" s="20"/>
      <c r="W1228" s="20"/>
      <c r="X1228" s="20" t="s">
        <v>60</v>
      </c>
      <c r="Y1228" s="20" t="s">
        <v>412</v>
      </c>
      <c r="Z1228" s="20" t="s">
        <v>60</v>
      </c>
      <c r="AA1228" s="20" t="s">
        <v>491</v>
      </c>
    </row>
    <row r="1229" spans="1:27" x14ac:dyDescent="0.2">
      <c r="A1229" s="1">
        <v>46117</v>
      </c>
      <c r="B1229" s="20" t="s">
        <v>328</v>
      </c>
      <c r="C1229" s="20" t="s">
        <v>24</v>
      </c>
      <c r="D1229" s="20" t="s">
        <v>18</v>
      </c>
      <c r="E1229" s="20" t="s">
        <v>1490</v>
      </c>
      <c r="F1229" s="20" t="s">
        <v>24</v>
      </c>
      <c r="G1229" s="20">
        <v>2</v>
      </c>
      <c r="H1229" s="20">
        <v>3</v>
      </c>
      <c r="I1229" s="13">
        <v>0.6</v>
      </c>
      <c r="J1229" s="20" t="s">
        <v>249</v>
      </c>
      <c r="L1229" s="20" t="s">
        <v>60</v>
      </c>
      <c r="M1229" s="20" t="s">
        <v>60</v>
      </c>
      <c r="N1229" s="20" t="s">
        <v>24</v>
      </c>
      <c r="O1229" s="20">
        <v>2</v>
      </c>
      <c r="P1229" s="20">
        <v>3</v>
      </c>
      <c r="Q1229" s="13">
        <v>0.54434987573897409</v>
      </c>
      <c r="R1229" s="20" t="s">
        <v>249</v>
      </c>
      <c r="S1229" s="20">
        <v>-0.54451913011526698</v>
      </c>
      <c r="T1229" s="20" t="s">
        <v>60</v>
      </c>
      <c r="U1229" s="20" t="s">
        <v>60</v>
      </c>
      <c r="V1229" s="20"/>
      <c r="W1229" s="20"/>
      <c r="X1229" s="20" t="s">
        <v>60</v>
      </c>
      <c r="Y1229" s="20" t="s">
        <v>412</v>
      </c>
      <c r="Z1229" s="20" t="s">
        <v>60</v>
      </c>
      <c r="AA1229" s="20" t="s">
        <v>491</v>
      </c>
    </row>
    <row r="1230" spans="1:27" x14ac:dyDescent="0.2">
      <c r="A1230" s="1">
        <v>46118</v>
      </c>
      <c r="B1230" s="20" t="s">
        <v>328</v>
      </c>
      <c r="C1230" s="20" t="s">
        <v>37</v>
      </c>
      <c r="D1230" s="20" t="s">
        <v>23</v>
      </c>
      <c r="E1230" s="20" t="s">
        <v>1372</v>
      </c>
      <c r="F1230" s="20" t="s">
        <v>37</v>
      </c>
      <c r="G1230" s="20">
        <v>2</v>
      </c>
      <c r="H1230" s="20">
        <v>3</v>
      </c>
      <c r="I1230" s="13">
        <v>0.6</v>
      </c>
      <c r="J1230" s="20" t="s">
        <v>249</v>
      </c>
      <c r="L1230" s="20" t="s">
        <v>60</v>
      </c>
      <c r="M1230" s="20" t="s">
        <v>60</v>
      </c>
      <c r="N1230" s="20" t="s">
        <v>37</v>
      </c>
      <c r="O1230" s="20">
        <v>2</v>
      </c>
      <c r="P1230" s="20">
        <v>3</v>
      </c>
      <c r="Q1230" s="13">
        <v>0.65174813974582668</v>
      </c>
      <c r="R1230" s="20" t="s">
        <v>249</v>
      </c>
      <c r="S1230" s="20">
        <v>-0.93671463356403151</v>
      </c>
      <c r="T1230" s="20" t="s">
        <v>60</v>
      </c>
      <c r="U1230" s="20" t="s">
        <v>60</v>
      </c>
      <c r="V1230" s="20"/>
      <c r="W1230" s="20"/>
      <c r="X1230" s="20" t="s">
        <v>60</v>
      </c>
      <c r="Y1230" s="20" t="s">
        <v>412</v>
      </c>
      <c r="Z1230" s="20" t="s">
        <v>60</v>
      </c>
      <c r="AA1230" s="20" t="s">
        <v>491</v>
      </c>
    </row>
    <row r="1231" spans="1:27" x14ac:dyDescent="0.2">
      <c r="A1231" s="1">
        <v>46118</v>
      </c>
      <c r="B1231" s="20" t="s">
        <v>340</v>
      </c>
      <c r="C1231" s="20" t="s">
        <v>29</v>
      </c>
      <c r="D1231" s="20" t="s">
        <v>13</v>
      </c>
      <c r="E1231" s="20" t="s">
        <v>1482</v>
      </c>
      <c r="F1231" s="20" t="s">
        <v>13</v>
      </c>
      <c r="G1231" s="20">
        <v>2</v>
      </c>
      <c r="H1231" s="20">
        <v>3</v>
      </c>
      <c r="I1231" s="13">
        <v>0.6</v>
      </c>
      <c r="J1231" s="20" t="s">
        <v>249</v>
      </c>
      <c r="L1231" s="20" t="s">
        <v>60</v>
      </c>
      <c r="M1231" s="20" t="s">
        <v>60</v>
      </c>
      <c r="N1231" s="20" t="s">
        <v>13</v>
      </c>
      <c r="O1231" s="20">
        <v>2</v>
      </c>
      <c r="P1231" s="20">
        <v>3</v>
      </c>
      <c r="Q1231" s="13">
        <v>0.6680365788692405</v>
      </c>
      <c r="R1231" s="20" t="s">
        <v>249</v>
      </c>
      <c r="S1231" s="20">
        <v>1.0965344340560099</v>
      </c>
      <c r="T1231" s="20" t="s">
        <v>60</v>
      </c>
      <c r="U1231" s="20" t="s">
        <v>60</v>
      </c>
      <c r="V1231" s="20"/>
      <c r="W1231" s="20"/>
      <c r="X1231" s="20" t="s">
        <v>60</v>
      </c>
      <c r="Y1231" s="20" t="s">
        <v>412</v>
      </c>
      <c r="Z1231" s="20" t="s">
        <v>60</v>
      </c>
      <c r="AA1231" s="20" t="s">
        <v>491</v>
      </c>
    </row>
    <row r="1232" spans="1:27" x14ac:dyDescent="0.2">
      <c r="A1232" s="1">
        <v>46118</v>
      </c>
      <c r="B1232" s="20" t="s">
        <v>322</v>
      </c>
      <c r="C1232" s="20" t="s">
        <v>10</v>
      </c>
      <c r="D1232" s="20" t="s">
        <v>33</v>
      </c>
      <c r="E1232" s="20" t="s">
        <v>1491</v>
      </c>
      <c r="F1232" s="20" t="s">
        <v>10</v>
      </c>
      <c r="G1232" s="20">
        <v>2</v>
      </c>
      <c r="H1232" s="20">
        <v>3</v>
      </c>
      <c r="I1232" s="13">
        <v>0.6</v>
      </c>
      <c r="J1232" s="20" t="s">
        <v>249</v>
      </c>
      <c r="L1232" s="20" t="s">
        <v>60</v>
      </c>
      <c r="M1232" s="20" t="s">
        <v>60</v>
      </c>
      <c r="N1232" s="20" t="s">
        <v>10</v>
      </c>
      <c r="O1232" s="20">
        <v>2</v>
      </c>
      <c r="P1232" s="20">
        <v>3</v>
      </c>
      <c r="Q1232" s="13">
        <v>0.47617714295874047</v>
      </c>
      <c r="R1232" s="20" t="s">
        <v>249</v>
      </c>
      <c r="S1232" s="20">
        <v>-0.22523398827476729</v>
      </c>
      <c r="T1232" s="20" t="s">
        <v>60</v>
      </c>
      <c r="U1232" s="20" t="s">
        <v>60</v>
      </c>
      <c r="V1232" s="20"/>
      <c r="W1232" s="20"/>
      <c r="X1232" s="20" t="s">
        <v>60</v>
      </c>
      <c r="Y1232" s="20" t="s">
        <v>412</v>
      </c>
      <c r="Z1232" s="20" t="s">
        <v>60</v>
      </c>
      <c r="AA1232" s="20" t="s">
        <v>491</v>
      </c>
    </row>
    <row r="1233" spans="1:27" x14ac:dyDescent="0.2">
      <c r="A1233" s="1">
        <v>46118</v>
      </c>
      <c r="B1233" s="20" t="s">
        <v>334</v>
      </c>
      <c r="C1233" s="20" t="s">
        <v>32</v>
      </c>
      <c r="D1233" s="20" t="s">
        <v>40</v>
      </c>
      <c r="E1233" s="20" t="s">
        <v>651</v>
      </c>
      <c r="F1233" s="20" t="s">
        <v>40</v>
      </c>
      <c r="G1233" s="20">
        <v>2</v>
      </c>
      <c r="H1233" s="20">
        <v>3</v>
      </c>
      <c r="I1233" s="13">
        <v>0.6</v>
      </c>
      <c r="J1233" s="20" t="s">
        <v>249</v>
      </c>
      <c r="L1233" s="20" t="s">
        <v>60</v>
      </c>
      <c r="M1233" s="20" t="s">
        <v>60</v>
      </c>
      <c r="N1233" s="20" t="s">
        <v>40</v>
      </c>
      <c r="O1233" s="20">
        <v>2</v>
      </c>
      <c r="P1233" s="20">
        <v>3</v>
      </c>
      <c r="Q1233" s="13">
        <v>0.58757089842028809</v>
      </c>
      <c r="R1233" s="20" t="s">
        <v>249</v>
      </c>
      <c r="S1233" s="20">
        <v>0.38603616041846089</v>
      </c>
      <c r="T1233" s="20" t="s">
        <v>60</v>
      </c>
      <c r="U1233" s="20" t="s">
        <v>60</v>
      </c>
      <c r="V1233" s="20"/>
      <c r="W1233" s="20"/>
      <c r="X1233" s="20" t="s">
        <v>60</v>
      </c>
      <c r="Y1233" s="20" t="s">
        <v>412</v>
      </c>
      <c r="Z1233" s="20" t="s">
        <v>60</v>
      </c>
      <c r="AA1233" s="20" t="s">
        <v>491</v>
      </c>
    </row>
    <row r="1234" spans="1:27" x14ac:dyDescent="0.2">
      <c r="A1234" s="1">
        <v>46119</v>
      </c>
      <c r="B1234" s="20" t="s">
        <v>426</v>
      </c>
      <c r="C1234" s="20" t="s">
        <v>17</v>
      </c>
      <c r="D1234" s="20" t="s">
        <v>55</v>
      </c>
      <c r="E1234" s="20" t="s">
        <v>1441</v>
      </c>
      <c r="F1234" s="20" t="s">
        <v>55</v>
      </c>
      <c r="G1234" s="20">
        <v>2</v>
      </c>
      <c r="H1234" s="20">
        <v>3</v>
      </c>
      <c r="I1234" s="13">
        <v>0.6</v>
      </c>
      <c r="J1234" s="20" t="s">
        <v>249</v>
      </c>
      <c r="L1234" s="20" t="s">
        <v>60</v>
      </c>
      <c r="M1234" s="20" t="s">
        <v>60</v>
      </c>
      <c r="N1234" s="20" t="s">
        <v>55</v>
      </c>
      <c r="O1234" s="20">
        <v>2</v>
      </c>
      <c r="P1234" s="20">
        <v>3</v>
      </c>
      <c r="Q1234" s="13">
        <v>0.63467122482615079</v>
      </c>
      <c r="R1234" s="20" t="s">
        <v>249</v>
      </c>
      <c r="S1234" s="20">
        <v>0.46452412413950173</v>
      </c>
      <c r="T1234" s="20" t="s">
        <v>60</v>
      </c>
      <c r="U1234" s="20" t="s">
        <v>60</v>
      </c>
      <c r="V1234" s="20"/>
      <c r="W1234" s="20"/>
      <c r="X1234" s="20" t="s">
        <v>60</v>
      </c>
      <c r="Y1234" s="20" t="s">
        <v>412</v>
      </c>
      <c r="Z1234" s="20" t="s">
        <v>60</v>
      </c>
      <c r="AA1234" s="20" t="s">
        <v>491</v>
      </c>
    </row>
    <row r="1235" spans="1:27" x14ac:dyDescent="0.2">
      <c r="A1235" s="1">
        <v>46119</v>
      </c>
      <c r="B1235" s="20" t="s">
        <v>324</v>
      </c>
      <c r="C1235" s="20" t="s">
        <v>12</v>
      </c>
      <c r="D1235" s="20" t="s">
        <v>35</v>
      </c>
      <c r="E1235" s="20" t="s">
        <v>1492</v>
      </c>
      <c r="F1235" s="20" t="s">
        <v>12</v>
      </c>
      <c r="G1235" s="20">
        <v>2</v>
      </c>
      <c r="H1235" s="20">
        <v>3</v>
      </c>
      <c r="I1235" s="13">
        <v>0.6</v>
      </c>
      <c r="J1235" s="20" t="s">
        <v>249</v>
      </c>
      <c r="L1235" s="20" t="s">
        <v>60</v>
      </c>
      <c r="M1235" s="20" t="s">
        <v>60</v>
      </c>
      <c r="N1235" s="20" t="s">
        <v>12</v>
      </c>
      <c r="O1235" s="20">
        <v>2</v>
      </c>
      <c r="P1235" s="20">
        <v>3</v>
      </c>
      <c r="Q1235" s="13">
        <v>0.88017128844573156</v>
      </c>
      <c r="R1235" s="20" t="s">
        <v>249</v>
      </c>
      <c r="S1235" s="20">
        <v>-2.976481281451536</v>
      </c>
      <c r="T1235" s="20" t="s">
        <v>60</v>
      </c>
      <c r="U1235" s="20" t="s">
        <v>60</v>
      </c>
      <c r="V1235" s="20"/>
      <c r="W1235" s="20"/>
      <c r="X1235" s="20" t="s">
        <v>60</v>
      </c>
      <c r="Y1235" s="20" t="s">
        <v>412</v>
      </c>
      <c r="Z1235" s="20" t="s">
        <v>60</v>
      </c>
      <c r="AA1235" s="20" t="s">
        <v>491</v>
      </c>
    </row>
    <row r="1236" spans="1:27" x14ac:dyDescent="0.2">
      <c r="A1236" s="1">
        <v>46119</v>
      </c>
      <c r="B1236" s="20" t="s">
        <v>328</v>
      </c>
      <c r="C1236" s="20" t="s">
        <v>37</v>
      </c>
      <c r="D1236" s="20" t="s">
        <v>36</v>
      </c>
      <c r="E1236" s="20" t="s">
        <v>1493</v>
      </c>
      <c r="F1236" s="20" t="s">
        <v>37</v>
      </c>
      <c r="G1236" s="20">
        <v>2</v>
      </c>
      <c r="H1236" s="20">
        <v>3</v>
      </c>
      <c r="I1236" s="13">
        <v>0.6</v>
      </c>
      <c r="J1236" s="20" t="s">
        <v>249</v>
      </c>
      <c r="L1236" s="20" t="s">
        <v>60</v>
      </c>
      <c r="M1236" s="20" t="s">
        <v>60</v>
      </c>
      <c r="N1236" s="20" t="s">
        <v>37</v>
      </c>
      <c r="O1236" s="20">
        <v>2</v>
      </c>
      <c r="P1236" s="20">
        <v>3</v>
      </c>
      <c r="Q1236" s="13">
        <v>0.66582833461791524</v>
      </c>
      <c r="R1236" s="20" t="s">
        <v>249</v>
      </c>
      <c r="S1236" s="20">
        <v>-0.9919802486882805</v>
      </c>
      <c r="T1236" s="20" t="s">
        <v>60</v>
      </c>
      <c r="U1236" s="20" t="s">
        <v>60</v>
      </c>
      <c r="V1236" s="20"/>
      <c r="W1236" s="20"/>
      <c r="X1236" s="20" t="s">
        <v>60</v>
      </c>
      <c r="Y1236" s="20" t="s">
        <v>412</v>
      </c>
      <c r="Z1236" s="20" t="s">
        <v>60</v>
      </c>
      <c r="AA1236" s="20" t="s">
        <v>491</v>
      </c>
    </row>
    <row r="1237" spans="1:27" x14ac:dyDescent="0.2">
      <c r="A1237" s="1">
        <v>46119</v>
      </c>
      <c r="B1237" s="20" t="s">
        <v>328</v>
      </c>
      <c r="C1237" s="20" t="s">
        <v>27</v>
      </c>
      <c r="D1237" s="20" t="s">
        <v>24</v>
      </c>
      <c r="E1237" s="20" t="s">
        <v>457</v>
      </c>
      <c r="F1237" s="20" t="s">
        <v>24</v>
      </c>
      <c r="G1237" s="20">
        <v>2</v>
      </c>
      <c r="H1237" s="20">
        <v>3</v>
      </c>
      <c r="I1237" s="13">
        <v>0.6</v>
      </c>
      <c r="J1237" s="20" t="s">
        <v>249</v>
      </c>
      <c r="L1237" s="20" t="s">
        <v>60</v>
      </c>
      <c r="M1237" s="20" t="s">
        <v>60</v>
      </c>
      <c r="N1237" s="20" t="s">
        <v>24</v>
      </c>
      <c r="O1237" s="20">
        <v>2</v>
      </c>
      <c r="P1237" s="20">
        <v>3</v>
      </c>
      <c r="Q1237" s="13">
        <v>0.62935128001206531</v>
      </c>
      <c r="R1237" s="20" t="s">
        <v>249</v>
      </c>
      <c r="S1237" s="20">
        <v>0.43167058319408269</v>
      </c>
      <c r="T1237" s="20" t="s">
        <v>60</v>
      </c>
      <c r="U1237" s="20" t="s">
        <v>60</v>
      </c>
      <c r="V1237" s="20"/>
      <c r="W1237" s="20"/>
      <c r="X1237" s="20" t="s">
        <v>60</v>
      </c>
      <c r="Y1237" s="20" t="s">
        <v>412</v>
      </c>
      <c r="Z1237" s="20" t="s">
        <v>60</v>
      </c>
      <c r="AA1237" s="20" t="s">
        <v>491</v>
      </c>
    </row>
    <row r="1238" spans="1:27" x14ac:dyDescent="0.2">
      <c r="A1238" s="1">
        <v>46119</v>
      </c>
      <c r="B1238" s="20" t="s">
        <v>328</v>
      </c>
      <c r="C1238" s="20" t="s">
        <v>11</v>
      </c>
      <c r="D1238" s="20" t="s">
        <v>18</v>
      </c>
      <c r="E1238" s="20" t="s">
        <v>1149</v>
      </c>
      <c r="F1238" s="20" t="s">
        <v>11</v>
      </c>
      <c r="G1238" s="20">
        <v>2</v>
      </c>
      <c r="H1238" s="20">
        <v>3</v>
      </c>
      <c r="I1238" s="13">
        <v>0.6</v>
      </c>
      <c r="J1238" s="20" t="s">
        <v>249</v>
      </c>
      <c r="L1238" s="20" t="s">
        <v>60</v>
      </c>
      <c r="M1238" s="20" t="s">
        <v>60</v>
      </c>
      <c r="N1238" s="20" t="s">
        <v>11</v>
      </c>
      <c r="O1238" s="20">
        <v>2</v>
      </c>
      <c r="P1238" s="20">
        <v>3</v>
      </c>
      <c r="Q1238" s="13">
        <v>0.47703254407868428</v>
      </c>
      <c r="R1238" s="20" t="s">
        <v>249</v>
      </c>
      <c r="S1238" s="20">
        <v>-0.14587058828655619</v>
      </c>
      <c r="T1238" s="20" t="s">
        <v>60</v>
      </c>
      <c r="U1238" s="20" t="s">
        <v>60</v>
      </c>
      <c r="V1238" s="20"/>
      <c r="W1238" s="20"/>
      <c r="X1238" s="20" t="s">
        <v>60</v>
      </c>
      <c r="Y1238" s="20" t="s">
        <v>412</v>
      </c>
      <c r="Z1238" s="20" t="s">
        <v>60</v>
      </c>
      <c r="AA1238" s="20" t="s">
        <v>491</v>
      </c>
    </row>
    <row r="1239" spans="1:27" x14ac:dyDescent="0.2">
      <c r="A1239" s="1">
        <v>46119</v>
      </c>
      <c r="B1239" s="20" t="s">
        <v>324</v>
      </c>
      <c r="C1239" s="20" t="s">
        <v>16</v>
      </c>
      <c r="D1239" s="20" t="s">
        <v>39</v>
      </c>
      <c r="E1239" s="20" t="s">
        <v>1494</v>
      </c>
      <c r="F1239" s="20" t="s">
        <v>39</v>
      </c>
      <c r="G1239" s="20">
        <v>2</v>
      </c>
      <c r="H1239" s="20">
        <v>3</v>
      </c>
      <c r="I1239" s="13">
        <v>0.6</v>
      </c>
      <c r="J1239" s="20" t="s">
        <v>249</v>
      </c>
      <c r="L1239" s="20" t="s">
        <v>60</v>
      </c>
      <c r="M1239" s="20" t="s">
        <v>60</v>
      </c>
      <c r="N1239" s="20" t="s">
        <v>39</v>
      </c>
      <c r="O1239" s="20">
        <v>2</v>
      </c>
      <c r="P1239" s="20">
        <v>3</v>
      </c>
      <c r="Q1239" s="13">
        <v>0.75079392293246339</v>
      </c>
      <c r="R1239" s="20" t="s">
        <v>249</v>
      </c>
      <c r="S1239" s="20">
        <v>1.529124529822903</v>
      </c>
      <c r="T1239" s="20" t="s">
        <v>60</v>
      </c>
      <c r="U1239" s="20" t="s">
        <v>60</v>
      </c>
      <c r="V1239" s="20"/>
      <c r="W1239" s="20"/>
      <c r="X1239" s="20" t="s">
        <v>60</v>
      </c>
      <c r="Y1239" s="20" t="s">
        <v>412</v>
      </c>
      <c r="Z1239" s="20" t="s">
        <v>60</v>
      </c>
      <c r="AA1239" s="20" t="s">
        <v>491</v>
      </c>
    </row>
    <row r="1240" spans="1:27" x14ac:dyDescent="0.2">
      <c r="A1240" s="1">
        <v>46119</v>
      </c>
      <c r="B1240" s="20" t="s">
        <v>328</v>
      </c>
      <c r="C1240" s="20" t="s">
        <v>28</v>
      </c>
      <c r="D1240" s="20" t="s">
        <v>26</v>
      </c>
      <c r="E1240" s="20" t="s">
        <v>348</v>
      </c>
      <c r="F1240" s="20" t="s">
        <v>28</v>
      </c>
      <c r="G1240" s="20">
        <v>2</v>
      </c>
      <c r="H1240" s="20">
        <v>3</v>
      </c>
      <c r="I1240" s="13">
        <v>0.6</v>
      </c>
      <c r="J1240" s="20" t="s">
        <v>249</v>
      </c>
      <c r="L1240" s="20" t="s">
        <v>60</v>
      </c>
      <c r="M1240" s="20" t="s">
        <v>60</v>
      </c>
      <c r="N1240" s="20" t="s">
        <v>28</v>
      </c>
      <c r="O1240" s="20">
        <v>2</v>
      </c>
      <c r="P1240" s="20">
        <v>3</v>
      </c>
      <c r="Q1240" s="13">
        <v>0.49048452895378603</v>
      </c>
      <c r="R1240" s="20" t="s">
        <v>249</v>
      </c>
      <c r="S1240" s="20">
        <v>-0.23044941175860681</v>
      </c>
      <c r="T1240" s="20" t="s">
        <v>60</v>
      </c>
      <c r="U1240" s="20" t="s">
        <v>60</v>
      </c>
      <c r="V1240" s="20"/>
      <c r="W1240" s="20"/>
      <c r="X1240" s="20" t="s">
        <v>60</v>
      </c>
      <c r="Y1240" s="20" t="s">
        <v>412</v>
      </c>
      <c r="Z1240" s="20" t="s">
        <v>60</v>
      </c>
      <c r="AA1240" s="20" t="s">
        <v>491</v>
      </c>
    </row>
    <row r="1241" spans="1:27" x14ac:dyDescent="0.2">
      <c r="A1241" s="1">
        <v>46119</v>
      </c>
      <c r="B1241" s="20" t="s">
        <v>322</v>
      </c>
      <c r="C1241" s="20" t="s">
        <v>20</v>
      </c>
      <c r="D1241" s="20" t="s">
        <v>38</v>
      </c>
      <c r="E1241" s="20" t="s">
        <v>1495</v>
      </c>
      <c r="F1241" s="20" t="s">
        <v>20</v>
      </c>
      <c r="G1241" s="20">
        <v>2</v>
      </c>
      <c r="H1241" s="20">
        <v>3</v>
      </c>
      <c r="I1241" s="13">
        <v>0.6</v>
      </c>
      <c r="J1241" s="20" t="s">
        <v>249</v>
      </c>
      <c r="L1241" s="20" t="s">
        <v>60</v>
      </c>
      <c r="M1241" s="20" t="s">
        <v>60</v>
      </c>
      <c r="N1241" s="20" t="s">
        <v>20</v>
      </c>
      <c r="O1241" s="20">
        <v>2</v>
      </c>
      <c r="P1241" s="20">
        <v>3</v>
      </c>
      <c r="Q1241" s="13">
        <v>0.53628664108623059</v>
      </c>
      <c r="R1241" s="20" t="s">
        <v>249</v>
      </c>
      <c r="S1241" s="20">
        <v>-0.65333617586700521</v>
      </c>
      <c r="T1241" s="20" t="s">
        <v>60</v>
      </c>
      <c r="U1241" s="20" t="s">
        <v>60</v>
      </c>
      <c r="V1241" s="20"/>
      <c r="W1241" s="20"/>
      <c r="X1241" s="20" t="s">
        <v>60</v>
      </c>
      <c r="Y1241" s="20" t="s">
        <v>412</v>
      </c>
      <c r="Z1241" s="20" t="s">
        <v>60</v>
      </c>
      <c r="AA1241" s="20" t="s">
        <v>491</v>
      </c>
    </row>
    <row r="1242" spans="1:27" x14ac:dyDescent="0.2">
      <c r="A1242" s="1">
        <v>46119</v>
      </c>
      <c r="B1242" s="20" t="s">
        <v>328</v>
      </c>
      <c r="C1242" s="20" t="s">
        <v>21</v>
      </c>
      <c r="D1242" s="20" t="s">
        <v>25</v>
      </c>
      <c r="E1242" s="20" t="s">
        <v>1496</v>
      </c>
      <c r="F1242" s="20" t="s">
        <v>25</v>
      </c>
      <c r="G1242" s="20">
        <v>2</v>
      </c>
      <c r="H1242" s="20">
        <v>3</v>
      </c>
      <c r="I1242" s="13">
        <v>0.6</v>
      </c>
      <c r="J1242" s="20" t="s">
        <v>249</v>
      </c>
      <c r="L1242" s="20" t="s">
        <v>60</v>
      </c>
      <c r="M1242" s="20" t="s">
        <v>60</v>
      </c>
      <c r="N1242" s="20" t="s">
        <v>25</v>
      </c>
      <c r="O1242" s="20">
        <v>2</v>
      </c>
      <c r="P1242" s="20">
        <v>3</v>
      </c>
      <c r="Q1242" s="13">
        <v>0.67210095773054734</v>
      </c>
      <c r="R1242" s="20" t="s">
        <v>249</v>
      </c>
      <c r="S1242" s="20">
        <v>0.69534564669944676</v>
      </c>
      <c r="T1242" s="20" t="s">
        <v>60</v>
      </c>
      <c r="U1242" s="20" t="s">
        <v>60</v>
      </c>
      <c r="V1242" s="20"/>
      <c r="W1242" s="20"/>
      <c r="X1242" s="20" t="s">
        <v>60</v>
      </c>
      <c r="Y1242" s="20" t="s">
        <v>412</v>
      </c>
      <c r="Z1242" s="20" t="s">
        <v>60</v>
      </c>
      <c r="AA1242" s="20" t="s">
        <v>491</v>
      </c>
    </row>
    <row r="1243" spans="1:27" x14ac:dyDescent="0.2">
      <c r="A1243" s="1">
        <v>46119</v>
      </c>
      <c r="B1243" s="20" t="s">
        <v>322</v>
      </c>
      <c r="C1243" s="20" t="s">
        <v>29</v>
      </c>
      <c r="D1243" s="20" t="s">
        <v>31</v>
      </c>
      <c r="E1243" s="20" t="s">
        <v>1497</v>
      </c>
      <c r="F1243" s="20" t="s">
        <v>31</v>
      </c>
      <c r="G1243" s="20">
        <v>2</v>
      </c>
      <c r="H1243" s="20">
        <v>3</v>
      </c>
      <c r="I1243" s="13">
        <v>0.6</v>
      </c>
      <c r="J1243" s="20" t="s">
        <v>249</v>
      </c>
      <c r="L1243" s="20" t="s">
        <v>60</v>
      </c>
      <c r="M1243" s="20" t="s">
        <v>60</v>
      </c>
      <c r="N1243" s="20" t="s">
        <v>31</v>
      </c>
      <c r="O1243" s="20">
        <v>2</v>
      </c>
      <c r="P1243" s="20">
        <v>3</v>
      </c>
      <c r="Q1243" s="13">
        <v>0.8082371077362871</v>
      </c>
      <c r="R1243" s="20" t="s">
        <v>249</v>
      </c>
      <c r="S1243" s="20">
        <v>1.6135210545724901</v>
      </c>
      <c r="T1243" s="20" t="s">
        <v>60</v>
      </c>
      <c r="U1243" s="20" t="s">
        <v>60</v>
      </c>
      <c r="V1243" s="20"/>
      <c r="W1243" s="20"/>
      <c r="X1243" s="20" t="s">
        <v>60</v>
      </c>
      <c r="Y1243" s="20" t="s">
        <v>412</v>
      </c>
      <c r="Z1243" s="20" t="s">
        <v>60</v>
      </c>
      <c r="AA1243" s="20" t="s">
        <v>491</v>
      </c>
    </row>
    <row r="1244" spans="1:27" x14ac:dyDescent="0.2">
      <c r="A1244" s="1">
        <v>46119</v>
      </c>
      <c r="B1244" s="20" t="s">
        <v>324</v>
      </c>
      <c r="C1244" s="20" t="s">
        <v>32</v>
      </c>
      <c r="D1244" s="20" t="s">
        <v>34</v>
      </c>
      <c r="E1244" s="20" t="s">
        <v>1498</v>
      </c>
      <c r="F1244" s="20" t="s">
        <v>34</v>
      </c>
      <c r="G1244" s="20">
        <v>2</v>
      </c>
      <c r="H1244" s="20">
        <v>3</v>
      </c>
      <c r="I1244" s="13">
        <v>0.6</v>
      </c>
      <c r="J1244" s="20" t="s">
        <v>249</v>
      </c>
      <c r="L1244" s="20" t="s">
        <v>60</v>
      </c>
      <c r="M1244" s="20" t="s">
        <v>60</v>
      </c>
      <c r="N1244" s="20" t="s">
        <v>34</v>
      </c>
      <c r="O1244" s="20">
        <v>2</v>
      </c>
      <c r="P1244" s="20">
        <v>3</v>
      </c>
      <c r="Q1244" s="13">
        <v>0.6152143927434286</v>
      </c>
      <c r="R1244" s="20" t="s">
        <v>249</v>
      </c>
      <c r="S1244" s="20">
        <v>0.64415319675177363</v>
      </c>
      <c r="T1244" s="20" t="s">
        <v>60</v>
      </c>
      <c r="U1244" s="20" t="s">
        <v>60</v>
      </c>
      <c r="V1244" s="20"/>
      <c r="W1244" s="20"/>
      <c r="X1244" s="20" t="s">
        <v>60</v>
      </c>
      <c r="Y1244" s="20" t="s">
        <v>412</v>
      </c>
      <c r="Z1244" s="20" t="s">
        <v>60</v>
      </c>
      <c r="AA1244" s="20" t="s">
        <v>491</v>
      </c>
    </row>
    <row r="1245" spans="1:27" x14ac:dyDescent="0.2">
      <c r="A1245" s="1">
        <v>46120</v>
      </c>
      <c r="B1245" s="20" t="s">
        <v>322</v>
      </c>
      <c r="C1245" s="20" t="s">
        <v>17</v>
      </c>
      <c r="D1245" s="20" t="s">
        <v>33</v>
      </c>
      <c r="E1245" s="20" t="s">
        <v>1322</v>
      </c>
      <c r="F1245" s="20" t="s">
        <v>33</v>
      </c>
      <c r="G1245" s="20">
        <v>2</v>
      </c>
      <c r="H1245" s="20">
        <v>3</v>
      </c>
      <c r="I1245" s="13">
        <v>0.6</v>
      </c>
      <c r="J1245" s="20" t="s">
        <v>249</v>
      </c>
      <c r="L1245" s="20" t="s">
        <v>60</v>
      </c>
      <c r="M1245" s="20" t="s">
        <v>60</v>
      </c>
      <c r="N1245" s="20" t="s">
        <v>33</v>
      </c>
      <c r="O1245" s="20">
        <v>2</v>
      </c>
      <c r="P1245" s="20">
        <v>3</v>
      </c>
      <c r="Q1245" s="13">
        <v>0.59873333590647571</v>
      </c>
      <c r="R1245" s="20" t="s">
        <v>249</v>
      </c>
      <c r="S1245" s="20">
        <v>0.41631642077844078</v>
      </c>
      <c r="T1245" s="20" t="s">
        <v>60</v>
      </c>
      <c r="U1245" s="20" t="s">
        <v>60</v>
      </c>
      <c r="V1245" s="20"/>
      <c r="W1245" s="20"/>
      <c r="X1245" s="20" t="s">
        <v>60</v>
      </c>
      <c r="Y1245" s="20" t="s">
        <v>412</v>
      </c>
      <c r="Z1245" s="20" t="s">
        <v>60</v>
      </c>
      <c r="AA1245" s="20" t="s">
        <v>491</v>
      </c>
    </row>
    <row r="1246" spans="1:27" x14ac:dyDescent="0.2">
      <c r="A1246" s="1">
        <v>46120</v>
      </c>
      <c r="B1246" s="20" t="s">
        <v>334</v>
      </c>
      <c r="C1246" s="20" t="s">
        <v>22</v>
      </c>
      <c r="D1246" s="20" t="s">
        <v>19</v>
      </c>
      <c r="E1246" s="20" t="s">
        <v>1499</v>
      </c>
      <c r="F1246" s="20" t="s">
        <v>22</v>
      </c>
      <c r="G1246" s="20">
        <v>2</v>
      </c>
      <c r="H1246" s="20">
        <v>3</v>
      </c>
      <c r="I1246" s="13">
        <v>0.6</v>
      </c>
      <c r="J1246" s="20" t="s">
        <v>249</v>
      </c>
      <c r="L1246" s="20" t="s">
        <v>60</v>
      </c>
      <c r="M1246" s="20" t="s">
        <v>60</v>
      </c>
      <c r="N1246" s="20" t="s">
        <v>22</v>
      </c>
      <c r="O1246" s="20">
        <v>2</v>
      </c>
      <c r="P1246" s="20">
        <v>3</v>
      </c>
      <c r="Q1246" s="13">
        <v>0.62222972747717475</v>
      </c>
      <c r="R1246" s="20" t="s">
        <v>249</v>
      </c>
      <c r="S1246" s="20">
        <v>-1.025285075249575</v>
      </c>
      <c r="T1246" s="20" t="s">
        <v>60</v>
      </c>
      <c r="U1246" s="20" t="s">
        <v>60</v>
      </c>
      <c r="V1246" s="20"/>
      <c r="W1246" s="20"/>
      <c r="X1246" s="20" t="s">
        <v>60</v>
      </c>
      <c r="Y1246" s="20" t="s">
        <v>412</v>
      </c>
      <c r="Z1246" s="20" t="s">
        <v>60</v>
      </c>
      <c r="AA1246" s="20" t="s">
        <v>491</v>
      </c>
    </row>
    <row r="1247" spans="1:27" x14ac:dyDescent="0.2">
      <c r="A1247" s="1">
        <v>46120</v>
      </c>
      <c r="B1247" s="20" t="s">
        <v>328</v>
      </c>
      <c r="C1247" s="20" t="s">
        <v>23</v>
      </c>
      <c r="D1247" s="20" t="s">
        <v>15</v>
      </c>
      <c r="E1247" s="20" t="s">
        <v>1148</v>
      </c>
      <c r="F1247" s="20" t="s">
        <v>15</v>
      </c>
      <c r="G1247" s="20">
        <v>2</v>
      </c>
      <c r="H1247" s="20">
        <v>3</v>
      </c>
      <c r="I1247" s="13">
        <v>0.6</v>
      </c>
      <c r="J1247" s="20" t="s">
        <v>249</v>
      </c>
      <c r="L1247" s="20" t="s">
        <v>60</v>
      </c>
      <c r="M1247" s="20" t="s">
        <v>60</v>
      </c>
      <c r="N1247" s="20" t="s">
        <v>15</v>
      </c>
      <c r="O1247" s="20">
        <v>2</v>
      </c>
      <c r="P1247" s="20">
        <v>3</v>
      </c>
      <c r="Q1247" s="13">
        <v>0.56755382089589856</v>
      </c>
      <c r="R1247" s="20" t="s">
        <v>249</v>
      </c>
      <c r="S1247" s="20">
        <v>0.2359772001798095</v>
      </c>
      <c r="T1247" s="20" t="s">
        <v>60</v>
      </c>
      <c r="U1247" s="20" t="s">
        <v>60</v>
      </c>
      <c r="V1247" s="20"/>
      <c r="W1247" s="20"/>
      <c r="X1247" s="20" t="s">
        <v>60</v>
      </c>
      <c r="Y1247" s="20" t="s">
        <v>412</v>
      </c>
      <c r="Z1247" s="20" t="s">
        <v>60</v>
      </c>
      <c r="AA1247" s="20" t="s">
        <v>491</v>
      </c>
    </row>
    <row r="1248" spans="1:27" x14ac:dyDescent="0.2">
      <c r="A1248" s="1">
        <v>46121</v>
      </c>
      <c r="B1248" s="20" t="s">
        <v>328</v>
      </c>
      <c r="C1248" s="20" t="s">
        <v>19</v>
      </c>
      <c r="D1248" s="20" t="s">
        <v>30</v>
      </c>
      <c r="E1248" s="20" t="s">
        <v>1112</v>
      </c>
      <c r="F1248" s="20" t="s">
        <v>30</v>
      </c>
      <c r="G1248" s="20">
        <v>2</v>
      </c>
      <c r="H1248" s="20">
        <v>3</v>
      </c>
      <c r="I1248" s="13">
        <v>0.6</v>
      </c>
      <c r="J1248" s="20" t="s">
        <v>249</v>
      </c>
      <c r="L1248" s="20" t="s">
        <v>60</v>
      </c>
      <c r="M1248" s="20" t="s">
        <v>60</v>
      </c>
      <c r="N1248" s="20" t="s">
        <v>30</v>
      </c>
      <c r="O1248" s="20">
        <v>2</v>
      </c>
      <c r="P1248" s="20">
        <v>3</v>
      </c>
      <c r="Q1248" s="13">
        <v>0.59177902208766475</v>
      </c>
      <c r="R1248" s="20" t="s">
        <v>249</v>
      </c>
      <c r="S1248" s="20">
        <v>0.44344734280081027</v>
      </c>
      <c r="T1248" s="20" t="s">
        <v>60</v>
      </c>
      <c r="U1248" s="20" t="s">
        <v>60</v>
      </c>
      <c r="V1248" s="20"/>
      <c r="W1248" s="20"/>
      <c r="X1248" s="20" t="s">
        <v>60</v>
      </c>
      <c r="Y1248" s="20" t="s">
        <v>412</v>
      </c>
      <c r="Z1248" s="20" t="s">
        <v>60</v>
      </c>
      <c r="AA1248" s="20" t="s">
        <v>491</v>
      </c>
    </row>
    <row r="1249" spans="1:27" x14ac:dyDescent="0.2">
      <c r="A1249" s="1">
        <v>46121</v>
      </c>
      <c r="B1249" s="20" t="s">
        <v>326</v>
      </c>
      <c r="C1249" s="20" t="s">
        <v>29</v>
      </c>
      <c r="D1249" s="20" t="s">
        <v>55</v>
      </c>
      <c r="E1249" s="20" t="s">
        <v>1081</v>
      </c>
      <c r="F1249" s="20" t="s">
        <v>55</v>
      </c>
      <c r="G1249" s="20">
        <v>2</v>
      </c>
      <c r="H1249" s="20">
        <v>3</v>
      </c>
      <c r="I1249" s="13">
        <v>0.6</v>
      </c>
      <c r="J1249" s="20" t="s">
        <v>249</v>
      </c>
      <c r="L1249" s="20" t="s">
        <v>60</v>
      </c>
      <c r="M1249" s="20" t="s">
        <v>60</v>
      </c>
      <c r="N1249" s="20" t="s">
        <v>55</v>
      </c>
      <c r="O1249" s="20">
        <v>2</v>
      </c>
      <c r="P1249" s="20">
        <v>3</v>
      </c>
      <c r="Q1249" s="13">
        <v>0.70089676550215485</v>
      </c>
      <c r="R1249" s="20" t="s">
        <v>249</v>
      </c>
      <c r="S1249" s="20">
        <v>1.031694743712041</v>
      </c>
      <c r="T1249" s="20" t="s">
        <v>60</v>
      </c>
      <c r="U1249" s="20" t="s">
        <v>60</v>
      </c>
      <c r="V1249" s="20"/>
      <c r="W1249" s="20"/>
      <c r="X1249" s="20" t="s">
        <v>60</v>
      </c>
      <c r="Y1249" s="20" t="s">
        <v>412</v>
      </c>
      <c r="Z1249" s="20" t="s">
        <v>60</v>
      </c>
      <c r="AA1249" s="20" t="s">
        <v>491</v>
      </c>
    </row>
    <row r="1250" spans="1:27" x14ac:dyDescent="0.2">
      <c r="A1250" s="1">
        <v>46121</v>
      </c>
      <c r="B1250" s="20" t="s">
        <v>324</v>
      </c>
      <c r="C1250" s="20" t="s">
        <v>40</v>
      </c>
      <c r="D1250" s="20" t="s">
        <v>35</v>
      </c>
      <c r="E1250" s="20" t="s">
        <v>1020</v>
      </c>
      <c r="F1250" s="20" t="s">
        <v>40</v>
      </c>
      <c r="G1250" s="20">
        <v>2</v>
      </c>
      <c r="H1250" s="20">
        <v>3</v>
      </c>
      <c r="I1250" s="13">
        <v>0.6</v>
      </c>
      <c r="J1250" s="20" t="s">
        <v>249</v>
      </c>
      <c r="L1250" s="20" t="s">
        <v>60</v>
      </c>
      <c r="M1250" s="20" t="s">
        <v>60</v>
      </c>
      <c r="N1250" s="20" t="s">
        <v>40</v>
      </c>
      <c r="O1250" s="20">
        <v>2</v>
      </c>
      <c r="P1250" s="20">
        <v>3</v>
      </c>
      <c r="Q1250" s="13">
        <v>0.60119290676073633</v>
      </c>
      <c r="R1250" s="20" t="s">
        <v>249</v>
      </c>
      <c r="S1250" s="20">
        <v>-1.031335799241768</v>
      </c>
      <c r="T1250" s="20" t="s">
        <v>60</v>
      </c>
      <c r="U1250" s="20" t="s">
        <v>60</v>
      </c>
      <c r="V1250" s="20"/>
      <c r="W1250" s="20"/>
      <c r="X1250" s="20" t="s">
        <v>60</v>
      </c>
      <c r="Y1250" s="20" t="s">
        <v>412</v>
      </c>
      <c r="Z1250" s="20" t="s">
        <v>60</v>
      </c>
      <c r="AA1250" s="20" t="s">
        <v>491</v>
      </c>
    </row>
    <row r="1251" spans="1:27" x14ac:dyDescent="0.2">
      <c r="A1251" s="1">
        <v>46121</v>
      </c>
      <c r="B1251" s="20" t="s">
        <v>322</v>
      </c>
      <c r="C1251" s="20" t="s">
        <v>20</v>
      </c>
      <c r="D1251" s="20" t="s">
        <v>32</v>
      </c>
      <c r="E1251" s="20" t="s">
        <v>536</v>
      </c>
      <c r="F1251" s="20" t="s">
        <v>20</v>
      </c>
      <c r="G1251" s="20">
        <v>2</v>
      </c>
      <c r="H1251" s="20">
        <v>3</v>
      </c>
      <c r="I1251" s="13">
        <v>0.6</v>
      </c>
      <c r="J1251" s="20" t="s">
        <v>249</v>
      </c>
      <c r="L1251" s="20" t="s">
        <v>60</v>
      </c>
      <c r="M1251" s="20" t="s">
        <v>60</v>
      </c>
      <c r="N1251" s="20" t="s">
        <v>20</v>
      </c>
      <c r="O1251" s="20">
        <v>2</v>
      </c>
      <c r="P1251" s="20">
        <v>3</v>
      </c>
      <c r="Q1251" s="13">
        <v>0.50145565279430626</v>
      </c>
      <c r="R1251" s="20" t="s">
        <v>249</v>
      </c>
      <c r="S1251" s="20">
        <v>-0.3550356560342911</v>
      </c>
      <c r="T1251" s="20" t="s">
        <v>60</v>
      </c>
      <c r="U1251" s="20" t="s">
        <v>60</v>
      </c>
      <c r="V1251" s="20"/>
      <c r="W1251" s="20"/>
      <c r="X1251" s="20" t="s">
        <v>60</v>
      </c>
      <c r="Y1251" s="20" t="s">
        <v>412</v>
      </c>
      <c r="Z1251" s="20" t="s">
        <v>60</v>
      </c>
      <c r="AA1251" s="20" t="s">
        <v>491</v>
      </c>
    </row>
    <row r="1252" spans="1:27" x14ac:dyDescent="0.2">
      <c r="A1252" s="1">
        <v>46121</v>
      </c>
      <c r="B1252" s="20" t="s">
        <v>328</v>
      </c>
      <c r="C1252" s="20" t="s">
        <v>11</v>
      </c>
      <c r="D1252" s="20" t="s">
        <v>36</v>
      </c>
      <c r="E1252" s="20" t="s">
        <v>1161</v>
      </c>
      <c r="F1252" s="20" t="s">
        <v>11</v>
      </c>
      <c r="G1252" s="20">
        <v>2</v>
      </c>
      <c r="H1252" s="20">
        <v>3</v>
      </c>
      <c r="I1252" s="13">
        <v>0.6</v>
      </c>
      <c r="J1252" s="20" t="s">
        <v>249</v>
      </c>
      <c r="L1252" s="20" t="s">
        <v>60</v>
      </c>
      <c r="M1252" s="20" t="s">
        <v>60</v>
      </c>
      <c r="N1252" s="20" t="s">
        <v>11</v>
      </c>
      <c r="O1252" s="20">
        <v>2</v>
      </c>
      <c r="P1252" s="20">
        <v>3</v>
      </c>
      <c r="Q1252" s="13">
        <v>0.46735444683623861</v>
      </c>
      <c r="R1252" s="20" t="s">
        <v>249</v>
      </c>
      <c r="S1252" s="20">
        <v>-8.4357010877569583E-2</v>
      </c>
      <c r="T1252" s="20" t="s">
        <v>60</v>
      </c>
      <c r="U1252" s="20" t="s">
        <v>60</v>
      </c>
      <c r="V1252" s="20"/>
      <c r="W1252" s="20"/>
      <c r="X1252" s="20" t="s">
        <v>60</v>
      </c>
      <c r="Y1252" s="20" t="s">
        <v>412</v>
      </c>
      <c r="Z1252" s="20" t="s">
        <v>60</v>
      </c>
      <c r="AA1252" s="20" t="s">
        <v>491</v>
      </c>
    </row>
    <row r="1253" spans="1:27" x14ac:dyDescent="0.2">
      <c r="A1253" s="1">
        <v>46121</v>
      </c>
      <c r="B1253" s="20" t="s">
        <v>328</v>
      </c>
      <c r="C1253" s="20" t="s">
        <v>14</v>
      </c>
      <c r="D1253" s="20" t="s">
        <v>24</v>
      </c>
      <c r="E1253" s="20" t="s">
        <v>825</v>
      </c>
      <c r="F1253" s="20" t="s">
        <v>24</v>
      </c>
      <c r="G1253" s="20">
        <v>2</v>
      </c>
      <c r="H1253" s="20">
        <v>3</v>
      </c>
      <c r="I1253" s="13">
        <v>0.6</v>
      </c>
      <c r="J1253" s="20" t="s">
        <v>249</v>
      </c>
      <c r="L1253" s="20" t="s">
        <v>60</v>
      </c>
      <c r="M1253" s="20" t="s">
        <v>60</v>
      </c>
      <c r="N1253" s="20" t="s">
        <v>24</v>
      </c>
      <c r="O1253" s="20">
        <v>2</v>
      </c>
      <c r="P1253" s="20">
        <v>3</v>
      </c>
      <c r="Q1253" s="13">
        <v>0.60470632805755864</v>
      </c>
      <c r="R1253" s="20" t="s">
        <v>249</v>
      </c>
      <c r="S1253" s="20">
        <v>0.19369522125325681</v>
      </c>
      <c r="T1253" s="20" t="s">
        <v>60</v>
      </c>
      <c r="U1253" s="20" t="s">
        <v>60</v>
      </c>
      <c r="V1253" s="20"/>
      <c r="W1253" s="20"/>
      <c r="X1253" s="20" t="s">
        <v>60</v>
      </c>
      <c r="Y1253" s="20" t="s">
        <v>412</v>
      </c>
      <c r="Z1253" s="20" t="s">
        <v>60</v>
      </c>
      <c r="AA1253" s="20" t="s">
        <v>491</v>
      </c>
    </row>
    <row r="1254" spans="1:27" x14ac:dyDescent="0.2">
      <c r="A1254" s="1">
        <v>46121</v>
      </c>
      <c r="B1254" s="20" t="s">
        <v>328</v>
      </c>
      <c r="C1254" s="20" t="s">
        <v>37</v>
      </c>
      <c r="D1254" s="20" t="s">
        <v>18</v>
      </c>
      <c r="E1254" s="20" t="s">
        <v>967</v>
      </c>
      <c r="F1254" s="20" t="s">
        <v>37</v>
      </c>
      <c r="G1254" s="20">
        <v>2</v>
      </c>
      <c r="H1254" s="20">
        <v>3</v>
      </c>
      <c r="I1254" s="13">
        <v>0.6</v>
      </c>
      <c r="J1254" s="20" t="s">
        <v>249</v>
      </c>
      <c r="L1254" s="20" t="s">
        <v>60</v>
      </c>
      <c r="M1254" s="20" t="s">
        <v>60</v>
      </c>
      <c r="N1254" s="20" t="s">
        <v>37</v>
      </c>
      <c r="O1254" s="20">
        <v>2</v>
      </c>
      <c r="P1254" s="20">
        <v>3</v>
      </c>
      <c r="Q1254" s="13">
        <v>0.67549714050132492</v>
      </c>
      <c r="R1254" s="20" t="s">
        <v>249</v>
      </c>
      <c r="S1254" s="20">
        <v>-1.053493826097267</v>
      </c>
      <c r="T1254" s="20" t="s">
        <v>60</v>
      </c>
      <c r="U1254" s="20" t="s">
        <v>60</v>
      </c>
      <c r="V1254" s="20"/>
      <c r="W1254" s="20"/>
      <c r="X1254" s="20" t="s">
        <v>60</v>
      </c>
      <c r="Y1254" s="20" t="s">
        <v>412</v>
      </c>
      <c r="Z1254" s="20" t="s">
        <v>60</v>
      </c>
      <c r="AA1254" s="20" t="s">
        <v>491</v>
      </c>
    </row>
    <row r="1255" spans="1:27" x14ac:dyDescent="0.2">
      <c r="A1255" s="1">
        <v>46121</v>
      </c>
      <c r="B1255" s="20" t="s">
        <v>725</v>
      </c>
      <c r="C1255" s="20" t="s">
        <v>27</v>
      </c>
      <c r="D1255" s="20" t="s">
        <v>26</v>
      </c>
      <c r="E1255" s="20" t="s">
        <v>1469</v>
      </c>
      <c r="F1255" s="20" t="s">
        <v>27</v>
      </c>
      <c r="G1255" s="20">
        <v>2</v>
      </c>
      <c r="H1255" s="20">
        <v>3</v>
      </c>
      <c r="I1255" s="13">
        <v>0.6</v>
      </c>
      <c r="J1255" s="20" t="s">
        <v>249</v>
      </c>
      <c r="L1255" s="20" t="s">
        <v>60</v>
      </c>
      <c r="M1255" s="20" t="s">
        <v>60</v>
      </c>
      <c r="N1255" s="20" t="s">
        <v>27</v>
      </c>
      <c r="O1255" s="20">
        <v>2</v>
      </c>
      <c r="P1255" s="20">
        <v>3</v>
      </c>
      <c r="Q1255" s="13">
        <v>0.55449614389216906</v>
      </c>
      <c r="R1255" s="20" t="s">
        <v>249</v>
      </c>
      <c r="S1255" s="20">
        <v>-0.44519923260283101</v>
      </c>
      <c r="T1255" s="20" t="s">
        <v>60</v>
      </c>
      <c r="U1255" s="20" t="s">
        <v>60</v>
      </c>
      <c r="V1255" s="20"/>
      <c r="W1255" s="20"/>
      <c r="X1255" s="20" t="s">
        <v>60</v>
      </c>
      <c r="Y1255" s="20" t="s">
        <v>412</v>
      </c>
      <c r="Z1255" s="20" t="s">
        <v>60</v>
      </c>
      <c r="AA1255" s="20" t="s">
        <v>491</v>
      </c>
    </row>
    <row r="1256" spans="1:27" x14ac:dyDescent="0.2">
      <c r="A1256" s="1">
        <v>46121</v>
      </c>
      <c r="B1256" s="20" t="s">
        <v>326</v>
      </c>
      <c r="C1256" s="20" t="s">
        <v>34</v>
      </c>
      <c r="D1256" s="20" t="s">
        <v>39</v>
      </c>
      <c r="E1256" s="20" t="s">
        <v>565</v>
      </c>
      <c r="F1256" s="20" t="s">
        <v>39</v>
      </c>
      <c r="G1256" s="20">
        <v>2</v>
      </c>
      <c r="H1256" s="20">
        <v>3</v>
      </c>
      <c r="I1256" s="13">
        <v>0.6</v>
      </c>
      <c r="J1256" s="20" t="s">
        <v>249</v>
      </c>
      <c r="L1256" s="20" t="s">
        <v>60</v>
      </c>
      <c r="M1256" s="20" t="s">
        <v>60</v>
      </c>
      <c r="N1256" s="20" t="s">
        <v>39</v>
      </c>
      <c r="O1256" s="20">
        <v>2</v>
      </c>
      <c r="P1256" s="20">
        <v>3</v>
      </c>
      <c r="Q1256" s="13">
        <v>0.5906592774329128</v>
      </c>
      <c r="R1256" s="20" t="s">
        <v>249</v>
      </c>
      <c r="S1256" s="20">
        <v>0.51846803822776111</v>
      </c>
      <c r="T1256" s="20" t="s">
        <v>60</v>
      </c>
      <c r="U1256" s="20" t="s">
        <v>60</v>
      </c>
      <c r="V1256" s="20"/>
      <c r="W1256" s="20"/>
      <c r="X1256" s="20" t="s">
        <v>60</v>
      </c>
      <c r="Y1256" s="20" t="s">
        <v>412</v>
      </c>
      <c r="Z1256" s="20" t="s">
        <v>60</v>
      </c>
      <c r="AA1256" s="20" t="s">
        <v>491</v>
      </c>
    </row>
    <row r="1257" spans="1:27" x14ac:dyDescent="0.2">
      <c r="A1257" s="1">
        <v>46121</v>
      </c>
      <c r="B1257" s="20" t="s">
        <v>326</v>
      </c>
      <c r="C1257" s="20" t="s">
        <v>16</v>
      </c>
      <c r="D1257" s="20" t="s">
        <v>12</v>
      </c>
      <c r="E1257" s="20" t="s">
        <v>1476</v>
      </c>
      <c r="F1257" s="20" t="s">
        <v>12</v>
      </c>
      <c r="G1257" s="20">
        <v>2</v>
      </c>
      <c r="H1257" s="20">
        <v>3</v>
      </c>
      <c r="I1257" s="13">
        <v>0.6</v>
      </c>
      <c r="J1257" s="20" t="s">
        <v>249</v>
      </c>
      <c r="L1257" s="20" t="s">
        <v>60</v>
      </c>
      <c r="M1257" s="20" t="s">
        <v>60</v>
      </c>
      <c r="N1257" s="20" t="s">
        <v>12</v>
      </c>
      <c r="O1257" s="20">
        <v>2</v>
      </c>
      <c r="P1257" s="20">
        <v>3</v>
      </c>
      <c r="Q1257" s="13">
        <v>0.96515107726433957</v>
      </c>
      <c r="R1257" s="20" t="s">
        <v>249</v>
      </c>
      <c r="S1257" s="20">
        <v>2.7475856863947601</v>
      </c>
      <c r="T1257" s="20" t="s">
        <v>60</v>
      </c>
      <c r="U1257" s="20" t="s">
        <v>60</v>
      </c>
      <c r="V1257" s="20"/>
      <c r="W1257" s="20"/>
      <c r="X1257" s="20" t="s">
        <v>60</v>
      </c>
      <c r="Y1257" s="20" t="s">
        <v>412</v>
      </c>
      <c r="Z1257" s="20" t="s">
        <v>60</v>
      </c>
      <c r="AA1257" s="20" t="s">
        <v>491</v>
      </c>
    </row>
    <row r="1258" spans="1:27" x14ac:dyDescent="0.2">
      <c r="A1258" s="1">
        <v>46121</v>
      </c>
      <c r="B1258" s="20" t="s">
        <v>416</v>
      </c>
      <c r="C1258" s="20" t="s">
        <v>25</v>
      </c>
      <c r="D1258" s="20" t="s">
        <v>10</v>
      </c>
      <c r="E1258" s="20" t="s">
        <v>1500</v>
      </c>
      <c r="F1258" s="20" t="s">
        <v>25</v>
      </c>
      <c r="G1258" s="20">
        <v>2</v>
      </c>
      <c r="H1258" s="20">
        <v>3</v>
      </c>
      <c r="I1258" s="13">
        <v>0.6</v>
      </c>
      <c r="J1258" s="20" t="s">
        <v>249</v>
      </c>
      <c r="L1258" s="20" t="s">
        <v>60</v>
      </c>
      <c r="M1258" s="20" t="s">
        <v>60</v>
      </c>
      <c r="N1258" s="20" t="s">
        <v>25</v>
      </c>
      <c r="O1258" s="20">
        <v>2</v>
      </c>
      <c r="P1258" s="20">
        <v>3</v>
      </c>
      <c r="Q1258" s="13">
        <v>0.59707388825222985</v>
      </c>
      <c r="R1258" s="20" t="s">
        <v>249</v>
      </c>
      <c r="S1258" s="20">
        <v>-0.55197064358970382</v>
      </c>
      <c r="T1258" s="20" t="s">
        <v>60</v>
      </c>
      <c r="U1258" s="20" t="s">
        <v>60</v>
      </c>
      <c r="V1258" s="20"/>
      <c r="W1258" s="20"/>
      <c r="X1258" s="20" t="s">
        <v>60</v>
      </c>
      <c r="Y1258" s="20" t="s">
        <v>412</v>
      </c>
      <c r="Z1258" s="20" t="s">
        <v>60</v>
      </c>
      <c r="AA1258" s="20" t="s">
        <v>491</v>
      </c>
    </row>
    <row r="1259" spans="1:27" x14ac:dyDescent="0.2">
      <c r="A1259" s="1">
        <v>46121</v>
      </c>
      <c r="B1259" s="20" t="s">
        <v>328</v>
      </c>
      <c r="C1259" s="20" t="s">
        <v>28</v>
      </c>
      <c r="D1259" s="20" t="s">
        <v>23</v>
      </c>
      <c r="E1259" s="20" t="s">
        <v>722</v>
      </c>
      <c r="F1259" s="20" t="s">
        <v>23</v>
      </c>
      <c r="G1259" s="20">
        <v>2</v>
      </c>
      <c r="H1259" s="20">
        <v>3</v>
      </c>
      <c r="I1259" s="13">
        <v>0.6</v>
      </c>
      <c r="J1259" s="20" t="s">
        <v>249</v>
      </c>
      <c r="L1259" s="20" t="s">
        <v>60</v>
      </c>
      <c r="M1259" s="20" t="s">
        <v>60</v>
      </c>
      <c r="N1259" s="20" t="s">
        <v>23</v>
      </c>
      <c r="O1259" s="20">
        <v>2</v>
      </c>
      <c r="P1259" s="20">
        <v>3</v>
      </c>
      <c r="Q1259" s="13">
        <v>0.5662662274862772</v>
      </c>
      <c r="R1259" s="20" t="s">
        <v>249</v>
      </c>
      <c r="S1259" s="20">
        <v>0.16877971753311299</v>
      </c>
      <c r="T1259" s="20" t="s">
        <v>60</v>
      </c>
      <c r="U1259" s="20" t="s">
        <v>60</v>
      </c>
      <c r="V1259" s="20"/>
      <c r="W1259" s="20"/>
      <c r="X1259" s="20" t="s">
        <v>60</v>
      </c>
      <c r="Y1259" s="20" t="s">
        <v>412</v>
      </c>
      <c r="Z1259" s="20" t="s">
        <v>60</v>
      </c>
      <c r="AA1259" s="20" t="s">
        <v>491</v>
      </c>
    </row>
    <row r="1260" spans="1:27" x14ac:dyDescent="0.2">
      <c r="A1260" s="1">
        <v>46121</v>
      </c>
      <c r="B1260" s="20" t="s">
        <v>322</v>
      </c>
      <c r="C1260" s="20" t="s">
        <v>33</v>
      </c>
      <c r="D1260" s="20" t="s">
        <v>31</v>
      </c>
      <c r="E1260" s="20" t="s">
        <v>1080</v>
      </c>
      <c r="F1260" s="20" t="s">
        <v>31</v>
      </c>
      <c r="G1260" s="20">
        <v>2</v>
      </c>
      <c r="H1260" s="20">
        <v>3</v>
      </c>
      <c r="I1260" s="13">
        <v>0.6</v>
      </c>
      <c r="J1260" s="20" t="s">
        <v>249</v>
      </c>
      <c r="L1260" s="20" t="s">
        <v>60</v>
      </c>
      <c r="M1260" s="20" t="s">
        <v>60</v>
      </c>
      <c r="N1260" s="20" t="s">
        <v>31</v>
      </c>
      <c r="O1260" s="20">
        <v>2</v>
      </c>
      <c r="P1260" s="20">
        <v>3</v>
      </c>
      <c r="Q1260" s="13">
        <v>0.69922712946183019</v>
      </c>
      <c r="R1260" s="20" t="s">
        <v>249</v>
      </c>
      <c r="S1260" s="20">
        <v>0.67993476314467216</v>
      </c>
      <c r="T1260" s="20" t="s">
        <v>60</v>
      </c>
      <c r="U1260" s="20" t="s">
        <v>60</v>
      </c>
      <c r="V1260" s="20"/>
      <c r="W1260" s="20"/>
      <c r="X1260" s="20" t="s">
        <v>60</v>
      </c>
      <c r="Y1260" s="20" t="s">
        <v>412</v>
      </c>
      <c r="Z1260" s="20" t="s">
        <v>60</v>
      </c>
      <c r="AA1260" s="20" t="s">
        <v>491</v>
      </c>
    </row>
    <row r="1261" spans="1:27" x14ac:dyDescent="0.2">
      <c r="A1261" s="1">
        <v>46121</v>
      </c>
      <c r="B1261" s="20" t="s">
        <v>340</v>
      </c>
      <c r="C1261" s="20" t="s">
        <v>38</v>
      </c>
      <c r="D1261" s="20" t="s">
        <v>13</v>
      </c>
      <c r="E1261" s="20" t="s">
        <v>455</v>
      </c>
      <c r="F1261" s="20" t="s">
        <v>13</v>
      </c>
      <c r="G1261" s="20">
        <v>2</v>
      </c>
      <c r="H1261" s="20">
        <v>3</v>
      </c>
      <c r="I1261" s="13">
        <v>0.6</v>
      </c>
      <c r="J1261" s="20" t="s">
        <v>249</v>
      </c>
      <c r="L1261" s="20" t="s">
        <v>60</v>
      </c>
      <c r="M1261" s="20" t="s">
        <v>60</v>
      </c>
      <c r="N1261" s="20" t="s">
        <v>13</v>
      </c>
      <c r="O1261" s="20">
        <v>2</v>
      </c>
      <c r="P1261" s="20">
        <v>3</v>
      </c>
      <c r="Q1261" s="13">
        <v>0.61340625175833186</v>
      </c>
      <c r="R1261" s="20" t="s">
        <v>249</v>
      </c>
      <c r="S1261" s="20">
        <v>0.65929490535675295</v>
      </c>
      <c r="T1261" s="20" t="s">
        <v>60</v>
      </c>
      <c r="U1261" s="20" t="s">
        <v>60</v>
      </c>
      <c r="V1261" s="20"/>
      <c r="W1261" s="20"/>
      <c r="X1261" s="20" t="s">
        <v>60</v>
      </c>
      <c r="Y1261" s="20" t="s">
        <v>412</v>
      </c>
      <c r="Z1261" s="20" t="s">
        <v>60</v>
      </c>
      <c r="AA1261" s="20" t="s">
        <v>491</v>
      </c>
    </row>
    <row r="1262" spans="1:27" x14ac:dyDescent="0.2">
      <c r="A1262" s="1">
        <v>46123</v>
      </c>
      <c r="B1262" s="20" t="s">
        <v>453</v>
      </c>
      <c r="C1262" s="20" t="s">
        <v>22</v>
      </c>
      <c r="D1262" s="20" t="s">
        <v>14</v>
      </c>
      <c r="E1262" s="20" t="s">
        <v>798</v>
      </c>
      <c r="F1262" s="20" t="s">
        <v>22</v>
      </c>
      <c r="G1262" s="20">
        <v>2</v>
      </c>
      <c r="H1262" s="20">
        <v>3</v>
      </c>
      <c r="I1262" s="13">
        <v>0.6</v>
      </c>
      <c r="J1262" s="20" t="s">
        <v>249</v>
      </c>
      <c r="L1262" s="20" t="s">
        <v>60</v>
      </c>
      <c r="M1262" s="20" t="s">
        <v>60</v>
      </c>
      <c r="N1262" s="20" t="s">
        <v>22</v>
      </c>
      <c r="O1262" s="20">
        <v>2</v>
      </c>
      <c r="P1262" s="20">
        <v>3</v>
      </c>
      <c r="Q1262" s="13">
        <v>0.56475643524283603</v>
      </c>
      <c r="R1262" s="20" t="s">
        <v>249</v>
      </c>
      <c r="S1262" s="20">
        <v>-0.53307070549608448</v>
      </c>
      <c r="T1262" s="20" t="s">
        <v>60</v>
      </c>
      <c r="U1262" s="20" t="s">
        <v>60</v>
      </c>
      <c r="V1262" s="20"/>
      <c r="W1262" s="20"/>
      <c r="X1262" s="20" t="s">
        <v>60</v>
      </c>
      <c r="Y1262" s="20" t="s">
        <v>412</v>
      </c>
      <c r="Z1262" s="20" t="s">
        <v>60</v>
      </c>
      <c r="AA1262" s="20" t="s">
        <v>491</v>
      </c>
    </row>
    <row r="1263" spans="1:27" x14ac:dyDescent="0.2">
      <c r="A1263" s="1">
        <v>46123</v>
      </c>
      <c r="B1263" s="20" t="s">
        <v>328</v>
      </c>
      <c r="C1263" s="20" t="s">
        <v>16</v>
      </c>
      <c r="D1263" s="20" t="s">
        <v>32</v>
      </c>
      <c r="E1263" s="20" t="s">
        <v>1501</v>
      </c>
      <c r="F1263" s="20" t="s">
        <v>32</v>
      </c>
      <c r="G1263" s="20">
        <v>2</v>
      </c>
      <c r="H1263" s="20">
        <v>3</v>
      </c>
      <c r="I1263" s="13">
        <v>0.6</v>
      </c>
      <c r="J1263" s="20" t="s">
        <v>249</v>
      </c>
      <c r="L1263" s="20" t="s">
        <v>60</v>
      </c>
      <c r="M1263" s="20" t="s">
        <v>60</v>
      </c>
      <c r="N1263" s="20" t="s">
        <v>32</v>
      </c>
      <c r="O1263" s="20">
        <v>2</v>
      </c>
      <c r="P1263" s="20">
        <v>3</v>
      </c>
      <c r="Q1263" s="13">
        <v>0.59444796671407507</v>
      </c>
      <c r="R1263" s="20" t="s">
        <v>249</v>
      </c>
      <c r="S1263" s="20">
        <v>0.46630479268969333</v>
      </c>
      <c r="T1263" s="20" t="s">
        <v>60</v>
      </c>
      <c r="U1263" s="20" t="s">
        <v>60</v>
      </c>
      <c r="V1263" s="20"/>
      <c r="W1263" s="20"/>
      <c r="X1263" s="20" t="s">
        <v>60</v>
      </c>
      <c r="Y1263" s="20" t="s">
        <v>412</v>
      </c>
      <c r="Z1263" s="20" t="s">
        <v>60</v>
      </c>
      <c r="AA1263" s="20" t="s">
        <v>491</v>
      </c>
    </row>
    <row r="1264" spans="1:27" x14ac:dyDescent="0.2">
      <c r="A1264" s="1">
        <v>46123</v>
      </c>
      <c r="B1264" s="20" t="s">
        <v>328</v>
      </c>
      <c r="C1264" s="20" t="s">
        <v>27</v>
      </c>
      <c r="D1264" s="20" t="s">
        <v>40</v>
      </c>
      <c r="E1264" s="20" t="s">
        <v>1502</v>
      </c>
      <c r="F1264" s="20" t="s">
        <v>40</v>
      </c>
      <c r="G1264" s="20">
        <v>2</v>
      </c>
      <c r="H1264" s="20">
        <v>3</v>
      </c>
      <c r="I1264" s="13">
        <v>0.6</v>
      </c>
      <c r="J1264" s="20" t="s">
        <v>249</v>
      </c>
      <c r="L1264" s="20" t="s">
        <v>60</v>
      </c>
      <c r="M1264" s="20" t="s">
        <v>60</v>
      </c>
      <c r="N1264" s="20" t="s">
        <v>40</v>
      </c>
      <c r="O1264" s="20">
        <v>2</v>
      </c>
      <c r="P1264" s="20">
        <v>3</v>
      </c>
      <c r="Q1264" s="13">
        <v>0.51364962618335208</v>
      </c>
      <c r="R1264" s="20" t="s">
        <v>249</v>
      </c>
      <c r="S1264" s="20">
        <v>0.1168985086466869</v>
      </c>
      <c r="T1264" s="20" t="s">
        <v>60</v>
      </c>
      <c r="U1264" s="20" t="s">
        <v>60</v>
      </c>
      <c r="V1264" s="20"/>
      <c r="W1264" s="20"/>
      <c r="X1264" s="20" t="s">
        <v>60</v>
      </c>
      <c r="Y1264" s="20" t="s">
        <v>412</v>
      </c>
      <c r="Z1264" s="20" t="s">
        <v>60</v>
      </c>
      <c r="AA1264" s="20" t="s">
        <v>491</v>
      </c>
    </row>
    <row r="1265" spans="1:27" x14ac:dyDescent="0.2">
      <c r="A1265" s="1">
        <v>46123</v>
      </c>
      <c r="B1265" s="20" t="s">
        <v>328</v>
      </c>
      <c r="C1265" s="20" t="s">
        <v>11</v>
      </c>
      <c r="D1265" s="20" t="s">
        <v>19</v>
      </c>
      <c r="E1265" s="20" t="s">
        <v>1134</v>
      </c>
      <c r="F1265" s="20" t="s">
        <v>11</v>
      </c>
      <c r="G1265" s="20">
        <v>2</v>
      </c>
      <c r="H1265" s="20">
        <v>3</v>
      </c>
      <c r="I1265" s="13">
        <v>0.6</v>
      </c>
      <c r="J1265" s="20" t="s">
        <v>249</v>
      </c>
      <c r="L1265" s="20" t="s">
        <v>60</v>
      </c>
      <c r="M1265" s="20" t="s">
        <v>60</v>
      </c>
      <c r="N1265" s="20" t="s">
        <v>11</v>
      </c>
      <c r="O1265" s="20">
        <v>2</v>
      </c>
      <c r="P1265" s="20">
        <v>3</v>
      </c>
      <c r="Q1265" s="13">
        <v>0.48188866932349261</v>
      </c>
      <c r="R1265" s="20" t="s">
        <v>249</v>
      </c>
      <c r="S1265" s="20">
        <v>-0.18745955133171149</v>
      </c>
      <c r="T1265" s="20" t="s">
        <v>60</v>
      </c>
      <c r="U1265" s="20" t="s">
        <v>60</v>
      </c>
      <c r="V1265" s="20"/>
      <c r="W1265" s="20"/>
      <c r="X1265" s="20" t="s">
        <v>60</v>
      </c>
      <c r="Y1265" s="20" t="s">
        <v>412</v>
      </c>
      <c r="Z1265" s="20" t="s">
        <v>60</v>
      </c>
      <c r="AA1265" s="20" t="s">
        <v>491</v>
      </c>
    </row>
    <row r="1266" spans="1:27" x14ac:dyDescent="0.2">
      <c r="A1266" s="1">
        <v>46123</v>
      </c>
      <c r="B1266" s="20" t="s">
        <v>365</v>
      </c>
      <c r="C1266" s="20" t="s">
        <v>25</v>
      </c>
      <c r="D1266" s="20" t="s">
        <v>55</v>
      </c>
      <c r="E1266" s="20" t="s">
        <v>1503</v>
      </c>
      <c r="F1266" s="20" t="s">
        <v>25</v>
      </c>
      <c r="G1266" s="20">
        <v>2</v>
      </c>
      <c r="H1266" s="20">
        <v>3</v>
      </c>
      <c r="I1266" s="13">
        <v>0.6</v>
      </c>
      <c r="J1266" s="20" t="s">
        <v>249</v>
      </c>
      <c r="L1266" s="20" t="s">
        <v>60</v>
      </c>
      <c r="M1266" s="20" t="s">
        <v>60</v>
      </c>
      <c r="N1266" s="20" t="s">
        <v>25</v>
      </c>
      <c r="O1266" s="20">
        <v>2</v>
      </c>
      <c r="P1266" s="20">
        <v>3</v>
      </c>
      <c r="Q1266" s="13">
        <v>0.58256791128065522</v>
      </c>
      <c r="R1266" s="20" t="s">
        <v>249</v>
      </c>
      <c r="S1266" s="20">
        <v>-0.77889767742657268</v>
      </c>
      <c r="T1266" s="20" t="s">
        <v>60</v>
      </c>
      <c r="U1266" s="20" t="s">
        <v>60</v>
      </c>
      <c r="V1266" s="20"/>
      <c r="W1266" s="20"/>
      <c r="X1266" s="20" t="s">
        <v>60</v>
      </c>
      <c r="Y1266" s="20" t="s">
        <v>412</v>
      </c>
      <c r="Z1266" s="20" t="s">
        <v>60</v>
      </c>
      <c r="AA1266" s="20" t="s">
        <v>491</v>
      </c>
    </row>
    <row r="1267" spans="1:27" x14ac:dyDescent="0.2">
      <c r="A1267" s="1">
        <v>46123</v>
      </c>
      <c r="B1267" s="20" t="s">
        <v>322</v>
      </c>
      <c r="C1267" s="20" t="s">
        <v>38</v>
      </c>
      <c r="D1267" s="20" t="s">
        <v>33</v>
      </c>
      <c r="E1267" s="20" t="s">
        <v>444</v>
      </c>
      <c r="F1267" s="20" t="s">
        <v>33</v>
      </c>
      <c r="G1267" s="20">
        <v>2</v>
      </c>
      <c r="H1267" s="20">
        <v>3</v>
      </c>
      <c r="I1267" s="13">
        <v>0.6</v>
      </c>
      <c r="J1267" s="20" t="s">
        <v>249</v>
      </c>
      <c r="L1267" s="20" t="s">
        <v>60</v>
      </c>
      <c r="M1267" s="20" t="s">
        <v>60</v>
      </c>
      <c r="N1267" s="20" t="s">
        <v>33</v>
      </c>
      <c r="O1267" s="20">
        <v>2</v>
      </c>
      <c r="P1267" s="20">
        <v>3</v>
      </c>
      <c r="Q1267" s="13">
        <v>0.61034116347665668</v>
      </c>
      <c r="R1267" s="20" t="s">
        <v>249</v>
      </c>
      <c r="S1267" s="20">
        <v>0.54624751165172314</v>
      </c>
      <c r="T1267" s="20" t="s">
        <v>60</v>
      </c>
      <c r="U1267" s="20" t="s">
        <v>60</v>
      </c>
      <c r="V1267" s="20"/>
      <c r="W1267" s="20"/>
      <c r="X1267" s="20" t="s">
        <v>60</v>
      </c>
      <c r="Y1267" s="20" t="s">
        <v>412</v>
      </c>
      <c r="Z1267" s="20" t="s">
        <v>60</v>
      </c>
      <c r="AA1267" s="20" t="s">
        <v>491</v>
      </c>
    </row>
    <row r="1268" spans="1:27" x14ac:dyDescent="0.2">
      <c r="A1268" s="1">
        <v>46123</v>
      </c>
      <c r="B1268" s="20" t="s">
        <v>365</v>
      </c>
      <c r="C1268" s="20" t="s">
        <v>34</v>
      </c>
      <c r="D1268" s="20" t="s">
        <v>29</v>
      </c>
      <c r="E1268" s="20" t="s">
        <v>1305</v>
      </c>
      <c r="F1268" s="20" t="s">
        <v>34</v>
      </c>
      <c r="G1268" s="20">
        <v>2</v>
      </c>
      <c r="H1268" s="20">
        <v>3</v>
      </c>
      <c r="I1268" s="13">
        <v>0.6</v>
      </c>
      <c r="J1268" s="20" t="s">
        <v>249</v>
      </c>
      <c r="L1268" s="20" t="s">
        <v>60</v>
      </c>
      <c r="M1268" s="20" t="s">
        <v>60</v>
      </c>
      <c r="N1268" s="20" t="s">
        <v>34</v>
      </c>
      <c r="O1268" s="20">
        <v>2</v>
      </c>
      <c r="P1268" s="20">
        <v>3</v>
      </c>
      <c r="Q1268" s="13">
        <v>0.65195881418139467</v>
      </c>
      <c r="R1268" s="20" t="s">
        <v>249</v>
      </c>
      <c r="S1268" s="20">
        <v>-1.2798917474374201</v>
      </c>
      <c r="T1268" s="20" t="s">
        <v>60</v>
      </c>
      <c r="U1268" s="20" t="s">
        <v>60</v>
      </c>
      <c r="V1268" s="20"/>
      <c r="W1268" s="20"/>
      <c r="X1268" s="20" t="s">
        <v>60</v>
      </c>
      <c r="Y1268" s="20" t="s">
        <v>412</v>
      </c>
      <c r="Z1268" s="20" t="s">
        <v>60</v>
      </c>
      <c r="AA1268" s="20" t="s">
        <v>491</v>
      </c>
    </row>
    <row r="1269" spans="1:27" x14ac:dyDescent="0.2">
      <c r="A1269" s="1">
        <v>46123</v>
      </c>
      <c r="B1269" s="20" t="s">
        <v>347</v>
      </c>
      <c r="C1269" s="20" t="s">
        <v>36</v>
      </c>
      <c r="D1269" s="20" t="s">
        <v>30</v>
      </c>
      <c r="E1269" s="20" t="s">
        <v>1504</v>
      </c>
      <c r="F1269" s="20" t="s">
        <v>30</v>
      </c>
      <c r="G1269" s="20">
        <v>2</v>
      </c>
      <c r="H1269" s="20">
        <v>3</v>
      </c>
      <c r="I1269" s="13">
        <v>0.6</v>
      </c>
      <c r="J1269" s="20" t="s">
        <v>249</v>
      </c>
      <c r="L1269" s="20" t="s">
        <v>60</v>
      </c>
      <c r="M1269" s="20" t="s">
        <v>60</v>
      </c>
      <c r="N1269" s="20" t="s">
        <v>30</v>
      </c>
      <c r="O1269" s="20">
        <v>2</v>
      </c>
      <c r="P1269" s="20">
        <v>3</v>
      </c>
      <c r="Q1269" s="13">
        <v>0.57974027880475065</v>
      </c>
      <c r="R1269" s="20" t="s">
        <v>249</v>
      </c>
      <c r="S1269" s="20">
        <v>0.34034480234666842</v>
      </c>
      <c r="T1269" s="20" t="s">
        <v>60</v>
      </c>
      <c r="U1269" s="20" t="s">
        <v>60</v>
      </c>
      <c r="V1269" s="20"/>
      <c r="W1269" s="20"/>
      <c r="X1269" s="20" t="s">
        <v>60</v>
      </c>
      <c r="Y1269" s="20" t="s">
        <v>412</v>
      </c>
      <c r="Z1269" s="20" t="s">
        <v>60</v>
      </c>
      <c r="AA1269" s="20" t="s">
        <v>491</v>
      </c>
    </row>
    <row r="1270" spans="1:27" x14ac:dyDescent="0.2">
      <c r="A1270" s="1">
        <v>46123</v>
      </c>
      <c r="B1270" s="20" t="s">
        <v>369</v>
      </c>
      <c r="C1270" s="20" t="s">
        <v>17</v>
      </c>
      <c r="D1270" s="20" t="s">
        <v>13</v>
      </c>
      <c r="E1270" s="20" t="s">
        <v>1316</v>
      </c>
      <c r="F1270" s="20" t="s">
        <v>13</v>
      </c>
      <c r="G1270" s="20">
        <v>2</v>
      </c>
      <c r="H1270" s="20">
        <v>3</v>
      </c>
      <c r="I1270" s="13">
        <v>0.6</v>
      </c>
      <c r="J1270" s="20" t="s">
        <v>249</v>
      </c>
      <c r="L1270" s="20" t="s">
        <v>60</v>
      </c>
      <c r="M1270" s="20" t="s">
        <v>60</v>
      </c>
      <c r="N1270" s="20" t="s">
        <v>13</v>
      </c>
      <c r="O1270" s="20">
        <v>2</v>
      </c>
      <c r="P1270" s="20">
        <v>3</v>
      </c>
      <c r="Q1270" s="13">
        <v>0.60181103819323645</v>
      </c>
      <c r="R1270" s="20" t="s">
        <v>249</v>
      </c>
      <c r="S1270" s="20">
        <v>0.52936381448347047</v>
      </c>
      <c r="T1270" s="20" t="s">
        <v>60</v>
      </c>
      <c r="U1270" s="20" t="s">
        <v>60</v>
      </c>
      <c r="V1270" s="20"/>
      <c r="W1270" s="20"/>
      <c r="X1270" s="20" t="s">
        <v>60</v>
      </c>
      <c r="Y1270" s="20" t="s">
        <v>412</v>
      </c>
      <c r="Z1270" s="20" t="s">
        <v>60</v>
      </c>
      <c r="AA1270" s="20" t="s">
        <v>491</v>
      </c>
    </row>
    <row r="1271" spans="1:27" x14ac:dyDescent="0.2">
      <c r="A1271" s="1">
        <v>46123</v>
      </c>
      <c r="B1271" s="20" t="s">
        <v>365</v>
      </c>
      <c r="C1271" s="20" t="s">
        <v>24</v>
      </c>
      <c r="D1271" s="20" t="s">
        <v>26</v>
      </c>
      <c r="E1271" s="20" t="s">
        <v>1505</v>
      </c>
      <c r="F1271" s="20" t="s">
        <v>24</v>
      </c>
      <c r="G1271" s="20">
        <v>2</v>
      </c>
      <c r="H1271" s="20">
        <v>3</v>
      </c>
      <c r="I1271" s="13">
        <v>0.6</v>
      </c>
      <c r="J1271" s="20" t="s">
        <v>249</v>
      </c>
      <c r="L1271" s="20" t="s">
        <v>60</v>
      </c>
      <c r="M1271" s="20" t="s">
        <v>60</v>
      </c>
      <c r="N1271" s="20" t="s">
        <v>24</v>
      </c>
      <c r="O1271" s="20">
        <v>2</v>
      </c>
      <c r="P1271" s="20">
        <v>3</v>
      </c>
      <c r="Q1271" s="13">
        <v>0.57733007451907226</v>
      </c>
      <c r="R1271" s="20" t="s">
        <v>249</v>
      </c>
      <c r="S1271" s="20">
        <v>-0.82696906687375127</v>
      </c>
      <c r="T1271" s="20" t="s">
        <v>60</v>
      </c>
      <c r="U1271" s="20" t="s">
        <v>60</v>
      </c>
      <c r="V1271" s="20"/>
      <c r="W1271" s="20"/>
      <c r="X1271" s="20" t="s">
        <v>60</v>
      </c>
      <c r="Y1271" s="20" t="s">
        <v>412</v>
      </c>
      <c r="Z1271" s="20" t="s">
        <v>60</v>
      </c>
      <c r="AA1271" s="20" t="s">
        <v>491</v>
      </c>
    </row>
    <row r="1272" spans="1:27" x14ac:dyDescent="0.2">
      <c r="A1272" s="1">
        <v>46123</v>
      </c>
      <c r="B1272" s="20" t="s">
        <v>365</v>
      </c>
      <c r="C1272" s="20" t="s">
        <v>15</v>
      </c>
      <c r="D1272" s="20" t="s">
        <v>39</v>
      </c>
      <c r="E1272" s="20" t="s">
        <v>1506</v>
      </c>
      <c r="F1272" s="20" t="s">
        <v>39</v>
      </c>
      <c r="G1272" s="20">
        <v>2</v>
      </c>
      <c r="H1272" s="20">
        <v>3</v>
      </c>
      <c r="I1272" s="13">
        <v>0.6</v>
      </c>
      <c r="J1272" s="20" t="s">
        <v>249</v>
      </c>
      <c r="L1272" s="20" t="s">
        <v>60</v>
      </c>
      <c r="M1272" s="20" t="s">
        <v>60</v>
      </c>
      <c r="N1272" s="20" t="s">
        <v>39</v>
      </c>
      <c r="O1272" s="20">
        <v>2</v>
      </c>
      <c r="P1272" s="20">
        <v>3</v>
      </c>
      <c r="Q1272" s="13">
        <v>0.56029263451851241</v>
      </c>
      <c r="R1272" s="20" t="s">
        <v>249</v>
      </c>
      <c r="S1272" s="20">
        <v>0.75337723526222489</v>
      </c>
      <c r="T1272" s="20" t="s">
        <v>60</v>
      </c>
      <c r="U1272" s="20" t="s">
        <v>60</v>
      </c>
      <c r="V1272" s="20"/>
      <c r="W1272" s="20"/>
      <c r="X1272" s="20" t="s">
        <v>60</v>
      </c>
      <c r="Y1272" s="20" t="s">
        <v>412</v>
      </c>
      <c r="Z1272" s="20" t="s">
        <v>60</v>
      </c>
      <c r="AA1272" s="20" t="s">
        <v>491</v>
      </c>
    </row>
    <row r="1273" spans="1:27" x14ac:dyDescent="0.2">
      <c r="A1273" s="1">
        <v>46123</v>
      </c>
      <c r="B1273" s="20" t="s">
        <v>324</v>
      </c>
      <c r="C1273" s="20" t="s">
        <v>20</v>
      </c>
      <c r="D1273" s="20" t="s">
        <v>12</v>
      </c>
      <c r="E1273" s="20" t="s">
        <v>1507</v>
      </c>
      <c r="F1273" s="20" t="s">
        <v>12</v>
      </c>
      <c r="G1273" s="20">
        <v>2</v>
      </c>
      <c r="H1273" s="20">
        <v>3</v>
      </c>
      <c r="I1273" s="13">
        <v>0.6</v>
      </c>
      <c r="J1273" s="20" t="s">
        <v>249</v>
      </c>
      <c r="L1273" s="20" t="s">
        <v>60</v>
      </c>
      <c r="M1273" s="20" t="s">
        <v>60</v>
      </c>
      <c r="N1273" s="20" t="s">
        <v>12</v>
      </c>
      <c r="O1273" s="20">
        <v>2</v>
      </c>
      <c r="P1273" s="20">
        <v>3</v>
      </c>
      <c r="Q1273" s="13">
        <v>0.86924745775595813</v>
      </c>
      <c r="R1273" s="20" t="s">
        <v>249</v>
      </c>
      <c r="S1273" s="20">
        <v>1.926245237670775</v>
      </c>
      <c r="T1273" s="20" t="s">
        <v>60</v>
      </c>
      <c r="U1273" s="20" t="s">
        <v>60</v>
      </c>
      <c r="V1273" s="20"/>
      <c r="W1273" s="20"/>
      <c r="X1273" s="20" t="s">
        <v>60</v>
      </c>
      <c r="Y1273" s="20" t="s">
        <v>412</v>
      </c>
      <c r="Z1273" s="20" t="s">
        <v>60</v>
      </c>
      <c r="AA1273" s="20" t="s">
        <v>491</v>
      </c>
    </row>
    <row r="1274" spans="1:27" x14ac:dyDescent="0.2">
      <c r="A1274" s="1">
        <v>46123</v>
      </c>
      <c r="B1274" s="20" t="s">
        <v>365</v>
      </c>
      <c r="C1274" s="20" t="s">
        <v>35</v>
      </c>
      <c r="D1274" s="20" t="s">
        <v>10</v>
      </c>
      <c r="E1274" s="20" t="s">
        <v>1141</v>
      </c>
      <c r="F1274" s="20" t="s">
        <v>10</v>
      </c>
      <c r="G1274" s="20">
        <v>2</v>
      </c>
      <c r="H1274" s="20">
        <v>3</v>
      </c>
      <c r="I1274" s="13">
        <v>0.6</v>
      </c>
      <c r="J1274" s="20" t="s">
        <v>249</v>
      </c>
      <c r="L1274" s="20" t="s">
        <v>60</v>
      </c>
      <c r="M1274" s="20" t="s">
        <v>60</v>
      </c>
      <c r="N1274" s="20" t="s">
        <v>10</v>
      </c>
      <c r="O1274" s="20">
        <v>2</v>
      </c>
      <c r="P1274" s="20">
        <v>3</v>
      </c>
      <c r="Q1274" s="13">
        <v>0.6880790666121519</v>
      </c>
      <c r="R1274" s="20" t="s">
        <v>249</v>
      </c>
      <c r="S1274" s="20">
        <v>1.268182865686571</v>
      </c>
      <c r="T1274" s="20" t="s">
        <v>60</v>
      </c>
      <c r="U1274" s="20" t="s">
        <v>60</v>
      </c>
      <c r="V1274" s="20"/>
      <c r="W1274" s="20"/>
      <c r="X1274" s="20" t="s">
        <v>60</v>
      </c>
      <c r="Y1274" s="20" t="s">
        <v>412</v>
      </c>
      <c r="Z1274" s="20" t="s">
        <v>60</v>
      </c>
      <c r="AA1274" s="20" t="s">
        <v>491</v>
      </c>
    </row>
    <row r="1275" spans="1:27" x14ac:dyDescent="0.2">
      <c r="A1275" s="1">
        <v>46123</v>
      </c>
      <c r="B1275" s="20" t="s">
        <v>555</v>
      </c>
      <c r="C1275" s="20" t="s">
        <v>37</v>
      </c>
      <c r="D1275" s="20" t="s">
        <v>21</v>
      </c>
      <c r="E1275" s="20" t="s">
        <v>557</v>
      </c>
      <c r="F1275" s="20" t="s">
        <v>37</v>
      </c>
      <c r="G1275" s="20">
        <v>2</v>
      </c>
      <c r="H1275" s="20">
        <v>3</v>
      </c>
      <c r="I1275" s="13">
        <v>0.6</v>
      </c>
      <c r="J1275" s="20" t="s">
        <v>249</v>
      </c>
      <c r="L1275" s="20" t="s">
        <v>60</v>
      </c>
      <c r="M1275" s="20" t="s">
        <v>60</v>
      </c>
      <c r="N1275" s="20" t="s">
        <v>37</v>
      </c>
      <c r="O1275" s="20">
        <v>2</v>
      </c>
      <c r="P1275" s="20">
        <v>3</v>
      </c>
      <c r="Q1275" s="13">
        <v>0.58853461032201404</v>
      </c>
      <c r="R1275" s="20" t="s">
        <v>249</v>
      </c>
      <c r="S1275" s="20">
        <v>-0.68037395827117342</v>
      </c>
      <c r="T1275" s="20" t="s">
        <v>60</v>
      </c>
      <c r="U1275" s="20" t="s">
        <v>60</v>
      </c>
      <c r="V1275" s="20"/>
      <c r="W1275" s="20"/>
      <c r="X1275" s="20" t="s">
        <v>60</v>
      </c>
      <c r="Y1275" s="20" t="s">
        <v>412</v>
      </c>
      <c r="Z1275" s="20" t="s">
        <v>60</v>
      </c>
      <c r="AA1275" s="20" t="s">
        <v>491</v>
      </c>
    </row>
    <row r="1276" spans="1:27" x14ac:dyDescent="0.2">
      <c r="A1276" s="1">
        <v>46123</v>
      </c>
      <c r="B1276" s="20" t="s">
        <v>328</v>
      </c>
      <c r="C1276" s="20" t="s">
        <v>28</v>
      </c>
      <c r="D1276" s="20" t="s">
        <v>18</v>
      </c>
      <c r="E1276" s="20" t="s">
        <v>1457</v>
      </c>
      <c r="F1276" s="20" t="s">
        <v>18</v>
      </c>
      <c r="G1276" s="20">
        <v>2</v>
      </c>
      <c r="H1276" s="20">
        <v>3</v>
      </c>
      <c r="I1276" s="13">
        <v>0.6</v>
      </c>
      <c r="J1276" s="20" t="s">
        <v>249</v>
      </c>
      <c r="L1276" s="20" t="s">
        <v>60</v>
      </c>
      <c r="M1276" s="20" t="s">
        <v>60</v>
      </c>
      <c r="N1276" s="20" t="s">
        <v>18</v>
      </c>
      <c r="O1276" s="20">
        <v>2</v>
      </c>
      <c r="P1276" s="20">
        <v>3</v>
      </c>
      <c r="Q1276" s="13">
        <v>0.54249566982631203</v>
      </c>
      <c r="R1276" s="20" t="s">
        <v>249</v>
      </c>
      <c r="S1276" s="20">
        <v>5.2000524999877507E-2</v>
      </c>
      <c r="T1276" s="20" t="s">
        <v>60</v>
      </c>
      <c r="U1276" s="20" t="s">
        <v>60</v>
      </c>
      <c r="V1276" s="20"/>
      <c r="W1276" s="20"/>
      <c r="X1276" s="20" t="s">
        <v>60</v>
      </c>
      <c r="Y1276" s="20" t="s">
        <v>412</v>
      </c>
      <c r="Z1276" s="20" t="s">
        <v>60</v>
      </c>
      <c r="AA1276" s="20" t="s">
        <v>491</v>
      </c>
    </row>
    <row r="1277" spans="1:27" x14ac:dyDescent="0.2">
      <c r="A1277" s="1">
        <v>46124</v>
      </c>
      <c r="B1277" s="20" t="s">
        <v>453</v>
      </c>
      <c r="C1277" s="20" t="s">
        <v>14</v>
      </c>
      <c r="D1277" s="20" t="s">
        <v>22</v>
      </c>
      <c r="E1277" s="20" t="s">
        <v>1508</v>
      </c>
      <c r="F1277" s="20" t="s">
        <v>22</v>
      </c>
      <c r="G1277" s="20">
        <v>2</v>
      </c>
      <c r="H1277" s="20">
        <v>3</v>
      </c>
      <c r="I1277" s="13">
        <v>0.6</v>
      </c>
      <c r="J1277" s="20" t="s">
        <v>249</v>
      </c>
      <c r="L1277" s="20" t="s">
        <v>60</v>
      </c>
      <c r="M1277" s="20" t="s">
        <v>60</v>
      </c>
      <c r="N1277" s="20" t="s">
        <v>22</v>
      </c>
      <c r="O1277" s="20">
        <v>2</v>
      </c>
      <c r="P1277" s="20">
        <v>3</v>
      </c>
      <c r="Q1277" s="13">
        <v>0.60092419729433255</v>
      </c>
      <c r="R1277" s="20" t="s">
        <v>249</v>
      </c>
      <c r="S1277" s="20">
        <v>0.63287220334240946</v>
      </c>
      <c r="T1277" s="20" t="s">
        <v>60</v>
      </c>
      <c r="U1277" s="20" t="s">
        <v>60</v>
      </c>
      <c r="V1277" s="20"/>
      <c r="W1277" s="20"/>
      <c r="X1277" s="20" t="s">
        <v>60</v>
      </c>
      <c r="Y1277" s="20" t="s">
        <v>412</v>
      </c>
      <c r="Z1277" s="20" t="s">
        <v>60</v>
      </c>
      <c r="AA1277" s="20" t="s">
        <v>491</v>
      </c>
    </row>
    <row r="1278" spans="1:27" x14ac:dyDescent="0.2">
      <c r="A1278" s="1">
        <v>46124</v>
      </c>
      <c r="B1278" s="20" t="s">
        <v>469</v>
      </c>
      <c r="C1278" s="20" t="s">
        <v>18</v>
      </c>
      <c r="D1278" s="20" t="s">
        <v>30</v>
      </c>
      <c r="E1278" s="20" t="s">
        <v>1509</v>
      </c>
      <c r="F1278" s="20" t="s">
        <v>30</v>
      </c>
      <c r="G1278" s="20">
        <v>2</v>
      </c>
      <c r="H1278" s="20">
        <v>3</v>
      </c>
      <c r="I1278" s="13">
        <v>0.6</v>
      </c>
      <c r="J1278" s="20" t="s">
        <v>249</v>
      </c>
      <c r="L1278" s="20" t="s">
        <v>60</v>
      </c>
      <c r="M1278" s="20" t="s">
        <v>60</v>
      </c>
      <c r="N1278" s="20" t="s">
        <v>30</v>
      </c>
      <c r="O1278" s="20">
        <v>2</v>
      </c>
      <c r="P1278" s="20">
        <v>3</v>
      </c>
      <c r="Q1278" s="13">
        <v>0.52763506301496321</v>
      </c>
      <c r="R1278" s="20" t="s">
        <v>249</v>
      </c>
      <c r="S1278" s="20">
        <v>0.40185837975565503</v>
      </c>
      <c r="T1278" s="20" t="s">
        <v>60</v>
      </c>
      <c r="U1278" s="20" t="s">
        <v>60</v>
      </c>
      <c r="V1278" s="20"/>
      <c r="W1278" s="20"/>
      <c r="X1278" s="20" t="s">
        <v>60</v>
      </c>
      <c r="Y1278" s="20" t="s">
        <v>412</v>
      </c>
      <c r="Z1278" s="20" t="s">
        <v>60</v>
      </c>
      <c r="AA1278" s="20" t="s">
        <v>491</v>
      </c>
    </row>
    <row r="1279" spans="1:27" x14ac:dyDescent="0.2">
      <c r="A1279" s="1">
        <v>46124</v>
      </c>
      <c r="B1279" s="20" t="s">
        <v>328</v>
      </c>
      <c r="C1279" s="20" t="s">
        <v>36</v>
      </c>
      <c r="D1279" s="20" t="s">
        <v>24</v>
      </c>
      <c r="E1279" s="20" t="s">
        <v>1510</v>
      </c>
      <c r="F1279" s="20" t="s">
        <v>24</v>
      </c>
      <c r="G1279" s="20">
        <v>2</v>
      </c>
      <c r="H1279" s="20">
        <v>3</v>
      </c>
      <c r="I1279" s="13">
        <v>0.6</v>
      </c>
      <c r="J1279" s="20" t="s">
        <v>249</v>
      </c>
      <c r="L1279" s="20" t="s">
        <v>60</v>
      </c>
      <c r="M1279" s="20" t="s">
        <v>60</v>
      </c>
      <c r="N1279" s="20" t="s">
        <v>24</v>
      </c>
      <c r="O1279" s="20">
        <v>2</v>
      </c>
      <c r="P1279" s="20">
        <v>3</v>
      </c>
      <c r="Q1279" s="13">
        <v>0.68788603551397898</v>
      </c>
      <c r="R1279" s="20" t="s">
        <v>249</v>
      </c>
      <c r="S1279" s="20">
        <v>0.5828070505526054</v>
      </c>
      <c r="T1279" s="20" t="s">
        <v>60</v>
      </c>
      <c r="U1279" s="20" t="s">
        <v>60</v>
      </c>
      <c r="V1279" s="20"/>
      <c r="W1279" s="20"/>
      <c r="X1279" s="20" t="s">
        <v>60</v>
      </c>
      <c r="Y1279" s="20" t="s">
        <v>412</v>
      </c>
      <c r="Z1279" s="20" t="s">
        <v>60</v>
      </c>
      <c r="AA1279" s="20" t="s">
        <v>491</v>
      </c>
    </row>
    <row r="1280" spans="1:27" x14ac:dyDescent="0.2">
      <c r="A1280" s="1">
        <v>46124</v>
      </c>
      <c r="B1280" s="20" t="s">
        <v>469</v>
      </c>
      <c r="C1280" s="20" t="s">
        <v>21</v>
      </c>
      <c r="D1280" s="20" t="s">
        <v>28</v>
      </c>
      <c r="E1280" s="20" t="s">
        <v>1473</v>
      </c>
      <c r="F1280" s="20" t="s">
        <v>21</v>
      </c>
      <c r="G1280" s="20">
        <v>2</v>
      </c>
      <c r="H1280" s="20">
        <v>3</v>
      </c>
      <c r="I1280" s="13">
        <v>0.6</v>
      </c>
      <c r="J1280" s="20" t="s">
        <v>249</v>
      </c>
      <c r="L1280" s="20" t="s">
        <v>60</v>
      </c>
      <c r="M1280" s="20" t="s">
        <v>60</v>
      </c>
      <c r="N1280" s="20" t="s">
        <v>21</v>
      </c>
      <c r="O1280" s="20">
        <v>2</v>
      </c>
      <c r="P1280" s="20">
        <v>3</v>
      </c>
      <c r="Q1280" s="13">
        <v>0.4988152754406433</v>
      </c>
      <c r="R1280" s="20" t="s">
        <v>249</v>
      </c>
      <c r="S1280" s="20">
        <v>-0.32531889497964622</v>
      </c>
      <c r="T1280" s="20" t="s">
        <v>60</v>
      </c>
      <c r="U1280" s="20" t="s">
        <v>60</v>
      </c>
      <c r="V1280" s="20"/>
      <c r="W1280" s="20"/>
      <c r="X1280" s="20" t="s">
        <v>60</v>
      </c>
      <c r="Y1280" s="20" t="s">
        <v>412</v>
      </c>
      <c r="Z1280" s="20" t="s">
        <v>60</v>
      </c>
      <c r="AA1280" s="20" t="s">
        <v>491</v>
      </c>
    </row>
    <row r="1281" spans="1:27" x14ac:dyDescent="0.2">
      <c r="A1281" s="1">
        <v>46124</v>
      </c>
      <c r="B1281" s="20" t="s">
        <v>324</v>
      </c>
      <c r="C1281" s="20" t="s">
        <v>38</v>
      </c>
      <c r="D1281" s="20" t="s">
        <v>31</v>
      </c>
      <c r="E1281" s="20" t="s">
        <v>413</v>
      </c>
      <c r="F1281" s="20" t="s">
        <v>31</v>
      </c>
      <c r="G1281" s="20">
        <v>2</v>
      </c>
      <c r="H1281" s="20">
        <v>3</v>
      </c>
      <c r="I1281" s="13">
        <v>0.6</v>
      </c>
      <c r="J1281" s="20" t="s">
        <v>249</v>
      </c>
      <c r="L1281" s="20" t="s">
        <v>60</v>
      </c>
      <c r="M1281" s="20" t="s">
        <v>60</v>
      </c>
      <c r="N1281" s="20" t="s">
        <v>31</v>
      </c>
      <c r="O1281" s="20">
        <v>2</v>
      </c>
      <c r="P1281" s="20">
        <v>3</v>
      </c>
      <c r="Q1281" s="13">
        <v>0.75378658498635764</v>
      </c>
      <c r="R1281" s="20" t="s">
        <v>249</v>
      </c>
      <c r="S1281" s="20">
        <v>1.1762815258732331</v>
      </c>
      <c r="T1281" s="20" t="s">
        <v>60</v>
      </c>
      <c r="U1281" s="20" t="s">
        <v>60</v>
      </c>
      <c r="V1281" s="20"/>
      <c r="W1281" s="20"/>
      <c r="X1281" s="20" t="s">
        <v>60</v>
      </c>
      <c r="Y1281" s="20" t="s">
        <v>412</v>
      </c>
      <c r="Z1281" s="20" t="s">
        <v>60</v>
      </c>
      <c r="AA1281" s="20" t="s">
        <v>491</v>
      </c>
    </row>
    <row r="1282" spans="1:27" x14ac:dyDescent="0.2">
      <c r="A1282" s="1">
        <v>46124</v>
      </c>
      <c r="B1282" s="20" t="s">
        <v>326</v>
      </c>
      <c r="C1282" s="20" t="s">
        <v>55</v>
      </c>
      <c r="D1282" s="20" t="s">
        <v>16</v>
      </c>
      <c r="E1282" s="20" t="s">
        <v>948</v>
      </c>
      <c r="F1282" s="20" t="s">
        <v>55</v>
      </c>
      <c r="G1282" s="20">
        <v>2</v>
      </c>
      <c r="H1282" s="20">
        <v>3</v>
      </c>
      <c r="I1282" s="13">
        <v>0.6</v>
      </c>
      <c r="J1282" s="20" t="s">
        <v>249</v>
      </c>
      <c r="L1282" s="20" t="s">
        <v>60</v>
      </c>
      <c r="M1282" s="20" t="s">
        <v>60</v>
      </c>
      <c r="N1282" s="20" t="s">
        <v>55</v>
      </c>
      <c r="O1282" s="20">
        <v>2</v>
      </c>
      <c r="P1282" s="20">
        <v>3</v>
      </c>
      <c r="Q1282" s="13">
        <v>0.53154845154988206</v>
      </c>
      <c r="R1282" s="20" t="s">
        <v>249</v>
      </c>
      <c r="S1282" s="20">
        <v>-0.61275724110027596</v>
      </c>
      <c r="T1282" s="20" t="s">
        <v>60</v>
      </c>
      <c r="U1282" s="20" t="s">
        <v>60</v>
      </c>
      <c r="V1282" s="20"/>
      <c r="W1282" s="20"/>
      <c r="X1282" s="20" t="s">
        <v>60</v>
      </c>
      <c r="Y1282" s="20" t="s">
        <v>412</v>
      </c>
      <c r="Z1282" s="20" t="s">
        <v>60</v>
      </c>
      <c r="AA1282" s="20" t="s">
        <v>491</v>
      </c>
    </row>
    <row r="1283" spans="1:27" x14ac:dyDescent="0.2">
      <c r="A1283" s="1">
        <v>46125</v>
      </c>
      <c r="B1283" s="20" t="s">
        <v>324</v>
      </c>
      <c r="C1283" s="20" t="s">
        <v>34</v>
      </c>
      <c r="D1283" s="20" t="s">
        <v>35</v>
      </c>
      <c r="E1283" s="20" t="s">
        <v>508</v>
      </c>
      <c r="F1283" s="20" t="s">
        <v>34</v>
      </c>
      <c r="G1283" s="20">
        <v>2</v>
      </c>
      <c r="H1283" s="20">
        <v>3</v>
      </c>
      <c r="I1283" s="13">
        <v>0.6</v>
      </c>
      <c r="J1283" s="20" t="s">
        <v>249</v>
      </c>
      <c r="L1283" s="20" t="s">
        <v>60</v>
      </c>
      <c r="M1283" s="20" t="s">
        <v>60</v>
      </c>
      <c r="N1283" s="20" t="s">
        <v>34</v>
      </c>
      <c r="O1283" s="20">
        <v>2</v>
      </c>
      <c r="P1283" s="20">
        <v>3</v>
      </c>
      <c r="Q1283" s="13">
        <v>0.65307521233305632</v>
      </c>
      <c r="R1283" s="20" t="s">
        <v>249</v>
      </c>
      <c r="S1283" s="20">
        <v>-1.2894528355750809</v>
      </c>
      <c r="T1283" s="20" t="s">
        <v>60</v>
      </c>
      <c r="U1283" s="20" t="s">
        <v>60</v>
      </c>
      <c r="V1283" s="20"/>
      <c r="W1283" s="20"/>
      <c r="X1283" s="20" t="s">
        <v>60</v>
      </c>
      <c r="Y1283" s="20" t="s">
        <v>412</v>
      </c>
      <c r="Z1283" s="20" t="s">
        <v>60</v>
      </c>
      <c r="AA1283" s="20" t="s">
        <v>491</v>
      </c>
    </row>
    <row r="1284" spans="1:27" x14ac:dyDescent="0.2">
      <c r="A1284" s="1">
        <v>46125</v>
      </c>
      <c r="B1284" s="20" t="s">
        <v>322</v>
      </c>
      <c r="C1284" s="20" t="s">
        <v>40</v>
      </c>
      <c r="D1284" s="20" t="s">
        <v>20</v>
      </c>
      <c r="E1284" s="20" t="s">
        <v>1511</v>
      </c>
      <c r="F1284" s="20" t="s">
        <v>20</v>
      </c>
      <c r="G1284" s="20">
        <v>2</v>
      </c>
      <c r="H1284" s="20">
        <v>3</v>
      </c>
      <c r="I1284" s="13">
        <v>0.6</v>
      </c>
      <c r="J1284" s="20" t="s">
        <v>249</v>
      </c>
      <c r="L1284" s="20" t="s">
        <v>60</v>
      </c>
      <c r="M1284" s="20" t="s">
        <v>60</v>
      </c>
      <c r="N1284" s="20" t="s">
        <v>20</v>
      </c>
      <c r="O1284" s="20">
        <v>2</v>
      </c>
      <c r="P1284" s="20">
        <v>3</v>
      </c>
      <c r="Q1284" s="13">
        <v>0.53309094956693703</v>
      </c>
      <c r="R1284" s="20" t="s">
        <v>249</v>
      </c>
      <c r="S1284" s="20">
        <v>0.1187017423853176</v>
      </c>
      <c r="T1284" s="20" t="s">
        <v>60</v>
      </c>
      <c r="U1284" s="20" t="s">
        <v>60</v>
      </c>
      <c r="V1284" s="20"/>
      <c r="W1284" s="20"/>
      <c r="X1284" s="20" t="s">
        <v>60</v>
      </c>
      <c r="Y1284" s="20" t="s">
        <v>412</v>
      </c>
      <c r="Z1284" s="20" t="s">
        <v>60</v>
      </c>
      <c r="AA1284" s="20" t="s">
        <v>491</v>
      </c>
    </row>
    <row r="1285" spans="1:27" x14ac:dyDescent="0.2">
      <c r="A1285" s="1">
        <v>46125</v>
      </c>
      <c r="B1285" s="20" t="s">
        <v>328</v>
      </c>
      <c r="C1285" s="20" t="s">
        <v>26</v>
      </c>
      <c r="D1285" s="20" t="s">
        <v>37</v>
      </c>
      <c r="E1285" s="20" t="s">
        <v>1389</v>
      </c>
      <c r="F1285" s="20" t="s">
        <v>37</v>
      </c>
      <c r="G1285" s="20">
        <v>2</v>
      </c>
      <c r="H1285" s="20">
        <v>3</v>
      </c>
      <c r="I1285" s="13">
        <v>0.6</v>
      </c>
      <c r="J1285" s="20" t="s">
        <v>249</v>
      </c>
      <c r="L1285" s="20" t="s">
        <v>60</v>
      </c>
      <c r="M1285" s="20" t="s">
        <v>60</v>
      </c>
      <c r="N1285" s="20" t="s">
        <v>37</v>
      </c>
      <c r="O1285" s="20">
        <v>2</v>
      </c>
      <c r="P1285" s="20">
        <v>3</v>
      </c>
      <c r="Q1285" s="13">
        <v>0.73989051508295656</v>
      </c>
      <c r="R1285" s="20" t="s">
        <v>249</v>
      </c>
      <c r="S1285" s="20">
        <v>1.435745260702076</v>
      </c>
      <c r="T1285" s="20" t="s">
        <v>60</v>
      </c>
      <c r="U1285" s="20" t="s">
        <v>60</v>
      </c>
      <c r="V1285" s="20"/>
      <c r="W1285" s="20"/>
      <c r="X1285" s="20" t="s">
        <v>60</v>
      </c>
      <c r="Y1285" s="20" t="s">
        <v>412</v>
      </c>
      <c r="Z1285" s="20" t="s">
        <v>60</v>
      </c>
      <c r="AA1285" s="20" t="s">
        <v>491</v>
      </c>
    </row>
    <row r="1286" spans="1:27" x14ac:dyDescent="0.2">
      <c r="A1286" s="1">
        <v>46125</v>
      </c>
      <c r="B1286" s="20" t="s">
        <v>426</v>
      </c>
      <c r="C1286" s="20" t="s">
        <v>13</v>
      </c>
      <c r="D1286" s="20" t="s">
        <v>32</v>
      </c>
      <c r="E1286" s="20" t="s">
        <v>973</v>
      </c>
      <c r="F1286" s="20" t="s">
        <v>13</v>
      </c>
      <c r="G1286" s="20">
        <v>2</v>
      </c>
      <c r="H1286" s="20">
        <v>3</v>
      </c>
      <c r="I1286" s="13">
        <v>0.6</v>
      </c>
      <c r="J1286" s="20" t="s">
        <v>249</v>
      </c>
      <c r="L1286" s="20" t="s">
        <v>60</v>
      </c>
      <c r="M1286" s="20" t="s">
        <v>60</v>
      </c>
      <c r="N1286" s="20" t="s">
        <v>13</v>
      </c>
      <c r="O1286" s="20">
        <v>2</v>
      </c>
      <c r="P1286" s="20">
        <v>3</v>
      </c>
      <c r="Q1286" s="13">
        <v>0.55681391404194935</v>
      </c>
      <c r="R1286" s="20" t="s">
        <v>249</v>
      </c>
      <c r="S1286" s="20">
        <v>-0.26119288767771393</v>
      </c>
      <c r="T1286" s="20" t="s">
        <v>60</v>
      </c>
      <c r="U1286" s="20" t="s">
        <v>60</v>
      </c>
      <c r="V1286" s="20"/>
      <c r="W1286" s="20"/>
      <c r="X1286" s="20" t="s">
        <v>60</v>
      </c>
      <c r="Y1286" s="20" t="s">
        <v>412</v>
      </c>
      <c r="Z1286" s="20" t="s">
        <v>60</v>
      </c>
      <c r="AA1286" s="20" t="s">
        <v>491</v>
      </c>
    </row>
    <row r="1287" spans="1:27" x14ac:dyDescent="0.2">
      <c r="A1287" s="1">
        <v>46125</v>
      </c>
      <c r="B1287" s="20" t="s">
        <v>334</v>
      </c>
      <c r="C1287" s="20" t="s">
        <v>39</v>
      </c>
      <c r="D1287" s="20" t="s">
        <v>19</v>
      </c>
      <c r="E1287" s="20" t="s">
        <v>1512</v>
      </c>
      <c r="F1287" s="20" t="s">
        <v>39</v>
      </c>
      <c r="G1287" s="20">
        <v>2</v>
      </c>
      <c r="H1287" s="20">
        <v>3</v>
      </c>
      <c r="I1287" s="13">
        <v>0.6</v>
      </c>
      <c r="J1287" s="20" t="s">
        <v>249</v>
      </c>
      <c r="L1287" s="20" t="s">
        <v>60</v>
      </c>
      <c r="M1287" s="20" t="s">
        <v>60</v>
      </c>
      <c r="N1287" s="20" t="s">
        <v>39</v>
      </c>
      <c r="O1287" s="20">
        <v>2</v>
      </c>
      <c r="P1287" s="20">
        <v>3</v>
      </c>
      <c r="Q1287" s="13">
        <v>0.67833135772929232</v>
      </c>
      <c r="R1287" s="20" t="s">
        <v>249</v>
      </c>
      <c r="S1287" s="20">
        <v>-0.99802034425093789</v>
      </c>
      <c r="T1287" s="20" t="s">
        <v>60</v>
      </c>
      <c r="U1287" s="20" t="s">
        <v>60</v>
      </c>
      <c r="V1287" s="20"/>
      <c r="W1287" s="20"/>
      <c r="X1287" s="20" t="s">
        <v>60</v>
      </c>
      <c r="Y1287" s="20" t="s">
        <v>412</v>
      </c>
      <c r="Z1287" s="20" t="s">
        <v>60</v>
      </c>
      <c r="AA1287" s="20" t="s">
        <v>491</v>
      </c>
    </row>
    <row r="1288" spans="1:27" x14ac:dyDescent="0.2">
      <c r="A1288" s="1">
        <v>46125</v>
      </c>
      <c r="B1288" s="20" t="s">
        <v>324</v>
      </c>
      <c r="C1288" s="20" t="s">
        <v>33</v>
      </c>
      <c r="D1288" s="20" t="s">
        <v>29</v>
      </c>
      <c r="E1288" s="20" t="s">
        <v>1445</v>
      </c>
      <c r="F1288" s="20" t="s">
        <v>33</v>
      </c>
      <c r="G1288" s="20">
        <v>2</v>
      </c>
      <c r="H1288" s="20">
        <v>3</v>
      </c>
      <c r="I1288" s="13">
        <v>0.6</v>
      </c>
      <c r="J1288" s="20" t="s">
        <v>249</v>
      </c>
      <c r="L1288" s="20" t="s">
        <v>60</v>
      </c>
      <c r="M1288" s="20" t="s">
        <v>60</v>
      </c>
      <c r="N1288" s="20" t="s">
        <v>33</v>
      </c>
      <c r="O1288" s="20">
        <v>2</v>
      </c>
      <c r="P1288" s="20">
        <v>3</v>
      </c>
      <c r="Q1288" s="13">
        <v>0.563183329355187</v>
      </c>
      <c r="R1288" s="20" t="s">
        <v>249</v>
      </c>
      <c r="S1288" s="20">
        <v>-0.88368554250465514</v>
      </c>
      <c r="T1288" s="20" t="s">
        <v>60</v>
      </c>
      <c r="U1288" s="20" t="s">
        <v>60</v>
      </c>
      <c r="V1288" s="20"/>
      <c r="W1288" s="20"/>
      <c r="X1288" s="20" t="s">
        <v>60</v>
      </c>
      <c r="Y1288" s="20" t="s">
        <v>412</v>
      </c>
      <c r="Z1288" s="20" t="s">
        <v>60</v>
      </c>
      <c r="AA1288" s="20" t="s">
        <v>491</v>
      </c>
    </row>
    <row r="1289" spans="1:27" x14ac:dyDescent="0.2">
      <c r="A1289" s="1">
        <v>46125</v>
      </c>
      <c r="B1289" s="20" t="s">
        <v>328</v>
      </c>
      <c r="C1289" s="20" t="s">
        <v>15</v>
      </c>
      <c r="D1289" s="20" t="s">
        <v>11</v>
      </c>
      <c r="E1289" s="20" t="s">
        <v>1110</v>
      </c>
      <c r="F1289" s="20" t="s">
        <v>15</v>
      </c>
      <c r="G1289" s="20">
        <v>2</v>
      </c>
      <c r="H1289" s="20">
        <v>3</v>
      </c>
      <c r="I1289" s="13">
        <v>0.6</v>
      </c>
      <c r="J1289" s="20" t="s">
        <v>249</v>
      </c>
      <c r="L1289" s="20" t="s">
        <v>60</v>
      </c>
      <c r="M1289" s="20" t="s">
        <v>60</v>
      </c>
      <c r="N1289" s="20" t="s">
        <v>15</v>
      </c>
      <c r="O1289" s="20">
        <v>2</v>
      </c>
      <c r="P1289" s="20">
        <v>3</v>
      </c>
      <c r="Q1289" s="13">
        <v>0.55277631510567293</v>
      </c>
      <c r="R1289" s="20" t="s">
        <v>249</v>
      </c>
      <c r="S1289" s="20">
        <v>-5.7183557657001449E-2</v>
      </c>
      <c r="T1289" s="20" t="s">
        <v>60</v>
      </c>
      <c r="U1289" s="20" t="s">
        <v>60</v>
      </c>
      <c r="V1289" s="20"/>
      <c r="W1289" s="20"/>
      <c r="X1289" s="20" t="s">
        <v>60</v>
      </c>
      <c r="Y1289" s="20" t="s">
        <v>412</v>
      </c>
      <c r="Z1289" s="20" t="s">
        <v>60</v>
      </c>
      <c r="AA1289" s="20" t="s">
        <v>491</v>
      </c>
    </row>
    <row r="1290" spans="1:27" x14ac:dyDescent="0.2">
      <c r="A1290" s="1">
        <v>46125</v>
      </c>
      <c r="B1290" s="20" t="s">
        <v>426</v>
      </c>
      <c r="C1290" s="20" t="s">
        <v>12</v>
      </c>
      <c r="D1290" s="20" t="s">
        <v>17</v>
      </c>
      <c r="E1290" s="20" t="s">
        <v>828</v>
      </c>
      <c r="F1290" s="20" t="s">
        <v>12</v>
      </c>
      <c r="G1290" s="20">
        <v>2</v>
      </c>
      <c r="H1290" s="20">
        <v>3</v>
      </c>
      <c r="I1290" s="13">
        <v>0.6</v>
      </c>
      <c r="J1290" s="20" t="s">
        <v>249</v>
      </c>
      <c r="L1290" s="20" t="s">
        <v>60</v>
      </c>
      <c r="M1290" s="20" t="s">
        <v>60</v>
      </c>
      <c r="N1290" s="20" t="s">
        <v>12</v>
      </c>
      <c r="O1290" s="20">
        <v>2</v>
      </c>
      <c r="P1290" s="20">
        <v>3</v>
      </c>
      <c r="Q1290" s="13">
        <v>0.80575362576568399</v>
      </c>
      <c r="R1290" s="20" t="s">
        <v>249</v>
      </c>
      <c r="S1290" s="20">
        <v>-2.3997495737413348</v>
      </c>
      <c r="T1290" s="20" t="s">
        <v>60</v>
      </c>
      <c r="U1290" s="20" t="s">
        <v>60</v>
      </c>
      <c r="V1290" s="20"/>
      <c r="W1290" s="20"/>
      <c r="X1290" s="20" t="s">
        <v>60</v>
      </c>
      <c r="Y1290" s="20" t="s">
        <v>412</v>
      </c>
      <c r="Z1290" s="20" t="s">
        <v>60</v>
      </c>
      <c r="AA1290" s="20" t="s">
        <v>491</v>
      </c>
    </row>
    <row r="1291" spans="1:27" x14ac:dyDescent="0.2">
      <c r="A1291" s="1">
        <v>46125</v>
      </c>
      <c r="B1291" s="20" t="s">
        <v>416</v>
      </c>
      <c r="C1291" s="20" t="s">
        <v>23</v>
      </c>
      <c r="D1291" s="20" t="s">
        <v>10</v>
      </c>
      <c r="E1291" s="20" t="s">
        <v>1513</v>
      </c>
      <c r="F1291" s="20" t="s">
        <v>10</v>
      </c>
      <c r="G1291" s="20">
        <v>2</v>
      </c>
      <c r="H1291" s="20">
        <v>3</v>
      </c>
      <c r="I1291" s="13">
        <v>0.6</v>
      </c>
      <c r="J1291" s="20" t="s">
        <v>249</v>
      </c>
      <c r="L1291" s="20" t="s">
        <v>60</v>
      </c>
      <c r="M1291" s="20" t="s">
        <v>60</v>
      </c>
      <c r="N1291" s="20" t="s">
        <v>10</v>
      </c>
      <c r="O1291" s="20">
        <v>2</v>
      </c>
      <c r="P1291" s="20">
        <v>3</v>
      </c>
      <c r="Q1291" s="13">
        <v>0.58084605591660265</v>
      </c>
      <c r="R1291" s="20" t="s">
        <v>249</v>
      </c>
      <c r="S1291" s="20">
        <v>0.34981492947943849</v>
      </c>
      <c r="T1291" s="20" t="s">
        <v>60</v>
      </c>
      <c r="U1291" s="20" t="s">
        <v>60</v>
      </c>
      <c r="V1291" s="20"/>
      <c r="W1291" s="20"/>
      <c r="X1291" s="20" t="s">
        <v>60</v>
      </c>
      <c r="Y1291" s="20" t="s">
        <v>412</v>
      </c>
      <c r="Z1291" s="20" t="s">
        <v>60</v>
      </c>
      <c r="AA1291" s="20" t="s">
        <v>491</v>
      </c>
    </row>
    <row r="1292" spans="1:27" x14ac:dyDescent="0.2">
      <c r="A1292" s="1">
        <v>46125</v>
      </c>
      <c r="B1292" s="20" t="s">
        <v>328</v>
      </c>
      <c r="C1292" s="20" t="s">
        <v>25</v>
      </c>
      <c r="D1292" s="20" t="s">
        <v>27</v>
      </c>
      <c r="E1292" s="20" t="s">
        <v>992</v>
      </c>
      <c r="F1292" s="20" t="s">
        <v>25</v>
      </c>
      <c r="G1292" s="20">
        <v>2</v>
      </c>
      <c r="H1292" s="20">
        <v>3</v>
      </c>
      <c r="I1292" s="13">
        <v>0.6</v>
      </c>
      <c r="J1292" s="20" t="s">
        <v>249</v>
      </c>
      <c r="L1292" s="20" t="s">
        <v>60</v>
      </c>
      <c r="M1292" s="20" t="s">
        <v>60</v>
      </c>
      <c r="N1292" s="20" t="s">
        <v>25</v>
      </c>
      <c r="O1292" s="20">
        <v>2</v>
      </c>
      <c r="P1292" s="20">
        <v>3</v>
      </c>
      <c r="Q1292" s="13">
        <v>0.60679430770908094</v>
      </c>
      <c r="R1292" s="20" t="s">
        <v>249</v>
      </c>
      <c r="S1292" s="20">
        <v>-0.75601397191170627</v>
      </c>
      <c r="T1292" s="20" t="s">
        <v>60</v>
      </c>
      <c r="U1292" s="20" t="s">
        <v>60</v>
      </c>
      <c r="V1292" s="20"/>
      <c r="W1292" s="20"/>
      <c r="X1292" s="20" t="s">
        <v>60</v>
      </c>
      <c r="Y1292" s="20" t="s">
        <v>412</v>
      </c>
      <c r="Z1292" s="20" t="s">
        <v>60</v>
      </c>
      <c r="AA1292" s="20" t="s">
        <v>491</v>
      </c>
    </row>
    <row r="1293" spans="1:27" x14ac:dyDescent="0.2">
      <c r="A1293" s="1">
        <v>46126</v>
      </c>
      <c r="B1293" s="20" t="s">
        <v>322</v>
      </c>
      <c r="C1293" s="20" t="s">
        <v>13</v>
      </c>
      <c r="D1293" s="20" t="s">
        <v>38</v>
      </c>
      <c r="E1293" s="20" t="s">
        <v>1452</v>
      </c>
      <c r="F1293" s="20" t="s">
        <v>13</v>
      </c>
      <c r="G1293" s="20">
        <v>2</v>
      </c>
      <c r="H1293" s="20">
        <v>3</v>
      </c>
      <c r="I1293" s="13">
        <v>0.6</v>
      </c>
      <c r="J1293" s="20" t="s">
        <v>249</v>
      </c>
      <c r="L1293" s="20" t="s">
        <v>60</v>
      </c>
      <c r="M1293" s="20" t="s">
        <v>60</v>
      </c>
      <c r="N1293" s="20" t="s">
        <v>13</v>
      </c>
      <c r="O1293" s="20">
        <v>2</v>
      </c>
      <c r="P1293" s="20">
        <v>3</v>
      </c>
      <c r="Q1293" s="13">
        <v>0.59164490233387368</v>
      </c>
      <c r="R1293" s="20" t="s">
        <v>249</v>
      </c>
      <c r="S1293" s="20">
        <v>-0.55949340751042798</v>
      </c>
      <c r="T1293" s="20" t="s">
        <v>60</v>
      </c>
      <c r="U1293" s="20" t="s">
        <v>60</v>
      </c>
      <c r="V1293" s="20"/>
      <c r="W1293" s="20"/>
      <c r="X1293" s="20" t="s">
        <v>60</v>
      </c>
      <c r="Y1293" s="20" t="s">
        <v>412</v>
      </c>
      <c r="Z1293" s="20" t="s">
        <v>60</v>
      </c>
      <c r="AA1293" s="20" t="s">
        <v>491</v>
      </c>
    </row>
    <row r="1294" spans="1:27" x14ac:dyDescent="0.2">
      <c r="A1294" s="1">
        <v>46126</v>
      </c>
      <c r="B1294" s="20" t="s">
        <v>426</v>
      </c>
      <c r="C1294" s="20" t="s">
        <v>14</v>
      </c>
      <c r="D1294" s="20" t="s">
        <v>35</v>
      </c>
      <c r="E1294" s="20" t="s">
        <v>1514</v>
      </c>
      <c r="F1294" s="20" t="s">
        <v>14</v>
      </c>
      <c r="G1294" s="20">
        <v>2</v>
      </c>
      <c r="H1294" s="20">
        <v>3</v>
      </c>
      <c r="I1294" s="13">
        <v>0.6</v>
      </c>
      <c r="J1294" s="20" t="s">
        <v>249</v>
      </c>
      <c r="L1294" s="20" t="s">
        <v>60</v>
      </c>
      <c r="M1294" s="20" t="s">
        <v>60</v>
      </c>
      <c r="N1294" s="20" t="s">
        <v>14</v>
      </c>
      <c r="O1294" s="20">
        <v>2</v>
      </c>
      <c r="P1294" s="20">
        <v>3</v>
      </c>
      <c r="Q1294" s="13">
        <v>0.63967456773791442</v>
      </c>
      <c r="R1294" s="20" t="s">
        <v>249</v>
      </c>
      <c r="S1294" s="20">
        <v>-1.20231340145907</v>
      </c>
      <c r="T1294" s="20" t="s">
        <v>60</v>
      </c>
      <c r="U1294" s="20" t="s">
        <v>60</v>
      </c>
      <c r="V1294" s="20"/>
      <c r="W1294" s="20"/>
      <c r="X1294" s="20" t="s">
        <v>60</v>
      </c>
      <c r="Y1294" s="20" t="s">
        <v>412</v>
      </c>
      <c r="Z1294" s="20" t="s">
        <v>60</v>
      </c>
      <c r="AA1294" s="20" t="s">
        <v>491</v>
      </c>
    </row>
    <row r="1295" spans="1:27" x14ac:dyDescent="0.2">
      <c r="A1295" s="1">
        <v>46126</v>
      </c>
      <c r="B1295" s="20" t="s">
        <v>328</v>
      </c>
      <c r="C1295" s="20" t="s">
        <v>18</v>
      </c>
      <c r="D1295" s="20" t="s">
        <v>27</v>
      </c>
      <c r="E1295" s="20" t="s">
        <v>1515</v>
      </c>
      <c r="F1295" s="20" t="s">
        <v>27</v>
      </c>
      <c r="G1295" s="20">
        <v>2</v>
      </c>
      <c r="H1295" s="20">
        <v>3</v>
      </c>
      <c r="I1295" s="13">
        <v>0.6</v>
      </c>
      <c r="J1295" s="20" t="s">
        <v>249</v>
      </c>
      <c r="L1295" s="20" t="s">
        <v>60</v>
      </c>
      <c r="M1295" s="20" t="s">
        <v>60</v>
      </c>
      <c r="N1295" s="20" t="s">
        <v>27</v>
      </c>
      <c r="O1295" s="20">
        <v>2</v>
      </c>
      <c r="P1295" s="20">
        <v>3</v>
      </c>
      <c r="Q1295" s="13">
        <v>0.52550204096128261</v>
      </c>
      <c r="R1295" s="20" t="s">
        <v>249</v>
      </c>
      <c r="S1295" s="20">
        <v>0.26255079369067158</v>
      </c>
      <c r="T1295" s="20" t="s">
        <v>60</v>
      </c>
      <c r="U1295" s="20" t="s">
        <v>60</v>
      </c>
      <c r="V1295" s="20"/>
      <c r="W1295" s="20"/>
      <c r="X1295" s="20" t="s">
        <v>60</v>
      </c>
      <c r="Y1295" s="20" t="s">
        <v>412</v>
      </c>
      <c r="Z1295" s="20" t="s">
        <v>60</v>
      </c>
      <c r="AA1295" s="20" t="s">
        <v>491</v>
      </c>
    </row>
    <row r="1296" spans="1:27" x14ac:dyDescent="0.2">
      <c r="A1296" s="1">
        <v>46126</v>
      </c>
      <c r="B1296" s="20" t="s">
        <v>328</v>
      </c>
      <c r="C1296" s="20" t="s">
        <v>25</v>
      </c>
      <c r="D1296" s="20" t="s">
        <v>30</v>
      </c>
      <c r="E1296" s="20" t="s">
        <v>1516</v>
      </c>
      <c r="F1296" s="20" t="s">
        <v>25</v>
      </c>
      <c r="G1296" s="20">
        <v>2</v>
      </c>
      <c r="H1296" s="20">
        <v>3</v>
      </c>
      <c r="I1296" s="13">
        <v>0.6</v>
      </c>
      <c r="J1296" s="20" t="s">
        <v>249</v>
      </c>
      <c r="L1296" s="20" t="s">
        <v>60</v>
      </c>
      <c r="M1296" s="20" t="s">
        <v>60</v>
      </c>
      <c r="N1296" s="20" t="s">
        <v>25</v>
      </c>
      <c r="O1296" s="20">
        <v>2</v>
      </c>
      <c r="P1296" s="20">
        <v>3</v>
      </c>
      <c r="Q1296" s="13">
        <v>0.60463274159210245</v>
      </c>
      <c r="R1296" s="20" t="s">
        <v>249</v>
      </c>
      <c r="S1296" s="20">
        <v>-0.61670638584672288</v>
      </c>
      <c r="T1296" s="20" t="s">
        <v>60</v>
      </c>
      <c r="U1296" s="20" t="s">
        <v>60</v>
      </c>
      <c r="V1296" s="20"/>
      <c r="W1296" s="20"/>
      <c r="X1296" s="20" t="s">
        <v>60</v>
      </c>
      <c r="Y1296" s="20" t="s">
        <v>412</v>
      </c>
      <c r="Z1296" s="20" t="s">
        <v>60</v>
      </c>
      <c r="AA1296" s="20" t="s">
        <v>491</v>
      </c>
    </row>
    <row r="1297" spans="1:27" x14ac:dyDescent="0.2">
      <c r="A1297" s="1">
        <v>46126</v>
      </c>
      <c r="B1297" s="20" t="s">
        <v>326</v>
      </c>
      <c r="C1297" s="20" t="s">
        <v>40</v>
      </c>
      <c r="D1297" s="20" t="s">
        <v>55</v>
      </c>
      <c r="E1297" s="20" t="s">
        <v>1051</v>
      </c>
      <c r="F1297" s="20" t="s">
        <v>40</v>
      </c>
      <c r="G1297" s="20">
        <v>2</v>
      </c>
      <c r="H1297" s="20">
        <v>3</v>
      </c>
      <c r="I1297" s="13">
        <v>0.6</v>
      </c>
      <c r="J1297" s="20" t="s">
        <v>249</v>
      </c>
      <c r="L1297" s="20" t="s">
        <v>60</v>
      </c>
      <c r="M1297" s="20" t="s">
        <v>60</v>
      </c>
      <c r="N1297" s="20" t="s">
        <v>40</v>
      </c>
      <c r="O1297" s="20">
        <v>2</v>
      </c>
      <c r="P1297" s="20">
        <v>3</v>
      </c>
      <c r="Q1297" s="13">
        <v>0.44466833870306172</v>
      </c>
      <c r="R1297" s="20" t="s">
        <v>249</v>
      </c>
      <c r="S1297" s="20">
        <v>-3.9980716315228433E-2</v>
      </c>
      <c r="T1297" s="20" t="s">
        <v>60</v>
      </c>
      <c r="U1297" s="20" t="s">
        <v>60</v>
      </c>
      <c r="V1297" s="20"/>
      <c r="W1297" s="20"/>
      <c r="X1297" s="20" t="s">
        <v>60</v>
      </c>
      <c r="Y1297" s="20" t="s">
        <v>412</v>
      </c>
      <c r="Z1297" s="20" t="s">
        <v>60</v>
      </c>
      <c r="AA1297" s="20" t="s">
        <v>491</v>
      </c>
    </row>
    <row r="1298" spans="1:27" x14ac:dyDescent="0.2">
      <c r="A1298" s="1">
        <v>46126</v>
      </c>
      <c r="B1298" s="20" t="s">
        <v>326</v>
      </c>
      <c r="C1298" s="20" t="s">
        <v>12</v>
      </c>
      <c r="D1298" s="20" t="s">
        <v>16</v>
      </c>
      <c r="E1298" s="20" t="s">
        <v>1517</v>
      </c>
      <c r="F1298" s="20" t="s">
        <v>12</v>
      </c>
      <c r="G1298" s="20">
        <v>2</v>
      </c>
      <c r="H1298" s="20">
        <v>3</v>
      </c>
      <c r="I1298" s="13">
        <v>0.6</v>
      </c>
      <c r="J1298" s="20" t="s">
        <v>249</v>
      </c>
      <c r="L1298" s="20" t="s">
        <v>60</v>
      </c>
      <c r="M1298" s="20" t="s">
        <v>60</v>
      </c>
      <c r="N1298" s="20" t="s">
        <v>12</v>
      </c>
      <c r="O1298" s="20">
        <v>2</v>
      </c>
      <c r="P1298" s="20">
        <v>3</v>
      </c>
      <c r="Q1298" s="13">
        <v>0.84179105162643941</v>
      </c>
      <c r="R1298" s="20" t="s">
        <v>249</v>
      </c>
      <c r="S1298" s="20">
        <v>-2.6477841885484339</v>
      </c>
      <c r="T1298" s="20" t="s">
        <v>60</v>
      </c>
      <c r="U1298" s="20" t="s">
        <v>60</v>
      </c>
      <c r="V1298" s="20"/>
      <c r="W1298" s="20"/>
      <c r="X1298" s="20" t="s">
        <v>60</v>
      </c>
      <c r="Y1298" s="20" t="s">
        <v>412</v>
      </c>
      <c r="Z1298" s="20" t="s">
        <v>60</v>
      </c>
      <c r="AA1298" s="20" t="s">
        <v>491</v>
      </c>
    </row>
    <row r="1299" spans="1:27" x14ac:dyDescent="0.2">
      <c r="A1299" s="1">
        <v>46126</v>
      </c>
      <c r="B1299" s="20" t="s">
        <v>328</v>
      </c>
      <c r="C1299" s="20" t="s">
        <v>22</v>
      </c>
      <c r="D1299" s="20" t="s">
        <v>28</v>
      </c>
      <c r="E1299" s="20" t="s">
        <v>664</v>
      </c>
      <c r="F1299" s="20" t="s">
        <v>22</v>
      </c>
      <c r="G1299" s="20">
        <v>2</v>
      </c>
      <c r="H1299" s="20">
        <v>3</v>
      </c>
      <c r="I1299" s="13">
        <v>0.6</v>
      </c>
      <c r="J1299" s="20" t="s">
        <v>249</v>
      </c>
      <c r="L1299" s="20" t="s">
        <v>60</v>
      </c>
      <c r="M1299" s="20" t="s">
        <v>60</v>
      </c>
      <c r="N1299" s="20" t="s">
        <v>22</v>
      </c>
      <c r="O1299" s="20">
        <v>2</v>
      </c>
      <c r="P1299" s="20">
        <v>3</v>
      </c>
      <c r="Q1299" s="13">
        <v>0.61761878207980603</v>
      </c>
      <c r="R1299" s="20" t="s">
        <v>249</v>
      </c>
      <c r="S1299" s="20">
        <v>-0.98579588828113474</v>
      </c>
      <c r="T1299" s="20" t="s">
        <v>60</v>
      </c>
      <c r="U1299" s="20" t="s">
        <v>60</v>
      </c>
      <c r="V1299" s="20"/>
      <c r="W1299" s="20"/>
      <c r="X1299" s="20" t="s">
        <v>60</v>
      </c>
      <c r="Y1299" s="20" t="s">
        <v>412</v>
      </c>
      <c r="Z1299" s="20" t="s">
        <v>60</v>
      </c>
      <c r="AA1299" s="20" t="s">
        <v>491</v>
      </c>
    </row>
    <row r="1300" spans="1:27" x14ac:dyDescent="0.2">
      <c r="A1300" s="1">
        <v>46126</v>
      </c>
      <c r="B1300" s="20" t="s">
        <v>328</v>
      </c>
      <c r="C1300" s="20" t="s">
        <v>24</v>
      </c>
      <c r="D1300" s="20" t="s">
        <v>21</v>
      </c>
      <c r="E1300" s="20" t="s">
        <v>950</v>
      </c>
      <c r="F1300" s="20" t="s">
        <v>24</v>
      </c>
      <c r="G1300" s="20">
        <v>2</v>
      </c>
      <c r="H1300" s="20">
        <v>3</v>
      </c>
      <c r="I1300" s="13">
        <v>0.6</v>
      </c>
      <c r="J1300" s="20" t="s">
        <v>249</v>
      </c>
      <c r="L1300" s="20" t="s">
        <v>60</v>
      </c>
      <c r="M1300" s="20" t="s">
        <v>60</v>
      </c>
      <c r="N1300" s="20" t="s">
        <v>24</v>
      </c>
      <c r="O1300" s="20">
        <v>2</v>
      </c>
      <c r="P1300" s="20">
        <v>3</v>
      </c>
      <c r="Q1300" s="13">
        <v>0.45751339354482728</v>
      </c>
      <c r="R1300" s="20" t="s">
        <v>249</v>
      </c>
      <c r="S1300" s="20">
        <v>-0.1713992622891734</v>
      </c>
      <c r="T1300" s="20" t="s">
        <v>60</v>
      </c>
      <c r="U1300" s="20" t="s">
        <v>60</v>
      </c>
      <c r="V1300" s="20"/>
      <c r="W1300" s="20"/>
      <c r="X1300" s="20" t="s">
        <v>60</v>
      </c>
      <c r="Y1300" s="20" t="s">
        <v>412</v>
      </c>
      <c r="Z1300" s="20" t="s">
        <v>60</v>
      </c>
      <c r="AA1300" s="20" t="s">
        <v>491</v>
      </c>
    </row>
    <row r="1301" spans="1:27" x14ac:dyDescent="0.2">
      <c r="A1301" s="1">
        <v>46126</v>
      </c>
      <c r="B1301" s="20" t="s">
        <v>324</v>
      </c>
      <c r="C1301" s="20" t="s">
        <v>31</v>
      </c>
      <c r="D1301" s="20" t="s">
        <v>34</v>
      </c>
      <c r="E1301" s="20" t="s">
        <v>885</v>
      </c>
      <c r="F1301" s="20" t="s">
        <v>31</v>
      </c>
      <c r="G1301" s="20">
        <v>2</v>
      </c>
      <c r="H1301" s="20">
        <v>3</v>
      </c>
      <c r="I1301" s="13">
        <v>0.6</v>
      </c>
      <c r="J1301" s="20" t="s">
        <v>249</v>
      </c>
      <c r="L1301" s="20" t="s">
        <v>60</v>
      </c>
      <c r="M1301" s="20" t="s">
        <v>60</v>
      </c>
      <c r="N1301" s="20" t="s">
        <v>31</v>
      </c>
      <c r="O1301" s="20">
        <v>2</v>
      </c>
      <c r="P1301" s="20">
        <v>3</v>
      </c>
      <c r="Q1301" s="13">
        <v>0.50224542963658214</v>
      </c>
      <c r="R1301" s="20" t="s">
        <v>249</v>
      </c>
      <c r="S1301" s="20">
        <v>-0.18392706036558271</v>
      </c>
      <c r="T1301" s="20" t="s">
        <v>60</v>
      </c>
      <c r="U1301" s="20" t="s">
        <v>60</v>
      </c>
      <c r="V1301" s="20"/>
      <c r="W1301" s="20"/>
      <c r="X1301" s="20" t="s">
        <v>60</v>
      </c>
      <c r="Y1301" s="20" t="s">
        <v>412</v>
      </c>
      <c r="Z1301" s="20" t="s">
        <v>60</v>
      </c>
      <c r="AA1301" s="20" t="s">
        <v>491</v>
      </c>
    </row>
    <row r="1302" spans="1:27" x14ac:dyDescent="0.2">
      <c r="A1302" s="1">
        <v>46127</v>
      </c>
      <c r="B1302" s="20" t="s">
        <v>328</v>
      </c>
      <c r="C1302" s="20" t="s">
        <v>39</v>
      </c>
      <c r="D1302" s="20" t="s">
        <v>23</v>
      </c>
      <c r="E1302" s="20" t="s">
        <v>1518</v>
      </c>
      <c r="F1302" s="20" t="s">
        <v>39</v>
      </c>
      <c r="G1302" s="20">
        <v>2</v>
      </c>
      <c r="H1302" s="20">
        <v>3</v>
      </c>
      <c r="I1302" s="13">
        <v>0.6</v>
      </c>
      <c r="J1302" s="20" t="s">
        <v>249</v>
      </c>
      <c r="L1302" s="20" t="s">
        <v>60</v>
      </c>
      <c r="M1302" s="20" t="s">
        <v>60</v>
      </c>
      <c r="N1302" s="20" t="s">
        <v>39</v>
      </c>
      <c r="O1302" s="20">
        <v>2</v>
      </c>
      <c r="P1302" s="20">
        <v>3</v>
      </c>
      <c r="Q1302" s="13">
        <v>0.64976592334040328</v>
      </c>
      <c r="R1302" s="20" t="s">
        <v>249</v>
      </c>
      <c r="S1302" s="20">
        <v>-0.83965218867254698</v>
      </c>
      <c r="T1302" s="20" t="s">
        <v>60</v>
      </c>
      <c r="U1302" s="20" t="s">
        <v>60</v>
      </c>
      <c r="V1302" s="20"/>
      <c r="W1302" s="20"/>
      <c r="X1302" s="20" t="s">
        <v>60</v>
      </c>
      <c r="Y1302" s="20" t="s">
        <v>412</v>
      </c>
      <c r="Z1302" s="20" t="s">
        <v>60</v>
      </c>
      <c r="AA1302" s="20" t="s">
        <v>491</v>
      </c>
    </row>
    <row r="1303" spans="1:27" x14ac:dyDescent="0.2">
      <c r="A1303" s="1">
        <v>46127</v>
      </c>
      <c r="B1303" s="20" t="s">
        <v>416</v>
      </c>
      <c r="C1303" s="20" t="s">
        <v>33</v>
      </c>
      <c r="D1303" s="20" t="s">
        <v>10</v>
      </c>
      <c r="E1303" s="20" t="s">
        <v>1293</v>
      </c>
      <c r="F1303" s="20" t="s">
        <v>10</v>
      </c>
      <c r="G1303" s="20">
        <v>2</v>
      </c>
      <c r="H1303" s="20">
        <v>3</v>
      </c>
      <c r="I1303" s="13">
        <v>0.6</v>
      </c>
      <c r="J1303" s="20" t="s">
        <v>249</v>
      </c>
      <c r="L1303" s="20" t="s">
        <v>60</v>
      </c>
      <c r="M1303" s="20" t="s">
        <v>60</v>
      </c>
      <c r="N1303" s="20" t="s">
        <v>10</v>
      </c>
      <c r="O1303" s="20">
        <v>2</v>
      </c>
      <c r="P1303" s="20">
        <v>3</v>
      </c>
      <c r="Q1303" s="13">
        <v>0.57795269018603335</v>
      </c>
      <c r="R1303" s="20" t="s">
        <v>249</v>
      </c>
      <c r="S1303" s="20">
        <v>0.32503548612109218</v>
      </c>
      <c r="T1303" s="20" t="s">
        <v>60</v>
      </c>
      <c r="U1303" s="20" t="s">
        <v>60</v>
      </c>
      <c r="V1303" s="20"/>
      <c r="W1303" s="20"/>
      <c r="X1303" s="20" t="s">
        <v>60</v>
      </c>
      <c r="Y1303" s="20" t="s">
        <v>412</v>
      </c>
      <c r="Z1303" s="20" t="s">
        <v>60</v>
      </c>
      <c r="AA1303" s="20" t="s">
        <v>491</v>
      </c>
    </row>
    <row r="1304" spans="1:27" x14ac:dyDescent="0.2">
      <c r="A1304" s="1">
        <v>46127</v>
      </c>
      <c r="B1304" s="20" t="s">
        <v>328</v>
      </c>
      <c r="C1304" s="20" t="s">
        <v>26</v>
      </c>
      <c r="D1304" s="20" t="s">
        <v>11</v>
      </c>
      <c r="E1304" s="20" t="s">
        <v>1380</v>
      </c>
      <c r="F1304" s="20" t="s">
        <v>11</v>
      </c>
      <c r="G1304" s="20">
        <v>2</v>
      </c>
      <c r="H1304" s="20">
        <v>3</v>
      </c>
      <c r="I1304" s="13">
        <v>0.6</v>
      </c>
      <c r="J1304" s="20" t="s">
        <v>249</v>
      </c>
      <c r="L1304" s="20" t="s">
        <v>60</v>
      </c>
      <c r="M1304" s="20" t="s">
        <v>60</v>
      </c>
      <c r="N1304" s="20" t="s">
        <v>11</v>
      </c>
      <c r="O1304" s="20">
        <v>2</v>
      </c>
      <c r="P1304" s="20">
        <v>3</v>
      </c>
      <c r="Q1304" s="13">
        <v>0.61568266119593729</v>
      </c>
      <c r="R1304" s="20" t="s">
        <v>249</v>
      </c>
      <c r="S1304" s="20">
        <v>0.52812202289136545</v>
      </c>
      <c r="T1304" s="20" t="s">
        <v>60</v>
      </c>
      <c r="U1304" s="20" t="s">
        <v>60</v>
      </c>
      <c r="V1304" s="20"/>
      <c r="W1304" s="20"/>
      <c r="X1304" s="20" t="s">
        <v>60</v>
      </c>
      <c r="Y1304" s="20" t="s">
        <v>412</v>
      </c>
      <c r="Z1304" s="20" t="s">
        <v>60</v>
      </c>
      <c r="AA1304" s="20" t="s">
        <v>491</v>
      </c>
    </row>
    <row r="1305" spans="1:27" x14ac:dyDescent="0.2">
      <c r="A1305" s="1">
        <v>46127</v>
      </c>
      <c r="B1305" s="20" t="s">
        <v>334</v>
      </c>
      <c r="C1305" s="20" t="s">
        <v>19</v>
      </c>
      <c r="D1305" s="20" t="s">
        <v>36</v>
      </c>
      <c r="E1305" s="20" t="s">
        <v>1431</v>
      </c>
      <c r="F1305" s="20" t="s">
        <v>36</v>
      </c>
      <c r="G1305" s="20">
        <v>2</v>
      </c>
      <c r="H1305" s="20">
        <v>3</v>
      </c>
      <c r="I1305" s="13">
        <v>0.6</v>
      </c>
      <c r="J1305" s="20" t="s">
        <v>249</v>
      </c>
      <c r="L1305" s="20" t="s">
        <v>60</v>
      </c>
      <c r="M1305" s="20" t="s">
        <v>60</v>
      </c>
      <c r="N1305" s="20" t="s">
        <v>36</v>
      </c>
      <c r="O1305" s="20">
        <v>2</v>
      </c>
      <c r="P1305" s="20">
        <v>3</v>
      </c>
      <c r="Q1305" s="13">
        <v>0.56036087140652391</v>
      </c>
      <c r="R1305" s="20" t="s">
        <v>249</v>
      </c>
      <c r="S1305" s="20">
        <v>0.1530032893773044</v>
      </c>
      <c r="T1305" s="20" t="s">
        <v>60</v>
      </c>
      <c r="U1305" s="20" t="s">
        <v>60</v>
      </c>
      <c r="V1305" s="20"/>
      <c r="W1305" s="20"/>
      <c r="X1305" s="20" t="s">
        <v>60</v>
      </c>
      <c r="Y1305" s="20" t="s">
        <v>412</v>
      </c>
      <c r="Z1305" s="20" t="s">
        <v>60</v>
      </c>
      <c r="AA1305" s="20" t="s">
        <v>491</v>
      </c>
    </row>
    <row r="1306" spans="1:27" x14ac:dyDescent="0.2">
      <c r="A1306" s="1">
        <v>46127</v>
      </c>
      <c r="B1306" s="20" t="s">
        <v>328</v>
      </c>
      <c r="C1306" s="20" t="s">
        <v>15</v>
      </c>
      <c r="D1306" s="20" t="s">
        <v>37</v>
      </c>
      <c r="E1306" s="20" t="s">
        <v>859</v>
      </c>
      <c r="F1306" s="20" t="s">
        <v>37</v>
      </c>
      <c r="G1306" s="20">
        <v>2</v>
      </c>
      <c r="H1306" s="20">
        <v>3</v>
      </c>
      <c r="I1306" s="13">
        <v>0.6</v>
      </c>
      <c r="J1306" s="20" t="s">
        <v>249</v>
      </c>
      <c r="L1306" s="20" t="s">
        <v>60</v>
      </c>
      <c r="M1306" s="20" t="s">
        <v>60</v>
      </c>
      <c r="N1306" s="20" t="s">
        <v>37</v>
      </c>
      <c r="O1306" s="20">
        <v>2</v>
      </c>
      <c r="P1306" s="20">
        <v>3</v>
      </c>
      <c r="Q1306" s="13">
        <v>0.57162610749903808</v>
      </c>
      <c r="R1306" s="20" t="s">
        <v>249</v>
      </c>
      <c r="S1306" s="20">
        <v>0.8504396801537093</v>
      </c>
      <c r="T1306" s="20" t="s">
        <v>60</v>
      </c>
      <c r="U1306" s="20" t="s">
        <v>60</v>
      </c>
      <c r="V1306" s="20"/>
      <c r="W1306" s="20"/>
      <c r="X1306" s="20" t="s">
        <v>60</v>
      </c>
      <c r="Y1306" s="20" t="s">
        <v>412</v>
      </c>
      <c r="Z1306" s="20" t="s">
        <v>60</v>
      </c>
      <c r="AA1306" s="20" t="s">
        <v>491</v>
      </c>
    </row>
    <row r="1307" spans="1:27" x14ac:dyDescent="0.2">
      <c r="A1307" s="1">
        <v>46127</v>
      </c>
      <c r="B1307" s="20" t="s">
        <v>322</v>
      </c>
      <c r="C1307" s="20" t="s">
        <v>32</v>
      </c>
      <c r="D1307" s="20" t="s">
        <v>20</v>
      </c>
      <c r="E1307" s="20" t="s">
        <v>1282</v>
      </c>
      <c r="F1307" s="20" t="s">
        <v>20</v>
      </c>
      <c r="G1307" s="20">
        <v>2</v>
      </c>
      <c r="H1307" s="20">
        <v>3</v>
      </c>
      <c r="I1307" s="13">
        <v>0.6</v>
      </c>
      <c r="J1307" s="20" t="s">
        <v>249</v>
      </c>
      <c r="L1307" s="20" t="s">
        <v>60</v>
      </c>
      <c r="M1307" s="20" t="s">
        <v>60</v>
      </c>
      <c r="N1307" s="20" t="s">
        <v>20</v>
      </c>
      <c r="O1307" s="20">
        <v>2</v>
      </c>
      <c r="P1307" s="20">
        <v>3</v>
      </c>
      <c r="Q1307" s="13">
        <v>0.59310895063284608</v>
      </c>
      <c r="R1307" s="20" t="s">
        <v>249</v>
      </c>
      <c r="S1307" s="20">
        <v>0.45483715388061602</v>
      </c>
      <c r="T1307" s="20" t="s">
        <v>60</v>
      </c>
      <c r="U1307" s="20" t="s">
        <v>60</v>
      </c>
      <c r="V1307" s="20"/>
      <c r="W1307" s="20"/>
      <c r="X1307" s="20" t="s">
        <v>60</v>
      </c>
      <c r="Y1307" s="20" t="s">
        <v>412</v>
      </c>
      <c r="Z1307" s="20" t="s">
        <v>60</v>
      </c>
      <c r="AA1307" s="20" t="s">
        <v>491</v>
      </c>
    </row>
    <row r="1308" spans="1:27" x14ac:dyDescent="0.2">
      <c r="A1308" s="1">
        <v>46128</v>
      </c>
      <c r="B1308" s="20" t="s">
        <v>324</v>
      </c>
      <c r="C1308" s="20" t="s">
        <v>35</v>
      </c>
      <c r="D1308" s="20" t="s">
        <v>55</v>
      </c>
      <c r="E1308" s="20" t="s">
        <v>1156</v>
      </c>
      <c r="F1308" s="20" t="s">
        <v>55</v>
      </c>
      <c r="G1308" s="20">
        <v>2</v>
      </c>
      <c r="H1308" s="20">
        <v>3</v>
      </c>
      <c r="I1308" s="13">
        <v>0.6</v>
      </c>
      <c r="J1308" s="20" t="s">
        <v>249</v>
      </c>
      <c r="L1308" s="20" t="s">
        <v>60</v>
      </c>
      <c r="M1308" s="20" t="s">
        <v>60</v>
      </c>
      <c r="N1308" s="20" t="s">
        <v>55</v>
      </c>
      <c r="O1308" s="20">
        <v>2</v>
      </c>
      <c r="P1308" s="20">
        <v>3</v>
      </c>
      <c r="Q1308" s="13">
        <v>0.7020131636538165</v>
      </c>
      <c r="R1308" s="20" t="s">
        <v>249</v>
      </c>
      <c r="S1308" s="20">
        <v>1.0412558318497021</v>
      </c>
      <c r="T1308" s="20" t="s">
        <v>60</v>
      </c>
      <c r="U1308" s="20" t="s">
        <v>60</v>
      </c>
      <c r="V1308" s="20"/>
      <c r="W1308" s="20"/>
      <c r="X1308" s="20" t="s">
        <v>60</v>
      </c>
      <c r="Y1308" s="20" t="s">
        <v>412</v>
      </c>
      <c r="Z1308" s="20" t="s">
        <v>60</v>
      </c>
      <c r="AA1308" s="20" t="s">
        <v>491</v>
      </c>
    </row>
    <row r="1309" spans="1:27" x14ac:dyDescent="0.2">
      <c r="A1309" s="1">
        <v>46128</v>
      </c>
      <c r="B1309" s="20" t="s">
        <v>326</v>
      </c>
      <c r="C1309" s="20" t="s">
        <v>13</v>
      </c>
      <c r="D1309" s="20" t="s">
        <v>16</v>
      </c>
      <c r="E1309" s="20" t="s">
        <v>1448</v>
      </c>
      <c r="F1309" s="20" t="s">
        <v>13</v>
      </c>
      <c r="G1309" s="20">
        <v>2</v>
      </c>
      <c r="H1309" s="20">
        <v>3</v>
      </c>
      <c r="I1309" s="13">
        <v>0.6</v>
      </c>
      <c r="J1309" s="20" t="s">
        <v>249</v>
      </c>
      <c r="L1309" s="20" t="s">
        <v>60</v>
      </c>
      <c r="M1309" s="20" t="s">
        <v>60</v>
      </c>
      <c r="N1309" s="20" t="s">
        <v>13</v>
      </c>
      <c r="O1309" s="20">
        <v>2</v>
      </c>
      <c r="P1309" s="20">
        <v>3</v>
      </c>
      <c r="Q1309" s="13">
        <v>0.60543523183675452</v>
      </c>
      <c r="R1309" s="20" t="s">
        <v>249</v>
      </c>
      <c r="S1309" s="20">
        <v>-0.67759693144424471</v>
      </c>
      <c r="T1309" s="20" t="s">
        <v>60</v>
      </c>
      <c r="U1309" s="20" t="s">
        <v>60</v>
      </c>
      <c r="V1309" s="20"/>
      <c r="W1309" s="20"/>
      <c r="X1309" s="20" t="s">
        <v>60</v>
      </c>
      <c r="Y1309" s="20" t="s">
        <v>412</v>
      </c>
      <c r="Z1309" s="20" t="s">
        <v>60</v>
      </c>
      <c r="AA1309" s="20" t="s">
        <v>491</v>
      </c>
    </row>
    <row r="1310" spans="1:27" x14ac:dyDescent="0.2">
      <c r="A1310" s="1">
        <v>46128</v>
      </c>
      <c r="B1310" s="20" t="s">
        <v>340</v>
      </c>
      <c r="C1310" s="20" t="s">
        <v>32</v>
      </c>
      <c r="D1310" s="20" t="s">
        <v>12</v>
      </c>
      <c r="E1310" s="20" t="s">
        <v>1519</v>
      </c>
      <c r="F1310" s="20" t="s">
        <v>12</v>
      </c>
      <c r="G1310" s="20">
        <v>2</v>
      </c>
      <c r="H1310" s="20">
        <v>3</v>
      </c>
      <c r="I1310" s="13">
        <v>0.6</v>
      </c>
      <c r="J1310" s="20" t="s">
        <v>249</v>
      </c>
      <c r="L1310" s="20" t="s">
        <v>60</v>
      </c>
      <c r="M1310" s="20" t="s">
        <v>60</v>
      </c>
      <c r="N1310" s="20" t="s">
        <v>12</v>
      </c>
      <c r="O1310" s="20">
        <v>2</v>
      </c>
      <c r="P1310" s="20">
        <v>3</v>
      </c>
      <c r="Q1310" s="13">
        <v>0.91652975946953441</v>
      </c>
      <c r="R1310" s="20" t="s">
        <v>249</v>
      </c>
      <c r="S1310" s="20">
        <v>2.3311816426282288</v>
      </c>
      <c r="T1310" s="20" t="s">
        <v>60</v>
      </c>
      <c r="U1310" s="20" t="s">
        <v>60</v>
      </c>
      <c r="V1310" s="20"/>
      <c r="W1310" s="20"/>
      <c r="X1310" s="20" t="s">
        <v>60</v>
      </c>
      <c r="Y1310" s="20" t="s">
        <v>412</v>
      </c>
      <c r="Z1310" s="20" t="s">
        <v>60</v>
      </c>
      <c r="AA1310" s="20" t="s">
        <v>491</v>
      </c>
    </row>
    <row r="1311" spans="1:27" x14ac:dyDescent="0.2">
      <c r="A1311" s="1">
        <v>46128</v>
      </c>
      <c r="B1311" s="20" t="s">
        <v>326</v>
      </c>
      <c r="C1311" s="20" t="s">
        <v>38</v>
      </c>
      <c r="D1311" s="20" t="s">
        <v>17</v>
      </c>
      <c r="E1311" s="20" t="s">
        <v>528</v>
      </c>
      <c r="F1311" s="20" t="s">
        <v>17</v>
      </c>
      <c r="G1311" s="20">
        <v>2</v>
      </c>
      <c r="H1311" s="20">
        <v>3</v>
      </c>
      <c r="I1311" s="13">
        <v>0.6</v>
      </c>
      <c r="J1311" s="20" t="s">
        <v>249</v>
      </c>
      <c r="L1311" s="20" t="s">
        <v>60</v>
      </c>
      <c r="M1311" s="20" t="s">
        <v>60</v>
      </c>
      <c r="N1311" s="20" t="s">
        <v>17</v>
      </c>
      <c r="O1311" s="20">
        <v>2</v>
      </c>
      <c r="P1311" s="20">
        <v>3</v>
      </c>
      <c r="Q1311" s="13">
        <v>0.564476282294328</v>
      </c>
      <c r="R1311" s="20" t="s">
        <v>249</v>
      </c>
      <c r="S1311" s="20">
        <v>0.17983183979644479</v>
      </c>
      <c r="T1311" s="20" t="s">
        <v>60</v>
      </c>
      <c r="U1311" s="20" t="s">
        <v>60</v>
      </c>
      <c r="V1311" s="20"/>
      <c r="W1311" s="20"/>
      <c r="X1311" s="20" t="s">
        <v>60</v>
      </c>
      <c r="Y1311" s="20" t="s">
        <v>412</v>
      </c>
      <c r="Z1311" s="20" t="s">
        <v>60</v>
      </c>
      <c r="AA1311" s="20" t="s">
        <v>491</v>
      </c>
    </row>
    <row r="1312" spans="1:27" x14ac:dyDescent="0.2">
      <c r="A1312" s="1">
        <v>46128</v>
      </c>
      <c r="B1312" s="20" t="s">
        <v>324</v>
      </c>
      <c r="C1312" s="20" t="s">
        <v>31</v>
      </c>
      <c r="D1312" s="20" t="s">
        <v>29</v>
      </c>
      <c r="E1312" s="20" t="s">
        <v>634</v>
      </c>
      <c r="F1312" s="20" t="s">
        <v>31</v>
      </c>
      <c r="G1312" s="20">
        <v>2</v>
      </c>
      <c r="H1312" s="20">
        <v>3</v>
      </c>
      <c r="I1312" s="13">
        <v>0.6</v>
      </c>
      <c r="J1312" s="20" t="s">
        <v>249</v>
      </c>
      <c r="L1312" s="20" t="s">
        <v>60</v>
      </c>
      <c r="M1312" s="20" t="s">
        <v>60</v>
      </c>
      <c r="N1312" s="20" t="s">
        <v>31</v>
      </c>
      <c r="O1312" s="20">
        <v>2</v>
      </c>
      <c r="P1312" s="20">
        <v>3</v>
      </c>
      <c r="Q1312" s="13">
        <v>0.65751832992317638</v>
      </c>
      <c r="R1312" s="20" t="s">
        <v>249</v>
      </c>
      <c r="S1312" s="20">
        <v>-1.513719556726165</v>
      </c>
      <c r="T1312" s="20" t="s">
        <v>60</v>
      </c>
      <c r="U1312" s="20" t="s">
        <v>60</v>
      </c>
      <c r="V1312" s="20"/>
      <c r="W1312" s="20"/>
      <c r="X1312" s="20" t="s">
        <v>60</v>
      </c>
      <c r="Y1312" s="20" t="s">
        <v>412</v>
      </c>
      <c r="Z1312" s="20" t="s">
        <v>60</v>
      </c>
      <c r="AA1312" s="20" t="s">
        <v>491</v>
      </c>
    </row>
    <row r="1313" spans="1:27" x14ac:dyDescent="0.2">
      <c r="A1313" s="1">
        <v>46128</v>
      </c>
      <c r="B1313" s="20" t="s">
        <v>324</v>
      </c>
      <c r="C1313" s="20" t="s">
        <v>33</v>
      </c>
      <c r="D1313" s="20" t="s">
        <v>40</v>
      </c>
      <c r="E1313" s="20" t="s">
        <v>1520</v>
      </c>
      <c r="F1313" s="20" t="s">
        <v>40</v>
      </c>
      <c r="G1313" s="20">
        <v>2</v>
      </c>
      <c r="H1313" s="20">
        <v>3</v>
      </c>
      <c r="I1313" s="13">
        <v>0.6</v>
      </c>
      <c r="J1313" s="20" t="s">
        <v>249</v>
      </c>
      <c r="L1313" s="20" t="s">
        <v>60</v>
      </c>
      <c r="M1313" s="20" t="s">
        <v>60</v>
      </c>
      <c r="N1313" s="20" t="s">
        <v>40</v>
      </c>
      <c r="O1313" s="20">
        <v>2</v>
      </c>
      <c r="P1313" s="20">
        <v>3</v>
      </c>
      <c r="Q1313" s="13">
        <v>0.56444607660826673</v>
      </c>
      <c r="R1313" s="20" t="s">
        <v>249</v>
      </c>
      <c r="S1313" s="20">
        <v>0.18798991752261429</v>
      </c>
      <c r="T1313" s="20" t="s">
        <v>60</v>
      </c>
      <c r="U1313" s="20" t="s">
        <v>60</v>
      </c>
      <c r="V1313" s="20"/>
      <c r="W1313" s="20"/>
      <c r="X1313" s="20" t="s">
        <v>60</v>
      </c>
      <c r="Y1313" s="20" t="s">
        <v>412</v>
      </c>
      <c r="Z1313" s="20" t="s">
        <v>60</v>
      </c>
      <c r="AA1313" s="20" t="s">
        <v>491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9" t="s">
        <v>268</v>
      </c>
      <c r="C3" s="19"/>
      <c r="D3" t="s">
        <v>269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NHL2025-26Results</vt:lpstr>
      <vt:lpstr>NHL Model</vt:lpstr>
      <vt:lpstr>NHL HomeIce Model</vt:lpstr>
      <vt:lpstr>Standings</vt:lpstr>
      <vt:lpstr>ML Prediction Model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2025-12-03T00:48:49Z</dcterms:modified>
</cp:coreProperties>
</file>